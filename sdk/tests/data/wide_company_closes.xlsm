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sse\Dev\lusid-sdk-python\lusid-sdk-python\tests\data\"/>
    </mc:Choice>
  </mc:AlternateContent>
  <xr:revisionPtr revIDLastSave="0" documentId="8_{35BACE4E-BC41-4FA6-ADEA-51676066D75B}" xr6:coauthVersionLast="43" xr6:coauthVersionMax="43" xr10:uidLastSave="{00000000-0000-0000-0000-000000000000}"/>
  <bookViews>
    <workbookView xWindow="13710" yWindow="-16410" windowWidth="29040" windowHeight="15840" xr2:uid="{00000000-000D-0000-FFFF-FFFF00000000}"/>
  </bookViews>
  <sheets>
    <sheet name="wide_company_closes_reorder" sheetId="1" r:id="rId1"/>
  </sheets>
  <definedNames>
    <definedName name="clearArea">wide_company_closes_reorder!$CV$2:$DF$1048576</definedName>
    <definedName name="positionArea">wide_company_closes_reorder!$AI$2:$BL$503</definedName>
    <definedName name="priceArea">wide_company_closes_reorder!$B$2:$AE$503</definedName>
    <definedName name="tradeArea">wide_company_closes_reorder!$BO$2:$CR$503</definedName>
    <definedName name="tradeOutputStart">wide_company_closes_reorder!$CV$2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O576" i="1" l="1"/>
  <c r="BP576" i="1"/>
  <c r="BQ576" i="1"/>
  <c r="BR576" i="1"/>
  <c r="BS576" i="1"/>
  <c r="BT576" i="1"/>
  <c r="BU576" i="1"/>
  <c r="BV576" i="1"/>
  <c r="BW576" i="1"/>
  <c r="BX576" i="1"/>
  <c r="BY576" i="1"/>
  <c r="BZ576" i="1"/>
  <c r="CA576" i="1"/>
  <c r="CB576" i="1"/>
  <c r="CC576" i="1"/>
  <c r="CD576" i="1"/>
  <c r="CE576" i="1"/>
  <c r="CF576" i="1"/>
  <c r="CG576" i="1"/>
  <c r="CH576" i="1"/>
  <c r="CI576" i="1"/>
  <c r="CJ576" i="1"/>
  <c r="CK576" i="1"/>
  <c r="CL576" i="1"/>
  <c r="CM576" i="1"/>
  <c r="CN576" i="1"/>
  <c r="CO576" i="1"/>
  <c r="CP576" i="1"/>
  <c r="CQ576" i="1"/>
  <c r="CR576" i="1"/>
  <c r="BO577" i="1"/>
  <c r="BP577" i="1"/>
  <c r="BQ577" i="1"/>
  <c r="BR577" i="1"/>
  <c r="BS577" i="1"/>
  <c r="BT577" i="1"/>
  <c r="BU577" i="1"/>
  <c r="BV577" i="1"/>
  <c r="BW577" i="1"/>
  <c r="BX577" i="1"/>
  <c r="BY577" i="1"/>
  <c r="BZ577" i="1"/>
  <c r="CA577" i="1"/>
  <c r="CB577" i="1"/>
  <c r="CC577" i="1"/>
  <c r="CD577" i="1"/>
  <c r="CE577" i="1"/>
  <c r="CF577" i="1"/>
  <c r="CG577" i="1"/>
  <c r="CH577" i="1"/>
  <c r="CI577" i="1"/>
  <c r="CJ577" i="1"/>
  <c r="CK577" i="1"/>
  <c r="CL577" i="1"/>
  <c r="CM577" i="1"/>
  <c r="CN577" i="1"/>
  <c r="CO577" i="1"/>
  <c r="CP577" i="1"/>
  <c r="CQ577" i="1"/>
  <c r="CR577" i="1"/>
  <c r="BO578" i="1"/>
  <c r="BP578" i="1"/>
  <c r="BQ578" i="1"/>
  <c r="BR578" i="1"/>
  <c r="BS578" i="1"/>
  <c r="BT578" i="1"/>
  <c r="BU578" i="1"/>
  <c r="BV578" i="1"/>
  <c r="BW578" i="1"/>
  <c r="BX578" i="1"/>
  <c r="BY578" i="1"/>
  <c r="BZ578" i="1"/>
  <c r="CA578" i="1"/>
  <c r="CB578" i="1"/>
  <c r="CC578" i="1"/>
  <c r="CD578" i="1"/>
  <c r="CE578" i="1"/>
  <c r="CF578" i="1"/>
  <c r="CG578" i="1"/>
  <c r="CH578" i="1"/>
  <c r="CI578" i="1"/>
  <c r="CJ578" i="1"/>
  <c r="CK578" i="1"/>
  <c r="CL578" i="1"/>
  <c r="CM578" i="1"/>
  <c r="CN578" i="1"/>
  <c r="CO578" i="1"/>
  <c r="CP578" i="1"/>
  <c r="CQ578" i="1"/>
  <c r="CR578" i="1"/>
  <c r="BO579" i="1"/>
  <c r="BP579" i="1"/>
  <c r="BQ579" i="1"/>
  <c r="BR579" i="1"/>
  <c r="BS579" i="1"/>
  <c r="BT579" i="1"/>
  <c r="BU579" i="1"/>
  <c r="BV579" i="1"/>
  <c r="BW579" i="1"/>
  <c r="BX579" i="1"/>
  <c r="BY579" i="1"/>
  <c r="BZ579" i="1"/>
  <c r="CA579" i="1"/>
  <c r="CB579" i="1"/>
  <c r="CC579" i="1"/>
  <c r="CD579" i="1"/>
  <c r="CE579" i="1"/>
  <c r="CF579" i="1"/>
  <c r="CG579" i="1"/>
  <c r="CH579" i="1"/>
  <c r="CI579" i="1"/>
  <c r="CJ579" i="1"/>
  <c r="CK579" i="1"/>
  <c r="CL579" i="1"/>
  <c r="CM579" i="1"/>
  <c r="CN579" i="1"/>
  <c r="CO579" i="1"/>
  <c r="CP579" i="1"/>
  <c r="CQ579" i="1"/>
  <c r="CR579" i="1"/>
  <c r="BO580" i="1"/>
  <c r="BP580" i="1"/>
  <c r="BQ580" i="1"/>
  <c r="BR580" i="1"/>
  <c r="BS580" i="1"/>
  <c r="BT580" i="1"/>
  <c r="BU580" i="1"/>
  <c r="BV580" i="1"/>
  <c r="BW580" i="1"/>
  <c r="BX580" i="1"/>
  <c r="BY580" i="1"/>
  <c r="BZ580" i="1"/>
  <c r="CA580" i="1"/>
  <c r="CB580" i="1"/>
  <c r="CC580" i="1"/>
  <c r="CD580" i="1"/>
  <c r="CE580" i="1"/>
  <c r="CF580" i="1"/>
  <c r="CG580" i="1"/>
  <c r="CH580" i="1"/>
  <c r="CI580" i="1"/>
  <c r="CJ580" i="1"/>
  <c r="CK580" i="1"/>
  <c r="CL580" i="1"/>
  <c r="CM580" i="1"/>
  <c r="CN580" i="1"/>
  <c r="CO580" i="1"/>
  <c r="CP580" i="1"/>
  <c r="CQ580" i="1"/>
  <c r="CR580" i="1"/>
  <c r="BO581" i="1"/>
  <c r="BP581" i="1"/>
  <c r="BQ581" i="1"/>
  <c r="BR581" i="1"/>
  <c r="BS581" i="1"/>
  <c r="BT581" i="1"/>
  <c r="BU581" i="1"/>
  <c r="BV581" i="1"/>
  <c r="BW581" i="1"/>
  <c r="BX581" i="1"/>
  <c r="BY581" i="1"/>
  <c r="BZ581" i="1"/>
  <c r="CA581" i="1"/>
  <c r="CB581" i="1"/>
  <c r="CC581" i="1"/>
  <c r="CD581" i="1"/>
  <c r="CE581" i="1"/>
  <c r="CF581" i="1"/>
  <c r="CG581" i="1"/>
  <c r="CH581" i="1"/>
  <c r="CI581" i="1"/>
  <c r="CJ581" i="1"/>
  <c r="CK581" i="1"/>
  <c r="CL581" i="1"/>
  <c r="CM581" i="1"/>
  <c r="CN581" i="1"/>
  <c r="CO581" i="1"/>
  <c r="CP581" i="1"/>
  <c r="CQ581" i="1"/>
  <c r="CR581" i="1"/>
  <c r="BO582" i="1"/>
  <c r="BP582" i="1"/>
  <c r="BQ582" i="1"/>
  <c r="BR582" i="1"/>
  <c r="BS582" i="1"/>
  <c r="BT582" i="1"/>
  <c r="BU582" i="1"/>
  <c r="BV582" i="1"/>
  <c r="BW582" i="1"/>
  <c r="BX582" i="1"/>
  <c r="BY582" i="1"/>
  <c r="BZ582" i="1"/>
  <c r="CA582" i="1"/>
  <c r="CB582" i="1"/>
  <c r="CC582" i="1"/>
  <c r="CD582" i="1"/>
  <c r="CE582" i="1"/>
  <c r="CF582" i="1"/>
  <c r="CG582" i="1"/>
  <c r="CH582" i="1"/>
  <c r="CI582" i="1"/>
  <c r="CJ582" i="1"/>
  <c r="CK582" i="1"/>
  <c r="CL582" i="1"/>
  <c r="CM582" i="1"/>
  <c r="CN582" i="1"/>
  <c r="CO582" i="1"/>
  <c r="CP582" i="1"/>
  <c r="CQ582" i="1"/>
  <c r="CR582" i="1"/>
  <c r="BO583" i="1"/>
  <c r="BP583" i="1"/>
  <c r="BQ583" i="1"/>
  <c r="BR583" i="1"/>
  <c r="BS583" i="1"/>
  <c r="BT583" i="1"/>
  <c r="BU583" i="1"/>
  <c r="BV583" i="1"/>
  <c r="BW583" i="1"/>
  <c r="BX583" i="1"/>
  <c r="BY583" i="1"/>
  <c r="BZ583" i="1"/>
  <c r="CA583" i="1"/>
  <c r="CB583" i="1"/>
  <c r="CC583" i="1"/>
  <c r="CD583" i="1"/>
  <c r="CE583" i="1"/>
  <c r="CF583" i="1"/>
  <c r="CG583" i="1"/>
  <c r="CH583" i="1"/>
  <c r="CI583" i="1"/>
  <c r="CJ583" i="1"/>
  <c r="CK583" i="1"/>
  <c r="CL583" i="1"/>
  <c r="CM583" i="1"/>
  <c r="CN583" i="1"/>
  <c r="CO583" i="1"/>
  <c r="CP583" i="1"/>
  <c r="CQ583" i="1"/>
  <c r="CR583" i="1"/>
  <c r="BO584" i="1"/>
  <c r="BP584" i="1"/>
  <c r="BQ584" i="1"/>
  <c r="BR584" i="1"/>
  <c r="BS584" i="1"/>
  <c r="BT584" i="1"/>
  <c r="BU584" i="1"/>
  <c r="BV584" i="1"/>
  <c r="BW584" i="1"/>
  <c r="BX584" i="1"/>
  <c r="BY584" i="1"/>
  <c r="BZ584" i="1"/>
  <c r="CA584" i="1"/>
  <c r="CB584" i="1"/>
  <c r="CC584" i="1"/>
  <c r="CD584" i="1"/>
  <c r="CE584" i="1"/>
  <c r="CF584" i="1"/>
  <c r="CG584" i="1"/>
  <c r="CH584" i="1"/>
  <c r="CI584" i="1"/>
  <c r="CJ584" i="1"/>
  <c r="CK584" i="1"/>
  <c r="CL584" i="1"/>
  <c r="CM584" i="1"/>
  <c r="CN584" i="1"/>
  <c r="CO584" i="1"/>
  <c r="CP584" i="1"/>
  <c r="CQ584" i="1"/>
  <c r="CR584" i="1"/>
  <c r="BO585" i="1"/>
  <c r="BP585" i="1"/>
  <c r="BQ585" i="1"/>
  <c r="BR585" i="1"/>
  <c r="BS585" i="1"/>
  <c r="BT585" i="1"/>
  <c r="BU585" i="1"/>
  <c r="BV585" i="1"/>
  <c r="BW585" i="1"/>
  <c r="BX585" i="1"/>
  <c r="BY585" i="1"/>
  <c r="BZ585" i="1"/>
  <c r="CA585" i="1"/>
  <c r="CB585" i="1"/>
  <c r="CC585" i="1"/>
  <c r="CD585" i="1"/>
  <c r="CE585" i="1"/>
  <c r="CF585" i="1"/>
  <c r="CG585" i="1"/>
  <c r="CH585" i="1"/>
  <c r="CI585" i="1"/>
  <c r="CJ585" i="1"/>
  <c r="CK585" i="1"/>
  <c r="CL585" i="1"/>
  <c r="CM585" i="1"/>
  <c r="CN585" i="1"/>
  <c r="CO585" i="1"/>
  <c r="CP585" i="1"/>
  <c r="CQ585" i="1"/>
  <c r="CR585" i="1"/>
  <c r="BO586" i="1"/>
  <c r="BP586" i="1"/>
  <c r="BQ586" i="1"/>
  <c r="BR586" i="1"/>
  <c r="BS586" i="1"/>
  <c r="BT586" i="1"/>
  <c r="BU586" i="1"/>
  <c r="BV586" i="1"/>
  <c r="BW586" i="1"/>
  <c r="BX586" i="1"/>
  <c r="BY586" i="1"/>
  <c r="BZ586" i="1"/>
  <c r="CA586" i="1"/>
  <c r="CB586" i="1"/>
  <c r="CC586" i="1"/>
  <c r="CD586" i="1"/>
  <c r="CE586" i="1"/>
  <c r="CF586" i="1"/>
  <c r="CG586" i="1"/>
  <c r="CH586" i="1"/>
  <c r="CI586" i="1"/>
  <c r="CJ586" i="1"/>
  <c r="CK586" i="1"/>
  <c r="CL586" i="1"/>
  <c r="CM586" i="1"/>
  <c r="CN586" i="1"/>
  <c r="CO586" i="1"/>
  <c r="CP586" i="1"/>
  <c r="CQ586" i="1"/>
  <c r="CR586" i="1"/>
  <c r="BO587" i="1"/>
  <c r="BP587" i="1"/>
  <c r="BQ587" i="1"/>
  <c r="BR587" i="1"/>
  <c r="BS587" i="1"/>
  <c r="BT587" i="1"/>
  <c r="BU587" i="1"/>
  <c r="BV587" i="1"/>
  <c r="BW587" i="1"/>
  <c r="BX587" i="1"/>
  <c r="BY587" i="1"/>
  <c r="BZ587" i="1"/>
  <c r="CA587" i="1"/>
  <c r="CB587" i="1"/>
  <c r="CC587" i="1"/>
  <c r="CD587" i="1"/>
  <c r="CE587" i="1"/>
  <c r="CF587" i="1"/>
  <c r="CG587" i="1"/>
  <c r="CH587" i="1"/>
  <c r="CI587" i="1"/>
  <c r="CJ587" i="1"/>
  <c r="CK587" i="1"/>
  <c r="CL587" i="1"/>
  <c r="CM587" i="1"/>
  <c r="CN587" i="1"/>
  <c r="CO587" i="1"/>
  <c r="CP587" i="1"/>
  <c r="CQ587" i="1"/>
  <c r="CR587" i="1"/>
  <c r="BO588" i="1"/>
  <c r="BP588" i="1"/>
  <c r="BQ588" i="1"/>
  <c r="BR588" i="1"/>
  <c r="BS588" i="1"/>
  <c r="BT588" i="1"/>
  <c r="BU588" i="1"/>
  <c r="BV588" i="1"/>
  <c r="BW588" i="1"/>
  <c r="BX588" i="1"/>
  <c r="BY588" i="1"/>
  <c r="BZ588" i="1"/>
  <c r="CA588" i="1"/>
  <c r="CB588" i="1"/>
  <c r="CC588" i="1"/>
  <c r="CD588" i="1"/>
  <c r="CE588" i="1"/>
  <c r="CF588" i="1"/>
  <c r="CG588" i="1"/>
  <c r="CH588" i="1"/>
  <c r="CI588" i="1"/>
  <c r="CJ588" i="1"/>
  <c r="CK588" i="1"/>
  <c r="CL588" i="1"/>
  <c r="CM588" i="1"/>
  <c r="CN588" i="1"/>
  <c r="CO588" i="1"/>
  <c r="CP588" i="1"/>
  <c r="CQ588" i="1"/>
  <c r="CR588" i="1"/>
  <c r="BO589" i="1"/>
  <c r="BP589" i="1"/>
  <c r="BQ589" i="1"/>
  <c r="BR589" i="1"/>
  <c r="BS589" i="1"/>
  <c r="BT589" i="1"/>
  <c r="BU589" i="1"/>
  <c r="BV589" i="1"/>
  <c r="BW589" i="1"/>
  <c r="BX589" i="1"/>
  <c r="BY589" i="1"/>
  <c r="BZ589" i="1"/>
  <c r="CA589" i="1"/>
  <c r="CB589" i="1"/>
  <c r="CC589" i="1"/>
  <c r="CD589" i="1"/>
  <c r="CE589" i="1"/>
  <c r="CF589" i="1"/>
  <c r="CG589" i="1"/>
  <c r="CH589" i="1"/>
  <c r="CI589" i="1"/>
  <c r="CJ589" i="1"/>
  <c r="CK589" i="1"/>
  <c r="CL589" i="1"/>
  <c r="CM589" i="1"/>
  <c r="CN589" i="1"/>
  <c r="CO589" i="1"/>
  <c r="CP589" i="1"/>
  <c r="CQ589" i="1"/>
  <c r="CR589" i="1"/>
  <c r="BO590" i="1"/>
  <c r="BP590" i="1"/>
  <c r="BQ590" i="1"/>
  <c r="BR590" i="1"/>
  <c r="BS590" i="1"/>
  <c r="BT590" i="1"/>
  <c r="BU590" i="1"/>
  <c r="BV590" i="1"/>
  <c r="BW590" i="1"/>
  <c r="BX590" i="1"/>
  <c r="BY590" i="1"/>
  <c r="BZ590" i="1"/>
  <c r="CA590" i="1"/>
  <c r="CB590" i="1"/>
  <c r="CC590" i="1"/>
  <c r="CD590" i="1"/>
  <c r="CE590" i="1"/>
  <c r="CF590" i="1"/>
  <c r="CG590" i="1"/>
  <c r="CH590" i="1"/>
  <c r="CI590" i="1"/>
  <c r="CJ590" i="1"/>
  <c r="CK590" i="1"/>
  <c r="CL590" i="1"/>
  <c r="CM590" i="1"/>
  <c r="CN590" i="1"/>
  <c r="CO590" i="1"/>
  <c r="CP590" i="1"/>
  <c r="CQ590" i="1"/>
  <c r="CR590" i="1"/>
  <c r="BO591" i="1"/>
  <c r="BP591" i="1"/>
  <c r="BQ591" i="1"/>
  <c r="BR591" i="1"/>
  <c r="BS591" i="1"/>
  <c r="BT591" i="1"/>
  <c r="BU591" i="1"/>
  <c r="BV591" i="1"/>
  <c r="BW591" i="1"/>
  <c r="BX591" i="1"/>
  <c r="BY591" i="1"/>
  <c r="BZ591" i="1"/>
  <c r="CA591" i="1"/>
  <c r="CB591" i="1"/>
  <c r="CC591" i="1"/>
  <c r="CD591" i="1"/>
  <c r="CE591" i="1"/>
  <c r="CF591" i="1"/>
  <c r="CG591" i="1"/>
  <c r="CH591" i="1"/>
  <c r="CI591" i="1"/>
  <c r="CJ591" i="1"/>
  <c r="CK591" i="1"/>
  <c r="CL591" i="1"/>
  <c r="CM591" i="1"/>
  <c r="CN591" i="1"/>
  <c r="CO591" i="1"/>
  <c r="CP591" i="1"/>
  <c r="CQ591" i="1"/>
  <c r="CR591" i="1"/>
  <c r="BO592" i="1"/>
  <c r="BP592" i="1"/>
  <c r="BQ592" i="1"/>
  <c r="BR592" i="1"/>
  <c r="BS592" i="1"/>
  <c r="BT592" i="1"/>
  <c r="BU592" i="1"/>
  <c r="BV592" i="1"/>
  <c r="BW592" i="1"/>
  <c r="BX592" i="1"/>
  <c r="BY592" i="1"/>
  <c r="BZ592" i="1"/>
  <c r="CA592" i="1"/>
  <c r="CB592" i="1"/>
  <c r="CC592" i="1"/>
  <c r="CD592" i="1"/>
  <c r="CE592" i="1"/>
  <c r="CF592" i="1"/>
  <c r="CG592" i="1"/>
  <c r="CH592" i="1"/>
  <c r="CI592" i="1"/>
  <c r="CJ592" i="1"/>
  <c r="CK592" i="1"/>
  <c r="CL592" i="1"/>
  <c r="CM592" i="1"/>
  <c r="CN592" i="1"/>
  <c r="CO592" i="1"/>
  <c r="CP592" i="1"/>
  <c r="CQ592" i="1"/>
  <c r="CR592" i="1"/>
  <c r="BO593" i="1"/>
  <c r="BP593" i="1"/>
  <c r="BQ593" i="1"/>
  <c r="BR593" i="1"/>
  <c r="BS593" i="1"/>
  <c r="BT593" i="1"/>
  <c r="BU593" i="1"/>
  <c r="BV593" i="1"/>
  <c r="BW593" i="1"/>
  <c r="BX593" i="1"/>
  <c r="BY593" i="1"/>
  <c r="BZ593" i="1"/>
  <c r="CA593" i="1"/>
  <c r="CB593" i="1"/>
  <c r="CC593" i="1"/>
  <c r="CD593" i="1"/>
  <c r="CE593" i="1"/>
  <c r="CF593" i="1"/>
  <c r="CG593" i="1"/>
  <c r="CH593" i="1"/>
  <c r="CI593" i="1"/>
  <c r="CJ593" i="1"/>
  <c r="CK593" i="1"/>
  <c r="CL593" i="1"/>
  <c r="CM593" i="1"/>
  <c r="CN593" i="1"/>
  <c r="CO593" i="1"/>
  <c r="CP593" i="1"/>
  <c r="CQ593" i="1"/>
  <c r="CR593" i="1"/>
  <c r="BO594" i="1"/>
  <c r="BP594" i="1"/>
  <c r="BQ594" i="1"/>
  <c r="BR594" i="1"/>
  <c r="BS594" i="1"/>
  <c r="BT594" i="1"/>
  <c r="BU594" i="1"/>
  <c r="BV594" i="1"/>
  <c r="BW594" i="1"/>
  <c r="BX594" i="1"/>
  <c r="BY594" i="1"/>
  <c r="BZ594" i="1"/>
  <c r="CA594" i="1"/>
  <c r="CB594" i="1"/>
  <c r="CC594" i="1"/>
  <c r="CD594" i="1"/>
  <c r="CE594" i="1"/>
  <c r="CF594" i="1"/>
  <c r="CG594" i="1"/>
  <c r="CH594" i="1"/>
  <c r="CI594" i="1"/>
  <c r="CJ594" i="1"/>
  <c r="CK594" i="1"/>
  <c r="CL594" i="1"/>
  <c r="CM594" i="1"/>
  <c r="CN594" i="1"/>
  <c r="CO594" i="1"/>
  <c r="CP594" i="1"/>
  <c r="CQ594" i="1"/>
  <c r="CR594" i="1"/>
  <c r="BO595" i="1"/>
  <c r="BP595" i="1"/>
  <c r="BQ595" i="1"/>
  <c r="BR595" i="1"/>
  <c r="BS595" i="1"/>
  <c r="BT595" i="1"/>
  <c r="BU595" i="1"/>
  <c r="BV595" i="1"/>
  <c r="BW595" i="1"/>
  <c r="BX595" i="1"/>
  <c r="BY595" i="1"/>
  <c r="BZ595" i="1"/>
  <c r="CA595" i="1"/>
  <c r="CB595" i="1"/>
  <c r="CC595" i="1"/>
  <c r="CD595" i="1"/>
  <c r="CE595" i="1"/>
  <c r="CF595" i="1"/>
  <c r="CG595" i="1"/>
  <c r="CH595" i="1"/>
  <c r="CI595" i="1"/>
  <c r="CJ595" i="1"/>
  <c r="CK595" i="1"/>
  <c r="CL595" i="1"/>
  <c r="CM595" i="1"/>
  <c r="CN595" i="1"/>
  <c r="CO595" i="1"/>
  <c r="CP595" i="1"/>
  <c r="CQ595" i="1"/>
  <c r="CR595" i="1"/>
  <c r="BO596" i="1"/>
  <c r="BP596" i="1"/>
  <c r="BQ596" i="1"/>
  <c r="BR596" i="1"/>
  <c r="BS596" i="1"/>
  <c r="BT596" i="1"/>
  <c r="BU596" i="1"/>
  <c r="BV596" i="1"/>
  <c r="BW596" i="1"/>
  <c r="BX596" i="1"/>
  <c r="BY596" i="1"/>
  <c r="BZ596" i="1"/>
  <c r="CA596" i="1"/>
  <c r="CB596" i="1"/>
  <c r="CC596" i="1"/>
  <c r="CD596" i="1"/>
  <c r="CE596" i="1"/>
  <c r="CF596" i="1"/>
  <c r="CG596" i="1"/>
  <c r="CH596" i="1"/>
  <c r="CI596" i="1"/>
  <c r="CJ596" i="1"/>
  <c r="CK596" i="1"/>
  <c r="CL596" i="1"/>
  <c r="CM596" i="1"/>
  <c r="CN596" i="1"/>
  <c r="CO596" i="1"/>
  <c r="CP596" i="1"/>
  <c r="CQ596" i="1"/>
  <c r="CR596" i="1"/>
  <c r="BO597" i="1"/>
  <c r="BP597" i="1"/>
  <c r="BQ597" i="1"/>
  <c r="BR597" i="1"/>
  <c r="BS597" i="1"/>
  <c r="BT597" i="1"/>
  <c r="BU597" i="1"/>
  <c r="BV597" i="1"/>
  <c r="BW597" i="1"/>
  <c r="BX597" i="1"/>
  <c r="BY597" i="1"/>
  <c r="BZ597" i="1"/>
  <c r="CA597" i="1"/>
  <c r="CB597" i="1"/>
  <c r="CC597" i="1"/>
  <c r="CD597" i="1"/>
  <c r="CE597" i="1"/>
  <c r="CF597" i="1"/>
  <c r="CG597" i="1"/>
  <c r="CH597" i="1"/>
  <c r="CI597" i="1"/>
  <c r="CJ597" i="1"/>
  <c r="CK597" i="1"/>
  <c r="CL597" i="1"/>
  <c r="CM597" i="1"/>
  <c r="CN597" i="1"/>
  <c r="CO597" i="1"/>
  <c r="CP597" i="1"/>
  <c r="CQ597" i="1"/>
  <c r="CR597" i="1"/>
  <c r="BO598" i="1"/>
  <c r="BP598" i="1"/>
  <c r="BQ598" i="1"/>
  <c r="BR598" i="1"/>
  <c r="BS598" i="1"/>
  <c r="BT598" i="1"/>
  <c r="BU598" i="1"/>
  <c r="BV598" i="1"/>
  <c r="BW598" i="1"/>
  <c r="BX598" i="1"/>
  <c r="BY598" i="1"/>
  <c r="BZ598" i="1"/>
  <c r="CA598" i="1"/>
  <c r="CB598" i="1"/>
  <c r="CC598" i="1"/>
  <c r="CD598" i="1"/>
  <c r="CE598" i="1"/>
  <c r="CF598" i="1"/>
  <c r="CG598" i="1"/>
  <c r="CH598" i="1"/>
  <c r="CI598" i="1"/>
  <c r="CJ598" i="1"/>
  <c r="CK598" i="1"/>
  <c r="CL598" i="1"/>
  <c r="CM598" i="1"/>
  <c r="CN598" i="1"/>
  <c r="CO598" i="1"/>
  <c r="CP598" i="1"/>
  <c r="CQ598" i="1"/>
  <c r="CR598" i="1"/>
  <c r="BO599" i="1"/>
  <c r="BP599" i="1"/>
  <c r="BQ599" i="1"/>
  <c r="BR599" i="1"/>
  <c r="BS599" i="1"/>
  <c r="BT599" i="1"/>
  <c r="BU599" i="1"/>
  <c r="BV599" i="1"/>
  <c r="BW599" i="1"/>
  <c r="BX599" i="1"/>
  <c r="BY599" i="1"/>
  <c r="BZ599" i="1"/>
  <c r="CA599" i="1"/>
  <c r="CB599" i="1"/>
  <c r="CC599" i="1"/>
  <c r="CD599" i="1"/>
  <c r="CE599" i="1"/>
  <c r="CF599" i="1"/>
  <c r="CG599" i="1"/>
  <c r="CH599" i="1"/>
  <c r="CI599" i="1"/>
  <c r="CJ599" i="1"/>
  <c r="CK599" i="1"/>
  <c r="CL599" i="1"/>
  <c r="CM599" i="1"/>
  <c r="CN599" i="1"/>
  <c r="CO599" i="1"/>
  <c r="CP599" i="1"/>
  <c r="CQ599" i="1"/>
  <c r="CR599" i="1"/>
  <c r="BO600" i="1"/>
  <c r="BP600" i="1"/>
  <c r="BQ600" i="1"/>
  <c r="BR600" i="1"/>
  <c r="BS600" i="1"/>
  <c r="BT600" i="1"/>
  <c r="BU600" i="1"/>
  <c r="BV600" i="1"/>
  <c r="BW600" i="1"/>
  <c r="BX600" i="1"/>
  <c r="BY600" i="1"/>
  <c r="BZ600" i="1"/>
  <c r="CA600" i="1"/>
  <c r="CB600" i="1"/>
  <c r="CC600" i="1"/>
  <c r="CD600" i="1"/>
  <c r="CE600" i="1"/>
  <c r="CF600" i="1"/>
  <c r="CG600" i="1"/>
  <c r="CH600" i="1"/>
  <c r="CI600" i="1"/>
  <c r="CJ600" i="1"/>
  <c r="CK600" i="1"/>
  <c r="CL600" i="1"/>
  <c r="CM600" i="1"/>
  <c r="CN600" i="1"/>
  <c r="CO600" i="1"/>
  <c r="CP600" i="1"/>
  <c r="CQ600" i="1"/>
  <c r="CR600" i="1"/>
  <c r="BO601" i="1"/>
  <c r="BP601" i="1"/>
  <c r="BQ601" i="1"/>
  <c r="BR601" i="1"/>
  <c r="BS601" i="1"/>
  <c r="BT601" i="1"/>
  <c r="BU601" i="1"/>
  <c r="BV601" i="1"/>
  <c r="BW601" i="1"/>
  <c r="BX601" i="1"/>
  <c r="BY601" i="1"/>
  <c r="BZ601" i="1"/>
  <c r="CA601" i="1"/>
  <c r="CB601" i="1"/>
  <c r="CC601" i="1"/>
  <c r="CD601" i="1"/>
  <c r="CE601" i="1"/>
  <c r="CF601" i="1"/>
  <c r="CG601" i="1"/>
  <c r="CH601" i="1"/>
  <c r="CI601" i="1"/>
  <c r="CJ601" i="1"/>
  <c r="CK601" i="1"/>
  <c r="CL601" i="1"/>
  <c r="CM601" i="1"/>
  <c r="CN601" i="1"/>
  <c r="CO601" i="1"/>
  <c r="CP601" i="1"/>
  <c r="CQ601" i="1"/>
  <c r="CR601" i="1"/>
  <c r="BO602" i="1"/>
  <c r="BP602" i="1"/>
  <c r="BQ602" i="1"/>
  <c r="BR602" i="1"/>
  <c r="BS602" i="1"/>
  <c r="BT602" i="1"/>
  <c r="BU602" i="1"/>
  <c r="BV602" i="1"/>
  <c r="BW602" i="1"/>
  <c r="BX602" i="1"/>
  <c r="BY602" i="1"/>
  <c r="BZ602" i="1"/>
  <c r="CA602" i="1"/>
  <c r="CB602" i="1"/>
  <c r="CC602" i="1"/>
  <c r="CD602" i="1"/>
  <c r="CE602" i="1"/>
  <c r="CF602" i="1"/>
  <c r="CG602" i="1"/>
  <c r="CH602" i="1"/>
  <c r="CI602" i="1"/>
  <c r="CJ602" i="1"/>
  <c r="CK602" i="1"/>
  <c r="CL602" i="1"/>
  <c r="CM602" i="1"/>
  <c r="CN602" i="1"/>
  <c r="CO602" i="1"/>
  <c r="CP602" i="1"/>
  <c r="CQ602" i="1"/>
  <c r="CR602" i="1"/>
  <c r="BO603" i="1"/>
  <c r="BP603" i="1"/>
  <c r="BQ603" i="1"/>
  <c r="BR603" i="1"/>
  <c r="BS603" i="1"/>
  <c r="BT603" i="1"/>
  <c r="BU603" i="1"/>
  <c r="BV603" i="1"/>
  <c r="BW603" i="1"/>
  <c r="BX603" i="1"/>
  <c r="BY603" i="1"/>
  <c r="BZ603" i="1"/>
  <c r="CA603" i="1"/>
  <c r="CB603" i="1"/>
  <c r="CC603" i="1"/>
  <c r="CD603" i="1"/>
  <c r="CE603" i="1"/>
  <c r="CF603" i="1"/>
  <c r="CG603" i="1"/>
  <c r="CH603" i="1"/>
  <c r="CI603" i="1"/>
  <c r="CJ603" i="1"/>
  <c r="CK603" i="1"/>
  <c r="CL603" i="1"/>
  <c r="CM603" i="1"/>
  <c r="CN603" i="1"/>
  <c r="CO603" i="1"/>
  <c r="CP603" i="1"/>
  <c r="CQ603" i="1"/>
  <c r="CR603" i="1"/>
  <c r="BO604" i="1"/>
  <c r="BP604" i="1"/>
  <c r="BQ604" i="1"/>
  <c r="BR604" i="1"/>
  <c r="BS604" i="1"/>
  <c r="BT604" i="1"/>
  <c r="BU604" i="1"/>
  <c r="BV604" i="1"/>
  <c r="BW604" i="1"/>
  <c r="BX604" i="1"/>
  <c r="BY604" i="1"/>
  <c r="BZ604" i="1"/>
  <c r="CA604" i="1"/>
  <c r="CB604" i="1"/>
  <c r="CC604" i="1"/>
  <c r="CD604" i="1"/>
  <c r="CE604" i="1"/>
  <c r="CF604" i="1"/>
  <c r="CG604" i="1"/>
  <c r="CH604" i="1"/>
  <c r="CI604" i="1"/>
  <c r="CJ604" i="1"/>
  <c r="CK604" i="1"/>
  <c r="CL604" i="1"/>
  <c r="CM604" i="1"/>
  <c r="CN604" i="1"/>
  <c r="CO604" i="1"/>
  <c r="CP604" i="1"/>
  <c r="CQ604" i="1"/>
  <c r="CR604" i="1"/>
  <c r="BO605" i="1"/>
  <c r="BP605" i="1"/>
  <c r="BQ605" i="1"/>
  <c r="BR605" i="1"/>
  <c r="BS605" i="1"/>
  <c r="BT605" i="1"/>
  <c r="BU605" i="1"/>
  <c r="BV605" i="1"/>
  <c r="BW605" i="1"/>
  <c r="BX605" i="1"/>
  <c r="BY605" i="1"/>
  <c r="BZ605" i="1"/>
  <c r="CA605" i="1"/>
  <c r="CB605" i="1"/>
  <c r="CC605" i="1"/>
  <c r="CD605" i="1"/>
  <c r="CE605" i="1"/>
  <c r="CF605" i="1"/>
  <c r="CG605" i="1"/>
  <c r="CH605" i="1"/>
  <c r="CI605" i="1"/>
  <c r="CJ605" i="1"/>
  <c r="CK605" i="1"/>
  <c r="CL605" i="1"/>
  <c r="CM605" i="1"/>
  <c r="CN605" i="1"/>
  <c r="CO605" i="1"/>
  <c r="CP605" i="1"/>
  <c r="CQ605" i="1"/>
  <c r="CR605" i="1"/>
  <c r="BO606" i="1"/>
  <c r="BP606" i="1"/>
  <c r="BQ606" i="1"/>
  <c r="BR606" i="1"/>
  <c r="BS606" i="1"/>
  <c r="BT606" i="1"/>
  <c r="BU606" i="1"/>
  <c r="BV606" i="1"/>
  <c r="BW606" i="1"/>
  <c r="BX606" i="1"/>
  <c r="BY606" i="1"/>
  <c r="BZ606" i="1"/>
  <c r="CA606" i="1"/>
  <c r="CB606" i="1"/>
  <c r="CC606" i="1"/>
  <c r="CD606" i="1"/>
  <c r="CE606" i="1"/>
  <c r="CF606" i="1"/>
  <c r="CG606" i="1"/>
  <c r="CH606" i="1"/>
  <c r="CI606" i="1"/>
  <c r="CJ606" i="1"/>
  <c r="CK606" i="1"/>
  <c r="CL606" i="1"/>
  <c r="CM606" i="1"/>
  <c r="CN606" i="1"/>
  <c r="CO606" i="1"/>
  <c r="CP606" i="1"/>
  <c r="CQ606" i="1"/>
  <c r="CR606" i="1"/>
  <c r="BO607" i="1"/>
  <c r="BP607" i="1"/>
  <c r="BQ607" i="1"/>
  <c r="BR607" i="1"/>
  <c r="BS607" i="1"/>
  <c r="BT607" i="1"/>
  <c r="BU607" i="1"/>
  <c r="BV607" i="1"/>
  <c r="BW607" i="1"/>
  <c r="BX607" i="1"/>
  <c r="BY607" i="1"/>
  <c r="BZ607" i="1"/>
  <c r="CA607" i="1"/>
  <c r="CB607" i="1"/>
  <c r="CC607" i="1"/>
  <c r="CD607" i="1"/>
  <c r="CE607" i="1"/>
  <c r="CF607" i="1"/>
  <c r="CG607" i="1"/>
  <c r="CH607" i="1"/>
  <c r="CI607" i="1"/>
  <c r="CJ607" i="1"/>
  <c r="CK607" i="1"/>
  <c r="CL607" i="1"/>
  <c r="CM607" i="1"/>
  <c r="CN607" i="1"/>
  <c r="CO607" i="1"/>
  <c r="CP607" i="1"/>
  <c r="CQ607" i="1"/>
  <c r="CR607" i="1"/>
  <c r="BO608" i="1"/>
  <c r="BP608" i="1"/>
  <c r="BQ608" i="1"/>
  <c r="BR608" i="1"/>
  <c r="BS608" i="1"/>
  <c r="BT608" i="1"/>
  <c r="BU608" i="1"/>
  <c r="BV608" i="1"/>
  <c r="BW608" i="1"/>
  <c r="BX608" i="1"/>
  <c r="BY608" i="1"/>
  <c r="BZ608" i="1"/>
  <c r="CA608" i="1"/>
  <c r="CB608" i="1"/>
  <c r="CC608" i="1"/>
  <c r="CD608" i="1"/>
  <c r="CE608" i="1"/>
  <c r="CF608" i="1"/>
  <c r="CG608" i="1"/>
  <c r="CH608" i="1"/>
  <c r="CI608" i="1"/>
  <c r="CJ608" i="1"/>
  <c r="CK608" i="1"/>
  <c r="CL608" i="1"/>
  <c r="CM608" i="1"/>
  <c r="CN608" i="1"/>
  <c r="CO608" i="1"/>
  <c r="CP608" i="1"/>
  <c r="CQ608" i="1"/>
  <c r="CR608" i="1"/>
  <c r="BO609" i="1"/>
  <c r="BP609" i="1"/>
  <c r="BQ609" i="1"/>
  <c r="BR609" i="1"/>
  <c r="BS609" i="1"/>
  <c r="BT609" i="1"/>
  <c r="BU609" i="1"/>
  <c r="BV609" i="1"/>
  <c r="BW609" i="1"/>
  <c r="BX609" i="1"/>
  <c r="BY609" i="1"/>
  <c r="BZ609" i="1"/>
  <c r="CA609" i="1"/>
  <c r="CB609" i="1"/>
  <c r="CC609" i="1"/>
  <c r="CD609" i="1"/>
  <c r="CE609" i="1"/>
  <c r="CF609" i="1"/>
  <c r="CG609" i="1"/>
  <c r="CH609" i="1"/>
  <c r="CI609" i="1"/>
  <c r="CJ609" i="1"/>
  <c r="CK609" i="1"/>
  <c r="CL609" i="1"/>
  <c r="CM609" i="1"/>
  <c r="CN609" i="1"/>
  <c r="CO609" i="1"/>
  <c r="CP609" i="1"/>
  <c r="CQ609" i="1"/>
  <c r="CR609" i="1"/>
  <c r="BO610" i="1"/>
  <c r="BP610" i="1"/>
  <c r="BQ610" i="1"/>
  <c r="BR610" i="1"/>
  <c r="BS610" i="1"/>
  <c r="BT610" i="1"/>
  <c r="BU610" i="1"/>
  <c r="BV610" i="1"/>
  <c r="BW610" i="1"/>
  <c r="BX610" i="1"/>
  <c r="BY610" i="1"/>
  <c r="BZ610" i="1"/>
  <c r="CA610" i="1"/>
  <c r="CB610" i="1"/>
  <c r="CC610" i="1"/>
  <c r="CD610" i="1"/>
  <c r="CE610" i="1"/>
  <c r="CF610" i="1"/>
  <c r="CG610" i="1"/>
  <c r="CH610" i="1"/>
  <c r="CI610" i="1"/>
  <c r="CJ610" i="1"/>
  <c r="CK610" i="1"/>
  <c r="CL610" i="1"/>
  <c r="CM610" i="1"/>
  <c r="CN610" i="1"/>
  <c r="CO610" i="1"/>
  <c r="CP610" i="1"/>
  <c r="CQ610" i="1"/>
  <c r="CR610" i="1"/>
  <c r="BO611" i="1"/>
  <c r="BP611" i="1"/>
  <c r="BQ611" i="1"/>
  <c r="BR611" i="1"/>
  <c r="BS611" i="1"/>
  <c r="BT611" i="1"/>
  <c r="BU611" i="1"/>
  <c r="BV611" i="1"/>
  <c r="BW611" i="1"/>
  <c r="BX611" i="1"/>
  <c r="BY611" i="1"/>
  <c r="BZ611" i="1"/>
  <c r="CA611" i="1"/>
  <c r="CB611" i="1"/>
  <c r="CC611" i="1"/>
  <c r="CD611" i="1"/>
  <c r="CE611" i="1"/>
  <c r="CF611" i="1"/>
  <c r="CG611" i="1"/>
  <c r="CH611" i="1"/>
  <c r="CI611" i="1"/>
  <c r="CJ611" i="1"/>
  <c r="CK611" i="1"/>
  <c r="CL611" i="1"/>
  <c r="CM611" i="1"/>
  <c r="CN611" i="1"/>
  <c r="CO611" i="1"/>
  <c r="CP611" i="1"/>
  <c r="CQ611" i="1"/>
  <c r="CR611" i="1"/>
  <c r="BO612" i="1"/>
  <c r="BP612" i="1"/>
  <c r="BQ612" i="1"/>
  <c r="BR612" i="1"/>
  <c r="BS612" i="1"/>
  <c r="BT612" i="1"/>
  <c r="BU612" i="1"/>
  <c r="BV612" i="1"/>
  <c r="BW612" i="1"/>
  <c r="BX612" i="1"/>
  <c r="BY612" i="1"/>
  <c r="BZ612" i="1"/>
  <c r="CA612" i="1"/>
  <c r="CB612" i="1"/>
  <c r="CC612" i="1"/>
  <c r="CD612" i="1"/>
  <c r="CE612" i="1"/>
  <c r="CF612" i="1"/>
  <c r="CG612" i="1"/>
  <c r="CH612" i="1"/>
  <c r="CI612" i="1"/>
  <c r="CJ612" i="1"/>
  <c r="CK612" i="1"/>
  <c r="CL612" i="1"/>
  <c r="CM612" i="1"/>
  <c r="CN612" i="1"/>
  <c r="CO612" i="1"/>
  <c r="CP612" i="1"/>
  <c r="CQ612" i="1"/>
  <c r="CR612" i="1"/>
  <c r="BO613" i="1"/>
  <c r="BP613" i="1"/>
  <c r="BQ613" i="1"/>
  <c r="BR613" i="1"/>
  <c r="BS613" i="1"/>
  <c r="BT613" i="1"/>
  <c r="BU613" i="1"/>
  <c r="BV613" i="1"/>
  <c r="BW613" i="1"/>
  <c r="BX613" i="1"/>
  <c r="BY613" i="1"/>
  <c r="BZ613" i="1"/>
  <c r="CA613" i="1"/>
  <c r="CB613" i="1"/>
  <c r="CC613" i="1"/>
  <c r="CD613" i="1"/>
  <c r="CE613" i="1"/>
  <c r="CF613" i="1"/>
  <c r="CG613" i="1"/>
  <c r="CH613" i="1"/>
  <c r="CI613" i="1"/>
  <c r="CJ613" i="1"/>
  <c r="CK613" i="1"/>
  <c r="CL613" i="1"/>
  <c r="CM613" i="1"/>
  <c r="CN613" i="1"/>
  <c r="CO613" i="1"/>
  <c r="CP613" i="1"/>
  <c r="CQ613" i="1"/>
  <c r="CR613" i="1"/>
  <c r="BO614" i="1"/>
  <c r="BP614" i="1"/>
  <c r="BQ614" i="1"/>
  <c r="BR614" i="1"/>
  <c r="BS614" i="1"/>
  <c r="BT614" i="1"/>
  <c r="BU614" i="1"/>
  <c r="BV614" i="1"/>
  <c r="BW614" i="1"/>
  <c r="BX614" i="1"/>
  <c r="BY614" i="1"/>
  <c r="BZ614" i="1"/>
  <c r="CA614" i="1"/>
  <c r="CB614" i="1"/>
  <c r="CC614" i="1"/>
  <c r="CD614" i="1"/>
  <c r="CE614" i="1"/>
  <c r="CF614" i="1"/>
  <c r="CG614" i="1"/>
  <c r="CH614" i="1"/>
  <c r="CI614" i="1"/>
  <c r="CJ614" i="1"/>
  <c r="CK614" i="1"/>
  <c r="CL614" i="1"/>
  <c r="CM614" i="1"/>
  <c r="CN614" i="1"/>
  <c r="CO614" i="1"/>
  <c r="CP614" i="1"/>
  <c r="CQ614" i="1"/>
  <c r="CR614" i="1"/>
  <c r="BO615" i="1"/>
  <c r="BP615" i="1"/>
  <c r="BQ615" i="1"/>
  <c r="BR615" i="1"/>
  <c r="BS615" i="1"/>
  <c r="BT615" i="1"/>
  <c r="BU615" i="1"/>
  <c r="BV615" i="1"/>
  <c r="BW615" i="1"/>
  <c r="BX615" i="1"/>
  <c r="BY615" i="1"/>
  <c r="BZ615" i="1"/>
  <c r="CA615" i="1"/>
  <c r="CB615" i="1"/>
  <c r="CC615" i="1"/>
  <c r="CD615" i="1"/>
  <c r="CE615" i="1"/>
  <c r="CF615" i="1"/>
  <c r="CG615" i="1"/>
  <c r="CH615" i="1"/>
  <c r="CI615" i="1"/>
  <c r="CJ615" i="1"/>
  <c r="CK615" i="1"/>
  <c r="CL615" i="1"/>
  <c r="CM615" i="1"/>
  <c r="CN615" i="1"/>
  <c r="CO615" i="1"/>
  <c r="CP615" i="1"/>
  <c r="CQ615" i="1"/>
  <c r="CR615" i="1"/>
  <c r="BO616" i="1"/>
  <c r="BP616" i="1"/>
  <c r="BQ616" i="1"/>
  <c r="BR616" i="1"/>
  <c r="BS616" i="1"/>
  <c r="BT616" i="1"/>
  <c r="BU616" i="1"/>
  <c r="BV616" i="1"/>
  <c r="BW616" i="1"/>
  <c r="BX616" i="1"/>
  <c r="BY616" i="1"/>
  <c r="BZ616" i="1"/>
  <c r="CA616" i="1"/>
  <c r="CB616" i="1"/>
  <c r="CC616" i="1"/>
  <c r="CD616" i="1"/>
  <c r="CE616" i="1"/>
  <c r="CF616" i="1"/>
  <c r="CG616" i="1"/>
  <c r="CH616" i="1"/>
  <c r="CI616" i="1"/>
  <c r="CJ616" i="1"/>
  <c r="CK616" i="1"/>
  <c r="CL616" i="1"/>
  <c r="CM616" i="1"/>
  <c r="CN616" i="1"/>
  <c r="CO616" i="1"/>
  <c r="CP616" i="1"/>
  <c r="CQ616" i="1"/>
  <c r="CR616" i="1"/>
  <c r="BO617" i="1"/>
  <c r="BP617" i="1"/>
  <c r="BQ617" i="1"/>
  <c r="BR617" i="1"/>
  <c r="BS617" i="1"/>
  <c r="BT617" i="1"/>
  <c r="BU617" i="1"/>
  <c r="BV617" i="1"/>
  <c r="BW617" i="1"/>
  <c r="BX617" i="1"/>
  <c r="BY617" i="1"/>
  <c r="BZ617" i="1"/>
  <c r="CA617" i="1"/>
  <c r="CB617" i="1"/>
  <c r="CC617" i="1"/>
  <c r="CD617" i="1"/>
  <c r="CE617" i="1"/>
  <c r="CF617" i="1"/>
  <c r="CG617" i="1"/>
  <c r="CH617" i="1"/>
  <c r="CI617" i="1"/>
  <c r="CJ617" i="1"/>
  <c r="CK617" i="1"/>
  <c r="CL617" i="1"/>
  <c r="CM617" i="1"/>
  <c r="CN617" i="1"/>
  <c r="CO617" i="1"/>
  <c r="CP617" i="1"/>
  <c r="CQ617" i="1"/>
  <c r="CR617" i="1"/>
  <c r="BO618" i="1"/>
  <c r="BP618" i="1"/>
  <c r="BQ618" i="1"/>
  <c r="BR618" i="1"/>
  <c r="BS618" i="1"/>
  <c r="BT618" i="1"/>
  <c r="BU618" i="1"/>
  <c r="BV618" i="1"/>
  <c r="BW618" i="1"/>
  <c r="BX618" i="1"/>
  <c r="BY618" i="1"/>
  <c r="BZ618" i="1"/>
  <c r="CA618" i="1"/>
  <c r="CB618" i="1"/>
  <c r="CC618" i="1"/>
  <c r="CD618" i="1"/>
  <c r="CE618" i="1"/>
  <c r="CF618" i="1"/>
  <c r="CG618" i="1"/>
  <c r="CH618" i="1"/>
  <c r="CI618" i="1"/>
  <c r="CJ618" i="1"/>
  <c r="CK618" i="1"/>
  <c r="CL618" i="1"/>
  <c r="CM618" i="1"/>
  <c r="CN618" i="1"/>
  <c r="CO618" i="1"/>
  <c r="CP618" i="1"/>
  <c r="CQ618" i="1"/>
  <c r="CR618" i="1"/>
  <c r="BO619" i="1"/>
  <c r="BP619" i="1"/>
  <c r="BQ619" i="1"/>
  <c r="BR619" i="1"/>
  <c r="BS619" i="1"/>
  <c r="BT619" i="1"/>
  <c r="BU619" i="1"/>
  <c r="BV619" i="1"/>
  <c r="BW619" i="1"/>
  <c r="BX619" i="1"/>
  <c r="BY619" i="1"/>
  <c r="BZ619" i="1"/>
  <c r="CA619" i="1"/>
  <c r="CB619" i="1"/>
  <c r="CC619" i="1"/>
  <c r="CD619" i="1"/>
  <c r="CE619" i="1"/>
  <c r="CF619" i="1"/>
  <c r="CG619" i="1"/>
  <c r="CH619" i="1"/>
  <c r="CI619" i="1"/>
  <c r="CJ619" i="1"/>
  <c r="CK619" i="1"/>
  <c r="CL619" i="1"/>
  <c r="CM619" i="1"/>
  <c r="CN619" i="1"/>
  <c r="CO619" i="1"/>
  <c r="CP619" i="1"/>
  <c r="CQ619" i="1"/>
  <c r="CR619" i="1"/>
  <c r="BO620" i="1"/>
  <c r="BP620" i="1"/>
  <c r="BQ620" i="1"/>
  <c r="BR620" i="1"/>
  <c r="BS620" i="1"/>
  <c r="BT620" i="1"/>
  <c r="BU620" i="1"/>
  <c r="BV620" i="1"/>
  <c r="BW620" i="1"/>
  <c r="BX620" i="1"/>
  <c r="BY620" i="1"/>
  <c r="BZ620" i="1"/>
  <c r="CA620" i="1"/>
  <c r="CB620" i="1"/>
  <c r="CC620" i="1"/>
  <c r="CD620" i="1"/>
  <c r="CE620" i="1"/>
  <c r="CF620" i="1"/>
  <c r="CG620" i="1"/>
  <c r="CH620" i="1"/>
  <c r="CI620" i="1"/>
  <c r="CJ620" i="1"/>
  <c r="CK620" i="1"/>
  <c r="CL620" i="1"/>
  <c r="CM620" i="1"/>
  <c r="CN620" i="1"/>
  <c r="CO620" i="1"/>
  <c r="CP620" i="1"/>
  <c r="CQ620" i="1"/>
  <c r="CR620" i="1"/>
  <c r="BO621" i="1"/>
  <c r="BP621" i="1"/>
  <c r="BQ621" i="1"/>
  <c r="BR621" i="1"/>
  <c r="BS621" i="1"/>
  <c r="BT621" i="1"/>
  <c r="BU621" i="1"/>
  <c r="BV621" i="1"/>
  <c r="BW621" i="1"/>
  <c r="BX621" i="1"/>
  <c r="BY621" i="1"/>
  <c r="BZ621" i="1"/>
  <c r="CA621" i="1"/>
  <c r="CB621" i="1"/>
  <c r="CC621" i="1"/>
  <c r="CD621" i="1"/>
  <c r="CE621" i="1"/>
  <c r="CF621" i="1"/>
  <c r="CG621" i="1"/>
  <c r="CH621" i="1"/>
  <c r="CI621" i="1"/>
  <c r="CJ621" i="1"/>
  <c r="CK621" i="1"/>
  <c r="CL621" i="1"/>
  <c r="CM621" i="1"/>
  <c r="CN621" i="1"/>
  <c r="CO621" i="1"/>
  <c r="CP621" i="1"/>
  <c r="CQ621" i="1"/>
  <c r="CR621" i="1"/>
  <c r="BO622" i="1"/>
  <c r="BP622" i="1"/>
  <c r="BQ622" i="1"/>
  <c r="BR622" i="1"/>
  <c r="BS622" i="1"/>
  <c r="BT622" i="1"/>
  <c r="BU622" i="1"/>
  <c r="BV622" i="1"/>
  <c r="BW622" i="1"/>
  <c r="BX622" i="1"/>
  <c r="BY622" i="1"/>
  <c r="BZ622" i="1"/>
  <c r="CA622" i="1"/>
  <c r="CB622" i="1"/>
  <c r="CC622" i="1"/>
  <c r="CD622" i="1"/>
  <c r="CE622" i="1"/>
  <c r="CF622" i="1"/>
  <c r="CG622" i="1"/>
  <c r="CH622" i="1"/>
  <c r="CI622" i="1"/>
  <c r="CJ622" i="1"/>
  <c r="CK622" i="1"/>
  <c r="CL622" i="1"/>
  <c r="CM622" i="1"/>
  <c r="CN622" i="1"/>
  <c r="CO622" i="1"/>
  <c r="CP622" i="1"/>
  <c r="CQ622" i="1"/>
  <c r="CR622" i="1"/>
  <c r="BO623" i="1"/>
  <c r="BP623" i="1"/>
  <c r="BQ623" i="1"/>
  <c r="BR623" i="1"/>
  <c r="BS623" i="1"/>
  <c r="BT623" i="1"/>
  <c r="BU623" i="1"/>
  <c r="BV623" i="1"/>
  <c r="BW623" i="1"/>
  <c r="BX623" i="1"/>
  <c r="BY623" i="1"/>
  <c r="BZ623" i="1"/>
  <c r="CA623" i="1"/>
  <c r="CB623" i="1"/>
  <c r="CC623" i="1"/>
  <c r="CD623" i="1"/>
  <c r="CE623" i="1"/>
  <c r="CF623" i="1"/>
  <c r="CG623" i="1"/>
  <c r="CH623" i="1"/>
  <c r="CI623" i="1"/>
  <c r="CJ623" i="1"/>
  <c r="CK623" i="1"/>
  <c r="CL623" i="1"/>
  <c r="CM623" i="1"/>
  <c r="CN623" i="1"/>
  <c r="CO623" i="1"/>
  <c r="CP623" i="1"/>
  <c r="CQ623" i="1"/>
  <c r="CR623" i="1"/>
  <c r="BO624" i="1"/>
  <c r="BP624" i="1"/>
  <c r="BQ624" i="1"/>
  <c r="BR624" i="1"/>
  <c r="BS624" i="1"/>
  <c r="BT624" i="1"/>
  <c r="BU624" i="1"/>
  <c r="BV624" i="1"/>
  <c r="BW624" i="1"/>
  <c r="BX624" i="1"/>
  <c r="BY624" i="1"/>
  <c r="BZ624" i="1"/>
  <c r="CA624" i="1"/>
  <c r="CB624" i="1"/>
  <c r="CC624" i="1"/>
  <c r="CD624" i="1"/>
  <c r="CE624" i="1"/>
  <c r="CF624" i="1"/>
  <c r="CG624" i="1"/>
  <c r="CH624" i="1"/>
  <c r="CI624" i="1"/>
  <c r="CJ624" i="1"/>
  <c r="CK624" i="1"/>
  <c r="CL624" i="1"/>
  <c r="CM624" i="1"/>
  <c r="CN624" i="1"/>
  <c r="CO624" i="1"/>
  <c r="CP624" i="1"/>
  <c r="CQ624" i="1"/>
  <c r="CR624" i="1"/>
  <c r="BO625" i="1"/>
  <c r="BP625" i="1"/>
  <c r="BQ625" i="1"/>
  <c r="BR625" i="1"/>
  <c r="BS625" i="1"/>
  <c r="BT625" i="1"/>
  <c r="BU625" i="1"/>
  <c r="BV625" i="1"/>
  <c r="BW625" i="1"/>
  <c r="BX625" i="1"/>
  <c r="BY625" i="1"/>
  <c r="BZ625" i="1"/>
  <c r="CA625" i="1"/>
  <c r="CB625" i="1"/>
  <c r="CC625" i="1"/>
  <c r="CD625" i="1"/>
  <c r="CE625" i="1"/>
  <c r="CF625" i="1"/>
  <c r="CG625" i="1"/>
  <c r="CH625" i="1"/>
  <c r="CI625" i="1"/>
  <c r="CJ625" i="1"/>
  <c r="CK625" i="1"/>
  <c r="CL625" i="1"/>
  <c r="CM625" i="1"/>
  <c r="CN625" i="1"/>
  <c r="CO625" i="1"/>
  <c r="CP625" i="1"/>
  <c r="CQ625" i="1"/>
  <c r="CR625" i="1"/>
  <c r="BO626" i="1"/>
  <c r="BP626" i="1"/>
  <c r="BQ626" i="1"/>
  <c r="BR626" i="1"/>
  <c r="BS626" i="1"/>
  <c r="BT626" i="1"/>
  <c r="BU626" i="1"/>
  <c r="BV626" i="1"/>
  <c r="BW626" i="1"/>
  <c r="BX626" i="1"/>
  <c r="BY626" i="1"/>
  <c r="BZ626" i="1"/>
  <c r="CA626" i="1"/>
  <c r="CB626" i="1"/>
  <c r="CC626" i="1"/>
  <c r="CD626" i="1"/>
  <c r="CE626" i="1"/>
  <c r="CF626" i="1"/>
  <c r="CG626" i="1"/>
  <c r="CH626" i="1"/>
  <c r="CI626" i="1"/>
  <c r="CJ626" i="1"/>
  <c r="CK626" i="1"/>
  <c r="CL626" i="1"/>
  <c r="CM626" i="1"/>
  <c r="CN626" i="1"/>
  <c r="CO626" i="1"/>
  <c r="CP626" i="1"/>
  <c r="CQ626" i="1"/>
  <c r="CR626" i="1"/>
  <c r="BO627" i="1"/>
  <c r="BP627" i="1"/>
  <c r="BQ627" i="1"/>
  <c r="BR627" i="1"/>
  <c r="BS627" i="1"/>
  <c r="BT627" i="1"/>
  <c r="BU627" i="1"/>
  <c r="BV627" i="1"/>
  <c r="BW627" i="1"/>
  <c r="BX627" i="1"/>
  <c r="BY627" i="1"/>
  <c r="BZ627" i="1"/>
  <c r="CA627" i="1"/>
  <c r="CB627" i="1"/>
  <c r="CC627" i="1"/>
  <c r="CD627" i="1"/>
  <c r="CE627" i="1"/>
  <c r="CF627" i="1"/>
  <c r="CG627" i="1"/>
  <c r="CH627" i="1"/>
  <c r="CI627" i="1"/>
  <c r="CJ627" i="1"/>
  <c r="CK627" i="1"/>
  <c r="CL627" i="1"/>
  <c r="CM627" i="1"/>
  <c r="CN627" i="1"/>
  <c r="CO627" i="1"/>
  <c r="CP627" i="1"/>
  <c r="CQ627" i="1"/>
  <c r="CR627" i="1"/>
  <c r="BO628" i="1"/>
  <c r="BP628" i="1"/>
  <c r="BQ628" i="1"/>
  <c r="BR628" i="1"/>
  <c r="BS628" i="1"/>
  <c r="BT628" i="1"/>
  <c r="BU628" i="1"/>
  <c r="BV628" i="1"/>
  <c r="BW628" i="1"/>
  <c r="BX628" i="1"/>
  <c r="BY628" i="1"/>
  <c r="BZ628" i="1"/>
  <c r="CA628" i="1"/>
  <c r="CB628" i="1"/>
  <c r="CC628" i="1"/>
  <c r="CD628" i="1"/>
  <c r="CE628" i="1"/>
  <c r="CF628" i="1"/>
  <c r="CG628" i="1"/>
  <c r="CH628" i="1"/>
  <c r="CI628" i="1"/>
  <c r="CJ628" i="1"/>
  <c r="CK628" i="1"/>
  <c r="CL628" i="1"/>
  <c r="CM628" i="1"/>
  <c r="CN628" i="1"/>
  <c r="CO628" i="1"/>
  <c r="CP628" i="1"/>
  <c r="CQ628" i="1"/>
  <c r="CR628" i="1"/>
  <c r="BO629" i="1"/>
  <c r="BP629" i="1"/>
  <c r="BQ629" i="1"/>
  <c r="BR629" i="1"/>
  <c r="BS629" i="1"/>
  <c r="BT629" i="1"/>
  <c r="BU629" i="1"/>
  <c r="BV629" i="1"/>
  <c r="BW629" i="1"/>
  <c r="BX629" i="1"/>
  <c r="BY629" i="1"/>
  <c r="BZ629" i="1"/>
  <c r="CA629" i="1"/>
  <c r="CB629" i="1"/>
  <c r="CC629" i="1"/>
  <c r="CD629" i="1"/>
  <c r="CE629" i="1"/>
  <c r="CF629" i="1"/>
  <c r="CG629" i="1"/>
  <c r="CH629" i="1"/>
  <c r="CI629" i="1"/>
  <c r="CJ629" i="1"/>
  <c r="CK629" i="1"/>
  <c r="CL629" i="1"/>
  <c r="CM629" i="1"/>
  <c r="CN629" i="1"/>
  <c r="CO629" i="1"/>
  <c r="CP629" i="1"/>
  <c r="CQ629" i="1"/>
  <c r="CR629" i="1"/>
  <c r="BO630" i="1"/>
  <c r="BP630" i="1"/>
  <c r="BQ630" i="1"/>
  <c r="BR630" i="1"/>
  <c r="BS630" i="1"/>
  <c r="BT630" i="1"/>
  <c r="BU630" i="1"/>
  <c r="BV630" i="1"/>
  <c r="BW630" i="1"/>
  <c r="BX630" i="1"/>
  <c r="BY630" i="1"/>
  <c r="BZ630" i="1"/>
  <c r="CA630" i="1"/>
  <c r="CB630" i="1"/>
  <c r="CC630" i="1"/>
  <c r="CD630" i="1"/>
  <c r="CE630" i="1"/>
  <c r="CF630" i="1"/>
  <c r="CG630" i="1"/>
  <c r="CH630" i="1"/>
  <c r="CI630" i="1"/>
  <c r="CJ630" i="1"/>
  <c r="CK630" i="1"/>
  <c r="CL630" i="1"/>
  <c r="CM630" i="1"/>
  <c r="CN630" i="1"/>
  <c r="CO630" i="1"/>
  <c r="CP630" i="1"/>
  <c r="CQ630" i="1"/>
  <c r="CR630" i="1"/>
  <c r="BO631" i="1"/>
  <c r="BP631" i="1"/>
  <c r="BQ631" i="1"/>
  <c r="BR631" i="1"/>
  <c r="BS631" i="1"/>
  <c r="BT631" i="1"/>
  <c r="BU631" i="1"/>
  <c r="BV631" i="1"/>
  <c r="BW631" i="1"/>
  <c r="BX631" i="1"/>
  <c r="BY631" i="1"/>
  <c r="BZ631" i="1"/>
  <c r="CA631" i="1"/>
  <c r="CB631" i="1"/>
  <c r="CC631" i="1"/>
  <c r="CD631" i="1"/>
  <c r="CE631" i="1"/>
  <c r="CF631" i="1"/>
  <c r="CG631" i="1"/>
  <c r="CH631" i="1"/>
  <c r="CI631" i="1"/>
  <c r="CJ631" i="1"/>
  <c r="CK631" i="1"/>
  <c r="CL631" i="1"/>
  <c r="CM631" i="1"/>
  <c r="CN631" i="1"/>
  <c r="CO631" i="1"/>
  <c r="CP631" i="1"/>
  <c r="CQ631" i="1"/>
  <c r="CR631" i="1"/>
  <c r="BO632" i="1"/>
  <c r="BP632" i="1"/>
  <c r="BQ632" i="1"/>
  <c r="BR632" i="1"/>
  <c r="BS632" i="1"/>
  <c r="BT632" i="1"/>
  <c r="BU632" i="1"/>
  <c r="BV632" i="1"/>
  <c r="BW632" i="1"/>
  <c r="BX632" i="1"/>
  <c r="BY632" i="1"/>
  <c r="BZ632" i="1"/>
  <c r="CA632" i="1"/>
  <c r="CB632" i="1"/>
  <c r="CC632" i="1"/>
  <c r="CD632" i="1"/>
  <c r="CE632" i="1"/>
  <c r="CF632" i="1"/>
  <c r="CG632" i="1"/>
  <c r="CH632" i="1"/>
  <c r="CI632" i="1"/>
  <c r="CJ632" i="1"/>
  <c r="CK632" i="1"/>
  <c r="CL632" i="1"/>
  <c r="CM632" i="1"/>
  <c r="CN632" i="1"/>
  <c r="CO632" i="1"/>
  <c r="CP632" i="1"/>
  <c r="CQ632" i="1"/>
  <c r="CR632" i="1"/>
  <c r="BO633" i="1"/>
  <c r="BP633" i="1"/>
  <c r="BQ633" i="1"/>
  <c r="BR633" i="1"/>
  <c r="BS633" i="1"/>
  <c r="BT633" i="1"/>
  <c r="BU633" i="1"/>
  <c r="BV633" i="1"/>
  <c r="BW633" i="1"/>
  <c r="BX633" i="1"/>
  <c r="BY633" i="1"/>
  <c r="BZ633" i="1"/>
  <c r="CA633" i="1"/>
  <c r="CB633" i="1"/>
  <c r="CC633" i="1"/>
  <c r="CD633" i="1"/>
  <c r="CE633" i="1"/>
  <c r="CF633" i="1"/>
  <c r="CG633" i="1"/>
  <c r="CH633" i="1"/>
  <c r="CI633" i="1"/>
  <c r="CJ633" i="1"/>
  <c r="CK633" i="1"/>
  <c r="CL633" i="1"/>
  <c r="CM633" i="1"/>
  <c r="CN633" i="1"/>
  <c r="CO633" i="1"/>
  <c r="CP633" i="1"/>
  <c r="CQ633" i="1"/>
  <c r="CR633" i="1"/>
  <c r="BO634" i="1"/>
  <c r="BP634" i="1"/>
  <c r="BQ634" i="1"/>
  <c r="BR634" i="1"/>
  <c r="BS634" i="1"/>
  <c r="BT634" i="1"/>
  <c r="BU634" i="1"/>
  <c r="BV634" i="1"/>
  <c r="BW634" i="1"/>
  <c r="BX634" i="1"/>
  <c r="BY634" i="1"/>
  <c r="BZ634" i="1"/>
  <c r="CA634" i="1"/>
  <c r="CB634" i="1"/>
  <c r="CC634" i="1"/>
  <c r="CD634" i="1"/>
  <c r="CE634" i="1"/>
  <c r="CF634" i="1"/>
  <c r="CG634" i="1"/>
  <c r="CH634" i="1"/>
  <c r="CI634" i="1"/>
  <c r="CJ634" i="1"/>
  <c r="CK634" i="1"/>
  <c r="CL634" i="1"/>
  <c r="CM634" i="1"/>
  <c r="CN634" i="1"/>
  <c r="CO634" i="1"/>
  <c r="CP634" i="1"/>
  <c r="CQ634" i="1"/>
  <c r="CR634" i="1"/>
  <c r="BO635" i="1"/>
  <c r="BP635" i="1"/>
  <c r="BQ635" i="1"/>
  <c r="BR635" i="1"/>
  <c r="BS635" i="1"/>
  <c r="BT635" i="1"/>
  <c r="BU635" i="1"/>
  <c r="BV635" i="1"/>
  <c r="BW635" i="1"/>
  <c r="BX635" i="1"/>
  <c r="BY635" i="1"/>
  <c r="BZ635" i="1"/>
  <c r="CA635" i="1"/>
  <c r="CB635" i="1"/>
  <c r="CC635" i="1"/>
  <c r="CD635" i="1"/>
  <c r="CE635" i="1"/>
  <c r="CF635" i="1"/>
  <c r="CG635" i="1"/>
  <c r="CH635" i="1"/>
  <c r="CI635" i="1"/>
  <c r="CJ635" i="1"/>
  <c r="CK635" i="1"/>
  <c r="CL635" i="1"/>
  <c r="CM635" i="1"/>
  <c r="CN635" i="1"/>
  <c r="CO635" i="1"/>
  <c r="CP635" i="1"/>
  <c r="CQ635" i="1"/>
  <c r="CR635" i="1"/>
  <c r="BO636" i="1"/>
  <c r="BP636" i="1"/>
  <c r="BQ636" i="1"/>
  <c r="BR636" i="1"/>
  <c r="BS636" i="1"/>
  <c r="BT636" i="1"/>
  <c r="BU636" i="1"/>
  <c r="BV636" i="1"/>
  <c r="BW636" i="1"/>
  <c r="BX636" i="1"/>
  <c r="BY636" i="1"/>
  <c r="BZ636" i="1"/>
  <c r="CA636" i="1"/>
  <c r="CB636" i="1"/>
  <c r="CC636" i="1"/>
  <c r="CD636" i="1"/>
  <c r="CE636" i="1"/>
  <c r="CF636" i="1"/>
  <c r="CG636" i="1"/>
  <c r="CH636" i="1"/>
  <c r="CI636" i="1"/>
  <c r="CJ636" i="1"/>
  <c r="CK636" i="1"/>
  <c r="CL636" i="1"/>
  <c r="CM636" i="1"/>
  <c r="CN636" i="1"/>
  <c r="CO636" i="1"/>
  <c r="CP636" i="1"/>
  <c r="CQ636" i="1"/>
  <c r="CR636" i="1"/>
  <c r="BO637" i="1"/>
  <c r="BP637" i="1"/>
  <c r="BQ637" i="1"/>
  <c r="BR637" i="1"/>
  <c r="BS637" i="1"/>
  <c r="BT637" i="1"/>
  <c r="BU637" i="1"/>
  <c r="BV637" i="1"/>
  <c r="BW637" i="1"/>
  <c r="BX637" i="1"/>
  <c r="BY637" i="1"/>
  <c r="BZ637" i="1"/>
  <c r="CA637" i="1"/>
  <c r="CB637" i="1"/>
  <c r="CC637" i="1"/>
  <c r="CD637" i="1"/>
  <c r="CE637" i="1"/>
  <c r="CF637" i="1"/>
  <c r="CG637" i="1"/>
  <c r="CH637" i="1"/>
  <c r="CI637" i="1"/>
  <c r="CJ637" i="1"/>
  <c r="CK637" i="1"/>
  <c r="CL637" i="1"/>
  <c r="CM637" i="1"/>
  <c r="CN637" i="1"/>
  <c r="CO637" i="1"/>
  <c r="CP637" i="1"/>
  <c r="CQ637" i="1"/>
  <c r="CR637" i="1"/>
  <c r="BO638" i="1"/>
  <c r="BP638" i="1"/>
  <c r="BQ638" i="1"/>
  <c r="BR638" i="1"/>
  <c r="BS638" i="1"/>
  <c r="BT638" i="1"/>
  <c r="BU638" i="1"/>
  <c r="BV638" i="1"/>
  <c r="BW638" i="1"/>
  <c r="BX638" i="1"/>
  <c r="BY638" i="1"/>
  <c r="BZ638" i="1"/>
  <c r="CA638" i="1"/>
  <c r="CB638" i="1"/>
  <c r="CC638" i="1"/>
  <c r="CD638" i="1"/>
  <c r="CE638" i="1"/>
  <c r="CF638" i="1"/>
  <c r="CG638" i="1"/>
  <c r="CH638" i="1"/>
  <c r="CI638" i="1"/>
  <c r="CJ638" i="1"/>
  <c r="CK638" i="1"/>
  <c r="CL638" i="1"/>
  <c r="CM638" i="1"/>
  <c r="CN638" i="1"/>
  <c r="CO638" i="1"/>
  <c r="CP638" i="1"/>
  <c r="CQ638" i="1"/>
  <c r="CR638" i="1"/>
  <c r="BO639" i="1"/>
  <c r="BP639" i="1"/>
  <c r="BQ639" i="1"/>
  <c r="BR639" i="1"/>
  <c r="BS639" i="1"/>
  <c r="BT639" i="1"/>
  <c r="BU639" i="1"/>
  <c r="BV639" i="1"/>
  <c r="BW639" i="1"/>
  <c r="BX639" i="1"/>
  <c r="BY639" i="1"/>
  <c r="BZ639" i="1"/>
  <c r="CA639" i="1"/>
  <c r="CB639" i="1"/>
  <c r="CC639" i="1"/>
  <c r="CD639" i="1"/>
  <c r="CE639" i="1"/>
  <c r="CF639" i="1"/>
  <c r="CG639" i="1"/>
  <c r="CH639" i="1"/>
  <c r="CI639" i="1"/>
  <c r="CJ639" i="1"/>
  <c r="CK639" i="1"/>
  <c r="CL639" i="1"/>
  <c r="CM639" i="1"/>
  <c r="CN639" i="1"/>
  <c r="CO639" i="1"/>
  <c r="CP639" i="1"/>
  <c r="CQ639" i="1"/>
  <c r="CR639" i="1"/>
  <c r="BO640" i="1"/>
  <c r="BP640" i="1"/>
  <c r="BQ640" i="1"/>
  <c r="BR640" i="1"/>
  <c r="BS640" i="1"/>
  <c r="BT640" i="1"/>
  <c r="BU640" i="1"/>
  <c r="BV640" i="1"/>
  <c r="BW640" i="1"/>
  <c r="BX640" i="1"/>
  <c r="BY640" i="1"/>
  <c r="BZ640" i="1"/>
  <c r="CA640" i="1"/>
  <c r="CB640" i="1"/>
  <c r="CC640" i="1"/>
  <c r="CD640" i="1"/>
  <c r="CE640" i="1"/>
  <c r="CF640" i="1"/>
  <c r="CG640" i="1"/>
  <c r="CH640" i="1"/>
  <c r="CI640" i="1"/>
  <c r="CJ640" i="1"/>
  <c r="CK640" i="1"/>
  <c r="CL640" i="1"/>
  <c r="CM640" i="1"/>
  <c r="CN640" i="1"/>
  <c r="CO640" i="1"/>
  <c r="CP640" i="1"/>
  <c r="CQ640" i="1"/>
  <c r="CR640" i="1"/>
  <c r="BO641" i="1"/>
  <c r="BP641" i="1"/>
  <c r="BQ641" i="1"/>
  <c r="BR641" i="1"/>
  <c r="BS641" i="1"/>
  <c r="BT641" i="1"/>
  <c r="BU641" i="1"/>
  <c r="BV641" i="1"/>
  <c r="BW641" i="1"/>
  <c r="BX641" i="1"/>
  <c r="BY641" i="1"/>
  <c r="BZ641" i="1"/>
  <c r="CA641" i="1"/>
  <c r="CB641" i="1"/>
  <c r="CC641" i="1"/>
  <c r="CD641" i="1"/>
  <c r="CE641" i="1"/>
  <c r="CF641" i="1"/>
  <c r="CG641" i="1"/>
  <c r="CH641" i="1"/>
  <c r="CI641" i="1"/>
  <c r="CJ641" i="1"/>
  <c r="CK641" i="1"/>
  <c r="CL641" i="1"/>
  <c r="CM641" i="1"/>
  <c r="CN641" i="1"/>
  <c r="CO641" i="1"/>
  <c r="CP641" i="1"/>
  <c r="CQ641" i="1"/>
  <c r="CR641" i="1"/>
  <c r="BO642" i="1"/>
  <c r="BP642" i="1"/>
  <c r="BQ642" i="1"/>
  <c r="BR642" i="1"/>
  <c r="BS642" i="1"/>
  <c r="BT642" i="1"/>
  <c r="BU642" i="1"/>
  <c r="BV642" i="1"/>
  <c r="BW642" i="1"/>
  <c r="BX642" i="1"/>
  <c r="BY642" i="1"/>
  <c r="BZ642" i="1"/>
  <c r="CA642" i="1"/>
  <c r="CB642" i="1"/>
  <c r="CC642" i="1"/>
  <c r="CD642" i="1"/>
  <c r="CE642" i="1"/>
  <c r="CF642" i="1"/>
  <c r="CG642" i="1"/>
  <c r="CH642" i="1"/>
  <c r="CI642" i="1"/>
  <c r="CJ642" i="1"/>
  <c r="CK642" i="1"/>
  <c r="CL642" i="1"/>
  <c r="CM642" i="1"/>
  <c r="CN642" i="1"/>
  <c r="CO642" i="1"/>
  <c r="CP642" i="1"/>
  <c r="CQ642" i="1"/>
  <c r="CR642" i="1"/>
  <c r="BO643" i="1"/>
  <c r="BP643" i="1"/>
  <c r="BQ643" i="1"/>
  <c r="BR643" i="1"/>
  <c r="BS643" i="1"/>
  <c r="BT643" i="1"/>
  <c r="BU643" i="1"/>
  <c r="BV643" i="1"/>
  <c r="BW643" i="1"/>
  <c r="BX643" i="1"/>
  <c r="BY643" i="1"/>
  <c r="BZ643" i="1"/>
  <c r="CA643" i="1"/>
  <c r="CB643" i="1"/>
  <c r="CC643" i="1"/>
  <c r="CD643" i="1"/>
  <c r="CE643" i="1"/>
  <c r="CF643" i="1"/>
  <c r="CG643" i="1"/>
  <c r="CH643" i="1"/>
  <c r="CI643" i="1"/>
  <c r="CJ643" i="1"/>
  <c r="CK643" i="1"/>
  <c r="CL643" i="1"/>
  <c r="CM643" i="1"/>
  <c r="CN643" i="1"/>
  <c r="CO643" i="1"/>
  <c r="CP643" i="1"/>
  <c r="CQ643" i="1"/>
  <c r="CR643" i="1"/>
  <c r="BO644" i="1"/>
  <c r="BP644" i="1"/>
  <c r="BQ644" i="1"/>
  <c r="BR644" i="1"/>
  <c r="BS644" i="1"/>
  <c r="BT644" i="1"/>
  <c r="BU644" i="1"/>
  <c r="BV644" i="1"/>
  <c r="BW644" i="1"/>
  <c r="BX644" i="1"/>
  <c r="BY644" i="1"/>
  <c r="BZ644" i="1"/>
  <c r="CA644" i="1"/>
  <c r="CB644" i="1"/>
  <c r="CC644" i="1"/>
  <c r="CD644" i="1"/>
  <c r="CE644" i="1"/>
  <c r="CF644" i="1"/>
  <c r="CG644" i="1"/>
  <c r="CH644" i="1"/>
  <c r="CI644" i="1"/>
  <c r="CJ644" i="1"/>
  <c r="CK644" i="1"/>
  <c r="CL644" i="1"/>
  <c r="CM644" i="1"/>
  <c r="CN644" i="1"/>
  <c r="CO644" i="1"/>
  <c r="CP644" i="1"/>
  <c r="CQ644" i="1"/>
  <c r="CR644" i="1"/>
  <c r="BO645" i="1"/>
  <c r="BP645" i="1"/>
  <c r="BQ645" i="1"/>
  <c r="BR645" i="1"/>
  <c r="BS645" i="1"/>
  <c r="BT645" i="1"/>
  <c r="BU645" i="1"/>
  <c r="BV645" i="1"/>
  <c r="BW645" i="1"/>
  <c r="BX645" i="1"/>
  <c r="BY645" i="1"/>
  <c r="BZ645" i="1"/>
  <c r="CA645" i="1"/>
  <c r="CB645" i="1"/>
  <c r="CC645" i="1"/>
  <c r="CD645" i="1"/>
  <c r="CE645" i="1"/>
  <c r="CF645" i="1"/>
  <c r="CG645" i="1"/>
  <c r="CH645" i="1"/>
  <c r="CI645" i="1"/>
  <c r="CJ645" i="1"/>
  <c r="CK645" i="1"/>
  <c r="CL645" i="1"/>
  <c r="CM645" i="1"/>
  <c r="CN645" i="1"/>
  <c r="CO645" i="1"/>
  <c r="CP645" i="1"/>
  <c r="CQ645" i="1"/>
  <c r="CR645" i="1"/>
  <c r="BO646" i="1"/>
  <c r="BP646" i="1"/>
  <c r="BQ646" i="1"/>
  <c r="BR646" i="1"/>
  <c r="BS646" i="1"/>
  <c r="BT646" i="1"/>
  <c r="BU646" i="1"/>
  <c r="BV646" i="1"/>
  <c r="BW646" i="1"/>
  <c r="BX646" i="1"/>
  <c r="BY646" i="1"/>
  <c r="BZ646" i="1"/>
  <c r="CA646" i="1"/>
  <c r="CB646" i="1"/>
  <c r="CC646" i="1"/>
  <c r="CD646" i="1"/>
  <c r="CE646" i="1"/>
  <c r="CF646" i="1"/>
  <c r="CG646" i="1"/>
  <c r="CH646" i="1"/>
  <c r="CI646" i="1"/>
  <c r="CJ646" i="1"/>
  <c r="CK646" i="1"/>
  <c r="CL646" i="1"/>
  <c r="CM646" i="1"/>
  <c r="CN646" i="1"/>
  <c r="CO646" i="1"/>
  <c r="CP646" i="1"/>
  <c r="CQ646" i="1"/>
  <c r="CR646" i="1"/>
  <c r="BO647" i="1"/>
  <c r="BP647" i="1"/>
  <c r="BQ647" i="1"/>
  <c r="BR647" i="1"/>
  <c r="BS647" i="1"/>
  <c r="BT647" i="1"/>
  <c r="BU647" i="1"/>
  <c r="BV647" i="1"/>
  <c r="BW647" i="1"/>
  <c r="BX647" i="1"/>
  <c r="BY647" i="1"/>
  <c r="BZ647" i="1"/>
  <c r="CA647" i="1"/>
  <c r="CB647" i="1"/>
  <c r="CC647" i="1"/>
  <c r="CD647" i="1"/>
  <c r="CE647" i="1"/>
  <c r="CF647" i="1"/>
  <c r="CG647" i="1"/>
  <c r="CH647" i="1"/>
  <c r="CI647" i="1"/>
  <c r="CJ647" i="1"/>
  <c r="CK647" i="1"/>
  <c r="CL647" i="1"/>
  <c r="CM647" i="1"/>
  <c r="CN647" i="1"/>
  <c r="CO647" i="1"/>
  <c r="CP647" i="1"/>
  <c r="CQ647" i="1"/>
  <c r="CR647" i="1"/>
  <c r="BO648" i="1"/>
  <c r="BP648" i="1"/>
  <c r="BQ648" i="1"/>
  <c r="BR648" i="1"/>
  <c r="BS648" i="1"/>
  <c r="BT648" i="1"/>
  <c r="BU648" i="1"/>
  <c r="BV648" i="1"/>
  <c r="BW648" i="1"/>
  <c r="BX648" i="1"/>
  <c r="BY648" i="1"/>
  <c r="BZ648" i="1"/>
  <c r="CA648" i="1"/>
  <c r="CB648" i="1"/>
  <c r="CC648" i="1"/>
  <c r="CD648" i="1"/>
  <c r="CE648" i="1"/>
  <c r="CF648" i="1"/>
  <c r="CG648" i="1"/>
  <c r="CH648" i="1"/>
  <c r="CI648" i="1"/>
  <c r="CJ648" i="1"/>
  <c r="CK648" i="1"/>
  <c r="CL648" i="1"/>
  <c r="CM648" i="1"/>
  <c r="CN648" i="1"/>
  <c r="CO648" i="1"/>
  <c r="CP648" i="1"/>
  <c r="CQ648" i="1"/>
  <c r="CR648" i="1"/>
  <c r="BO649" i="1"/>
  <c r="BP649" i="1"/>
  <c r="BQ649" i="1"/>
  <c r="BR649" i="1"/>
  <c r="BS649" i="1"/>
  <c r="BT649" i="1"/>
  <c r="BU649" i="1"/>
  <c r="BV649" i="1"/>
  <c r="BW649" i="1"/>
  <c r="BX649" i="1"/>
  <c r="BY649" i="1"/>
  <c r="BZ649" i="1"/>
  <c r="CA649" i="1"/>
  <c r="CB649" i="1"/>
  <c r="CC649" i="1"/>
  <c r="CD649" i="1"/>
  <c r="CE649" i="1"/>
  <c r="CF649" i="1"/>
  <c r="CG649" i="1"/>
  <c r="CH649" i="1"/>
  <c r="CI649" i="1"/>
  <c r="CJ649" i="1"/>
  <c r="CK649" i="1"/>
  <c r="CL649" i="1"/>
  <c r="CM649" i="1"/>
  <c r="CN649" i="1"/>
  <c r="CO649" i="1"/>
  <c r="CP649" i="1"/>
  <c r="CQ649" i="1"/>
  <c r="CR649" i="1"/>
  <c r="BO650" i="1"/>
  <c r="BP650" i="1"/>
  <c r="BQ650" i="1"/>
  <c r="BR650" i="1"/>
  <c r="BS650" i="1"/>
  <c r="BT650" i="1"/>
  <c r="BU650" i="1"/>
  <c r="BV650" i="1"/>
  <c r="BW650" i="1"/>
  <c r="BX650" i="1"/>
  <c r="BY650" i="1"/>
  <c r="BZ650" i="1"/>
  <c r="CA650" i="1"/>
  <c r="CB650" i="1"/>
  <c r="CC650" i="1"/>
  <c r="CD650" i="1"/>
  <c r="CE650" i="1"/>
  <c r="CF650" i="1"/>
  <c r="CG650" i="1"/>
  <c r="CH650" i="1"/>
  <c r="CI650" i="1"/>
  <c r="CJ650" i="1"/>
  <c r="CK650" i="1"/>
  <c r="CL650" i="1"/>
  <c r="CM650" i="1"/>
  <c r="CN650" i="1"/>
  <c r="CO650" i="1"/>
  <c r="CP650" i="1"/>
  <c r="CQ650" i="1"/>
  <c r="CR650" i="1"/>
  <c r="BO651" i="1"/>
  <c r="BP651" i="1"/>
  <c r="BQ651" i="1"/>
  <c r="BR651" i="1"/>
  <c r="BS651" i="1"/>
  <c r="BT651" i="1"/>
  <c r="BU651" i="1"/>
  <c r="BV651" i="1"/>
  <c r="BW651" i="1"/>
  <c r="BX651" i="1"/>
  <c r="BY651" i="1"/>
  <c r="BZ651" i="1"/>
  <c r="CA651" i="1"/>
  <c r="CB651" i="1"/>
  <c r="CC651" i="1"/>
  <c r="CD651" i="1"/>
  <c r="CE651" i="1"/>
  <c r="CF651" i="1"/>
  <c r="CG651" i="1"/>
  <c r="CH651" i="1"/>
  <c r="CI651" i="1"/>
  <c r="CJ651" i="1"/>
  <c r="CK651" i="1"/>
  <c r="CL651" i="1"/>
  <c r="CM651" i="1"/>
  <c r="CN651" i="1"/>
  <c r="CO651" i="1"/>
  <c r="CP651" i="1"/>
  <c r="CQ651" i="1"/>
  <c r="CR651" i="1"/>
  <c r="BO652" i="1"/>
  <c r="BP652" i="1"/>
  <c r="BQ652" i="1"/>
  <c r="BR652" i="1"/>
  <c r="BS652" i="1"/>
  <c r="BT652" i="1"/>
  <c r="BU652" i="1"/>
  <c r="BV652" i="1"/>
  <c r="BW652" i="1"/>
  <c r="BX652" i="1"/>
  <c r="BY652" i="1"/>
  <c r="BZ652" i="1"/>
  <c r="CA652" i="1"/>
  <c r="CB652" i="1"/>
  <c r="CC652" i="1"/>
  <c r="CD652" i="1"/>
  <c r="CE652" i="1"/>
  <c r="CF652" i="1"/>
  <c r="CG652" i="1"/>
  <c r="CH652" i="1"/>
  <c r="CI652" i="1"/>
  <c r="CJ652" i="1"/>
  <c r="CK652" i="1"/>
  <c r="CL652" i="1"/>
  <c r="CM652" i="1"/>
  <c r="CN652" i="1"/>
  <c r="CO652" i="1"/>
  <c r="CP652" i="1"/>
  <c r="CQ652" i="1"/>
  <c r="CR652" i="1"/>
  <c r="BO653" i="1"/>
  <c r="BP653" i="1"/>
  <c r="BQ653" i="1"/>
  <c r="BR653" i="1"/>
  <c r="BS653" i="1"/>
  <c r="BT653" i="1"/>
  <c r="BU653" i="1"/>
  <c r="BV653" i="1"/>
  <c r="BW653" i="1"/>
  <c r="BX653" i="1"/>
  <c r="BY653" i="1"/>
  <c r="BZ653" i="1"/>
  <c r="CA653" i="1"/>
  <c r="CB653" i="1"/>
  <c r="CC653" i="1"/>
  <c r="CD653" i="1"/>
  <c r="CE653" i="1"/>
  <c r="CF653" i="1"/>
  <c r="CG653" i="1"/>
  <c r="CH653" i="1"/>
  <c r="CI653" i="1"/>
  <c r="CJ653" i="1"/>
  <c r="CK653" i="1"/>
  <c r="CL653" i="1"/>
  <c r="CM653" i="1"/>
  <c r="CN653" i="1"/>
  <c r="CO653" i="1"/>
  <c r="CP653" i="1"/>
  <c r="CQ653" i="1"/>
  <c r="CR653" i="1"/>
  <c r="BO654" i="1"/>
  <c r="BP654" i="1"/>
  <c r="BQ654" i="1"/>
  <c r="BR654" i="1"/>
  <c r="BS654" i="1"/>
  <c r="BT654" i="1"/>
  <c r="BU654" i="1"/>
  <c r="BV654" i="1"/>
  <c r="BW654" i="1"/>
  <c r="BX654" i="1"/>
  <c r="BY654" i="1"/>
  <c r="BZ654" i="1"/>
  <c r="CA654" i="1"/>
  <c r="CB654" i="1"/>
  <c r="CC654" i="1"/>
  <c r="CD654" i="1"/>
  <c r="CE654" i="1"/>
  <c r="CF654" i="1"/>
  <c r="CG654" i="1"/>
  <c r="CH654" i="1"/>
  <c r="CI654" i="1"/>
  <c r="CJ654" i="1"/>
  <c r="CK654" i="1"/>
  <c r="CL654" i="1"/>
  <c r="CM654" i="1"/>
  <c r="CN654" i="1"/>
  <c r="CO654" i="1"/>
  <c r="CP654" i="1"/>
  <c r="CQ654" i="1"/>
  <c r="CR654" i="1"/>
  <c r="BO655" i="1"/>
  <c r="BP655" i="1"/>
  <c r="BQ655" i="1"/>
  <c r="BR655" i="1"/>
  <c r="BS655" i="1"/>
  <c r="BT655" i="1"/>
  <c r="BU655" i="1"/>
  <c r="BV655" i="1"/>
  <c r="BW655" i="1"/>
  <c r="BX655" i="1"/>
  <c r="BY655" i="1"/>
  <c r="BZ655" i="1"/>
  <c r="CA655" i="1"/>
  <c r="CB655" i="1"/>
  <c r="CC655" i="1"/>
  <c r="CD655" i="1"/>
  <c r="CE655" i="1"/>
  <c r="CF655" i="1"/>
  <c r="CG655" i="1"/>
  <c r="CH655" i="1"/>
  <c r="CI655" i="1"/>
  <c r="CJ655" i="1"/>
  <c r="CK655" i="1"/>
  <c r="CL655" i="1"/>
  <c r="CM655" i="1"/>
  <c r="CN655" i="1"/>
  <c r="CO655" i="1"/>
  <c r="CP655" i="1"/>
  <c r="CQ655" i="1"/>
  <c r="CR655" i="1"/>
  <c r="BO656" i="1"/>
  <c r="BP656" i="1"/>
  <c r="BQ656" i="1"/>
  <c r="BR656" i="1"/>
  <c r="BS656" i="1"/>
  <c r="BT656" i="1"/>
  <c r="BU656" i="1"/>
  <c r="BV656" i="1"/>
  <c r="BW656" i="1"/>
  <c r="BX656" i="1"/>
  <c r="BY656" i="1"/>
  <c r="BZ656" i="1"/>
  <c r="CA656" i="1"/>
  <c r="CB656" i="1"/>
  <c r="CC656" i="1"/>
  <c r="CD656" i="1"/>
  <c r="CE656" i="1"/>
  <c r="CF656" i="1"/>
  <c r="CG656" i="1"/>
  <c r="CH656" i="1"/>
  <c r="CI656" i="1"/>
  <c r="CJ656" i="1"/>
  <c r="CK656" i="1"/>
  <c r="CL656" i="1"/>
  <c r="CM656" i="1"/>
  <c r="CN656" i="1"/>
  <c r="CO656" i="1"/>
  <c r="CP656" i="1"/>
  <c r="CQ656" i="1"/>
  <c r="CR656" i="1"/>
  <c r="BO657" i="1"/>
  <c r="BP657" i="1"/>
  <c r="BQ657" i="1"/>
  <c r="BR657" i="1"/>
  <c r="BS657" i="1"/>
  <c r="BT657" i="1"/>
  <c r="BU657" i="1"/>
  <c r="BV657" i="1"/>
  <c r="BW657" i="1"/>
  <c r="BX657" i="1"/>
  <c r="BY657" i="1"/>
  <c r="BZ657" i="1"/>
  <c r="CA657" i="1"/>
  <c r="CB657" i="1"/>
  <c r="CC657" i="1"/>
  <c r="CD657" i="1"/>
  <c r="CE657" i="1"/>
  <c r="CF657" i="1"/>
  <c r="CG657" i="1"/>
  <c r="CH657" i="1"/>
  <c r="CI657" i="1"/>
  <c r="CJ657" i="1"/>
  <c r="CK657" i="1"/>
  <c r="CL657" i="1"/>
  <c r="CM657" i="1"/>
  <c r="CN657" i="1"/>
  <c r="CO657" i="1"/>
  <c r="CP657" i="1"/>
  <c r="CQ657" i="1"/>
  <c r="CR657" i="1"/>
  <c r="BO658" i="1"/>
  <c r="BP658" i="1"/>
  <c r="BQ658" i="1"/>
  <c r="BR658" i="1"/>
  <c r="BS658" i="1"/>
  <c r="BT658" i="1"/>
  <c r="BU658" i="1"/>
  <c r="BV658" i="1"/>
  <c r="BW658" i="1"/>
  <c r="BX658" i="1"/>
  <c r="BY658" i="1"/>
  <c r="BZ658" i="1"/>
  <c r="CA658" i="1"/>
  <c r="CB658" i="1"/>
  <c r="CC658" i="1"/>
  <c r="CD658" i="1"/>
  <c r="CE658" i="1"/>
  <c r="CF658" i="1"/>
  <c r="CG658" i="1"/>
  <c r="CH658" i="1"/>
  <c r="CI658" i="1"/>
  <c r="CJ658" i="1"/>
  <c r="CK658" i="1"/>
  <c r="CL658" i="1"/>
  <c r="CM658" i="1"/>
  <c r="CN658" i="1"/>
  <c r="CO658" i="1"/>
  <c r="CP658" i="1"/>
  <c r="CQ658" i="1"/>
  <c r="CR658" i="1"/>
  <c r="BO659" i="1"/>
  <c r="BP659" i="1"/>
  <c r="BQ659" i="1"/>
  <c r="BR659" i="1"/>
  <c r="BS659" i="1"/>
  <c r="BT659" i="1"/>
  <c r="BU659" i="1"/>
  <c r="BV659" i="1"/>
  <c r="BW659" i="1"/>
  <c r="BX659" i="1"/>
  <c r="BY659" i="1"/>
  <c r="BZ659" i="1"/>
  <c r="CA659" i="1"/>
  <c r="CB659" i="1"/>
  <c r="CC659" i="1"/>
  <c r="CD659" i="1"/>
  <c r="CE659" i="1"/>
  <c r="CF659" i="1"/>
  <c r="CG659" i="1"/>
  <c r="CH659" i="1"/>
  <c r="CI659" i="1"/>
  <c r="CJ659" i="1"/>
  <c r="CK659" i="1"/>
  <c r="CL659" i="1"/>
  <c r="CM659" i="1"/>
  <c r="CN659" i="1"/>
  <c r="CO659" i="1"/>
  <c r="CP659" i="1"/>
  <c r="CQ659" i="1"/>
  <c r="CR659" i="1"/>
  <c r="BO660" i="1"/>
  <c r="BP660" i="1"/>
  <c r="BQ660" i="1"/>
  <c r="BR660" i="1"/>
  <c r="BS660" i="1"/>
  <c r="BT660" i="1"/>
  <c r="BU660" i="1"/>
  <c r="BV660" i="1"/>
  <c r="BW660" i="1"/>
  <c r="BX660" i="1"/>
  <c r="BY660" i="1"/>
  <c r="BZ660" i="1"/>
  <c r="CA660" i="1"/>
  <c r="CB660" i="1"/>
  <c r="CC660" i="1"/>
  <c r="CD660" i="1"/>
  <c r="CE660" i="1"/>
  <c r="CF660" i="1"/>
  <c r="CG660" i="1"/>
  <c r="CH660" i="1"/>
  <c r="CI660" i="1"/>
  <c r="CJ660" i="1"/>
  <c r="CK660" i="1"/>
  <c r="CL660" i="1"/>
  <c r="CM660" i="1"/>
  <c r="CN660" i="1"/>
  <c r="CO660" i="1"/>
  <c r="CP660" i="1"/>
  <c r="CQ660" i="1"/>
  <c r="CR660" i="1"/>
  <c r="BO661" i="1"/>
  <c r="BP661" i="1"/>
  <c r="BQ661" i="1"/>
  <c r="BR661" i="1"/>
  <c r="BS661" i="1"/>
  <c r="BT661" i="1"/>
  <c r="BU661" i="1"/>
  <c r="BV661" i="1"/>
  <c r="BW661" i="1"/>
  <c r="BX661" i="1"/>
  <c r="BY661" i="1"/>
  <c r="BZ661" i="1"/>
  <c r="CA661" i="1"/>
  <c r="CB661" i="1"/>
  <c r="CC661" i="1"/>
  <c r="CD661" i="1"/>
  <c r="CE661" i="1"/>
  <c r="CF661" i="1"/>
  <c r="CG661" i="1"/>
  <c r="CH661" i="1"/>
  <c r="CI661" i="1"/>
  <c r="CJ661" i="1"/>
  <c r="CK661" i="1"/>
  <c r="CL661" i="1"/>
  <c r="CM661" i="1"/>
  <c r="CN661" i="1"/>
  <c r="CO661" i="1"/>
  <c r="CP661" i="1"/>
  <c r="CQ661" i="1"/>
  <c r="CR661" i="1"/>
  <c r="BO662" i="1"/>
  <c r="BP662" i="1"/>
  <c r="BQ662" i="1"/>
  <c r="BR662" i="1"/>
  <c r="BS662" i="1"/>
  <c r="BT662" i="1"/>
  <c r="BU662" i="1"/>
  <c r="BV662" i="1"/>
  <c r="BW662" i="1"/>
  <c r="BX662" i="1"/>
  <c r="BY662" i="1"/>
  <c r="BZ662" i="1"/>
  <c r="CA662" i="1"/>
  <c r="CB662" i="1"/>
  <c r="CC662" i="1"/>
  <c r="CD662" i="1"/>
  <c r="CE662" i="1"/>
  <c r="CF662" i="1"/>
  <c r="CG662" i="1"/>
  <c r="CH662" i="1"/>
  <c r="CI662" i="1"/>
  <c r="CJ662" i="1"/>
  <c r="CK662" i="1"/>
  <c r="CL662" i="1"/>
  <c r="CM662" i="1"/>
  <c r="CN662" i="1"/>
  <c r="CO662" i="1"/>
  <c r="CP662" i="1"/>
  <c r="CQ662" i="1"/>
  <c r="CR662" i="1"/>
  <c r="BO663" i="1"/>
  <c r="BP663" i="1"/>
  <c r="BQ663" i="1"/>
  <c r="BR663" i="1"/>
  <c r="BS663" i="1"/>
  <c r="BT663" i="1"/>
  <c r="BU663" i="1"/>
  <c r="BV663" i="1"/>
  <c r="BW663" i="1"/>
  <c r="BX663" i="1"/>
  <c r="BY663" i="1"/>
  <c r="BZ663" i="1"/>
  <c r="CA663" i="1"/>
  <c r="CB663" i="1"/>
  <c r="CC663" i="1"/>
  <c r="CD663" i="1"/>
  <c r="CE663" i="1"/>
  <c r="CF663" i="1"/>
  <c r="CG663" i="1"/>
  <c r="CH663" i="1"/>
  <c r="CI663" i="1"/>
  <c r="CJ663" i="1"/>
  <c r="CK663" i="1"/>
  <c r="CL663" i="1"/>
  <c r="CM663" i="1"/>
  <c r="CN663" i="1"/>
  <c r="CO663" i="1"/>
  <c r="CP663" i="1"/>
  <c r="CQ663" i="1"/>
  <c r="CR663" i="1"/>
  <c r="BO664" i="1"/>
  <c r="BP664" i="1"/>
  <c r="BQ664" i="1"/>
  <c r="BR664" i="1"/>
  <c r="BS664" i="1"/>
  <c r="BT664" i="1"/>
  <c r="BU664" i="1"/>
  <c r="BV664" i="1"/>
  <c r="BW664" i="1"/>
  <c r="BX664" i="1"/>
  <c r="BY664" i="1"/>
  <c r="BZ664" i="1"/>
  <c r="CA664" i="1"/>
  <c r="CB664" i="1"/>
  <c r="CC664" i="1"/>
  <c r="CD664" i="1"/>
  <c r="CE664" i="1"/>
  <c r="CF664" i="1"/>
  <c r="CG664" i="1"/>
  <c r="CH664" i="1"/>
  <c r="CI664" i="1"/>
  <c r="CJ664" i="1"/>
  <c r="CK664" i="1"/>
  <c r="CL664" i="1"/>
  <c r="CM664" i="1"/>
  <c r="CN664" i="1"/>
  <c r="CO664" i="1"/>
  <c r="CP664" i="1"/>
  <c r="CQ664" i="1"/>
  <c r="CR664" i="1"/>
  <c r="BO665" i="1"/>
  <c r="BP665" i="1"/>
  <c r="BQ665" i="1"/>
  <c r="BR665" i="1"/>
  <c r="BS665" i="1"/>
  <c r="BT665" i="1"/>
  <c r="BU665" i="1"/>
  <c r="BV665" i="1"/>
  <c r="BW665" i="1"/>
  <c r="BX665" i="1"/>
  <c r="BY665" i="1"/>
  <c r="BZ665" i="1"/>
  <c r="CA665" i="1"/>
  <c r="CB665" i="1"/>
  <c r="CC665" i="1"/>
  <c r="CD665" i="1"/>
  <c r="CE665" i="1"/>
  <c r="CF665" i="1"/>
  <c r="CG665" i="1"/>
  <c r="CH665" i="1"/>
  <c r="CI665" i="1"/>
  <c r="CJ665" i="1"/>
  <c r="CK665" i="1"/>
  <c r="CL665" i="1"/>
  <c r="CM665" i="1"/>
  <c r="CN665" i="1"/>
  <c r="CO665" i="1"/>
  <c r="CP665" i="1"/>
  <c r="CQ665" i="1"/>
  <c r="CR665" i="1"/>
  <c r="BO666" i="1"/>
  <c r="BP666" i="1"/>
  <c r="BQ666" i="1"/>
  <c r="BR666" i="1"/>
  <c r="BS666" i="1"/>
  <c r="BT666" i="1"/>
  <c r="BU666" i="1"/>
  <c r="BV666" i="1"/>
  <c r="BW666" i="1"/>
  <c r="BX666" i="1"/>
  <c r="BY666" i="1"/>
  <c r="BZ666" i="1"/>
  <c r="CA666" i="1"/>
  <c r="CB666" i="1"/>
  <c r="CC666" i="1"/>
  <c r="CD666" i="1"/>
  <c r="CE666" i="1"/>
  <c r="CF666" i="1"/>
  <c r="CG666" i="1"/>
  <c r="CH666" i="1"/>
  <c r="CI666" i="1"/>
  <c r="CJ666" i="1"/>
  <c r="CK666" i="1"/>
  <c r="CL666" i="1"/>
  <c r="CM666" i="1"/>
  <c r="CN666" i="1"/>
  <c r="CO666" i="1"/>
  <c r="CP666" i="1"/>
  <c r="CQ666" i="1"/>
  <c r="CR666" i="1"/>
  <c r="BO667" i="1"/>
  <c r="BP667" i="1"/>
  <c r="BQ667" i="1"/>
  <c r="BR667" i="1"/>
  <c r="BS667" i="1"/>
  <c r="BT667" i="1"/>
  <c r="BU667" i="1"/>
  <c r="BV667" i="1"/>
  <c r="BW667" i="1"/>
  <c r="BX667" i="1"/>
  <c r="BY667" i="1"/>
  <c r="BZ667" i="1"/>
  <c r="CA667" i="1"/>
  <c r="CB667" i="1"/>
  <c r="CC667" i="1"/>
  <c r="CD667" i="1"/>
  <c r="CE667" i="1"/>
  <c r="CF667" i="1"/>
  <c r="CG667" i="1"/>
  <c r="CH667" i="1"/>
  <c r="CI667" i="1"/>
  <c r="CJ667" i="1"/>
  <c r="CK667" i="1"/>
  <c r="CL667" i="1"/>
  <c r="CM667" i="1"/>
  <c r="CN667" i="1"/>
  <c r="CO667" i="1"/>
  <c r="CP667" i="1"/>
  <c r="CQ667" i="1"/>
  <c r="CR667" i="1"/>
  <c r="BO668" i="1"/>
  <c r="BP668" i="1"/>
  <c r="BQ668" i="1"/>
  <c r="BR668" i="1"/>
  <c r="BS668" i="1"/>
  <c r="BT668" i="1"/>
  <c r="BU668" i="1"/>
  <c r="BV668" i="1"/>
  <c r="BW668" i="1"/>
  <c r="BX668" i="1"/>
  <c r="BY668" i="1"/>
  <c r="BZ668" i="1"/>
  <c r="CA668" i="1"/>
  <c r="CB668" i="1"/>
  <c r="CC668" i="1"/>
  <c r="CD668" i="1"/>
  <c r="CE668" i="1"/>
  <c r="CF668" i="1"/>
  <c r="CG668" i="1"/>
  <c r="CH668" i="1"/>
  <c r="CI668" i="1"/>
  <c r="CJ668" i="1"/>
  <c r="CK668" i="1"/>
  <c r="CL668" i="1"/>
  <c r="CM668" i="1"/>
  <c r="CN668" i="1"/>
  <c r="CO668" i="1"/>
  <c r="CP668" i="1"/>
  <c r="CQ668" i="1"/>
  <c r="CR668" i="1"/>
  <c r="BO669" i="1"/>
  <c r="BP669" i="1"/>
  <c r="BQ669" i="1"/>
  <c r="BR669" i="1"/>
  <c r="BS669" i="1"/>
  <c r="BT669" i="1"/>
  <c r="BU669" i="1"/>
  <c r="BV669" i="1"/>
  <c r="BW669" i="1"/>
  <c r="BX669" i="1"/>
  <c r="BY669" i="1"/>
  <c r="BZ669" i="1"/>
  <c r="CA669" i="1"/>
  <c r="CB669" i="1"/>
  <c r="CC669" i="1"/>
  <c r="CD669" i="1"/>
  <c r="CE669" i="1"/>
  <c r="CF669" i="1"/>
  <c r="CG669" i="1"/>
  <c r="CH669" i="1"/>
  <c r="CI669" i="1"/>
  <c r="CJ669" i="1"/>
  <c r="CK669" i="1"/>
  <c r="CL669" i="1"/>
  <c r="CM669" i="1"/>
  <c r="CN669" i="1"/>
  <c r="CO669" i="1"/>
  <c r="CP669" i="1"/>
  <c r="CQ669" i="1"/>
  <c r="CR669" i="1"/>
  <c r="BO670" i="1"/>
  <c r="BP670" i="1"/>
  <c r="BQ670" i="1"/>
  <c r="BR670" i="1"/>
  <c r="BS670" i="1"/>
  <c r="BT670" i="1"/>
  <c r="BU670" i="1"/>
  <c r="BV670" i="1"/>
  <c r="BW670" i="1"/>
  <c r="BX670" i="1"/>
  <c r="BY670" i="1"/>
  <c r="BZ670" i="1"/>
  <c r="CA670" i="1"/>
  <c r="CB670" i="1"/>
  <c r="CC670" i="1"/>
  <c r="CD670" i="1"/>
  <c r="CE670" i="1"/>
  <c r="CF670" i="1"/>
  <c r="CG670" i="1"/>
  <c r="CH670" i="1"/>
  <c r="CI670" i="1"/>
  <c r="CJ670" i="1"/>
  <c r="CK670" i="1"/>
  <c r="CL670" i="1"/>
  <c r="CM670" i="1"/>
  <c r="CN670" i="1"/>
  <c r="CO670" i="1"/>
  <c r="CP670" i="1"/>
  <c r="CQ670" i="1"/>
  <c r="CR670" i="1"/>
  <c r="BO671" i="1"/>
  <c r="BP671" i="1"/>
  <c r="BQ671" i="1"/>
  <c r="BR671" i="1"/>
  <c r="BS671" i="1"/>
  <c r="BT671" i="1"/>
  <c r="BU671" i="1"/>
  <c r="BV671" i="1"/>
  <c r="BW671" i="1"/>
  <c r="BX671" i="1"/>
  <c r="BY671" i="1"/>
  <c r="BZ671" i="1"/>
  <c r="CA671" i="1"/>
  <c r="CB671" i="1"/>
  <c r="CC671" i="1"/>
  <c r="CD671" i="1"/>
  <c r="CE671" i="1"/>
  <c r="CF671" i="1"/>
  <c r="CG671" i="1"/>
  <c r="CH671" i="1"/>
  <c r="CI671" i="1"/>
  <c r="CJ671" i="1"/>
  <c r="CK671" i="1"/>
  <c r="CL671" i="1"/>
  <c r="CM671" i="1"/>
  <c r="CN671" i="1"/>
  <c r="CO671" i="1"/>
  <c r="CP671" i="1"/>
  <c r="CQ671" i="1"/>
  <c r="CR671" i="1"/>
  <c r="BO672" i="1"/>
  <c r="BP672" i="1"/>
  <c r="BQ672" i="1"/>
  <c r="BR672" i="1"/>
  <c r="BS672" i="1"/>
  <c r="BT672" i="1"/>
  <c r="BU672" i="1"/>
  <c r="BV672" i="1"/>
  <c r="BW672" i="1"/>
  <c r="BX672" i="1"/>
  <c r="BY672" i="1"/>
  <c r="BZ672" i="1"/>
  <c r="CA672" i="1"/>
  <c r="CB672" i="1"/>
  <c r="CC672" i="1"/>
  <c r="CD672" i="1"/>
  <c r="CE672" i="1"/>
  <c r="CF672" i="1"/>
  <c r="CG672" i="1"/>
  <c r="CH672" i="1"/>
  <c r="CI672" i="1"/>
  <c r="CJ672" i="1"/>
  <c r="CK672" i="1"/>
  <c r="CL672" i="1"/>
  <c r="CM672" i="1"/>
  <c r="CN672" i="1"/>
  <c r="CO672" i="1"/>
  <c r="CP672" i="1"/>
  <c r="CQ672" i="1"/>
  <c r="CR672" i="1"/>
  <c r="BO673" i="1"/>
  <c r="BP673" i="1"/>
  <c r="BQ673" i="1"/>
  <c r="BR673" i="1"/>
  <c r="BS673" i="1"/>
  <c r="BT673" i="1"/>
  <c r="BU673" i="1"/>
  <c r="BV673" i="1"/>
  <c r="BW673" i="1"/>
  <c r="BX673" i="1"/>
  <c r="BY673" i="1"/>
  <c r="BZ673" i="1"/>
  <c r="CA673" i="1"/>
  <c r="CB673" i="1"/>
  <c r="CC673" i="1"/>
  <c r="CD673" i="1"/>
  <c r="CE673" i="1"/>
  <c r="CF673" i="1"/>
  <c r="CG673" i="1"/>
  <c r="CH673" i="1"/>
  <c r="CI673" i="1"/>
  <c r="CJ673" i="1"/>
  <c r="CK673" i="1"/>
  <c r="CL673" i="1"/>
  <c r="CM673" i="1"/>
  <c r="CN673" i="1"/>
  <c r="CO673" i="1"/>
  <c r="CP673" i="1"/>
  <c r="CQ673" i="1"/>
  <c r="CR673" i="1"/>
  <c r="BO674" i="1"/>
  <c r="BP674" i="1"/>
  <c r="BQ674" i="1"/>
  <c r="BR674" i="1"/>
  <c r="BS674" i="1"/>
  <c r="BT674" i="1"/>
  <c r="BU674" i="1"/>
  <c r="BV674" i="1"/>
  <c r="BW674" i="1"/>
  <c r="BX674" i="1"/>
  <c r="BY674" i="1"/>
  <c r="BZ674" i="1"/>
  <c r="CA674" i="1"/>
  <c r="CB674" i="1"/>
  <c r="CC674" i="1"/>
  <c r="CD674" i="1"/>
  <c r="CE674" i="1"/>
  <c r="CF674" i="1"/>
  <c r="CG674" i="1"/>
  <c r="CH674" i="1"/>
  <c r="CI674" i="1"/>
  <c r="CJ674" i="1"/>
  <c r="CK674" i="1"/>
  <c r="CL674" i="1"/>
  <c r="CM674" i="1"/>
  <c r="CN674" i="1"/>
  <c r="CO674" i="1"/>
  <c r="CP674" i="1"/>
  <c r="CQ674" i="1"/>
  <c r="CR674" i="1"/>
  <c r="BO675" i="1"/>
  <c r="BP675" i="1"/>
  <c r="BQ675" i="1"/>
  <c r="BR675" i="1"/>
  <c r="BS675" i="1"/>
  <c r="BT675" i="1"/>
  <c r="BU675" i="1"/>
  <c r="BV675" i="1"/>
  <c r="BW675" i="1"/>
  <c r="BX675" i="1"/>
  <c r="BY675" i="1"/>
  <c r="BZ675" i="1"/>
  <c r="CA675" i="1"/>
  <c r="CB675" i="1"/>
  <c r="CC675" i="1"/>
  <c r="CD675" i="1"/>
  <c r="CE675" i="1"/>
  <c r="CF675" i="1"/>
  <c r="CG675" i="1"/>
  <c r="CH675" i="1"/>
  <c r="CI675" i="1"/>
  <c r="CJ675" i="1"/>
  <c r="CK675" i="1"/>
  <c r="CL675" i="1"/>
  <c r="CM675" i="1"/>
  <c r="CN675" i="1"/>
  <c r="CO675" i="1"/>
  <c r="CP675" i="1"/>
  <c r="CQ675" i="1"/>
  <c r="CR675" i="1"/>
  <c r="BO676" i="1"/>
  <c r="BP676" i="1"/>
  <c r="BQ676" i="1"/>
  <c r="BR676" i="1"/>
  <c r="BS676" i="1"/>
  <c r="BT676" i="1"/>
  <c r="BU676" i="1"/>
  <c r="BV676" i="1"/>
  <c r="BW676" i="1"/>
  <c r="BX676" i="1"/>
  <c r="BY676" i="1"/>
  <c r="BZ676" i="1"/>
  <c r="CA676" i="1"/>
  <c r="CB676" i="1"/>
  <c r="CC676" i="1"/>
  <c r="CD676" i="1"/>
  <c r="CE676" i="1"/>
  <c r="CF676" i="1"/>
  <c r="CG676" i="1"/>
  <c r="CH676" i="1"/>
  <c r="CI676" i="1"/>
  <c r="CJ676" i="1"/>
  <c r="CK676" i="1"/>
  <c r="CL676" i="1"/>
  <c r="CM676" i="1"/>
  <c r="CN676" i="1"/>
  <c r="CO676" i="1"/>
  <c r="CP676" i="1"/>
  <c r="CQ676" i="1"/>
  <c r="CR676" i="1"/>
  <c r="BO677" i="1"/>
  <c r="BP677" i="1"/>
  <c r="BQ677" i="1"/>
  <c r="BR677" i="1"/>
  <c r="BS677" i="1"/>
  <c r="BT677" i="1"/>
  <c r="BU677" i="1"/>
  <c r="BV677" i="1"/>
  <c r="BW677" i="1"/>
  <c r="BX677" i="1"/>
  <c r="BY677" i="1"/>
  <c r="BZ677" i="1"/>
  <c r="CA677" i="1"/>
  <c r="CB677" i="1"/>
  <c r="CC677" i="1"/>
  <c r="CD677" i="1"/>
  <c r="CE677" i="1"/>
  <c r="CF677" i="1"/>
  <c r="CG677" i="1"/>
  <c r="CH677" i="1"/>
  <c r="CI677" i="1"/>
  <c r="CJ677" i="1"/>
  <c r="CK677" i="1"/>
  <c r="CL677" i="1"/>
  <c r="CM677" i="1"/>
  <c r="CN677" i="1"/>
  <c r="CO677" i="1"/>
  <c r="CP677" i="1"/>
  <c r="CQ677" i="1"/>
  <c r="CR677" i="1"/>
  <c r="BO678" i="1"/>
  <c r="BP678" i="1"/>
  <c r="BQ678" i="1"/>
  <c r="BR678" i="1"/>
  <c r="BS678" i="1"/>
  <c r="BT678" i="1"/>
  <c r="BU678" i="1"/>
  <c r="BV678" i="1"/>
  <c r="BW678" i="1"/>
  <c r="BX678" i="1"/>
  <c r="BY678" i="1"/>
  <c r="BZ678" i="1"/>
  <c r="CA678" i="1"/>
  <c r="CB678" i="1"/>
  <c r="CC678" i="1"/>
  <c r="CD678" i="1"/>
  <c r="CE678" i="1"/>
  <c r="CF678" i="1"/>
  <c r="CG678" i="1"/>
  <c r="CH678" i="1"/>
  <c r="CI678" i="1"/>
  <c r="CJ678" i="1"/>
  <c r="CK678" i="1"/>
  <c r="CL678" i="1"/>
  <c r="CM678" i="1"/>
  <c r="CN678" i="1"/>
  <c r="CO678" i="1"/>
  <c r="CP678" i="1"/>
  <c r="CQ678" i="1"/>
  <c r="CR678" i="1"/>
  <c r="BO679" i="1"/>
  <c r="BP679" i="1"/>
  <c r="BQ679" i="1"/>
  <c r="BR679" i="1"/>
  <c r="BS679" i="1"/>
  <c r="BT679" i="1"/>
  <c r="BU679" i="1"/>
  <c r="BV679" i="1"/>
  <c r="BW679" i="1"/>
  <c r="BX679" i="1"/>
  <c r="BY679" i="1"/>
  <c r="BZ679" i="1"/>
  <c r="CA679" i="1"/>
  <c r="CB679" i="1"/>
  <c r="CC679" i="1"/>
  <c r="CD679" i="1"/>
  <c r="CE679" i="1"/>
  <c r="CF679" i="1"/>
  <c r="CG679" i="1"/>
  <c r="CH679" i="1"/>
  <c r="CI679" i="1"/>
  <c r="CJ679" i="1"/>
  <c r="CK679" i="1"/>
  <c r="CL679" i="1"/>
  <c r="CM679" i="1"/>
  <c r="CN679" i="1"/>
  <c r="CO679" i="1"/>
  <c r="CP679" i="1"/>
  <c r="CQ679" i="1"/>
  <c r="CR679" i="1"/>
  <c r="BO680" i="1"/>
  <c r="BP680" i="1"/>
  <c r="BQ680" i="1"/>
  <c r="BR680" i="1"/>
  <c r="BS680" i="1"/>
  <c r="BT680" i="1"/>
  <c r="BU680" i="1"/>
  <c r="BV680" i="1"/>
  <c r="BW680" i="1"/>
  <c r="BX680" i="1"/>
  <c r="BY680" i="1"/>
  <c r="BZ680" i="1"/>
  <c r="CA680" i="1"/>
  <c r="CB680" i="1"/>
  <c r="CC680" i="1"/>
  <c r="CD680" i="1"/>
  <c r="CE680" i="1"/>
  <c r="CF680" i="1"/>
  <c r="CG680" i="1"/>
  <c r="CH680" i="1"/>
  <c r="CI680" i="1"/>
  <c r="CJ680" i="1"/>
  <c r="CK680" i="1"/>
  <c r="CL680" i="1"/>
  <c r="CM680" i="1"/>
  <c r="CN680" i="1"/>
  <c r="CO680" i="1"/>
  <c r="CP680" i="1"/>
  <c r="CQ680" i="1"/>
  <c r="CR680" i="1"/>
  <c r="BO681" i="1"/>
  <c r="BP681" i="1"/>
  <c r="BQ681" i="1"/>
  <c r="BR681" i="1"/>
  <c r="BS681" i="1"/>
  <c r="BT681" i="1"/>
  <c r="BU681" i="1"/>
  <c r="BV681" i="1"/>
  <c r="BW681" i="1"/>
  <c r="BX681" i="1"/>
  <c r="BY681" i="1"/>
  <c r="BZ681" i="1"/>
  <c r="CA681" i="1"/>
  <c r="CB681" i="1"/>
  <c r="CC681" i="1"/>
  <c r="CD681" i="1"/>
  <c r="CE681" i="1"/>
  <c r="CF681" i="1"/>
  <c r="CG681" i="1"/>
  <c r="CH681" i="1"/>
  <c r="CI681" i="1"/>
  <c r="CJ681" i="1"/>
  <c r="CK681" i="1"/>
  <c r="CL681" i="1"/>
  <c r="CM681" i="1"/>
  <c r="CN681" i="1"/>
  <c r="CO681" i="1"/>
  <c r="CP681" i="1"/>
  <c r="CQ681" i="1"/>
  <c r="CR681" i="1"/>
  <c r="BO682" i="1"/>
  <c r="BP682" i="1"/>
  <c r="BQ682" i="1"/>
  <c r="BR682" i="1"/>
  <c r="BS682" i="1"/>
  <c r="BT682" i="1"/>
  <c r="BU682" i="1"/>
  <c r="BV682" i="1"/>
  <c r="BW682" i="1"/>
  <c r="BX682" i="1"/>
  <c r="BY682" i="1"/>
  <c r="BZ682" i="1"/>
  <c r="CA682" i="1"/>
  <c r="CB682" i="1"/>
  <c r="CC682" i="1"/>
  <c r="CD682" i="1"/>
  <c r="CE682" i="1"/>
  <c r="CF682" i="1"/>
  <c r="CG682" i="1"/>
  <c r="CH682" i="1"/>
  <c r="CI682" i="1"/>
  <c r="CJ682" i="1"/>
  <c r="CK682" i="1"/>
  <c r="CL682" i="1"/>
  <c r="CM682" i="1"/>
  <c r="CN682" i="1"/>
  <c r="CO682" i="1"/>
  <c r="CP682" i="1"/>
  <c r="CQ682" i="1"/>
  <c r="CR682" i="1"/>
  <c r="BO683" i="1"/>
  <c r="BP683" i="1"/>
  <c r="BQ683" i="1"/>
  <c r="BR683" i="1"/>
  <c r="BS683" i="1"/>
  <c r="BT683" i="1"/>
  <c r="BU683" i="1"/>
  <c r="BV683" i="1"/>
  <c r="BW683" i="1"/>
  <c r="BX683" i="1"/>
  <c r="BY683" i="1"/>
  <c r="BZ683" i="1"/>
  <c r="CA683" i="1"/>
  <c r="CB683" i="1"/>
  <c r="CC683" i="1"/>
  <c r="CD683" i="1"/>
  <c r="CE683" i="1"/>
  <c r="CF683" i="1"/>
  <c r="CG683" i="1"/>
  <c r="CH683" i="1"/>
  <c r="CI683" i="1"/>
  <c r="CJ683" i="1"/>
  <c r="CK683" i="1"/>
  <c r="CL683" i="1"/>
  <c r="CM683" i="1"/>
  <c r="CN683" i="1"/>
  <c r="CO683" i="1"/>
  <c r="CP683" i="1"/>
  <c r="CQ683" i="1"/>
  <c r="CR683" i="1"/>
  <c r="BO684" i="1"/>
  <c r="BP684" i="1"/>
  <c r="BQ684" i="1"/>
  <c r="BR684" i="1"/>
  <c r="BS684" i="1"/>
  <c r="BT684" i="1"/>
  <c r="BU684" i="1"/>
  <c r="BV684" i="1"/>
  <c r="BW684" i="1"/>
  <c r="BX684" i="1"/>
  <c r="BY684" i="1"/>
  <c r="BZ684" i="1"/>
  <c r="CA684" i="1"/>
  <c r="CB684" i="1"/>
  <c r="CC684" i="1"/>
  <c r="CD684" i="1"/>
  <c r="CE684" i="1"/>
  <c r="CF684" i="1"/>
  <c r="CG684" i="1"/>
  <c r="CH684" i="1"/>
  <c r="CI684" i="1"/>
  <c r="CJ684" i="1"/>
  <c r="CK684" i="1"/>
  <c r="CL684" i="1"/>
  <c r="CM684" i="1"/>
  <c r="CN684" i="1"/>
  <c r="CO684" i="1"/>
  <c r="CP684" i="1"/>
  <c r="CQ684" i="1"/>
  <c r="CR684" i="1"/>
  <c r="BO685" i="1"/>
  <c r="BP685" i="1"/>
  <c r="BQ685" i="1"/>
  <c r="BR685" i="1"/>
  <c r="BS685" i="1"/>
  <c r="BT685" i="1"/>
  <c r="BU685" i="1"/>
  <c r="BV685" i="1"/>
  <c r="BW685" i="1"/>
  <c r="BX685" i="1"/>
  <c r="BY685" i="1"/>
  <c r="BZ685" i="1"/>
  <c r="CA685" i="1"/>
  <c r="CB685" i="1"/>
  <c r="CC685" i="1"/>
  <c r="CD685" i="1"/>
  <c r="CE685" i="1"/>
  <c r="CF685" i="1"/>
  <c r="CG685" i="1"/>
  <c r="CH685" i="1"/>
  <c r="CI685" i="1"/>
  <c r="CJ685" i="1"/>
  <c r="CK685" i="1"/>
  <c r="CL685" i="1"/>
  <c r="CM685" i="1"/>
  <c r="CN685" i="1"/>
  <c r="CO685" i="1"/>
  <c r="CP685" i="1"/>
  <c r="CQ685" i="1"/>
  <c r="CR685" i="1"/>
  <c r="BO686" i="1"/>
  <c r="BP686" i="1"/>
  <c r="BQ686" i="1"/>
  <c r="BR686" i="1"/>
  <c r="BS686" i="1"/>
  <c r="BT686" i="1"/>
  <c r="BU686" i="1"/>
  <c r="BV686" i="1"/>
  <c r="BW686" i="1"/>
  <c r="BX686" i="1"/>
  <c r="BY686" i="1"/>
  <c r="BZ686" i="1"/>
  <c r="CA686" i="1"/>
  <c r="CB686" i="1"/>
  <c r="CC686" i="1"/>
  <c r="CD686" i="1"/>
  <c r="CE686" i="1"/>
  <c r="CF686" i="1"/>
  <c r="CG686" i="1"/>
  <c r="CH686" i="1"/>
  <c r="CI686" i="1"/>
  <c r="CJ686" i="1"/>
  <c r="CK686" i="1"/>
  <c r="CL686" i="1"/>
  <c r="CM686" i="1"/>
  <c r="CN686" i="1"/>
  <c r="CO686" i="1"/>
  <c r="CP686" i="1"/>
  <c r="CQ686" i="1"/>
  <c r="CR686" i="1"/>
  <c r="BO687" i="1"/>
  <c r="BP687" i="1"/>
  <c r="BQ687" i="1"/>
  <c r="BR687" i="1"/>
  <c r="BS687" i="1"/>
  <c r="BT687" i="1"/>
  <c r="BU687" i="1"/>
  <c r="BV687" i="1"/>
  <c r="BW687" i="1"/>
  <c r="BX687" i="1"/>
  <c r="BY687" i="1"/>
  <c r="BZ687" i="1"/>
  <c r="CA687" i="1"/>
  <c r="CB687" i="1"/>
  <c r="CC687" i="1"/>
  <c r="CD687" i="1"/>
  <c r="CE687" i="1"/>
  <c r="CF687" i="1"/>
  <c r="CG687" i="1"/>
  <c r="CH687" i="1"/>
  <c r="CI687" i="1"/>
  <c r="CJ687" i="1"/>
  <c r="CK687" i="1"/>
  <c r="CL687" i="1"/>
  <c r="CM687" i="1"/>
  <c r="CN687" i="1"/>
  <c r="CO687" i="1"/>
  <c r="CP687" i="1"/>
  <c r="CQ687" i="1"/>
  <c r="CR687" i="1"/>
  <c r="BO688" i="1"/>
  <c r="BP688" i="1"/>
  <c r="BQ688" i="1"/>
  <c r="BR688" i="1"/>
  <c r="BS688" i="1"/>
  <c r="BT688" i="1"/>
  <c r="BU688" i="1"/>
  <c r="BV688" i="1"/>
  <c r="BW688" i="1"/>
  <c r="BX688" i="1"/>
  <c r="BY688" i="1"/>
  <c r="BZ688" i="1"/>
  <c r="CA688" i="1"/>
  <c r="CB688" i="1"/>
  <c r="CC688" i="1"/>
  <c r="CD688" i="1"/>
  <c r="CE688" i="1"/>
  <c r="CF688" i="1"/>
  <c r="CG688" i="1"/>
  <c r="CH688" i="1"/>
  <c r="CI688" i="1"/>
  <c r="CJ688" i="1"/>
  <c r="CK688" i="1"/>
  <c r="CL688" i="1"/>
  <c r="CM688" i="1"/>
  <c r="CN688" i="1"/>
  <c r="CO688" i="1"/>
  <c r="CP688" i="1"/>
  <c r="CQ688" i="1"/>
  <c r="CR688" i="1"/>
  <c r="BO689" i="1"/>
  <c r="BP689" i="1"/>
  <c r="BQ689" i="1"/>
  <c r="BR689" i="1"/>
  <c r="BS689" i="1"/>
  <c r="BT689" i="1"/>
  <c r="BU689" i="1"/>
  <c r="BV689" i="1"/>
  <c r="BW689" i="1"/>
  <c r="BX689" i="1"/>
  <c r="BY689" i="1"/>
  <c r="BZ689" i="1"/>
  <c r="CA689" i="1"/>
  <c r="CB689" i="1"/>
  <c r="CC689" i="1"/>
  <c r="CD689" i="1"/>
  <c r="CE689" i="1"/>
  <c r="CF689" i="1"/>
  <c r="CG689" i="1"/>
  <c r="CH689" i="1"/>
  <c r="CI689" i="1"/>
  <c r="CJ689" i="1"/>
  <c r="CK689" i="1"/>
  <c r="CL689" i="1"/>
  <c r="CM689" i="1"/>
  <c r="CN689" i="1"/>
  <c r="CO689" i="1"/>
  <c r="CP689" i="1"/>
  <c r="CQ689" i="1"/>
  <c r="CR689" i="1"/>
  <c r="BO690" i="1"/>
  <c r="BP690" i="1"/>
  <c r="BQ690" i="1"/>
  <c r="BR690" i="1"/>
  <c r="BS690" i="1"/>
  <c r="BT690" i="1"/>
  <c r="BU690" i="1"/>
  <c r="BV690" i="1"/>
  <c r="BW690" i="1"/>
  <c r="BX690" i="1"/>
  <c r="BY690" i="1"/>
  <c r="BZ690" i="1"/>
  <c r="CA690" i="1"/>
  <c r="CB690" i="1"/>
  <c r="CC690" i="1"/>
  <c r="CD690" i="1"/>
  <c r="CE690" i="1"/>
  <c r="CF690" i="1"/>
  <c r="CG690" i="1"/>
  <c r="CH690" i="1"/>
  <c r="CI690" i="1"/>
  <c r="CJ690" i="1"/>
  <c r="CK690" i="1"/>
  <c r="CL690" i="1"/>
  <c r="CM690" i="1"/>
  <c r="CN690" i="1"/>
  <c r="CO690" i="1"/>
  <c r="CP690" i="1"/>
  <c r="CQ690" i="1"/>
  <c r="CR690" i="1"/>
  <c r="BO691" i="1"/>
  <c r="BP691" i="1"/>
  <c r="BQ691" i="1"/>
  <c r="BR691" i="1"/>
  <c r="BS691" i="1"/>
  <c r="BT691" i="1"/>
  <c r="BU691" i="1"/>
  <c r="BV691" i="1"/>
  <c r="BW691" i="1"/>
  <c r="BX691" i="1"/>
  <c r="BY691" i="1"/>
  <c r="BZ691" i="1"/>
  <c r="CA691" i="1"/>
  <c r="CB691" i="1"/>
  <c r="CC691" i="1"/>
  <c r="CD691" i="1"/>
  <c r="CE691" i="1"/>
  <c r="CF691" i="1"/>
  <c r="CG691" i="1"/>
  <c r="CH691" i="1"/>
  <c r="CI691" i="1"/>
  <c r="CJ691" i="1"/>
  <c r="CK691" i="1"/>
  <c r="CL691" i="1"/>
  <c r="CM691" i="1"/>
  <c r="CN691" i="1"/>
  <c r="CO691" i="1"/>
  <c r="CP691" i="1"/>
  <c r="CQ691" i="1"/>
  <c r="CR691" i="1"/>
  <c r="BO692" i="1"/>
  <c r="BP692" i="1"/>
  <c r="BQ692" i="1"/>
  <c r="BR692" i="1"/>
  <c r="BS692" i="1"/>
  <c r="BT692" i="1"/>
  <c r="BU692" i="1"/>
  <c r="BV692" i="1"/>
  <c r="BW692" i="1"/>
  <c r="BX692" i="1"/>
  <c r="BY692" i="1"/>
  <c r="BZ692" i="1"/>
  <c r="CA692" i="1"/>
  <c r="CB692" i="1"/>
  <c r="CC692" i="1"/>
  <c r="CD692" i="1"/>
  <c r="CE692" i="1"/>
  <c r="CF692" i="1"/>
  <c r="CG692" i="1"/>
  <c r="CH692" i="1"/>
  <c r="CI692" i="1"/>
  <c r="CJ692" i="1"/>
  <c r="CK692" i="1"/>
  <c r="CL692" i="1"/>
  <c r="CM692" i="1"/>
  <c r="CN692" i="1"/>
  <c r="CO692" i="1"/>
  <c r="CP692" i="1"/>
  <c r="CQ692" i="1"/>
  <c r="CR692" i="1"/>
  <c r="BO693" i="1"/>
  <c r="BP693" i="1"/>
  <c r="BQ693" i="1"/>
  <c r="BR693" i="1"/>
  <c r="BS693" i="1"/>
  <c r="BT693" i="1"/>
  <c r="BU693" i="1"/>
  <c r="BV693" i="1"/>
  <c r="BW693" i="1"/>
  <c r="BX693" i="1"/>
  <c r="BY693" i="1"/>
  <c r="BZ693" i="1"/>
  <c r="CA693" i="1"/>
  <c r="CB693" i="1"/>
  <c r="CC693" i="1"/>
  <c r="CD693" i="1"/>
  <c r="CE693" i="1"/>
  <c r="CF693" i="1"/>
  <c r="CG693" i="1"/>
  <c r="CH693" i="1"/>
  <c r="CI693" i="1"/>
  <c r="CJ693" i="1"/>
  <c r="CK693" i="1"/>
  <c r="CL693" i="1"/>
  <c r="CM693" i="1"/>
  <c r="CN693" i="1"/>
  <c r="CO693" i="1"/>
  <c r="CP693" i="1"/>
  <c r="CQ693" i="1"/>
  <c r="CR693" i="1"/>
  <c r="BO694" i="1"/>
  <c r="BP694" i="1"/>
  <c r="BQ694" i="1"/>
  <c r="BR694" i="1"/>
  <c r="BS694" i="1"/>
  <c r="BT694" i="1"/>
  <c r="BU694" i="1"/>
  <c r="BV694" i="1"/>
  <c r="BW694" i="1"/>
  <c r="BX694" i="1"/>
  <c r="BY694" i="1"/>
  <c r="BZ694" i="1"/>
  <c r="CA694" i="1"/>
  <c r="CB694" i="1"/>
  <c r="CC694" i="1"/>
  <c r="CD694" i="1"/>
  <c r="CE694" i="1"/>
  <c r="CF694" i="1"/>
  <c r="CG694" i="1"/>
  <c r="CH694" i="1"/>
  <c r="CI694" i="1"/>
  <c r="CJ694" i="1"/>
  <c r="CK694" i="1"/>
  <c r="CL694" i="1"/>
  <c r="CM694" i="1"/>
  <c r="CN694" i="1"/>
  <c r="CO694" i="1"/>
  <c r="CP694" i="1"/>
  <c r="CQ694" i="1"/>
  <c r="CR694" i="1"/>
  <c r="BO695" i="1"/>
  <c r="BP695" i="1"/>
  <c r="BQ695" i="1"/>
  <c r="BR695" i="1"/>
  <c r="BS695" i="1"/>
  <c r="BT695" i="1"/>
  <c r="BU695" i="1"/>
  <c r="BV695" i="1"/>
  <c r="BW695" i="1"/>
  <c r="BX695" i="1"/>
  <c r="BY695" i="1"/>
  <c r="BZ695" i="1"/>
  <c r="CA695" i="1"/>
  <c r="CB695" i="1"/>
  <c r="CC695" i="1"/>
  <c r="CD695" i="1"/>
  <c r="CE695" i="1"/>
  <c r="CF695" i="1"/>
  <c r="CG695" i="1"/>
  <c r="CH695" i="1"/>
  <c r="CI695" i="1"/>
  <c r="CJ695" i="1"/>
  <c r="CK695" i="1"/>
  <c r="CL695" i="1"/>
  <c r="CM695" i="1"/>
  <c r="CN695" i="1"/>
  <c r="CO695" i="1"/>
  <c r="CP695" i="1"/>
  <c r="CQ695" i="1"/>
  <c r="CR695" i="1"/>
  <c r="BO696" i="1"/>
  <c r="BP696" i="1"/>
  <c r="BQ696" i="1"/>
  <c r="BR696" i="1"/>
  <c r="BS696" i="1"/>
  <c r="BT696" i="1"/>
  <c r="BU696" i="1"/>
  <c r="BV696" i="1"/>
  <c r="BW696" i="1"/>
  <c r="BX696" i="1"/>
  <c r="BY696" i="1"/>
  <c r="BZ696" i="1"/>
  <c r="CA696" i="1"/>
  <c r="CB696" i="1"/>
  <c r="CC696" i="1"/>
  <c r="CD696" i="1"/>
  <c r="CE696" i="1"/>
  <c r="CF696" i="1"/>
  <c r="CG696" i="1"/>
  <c r="CH696" i="1"/>
  <c r="CI696" i="1"/>
  <c r="CJ696" i="1"/>
  <c r="CK696" i="1"/>
  <c r="CL696" i="1"/>
  <c r="CM696" i="1"/>
  <c r="CN696" i="1"/>
  <c r="CO696" i="1"/>
  <c r="CP696" i="1"/>
  <c r="CQ696" i="1"/>
  <c r="CR696" i="1"/>
  <c r="BO697" i="1"/>
  <c r="BP697" i="1"/>
  <c r="BQ697" i="1"/>
  <c r="BR697" i="1"/>
  <c r="BS697" i="1"/>
  <c r="BT697" i="1"/>
  <c r="BU697" i="1"/>
  <c r="BV697" i="1"/>
  <c r="BW697" i="1"/>
  <c r="BX697" i="1"/>
  <c r="BY697" i="1"/>
  <c r="BZ697" i="1"/>
  <c r="CA697" i="1"/>
  <c r="CB697" i="1"/>
  <c r="CC697" i="1"/>
  <c r="CD697" i="1"/>
  <c r="CE697" i="1"/>
  <c r="CF697" i="1"/>
  <c r="CG697" i="1"/>
  <c r="CH697" i="1"/>
  <c r="CI697" i="1"/>
  <c r="CJ697" i="1"/>
  <c r="CK697" i="1"/>
  <c r="CL697" i="1"/>
  <c r="CM697" i="1"/>
  <c r="CN697" i="1"/>
  <c r="CO697" i="1"/>
  <c r="CP697" i="1"/>
  <c r="CQ697" i="1"/>
  <c r="CR697" i="1"/>
  <c r="BO698" i="1"/>
  <c r="BP698" i="1"/>
  <c r="BQ698" i="1"/>
  <c r="BR698" i="1"/>
  <c r="BS698" i="1"/>
  <c r="BT698" i="1"/>
  <c r="BU698" i="1"/>
  <c r="BV698" i="1"/>
  <c r="BW698" i="1"/>
  <c r="BX698" i="1"/>
  <c r="BY698" i="1"/>
  <c r="BZ698" i="1"/>
  <c r="CA698" i="1"/>
  <c r="CB698" i="1"/>
  <c r="CC698" i="1"/>
  <c r="CD698" i="1"/>
  <c r="CE698" i="1"/>
  <c r="CF698" i="1"/>
  <c r="CG698" i="1"/>
  <c r="CH698" i="1"/>
  <c r="CI698" i="1"/>
  <c r="CJ698" i="1"/>
  <c r="CK698" i="1"/>
  <c r="CL698" i="1"/>
  <c r="CM698" i="1"/>
  <c r="CN698" i="1"/>
  <c r="CO698" i="1"/>
  <c r="CP698" i="1"/>
  <c r="CQ698" i="1"/>
  <c r="CR698" i="1"/>
  <c r="BO699" i="1"/>
  <c r="BP699" i="1"/>
  <c r="BQ699" i="1"/>
  <c r="BR699" i="1"/>
  <c r="BS699" i="1"/>
  <c r="BT699" i="1"/>
  <c r="BU699" i="1"/>
  <c r="BV699" i="1"/>
  <c r="BW699" i="1"/>
  <c r="BX699" i="1"/>
  <c r="BY699" i="1"/>
  <c r="BZ699" i="1"/>
  <c r="CA699" i="1"/>
  <c r="CB699" i="1"/>
  <c r="CC699" i="1"/>
  <c r="CD699" i="1"/>
  <c r="CE699" i="1"/>
  <c r="CF699" i="1"/>
  <c r="CG699" i="1"/>
  <c r="CH699" i="1"/>
  <c r="CI699" i="1"/>
  <c r="CJ699" i="1"/>
  <c r="CK699" i="1"/>
  <c r="CL699" i="1"/>
  <c r="CM699" i="1"/>
  <c r="CN699" i="1"/>
  <c r="CO699" i="1"/>
  <c r="CP699" i="1"/>
  <c r="CQ699" i="1"/>
  <c r="CR699" i="1"/>
  <c r="BO700" i="1"/>
  <c r="BP700" i="1"/>
  <c r="BQ700" i="1"/>
  <c r="BR700" i="1"/>
  <c r="BS700" i="1"/>
  <c r="BT700" i="1"/>
  <c r="BU700" i="1"/>
  <c r="BV700" i="1"/>
  <c r="BW700" i="1"/>
  <c r="BX700" i="1"/>
  <c r="BY700" i="1"/>
  <c r="BZ700" i="1"/>
  <c r="CA700" i="1"/>
  <c r="CB700" i="1"/>
  <c r="CC700" i="1"/>
  <c r="CD700" i="1"/>
  <c r="CE700" i="1"/>
  <c r="CF700" i="1"/>
  <c r="CG700" i="1"/>
  <c r="CH700" i="1"/>
  <c r="CI700" i="1"/>
  <c r="CJ700" i="1"/>
  <c r="CK700" i="1"/>
  <c r="CL700" i="1"/>
  <c r="CM700" i="1"/>
  <c r="CN700" i="1"/>
  <c r="CO700" i="1"/>
  <c r="CP700" i="1"/>
  <c r="CQ700" i="1"/>
  <c r="CR700" i="1"/>
  <c r="BO701" i="1"/>
  <c r="BP701" i="1"/>
  <c r="BQ701" i="1"/>
  <c r="BR701" i="1"/>
  <c r="BS701" i="1"/>
  <c r="BT701" i="1"/>
  <c r="BU701" i="1"/>
  <c r="BV701" i="1"/>
  <c r="BW701" i="1"/>
  <c r="BX701" i="1"/>
  <c r="BY701" i="1"/>
  <c r="BZ701" i="1"/>
  <c r="CA701" i="1"/>
  <c r="CB701" i="1"/>
  <c r="CC701" i="1"/>
  <c r="CD701" i="1"/>
  <c r="CE701" i="1"/>
  <c r="CF701" i="1"/>
  <c r="CG701" i="1"/>
  <c r="CH701" i="1"/>
  <c r="CI701" i="1"/>
  <c r="CJ701" i="1"/>
  <c r="CK701" i="1"/>
  <c r="CL701" i="1"/>
  <c r="CM701" i="1"/>
  <c r="CN701" i="1"/>
  <c r="CO701" i="1"/>
  <c r="CP701" i="1"/>
  <c r="CQ701" i="1"/>
  <c r="CR701" i="1"/>
  <c r="BO702" i="1"/>
  <c r="BP702" i="1"/>
  <c r="BQ702" i="1"/>
  <c r="BR702" i="1"/>
  <c r="BS702" i="1"/>
  <c r="BT702" i="1"/>
  <c r="BU702" i="1"/>
  <c r="BV702" i="1"/>
  <c r="BW702" i="1"/>
  <c r="BX702" i="1"/>
  <c r="BY702" i="1"/>
  <c r="BZ702" i="1"/>
  <c r="CA702" i="1"/>
  <c r="CB702" i="1"/>
  <c r="CC702" i="1"/>
  <c r="CD702" i="1"/>
  <c r="CE702" i="1"/>
  <c r="CF702" i="1"/>
  <c r="CG702" i="1"/>
  <c r="CH702" i="1"/>
  <c r="CI702" i="1"/>
  <c r="CJ702" i="1"/>
  <c r="CK702" i="1"/>
  <c r="CL702" i="1"/>
  <c r="CM702" i="1"/>
  <c r="CN702" i="1"/>
  <c r="CO702" i="1"/>
  <c r="CP702" i="1"/>
  <c r="CQ702" i="1"/>
  <c r="CR702" i="1"/>
  <c r="BO703" i="1"/>
  <c r="BP703" i="1"/>
  <c r="BQ703" i="1"/>
  <c r="BR703" i="1"/>
  <c r="BS703" i="1"/>
  <c r="BT703" i="1"/>
  <c r="BU703" i="1"/>
  <c r="BV703" i="1"/>
  <c r="BW703" i="1"/>
  <c r="BX703" i="1"/>
  <c r="BY703" i="1"/>
  <c r="BZ703" i="1"/>
  <c r="CA703" i="1"/>
  <c r="CB703" i="1"/>
  <c r="CC703" i="1"/>
  <c r="CD703" i="1"/>
  <c r="CE703" i="1"/>
  <c r="CF703" i="1"/>
  <c r="CG703" i="1"/>
  <c r="CH703" i="1"/>
  <c r="CI703" i="1"/>
  <c r="CJ703" i="1"/>
  <c r="CK703" i="1"/>
  <c r="CL703" i="1"/>
  <c r="CM703" i="1"/>
  <c r="CN703" i="1"/>
  <c r="CO703" i="1"/>
  <c r="CP703" i="1"/>
  <c r="CQ703" i="1"/>
  <c r="CR703" i="1"/>
  <c r="BO704" i="1"/>
  <c r="BP704" i="1"/>
  <c r="BQ704" i="1"/>
  <c r="BR704" i="1"/>
  <c r="BS704" i="1"/>
  <c r="BT704" i="1"/>
  <c r="BU704" i="1"/>
  <c r="BV704" i="1"/>
  <c r="BW704" i="1"/>
  <c r="BX704" i="1"/>
  <c r="BY704" i="1"/>
  <c r="BZ704" i="1"/>
  <c r="CA704" i="1"/>
  <c r="CB704" i="1"/>
  <c r="CC704" i="1"/>
  <c r="CD704" i="1"/>
  <c r="CE704" i="1"/>
  <c r="CF704" i="1"/>
  <c r="CG704" i="1"/>
  <c r="CH704" i="1"/>
  <c r="CI704" i="1"/>
  <c r="CJ704" i="1"/>
  <c r="CK704" i="1"/>
  <c r="CL704" i="1"/>
  <c r="CM704" i="1"/>
  <c r="CN704" i="1"/>
  <c r="CO704" i="1"/>
  <c r="CP704" i="1"/>
  <c r="CQ704" i="1"/>
  <c r="CR704" i="1"/>
  <c r="BO705" i="1"/>
  <c r="BP705" i="1"/>
  <c r="BQ705" i="1"/>
  <c r="BR705" i="1"/>
  <c r="BS705" i="1"/>
  <c r="BT705" i="1"/>
  <c r="BU705" i="1"/>
  <c r="BV705" i="1"/>
  <c r="BW705" i="1"/>
  <c r="BX705" i="1"/>
  <c r="BY705" i="1"/>
  <c r="BZ705" i="1"/>
  <c r="CA705" i="1"/>
  <c r="CB705" i="1"/>
  <c r="CC705" i="1"/>
  <c r="CD705" i="1"/>
  <c r="CE705" i="1"/>
  <c r="CF705" i="1"/>
  <c r="CG705" i="1"/>
  <c r="CH705" i="1"/>
  <c r="CI705" i="1"/>
  <c r="CJ705" i="1"/>
  <c r="CK705" i="1"/>
  <c r="CL705" i="1"/>
  <c r="CM705" i="1"/>
  <c r="CN705" i="1"/>
  <c r="CO705" i="1"/>
  <c r="CP705" i="1"/>
  <c r="CQ705" i="1"/>
  <c r="CR705" i="1"/>
  <c r="BO706" i="1"/>
  <c r="BP706" i="1"/>
  <c r="BQ706" i="1"/>
  <c r="BR706" i="1"/>
  <c r="BS706" i="1"/>
  <c r="BT706" i="1"/>
  <c r="BU706" i="1"/>
  <c r="BV706" i="1"/>
  <c r="BW706" i="1"/>
  <c r="BX706" i="1"/>
  <c r="BY706" i="1"/>
  <c r="BZ706" i="1"/>
  <c r="CA706" i="1"/>
  <c r="CB706" i="1"/>
  <c r="CC706" i="1"/>
  <c r="CD706" i="1"/>
  <c r="CE706" i="1"/>
  <c r="CF706" i="1"/>
  <c r="CG706" i="1"/>
  <c r="CH706" i="1"/>
  <c r="CI706" i="1"/>
  <c r="CJ706" i="1"/>
  <c r="CK706" i="1"/>
  <c r="CL706" i="1"/>
  <c r="CM706" i="1"/>
  <c r="CN706" i="1"/>
  <c r="CO706" i="1"/>
  <c r="CP706" i="1"/>
  <c r="CQ706" i="1"/>
  <c r="CR706" i="1"/>
  <c r="BO707" i="1"/>
  <c r="BP707" i="1"/>
  <c r="BQ707" i="1"/>
  <c r="BR707" i="1"/>
  <c r="BS707" i="1"/>
  <c r="BT707" i="1"/>
  <c r="BU707" i="1"/>
  <c r="BV707" i="1"/>
  <c r="BW707" i="1"/>
  <c r="BX707" i="1"/>
  <c r="BY707" i="1"/>
  <c r="BZ707" i="1"/>
  <c r="CA707" i="1"/>
  <c r="CB707" i="1"/>
  <c r="CC707" i="1"/>
  <c r="CD707" i="1"/>
  <c r="CE707" i="1"/>
  <c r="CF707" i="1"/>
  <c r="CG707" i="1"/>
  <c r="CH707" i="1"/>
  <c r="CI707" i="1"/>
  <c r="CJ707" i="1"/>
  <c r="CK707" i="1"/>
  <c r="CL707" i="1"/>
  <c r="CM707" i="1"/>
  <c r="CN707" i="1"/>
  <c r="CO707" i="1"/>
  <c r="CP707" i="1"/>
  <c r="CQ707" i="1"/>
  <c r="CR707" i="1"/>
  <c r="BO708" i="1"/>
  <c r="BP708" i="1"/>
  <c r="BQ708" i="1"/>
  <c r="BR708" i="1"/>
  <c r="BS708" i="1"/>
  <c r="BT708" i="1"/>
  <c r="BU708" i="1"/>
  <c r="BV708" i="1"/>
  <c r="BW708" i="1"/>
  <c r="BX708" i="1"/>
  <c r="BY708" i="1"/>
  <c r="BZ708" i="1"/>
  <c r="CA708" i="1"/>
  <c r="CB708" i="1"/>
  <c r="CC708" i="1"/>
  <c r="CD708" i="1"/>
  <c r="CE708" i="1"/>
  <c r="CF708" i="1"/>
  <c r="CG708" i="1"/>
  <c r="CH708" i="1"/>
  <c r="CI708" i="1"/>
  <c r="CJ708" i="1"/>
  <c r="CK708" i="1"/>
  <c r="CL708" i="1"/>
  <c r="CM708" i="1"/>
  <c r="CN708" i="1"/>
  <c r="CO708" i="1"/>
  <c r="CP708" i="1"/>
  <c r="CQ708" i="1"/>
  <c r="CR708" i="1"/>
  <c r="BO709" i="1"/>
  <c r="BP709" i="1"/>
  <c r="BQ709" i="1"/>
  <c r="BR709" i="1"/>
  <c r="BS709" i="1"/>
  <c r="BT709" i="1"/>
  <c r="BU709" i="1"/>
  <c r="BV709" i="1"/>
  <c r="BW709" i="1"/>
  <c r="BX709" i="1"/>
  <c r="BY709" i="1"/>
  <c r="BZ709" i="1"/>
  <c r="CA709" i="1"/>
  <c r="CB709" i="1"/>
  <c r="CC709" i="1"/>
  <c r="CD709" i="1"/>
  <c r="CE709" i="1"/>
  <c r="CF709" i="1"/>
  <c r="CG709" i="1"/>
  <c r="CH709" i="1"/>
  <c r="CI709" i="1"/>
  <c r="CJ709" i="1"/>
  <c r="CK709" i="1"/>
  <c r="CL709" i="1"/>
  <c r="CM709" i="1"/>
  <c r="CN709" i="1"/>
  <c r="CO709" i="1"/>
  <c r="CP709" i="1"/>
  <c r="CQ709" i="1"/>
  <c r="CR709" i="1"/>
  <c r="BO710" i="1"/>
  <c r="BP710" i="1"/>
  <c r="BQ710" i="1"/>
  <c r="BR710" i="1"/>
  <c r="BS710" i="1"/>
  <c r="BT710" i="1"/>
  <c r="BU710" i="1"/>
  <c r="BV710" i="1"/>
  <c r="BW710" i="1"/>
  <c r="BX710" i="1"/>
  <c r="BY710" i="1"/>
  <c r="BZ710" i="1"/>
  <c r="CA710" i="1"/>
  <c r="CB710" i="1"/>
  <c r="CC710" i="1"/>
  <c r="CD710" i="1"/>
  <c r="CE710" i="1"/>
  <c r="CF710" i="1"/>
  <c r="CG710" i="1"/>
  <c r="CH710" i="1"/>
  <c r="CI710" i="1"/>
  <c r="CJ710" i="1"/>
  <c r="CK710" i="1"/>
  <c r="CL710" i="1"/>
  <c r="CM710" i="1"/>
  <c r="CN710" i="1"/>
  <c r="CO710" i="1"/>
  <c r="CP710" i="1"/>
  <c r="CQ710" i="1"/>
  <c r="CR710" i="1"/>
  <c r="BO711" i="1"/>
  <c r="BP711" i="1"/>
  <c r="BQ711" i="1"/>
  <c r="BR711" i="1"/>
  <c r="BS711" i="1"/>
  <c r="BT711" i="1"/>
  <c r="BU711" i="1"/>
  <c r="BV711" i="1"/>
  <c r="BW711" i="1"/>
  <c r="BX711" i="1"/>
  <c r="BY711" i="1"/>
  <c r="BZ711" i="1"/>
  <c r="CA711" i="1"/>
  <c r="CB711" i="1"/>
  <c r="CC711" i="1"/>
  <c r="CD711" i="1"/>
  <c r="CE711" i="1"/>
  <c r="CF711" i="1"/>
  <c r="CG711" i="1"/>
  <c r="CH711" i="1"/>
  <c r="CI711" i="1"/>
  <c r="CJ711" i="1"/>
  <c r="CK711" i="1"/>
  <c r="CL711" i="1"/>
  <c r="CM711" i="1"/>
  <c r="CN711" i="1"/>
  <c r="CO711" i="1"/>
  <c r="CP711" i="1"/>
  <c r="CQ711" i="1"/>
  <c r="CR711" i="1"/>
  <c r="BO712" i="1"/>
  <c r="BP712" i="1"/>
  <c r="BQ712" i="1"/>
  <c r="BR712" i="1"/>
  <c r="BS712" i="1"/>
  <c r="BT712" i="1"/>
  <c r="BU712" i="1"/>
  <c r="BV712" i="1"/>
  <c r="BW712" i="1"/>
  <c r="BX712" i="1"/>
  <c r="BY712" i="1"/>
  <c r="BZ712" i="1"/>
  <c r="CA712" i="1"/>
  <c r="CB712" i="1"/>
  <c r="CC712" i="1"/>
  <c r="CD712" i="1"/>
  <c r="CE712" i="1"/>
  <c r="CF712" i="1"/>
  <c r="CG712" i="1"/>
  <c r="CH712" i="1"/>
  <c r="CI712" i="1"/>
  <c r="CJ712" i="1"/>
  <c r="CK712" i="1"/>
  <c r="CL712" i="1"/>
  <c r="CM712" i="1"/>
  <c r="CN712" i="1"/>
  <c r="CO712" i="1"/>
  <c r="CP712" i="1"/>
  <c r="CQ712" i="1"/>
  <c r="CR712" i="1"/>
  <c r="BO713" i="1"/>
  <c r="BP713" i="1"/>
  <c r="BQ713" i="1"/>
  <c r="BR713" i="1"/>
  <c r="BS713" i="1"/>
  <c r="BT713" i="1"/>
  <c r="BU713" i="1"/>
  <c r="BV713" i="1"/>
  <c r="BW713" i="1"/>
  <c r="BX713" i="1"/>
  <c r="BY713" i="1"/>
  <c r="BZ713" i="1"/>
  <c r="CA713" i="1"/>
  <c r="CB713" i="1"/>
  <c r="CC713" i="1"/>
  <c r="CD713" i="1"/>
  <c r="CE713" i="1"/>
  <c r="CF713" i="1"/>
  <c r="CG713" i="1"/>
  <c r="CH713" i="1"/>
  <c r="CI713" i="1"/>
  <c r="CJ713" i="1"/>
  <c r="CK713" i="1"/>
  <c r="CL713" i="1"/>
  <c r="CM713" i="1"/>
  <c r="CN713" i="1"/>
  <c r="CO713" i="1"/>
  <c r="CP713" i="1"/>
  <c r="CQ713" i="1"/>
  <c r="CR713" i="1"/>
  <c r="BO714" i="1"/>
  <c r="BP714" i="1"/>
  <c r="BQ714" i="1"/>
  <c r="BR714" i="1"/>
  <c r="BS714" i="1"/>
  <c r="BT714" i="1"/>
  <c r="BU714" i="1"/>
  <c r="BV714" i="1"/>
  <c r="BW714" i="1"/>
  <c r="BX714" i="1"/>
  <c r="BY714" i="1"/>
  <c r="BZ714" i="1"/>
  <c r="CA714" i="1"/>
  <c r="CB714" i="1"/>
  <c r="CC714" i="1"/>
  <c r="CD714" i="1"/>
  <c r="CE714" i="1"/>
  <c r="CF714" i="1"/>
  <c r="CG714" i="1"/>
  <c r="CH714" i="1"/>
  <c r="CI714" i="1"/>
  <c r="CJ714" i="1"/>
  <c r="CK714" i="1"/>
  <c r="CL714" i="1"/>
  <c r="CM714" i="1"/>
  <c r="CN714" i="1"/>
  <c r="CO714" i="1"/>
  <c r="CP714" i="1"/>
  <c r="CQ714" i="1"/>
  <c r="CR714" i="1"/>
  <c r="BO715" i="1"/>
  <c r="BP715" i="1"/>
  <c r="BQ715" i="1"/>
  <c r="BR715" i="1"/>
  <c r="BS715" i="1"/>
  <c r="BT715" i="1"/>
  <c r="BU715" i="1"/>
  <c r="BV715" i="1"/>
  <c r="BW715" i="1"/>
  <c r="BX715" i="1"/>
  <c r="BY715" i="1"/>
  <c r="BZ715" i="1"/>
  <c r="CA715" i="1"/>
  <c r="CB715" i="1"/>
  <c r="CC715" i="1"/>
  <c r="CD715" i="1"/>
  <c r="CE715" i="1"/>
  <c r="CF715" i="1"/>
  <c r="CG715" i="1"/>
  <c r="CH715" i="1"/>
  <c r="CI715" i="1"/>
  <c r="CJ715" i="1"/>
  <c r="CK715" i="1"/>
  <c r="CL715" i="1"/>
  <c r="CM715" i="1"/>
  <c r="CN715" i="1"/>
  <c r="CO715" i="1"/>
  <c r="CP715" i="1"/>
  <c r="CQ715" i="1"/>
  <c r="CR715" i="1"/>
  <c r="BO716" i="1"/>
  <c r="BP716" i="1"/>
  <c r="BQ716" i="1"/>
  <c r="BR716" i="1"/>
  <c r="BS716" i="1"/>
  <c r="BT716" i="1"/>
  <c r="BU716" i="1"/>
  <c r="BV716" i="1"/>
  <c r="BW716" i="1"/>
  <c r="BX716" i="1"/>
  <c r="BY716" i="1"/>
  <c r="BZ716" i="1"/>
  <c r="CA716" i="1"/>
  <c r="CB716" i="1"/>
  <c r="CC716" i="1"/>
  <c r="CD716" i="1"/>
  <c r="CE716" i="1"/>
  <c r="CF716" i="1"/>
  <c r="CG716" i="1"/>
  <c r="CH716" i="1"/>
  <c r="CI716" i="1"/>
  <c r="CJ716" i="1"/>
  <c r="CK716" i="1"/>
  <c r="CL716" i="1"/>
  <c r="CM716" i="1"/>
  <c r="CN716" i="1"/>
  <c r="CO716" i="1"/>
  <c r="CP716" i="1"/>
  <c r="CQ716" i="1"/>
  <c r="CR716" i="1"/>
  <c r="BO717" i="1"/>
  <c r="BP717" i="1"/>
  <c r="BQ717" i="1"/>
  <c r="BR717" i="1"/>
  <c r="BS717" i="1"/>
  <c r="BT717" i="1"/>
  <c r="BU717" i="1"/>
  <c r="BV717" i="1"/>
  <c r="BW717" i="1"/>
  <c r="BX717" i="1"/>
  <c r="BY717" i="1"/>
  <c r="BZ717" i="1"/>
  <c r="CA717" i="1"/>
  <c r="CB717" i="1"/>
  <c r="CC717" i="1"/>
  <c r="CD717" i="1"/>
  <c r="CE717" i="1"/>
  <c r="CF717" i="1"/>
  <c r="CG717" i="1"/>
  <c r="CH717" i="1"/>
  <c r="CI717" i="1"/>
  <c r="CJ717" i="1"/>
  <c r="CK717" i="1"/>
  <c r="CL717" i="1"/>
  <c r="CM717" i="1"/>
  <c r="CN717" i="1"/>
  <c r="CO717" i="1"/>
  <c r="CP717" i="1"/>
  <c r="CQ717" i="1"/>
  <c r="CR717" i="1"/>
  <c r="BO718" i="1"/>
  <c r="BP718" i="1"/>
  <c r="BQ718" i="1"/>
  <c r="BR718" i="1"/>
  <c r="BS718" i="1"/>
  <c r="BT718" i="1"/>
  <c r="BU718" i="1"/>
  <c r="BV718" i="1"/>
  <c r="BW718" i="1"/>
  <c r="BX718" i="1"/>
  <c r="BY718" i="1"/>
  <c r="BZ718" i="1"/>
  <c r="CA718" i="1"/>
  <c r="CB718" i="1"/>
  <c r="CC718" i="1"/>
  <c r="CD718" i="1"/>
  <c r="CE718" i="1"/>
  <c r="CF718" i="1"/>
  <c r="CG718" i="1"/>
  <c r="CH718" i="1"/>
  <c r="CI718" i="1"/>
  <c r="CJ718" i="1"/>
  <c r="CK718" i="1"/>
  <c r="CL718" i="1"/>
  <c r="CM718" i="1"/>
  <c r="CN718" i="1"/>
  <c r="CO718" i="1"/>
  <c r="CP718" i="1"/>
  <c r="CQ718" i="1"/>
  <c r="CR718" i="1"/>
  <c r="BO719" i="1"/>
  <c r="BP719" i="1"/>
  <c r="BQ719" i="1"/>
  <c r="BR719" i="1"/>
  <c r="BS719" i="1"/>
  <c r="BT719" i="1"/>
  <c r="BU719" i="1"/>
  <c r="BV719" i="1"/>
  <c r="BW719" i="1"/>
  <c r="BX719" i="1"/>
  <c r="BY719" i="1"/>
  <c r="BZ719" i="1"/>
  <c r="CA719" i="1"/>
  <c r="CB719" i="1"/>
  <c r="CC719" i="1"/>
  <c r="CD719" i="1"/>
  <c r="CE719" i="1"/>
  <c r="CF719" i="1"/>
  <c r="CG719" i="1"/>
  <c r="CH719" i="1"/>
  <c r="CI719" i="1"/>
  <c r="CJ719" i="1"/>
  <c r="CK719" i="1"/>
  <c r="CL719" i="1"/>
  <c r="CM719" i="1"/>
  <c r="CN719" i="1"/>
  <c r="CO719" i="1"/>
  <c r="CP719" i="1"/>
  <c r="CQ719" i="1"/>
  <c r="CR719" i="1"/>
  <c r="BO720" i="1"/>
  <c r="BP720" i="1"/>
  <c r="BQ720" i="1"/>
  <c r="BR720" i="1"/>
  <c r="BS720" i="1"/>
  <c r="BT720" i="1"/>
  <c r="BU720" i="1"/>
  <c r="BV720" i="1"/>
  <c r="BW720" i="1"/>
  <c r="BX720" i="1"/>
  <c r="BY720" i="1"/>
  <c r="BZ720" i="1"/>
  <c r="CA720" i="1"/>
  <c r="CB720" i="1"/>
  <c r="CC720" i="1"/>
  <c r="CD720" i="1"/>
  <c r="CE720" i="1"/>
  <c r="CF720" i="1"/>
  <c r="CG720" i="1"/>
  <c r="CH720" i="1"/>
  <c r="CI720" i="1"/>
  <c r="CJ720" i="1"/>
  <c r="CK720" i="1"/>
  <c r="CL720" i="1"/>
  <c r="CM720" i="1"/>
  <c r="CN720" i="1"/>
  <c r="CO720" i="1"/>
  <c r="CP720" i="1"/>
  <c r="CQ720" i="1"/>
  <c r="CR720" i="1"/>
  <c r="BO721" i="1"/>
  <c r="BP721" i="1"/>
  <c r="BQ721" i="1"/>
  <c r="BR721" i="1"/>
  <c r="BS721" i="1"/>
  <c r="BT721" i="1"/>
  <c r="BU721" i="1"/>
  <c r="BV721" i="1"/>
  <c r="BW721" i="1"/>
  <c r="BX721" i="1"/>
  <c r="BY721" i="1"/>
  <c r="BZ721" i="1"/>
  <c r="CA721" i="1"/>
  <c r="CB721" i="1"/>
  <c r="CC721" i="1"/>
  <c r="CD721" i="1"/>
  <c r="CE721" i="1"/>
  <c r="CF721" i="1"/>
  <c r="CG721" i="1"/>
  <c r="CH721" i="1"/>
  <c r="CI721" i="1"/>
  <c r="CJ721" i="1"/>
  <c r="CK721" i="1"/>
  <c r="CL721" i="1"/>
  <c r="CM721" i="1"/>
  <c r="CN721" i="1"/>
  <c r="CO721" i="1"/>
  <c r="CP721" i="1"/>
  <c r="CQ721" i="1"/>
  <c r="CR721" i="1"/>
  <c r="BO722" i="1"/>
  <c r="BP722" i="1"/>
  <c r="BQ722" i="1"/>
  <c r="BR722" i="1"/>
  <c r="BS722" i="1"/>
  <c r="BT722" i="1"/>
  <c r="BU722" i="1"/>
  <c r="BV722" i="1"/>
  <c r="BW722" i="1"/>
  <c r="BX722" i="1"/>
  <c r="BY722" i="1"/>
  <c r="BZ722" i="1"/>
  <c r="CA722" i="1"/>
  <c r="CB722" i="1"/>
  <c r="CC722" i="1"/>
  <c r="CD722" i="1"/>
  <c r="CE722" i="1"/>
  <c r="CF722" i="1"/>
  <c r="CG722" i="1"/>
  <c r="CH722" i="1"/>
  <c r="CI722" i="1"/>
  <c r="CJ722" i="1"/>
  <c r="CK722" i="1"/>
  <c r="CL722" i="1"/>
  <c r="CM722" i="1"/>
  <c r="CN722" i="1"/>
  <c r="CO722" i="1"/>
  <c r="CP722" i="1"/>
  <c r="CQ722" i="1"/>
  <c r="CR722" i="1"/>
  <c r="BO723" i="1"/>
  <c r="BP723" i="1"/>
  <c r="BQ723" i="1"/>
  <c r="BR723" i="1"/>
  <c r="BS723" i="1"/>
  <c r="BT723" i="1"/>
  <c r="BU723" i="1"/>
  <c r="BV723" i="1"/>
  <c r="BW723" i="1"/>
  <c r="BX723" i="1"/>
  <c r="BY723" i="1"/>
  <c r="BZ723" i="1"/>
  <c r="CA723" i="1"/>
  <c r="CB723" i="1"/>
  <c r="CC723" i="1"/>
  <c r="CD723" i="1"/>
  <c r="CE723" i="1"/>
  <c r="CF723" i="1"/>
  <c r="CG723" i="1"/>
  <c r="CH723" i="1"/>
  <c r="CI723" i="1"/>
  <c r="CJ723" i="1"/>
  <c r="CK723" i="1"/>
  <c r="CL723" i="1"/>
  <c r="CM723" i="1"/>
  <c r="CN723" i="1"/>
  <c r="CO723" i="1"/>
  <c r="CP723" i="1"/>
  <c r="CQ723" i="1"/>
  <c r="CR723" i="1"/>
  <c r="BO724" i="1"/>
  <c r="BP724" i="1"/>
  <c r="BQ724" i="1"/>
  <c r="BR724" i="1"/>
  <c r="BS724" i="1"/>
  <c r="BT724" i="1"/>
  <c r="BU724" i="1"/>
  <c r="BV724" i="1"/>
  <c r="BW724" i="1"/>
  <c r="BX724" i="1"/>
  <c r="BY724" i="1"/>
  <c r="BZ724" i="1"/>
  <c r="CA724" i="1"/>
  <c r="CB724" i="1"/>
  <c r="CC724" i="1"/>
  <c r="CD724" i="1"/>
  <c r="CE724" i="1"/>
  <c r="CF724" i="1"/>
  <c r="CG724" i="1"/>
  <c r="CH724" i="1"/>
  <c r="CI724" i="1"/>
  <c r="CJ724" i="1"/>
  <c r="CK724" i="1"/>
  <c r="CL724" i="1"/>
  <c r="CM724" i="1"/>
  <c r="CN724" i="1"/>
  <c r="CO724" i="1"/>
  <c r="CP724" i="1"/>
  <c r="CQ724" i="1"/>
  <c r="CR724" i="1"/>
  <c r="BO725" i="1"/>
  <c r="BP725" i="1"/>
  <c r="BQ725" i="1"/>
  <c r="BR725" i="1"/>
  <c r="BS725" i="1"/>
  <c r="BT725" i="1"/>
  <c r="BU725" i="1"/>
  <c r="BV725" i="1"/>
  <c r="BW725" i="1"/>
  <c r="BX725" i="1"/>
  <c r="BY725" i="1"/>
  <c r="BZ725" i="1"/>
  <c r="CA725" i="1"/>
  <c r="CB725" i="1"/>
  <c r="CC725" i="1"/>
  <c r="CD725" i="1"/>
  <c r="CE725" i="1"/>
  <c r="CF725" i="1"/>
  <c r="CG725" i="1"/>
  <c r="CH725" i="1"/>
  <c r="CI725" i="1"/>
  <c r="CJ725" i="1"/>
  <c r="CK725" i="1"/>
  <c r="CL725" i="1"/>
  <c r="CM725" i="1"/>
  <c r="CN725" i="1"/>
  <c r="CO725" i="1"/>
  <c r="CP725" i="1"/>
  <c r="CQ725" i="1"/>
  <c r="CR725" i="1"/>
  <c r="BO726" i="1"/>
  <c r="BP726" i="1"/>
  <c r="BQ726" i="1"/>
  <c r="BR726" i="1"/>
  <c r="BS726" i="1"/>
  <c r="BT726" i="1"/>
  <c r="BU726" i="1"/>
  <c r="BV726" i="1"/>
  <c r="BW726" i="1"/>
  <c r="BX726" i="1"/>
  <c r="BY726" i="1"/>
  <c r="BZ726" i="1"/>
  <c r="CA726" i="1"/>
  <c r="CB726" i="1"/>
  <c r="CC726" i="1"/>
  <c r="CD726" i="1"/>
  <c r="CE726" i="1"/>
  <c r="CF726" i="1"/>
  <c r="CG726" i="1"/>
  <c r="CH726" i="1"/>
  <c r="CI726" i="1"/>
  <c r="CJ726" i="1"/>
  <c r="CK726" i="1"/>
  <c r="CL726" i="1"/>
  <c r="CM726" i="1"/>
  <c r="CN726" i="1"/>
  <c r="CO726" i="1"/>
  <c r="CP726" i="1"/>
  <c r="CQ726" i="1"/>
  <c r="CR726" i="1"/>
  <c r="BO727" i="1"/>
  <c r="BP727" i="1"/>
  <c r="BQ727" i="1"/>
  <c r="BR727" i="1"/>
  <c r="BS727" i="1"/>
  <c r="BT727" i="1"/>
  <c r="BU727" i="1"/>
  <c r="BV727" i="1"/>
  <c r="BW727" i="1"/>
  <c r="BX727" i="1"/>
  <c r="BY727" i="1"/>
  <c r="BZ727" i="1"/>
  <c r="CA727" i="1"/>
  <c r="CB727" i="1"/>
  <c r="CC727" i="1"/>
  <c r="CD727" i="1"/>
  <c r="CE727" i="1"/>
  <c r="CF727" i="1"/>
  <c r="CG727" i="1"/>
  <c r="CH727" i="1"/>
  <c r="CI727" i="1"/>
  <c r="CJ727" i="1"/>
  <c r="CK727" i="1"/>
  <c r="CL727" i="1"/>
  <c r="CM727" i="1"/>
  <c r="CN727" i="1"/>
  <c r="CO727" i="1"/>
  <c r="CP727" i="1"/>
  <c r="CQ727" i="1"/>
  <c r="CR727" i="1"/>
  <c r="BO728" i="1"/>
  <c r="BP728" i="1"/>
  <c r="BQ728" i="1"/>
  <c r="BR728" i="1"/>
  <c r="BS728" i="1"/>
  <c r="BT728" i="1"/>
  <c r="BU728" i="1"/>
  <c r="BV728" i="1"/>
  <c r="BW728" i="1"/>
  <c r="BX728" i="1"/>
  <c r="BY728" i="1"/>
  <c r="BZ728" i="1"/>
  <c r="CA728" i="1"/>
  <c r="CB728" i="1"/>
  <c r="CC728" i="1"/>
  <c r="CD728" i="1"/>
  <c r="CE728" i="1"/>
  <c r="CF728" i="1"/>
  <c r="CG728" i="1"/>
  <c r="CH728" i="1"/>
  <c r="CI728" i="1"/>
  <c r="CJ728" i="1"/>
  <c r="CK728" i="1"/>
  <c r="CL728" i="1"/>
  <c r="CM728" i="1"/>
  <c r="CN728" i="1"/>
  <c r="CO728" i="1"/>
  <c r="CP728" i="1"/>
  <c r="CQ728" i="1"/>
  <c r="CR728" i="1"/>
  <c r="BO729" i="1"/>
  <c r="BP729" i="1"/>
  <c r="BQ729" i="1"/>
  <c r="BR729" i="1"/>
  <c r="BS729" i="1"/>
  <c r="BT729" i="1"/>
  <c r="BU729" i="1"/>
  <c r="BV729" i="1"/>
  <c r="BW729" i="1"/>
  <c r="BX729" i="1"/>
  <c r="BY729" i="1"/>
  <c r="BZ729" i="1"/>
  <c r="CA729" i="1"/>
  <c r="CB729" i="1"/>
  <c r="CC729" i="1"/>
  <c r="CD729" i="1"/>
  <c r="CE729" i="1"/>
  <c r="CF729" i="1"/>
  <c r="CG729" i="1"/>
  <c r="CH729" i="1"/>
  <c r="CI729" i="1"/>
  <c r="CJ729" i="1"/>
  <c r="CK729" i="1"/>
  <c r="CL729" i="1"/>
  <c r="CM729" i="1"/>
  <c r="CN729" i="1"/>
  <c r="CO729" i="1"/>
  <c r="CP729" i="1"/>
  <c r="CQ729" i="1"/>
  <c r="CR729" i="1"/>
  <c r="BO730" i="1"/>
  <c r="BP730" i="1"/>
  <c r="BQ730" i="1"/>
  <c r="BR730" i="1"/>
  <c r="BS730" i="1"/>
  <c r="BT730" i="1"/>
  <c r="BU730" i="1"/>
  <c r="BV730" i="1"/>
  <c r="BW730" i="1"/>
  <c r="BX730" i="1"/>
  <c r="BY730" i="1"/>
  <c r="BZ730" i="1"/>
  <c r="CA730" i="1"/>
  <c r="CB730" i="1"/>
  <c r="CC730" i="1"/>
  <c r="CD730" i="1"/>
  <c r="CE730" i="1"/>
  <c r="CF730" i="1"/>
  <c r="CG730" i="1"/>
  <c r="CH730" i="1"/>
  <c r="CI730" i="1"/>
  <c r="CJ730" i="1"/>
  <c r="CK730" i="1"/>
  <c r="CL730" i="1"/>
  <c r="CM730" i="1"/>
  <c r="CN730" i="1"/>
  <c r="CO730" i="1"/>
  <c r="CP730" i="1"/>
  <c r="CQ730" i="1"/>
  <c r="CR730" i="1"/>
  <c r="BO731" i="1"/>
  <c r="BP731" i="1"/>
  <c r="BQ731" i="1"/>
  <c r="BR731" i="1"/>
  <c r="BS731" i="1"/>
  <c r="BT731" i="1"/>
  <c r="BU731" i="1"/>
  <c r="BV731" i="1"/>
  <c r="BW731" i="1"/>
  <c r="BX731" i="1"/>
  <c r="BY731" i="1"/>
  <c r="BZ731" i="1"/>
  <c r="CA731" i="1"/>
  <c r="CB731" i="1"/>
  <c r="CC731" i="1"/>
  <c r="CD731" i="1"/>
  <c r="CE731" i="1"/>
  <c r="CF731" i="1"/>
  <c r="CG731" i="1"/>
  <c r="CH731" i="1"/>
  <c r="CI731" i="1"/>
  <c r="CJ731" i="1"/>
  <c r="CK731" i="1"/>
  <c r="CL731" i="1"/>
  <c r="CM731" i="1"/>
  <c r="CN731" i="1"/>
  <c r="CO731" i="1"/>
  <c r="CP731" i="1"/>
  <c r="CQ731" i="1"/>
  <c r="CR731" i="1"/>
  <c r="BO732" i="1"/>
  <c r="BP732" i="1"/>
  <c r="BQ732" i="1"/>
  <c r="BR732" i="1"/>
  <c r="BS732" i="1"/>
  <c r="BT732" i="1"/>
  <c r="BU732" i="1"/>
  <c r="BV732" i="1"/>
  <c r="BW732" i="1"/>
  <c r="BX732" i="1"/>
  <c r="BY732" i="1"/>
  <c r="BZ732" i="1"/>
  <c r="CA732" i="1"/>
  <c r="CB732" i="1"/>
  <c r="CC732" i="1"/>
  <c r="CD732" i="1"/>
  <c r="CE732" i="1"/>
  <c r="CF732" i="1"/>
  <c r="CG732" i="1"/>
  <c r="CH732" i="1"/>
  <c r="CI732" i="1"/>
  <c r="CJ732" i="1"/>
  <c r="CK732" i="1"/>
  <c r="CL732" i="1"/>
  <c r="CM732" i="1"/>
  <c r="CN732" i="1"/>
  <c r="CO732" i="1"/>
  <c r="CP732" i="1"/>
  <c r="CQ732" i="1"/>
  <c r="CR732" i="1"/>
  <c r="BO733" i="1"/>
  <c r="BP733" i="1"/>
  <c r="BQ733" i="1"/>
  <c r="BR733" i="1"/>
  <c r="BS733" i="1"/>
  <c r="BT733" i="1"/>
  <c r="BU733" i="1"/>
  <c r="BV733" i="1"/>
  <c r="BW733" i="1"/>
  <c r="BX733" i="1"/>
  <c r="BY733" i="1"/>
  <c r="BZ733" i="1"/>
  <c r="CA733" i="1"/>
  <c r="CB733" i="1"/>
  <c r="CC733" i="1"/>
  <c r="CD733" i="1"/>
  <c r="CE733" i="1"/>
  <c r="CF733" i="1"/>
  <c r="CG733" i="1"/>
  <c r="CH733" i="1"/>
  <c r="CI733" i="1"/>
  <c r="CJ733" i="1"/>
  <c r="CK733" i="1"/>
  <c r="CL733" i="1"/>
  <c r="CM733" i="1"/>
  <c r="CN733" i="1"/>
  <c r="CO733" i="1"/>
  <c r="CP733" i="1"/>
  <c r="CQ733" i="1"/>
  <c r="CR733" i="1"/>
  <c r="BO734" i="1"/>
  <c r="BP734" i="1"/>
  <c r="BQ734" i="1"/>
  <c r="BR734" i="1"/>
  <c r="BS734" i="1"/>
  <c r="BT734" i="1"/>
  <c r="BU734" i="1"/>
  <c r="BV734" i="1"/>
  <c r="BW734" i="1"/>
  <c r="BX734" i="1"/>
  <c r="BY734" i="1"/>
  <c r="BZ734" i="1"/>
  <c r="CA734" i="1"/>
  <c r="CB734" i="1"/>
  <c r="CC734" i="1"/>
  <c r="CD734" i="1"/>
  <c r="CE734" i="1"/>
  <c r="CF734" i="1"/>
  <c r="CG734" i="1"/>
  <c r="CH734" i="1"/>
  <c r="CI734" i="1"/>
  <c r="CJ734" i="1"/>
  <c r="CK734" i="1"/>
  <c r="CL734" i="1"/>
  <c r="CM734" i="1"/>
  <c r="CN734" i="1"/>
  <c r="CO734" i="1"/>
  <c r="CP734" i="1"/>
  <c r="CQ734" i="1"/>
  <c r="CR734" i="1"/>
  <c r="BO735" i="1"/>
  <c r="BP735" i="1"/>
  <c r="BQ735" i="1"/>
  <c r="BR735" i="1"/>
  <c r="BS735" i="1"/>
  <c r="BT735" i="1"/>
  <c r="BU735" i="1"/>
  <c r="BV735" i="1"/>
  <c r="BW735" i="1"/>
  <c r="BX735" i="1"/>
  <c r="BY735" i="1"/>
  <c r="BZ735" i="1"/>
  <c r="CA735" i="1"/>
  <c r="CB735" i="1"/>
  <c r="CC735" i="1"/>
  <c r="CD735" i="1"/>
  <c r="CE735" i="1"/>
  <c r="CF735" i="1"/>
  <c r="CG735" i="1"/>
  <c r="CH735" i="1"/>
  <c r="CI735" i="1"/>
  <c r="CJ735" i="1"/>
  <c r="CK735" i="1"/>
  <c r="CL735" i="1"/>
  <c r="CM735" i="1"/>
  <c r="CN735" i="1"/>
  <c r="CO735" i="1"/>
  <c r="CP735" i="1"/>
  <c r="CQ735" i="1"/>
  <c r="CR735" i="1"/>
  <c r="BO736" i="1"/>
  <c r="BP736" i="1"/>
  <c r="BQ736" i="1"/>
  <c r="BR736" i="1"/>
  <c r="BS736" i="1"/>
  <c r="BT736" i="1"/>
  <c r="BU736" i="1"/>
  <c r="BV736" i="1"/>
  <c r="BW736" i="1"/>
  <c r="BX736" i="1"/>
  <c r="BY736" i="1"/>
  <c r="BZ736" i="1"/>
  <c r="CA736" i="1"/>
  <c r="CB736" i="1"/>
  <c r="CC736" i="1"/>
  <c r="CD736" i="1"/>
  <c r="CE736" i="1"/>
  <c r="CF736" i="1"/>
  <c r="CG736" i="1"/>
  <c r="CH736" i="1"/>
  <c r="CI736" i="1"/>
  <c r="CJ736" i="1"/>
  <c r="CK736" i="1"/>
  <c r="CL736" i="1"/>
  <c r="CM736" i="1"/>
  <c r="CN736" i="1"/>
  <c r="CO736" i="1"/>
  <c r="CP736" i="1"/>
  <c r="CQ736" i="1"/>
  <c r="CR736" i="1"/>
  <c r="BO737" i="1"/>
  <c r="BP737" i="1"/>
  <c r="BQ737" i="1"/>
  <c r="BR737" i="1"/>
  <c r="BS737" i="1"/>
  <c r="BT737" i="1"/>
  <c r="BU737" i="1"/>
  <c r="BV737" i="1"/>
  <c r="BW737" i="1"/>
  <c r="BX737" i="1"/>
  <c r="BY737" i="1"/>
  <c r="BZ737" i="1"/>
  <c r="CA737" i="1"/>
  <c r="CB737" i="1"/>
  <c r="CC737" i="1"/>
  <c r="CD737" i="1"/>
  <c r="CE737" i="1"/>
  <c r="CF737" i="1"/>
  <c r="CG737" i="1"/>
  <c r="CH737" i="1"/>
  <c r="CI737" i="1"/>
  <c r="CJ737" i="1"/>
  <c r="CK737" i="1"/>
  <c r="CL737" i="1"/>
  <c r="CM737" i="1"/>
  <c r="CN737" i="1"/>
  <c r="CO737" i="1"/>
  <c r="CP737" i="1"/>
  <c r="CQ737" i="1"/>
  <c r="CR737" i="1"/>
  <c r="BO738" i="1"/>
  <c r="BP738" i="1"/>
  <c r="BQ738" i="1"/>
  <c r="BR738" i="1"/>
  <c r="BS738" i="1"/>
  <c r="BT738" i="1"/>
  <c r="BU738" i="1"/>
  <c r="BV738" i="1"/>
  <c r="BW738" i="1"/>
  <c r="BX738" i="1"/>
  <c r="BY738" i="1"/>
  <c r="BZ738" i="1"/>
  <c r="CA738" i="1"/>
  <c r="CB738" i="1"/>
  <c r="CC738" i="1"/>
  <c r="CD738" i="1"/>
  <c r="CE738" i="1"/>
  <c r="CF738" i="1"/>
  <c r="CG738" i="1"/>
  <c r="CH738" i="1"/>
  <c r="CI738" i="1"/>
  <c r="CJ738" i="1"/>
  <c r="CK738" i="1"/>
  <c r="CL738" i="1"/>
  <c r="CM738" i="1"/>
  <c r="CN738" i="1"/>
  <c r="CO738" i="1"/>
  <c r="CP738" i="1"/>
  <c r="CQ738" i="1"/>
  <c r="CR738" i="1"/>
  <c r="BO739" i="1"/>
  <c r="BP739" i="1"/>
  <c r="BQ739" i="1"/>
  <c r="BR739" i="1"/>
  <c r="BS739" i="1"/>
  <c r="BT739" i="1"/>
  <c r="BU739" i="1"/>
  <c r="BV739" i="1"/>
  <c r="BW739" i="1"/>
  <c r="BX739" i="1"/>
  <c r="BY739" i="1"/>
  <c r="BZ739" i="1"/>
  <c r="CA739" i="1"/>
  <c r="CB739" i="1"/>
  <c r="CC739" i="1"/>
  <c r="CD739" i="1"/>
  <c r="CE739" i="1"/>
  <c r="CF739" i="1"/>
  <c r="CG739" i="1"/>
  <c r="CH739" i="1"/>
  <c r="CI739" i="1"/>
  <c r="CJ739" i="1"/>
  <c r="CK739" i="1"/>
  <c r="CL739" i="1"/>
  <c r="CM739" i="1"/>
  <c r="CN739" i="1"/>
  <c r="CO739" i="1"/>
  <c r="CP739" i="1"/>
  <c r="CQ739" i="1"/>
  <c r="CR739" i="1"/>
  <c r="BO740" i="1"/>
  <c r="BP740" i="1"/>
  <c r="BQ740" i="1"/>
  <c r="BR740" i="1"/>
  <c r="BS740" i="1"/>
  <c r="BT740" i="1"/>
  <c r="BU740" i="1"/>
  <c r="BV740" i="1"/>
  <c r="BW740" i="1"/>
  <c r="BX740" i="1"/>
  <c r="BY740" i="1"/>
  <c r="BZ740" i="1"/>
  <c r="CA740" i="1"/>
  <c r="CB740" i="1"/>
  <c r="CC740" i="1"/>
  <c r="CD740" i="1"/>
  <c r="CE740" i="1"/>
  <c r="CF740" i="1"/>
  <c r="CG740" i="1"/>
  <c r="CH740" i="1"/>
  <c r="CI740" i="1"/>
  <c r="CJ740" i="1"/>
  <c r="CK740" i="1"/>
  <c r="CL740" i="1"/>
  <c r="CM740" i="1"/>
  <c r="CN740" i="1"/>
  <c r="CO740" i="1"/>
  <c r="CP740" i="1"/>
  <c r="CQ740" i="1"/>
  <c r="CR740" i="1"/>
  <c r="BO741" i="1"/>
  <c r="BP741" i="1"/>
  <c r="BQ741" i="1"/>
  <c r="BR741" i="1"/>
  <c r="BS741" i="1"/>
  <c r="BT741" i="1"/>
  <c r="BU741" i="1"/>
  <c r="BV741" i="1"/>
  <c r="BW741" i="1"/>
  <c r="BX741" i="1"/>
  <c r="BY741" i="1"/>
  <c r="BZ741" i="1"/>
  <c r="CA741" i="1"/>
  <c r="CB741" i="1"/>
  <c r="CC741" i="1"/>
  <c r="CD741" i="1"/>
  <c r="CE741" i="1"/>
  <c r="CF741" i="1"/>
  <c r="CG741" i="1"/>
  <c r="CH741" i="1"/>
  <c r="CI741" i="1"/>
  <c r="CJ741" i="1"/>
  <c r="CK741" i="1"/>
  <c r="CL741" i="1"/>
  <c r="CM741" i="1"/>
  <c r="CN741" i="1"/>
  <c r="CO741" i="1"/>
  <c r="CP741" i="1"/>
  <c r="CQ741" i="1"/>
  <c r="CR741" i="1"/>
  <c r="BO742" i="1"/>
  <c r="BP742" i="1"/>
  <c r="BQ742" i="1"/>
  <c r="BR742" i="1"/>
  <c r="BS742" i="1"/>
  <c r="BT742" i="1"/>
  <c r="BU742" i="1"/>
  <c r="BV742" i="1"/>
  <c r="BW742" i="1"/>
  <c r="BX742" i="1"/>
  <c r="BY742" i="1"/>
  <c r="BZ742" i="1"/>
  <c r="CA742" i="1"/>
  <c r="CB742" i="1"/>
  <c r="CC742" i="1"/>
  <c r="CD742" i="1"/>
  <c r="CE742" i="1"/>
  <c r="CF742" i="1"/>
  <c r="CG742" i="1"/>
  <c r="CH742" i="1"/>
  <c r="CI742" i="1"/>
  <c r="CJ742" i="1"/>
  <c r="CK742" i="1"/>
  <c r="CL742" i="1"/>
  <c r="CM742" i="1"/>
  <c r="CN742" i="1"/>
  <c r="CO742" i="1"/>
  <c r="CP742" i="1"/>
  <c r="CQ742" i="1"/>
  <c r="CR742" i="1"/>
  <c r="BO743" i="1"/>
  <c r="BP743" i="1"/>
  <c r="BQ743" i="1"/>
  <c r="BR743" i="1"/>
  <c r="BS743" i="1"/>
  <c r="BT743" i="1"/>
  <c r="BU743" i="1"/>
  <c r="BV743" i="1"/>
  <c r="BW743" i="1"/>
  <c r="BX743" i="1"/>
  <c r="BY743" i="1"/>
  <c r="BZ743" i="1"/>
  <c r="CA743" i="1"/>
  <c r="CB743" i="1"/>
  <c r="CC743" i="1"/>
  <c r="CD743" i="1"/>
  <c r="CE743" i="1"/>
  <c r="CF743" i="1"/>
  <c r="CG743" i="1"/>
  <c r="CH743" i="1"/>
  <c r="CI743" i="1"/>
  <c r="CJ743" i="1"/>
  <c r="CK743" i="1"/>
  <c r="CL743" i="1"/>
  <c r="CM743" i="1"/>
  <c r="CN743" i="1"/>
  <c r="CO743" i="1"/>
  <c r="CP743" i="1"/>
  <c r="CQ743" i="1"/>
  <c r="CR743" i="1"/>
  <c r="BO744" i="1"/>
  <c r="BP744" i="1"/>
  <c r="BQ744" i="1"/>
  <c r="BR744" i="1"/>
  <c r="BS744" i="1"/>
  <c r="BT744" i="1"/>
  <c r="BU744" i="1"/>
  <c r="BV744" i="1"/>
  <c r="BW744" i="1"/>
  <c r="BX744" i="1"/>
  <c r="BY744" i="1"/>
  <c r="BZ744" i="1"/>
  <c r="CA744" i="1"/>
  <c r="CB744" i="1"/>
  <c r="CC744" i="1"/>
  <c r="CD744" i="1"/>
  <c r="CE744" i="1"/>
  <c r="CF744" i="1"/>
  <c r="CG744" i="1"/>
  <c r="CH744" i="1"/>
  <c r="CI744" i="1"/>
  <c r="CJ744" i="1"/>
  <c r="CK744" i="1"/>
  <c r="CL744" i="1"/>
  <c r="CM744" i="1"/>
  <c r="CN744" i="1"/>
  <c r="CO744" i="1"/>
  <c r="CP744" i="1"/>
  <c r="CQ744" i="1"/>
  <c r="CR744" i="1"/>
  <c r="BO745" i="1"/>
  <c r="BP745" i="1"/>
  <c r="BQ745" i="1"/>
  <c r="BR745" i="1"/>
  <c r="BS745" i="1"/>
  <c r="BT745" i="1"/>
  <c r="BU745" i="1"/>
  <c r="BV745" i="1"/>
  <c r="BW745" i="1"/>
  <c r="BX745" i="1"/>
  <c r="BY745" i="1"/>
  <c r="BZ745" i="1"/>
  <c r="CA745" i="1"/>
  <c r="CB745" i="1"/>
  <c r="CC745" i="1"/>
  <c r="CD745" i="1"/>
  <c r="CE745" i="1"/>
  <c r="CF745" i="1"/>
  <c r="CG745" i="1"/>
  <c r="CH745" i="1"/>
  <c r="CI745" i="1"/>
  <c r="CJ745" i="1"/>
  <c r="CK745" i="1"/>
  <c r="CL745" i="1"/>
  <c r="CM745" i="1"/>
  <c r="CN745" i="1"/>
  <c r="CO745" i="1"/>
  <c r="CP745" i="1"/>
  <c r="CQ745" i="1"/>
  <c r="CR745" i="1"/>
  <c r="BO746" i="1"/>
  <c r="BP746" i="1"/>
  <c r="BQ746" i="1"/>
  <c r="BR746" i="1"/>
  <c r="BS746" i="1"/>
  <c r="BT746" i="1"/>
  <c r="BU746" i="1"/>
  <c r="BV746" i="1"/>
  <c r="BW746" i="1"/>
  <c r="BX746" i="1"/>
  <c r="BY746" i="1"/>
  <c r="BZ746" i="1"/>
  <c r="CA746" i="1"/>
  <c r="CB746" i="1"/>
  <c r="CC746" i="1"/>
  <c r="CD746" i="1"/>
  <c r="CE746" i="1"/>
  <c r="CF746" i="1"/>
  <c r="CG746" i="1"/>
  <c r="CH746" i="1"/>
  <c r="CI746" i="1"/>
  <c r="CJ746" i="1"/>
  <c r="CK746" i="1"/>
  <c r="CL746" i="1"/>
  <c r="CM746" i="1"/>
  <c r="CN746" i="1"/>
  <c r="CO746" i="1"/>
  <c r="CP746" i="1"/>
  <c r="CQ746" i="1"/>
  <c r="CR746" i="1"/>
  <c r="BO747" i="1"/>
  <c r="BP747" i="1"/>
  <c r="BQ747" i="1"/>
  <c r="BR747" i="1"/>
  <c r="BS747" i="1"/>
  <c r="BT747" i="1"/>
  <c r="BU747" i="1"/>
  <c r="BV747" i="1"/>
  <c r="BW747" i="1"/>
  <c r="BX747" i="1"/>
  <c r="BY747" i="1"/>
  <c r="BZ747" i="1"/>
  <c r="CA747" i="1"/>
  <c r="CB747" i="1"/>
  <c r="CC747" i="1"/>
  <c r="CD747" i="1"/>
  <c r="CE747" i="1"/>
  <c r="CF747" i="1"/>
  <c r="CG747" i="1"/>
  <c r="CH747" i="1"/>
  <c r="CI747" i="1"/>
  <c r="CJ747" i="1"/>
  <c r="CK747" i="1"/>
  <c r="CL747" i="1"/>
  <c r="CM747" i="1"/>
  <c r="CN747" i="1"/>
  <c r="CO747" i="1"/>
  <c r="CP747" i="1"/>
  <c r="CQ747" i="1"/>
  <c r="CR747" i="1"/>
  <c r="BO748" i="1"/>
  <c r="BP748" i="1"/>
  <c r="BQ748" i="1"/>
  <c r="BR748" i="1"/>
  <c r="BS748" i="1"/>
  <c r="BT748" i="1"/>
  <c r="BU748" i="1"/>
  <c r="BV748" i="1"/>
  <c r="BW748" i="1"/>
  <c r="BX748" i="1"/>
  <c r="BY748" i="1"/>
  <c r="BZ748" i="1"/>
  <c r="CA748" i="1"/>
  <c r="CB748" i="1"/>
  <c r="CC748" i="1"/>
  <c r="CD748" i="1"/>
  <c r="CE748" i="1"/>
  <c r="CF748" i="1"/>
  <c r="CG748" i="1"/>
  <c r="CH748" i="1"/>
  <c r="CI748" i="1"/>
  <c r="CJ748" i="1"/>
  <c r="CK748" i="1"/>
  <c r="CL748" i="1"/>
  <c r="CM748" i="1"/>
  <c r="CN748" i="1"/>
  <c r="CO748" i="1"/>
  <c r="CP748" i="1"/>
  <c r="CQ748" i="1"/>
  <c r="CR748" i="1"/>
  <c r="BO749" i="1"/>
  <c r="BP749" i="1"/>
  <c r="BQ749" i="1"/>
  <c r="BR749" i="1"/>
  <c r="BS749" i="1"/>
  <c r="BT749" i="1"/>
  <c r="BU749" i="1"/>
  <c r="BV749" i="1"/>
  <c r="BW749" i="1"/>
  <c r="BX749" i="1"/>
  <c r="BY749" i="1"/>
  <c r="BZ749" i="1"/>
  <c r="CA749" i="1"/>
  <c r="CB749" i="1"/>
  <c r="CC749" i="1"/>
  <c r="CD749" i="1"/>
  <c r="CE749" i="1"/>
  <c r="CF749" i="1"/>
  <c r="CG749" i="1"/>
  <c r="CH749" i="1"/>
  <c r="CI749" i="1"/>
  <c r="CJ749" i="1"/>
  <c r="CK749" i="1"/>
  <c r="CL749" i="1"/>
  <c r="CM749" i="1"/>
  <c r="CN749" i="1"/>
  <c r="CO749" i="1"/>
  <c r="CP749" i="1"/>
  <c r="CQ749" i="1"/>
  <c r="CR749" i="1"/>
  <c r="BO750" i="1"/>
  <c r="BP750" i="1"/>
  <c r="BQ750" i="1"/>
  <c r="BR750" i="1"/>
  <c r="BS750" i="1"/>
  <c r="BT750" i="1"/>
  <c r="BU750" i="1"/>
  <c r="BV750" i="1"/>
  <c r="BW750" i="1"/>
  <c r="BX750" i="1"/>
  <c r="BY750" i="1"/>
  <c r="BZ750" i="1"/>
  <c r="CA750" i="1"/>
  <c r="CB750" i="1"/>
  <c r="CC750" i="1"/>
  <c r="CD750" i="1"/>
  <c r="CE750" i="1"/>
  <c r="CF750" i="1"/>
  <c r="CG750" i="1"/>
  <c r="CH750" i="1"/>
  <c r="CI750" i="1"/>
  <c r="CJ750" i="1"/>
  <c r="CK750" i="1"/>
  <c r="CL750" i="1"/>
  <c r="CM750" i="1"/>
  <c r="CN750" i="1"/>
  <c r="CO750" i="1"/>
  <c r="CP750" i="1"/>
  <c r="CQ750" i="1"/>
  <c r="CR750" i="1"/>
  <c r="BO751" i="1"/>
  <c r="BP751" i="1"/>
  <c r="BQ751" i="1"/>
  <c r="BR751" i="1"/>
  <c r="BS751" i="1"/>
  <c r="BT751" i="1"/>
  <c r="BU751" i="1"/>
  <c r="BV751" i="1"/>
  <c r="BW751" i="1"/>
  <c r="BX751" i="1"/>
  <c r="BY751" i="1"/>
  <c r="BZ751" i="1"/>
  <c r="CA751" i="1"/>
  <c r="CB751" i="1"/>
  <c r="CC751" i="1"/>
  <c r="CD751" i="1"/>
  <c r="CE751" i="1"/>
  <c r="CF751" i="1"/>
  <c r="CG751" i="1"/>
  <c r="CH751" i="1"/>
  <c r="CI751" i="1"/>
  <c r="CJ751" i="1"/>
  <c r="CK751" i="1"/>
  <c r="CL751" i="1"/>
  <c r="CM751" i="1"/>
  <c r="CN751" i="1"/>
  <c r="CO751" i="1"/>
  <c r="CP751" i="1"/>
  <c r="CQ751" i="1"/>
  <c r="CR751" i="1"/>
  <c r="BO752" i="1"/>
  <c r="BP752" i="1"/>
  <c r="BQ752" i="1"/>
  <c r="BR752" i="1"/>
  <c r="BS752" i="1"/>
  <c r="BT752" i="1"/>
  <c r="BU752" i="1"/>
  <c r="BV752" i="1"/>
  <c r="BW752" i="1"/>
  <c r="BX752" i="1"/>
  <c r="BY752" i="1"/>
  <c r="BZ752" i="1"/>
  <c r="CA752" i="1"/>
  <c r="CB752" i="1"/>
  <c r="CC752" i="1"/>
  <c r="CD752" i="1"/>
  <c r="CE752" i="1"/>
  <c r="CF752" i="1"/>
  <c r="CG752" i="1"/>
  <c r="CH752" i="1"/>
  <c r="CI752" i="1"/>
  <c r="CJ752" i="1"/>
  <c r="CK752" i="1"/>
  <c r="CL752" i="1"/>
  <c r="CM752" i="1"/>
  <c r="CN752" i="1"/>
  <c r="CO752" i="1"/>
  <c r="CP752" i="1"/>
  <c r="CQ752" i="1"/>
  <c r="CR752" i="1"/>
  <c r="BO753" i="1"/>
  <c r="BP753" i="1"/>
  <c r="BQ753" i="1"/>
  <c r="BR753" i="1"/>
  <c r="BS753" i="1"/>
  <c r="BT753" i="1"/>
  <c r="BU753" i="1"/>
  <c r="BV753" i="1"/>
  <c r="BW753" i="1"/>
  <c r="BX753" i="1"/>
  <c r="BY753" i="1"/>
  <c r="BZ753" i="1"/>
  <c r="CA753" i="1"/>
  <c r="CB753" i="1"/>
  <c r="CC753" i="1"/>
  <c r="CD753" i="1"/>
  <c r="CE753" i="1"/>
  <c r="CF753" i="1"/>
  <c r="CG753" i="1"/>
  <c r="CH753" i="1"/>
  <c r="CI753" i="1"/>
  <c r="CJ753" i="1"/>
  <c r="CK753" i="1"/>
  <c r="CL753" i="1"/>
  <c r="CM753" i="1"/>
  <c r="CN753" i="1"/>
  <c r="CO753" i="1"/>
  <c r="CP753" i="1"/>
  <c r="CQ753" i="1"/>
  <c r="CR753" i="1"/>
  <c r="BO754" i="1"/>
  <c r="BP754" i="1"/>
  <c r="BQ754" i="1"/>
  <c r="BR754" i="1"/>
  <c r="BS754" i="1"/>
  <c r="BT754" i="1"/>
  <c r="BU754" i="1"/>
  <c r="BV754" i="1"/>
  <c r="BW754" i="1"/>
  <c r="BX754" i="1"/>
  <c r="BY754" i="1"/>
  <c r="BZ754" i="1"/>
  <c r="CA754" i="1"/>
  <c r="CB754" i="1"/>
  <c r="CC754" i="1"/>
  <c r="CD754" i="1"/>
  <c r="CE754" i="1"/>
  <c r="CF754" i="1"/>
  <c r="CG754" i="1"/>
  <c r="CH754" i="1"/>
  <c r="CI754" i="1"/>
  <c r="CJ754" i="1"/>
  <c r="CK754" i="1"/>
  <c r="CL754" i="1"/>
  <c r="CM754" i="1"/>
  <c r="CN754" i="1"/>
  <c r="CO754" i="1"/>
  <c r="CP754" i="1"/>
  <c r="CQ754" i="1"/>
  <c r="CR754" i="1"/>
  <c r="BO755" i="1"/>
  <c r="BP755" i="1"/>
  <c r="BQ755" i="1"/>
  <c r="BR755" i="1"/>
  <c r="BS755" i="1"/>
  <c r="BT755" i="1"/>
  <c r="BU755" i="1"/>
  <c r="BV755" i="1"/>
  <c r="BW755" i="1"/>
  <c r="BX755" i="1"/>
  <c r="BY755" i="1"/>
  <c r="BZ755" i="1"/>
  <c r="CA755" i="1"/>
  <c r="CB755" i="1"/>
  <c r="CC755" i="1"/>
  <c r="CD755" i="1"/>
  <c r="CE755" i="1"/>
  <c r="CF755" i="1"/>
  <c r="CG755" i="1"/>
  <c r="CH755" i="1"/>
  <c r="CI755" i="1"/>
  <c r="CJ755" i="1"/>
  <c r="CK755" i="1"/>
  <c r="CL755" i="1"/>
  <c r="CM755" i="1"/>
  <c r="CN755" i="1"/>
  <c r="CO755" i="1"/>
  <c r="CP755" i="1"/>
  <c r="CQ755" i="1"/>
  <c r="CR755" i="1"/>
  <c r="BO756" i="1"/>
  <c r="BP756" i="1"/>
  <c r="BQ756" i="1"/>
  <c r="BR756" i="1"/>
  <c r="BS756" i="1"/>
  <c r="BT756" i="1"/>
  <c r="BU756" i="1"/>
  <c r="BV756" i="1"/>
  <c r="BW756" i="1"/>
  <c r="BX756" i="1"/>
  <c r="BY756" i="1"/>
  <c r="BZ756" i="1"/>
  <c r="CA756" i="1"/>
  <c r="CB756" i="1"/>
  <c r="CC756" i="1"/>
  <c r="CD756" i="1"/>
  <c r="CE756" i="1"/>
  <c r="CF756" i="1"/>
  <c r="CG756" i="1"/>
  <c r="CH756" i="1"/>
  <c r="CI756" i="1"/>
  <c r="CJ756" i="1"/>
  <c r="CK756" i="1"/>
  <c r="CL756" i="1"/>
  <c r="CM756" i="1"/>
  <c r="CN756" i="1"/>
  <c r="CO756" i="1"/>
  <c r="CP756" i="1"/>
  <c r="CQ756" i="1"/>
  <c r="CR756" i="1"/>
  <c r="BO757" i="1"/>
  <c r="BP757" i="1"/>
  <c r="BQ757" i="1"/>
  <c r="BR757" i="1"/>
  <c r="BS757" i="1"/>
  <c r="BT757" i="1"/>
  <c r="BU757" i="1"/>
  <c r="BV757" i="1"/>
  <c r="BW757" i="1"/>
  <c r="BX757" i="1"/>
  <c r="BY757" i="1"/>
  <c r="BZ757" i="1"/>
  <c r="CA757" i="1"/>
  <c r="CB757" i="1"/>
  <c r="CC757" i="1"/>
  <c r="CD757" i="1"/>
  <c r="CE757" i="1"/>
  <c r="CF757" i="1"/>
  <c r="CG757" i="1"/>
  <c r="CH757" i="1"/>
  <c r="CI757" i="1"/>
  <c r="CJ757" i="1"/>
  <c r="CK757" i="1"/>
  <c r="CL757" i="1"/>
  <c r="CM757" i="1"/>
  <c r="CN757" i="1"/>
  <c r="CO757" i="1"/>
  <c r="CP757" i="1"/>
  <c r="CQ757" i="1"/>
  <c r="CR757" i="1"/>
  <c r="BO758" i="1"/>
  <c r="BP758" i="1"/>
  <c r="BQ758" i="1"/>
  <c r="BR758" i="1"/>
  <c r="BS758" i="1"/>
  <c r="BT758" i="1"/>
  <c r="BU758" i="1"/>
  <c r="BV758" i="1"/>
  <c r="BW758" i="1"/>
  <c r="BX758" i="1"/>
  <c r="BY758" i="1"/>
  <c r="BZ758" i="1"/>
  <c r="CA758" i="1"/>
  <c r="CB758" i="1"/>
  <c r="CC758" i="1"/>
  <c r="CD758" i="1"/>
  <c r="CE758" i="1"/>
  <c r="CF758" i="1"/>
  <c r="CG758" i="1"/>
  <c r="CH758" i="1"/>
  <c r="CI758" i="1"/>
  <c r="CJ758" i="1"/>
  <c r="CK758" i="1"/>
  <c r="CL758" i="1"/>
  <c r="CM758" i="1"/>
  <c r="CN758" i="1"/>
  <c r="CO758" i="1"/>
  <c r="CP758" i="1"/>
  <c r="CQ758" i="1"/>
  <c r="CR758" i="1"/>
  <c r="BO759" i="1"/>
  <c r="BP759" i="1"/>
  <c r="BQ759" i="1"/>
  <c r="BR759" i="1"/>
  <c r="BS759" i="1"/>
  <c r="BT759" i="1"/>
  <c r="BU759" i="1"/>
  <c r="BV759" i="1"/>
  <c r="BW759" i="1"/>
  <c r="BX759" i="1"/>
  <c r="BY759" i="1"/>
  <c r="BZ759" i="1"/>
  <c r="CA759" i="1"/>
  <c r="CB759" i="1"/>
  <c r="CC759" i="1"/>
  <c r="CD759" i="1"/>
  <c r="CE759" i="1"/>
  <c r="CF759" i="1"/>
  <c r="CG759" i="1"/>
  <c r="CH759" i="1"/>
  <c r="CI759" i="1"/>
  <c r="CJ759" i="1"/>
  <c r="CK759" i="1"/>
  <c r="CL759" i="1"/>
  <c r="CM759" i="1"/>
  <c r="CN759" i="1"/>
  <c r="CO759" i="1"/>
  <c r="CP759" i="1"/>
  <c r="CQ759" i="1"/>
  <c r="CR759" i="1"/>
  <c r="BO760" i="1"/>
  <c r="BP760" i="1"/>
  <c r="BQ760" i="1"/>
  <c r="BR760" i="1"/>
  <c r="BS760" i="1"/>
  <c r="BT760" i="1"/>
  <c r="BU760" i="1"/>
  <c r="BV760" i="1"/>
  <c r="BW760" i="1"/>
  <c r="BX760" i="1"/>
  <c r="BY760" i="1"/>
  <c r="BZ760" i="1"/>
  <c r="CA760" i="1"/>
  <c r="CB760" i="1"/>
  <c r="CC760" i="1"/>
  <c r="CD760" i="1"/>
  <c r="CE760" i="1"/>
  <c r="CF760" i="1"/>
  <c r="CG760" i="1"/>
  <c r="CH760" i="1"/>
  <c r="CI760" i="1"/>
  <c r="CJ760" i="1"/>
  <c r="CK760" i="1"/>
  <c r="CL760" i="1"/>
  <c r="CM760" i="1"/>
  <c r="CN760" i="1"/>
  <c r="CO760" i="1"/>
  <c r="CP760" i="1"/>
  <c r="CQ760" i="1"/>
  <c r="CR760" i="1"/>
  <c r="BO761" i="1"/>
  <c r="BP761" i="1"/>
  <c r="BQ761" i="1"/>
  <c r="BR761" i="1"/>
  <c r="BS761" i="1"/>
  <c r="BT761" i="1"/>
  <c r="BU761" i="1"/>
  <c r="BV761" i="1"/>
  <c r="BW761" i="1"/>
  <c r="BX761" i="1"/>
  <c r="BY761" i="1"/>
  <c r="BZ761" i="1"/>
  <c r="CA761" i="1"/>
  <c r="CB761" i="1"/>
  <c r="CC761" i="1"/>
  <c r="CD761" i="1"/>
  <c r="CE761" i="1"/>
  <c r="CF761" i="1"/>
  <c r="CG761" i="1"/>
  <c r="CH761" i="1"/>
  <c r="CI761" i="1"/>
  <c r="CJ761" i="1"/>
  <c r="CK761" i="1"/>
  <c r="CL761" i="1"/>
  <c r="CM761" i="1"/>
  <c r="CN761" i="1"/>
  <c r="CO761" i="1"/>
  <c r="CP761" i="1"/>
  <c r="CQ761" i="1"/>
  <c r="CR761" i="1"/>
  <c r="BO762" i="1"/>
  <c r="BP762" i="1"/>
  <c r="BQ762" i="1"/>
  <c r="BR762" i="1"/>
  <c r="BS762" i="1"/>
  <c r="BT762" i="1"/>
  <c r="BU762" i="1"/>
  <c r="BV762" i="1"/>
  <c r="BW762" i="1"/>
  <c r="BX762" i="1"/>
  <c r="BY762" i="1"/>
  <c r="BZ762" i="1"/>
  <c r="CA762" i="1"/>
  <c r="CB762" i="1"/>
  <c r="CC762" i="1"/>
  <c r="CD762" i="1"/>
  <c r="CE762" i="1"/>
  <c r="CF762" i="1"/>
  <c r="CG762" i="1"/>
  <c r="CH762" i="1"/>
  <c r="CI762" i="1"/>
  <c r="CJ762" i="1"/>
  <c r="CK762" i="1"/>
  <c r="CL762" i="1"/>
  <c r="CM762" i="1"/>
  <c r="CN762" i="1"/>
  <c r="CO762" i="1"/>
  <c r="CP762" i="1"/>
  <c r="CQ762" i="1"/>
  <c r="CR762" i="1"/>
  <c r="BO763" i="1"/>
  <c r="BP763" i="1"/>
  <c r="BQ763" i="1"/>
  <c r="BR763" i="1"/>
  <c r="BS763" i="1"/>
  <c r="BT763" i="1"/>
  <c r="BU763" i="1"/>
  <c r="BV763" i="1"/>
  <c r="BW763" i="1"/>
  <c r="BX763" i="1"/>
  <c r="BY763" i="1"/>
  <c r="BZ763" i="1"/>
  <c r="CA763" i="1"/>
  <c r="CB763" i="1"/>
  <c r="CC763" i="1"/>
  <c r="CD763" i="1"/>
  <c r="CE763" i="1"/>
  <c r="CF763" i="1"/>
  <c r="CG763" i="1"/>
  <c r="CH763" i="1"/>
  <c r="CI763" i="1"/>
  <c r="CJ763" i="1"/>
  <c r="CK763" i="1"/>
  <c r="CL763" i="1"/>
  <c r="CM763" i="1"/>
  <c r="CN763" i="1"/>
  <c r="CO763" i="1"/>
  <c r="CP763" i="1"/>
  <c r="CQ763" i="1"/>
  <c r="CR763" i="1"/>
  <c r="BO764" i="1"/>
  <c r="BP764" i="1"/>
  <c r="BQ764" i="1"/>
  <c r="BR764" i="1"/>
  <c r="BS764" i="1"/>
  <c r="BT764" i="1"/>
  <c r="BU764" i="1"/>
  <c r="BV764" i="1"/>
  <c r="BW764" i="1"/>
  <c r="BX764" i="1"/>
  <c r="BY764" i="1"/>
  <c r="BZ764" i="1"/>
  <c r="CA764" i="1"/>
  <c r="CB764" i="1"/>
  <c r="CC764" i="1"/>
  <c r="CD764" i="1"/>
  <c r="CE764" i="1"/>
  <c r="CF764" i="1"/>
  <c r="CG764" i="1"/>
  <c r="CH764" i="1"/>
  <c r="CI764" i="1"/>
  <c r="CJ764" i="1"/>
  <c r="CK764" i="1"/>
  <c r="CL764" i="1"/>
  <c r="CM764" i="1"/>
  <c r="CN764" i="1"/>
  <c r="CO764" i="1"/>
  <c r="CP764" i="1"/>
  <c r="CQ764" i="1"/>
  <c r="CR764" i="1"/>
  <c r="BO765" i="1"/>
  <c r="BP765" i="1"/>
  <c r="BQ765" i="1"/>
  <c r="BR765" i="1"/>
  <c r="BS765" i="1"/>
  <c r="BT765" i="1"/>
  <c r="BU765" i="1"/>
  <c r="BV765" i="1"/>
  <c r="BW765" i="1"/>
  <c r="BX765" i="1"/>
  <c r="BY765" i="1"/>
  <c r="BZ765" i="1"/>
  <c r="CA765" i="1"/>
  <c r="CB765" i="1"/>
  <c r="CC765" i="1"/>
  <c r="CD765" i="1"/>
  <c r="CE765" i="1"/>
  <c r="CF765" i="1"/>
  <c r="CG765" i="1"/>
  <c r="CH765" i="1"/>
  <c r="CI765" i="1"/>
  <c r="CJ765" i="1"/>
  <c r="CK765" i="1"/>
  <c r="CL765" i="1"/>
  <c r="CM765" i="1"/>
  <c r="CN765" i="1"/>
  <c r="CO765" i="1"/>
  <c r="CP765" i="1"/>
  <c r="CQ765" i="1"/>
  <c r="CR765" i="1"/>
  <c r="BO766" i="1"/>
  <c r="BP766" i="1"/>
  <c r="BQ766" i="1"/>
  <c r="BR766" i="1"/>
  <c r="BS766" i="1"/>
  <c r="BT766" i="1"/>
  <c r="BU766" i="1"/>
  <c r="BV766" i="1"/>
  <c r="BW766" i="1"/>
  <c r="BX766" i="1"/>
  <c r="BY766" i="1"/>
  <c r="BZ766" i="1"/>
  <c r="CA766" i="1"/>
  <c r="CB766" i="1"/>
  <c r="CC766" i="1"/>
  <c r="CD766" i="1"/>
  <c r="CE766" i="1"/>
  <c r="CF766" i="1"/>
  <c r="CG766" i="1"/>
  <c r="CH766" i="1"/>
  <c r="CI766" i="1"/>
  <c r="CJ766" i="1"/>
  <c r="CK766" i="1"/>
  <c r="CL766" i="1"/>
  <c r="CM766" i="1"/>
  <c r="CN766" i="1"/>
  <c r="CO766" i="1"/>
  <c r="CP766" i="1"/>
  <c r="CQ766" i="1"/>
  <c r="CR766" i="1"/>
  <c r="BO767" i="1"/>
  <c r="BP767" i="1"/>
  <c r="BQ767" i="1"/>
  <c r="BR767" i="1"/>
  <c r="BS767" i="1"/>
  <c r="BT767" i="1"/>
  <c r="BU767" i="1"/>
  <c r="BV767" i="1"/>
  <c r="BW767" i="1"/>
  <c r="BX767" i="1"/>
  <c r="BY767" i="1"/>
  <c r="BZ767" i="1"/>
  <c r="CA767" i="1"/>
  <c r="CB767" i="1"/>
  <c r="CC767" i="1"/>
  <c r="CD767" i="1"/>
  <c r="CE767" i="1"/>
  <c r="CF767" i="1"/>
  <c r="CG767" i="1"/>
  <c r="CH767" i="1"/>
  <c r="CI767" i="1"/>
  <c r="CJ767" i="1"/>
  <c r="CK767" i="1"/>
  <c r="CL767" i="1"/>
  <c r="CM767" i="1"/>
  <c r="CN767" i="1"/>
  <c r="CO767" i="1"/>
  <c r="CP767" i="1"/>
  <c r="CQ767" i="1"/>
  <c r="CR767" i="1"/>
  <c r="BO768" i="1"/>
  <c r="BP768" i="1"/>
  <c r="BQ768" i="1"/>
  <c r="BR768" i="1"/>
  <c r="BS768" i="1"/>
  <c r="BT768" i="1"/>
  <c r="BU768" i="1"/>
  <c r="BV768" i="1"/>
  <c r="BW768" i="1"/>
  <c r="BX768" i="1"/>
  <c r="BY768" i="1"/>
  <c r="BZ768" i="1"/>
  <c r="CA768" i="1"/>
  <c r="CB768" i="1"/>
  <c r="CC768" i="1"/>
  <c r="CD768" i="1"/>
  <c r="CE768" i="1"/>
  <c r="CF768" i="1"/>
  <c r="CG768" i="1"/>
  <c r="CH768" i="1"/>
  <c r="CI768" i="1"/>
  <c r="CJ768" i="1"/>
  <c r="CK768" i="1"/>
  <c r="CL768" i="1"/>
  <c r="CM768" i="1"/>
  <c r="CN768" i="1"/>
  <c r="CO768" i="1"/>
  <c r="CP768" i="1"/>
  <c r="CQ768" i="1"/>
  <c r="CR768" i="1"/>
  <c r="BO769" i="1"/>
  <c r="BP769" i="1"/>
  <c r="BQ769" i="1"/>
  <c r="BR769" i="1"/>
  <c r="BS769" i="1"/>
  <c r="BT769" i="1"/>
  <c r="BU769" i="1"/>
  <c r="BV769" i="1"/>
  <c r="BW769" i="1"/>
  <c r="BX769" i="1"/>
  <c r="BY769" i="1"/>
  <c r="BZ769" i="1"/>
  <c r="CA769" i="1"/>
  <c r="CB769" i="1"/>
  <c r="CC769" i="1"/>
  <c r="CD769" i="1"/>
  <c r="CE769" i="1"/>
  <c r="CF769" i="1"/>
  <c r="CG769" i="1"/>
  <c r="CH769" i="1"/>
  <c r="CI769" i="1"/>
  <c r="CJ769" i="1"/>
  <c r="CK769" i="1"/>
  <c r="CL769" i="1"/>
  <c r="CM769" i="1"/>
  <c r="CN769" i="1"/>
  <c r="CO769" i="1"/>
  <c r="CP769" i="1"/>
  <c r="CQ769" i="1"/>
  <c r="CR769" i="1"/>
  <c r="BO770" i="1"/>
  <c r="BP770" i="1"/>
  <c r="BQ770" i="1"/>
  <c r="BR770" i="1"/>
  <c r="BS770" i="1"/>
  <c r="BT770" i="1"/>
  <c r="BU770" i="1"/>
  <c r="BV770" i="1"/>
  <c r="BW770" i="1"/>
  <c r="BX770" i="1"/>
  <c r="BY770" i="1"/>
  <c r="BZ770" i="1"/>
  <c r="CA770" i="1"/>
  <c r="CB770" i="1"/>
  <c r="CC770" i="1"/>
  <c r="CD770" i="1"/>
  <c r="CE770" i="1"/>
  <c r="CF770" i="1"/>
  <c r="CG770" i="1"/>
  <c r="CH770" i="1"/>
  <c r="CI770" i="1"/>
  <c r="CJ770" i="1"/>
  <c r="CK770" i="1"/>
  <c r="CL770" i="1"/>
  <c r="CM770" i="1"/>
  <c r="CN770" i="1"/>
  <c r="CO770" i="1"/>
  <c r="CP770" i="1"/>
  <c r="CQ770" i="1"/>
  <c r="CR770" i="1"/>
  <c r="BO771" i="1"/>
  <c r="BP771" i="1"/>
  <c r="BQ771" i="1"/>
  <c r="BR771" i="1"/>
  <c r="BS771" i="1"/>
  <c r="BT771" i="1"/>
  <c r="BU771" i="1"/>
  <c r="BV771" i="1"/>
  <c r="BW771" i="1"/>
  <c r="BX771" i="1"/>
  <c r="BY771" i="1"/>
  <c r="BZ771" i="1"/>
  <c r="CA771" i="1"/>
  <c r="CB771" i="1"/>
  <c r="CC771" i="1"/>
  <c r="CD771" i="1"/>
  <c r="CE771" i="1"/>
  <c r="CF771" i="1"/>
  <c r="CG771" i="1"/>
  <c r="CH771" i="1"/>
  <c r="CI771" i="1"/>
  <c r="CJ771" i="1"/>
  <c r="CK771" i="1"/>
  <c r="CL771" i="1"/>
  <c r="CM771" i="1"/>
  <c r="CN771" i="1"/>
  <c r="CO771" i="1"/>
  <c r="CP771" i="1"/>
  <c r="CQ771" i="1"/>
  <c r="CR771" i="1"/>
  <c r="BO772" i="1"/>
  <c r="BP772" i="1"/>
  <c r="BQ772" i="1"/>
  <c r="BR772" i="1"/>
  <c r="BS772" i="1"/>
  <c r="BT772" i="1"/>
  <c r="BU772" i="1"/>
  <c r="BV772" i="1"/>
  <c r="BW772" i="1"/>
  <c r="BX772" i="1"/>
  <c r="BY772" i="1"/>
  <c r="BZ772" i="1"/>
  <c r="CA772" i="1"/>
  <c r="CB772" i="1"/>
  <c r="CC772" i="1"/>
  <c r="CD772" i="1"/>
  <c r="CE772" i="1"/>
  <c r="CF772" i="1"/>
  <c r="CG772" i="1"/>
  <c r="CH772" i="1"/>
  <c r="CI772" i="1"/>
  <c r="CJ772" i="1"/>
  <c r="CK772" i="1"/>
  <c r="CL772" i="1"/>
  <c r="CM772" i="1"/>
  <c r="CN772" i="1"/>
  <c r="CO772" i="1"/>
  <c r="CP772" i="1"/>
  <c r="CQ772" i="1"/>
  <c r="CR772" i="1"/>
  <c r="BO773" i="1"/>
  <c r="BP773" i="1"/>
  <c r="BQ773" i="1"/>
  <c r="BR773" i="1"/>
  <c r="BS773" i="1"/>
  <c r="BT773" i="1"/>
  <c r="BU773" i="1"/>
  <c r="BV773" i="1"/>
  <c r="BW773" i="1"/>
  <c r="BX773" i="1"/>
  <c r="BY773" i="1"/>
  <c r="BZ773" i="1"/>
  <c r="CA773" i="1"/>
  <c r="CB773" i="1"/>
  <c r="CC773" i="1"/>
  <c r="CD773" i="1"/>
  <c r="CE773" i="1"/>
  <c r="CF773" i="1"/>
  <c r="CG773" i="1"/>
  <c r="CH773" i="1"/>
  <c r="CI773" i="1"/>
  <c r="CJ773" i="1"/>
  <c r="CK773" i="1"/>
  <c r="CL773" i="1"/>
  <c r="CM773" i="1"/>
  <c r="CN773" i="1"/>
  <c r="CO773" i="1"/>
  <c r="CP773" i="1"/>
  <c r="CQ773" i="1"/>
  <c r="CR773" i="1"/>
  <c r="BO774" i="1"/>
  <c r="BP774" i="1"/>
  <c r="BQ774" i="1"/>
  <c r="BR774" i="1"/>
  <c r="BS774" i="1"/>
  <c r="BT774" i="1"/>
  <c r="BU774" i="1"/>
  <c r="BV774" i="1"/>
  <c r="BW774" i="1"/>
  <c r="BX774" i="1"/>
  <c r="BY774" i="1"/>
  <c r="BZ774" i="1"/>
  <c r="CA774" i="1"/>
  <c r="CB774" i="1"/>
  <c r="CC774" i="1"/>
  <c r="CD774" i="1"/>
  <c r="CE774" i="1"/>
  <c r="CF774" i="1"/>
  <c r="CG774" i="1"/>
  <c r="CH774" i="1"/>
  <c r="CI774" i="1"/>
  <c r="CJ774" i="1"/>
  <c r="CK774" i="1"/>
  <c r="CL774" i="1"/>
  <c r="CM774" i="1"/>
  <c r="CN774" i="1"/>
  <c r="CO774" i="1"/>
  <c r="CP774" i="1"/>
  <c r="CQ774" i="1"/>
  <c r="CR774" i="1"/>
  <c r="BO775" i="1"/>
  <c r="BP775" i="1"/>
  <c r="BQ775" i="1"/>
  <c r="BR775" i="1"/>
  <c r="BS775" i="1"/>
  <c r="BT775" i="1"/>
  <c r="BU775" i="1"/>
  <c r="BV775" i="1"/>
  <c r="BW775" i="1"/>
  <c r="BX775" i="1"/>
  <c r="BY775" i="1"/>
  <c r="BZ775" i="1"/>
  <c r="CA775" i="1"/>
  <c r="CB775" i="1"/>
  <c r="CC775" i="1"/>
  <c r="CD775" i="1"/>
  <c r="CE775" i="1"/>
  <c r="CF775" i="1"/>
  <c r="CG775" i="1"/>
  <c r="CH775" i="1"/>
  <c r="CI775" i="1"/>
  <c r="CJ775" i="1"/>
  <c r="CK775" i="1"/>
  <c r="CL775" i="1"/>
  <c r="CM775" i="1"/>
  <c r="CN775" i="1"/>
  <c r="CO775" i="1"/>
  <c r="CP775" i="1"/>
  <c r="CQ775" i="1"/>
  <c r="CR775" i="1"/>
  <c r="BO776" i="1"/>
  <c r="BP776" i="1"/>
  <c r="BQ776" i="1"/>
  <c r="BR776" i="1"/>
  <c r="BS776" i="1"/>
  <c r="BT776" i="1"/>
  <c r="BU776" i="1"/>
  <c r="BV776" i="1"/>
  <c r="BW776" i="1"/>
  <c r="BX776" i="1"/>
  <c r="BY776" i="1"/>
  <c r="BZ776" i="1"/>
  <c r="CA776" i="1"/>
  <c r="CB776" i="1"/>
  <c r="CC776" i="1"/>
  <c r="CD776" i="1"/>
  <c r="CE776" i="1"/>
  <c r="CF776" i="1"/>
  <c r="CG776" i="1"/>
  <c r="CH776" i="1"/>
  <c r="CI776" i="1"/>
  <c r="CJ776" i="1"/>
  <c r="CK776" i="1"/>
  <c r="CL776" i="1"/>
  <c r="CM776" i="1"/>
  <c r="CN776" i="1"/>
  <c r="CO776" i="1"/>
  <c r="CP776" i="1"/>
  <c r="CQ776" i="1"/>
  <c r="CR776" i="1"/>
  <c r="BO777" i="1"/>
  <c r="BP777" i="1"/>
  <c r="BQ777" i="1"/>
  <c r="BR777" i="1"/>
  <c r="BS777" i="1"/>
  <c r="BT777" i="1"/>
  <c r="BU777" i="1"/>
  <c r="BV777" i="1"/>
  <c r="BW777" i="1"/>
  <c r="BX777" i="1"/>
  <c r="BY777" i="1"/>
  <c r="BZ777" i="1"/>
  <c r="CA777" i="1"/>
  <c r="CB777" i="1"/>
  <c r="CC777" i="1"/>
  <c r="CD777" i="1"/>
  <c r="CE777" i="1"/>
  <c r="CF777" i="1"/>
  <c r="CG777" i="1"/>
  <c r="CH777" i="1"/>
  <c r="CI777" i="1"/>
  <c r="CJ777" i="1"/>
  <c r="CK777" i="1"/>
  <c r="CL777" i="1"/>
  <c r="CM777" i="1"/>
  <c r="CN777" i="1"/>
  <c r="CO777" i="1"/>
  <c r="CP777" i="1"/>
  <c r="CQ777" i="1"/>
  <c r="CR777" i="1"/>
  <c r="BO778" i="1"/>
  <c r="BP778" i="1"/>
  <c r="BQ778" i="1"/>
  <c r="BR778" i="1"/>
  <c r="BS778" i="1"/>
  <c r="BT778" i="1"/>
  <c r="BU778" i="1"/>
  <c r="BV778" i="1"/>
  <c r="BW778" i="1"/>
  <c r="BX778" i="1"/>
  <c r="BY778" i="1"/>
  <c r="BZ778" i="1"/>
  <c r="CA778" i="1"/>
  <c r="CB778" i="1"/>
  <c r="CC778" i="1"/>
  <c r="CD778" i="1"/>
  <c r="CE778" i="1"/>
  <c r="CF778" i="1"/>
  <c r="CG778" i="1"/>
  <c r="CH778" i="1"/>
  <c r="CI778" i="1"/>
  <c r="CJ778" i="1"/>
  <c r="CK778" i="1"/>
  <c r="CL778" i="1"/>
  <c r="CM778" i="1"/>
  <c r="CN778" i="1"/>
  <c r="CO778" i="1"/>
  <c r="CP778" i="1"/>
  <c r="CQ778" i="1"/>
  <c r="CR778" i="1"/>
  <c r="BO779" i="1"/>
  <c r="BP779" i="1"/>
  <c r="BQ779" i="1"/>
  <c r="BR779" i="1"/>
  <c r="BS779" i="1"/>
  <c r="BT779" i="1"/>
  <c r="BU779" i="1"/>
  <c r="BV779" i="1"/>
  <c r="BW779" i="1"/>
  <c r="BX779" i="1"/>
  <c r="BY779" i="1"/>
  <c r="BZ779" i="1"/>
  <c r="CA779" i="1"/>
  <c r="CB779" i="1"/>
  <c r="CC779" i="1"/>
  <c r="CD779" i="1"/>
  <c r="CE779" i="1"/>
  <c r="CF779" i="1"/>
  <c r="CG779" i="1"/>
  <c r="CH779" i="1"/>
  <c r="CI779" i="1"/>
  <c r="CJ779" i="1"/>
  <c r="CK779" i="1"/>
  <c r="CL779" i="1"/>
  <c r="CM779" i="1"/>
  <c r="CN779" i="1"/>
  <c r="CO779" i="1"/>
  <c r="CP779" i="1"/>
  <c r="CQ779" i="1"/>
  <c r="CR779" i="1"/>
  <c r="BO780" i="1"/>
  <c r="BP780" i="1"/>
  <c r="BQ780" i="1"/>
  <c r="BR780" i="1"/>
  <c r="BS780" i="1"/>
  <c r="BT780" i="1"/>
  <c r="BU780" i="1"/>
  <c r="BV780" i="1"/>
  <c r="BW780" i="1"/>
  <c r="BX780" i="1"/>
  <c r="BY780" i="1"/>
  <c r="BZ780" i="1"/>
  <c r="CA780" i="1"/>
  <c r="CB780" i="1"/>
  <c r="CC780" i="1"/>
  <c r="CD780" i="1"/>
  <c r="CE780" i="1"/>
  <c r="CF780" i="1"/>
  <c r="CG780" i="1"/>
  <c r="CH780" i="1"/>
  <c r="CI780" i="1"/>
  <c r="CJ780" i="1"/>
  <c r="CK780" i="1"/>
  <c r="CL780" i="1"/>
  <c r="CM780" i="1"/>
  <c r="CN780" i="1"/>
  <c r="CO780" i="1"/>
  <c r="CP780" i="1"/>
  <c r="CQ780" i="1"/>
  <c r="CR780" i="1"/>
  <c r="BO781" i="1"/>
  <c r="BP781" i="1"/>
  <c r="BQ781" i="1"/>
  <c r="BR781" i="1"/>
  <c r="BS781" i="1"/>
  <c r="BT781" i="1"/>
  <c r="BU781" i="1"/>
  <c r="BV781" i="1"/>
  <c r="BW781" i="1"/>
  <c r="BX781" i="1"/>
  <c r="BY781" i="1"/>
  <c r="BZ781" i="1"/>
  <c r="CA781" i="1"/>
  <c r="CB781" i="1"/>
  <c r="CC781" i="1"/>
  <c r="CD781" i="1"/>
  <c r="CE781" i="1"/>
  <c r="CF781" i="1"/>
  <c r="CG781" i="1"/>
  <c r="CH781" i="1"/>
  <c r="CI781" i="1"/>
  <c r="CJ781" i="1"/>
  <c r="CK781" i="1"/>
  <c r="CL781" i="1"/>
  <c r="CM781" i="1"/>
  <c r="CN781" i="1"/>
  <c r="CO781" i="1"/>
  <c r="CP781" i="1"/>
  <c r="CQ781" i="1"/>
  <c r="CR781" i="1"/>
  <c r="BO782" i="1"/>
  <c r="BP782" i="1"/>
  <c r="BQ782" i="1"/>
  <c r="BR782" i="1"/>
  <c r="BS782" i="1"/>
  <c r="BT782" i="1"/>
  <c r="BU782" i="1"/>
  <c r="BV782" i="1"/>
  <c r="BW782" i="1"/>
  <c r="BX782" i="1"/>
  <c r="BY782" i="1"/>
  <c r="BZ782" i="1"/>
  <c r="CA782" i="1"/>
  <c r="CB782" i="1"/>
  <c r="CC782" i="1"/>
  <c r="CD782" i="1"/>
  <c r="CE782" i="1"/>
  <c r="CF782" i="1"/>
  <c r="CG782" i="1"/>
  <c r="CH782" i="1"/>
  <c r="CI782" i="1"/>
  <c r="CJ782" i="1"/>
  <c r="CK782" i="1"/>
  <c r="CL782" i="1"/>
  <c r="CM782" i="1"/>
  <c r="CN782" i="1"/>
  <c r="CO782" i="1"/>
  <c r="CP782" i="1"/>
  <c r="CQ782" i="1"/>
  <c r="CR782" i="1"/>
  <c r="BO783" i="1"/>
  <c r="BP783" i="1"/>
  <c r="BQ783" i="1"/>
  <c r="BR783" i="1"/>
  <c r="BS783" i="1"/>
  <c r="BT783" i="1"/>
  <c r="BU783" i="1"/>
  <c r="BV783" i="1"/>
  <c r="BW783" i="1"/>
  <c r="BX783" i="1"/>
  <c r="BY783" i="1"/>
  <c r="BZ783" i="1"/>
  <c r="CA783" i="1"/>
  <c r="CB783" i="1"/>
  <c r="CC783" i="1"/>
  <c r="CD783" i="1"/>
  <c r="CE783" i="1"/>
  <c r="CF783" i="1"/>
  <c r="CG783" i="1"/>
  <c r="CH783" i="1"/>
  <c r="CI783" i="1"/>
  <c r="CJ783" i="1"/>
  <c r="CK783" i="1"/>
  <c r="CL783" i="1"/>
  <c r="CM783" i="1"/>
  <c r="CN783" i="1"/>
  <c r="CO783" i="1"/>
  <c r="CP783" i="1"/>
  <c r="CQ783" i="1"/>
  <c r="CR783" i="1"/>
  <c r="BO784" i="1"/>
  <c r="BP784" i="1"/>
  <c r="BQ784" i="1"/>
  <c r="BR784" i="1"/>
  <c r="BS784" i="1"/>
  <c r="BT784" i="1"/>
  <c r="BU784" i="1"/>
  <c r="BV784" i="1"/>
  <c r="BW784" i="1"/>
  <c r="BX784" i="1"/>
  <c r="BY784" i="1"/>
  <c r="BZ784" i="1"/>
  <c r="CA784" i="1"/>
  <c r="CB784" i="1"/>
  <c r="CC784" i="1"/>
  <c r="CD784" i="1"/>
  <c r="CE784" i="1"/>
  <c r="CF784" i="1"/>
  <c r="CG784" i="1"/>
  <c r="CH784" i="1"/>
  <c r="CI784" i="1"/>
  <c r="CJ784" i="1"/>
  <c r="CK784" i="1"/>
  <c r="CL784" i="1"/>
  <c r="CM784" i="1"/>
  <c r="CN784" i="1"/>
  <c r="CO784" i="1"/>
  <c r="CP784" i="1"/>
  <c r="CQ784" i="1"/>
  <c r="CR784" i="1"/>
  <c r="BO785" i="1"/>
  <c r="BP785" i="1"/>
  <c r="BQ785" i="1"/>
  <c r="BR785" i="1"/>
  <c r="BS785" i="1"/>
  <c r="BT785" i="1"/>
  <c r="BU785" i="1"/>
  <c r="BV785" i="1"/>
  <c r="BW785" i="1"/>
  <c r="BX785" i="1"/>
  <c r="BY785" i="1"/>
  <c r="BZ785" i="1"/>
  <c r="CA785" i="1"/>
  <c r="CB785" i="1"/>
  <c r="CC785" i="1"/>
  <c r="CD785" i="1"/>
  <c r="CE785" i="1"/>
  <c r="CF785" i="1"/>
  <c r="CG785" i="1"/>
  <c r="CH785" i="1"/>
  <c r="CI785" i="1"/>
  <c r="CJ785" i="1"/>
  <c r="CK785" i="1"/>
  <c r="CL785" i="1"/>
  <c r="CM785" i="1"/>
  <c r="CN785" i="1"/>
  <c r="CO785" i="1"/>
  <c r="CP785" i="1"/>
  <c r="CQ785" i="1"/>
  <c r="CR785" i="1"/>
  <c r="BO786" i="1"/>
  <c r="BP786" i="1"/>
  <c r="BQ786" i="1"/>
  <c r="BR786" i="1"/>
  <c r="BS786" i="1"/>
  <c r="BT786" i="1"/>
  <c r="BU786" i="1"/>
  <c r="BV786" i="1"/>
  <c r="BW786" i="1"/>
  <c r="BX786" i="1"/>
  <c r="BY786" i="1"/>
  <c r="BZ786" i="1"/>
  <c r="CA786" i="1"/>
  <c r="CB786" i="1"/>
  <c r="CC786" i="1"/>
  <c r="CD786" i="1"/>
  <c r="CE786" i="1"/>
  <c r="CF786" i="1"/>
  <c r="CG786" i="1"/>
  <c r="CH786" i="1"/>
  <c r="CI786" i="1"/>
  <c r="CJ786" i="1"/>
  <c r="CK786" i="1"/>
  <c r="CL786" i="1"/>
  <c r="CM786" i="1"/>
  <c r="CN786" i="1"/>
  <c r="CO786" i="1"/>
  <c r="CP786" i="1"/>
  <c r="CQ786" i="1"/>
  <c r="CR786" i="1"/>
  <c r="BO787" i="1"/>
  <c r="BP787" i="1"/>
  <c r="BQ787" i="1"/>
  <c r="BR787" i="1"/>
  <c r="BS787" i="1"/>
  <c r="BT787" i="1"/>
  <c r="BU787" i="1"/>
  <c r="BV787" i="1"/>
  <c r="BW787" i="1"/>
  <c r="BX787" i="1"/>
  <c r="BY787" i="1"/>
  <c r="BZ787" i="1"/>
  <c r="CA787" i="1"/>
  <c r="CB787" i="1"/>
  <c r="CC787" i="1"/>
  <c r="CD787" i="1"/>
  <c r="CE787" i="1"/>
  <c r="CF787" i="1"/>
  <c r="CG787" i="1"/>
  <c r="CH787" i="1"/>
  <c r="CI787" i="1"/>
  <c r="CJ787" i="1"/>
  <c r="CK787" i="1"/>
  <c r="CL787" i="1"/>
  <c r="CM787" i="1"/>
  <c r="CN787" i="1"/>
  <c r="CO787" i="1"/>
  <c r="CP787" i="1"/>
  <c r="CQ787" i="1"/>
  <c r="CR787" i="1"/>
  <c r="BO788" i="1"/>
  <c r="BP788" i="1"/>
  <c r="BQ788" i="1"/>
  <c r="BR788" i="1"/>
  <c r="BS788" i="1"/>
  <c r="BT788" i="1"/>
  <c r="BU788" i="1"/>
  <c r="BV788" i="1"/>
  <c r="BW788" i="1"/>
  <c r="BX788" i="1"/>
  <c r="BY788" i="1"/>
  <c r="BZ788" i="1"/>
  <c r="CA788" i="1"/>
  <c r="CB788" i="1"/>
  <c r="CC788" i="1"/>
  <c r="CD788" i="1"/>
  <c r="CE788" i="1"/>
  <c r="CF788" i="1"/>
  <c r="CG788" i="1"/>
  <c r="CH788" i="1"/>
  <c r="CI788" i="1"/>
  <c r="CJ788" i="1"/>
  <c r="CK788" i="1"/>
  <c r="CL788" i="1"/>
  <c r="CM788" i="1"/>
  <c r="CN788" i="1"/>
  <c r="CO788" i="1"/>
  <c r="CP788" i="1"/>
  <c r="CQ788" i="1"/>
  <c r="CR788" i="1"/>
  <c r="BO789" i="1"/>
  <c r="BP789" i="1"/>
  <c r="BQ789" i="1"/>
  <c r="BR789" i="1"/>
  <c r="BS789" i="1"/>
  <c r="BT789" i="1"/>
  <c r="BU789" i="1"/>
  <c r="BV789" i="1"/>
  <c r="BW789" i="1"/>
  <c r="BX789" i="1"/>
  <c r="BY789" i="1"/>
  <c r="BZ789" i="1"/>
  <c r="CA789" i="1"/>
  <c r="CB789" i="1"/>
  <c r="CC789" i="1"/>
  <c r="CD789" i="1"/>
  <c r="CE789" i="1"/>
  <c r="CF789" i="1"/>
  <c r="CG789" i="1"/>
  <c r="CH789" i="1"/>
  <c r="CI789" i="1"/>
  <c r="CJ789" i="1"/>
  <c r="CK789" i="1"/>
  <c r="CL789" i="1"/>
  <c r="CM789" i="1"/>
  <c r="CN789" i="1"/>
  <c r="CO789" i="1"/>
  <c r="CP789" i="1"/>
  <c r="CQ789" i="1"/>
  <c r="CR789" i="1"/>
  <c r="BO790" i="1"/>
  <c r="BP790" i="1"/>
  <c r="BQ790" i="1"/>
  <c r="BR790" i="1"/>
  <c r="BS790" i="1"/>
  <c r="BT790" i="1"/>
  <c r="BU790" i="1"/>
  <c r="BV790" i="1"/>
  <c r="BW790" i="1"/>
  <c r="BX790" i="1"/>
  <c r="BY790" i="1"/>
  <c r="BZ790" i="1"/>
  <c r="CA790" i="1"/>
  <c r="CB790" i="1"/>
  <c r="CC790" i="1"/>
  <c r="CD790" i="1"/>
  <c r="CE790" i="1"/>
  <c r="CF790" i="1"/>
  <c r="CG790" i="1"/>
  <c r="CH790" i="1"/>
  <c r="CI790" i="1"/>
  <c r="CJ790" i="1"/>
  <c r="CK790" i="1"/>
  <c r="CL790" i="1"/>
  <c r="CM790" i="1"/>
  <c r="CN790" i="1"/>
  <c r="CO790" i="1"/>
  <c r="CP790" i="1"/>
  <c r="CQ790" i="1"/>
  <c r="CR790" i="1"/>
  <c r="BO791" i="1"/>
  <c r="BP791" i="1"/>
  <c r="BQ791" i="1"/>
  <c r="BR791" i="1"/>
  <c r="BS791" i="1"/>
  <c r="BT791" i="1"/>
  <c r="BU791" i="1"/>
  <c r="BV791" i="1"/>
  <c r="BW791" i="1"/>
  <c r="BX791" i="1"/>
  <c r="BY791" i="1"/>
  <c r="BZ791" i="1"/>
  <c r="CA791" i="1"/>
  <c r="CB791" i="1"/>
  <c r="CC791" i="1"/>
  <c r="CD791" i="1"/>
  <c r="CE791" i="1"/>
  <c r="CF791" i="1"/>
  <c r="CG791" i="1"/>
  <c r="CH791" i="1"/>
  <c r="CI791" i="1"/>
  <c r="CJ791" i="1"/>
  <c r="CK791" i="1"/>
  <c r="CL791" i="1"/>
  <c r="CM791" i="1"/>
  <c r="CN791" i="1"/>
  <c r="CO791" i="1"/>
  <c r="CP791" i="1"/>
  <c r="CQ791" i="1"/>
  <c r="CR791" i="1"/>
  <c r="BO792" i="1"/>
  <c r="BP792" i="1"/>
  <c r="BQ792" i="1"/>
  <c r="BR792" i="1"/>
  <c r="BS792" i="1"/>
  <c r="BT792" i="1"/>
  <c r="BU792" i="1"/>
  <c r="BV792" i="1"/>
  <c r="BW792" i="1"/>
  <c r="BX792" i="1"/>
  <c r="BY792" i="1"/>
  <c r="BZ792" i="1"/>
  <c r="CA792" i="1"/>
  <c r="CB792" i="1"/>
  <c r="CC792" i="1"/>
  <c r="CD792" i="1"/>
  <c r="CE792" i="1"/>
  <c r="CF792" i="1"/>
  <c r="CG792" i="1"/>
  <c r="CH792" i="1"/>
  <c r="CI792" i="1"/>
  <c r="CJ792" i="1"/>
  <c r="CK792" i="1"/>
  <c r="CL792" i="1"/>
  <c r="CM792" i="1"/>
  <c r="CN792" i="1"/>
  <c r="CO792" i="1"/>
  <c r="CP792" i="1"/>
  <c r="CQ792" i="1"/>
  <c r="CR792" i="1"/>
  <c r="BO793" i="1"/>
  <c r="BP793" i="1"/>
  <c r="BQ793" i="1"/>
  <c r="BR793" i="1"/>
  <c r="BS793" i="1"/>
  <c r="BT793" i="1"/>
  <c r="BU793" i="1"/>
  <c r="BV793" i="1"/>
  <c r="BW793" i="1"/>
  <c r="BX793" i="1"/>
  <c r="BY793" i="1"/>
  <c r="BZ793" i="1"/>
  <c r="CA793" i="1"/>
  <c r="CB793" i="1"/>
  <c r="CC793" i="1"/>
  <c r="CD793" i="1"/>
  <c r="CE793" i="1"/>
  <c r="CF793" i="1"/>
  <c r="CG793" i="1"/>
  <c r="CH793" i="1"/>
  <c r="CI793" i="1"/>
  <c r="CJ793" i="1"/>
  <c r="CK793" i="1"/>
  <c r="CL793" i="1"/>
  <c r="CM793" i="1"/>
  <c r="CN793" i="1"/>
  <c r="CO793" i="1"/>
  <c r="CP793" i="1"/>
  <c r="CQ793" i="1"/>
  <c r="CR793" i="1"/>
  <c r="BO794" i="1"/>
  <c r="BP794" i="1"/>
  <c r="BQ794" i="1"/>
  <c r="BR794" i="1"/>
  <c r="BS794" i="1"/>
  <c r="BT794" i="1"/>
  <c r="BU794" i="1"/>
  <c r="BV794" i="1"/>
  <c r="BW794" i="1"/>
  <c r="BX794" i="1"/>
  <c r="BY794" i="1"/>
  <c r="BZ794" i="1"/>
  <c r="CA794" i="1"/>
  <c r="CB794" i="1"/>
  <c r="CC794" i="1"/>
  <c r="CD794" i="1"/>
  <c r="CE794" i="1"/>
  <c r="CF794" i="1"/>
  <c r="CG794" i="1"/>
  <c r="CH794" i="1"/>
  <c r="CI794" i="1"/>
  <c r="CJ794" i="1"/>
  <c r="CK794" i="1"/>
  <c r="CL794" i="1"/>
  <c r="CM794" i="1"/>
  <c r="CN794" i="1"/>
  <c r="CO794" i="1"/>
  <c r="CP794" i="1"/>
  <c r="CQ794" i="1"/>
  <c r="CR794" i="1"/>
  <c r="BO795" i="1"/>
  <c r="BP795" i="1"/>
  <c r="BQ795" i="1"/>
  <c r="BR795" i="1"/>
  <c r="BS795" i="1"/>
  <c r="BT795" i="1"/>
  <c r="BU795" i="1"/>
  <c r="BV795" i="1"/>
  <c r="BW795" i="1"/>
  <c r="BX795" i="1"/>
  <c r="BY795" i="1"/>
  <c r="BZ795" i="1"/>
  <c r="CA795" i="1"/>
  <c r="CB795" i="1"/>
  <c r="CC795" i="1"/>
  <c r="CD795" i="1"/>
  <c r="CE795" i="1"/>
  <c r="CF795" i="1"/>
  <c r="CG795" i="1"/>
  <c r="CH795" i="1"/>
  <c r="CI795" i="1"/>
  <c r="CJ795" i="1"/>
  <c r="CK795" i="1"/>
  <c r="CL795" i="1"/>
  <c r="CM795" i="1"/>
  <c r="CN795" i="1"/>
  <c r="CO795" i="1"/>
  <c r="CP795" i="1"/>
  <c r="CQ795" i="1"/>
  <c r="CR795" i="1"/>
  <c r="BO796" i="1"/>
  <c r="BP796" i="1"/>
  <c r="BQ796" i="1"/>
  <c r="BR796" i="1"/>
  <c r="BS796" i="1"/>
  <c r="BT796" i="1"/>
  <c r="BU796" i="1"/>
  <c r="BV796" i="1"/>
  <c r="BW796" i="1"/>
  <c r="BX796" i="1"/>
  <c r="BY796" i="1"/>
  <c r="BZ796" i="1"/>
  <c r="CA796" i="1"/>
  <c r="CB796" i="1"/>
  <c r="CC796" i="1"/>
  <c r="CD796" i="1"/>
  <c r="CE796" i="1"/>
  <c r="CF796" i="1"/>
  <c r="CG796" i="1"/>
  <c r="CH796" i="1"/>
  <c r="CI796" i="1"/>
  <c r="CJ796" i="1"/>
  <c r="CK796" i="1"/>
  <c r="CL796" i="1"/>
  <c r="CM796" i="1"/>
  <c r="CN796" i="1"/>
  <c r="CO796" i="1"/>
  <c r="CP796" i="1"/>
  <c r="CQ796" i="1"/>
  <c r="CR796" i="1"/>
  <c r="BO797" i="1"/>
  <c r="BP797" i="1"/>
  <c r="BQ797" i="1"/>
  <c r="BR797" i="1"/>
  <c r="BS797" i="1"/>
  <c r="BT797" i="1"/>
  <c r="BU797" i="1"/>
  <c r="BV797" i="1"/>
  <c r="BW797" i="1"/>
  <c r="BX797" i="1"/>
  <c r="BY797" i="1"/>
  <c r="BZ797" i="1"/>
  <c r="CA797" i="1"/>
  <c r="CB797" i="1"/>
  <c r="CC797" i="1"/>
  <c r="CD797" i="1"/>
  <c r="CE797" i="1"/>
  <c r="CF797" i="1"/>
  <c r="CG797" i="1"/>
  <c r="CH797" i="1"/>
  <c r="CI797" i="1"/>
  <c r="CJ797" i="1"/>
  <c r="CK797" i="1"/>
  <c r="CL797" i="1"/>
  <c r="CM797" i="1"/>
  <c r="CN797" i="1"/>
  <c r="CO797" i="1"/>
  <c r="CP797" i="1"/>
  <c r="CQ797" i="1"/>
  <c r="CR797" i="1"/>
  <c r="BO798" i="1"/>
  <c r="BP798" i="1"/>
  <c r="BQ798" i="1"/>
  <c r="BR798" i="1"/>
  <c r="BS798" i="1"/>
  <c r="BT798" i="1"/>
  <c r="BU798" i="1"/>
  <c r="BV798" i="1"/>
  <c r="BW798" i="1"/>
  <c r="BX798" i="1"/>
  <c r="BY798" i="1"/>
  <c r="BZ798" i="1"/>
  <c r="CA798" i="1"/>
  <c r="CB798" i="1"/>
  <c r="CC798" i="1"/>
  <c r="CD798" i="1"/>
  <c r="CE798" i="1"/>
  <c r="CF798" i="1"/>
  <c r="CG798" i="1"/>
  <c r="CH798" i="1"/>
  <c r="CI798" i="1"/>
  <c r="CJ798" i="1"/>
  <c r="CK798" i="1"/>
  <c r="CL798" i="1"/>
  <c r="CM798" i="1"/>
  <c r="CN798" i="1"/>
  <c r="CO798" i="1"/>
  <c r="CP798" i="1"/>
  <c r="CQ798" i="1"/>
  <c r="CR798" i="1"/>
  <c r="BO799" i="1"/>
  <c r="BP799" i="1"/>
  <c r="BQ799" i="1"/>
  <c r="BR799" i="1"/>
  <c r="BS799" i="1"/>
  <c r="BT799" i="1"/>
  <c r="BU799" i="1"/>
  <c r="BV799" i="1"/>
  <c r="BW799" i="1"/>
  <c r="BX799" i="1"/>
  <c r="BY799" i="1"/>
  <c r="BZ799" i="1"/>
  <c r="CA799" i="1"/>
  <c r="CB799" i="1"/>
  <c r="CC799" i="1"/>
  <c r="CD799" i="1"/>
  <c r="CE799" i="1"/>
  <c r="CF799" i="1"/>
  <c r="CG799" i="1"/>
  <c r="CH799" i="1"/>
  <c r="CI799" i="1"/>
  <c r="CJ799" i="1"/>
  <c r="CK799" i="1"/>
  <c r="CL799" i="1"/>
  <c r="CM799" i="1"/>
  <c r="CN799" i="1"/>
  <c r="CO799" i="1"/>
  <c r="CP799" i="1"/>
  <c r="CQ799" i="1"/>
  <c r="CR799" i="1"/>
  <c r="BO800" i="1"/>
  <c r="BP800" i="1"/>
  <c r="BQ800" i="1"/>
  <c r="BR800" i="1"/>
  <c r="BS800" i="1"/>
  <c r="BT800" i="1"/>
  <c r="BU800" i="1"/>
  <c r="BV800" i="1"/>
  <c r="BW800" i="1"/>
  <c r="BX800" i="1"/>
  <c r="BY800" i="1"/>
  <c r="BZ800" i="1"/>
  <c r="CA800" i="1"/>
  <c r="CB800" i="1"/>
  <c r="CC800" i="1"/>
  <c r="CD800" i="1"/>
  <c r="CE800" i="1"/>
  <c r="CF800" i="1"/>
  <c r="CG800" i="1"/>
  <c r="CH800" i="1"/>
  <c r="CI800" i="1"/>
  <c r="CJ800" i="1"/>
  <c r="CK800" i="1"/>
  <c r="CL800" i="1"/>
  <c r="CM800" i="1"/>
  <c r="CN800" i="1"/>
  <c r="CO800" i="1"/>
  <c r="CP800" i="1"/>
  <c r="CQ800" i="1"/>
  <c r="CR800" i="1"/>
  <c r="BO801" i="1"/>
  <c r="BP801" i="1"/>
  <c r="BQ801" i="1"/>
  <c r="BR801" i="1"/>
  <c r="BS801" i="1"/>
  <c r="BT801" i="1"/>
  <c r="BU801" i="1"/>
  <c r="BV801" i="1"/>
  <c r="BW801" i="1"/>
  <c r="BX801" i="1"/>
  <c r="BY801" i="1"/>
  <c r="BZ801" i="1"/>
  <c r="CA801" i="1"/>
  <c r="CB801" i="1"/>
  <c r="CC801" i="1"/>
  <c r="CD801" i="1"/>
  <c r="CE801" i="1"/>
  <c r="CF801" i="1"/>
  <c r="CG801" i="1"/>
  <c r="CH801" i="1"/>
  <c r="CI801" i="1"/>
  <c r="CJ801" i="1"/>
  <c r="CK801" i="1"/>
  <c r="CL801" i="1"/>
  <c r="CM801" i="1"/>
  <c r="CN801" i="1"/>
  <c r="CO801" i="1"/>
  <c r="CP801" i="1"/>
  <c r="CQ801" i="1"/>
  <c r="CR801" i="1"/>
  <c r="BO802" i="1"/>
  <c r="BP802" i="1"/>
  <c r="BQ802" i="1"/>
  <c r="BR802" i="1"/>
  <c r="BS802" i="1"/>
  <c r="BT802" i="1"/>
  <c r="BU802" i="1"/>
  <c r="BV802" i="1"/>
  <c r="BW802" i="1"/>
  <c r="BX802" i="1"/>
  <c r="BY802" i="1"/>
  <c r="BZ802" i="1"/>
  <c r="CA802" i="1"/>
  <c r="CB802" i="1"/>
  <c r="CC802" i="1"/>
  <c r="CD802" i="1"/>
  <c r="CE802" i="1"/>
  <c r="CF802" i="1"/>
  <c r="CG802" i="1"/>
  <c r="CH802" i="1"/>
  <c r="CI802" i="1"/>
  <c r="CJ802" i="1"/>
  <c r="CK802" i="1"/>
  <c r="CL802" i="1"/>
  <c r="CM802" i="1"/>
  <c r="CN802" i="1"/>
  <c r="CO802" i="1"/>
  <c r="CP802" i="1"/>
  <c r="CQ802" i="1"/>
  <c r="CR802" i="1"/>
  <c r="BO803" i="1"/>
  <c r="BP803" i="1"/>
  <c r="BQ803" i="1"/>
  <c r="BR803" i="1"/>
  <c r="BS803" i="1"/>
  <c r="BT803" i="1"/>
  <c r="BU803" i="1"/>
  <c r="BV803" i="1"/>
  <c r="BW803" i="1"/>
  <c r="BX803" i="1"/>
  <c r="BY803" i="1"/>
  <c r="BZ803" i="1"/>
  <c r="CA803" i="1"/>
  <c r="CB803" i="1"/>
  <c r="CC803" i="1"/>
  <c r="CD803" i="1"/>
  <c r="CE803" i="1"/>
  <c r="CF803" i="1"/>
  <c r="CG803" i="1"/>
  <c r="CH803" i="1"/>
  <c r="CI803" i="1"/>
  <c r="CJ803" i="1"/>
  <c r="CK803" i="1"/>
  <c r="CL803" i="1"/>
  <c r="CM803" i="1"/>
  <c r="CN803" i="1"/>
  <c r="CO803" i="1"/>
  <c r="CP803" i="1"/>
  <c r="CQ803" i="1"/>
  <c r="CR803" i="1"/>
  <c r="BO804" i="1"/>
  <c r="BP804" i="1"/>
  <c r="BQ804" i="1"/>
  <c r="BR804" i="1"/>
  <c r="BS804" i="1"/>
  <c r="BT804" i="1"/>
  <c r="BU804" i="1"/>
  <c r="BV804" i="1"/>
  <c r="BW804" i="1"/>
  <c r="BX804" i="1"/>
  <c r="BY804" i="1"/>
  <c r="BZ804" i="1"/>
  <c r="CA804" i="1"/>
  <c r="CB804" i="1"/>
  <c r="CC804" i="1"/>
  <c r="CD804" i="1"/>
  <c r="CE804" i="1"/>
  <c r="CF804" i="1"/>
  <c r="CG804" i="1"/>
  <c r="CH804" i="1"/>
  <c r="CI804" i="1"/>
  <c r="CJ804" i="1"/>
  <c r="CK804" i="1"/>
  <c r="CL804" i="1"/>
  <c r="CM804" i="1"/>
  <c r="CN804" i="1"/>
  <c r="CO804" i="1"/>
  <c r="CP804" i="1"/>
  <c r="CQ804" i="1"/>
  <c r="CR804" i="1"/>
  <c r="BO805" i="1"/>
  <c r="BP805" i="1"/>
  <c r="BQ805" i="1"/>
  <c r="BR805" i="1"/>
  <c r="BS805" i="1"/>
  <c r="BT805" i="1"/>
  <c r="BU805" i="1"/>
  <c r="BV805" i="1"/>
  <c r="BW805" i="1"/>
  <c r="BX805" i="1"/>
  <c r="BY805" i="1"/>
  <c r="BZ805" i="1"/>
  <c r="CA805" i="1"/>
  <c r="CB805" i="1"/>
  <c r="CC805" i="1"/>
  <c r="CD805" i="1"/>
  <c r="CE805" i="1"/>
  <c r="CF805" i="1"/>
  <c r="CG805" i="1"/>
  <c r="CH805" i="1"/>
  <c r="CI805" i="1"/>
  <c r="CJ805" i="1"/>
  <c r="CK805" i="1"/>
  <c r="CL805" i="1"/>
  <c r="CM805" i="1"/>
  <c r="CN805" i="1"/>
  <c r="CO805" i="1"/>
  <c r="CP805" i="1"/>
  <c r="CQ805" i="1"/>
  <c r="CR805" i="1"/>
  <c r="BO806" i="1"/>
  <c r="BP806" i="1"/>
  <c r="BQ806" i="1"/>
  <c r="BR806" i="1"/>
  <c r="BS806" i="1"/>
  <c r="BT806" i="1"/>
  <c r="BU806" i="1"/>
  <c r="BV806" i="1"/>
  <c r="BW806" i="1"/>
  <c r="BX806" i="1"/>
  <c r="BY806" i="1"/>
  <c r="BZ806" i="1"/>
  <c r="CA806" i="1"/>
  <c r="CB806" i="1"/>
  <c r="CC806" i="1"/>
  <c r="CD806" i="1"/>
  <c r="CE806" i="1"/>
  <c r="CF806" i="1"/>
  <c r="CG806" i="1"/>
  <c r="CH806" i="1"/>
  <c r="CI806" i="1"/>
  <c r="CJ806" i="1"/>
  <c r="CK806" i="1"/>
  <c r="CL806" i="1"/>
  <c r="CM806" i="1"/>
  <c r="CN806" i="1"/>
  <c r="CO806" i="1"/>
  <c r="CP806" i="1"/>
  <c r="CQ806" i="1"/>
  <c r="CR806" i="1"/>
  <c r="BO807" i="1"/>
  <c r="BP807" i="1"/>
  <c r="BQ807" i="1"/>
  <c r="BR807" i="1"/>
  <c r="BS807" i="1"/>
  <c r="BT807" i="1"/>
  <c r="BU807" i="1"/>
  <c r="BV807" i="1"/>
  <c r="BW807" i="1"/>
  <c r="BX807" i="1"/>
  <c r="BY807" i="1"/>
  <c r="BZ807" i="1"/>
  <c r="CA807" i="1"/>
  <c r="CB807" i="1"/>
  <c r="CC807" i="1"/>
  <c r="CD807" i="1"/>
  <c r="CE807" i="1"/>
  <c r="CF807" i="1"/>
  <c r="CG807" i="1"/>
  <c r="CH807" i="1"/>
  <c r="CI807" i="1"/>
  <c r="CJ807" i="1"/>
  <c r="CK807" i="1"/>
  <c r="CL807" i="1"/>
  <c r="CM807" i="1"/>
  <c r="CN807" i="1"/>
  <c r="CO807" i="1"/>
  <c r="CP807" i="1"/>
  <c r="CQ807" i="1"/>
  <c r="CR807" i="1"/>
  <c r="BO808" i="1"/>
  <c r="BP808" i="1"/>
  <c r="BQ808" i="1"/>
  <c r="BR808" i="1"/>
  <c r="BS808" i="1"/>
  <c r="BT808" i="1"/>
  <c r="BU808" i="1"/>
  <c r="BV808" i="1"/>
  <c r="BW808" i="1"/>
  <c r="BX808" i="1"/>
  <c r="BY808" i="1"/>
  <c r="BZ808" i="1"/>
  <c r="CA808" i="1"/>
  <c r="CB808" i="1"/>
  <c r="CC808" i="1"/>
  <c r="CD808" i="1"/>
  <c r="CE808" i="1"/>
  <c r="CF808" i="1"/>
  <c r="CG808" i="1"/>
  <c r="CH808" i="1"/>
  <c r="CI808" i="1"/>
  <c r="CJ808" i="1"/>
  <c r="CK808" i="1"/>
  <c r="CL808" i="1"/>
  <c r="CM808" i="1"/>
  <c r="CN808" i="1"/>
  <c r="CO808" i="1"/>
  <c r="CP808" i="1"/>
  <c r="CQ808" i="1"/>
  <c r="CR808" i="1"/>
  <c r="BO809" i="1"/>
  <c r="BP809" i="1"/>
  <c r="BQ809" i="1"/>
  <c r="BR809" i="1"/>
  <c r="BS809" i="1"/>
  <c r="BT809" i="1"/>
  <c r="BU809" i="1"/>
  <c r="BV809" i="1"/>
  <c r="BW809" i="1"/>
  <c r="BX809" i="1"/>
  <c r="BY809" i="1"/>
  <c r="BZ809" i="1"/>
  <c r="CA809" i="1"/>
  <c r="CB809" i="1"/>
  <c r="CC809" i="1"/>
  <c r="CD809" i="1"/>
  <c r="CE809" i="1"/>
  <c r="CF809" i="1"/>
  <c r="CG809" i="1"/>
  <c r="CH809" i="1"/>
  <c r="CI809" i="1"/>
  <c r="CJ809" i="1"/>
  <c r="CK809" i="1"/>
  <c r="CL809" i="1"/>
  <c r="CM809" i="1"/>
  <c r="CN809" i="1"/>
  <c r="CO809" i="1"/>
  <c r="CP809" i="1"/>
  <c r="CQ809" i="1"/>
  <c r="CR809" i="1"/>
  <c r="BO810" i="1"/>
  <c r="BP810" i="1"/>
  <c r="BQ810" i="1"/>
  <c r="BR810" i="1"/>
  <c r="BS810" i="1"/>
  <c r="BT810" i="1"/>
  <c r="BU810" i="1"/>
  <c r="BV810" i="1"/>
  <c r="BW810" i="1"/>
  <c r="BX810" i="1"/>
  <c r="BY810" i="1"/>
  <c r="BZ810" i="1"/>
  <c r="CA810" i="1"/>
  <c r="CB810" i="1"/>
  <c r="CC810" i="1"/>
  <c r="CD810" i="1"/>
  <c r="CE810" i="1"/>
  <c r="CF810" i="1"/>
  <c r="CG810" i="1"/>
  <c r="CH810" i="1"/>
  <c r="CI810" i="1"/>
  <c r="CJ810" i="1"/>
  <c r="CK810" i="1"/>
  <c r="CL810" i="1"/>
  <c r="CM810" i="1"/>
  <c r="CN810" i="1"/>
  <c r="CO810" i="1"/>
  <c r="CP810" i="1"/>
  <c r="CQ810" i="1"/>
  <c r="CR810" i="1"/>
  <c r="BO811" i="1"/>
  <c r="BP811" i="1"/>
  <c r="BQ811" i="1"/>
  <c r="BR811" i="1"/>
  <c r="BS811" i="1"/>
  <c r="BT811" i="1"/>
  <c r="BU811" i="1"/>
  <c r="BV811" i="1"/>
  <c r="BW811" i="1"/>
  <c r="BX811" i="1"/>
  <c r="BY811" i="1"/>
  <c r="BZ811" i="1"/>
  <c r="CA811" i="1"/>
  <c r="CB811" i="1"/>
  <c r="CC811" i="1"/>
  <c r="CD811" i="1"/>
  <c r="CE811" i="1"/>
  <c r="CF811" i="1"/>
  <c r="CG811" i="1"/>
  <c r="CH811" i="1"/>
  <c r="CI811" i="1"/>
  <c r="CJ811" i="1"/>
  <c r="CK811" i="1"/>
  <c r="CL811" i="1"/>
  <c r="CM811" i="1"/>
  <c r="CN811" i="1"/>
  <c r="CO811" i="1"/>
  <c r="CP811" i="1"/>
  <c r="CQ811" i="1"/>
  <c r="CR811" i="1"/>
  <c r="BO812" i="1"/>
  <c r="BP812" i="1"/>
  <c r="BQ812" i="1"/>
  <c r="BR812" i="1"/>
  <c r="BS812" i="1"/>
  <c r="BT812" i="1"/>
  <c r="BU812" i="1"/>
  <c r="BV812" i="1"/>
  <c r="BW812" i="1"/>
  <c r="BX812" i="1"/>
  <c r="BY812" i="1"/>
  <c r="BZ812" i="1"/>
  <c r="CA812" i="1"/>
  <c r="CB812" i="1"/>
  <c r="CC812" i="1"/>
  <c r="CD812" i="1"/>
  <c r="CE812" i="1"/>
  <c r="CF812" i="1"/>
  <c r="CG812" i="1"/>
  <c r="CH812" i="1"/>
  <c r="CI812" i="1"/>
  <c r="CJ812" i="1"/>
  <c r="CK812" i="1"/>
  <c r="CL812" i="1"/>
  <c r="CM812" i="1"/>
  <c r="CN812" i="1"/>
  <c r="CO812" i="1"/>
  <c r="CP812" i="1"/>
  <c r="CQ812" i="1"/>
  <c r="CR812" i="1"/>
  <c r="BO813" i="1"/>
  <c r="BP813" i="1"/>
  <c r="BQ813" i="1"/>
  <c r="BR813" i="1"/>
  <c r="BS813" i="1"/>
  <c r="BT813" i="1"/>
  <c r="BU813" i="1"/>
  <c r="BV813" i="1"/>
  <c r="BW813" i="1"/>
  <c r="BX813" i="1"/>
  <c r="BY813" i="1"/>
  <c r="BZ813" i="1"/>
  <c r="CA813" i="1"/>
  <c r="CB813" i="1"/>
  <c r="CC813" i="1"/>
  <c r="CD813" i="1"/>
  <c r="CE813" i="1"/>
  <c r="CF813" i="1"/>
  <c r="CG813" i="1"/>
  <c r="CH813" i="1"/>
  <c r="CI813" i="1"/>
  <c r="CJ813" i="1"/>
  <c r="CK813" i="1"/>
  <c r="CL813" i="1"/>
  <c r="CM813" i="1"/>
  <c r="CN813" i="1"/>
  <c r="CO813" i="1"/>
  <c r="CP813" i="1"/>
  <c r="CQ813" i="1"/>
  <c r="CR813" i="1"/>
  <c r="BO814" i="1"/>
  <c r="BP814" i="1"/>
  <c r="BQ814" i="1"/>
  <c r="BR814" i="1"/>
  <c r="BS814" i="1"/>
  <c r="BT814" i="1"/>
  <c r="BU814" i="1"/>
  <c r="BV814" i="1"/>
  <c r="BW814" i="1"/>
  <c r="BX814" i="1"/>
  <c r="BY814" i="1"/>
  <c r="BZ814" i="1"/>
  <c r="CA814" i="1"/>
  <c r="CB814" i="1"/>
  <c r="CC814" i="1"/>
  <c r="CD814" i="1"/>
  <c r="CE814" i="1"/>
  <c r="CF814" i="1"/>
  <c r="CG814" i="1"/>
  <c r="CH814" i="1"/>
  <c r="CI814" i="1"/>
  <c r="CJ814" i="1"/>
  <c r="CK814" i="1"/>
  <c r="CL814" i="1"/>
  <c r="CM814" i="1"/>
  <c r="CN814" i="1"/>
  <c r="CO814" i="1"/>
  <c r="CP814" i="1"/>
  <c r="CQ814" i="1"/>
  <c r="CR814" i="1"/>
  <c r="BO815" i="1"/>
  <c r="BP815" i="1"/>
  <c r="BQ815" i="1"/>
  <c r="BR815" i="1"/>
  <c r="BS815" i="1"/>
  <c r="BT815" i="1"/>
  <c r="BU815" i="1"/>
  <c r="BV815" i="1"/>
  <c r="BW815" i="1"/>
  <c r="BX815" i="1"/>
  <c r="BY815" i="1"/>
  <c r="BZ815" i="1"/>
  <c r="CA815" i="1"/>
  <c r="CB815" i="1"/>
  <c r="CC815" i="1"/>
  <c r="CD815" i="1"/>
  <c r="CE815" i="1"/>
  <c r="CF815" i="1"/>
  <c r="CG815" i="1"/>
  <c r="CH815" i="1"/>
  <c r="CI815" i="1"/>
  <c r="CJ815" i="1"/>
  <c r="CK815" i="1"/>
  <c r="CL815" i="1"/>
  <c r="CM815" i="1"/>
  <c r="CN815" i="1"/>
  <c r="CO815" i="1"/>
  <c r="CP815" i="1"/>
  <c r="CQ815" i="1"/>
  <c r="CR815" i="1"/>
  <c r="BO816" i="1"/>
  <c r="BP816" i="1"/>
  <c r="BQ816" i="1"/>
  <c r="BR816" i="1"/>
  <c r="BS816" i="1"/>
  <c r="BT816" i="1"/>
  <c r="BU816" i="1"/>
  <c r="BV816" i="1"/>
  <c r="BW816" i="1"/>
  <c r="BX816" i="1"/>
  <c r="BY816" i="1"/>
  <c r="BZ816" i="1"/>
  <c r="CA816" i="1"/>
  <c r="CB816" i="1"/>
  <c r="CC816" i="1"/>
  <c r="CD816" i="1"/>
  <c r="CE816" i="1"/>
  <c r="CF816" i="1"/>
  <c r="CG816" i="1"/>
  <c r="CH816" i="1"/>
  <c r="CI816" i="1"/>
  <c r="CJ816" i="1"/>
  <c r="CK816" i="1"/>
  <c r="CL816" i="1"/>
  <c r="CM816" i="1"/>
  <c r="CN816" i="1"/>
  <c r="CO816" i="1"/>
  <c r="CP816" i="1"/>
  <c r="CQ816" i="1"/>
  <c r="CR816" i="1"/>
  <c r="BO817" i="1"/>
  <c r="BP817" i="1"/>
  <c r="BQ817" i="1"/>
  <c r="BR817" i="1"/>
  <c r="BS817" i="1"/>
  <c r="BT817" i="1"/>
  <c r="BU817" i="1"/>
  <c r="BV817" i="1"/>
  <c r="BW817" i="1"/>
  <c r="BX817" i="1"/>
  <c r="BY817" i="1"/>
  <c r="BZ817" i="1"/>
  <c r="CA817" i="1"/>
  <c r="CB817" i="1"/>
  <c r="CC817" i="1"/>
  <c r="CD817" i="1"/>
  <c r="CE817" i="1"/>
  <c r="CF817" i="1"/>
  <c r="CG817" i="1"/>
  <c r="CH817" i="1"/>
  <c r="CI817" i="1"/>
  <c r="CJ817" i="1"/>
  <c r="CK817" i="1"/>
  <c r="CL817" i="1"/>
  <c r="CM817" i="1"/>
  <c r="CN817" i="1"/>
  <c r="CO817" i="1"/>
  <c r="CP817" i="1"/>
  <c r="CQ817" i="1"/>
  <c r="CR817" i="1"/>
  <c r="BO818" i="1"/>
  <c r="BP818" i="1"/>
  <c r="BQ818" i="1"/>
  <c r="BR818" i="1"/>
  <c r="BS818" i="1"/>
  <c r="BT818" i="1"/>
  <c r="BU818" i="1"/>
  <c r="BV818" i="1"/>
  <c r="BW818" i="1"/>
  <c r="BX818" i="1"/>
  <c r="BY818" i="1"/>
  <c r="BZ818" i="1"/>
  <c r="CA818" i="1"/>
  <c r="CB818" i="1"/>
  <c r="CC818" i="1"/>
  <c r="CD818" i="1"/>
  <c r="CE818" i="1"/>
  <c r="CF818" i="1"/>
  <c r="CG818" i="1"/>
  <c r="CH818" i="1"/>
  <c r="CI818" i="1"/>
  <c r="CJ818" i="1"/>
  <c r="CK818" i="1"/>
  <c r="CL818" i="1"/>
  <c r="CM818" i="1"/>
  <c r="CN818" i="1"/>
  <c r="CO818" i="1"/>
  <c r="CP818" i="1"/>
  <c r="CQ818" i="1"/>
  <c r="CR818" i="1"/>
  <c r="BO819" i="1"/>
  <c r="BP819" i="1"/>
  <c r="BQ819" i="1"/>
  <c r="BR819" i="1"/>
  <c r="BS819" i="1"/>
  <c r="BT819" i="1"/>
  <c r="BU819" i="1"/>
  <c r="BV819" i="1"/>
  <c r="BW819" i="1"/>
  <c r="BX819" i="1"/>
  <c r="BY819" i="1"/>
  <c r="BZ819" i="1"/>
  <c r="CA819" i="1"/>
  <c r="CB819" i="1"/>
  <c r="CC819" i="1"/>
  <c r="CD819" i="1"/>
  <c r="CE819" i="1"/>
  <c r="CF819" i="1"/>
  <c r="CG819" i="1"/>
  <c r="CH819" i="1"/>
  <c r="CI819" i="1"/>
  <c r="CJ819" i="1"/>
  <c r="CK819" i="1"/>
  <c r="CL819" i="1"/>
  <c r="CM819" i="1"/>
  <c r="CN819" i="1"/>
  <c r="CO819" i="1"/>
  <c r="CP819" i="1"/>
  <c r="CQ819" i="1"/>
  <c r="CR819" i="1"/>
  <c r="BO820" i="1"/>
  <c r="BP820" i="1"/>
  <c r="BQ820" i="1"/>
  <c r="BR820" i="1"/>
  <c r="BS820" i="1"/>
  <c r="BT820" i="1"/>
  <c r="BU820" i="1"/>
  <c r="BV820" i="1"/>
  <c r="BW820" i="1"/>
  <c r="BX820" i="1"/>
  <c r="BY820" i="1"/>
  <c r="BZ820" i="1"/>
  <c r="CA820" i="1"/>
  <c r="CB820" i="1"/>
  <c r="CC820" i="1"/>
  <c r="CD820" i="1"/>
  <c r="CE820" i="1"/>
  <c r="CF820" i="1"/>
  <c r="CG820" i="1"/>
  <c r="CH820" i="1"/>
  <c r="CI820" i="1"/>
  <c r="CJ820" i="1"/>
  <c r="CK820" i="1"/>
  <c r="CL820" i="1"/>
  <c r="CM820" i="1"/>
  <c r="CN820" i="1"/>
  <c r="CO820" i="1"/>
  <c r="CP820" i="1"/>
  <c r="CQ820" i="1"/>
  <c r="CR820" i="1"/>
  <c r="BO821" i="1"/>
  <c r="BP821" i="1"/>
  <c r="BQ821" i="1"/>
  <c r="BR821" i="1"/>
  <c r="BS821" i="1"/>
  <c r="BT821" i="1"/>
  <c r="BU821" i="1"/>
  <c r="BV821" i="1"/>
  <c r="BW821" i="1"/>
  <c r="BX821" i="1"/>
  <c r="BY821" i="1"/>
  <c r="BZ821" i="1"/>
  <c r="CA821" i="1"/>
  <c r="CB821" i="1"/>
  <c r="CC821" i="1"/>
  <c r="CD821" i="1"/>
  <c r="CE821" i="1"/>
  <c r="CF821" i="1"/>
  <c r="CG821" i="1"/>
  <c r="CH821" i="1"/>
  <c r="CI821" i="1"/>
  <c r="CJ821" i="1"/>
  <c r="CK821" i="1"/>
  <c r="CL821" i="1"/>
  <c r="CM821" i="1"/>
  <c r="CN821" i="1"/>
  <c r="CO821" i="1"/>
  <c r="CP821" i="1"/>
  <c r="CQ821" i="1"/>
  <c r="CR821" i="1"/>
  <c r="BO822" i="1"/>
  <c r="BP822" i="1"/>
  <c r="BQ822" i="1"/>
  <c r="BR822" i="1"/>
  <c r="BS822" i="1"/>
  <c r="BT822" i="1"/>
  <c r="BU822" i="1"/>
  <c r="BV822" i="1"/>
  <c r="BW822" i="1"/>
  <c r="BX822" i="1"/>
  <c r="BY822" i="1"/>
  <c r="BZ822" i="1"/>
  <c r="CA822" i="1"/>
  <c r="CB822" i="1"/>
  <c r="CC822" i="1"/>
  <c r="CD822" i="1"/>
  <c r="CE822" i="1"/>
  <c r="CF822" i="1"/>
  <c r="CG822" i="1"/>
  <c r="CH822" i="1"/>
  <c r="CI822" i="1"/>
  <c r="CJ822" i="1"/>
  <c r="CK822" i="1"/>
  <c r="CL822" i="1"/>
  <c r="CM822" i="1"/>
  <c r="CN822" i="1"/>
  <c r="CO822" i="1"/>
  <c r="CP822" i="1"/>
  <c r="CQ822" i="1"/>
  <c r="CR822" i="1"/>
  <c r="BO823" i="1"/>
  <c r="BP823" i="1"/>
  <c r="BQ823" i="1"/>
  <c r="BR823" i="1"/>
  <c r="BS823" i="1"/>
  <c r="BT823" i="1"/>
  <c r="BU823" i="1"/>
  <c r="BV823" i="1"/>
  <c r="BW823" i="1"/>
  <c r="BX823" i="1"/>
  <c r="BY823" i="1"/>
  <c r="BZ823" i="1"/>
  <c r="CA823" i="1"/>
  <c r="CB823" i="1"/>
  <c r="CC823" i="1"/>
  <c r="CD823" i="1"/>
  <c r="CE823" i="1"/>
  <c r="CF823" i="1"/>
  <c r="CG823" i="1"/>
  <c r="CH823" i="1"/>
  <c r="CI823" i="1"/>
  <c r="CJ823" i="1"/>
  <c r="CK823" i="1"/>
  <c r="CL823" i="1"/>
  <c r="CM823" i="1"/>
  <c r="CN823" i="1"/>
  <c r="CO823" i="1"/>
  <c r="CP823" i="1"/>
  <c r="CQ823" i="1"/>
  <c r="CR823" i="1"/>
  <c r="BO824" i="1"/>
  <c r="BP824" i="1"/>
  <c r="BQ824" i="1"/>
  <c r="BR824" i="1"/>
  <c r="BS824" i="1"/>
  <c r="BT824" i="1"/>
  <c r="BU824" i="1"/>
  <c r="BV824" i="1"/>
  <c r="BW824" i="1"/>
  <c r="BX824" i="1"/>
  <c r="BY824" i="1"/>
  <c r="BZ824" i="1"/>
  <c r="CA824" i="1"/>
  <c r="CB824" i="1"/>
  <c r="CC824" i="1"/>
  <c r="CD824" i="1"/>
  <c r="CE824" i="1"/>
  <c r="CF824" i="1"/>
  <c r="CG824" i="1"/>
  <c r="CH824" i="1"/>
  <c r="CI824" i="1"/>
  <c r="CJ824" i="1"/>
  <c r="CK824" i="1"/>
  <c r="CL824" i="1"/>
  <c r="CM824" i="1"/>
  <c r="CN824" i="1"/>
  <c r="CO824" i="1"/>
  <c r="CP824" i="1"/>
  <c r="CQ824" i="1"/>
  <c r="CR824" i="1"/>
  <c r="BO825" i="1"/>
  <c r="BP825" i="1"/>
  <c r="BQ825" i="1"/>
  <c r="BR825" i="1"/>
  <c r="BS825" i="1"/>
  <c r="BT825" i="1"/>
  <c r="BU825" i="1"/>
  <c r="BV825" i="1"/>
  <c r="BW825" i="1"/>
  <c r="BX825" i="1"/>
  <c r="BY825" i="1"/>
  <c r="BZ825" i="1"/>
  <c r="CA825" i="1"/>
  <c r="CB825" i="1"/>
  <c r="CC825" i="1"/>
  <c r="CD825" i="1"/>
  <c r="CE825" i="1"/>
  <c r="CF825" i="1"/>
  <c r="CG825" i="1"/>
  <c r="CH825" i="1"/>
  <c r="CI825" i="1"/>
  <c r="CJ825" i="1"/>
  <c r="CK825" i="1"/>
  <c r="CL825" i="1"/>
  <c r="CM825" i="1"/>
  <c r="CN825" i="1"/>
  <c r="CO825" i="1"/>
  <c r="CP825" i="1"/>
  <c r="CQ825" i="1"/>
  <c r="CR825" i="1"/>
  <c r="BO826" i="1"/>
  <c r="BP826" i="1"/>
  <c r="BQ826" i="1"/>
  <c r="BR826" i="1"/>
  <c r="BS826" i="1"/>
  <c r="BT826" i="1"/>
  <c r="BU826" i="1"/>
  <c r="BV826" i="1"/>
  <c r="BW826" i="1"/>
  <c r="BX826" i="1"/>
  <c r="BY826" i="1"/>
  <c r="BZ826" i="1"/>
  <c r="CA826" i="1"/>
  <c r="CB826" i="1"/>
  <c r="CC826" i="1"/>
  <c r="CD826" i="1"/>
  <c r="CE826" i="1"/>
  <c r="CF826" i="1"/>
  <c r="CG826" i="1"/>
  <c r="CH826" i="1"/>
  <c r="CI826" i="1"/>
  <c r="CJ826" i="1"/>
  <c r="CK826" i="1"/>
  <c r="CL826" i="1"/>
  <c r="CM826" i="1"/>
  <c r="CN826" i="1"/>
  <c r="CO826" i="1"/>
  <c r="CP826" i="1"/>
  <c r="CQ826" i="1"/>
  <c r="CR826" i="1"/>
  <c r="BO827" i="1"/>
  <c r="BP827" i="1"/>
  <c r="BQ827" i="1"/>
  <c r="BR827" i="1"/>
  <c r="BS827" i="1"/>
  <c r="BT827" i="1"/>
  <c r="BU827" i="1"/>
  <c r="BV827" i="1"/>
  <c r="BW827" i="1"/>
  <c r="BX827" i="1"/>
  <c r="BY827" i="1"/>
  <c r="BZ827" i="1"/>
  <c r="CA827" i="1"/>
  <c r="CB827" i="1"/>
  <c r="CC827" i="1"/>
  <c r="CD827" i="1"/>
  <c r="CE827" i="1"/>
  <c r="CF827" i="1"/>
  <c r="CG827" i="1"/>
  <c r="CH827" i="1"/>
  <c r="CI827" i="1"/>
  <c r="CJ827" i="1"/>
  <c r="CK827" i="1"/>
  <c r="CL827" i="1"/>
  <c r="CM827" i="1"/>
  <c r="CN827" i="1"/>
  <c r="CO827" i="1"/>
  <c r="CP827" i="1"/>
  <c r="CQ827" i="1"/>
  <c r="CR827" i="1"/>
  <c r="BO828" i="1"/>
  <c r="BP828" i="1"/>
  <c r="BQ828" i="1"/>
  <c r="BR828" i="1"/>
  <c r="BS828" i="1"/>
  <c r="BT828" i="1"/>
  <c r="BU828" i="1"/>
  <c r="BV828" i="1"/>
  <c r="BW828" i="1"/>
  <c r="BX828" i="1"/>
  <c r="BY828" i="1"/>
  <c r="BZ828" i="1"/>
  <c r="CA828" i="1"/>
  <c r="CB828" i="1"/>
  <c r="CC828" i="1"/>
  <c r="CD828" i="1"/>
  <c r="CE828" i="1"/>
  <c r="CF828" i="1"/>
  <c r="CG828" i="1"/>
  <c r="CH828" i="1"/>
  <c r="CI828" i="1"/>
  <c r="CJ828" i="1"/>
  <c r="CK828" i="1"/>
  <c r="CL828" i="1"/>
  <c r="CM828" i="1"/>
  <c r="CN828" i="1"/>
  <c r="CO828" i="1"/>
  <c r="CP828" i="1"/>
  <c r="CQ828" i="1"/>
  <c r="CR828" i="1"/>
  <c r="BO829" i="1"/>
  <c r="BP829" i="1"/>
  <c r="BQ829" i="1"/>
  <c r="BR829" i="1"/>
  <c r="BS829" i="1"/>
  <c r="BT829" i="1"/>
  <c r="BU829" i="1"/>
  <c r="BV829" i="1"/>
  <c r="BW829" i="1"/>
  <c r="BX829" i="1"/>
  <c r="BY829" i="1"/>
  <c r="BZ829" i="1"/>
  <c r="CA829" i="1"/>
  <c r="CB829" i="1"/>
  <c r="CC829" i="1"/>
  <c r="CD829" i="1"/>
  <c r="CE829" i="1"/>
  <c r="CF829" i="1"/>
  <c r="CG829" i="1"/>
  <c r="CH829" i="1"/>
  <c r="CI829" i="1"/>
  <c r="CJ829" i="1"/>
  <c r="CK829" i="1"/>
  <c r="CL829" i="1"/>
  <c r="CM829" i="1"/>
  <c r="CN829" i="1"/>
  <c r="CO829" i="1"/>
  <c r="CP829" i="1"/>
  <c r="CQ829" i="1"/>
  <c r="CR829" i="1"/>
  <c r="BO830" i="1"/>
  <c r="BP830" i="1"/>
  <c r="BQ830" i="1"/>
  <c r="BR830" i="1"/>
  <c r="BS830" i="1"/>
  <c r="BT830" i="1"/>
  <c r="BU830" i="1"/>
  <c r="BV830" i="1"/>
  <c r="BW830" i="1"/>
  <c r="BX830" i="1"/>
  <c r="BY830" i="1"/>
  <c r="BZ830" i="1"/>
  <c r="CA830" i="1"/>
  <c r="CB830" i="1"/>
  <c r="CC830" i="1"/>
  <c r="CD830" i="1"/>
  <c r="CE830" i="1"/>
  <c r="CF830" i="1"/>
  <c r="CG830" i="1"/>
  <c r="CH830" i="1"/>
  <c r="CI830" i="1"/>
  <c r="CJ830" i="1"/>
  <c r="CK830" i="1"/>
  <c r="CL830" i="1"/>
  <c r="CM830" i="1"/>
  <c r="CN830" i="1"/>
  <c r="CO830" i="1"/>
  <c r="CP830" i="1"/>
  <c r="CQ830" i="1"/>
  <c r="CR830" i="1"/>
  <c r="BO831" i="1"/>
  <c r="BP831" i="1"/>
  <c r="BQ831" i="1"/>
  <c r="BR831" i="1"/>
  <c r="BS831" i="1"/>
  <c r="BT831" i="1"/>
  <c r="BU831" i="1"/>
  <c r="BV831" i="1"/>
  <c r="BW831" i="1"/>
  <c r="BX831" i="1"/>
  <c r="BY831" i="1"/>
  <c r="BZ831" i="1"/>
  <c r="CA831" i="1"/>
  <c r="CB831" i="1"/>
  <c r="CC831" i="1"/>
  <c r="CD831" i="1"/>
  <c r="CE831" i="1"/>
  <c r="CF831" i="1"/>
  <c r="CG831" i="1"/>
  <c r="CH831" i="1"/>
  <c r="CI831" i="1"/>
  <c r="CJ831" i="1"/>
  <c r="CK831" i="1"/>
  <c r="CL831" i="1"/>
  <c r="CM831" i="1"/>
  <c r="CN831" i="1"/>
  <c r="CO831" i="1"/>
  <c r="CP831" i="1"/>
  <c r="CQ831" i="1"/>
  <c r="CR831" i="1"/>
  <c r="BO832" i="1"/>
  <c r="BP832" i="1"/>
  <c r="BQ832" i="1"/>
  <c r="BR832" i="1"/>
  <c r="BS832" i="1"/>
  <c r="BT832" i="1"/>
  <c r="BU832" i="1"/>
  <c r="BV832" i="1"/>
  <c r="BW832" i="1"/>
  <c r="BX832" i="1"/>
  <c r="BY832" i="1"/>
  <c r="BZ832" i="1"/>
  <c r="CA832" i="1"/>
  <c r="CB832" i="1"/>
  <c r="CC832" i="1"/>
  <c r="CD832" i="1"/>
  <c r="CE832" i="1"/>
  <c r="CF832" i="1"/>
  <c r="CG832" i="1"/>
  <c r="CH832" i="1"/>
  <c r="CI832" i="1"/>
  <c r="CJ832" i="1"/>
  <c r="CK832" i="1"/>
  <c r="CL832" i="1"/>
  <c r="CM832" i="1"/>
  <c r="CN832" i="1"/>
  <c r="CO832" i="1"/>
  <c r="CP832" i="1"/>
  <c r="CQ832" i="1"/>
  <c r="CR832" i="1"/>
  <c r="BO833" i="1"/>
  <c r="BP833" i="1"/>
  <c r="BQ833" i="1"/>
  <c r="BR833" i="1"/>
  <c r="BS833" i="1"/>
  <c r="BT833" i="1"/>
  <c r="BU833" i="1"/>
  <c r="BV833" i="1"/>
  <c r="BW833" i="1"/>
  <c r="BX833" i="1"/>
  <c r="BY833" i="1"/>
  <c r="BZ833" i="1"/>
  <c r="CA833" i="1"/>
  <c r="CB833" i="1"/>
  <c r="CC833" i="1"/>
  <c r="CD833" i="1"/>
  <c r="CE833" i="1"/>
  <c r="CF833" i="1"/>
  <c r="CG833" i="1"/>
  <c r="CH833" i="1"/>
  <c r="CI833" i="1"/>
  <c r="CJ833" i="1"/>
  <c r="CK833" i="1"/>
  <c r="CL833" i="1"/>
  <c r="CM833" i="1"/>
  <c r="CN833" i="1"/>
  <c r="CO833" i="1"/>
  <c r="CP833" i="1"/>
  <c r="CQ833" i="1"/>
  <c r="CR833" i="1"/>
  <c r="BO834" i="1"/>
  <c r="BP834" i="1"/>
  <c r="BQ834" i="1"/>
  <c r="BR834" i="1"/>
  <c r="BS834" i="1"/>
  <c r="BT834" i="1"/>
  <c r="BU834" i="1"/>
  <c r="BV834" i="1"/>
  <c r="BW834" i="1"/>
  <c r="BX834" i="1"/>
  <c r="BY834" i="1"/>
  <c r="BZ834" i="1"/>
  <c r="CA834" i="1"/>
  <c r="CB834" i="1"/>
  <c r="CC834" i="1"/>
  <c r="CD834" i="1"/>
  <c r="CE834" i="1"/>
  <c r="CF834" i="1"/>
  <c r="CG834" i="1"/>
  <c r="CH834" i="1"/>
  <c r="CI834" i="1"/>
  <c r="CJ834" i="1"/>
  <c r="CK834" i="1"/>
  <c r="CL834" i="1"/>
  <c r="CM834" i="1"/>
  <c r="CN834" i="1"/>
  <c r="CO834" i="1"/>
  <c r="CP834" i="1"/>
  <c r="CQ834" i="1"/>
  <c r="CR834" i="1"/>
  <c r="BO835" i="1"/>
  <c r="BP835" i="1"/>
  <c r="BQ835" i="1"/>
  <c r="BR835" i="1"/>
  <c r="BS835" i="1"/>
  <c r="BT835" i="1"/>
  <c r="BU835" i="1"/>
  <c r="BV835" i="1"/>
  <c r="BW835" i="1"/>
  <c r="BX835" i="1"/>
  <c r="BY835" i="1"/>
  <c r="BZ835" i="1"/>
  <c r="CA835" i="1"/>
  <c r="CB835" i="1"/>
  <c r="CC835" i="1"/>
  <c r="CD835" i="1"/>
  <c r="CE835" i="1"/>
  <c r="CF835" i="1"/>
  <c r="CG835" i="1"/>
  <c r="CH835" i="1"/>
  <c r="CI835" i="1"/>
  <c r="CJ835" i="1"/>
  <c r="CK835" i="1"/>
  <c r="CL835" i="1"/>
  <c r="CM835" i="1"/>
  <c r="CN835" i="1"/>
  <c r="CO835" i="1"/>
  <c r="CP835" i="1"/>
  <c r="CQ835" i="1"/>
  <c r="CR835" i="1"/>
  <c r="BO836" i="1"/>
  <c r="BP836" i="1"/>
  <c r="BQ836" i="1"/>
  <c r="BR836" i="1"/>
  <c r="BS836" i="1"/>
  <c r="BT836" i="1"/>
  <c r="BU836" i="1"/>
  <c r="BV836" i="1"/>
  <c r="BW836" i="1"/>
  <c r="BX836" i="1"/>
  <c r="BY836" i="1"/>
  <c r="BZ836" i="1"/>
  <c r="CA836" i="1"/>
  <c r="CB836" i="1"/>
  <c r="CC836" i="1"/>
  <c r="CD836" i="1"/>
  <c r="CE836" i="1"/>
  <c r="CF836" i="1"/>
  <c r="CG836" i="1"/>
  <c r="CH836" i="1"/>
  <c r="CI836" i="1"/>
  <c r="CJ836" i="1"/>
  <c r="CK836" i="1"/>
  <c r="CL836" i="1"/>
  <c r="CM836" i="1"/>
  <c r="CN836" i="1"/>
  <c r="CO836" i="1"/>
  <c r="CP836" i="1"/>
  <c r="CQ836" i="1"/>
  <c r="CR836" i="1"/>
  <c r="BO837" i="1"/>
  <c r="BP837" i="1"/>
  <c r="BQ837" i="1"/>
  <c r="BR837" i="1"/>
  <c r="BS837" i="1"/>
  <c r="BT837" i="1"/>
  <c r="BU837" i="1"/>
  <c r="BV837" i="1"/>
  <c r="BW837" i="1"/>
  <c r="BX837" i="1"/>
  <c r="BY837" i="1"/>
  <c r="BZ837" i="1"/>
  <c r="CA837" i="1"/>
  <c r="CB837" i="1"/>
  <c r="CC837" i="1"/>
  <c r="CD837" i="1"/>
  <c r="CE837" i="1"/>
  <c r="CF837" i="1"/>
  <c r="CG837" i="1"/>
  <c r="CH837" i="1"/>
  <c r="CI837" i="1"/>
  <c r="CJ837" i="1"/>
  <c r="CK837" i="1"/>
  <c r="CL837" i="1"/>
  <c r="CM837" i="1"/>
  <c r="CN837" i="1"/>
  <c r="CO837" i="1"/>
  <c r="CP837" i="1"/>
  <c r="CQ837" i="1"/>
  <c r="CR837" i="1"/>
  <c r="BO838" i="1"/>
  <c r="BP838" i="1"/>
  <c r="BQ838" i="1"/>
  <c r="BR838" i="1"/>
  <c r="BS838" i="1"/>
  <c r="BT838" i="1"/>
  <c r="BU838" i="1"/>
  <c r="BV838" i="1"/>
  <c r="BW838" i="1"/>
  <c r="BX838" i="1"/>
  <c r="BY838" i="1"/>
  <c r="BZ838" i="1"/>
  <c r="CA838" i="1"/>
  <c r="CB838" i="1"/>
  <c r="CC838" i="1"/>
  <c r="CD838" i="1"/>
  <c r="CE838" i="1"/>
  <c r="CF838" i="1"/>
  <c r="CG838" i="1"/>
  <c r="CH838" i="1"/>
  <c r="CI838" i="1"/>
  <c r="CJ838" i="1"/>
  <c r="CK838" i="1"/>
  <c r="CL838" i="1"/>
  <c r="CM838" i="1"/>
  <c r="CN838" i="1"/>
  <c r="CO838" i="1"/>
  <c r="CP838" i="1"/>
  <c r="CQ838" i="1"/>
  <c r="CR838" i="1"/>
  <c r="BO839" i="1"/>
  <c r="BP839" i="1"/>
  <c r="BQ839" i="1"/>
  <c r="BR839" i="1"/>
  <c r="BS839" i="1"/>
  <c r="BT839" i="1"/>
  <c r="BU839" i="1"/>
  <c r="BV839" i="1"/>
  <c r="BW839" i="1"/>
  <c r="BX839" i="1"/>
  <c r="BY839" i="1"/>
  <c r="BZ839" i="1"/>
  <c r="CA839" i="1"/>
  <c r="CB839" i="1"/>
  <c r="CC839" i="1"/>
  <c r="CD839" i="1"/>
  <c r="CE839" i="1"/>
  <c r="CF839" i="1"/>
  <c r="CG839" i="1"/>
  <c r="CH839" i="1"/>
  <c r="CI839" i="1"/>
  <c r="CJ839" i="1"/>
  <c r="CK839" i="1"/>
  <c r="CL839" i="1"/>
  <c r="CM839" i="1"/>
  <c r="CN839" i="1"/>
  <c r="CO839" i="1"/>
  <c r="CP839" i="1"/>
  <c r="CQ839" i="1"/>
  <c r="CR839" i="1"/>
  <c r="BO840" i="1"/>
  <c r="BP840" i="1"/>
  <c r="BQ840" i="1"/>
  <c r="BR840" i="1"/>
  <c r="BS840" i="1"/>
  <c r="BT840" i="1"/>
  <c r="BU840" i="1"/>
  <c r="BV840" i="1"/>
  <c r="BW840" i="1"/>
  <c r="BX840" i="1"/>
  <c r="BY840" i="1"/>
  <c r="BZ840" i="1"/>
  <c r="CA840" i="1"/>
  <c r="CB840" i="1"/>
  <c r="CC840" i="1"/>
  <c r="CD840" i="1"/>
  <c r="CE840" i="1"/>
  <c r="CF840" i="1"/>
  <c r="CG840" i="1"/>
  <c r="CH840" i="1"/>
  <c r="CI840" i="1"/>
  <c r="CJ840" i="1"/>
  <c r="CK840" i="1"/>
  <c r="CL840" i="1"/>
  <c r="CM840" i="1"/>
  <c r="CN840" i="1"/>
  <c r="CO840" i="1"/>
  <c r="CP840" i="1"/>
  <c r="CQ840" i="1"/>
  <c r="CR840" i="1"/>
  <c r="BO841" i="1"/>
  <c r="BP841" i="1"/>
  <c r="BQ841" i="1"/>
  <c r="BR841" i="1"/>
  <c r="BS841" i="1"/>
  <c r="BT841" i="1"/>
  <c r="BU841" i="1"/>
  <c r="BV841" i="1"/>
  <c r="BW841" i="1"/>
  <c r="BX841" i="1"/>
  <c r="BY841" i="1"/>
  <c r="BZ841" i="1"/>
  <c r="CA841" i="1"/>
  <c r="CB841" i="1"/>
  <c r="CC841" i="1"/>
  <c r="CD841" i="1"/>
  <c r="CE841" i="1"/>
  <c r="CF841" i="1"/>
  <c r="CG841" i="1"/>
  <c r="CH841" i="1"/>
  <c r="CI841" i="1"/>
  <c r="CJ841" i="1"/>
  <c r="CK841" i="1"/>
  <c r="CL841" i="1"/>
  <c r="CM841" i="1"/>
  <c r="CN841" i="1"/>
  <c r="CO841" i="1"/>
  <c r="CP841" i="1"/>
  <c r="CQ841" i="1"/>
  <c r="CR841" i="1"/>
  <c r="BO842" i="1"/>
  <c r="BP842" i="1"/>
  <c r="BQ842" i="1"/>
  <c r="BR842" i="1"/>
  <c r="BS842" i="1"/>
  <c r="BT842" i="1"/>
  <c r="BU842" i="1"/>
  <c r="BV842" i="1"/>
  <c r="BW842" i="1"/>
  <c r="BX842" i="1"/>
  <c r="BY842" i="1"/>
  <c r="BZ842" i="1"/>
  <c r="CA842" i="1"/>
  <c r="CB842" i="1"/>
  <c r="CC842" i="1"/>
  <c r="CD842" i="1"/>
  <c r="CE842" i="1"/>
  <c r="CF842" i="1"/>
  <c r="CG842" i="1"/>
  <c r="CH842" i="1"/>
  <c r="CI842" i="1"/>
  <c r="CJ842" i="1"/>
  <c r="CK842" i="1"/>
  <c r="CL842" i="1"/>
  <c r="CM842" i="1"/>
  <c r="CN842" i="1"/>
  <c r="CO842" i="1"/>
  <c r="CP842" i="1"/>
  <c r="CQ842" i="1"/>
  <c r="CR842" i="1"/>
  <c r="BO843" i="1"/>
  <c r="BP843" i="1"/>
  <c r="BQ843" i="1"/>
  <c r="BR843" i="1"/>
  <c r="BS843" i="1"/>
  <c r="BT843" i="1"/>
  <c r="BU843" i="1"/>
  <c r="BV843" i="1"/>
  <c r="BW843" i="1"/>
  <c r="BX843" i="1"/>
  <c r="BY843" i="1"/>
  <c r="BZ843" i="1"/>
  <c r="CA843" i="1"/>
  <c r="CB843" i="1"/>
  <c r="CC843" i="1"/>
  <c r="CD843" i="1"/>
  <c r="CE843" i="1"/>
  <c r="CF843" i="1"/>
  <c r="CG843" i="1"/>
  <c r="CH843" i="1"/>
  <c r="CI843" i="1"/>
  <c r="CJ843" i="1"/>
  <c r="CK843" i="1"/>
  <c r="CL843" i="1"/>
  <c r="CM843" i="1"/>
  <c r="CN843" i="1"/>
  <c r="CO843" i="1"/>
  <c r="CP843" i="1"/>
  <c r="CQ843" i="1"/>
  <c r="CR843" i="1"/>
  <c r="BO844" i="1"/>
  <c r="BP844" i="1"/>
  <c r="BQ844" i="1"/>
  <c r="BR844" i="1"/>
  <c r="BS844" i="1"/>
  <c r="BT844" i="1"/>
  <c r="BU844" i="1"/>
  <c r="BV844" i="1"/>
  <c r="BW844" i="1"/>
  <c r="BX844" i="1"/>
  <c r="BY844" i="1"/>
  <c r="BZ844" i="1"/>
  <c r="CA844" i="1"/>
  <c r="CB844" i="1"/>
  <c r="CC844" i="1"/>
  <c r="CD844" i="1"/>
  <c r="CE844" i="1"/>
  <c r="CF844" i="1"/>
  <c r="CG844" i="1"/>
  <c r="CH844" i="1"/>
  <c r="CI844" i="1"/>
  <c r="CJ844" i="1"/>
  <c r="CK844" i="1"/>
  <c r="CL844" i="1"/>
  <c r="CM844" i="1"/>
  <c r="CN844" i="1"/>
  <c r="CO844" i="1"/>
  <c r="CP844" i="1"/>
  <c r="CQ844" i="1"/>
  <c r="CR844" i="1"/>
  <c r="BO845" i="1"/>
  <c r="BP845" i="1"/>
  <c r="BQ845" i="1"/>
  <c r="BR845" i="1"/>
  <c r="BS845" i="1"/>
  <c r="BT845" i="1"/>
  <c r="BU845" i="1"/>
  <c r="BV845" i="1"/>
  <c r="BW845" i="1"/>
  <c r="BX845" i="1"/>
  <c r="BY845" i="1"/>
  <c r="BZ845" i="1"/>
  <c r="CA845" i="1"/>
  <c r="CB845" i="1"/>
  <c r="CC845" i="1"/>
  <c r="CD845" i="1"/>
  <c r="CE845" i="1"/>
  <c r="CF845" i="1"/>
  <c r="CG845" i="1"/>
  <c r="CH845" i="1"/>
  <c r="CI845" i="1"/>
  <c r="CJ845" i="1"/>
  <c r="CK845" i="1"/>
  <c r="CL845" i="1"/>
  <c r="CM845" i="1"/>
  <c r="CN845" i="1"/>
  <c r="CO845" i="1"/>
  <c r="CP845" i="1"/>
  <c r="CQ845" i="1"/>
  <c r="CR845" i="1"/>
  <c r="BO846" i="1"/>
  <c r="BP846" i="1"/>
  <c r="BQ846" i="1"/>
  <c r="BR846" i="1"/>
  <c r="BS846" i="1"/>
  <c r="BT846" i="1"/>
  <c r="BU846" i="1"/>
  <c r="BV846" i="1"/>
  <c r="BW846" i="1"/>
  <c r="BX846" i="1"/>
  <c r="BY846" i="1"/>
  <c r="BZ846" i="1"/>
  <c r="CA846" i="1"/>
  <c r="CB846" i="1"/>
  <c r="CC846" i="1"/>
  <c r="CD846" i="1"/>
  <c r="CE846" i="1"/>
  <c r="CF846" i="1"/>
  <c r="CG846" i="1"/>
  <c r="CH846" i="1"/>
  <c r="CI846" i="1"/>
  <c r="CJ846" i="1"/>
  <c r="CK846" i="1"/>
  <c r="CL846" i="1"/>
  <c r="CM846" i="1"/>
  <c r="CN846" i="1"/>
  <c r="CO846" i="1"/>
  <c r="CP846" i="1"/>
  <c r="CQ846" i="1"/>
  <c r="CR846" i="1"/>
  <c r="BO847" i="1"/>
  <c r="BP847" i="1"/>
  <c r="BQ847" i="1"/>
  <c r="BR847" i="1"/>
  <c r="BS847" i="1"/>
  <c r="BT847" i="1"/>
  <c r="BU847" i="1"/>
  <c r="BV847" i="1"/>
  <c r="BW847" i="1"/>
  <c r="BX847" i="1"/>
  <c r="BY847" i="1"/>
  <c r="BZ847" i="1"/>
  <c r="CA847" i="1"/>
  <c r="CB847" i="1"/>
  <c r="CC847" i="1"/>
  <c r="CD847" i="1"/>
  <c r="CE847" i="1"/>
  <c r="CF847" i="1"/>
  <c r="CG847" i="1"/>
  <c r="CH847" i="1"/>
  <c r="CI847" i="1"/>
  <c r="CJ847" i="1"/>
  <c r="CK847" i="1"/>
  <c r="CL847" i="1"/>
  <c r="CM847" i="1"/>
  <c r="CN847" i="1"/>
  <c r="CO847" i="1"/>
  <c r="CP847" i="1"/>
  <c r="CQ847" i="1"/>
  <c r="CR847" i="1"/>
  <c r="BO848" i="1"/>
  <c r="BP848" i="1"/>
  <c r="BQ848" i="1"/>
  <c r="BR848" i="1"/>
  <c r="BS848" i="1"/>
  <c r="BT848" i="1"/>
  <c r="BU848" i="1"/>
  <c r="BV848" i="1"/>
  <c r="BW848" i="1"/>
  <c r="BX848" i="1"/>
  <c r="BY848" i="1"/>
  <c r="BZ848" i="1"/>
  <c r="CA848" i="1"/>
  <c r="CB848" i="1"/>
  <c r="CC848" i="1"/>
  <c r="CD848" i="1"/>
  <c r="CE848" i="1"/>
  <c r="CF848" i="1"/>
  <c r="CG848" i="1"/>
  <c r="CH848" i="1"/>
  <c r="CI848" i="1"/>
  <c r="CJ848" i="1"/>
  <c r="CK848" i="1"/>
  <c r="CL848" i="1"/>
  <c r="CM848" i="1"/>
  <c r="CN848" i="1"/>
  <c r="CO848" i="1"/>
  <c r="CP848" i="1"/>
  <c r="CQ848" i="1"/>
  <c r="CR848" i="1"/>
  <c r="BO849" i="1"/>
  <c r="BP849" i="1"/>
  <c r="BQ849" i="1"/>
  <c r="BR849" i="1"/>
  <c r="BS849" i="1"/>
  <c r="BT849" i="1"/>
  <c r="BU849" i="1"/>
  <c r="BV849" i="1"/>
  <c r="BW849" i="1"/>
  <c r="BX849" i="1"/>
  <c r="BY849" i="1"/>
  <c r="BZ849" i="1"/>
  <c r="CA849" i="1"/>
  <c r="CB849" i="1"/>
  <c r="CC849" i="1"/>
  <c r="CD849" i="1"/>
  <c r="CE849" i="1"/>
  <c r="CF849" i="1"/>
  <c r="CG849" i="1"/>
  <c r="CH849" i="1"/>
  <c r="CI849" i="1"/>
  <c r="CJ849" i="1"/>
  <c r="CK849" i="1"/>
  <c r="CL849" i="1"/>
  <c r="CM849" i="1"/>
  <c r="CN849" i="1"/>
  <c r="CO849" i="1"/>
  <c r="CP849" i="1"/>
  <c r="CQ849" i="1"/>
  <c r="CR849" i="1"/>
  <c r="BO850" i="1"/>
  <c r="BP850" i="1"/>
  <c r="BQ850" i="1"/>
  <c r="BR850" i="1"/>
  <c r="BS850" i="1"/>
  <c r="BT850" i="1"/>
  <c r="BU850" i="1"/>
  <c r="BV850" i="1"/>
  <c r="BW850" i="1"/>
  <c r="BX850" i="1"/>
  <c r="BY850" i="1"/>
  <c r="BZ850" i="1"/>
  <c r="CA850" i="1"/>
  <c r="CB850" i="1"/>
  <c r="CC850" i="1"/>
  <c r="CD850" i="1"/>
  <c r="CE850" i="1"/>
  <c r="CF850" i="1"/>
  <c r="CG850" i="1"/>
  <c r="CH850" i="1"/>
  <c r="CI850" i="1"/>
  <c r="CJ850" i="1"/>
  <c r="CK850" i="1"/>
  <c r="CL850" i="1"/>
  <c r="CM850" i="1"/>
  <c r="CN850" i="1"/>
  <c r="CO850" i="1"/>
  <c r="CP850" i="1"/>
  <c r="CQ850" i="1"/>
  <c r="CR850" i="1"/>
  <c r="BO851" i="1"/>
  <c r="BP851" i="1"/>
  <c r="BQ851" i="1"/>
  <c r="BR851" i="1"/>
  <c r="BS851" i="1"/>
  <c r="BT851" i="1"/>
  <c r="BU851" i="1"/>
  <c r="BV851" i="1"/>
  <c r="BW851" i="1"/>
  <c r="BX851" i="1"/>
  <c r="BY851" i="1"/>
  <c r="BZ851" i="1"/>
  <c r="CA851" i="1"/>
  <c r="CB851" i="1"/>
  <c r="CC851" i="1"/>
  <c r="CD851" i="1"/>
  <c r="CE851" i="1"/>
  <c r="CF851" i="1"/>
  <c r="CG851" i="1"/>
  <c r="CH851" i="1"/>
  <c r="CI851" i="1"/>
  <c r="CJ851" i="1"/>
  <c r="CK851" i="1"/>
  <c r="CL851" i="1"/>
  <c r="CM851" i="1"/>
  <c r="CN851" i="1"/>
  <c r="CO851" i="1"/>
  <c r="CP851" i="1"/>
  <c r="CQ851" i="1"/>
  <c r="CR851" i="1"/>
  <c r="BO852" i="1"/>
  <c r="BP852" i="1"/>
  <c r="BQ852" i="1"/>
  <c r="BR852" i="1"/>
  <c r="BS852" i="1"/>
  <c r="BT852" i="1"/>
  <c r="BU852" i="1"/>
  <c r="BV852" i="1"/>
  <c r="BW852" i="1"/>
  <c r="BX852" i="1"/>
  <c r="BY852" i="1"/>
  <c r="BZ852" i="1"/>
  <c r="CA852" i="1"/>
  <c r="CB852" i="1"/>
  <c r="CC852" i="1"/>
  <c r="CD852" i="1"/>
  <c r="CE852" i="1"/>
  <c r="CF852" i="1"/>
  <c r="CG852" i="1"/>
  <c r="CH852" i="1"/>
  <c r="CI852" i="1"/>
  <c r="CJ852" i="1"/>
  <c r="CK852" i="1"/>
  <c r="CL852" i="1"/>
  <c r="CM852" i="1"/>
  <c r="CN852" i="1"/>
  <c r="CO852" i="1"/>
  <c r="CP852" i="1"/>
  <c r="CQ852" i="1"/>
  <c r="CR852" i="1"/>
  <c r="BO853" i="1"/>
  <c r="BP853" i="1"/>
  <c r="BQ853" i="1"/>
  <c r="BR853" i="1"/>
  <c r="BS853" i="1"/>
  <c r="BT853" i="1"/>
  <c r="BU853" i="1"/>
  <c r="BV853" i="1"/>
  <c r="BW853" i="1"/>
  <c r="BX853" i="1"/>
  <c r="BY853" i="1"/>
  <c r="BZ853" i="1"/>
  <c r="CA853" i="1"/>
  <c r="CB853" i="1"/>
  <c r="CC853" i="1"/>
  <c r="CD853" i="1"/>
  <c r="CE853" i="1"/>
  <c r="CF853" i="1"/>
  <c r="CG853" i="1"/>
  <c r="CH853" i="1"/>
  <c r="CI853" i="1"/>
  <c r="CJ853" i="1"/>
  <c r="CK853" i="1"/>
  <c r="CL853" i="1"/>
  <c r="CM853" i="1"/>
  <c r="CN853" i="1"/>
  <c r="CO853" i="1"/>
  <c r="CP853" i="1"/>
  <c r="CQ853" i="1"/>
  <c r="CR853" i="1"/>
  <c r="BO854" i="1"/>
  <c r="BP854" i="1"/>
  <c r="BQ854" i="1"/>
  <c r="BR854" i="1"/>
  <c r="BS854" i="1"/>
  <c r="BT854" i="1"/>
  <c r="BU854" i="1"/>
  <c r="BV854" i="1"/>
  <c r="BW854" i="1"/>
  <c r="BX854" i="1"/>
  <c r="BY854" i="1"/>
  <c r="BZ854" i="1"/>
  <c r="CA854" i="1"/>
  <c r="CB854" i="1"/>
  <c r="CC854" i="1"/>
  <c r="CD854" i="1"/>
  <c r="CE854" i="1"/>
  <c r="CF854" i="1"/>
  <c r="CG854" i="1"/>
  <c r="CH854" i="1"/>
  <c r="CI854" i="1"/>
  <c r="CJ854" i="1"/>
  <c r="CK854" i="1"/>
  <c r="CL854" i="1"/>
  <c r="CM854" i="1"/>
  <c r="CN854" i="1"/>
  <c r="CO854" i="1"/>
  <c r="CP854" i="1"/>
  <c r="CQ854" i="1"/>
  <c r="CR854" i="1"/>
  <c r="BO855" i="1"/>
  <c r="BP855" i="1"/>
  <c r="BQ855" i="1"/>
  <c r="BR855" i="1"/>
  <c r="BS855" i="1"/>
  <c r="BT855" i="1"/>
  <c r="BU855" i="1"/>
  <c r="BV855" i="1"/>
  <c r="BW855" i="1"/>
  <c r="BX855" i="1"/>
  <c r="BY855" i="1"/>
  <c r="BZ855" i="1"/>
  <c r="CA855" i="1"/>
  <c r="CB855" i="1"/>
  <c r="CC855" i="1"/>
  <c r="CD855" i="1"/>
  <c r="CE855" i="1"/>
  <c r="CF855" i="1"/>
  <c r="CG855" i="1"/>
  <c r="CH855" i="1"/>
  <c r="CI855" i="1"/>
  <c r="CJ855" i="1"/>
  <c r="CK855" i="1"/>
  <c r="CL855" i="1"/>
  <c r="CM855" i="1"/>
  <c r="CN855" i="1"/>
  <c r="CO855" i="1"/>
  <c r="CP855" i="1"/>
  <c r="CQ855" i="1"/>
  <c r="CR855" i="1"/>
  <c r="BO856" i="1"/>
  <c r="BP856" i="1"/>
  <c r="BQ856" i="1"/>
  <c r="BR856" i="1"/>
  <c r="BS856" i="1"/>
  <c r="BT856" i="1"/>
  <c r="BU856" i="1"/>
  <c r="BV856" i="1"/>
  <c r="BW856" i="1"/>
  <c r="BX856" i="1"/>
  <c r="BY856" i="1"/>
  <c r="BZ856" i="1"/>
  <c r="CA856" i="1"/>
  <c r="CB856" i="1"/>
  <c r="CC856" i="1"/>
  <c r="CD856" i="1"/>
  <c r="CE856" i="1"/>
  <c r="CF856" i="1"/>
  <c r="CG856" i="1"/>
  <c r="CH856" i="1"/>
  <c r="CI856" i="1"/>
  <c r="CJ856" i="1"/>
  <c r="CK856" i="1"/>
  <c r="CL856" i="1"/>
  <c r="CM856" i="1"/>
  <c r="CN856" i="1"/>
  <c r="CO856" i="1"/>
  <c r="CP856" i="1"/>
  <c r="CQ856" i="1"/>
  <c r="CR856" i="1"/>
  <c r="BO857" i="1"/>
  <c r="BP857" i="1"/>
  <c r="BQ857" i="1"/>
  <c r="BR857" i="1"/>
  <c r="BS857" i="1"/>
  <c r="BT857" i="1"/>
  <c r="BU857" i="1"/>
  <c r="BV857" i="1"/>
  <c r="BW857" i="1"/>
  <c r="BX857" i="1"/>
  <c r="BY857" i="1"/>
  <c r="BZ857" i="1"/>
  <c r="CA857" i="1"/>
  <c r="CB857" i="1"/>
  <c r="CC857" i="1"/>
  <c r="CD857" i="1"/>
  <c r="CE857" i="1"/>
  <c r="CF857" i="1"/>
  <c r="CG857" i="1"/>
  <c r="CH857" i="1"/>
  <c r="CI857" i="1"/>
  <c r="CJ857" i="1"/>
  <c r="CK857" i="1"/>
  <c r="CL857" i="1"/>
  <c r="CM857" i="1"/>
  <c r="CN857" i="1"/>
  <c r="CO857" i="1"/>
  <c r="CP857" i="1"/>
  <c r="CQ857" i="1"/>
  <c r="CR857" i="1"/>
  <c r="BO858" i="1"/>
  <c r="BP858" i="1"/>
  <c r="BQ858" i="1"/>
  <c r="BR858" i="1"/>
  <c r="BS858" i="1"/>
  <c r="BT858" i="1"/>
  <c r="BU858" i="1"/>
  <c r="BV858" i="1"/>
  <c r="BW858" i="1"/>
  <c r="BX858" i="1"/>
  <c r="BY858" i="1"/>
  <c r="BZ858" i="1"/>
  <c r="CA858" i="1"/>
  <c r="CB858" i="1"/>
  <c r="CC858" i="1"/>
  <c r="CD858" i="1"/>
  <c r="CE858" i="1"/>
  <c r="CF858" i="1"/>
  <c r="CG858" i="1"/>
  <c r="CH858" i="1"/>
  <c r="CI858" i="1"/>
  <c r="CJ858" i="1"/>
  <c r="CK858" i="1"/>
  <c r="CL858" i="1"/>
  <c r="CM858" i="1"/>
  <c r="CN858" i="1"/>
  <c r="CO858" i="1"/>
  <c r="CP858" i="1"/>
  <c r="CQ858" i="1"/>
  <c r="CR858" i="1"/>
  <c r="BO859" i="1"/>
  <c r="BP859" i="1"/>
  <c r="BQ859" i="1"/>
  <c r="BR859" i="1"/>
  <c r="BS859" i="1"/>
  <c r="BT859" i="1"/>
  <c r="BU859" i="1"/>
  <c r="BV859" i="1"/>
  <c r="BW859" i="1"/>
  <c r="BX859" i="1"/>
  <c r="BY859" i="1"/>
  <c r="BZ859" i="1"/>
  <c r="CA859" i="1"/>
  <c r="CB859" i="1"/>
  <c r="CC859" i="1"/>
  <c r="CD859" i="1"/>
  <c r="CE859" i="1"/>
  <c r="CF859" i="1"/>
  <c r="CG859" i="1"/>
  <c r="CH859" i="1"/>
  <c r="CI859" i="1"/>
  <c r="CJ859" i="1"/>
  <c r="CK859" i="1"/>
  <c r="CL859" i="1"/>
  <c r="CM859" i="1"/>
  <c r="CN859" i="1"/>
  <c r="CO859" i="1"/>
  <c r="CP859" i="1"/>
  <c r="CQ859" i="1"/>
  <c r="CR859" i="1"/>
  <c r="BO860" i="1"/>
  <c r="BP860" i="1"/>
  <c r="BQ860" i="1"/>
  <c r="BR860" i="1"/>
  <c r="BS860" i="1"/>
  <c r="BT860" i="1"/>
  <c r="BU860" i="1"/>
  <c r="BV860" i="1"/>
  <c r="BW860" i="1"/>
  <c r="BX860" i="1"/>
  <c r="BY860" i="1"/>
  <c r="BZ860" i="1"/>
  <c r="CA860" i="1"/>
  <c r="CB860" i="1"/>
  <c r="CC860" i="1"/>
  <c r="CD860" i="1"/>
  <c r="CE860" i="1"/>
  <c r="CF860" i="1"/>
  <c r="CG860" i="1"/>
  <c r="CH860" i="1"/>
  <c r="CI860" i="1"/>
  <c r="CJ860" i="1"/>
  <c r="CK860" i="1"/>
  <c r="CL860" i="1"/>
  <c r="CM860" i="1"/>
  <c r="CN860" i="1"/>
  <c r="CO860" i="1"/>
  <c r="CP860" i="1"/>
  <c r="CQ860" i="1"/>
  <c r="CR860" i="1"/>
  <c r="BO861" i="1"/>
  <c r="BP861" i="1"/>
  <c r="BQ861" i="1"/>
  <c r="BR861" i="1"/>
  <c r="BS861" i="1"/>
  <c r="BT861" i="1"/>
  <c r="BU861" i="1"/>
  <c r="BV861" i="1"/>
  <c r="BW861" i="1"/>
  <c r="BX861" i="1"/>
  <c r="BY861" i="1"/>
  <c r="BZ861" i="1"/>
  <c r="CA861" i="1"/>
  <c r="CB861" i="1"/>
  <c r="CC861" i="1"/>
  <c r="CD861" i="1"/>
  <c r="CE861" i="1"/>
  <c r="CF861" i="1"/>
  <c r="CG861" i="1"/>
  <c r="CH861" i="1"/>
  <c r="CI861" i="1"/>
  <c r="CJ861" i="1"/>
  <c r="CK861" i="1"/>
  <c r="CL861" i="1"/>
  <c r="CM861" i="1"/>
  <c r="CN861" i="1"/>
  <c r="CO861" i="1"/>
  <c r="CP861" i="1"/>
  <c r="CQ861" i="1"/>
  <c r="CR861" i="1"/>
  <c r="BO862" i="1"/>
  <c r="BP862" i="1"/>
  <c r="BQ862" i="1"/>
  <c r="BR862" i="1"/>
  <c r="BS862" i="1"/>
  <c r="BT862" i="1"/>
  <c r="BU862" i="1"/>
  <c r="BV862" i="1"/>
  <c r="BW862" i="1"/>
  <c r="BX862" i="1"/>
  <c r="BY862" i="1"/>
  <c r="BZ862" i="1"/>
  <c r="CA862" i="1"/>
  <c r="CB862" i="1"/>
  <c r="CC862" i="1"/>
  <c r="CD862" i="1"/>
  <c r="CE862" i="1"/>
  <c r="CF862" i="1"/>
  <c r="CG862" i="1"/>
  <c r="CH862" i="1"/>
  <c r="CI862" i="1"/>
  <c r="CJ862" i="1"/>
  <c r="CK862" i="1"/>
  <c r="CL862" i="1"/>
  <c r="CM862" i="1"/>
  <c r="CN862" i="1"/>
  <c r="CO862" i="1"/>
  <c r="CP862" i="1"/>
  <c r="CQ862" i="1"/>
  <c r="CR862" i="1"/>
  <c r="BO863" i="1"/>
  <c r="BP863" i="1"/>
  <c r="BQ863" i="1"/>
  <c r="BR863" i="1"/>
  <c r="BS863" i="1"/>
  <c r="BT863" i="1"/>
  <c r="BU863" i="1"/>
  <c r="BV863" i="1"/>
  <c r="BW863" i="1"/>
  <c r="BX863" i="1"/>
  <c r="BY863" i="1"/>
  <c r="BZ863" i="1"/>
  <c r="CA863" i="1"/>
  <c r="CB863" i="1"/>
  <c r="CC863" i="1"/>
  <c r="CD863" i="1"/>
  <c r="CE863" i="1"/>
  <c r="CF863" i="1"/>
  <c r="CG863" i="1"/>
  <c r="CH863" i="1"/>
  <c r="CI863" i="1"/>
  <c r="CJ863" i="1"/>
  <c r="CK863" i="1"/>
  <c r="CL863" i="1"/>
  <c r="CM863" i="1"/>
  <c r="CN863" i="1"/>
  <c r="CO863" i="1"/>
  <c r="CP863" i="1"/>
  <c r="CQ863" i="1"/>
  <c r="CR863" i="1"/>
  <c r="BO864" i="1"/>
  <c r="BP864" i="1"/>
  <c r="BQ864" i="1"/>
  <c r="BR864" i="1"/>
  <c r="BS864" i="1"/>
  <c r="BT864" i="1"/>
  <c r="BU864" i="1"/>
  <c r="BV864" i="1"/>
  <c r="BW864" i="1"/>
  <c r="BX864" i="1"/>
  <c r="BY864" i="1"/>
  <c r="BZ864" i="1"/>
  <c r="CA864" i="1"/>
  <c r="CB864" i="1"/>
  <c r="CC864" i="1"/>
  <c r="CD864" i="1"/>
  <c r="CE864" i="1"/>
  <c r="CF864" i="1"/>
  <c r="CG864" i="1"/>
  <c r="CH864" i="1"/>
  <c r="CI864" i="1"/>
  <c r="CJ864" i="1"/>
  <c r="CK864" i="1"/>
  <c r="CL864" i="1"/>
  <c r="CM864" i="1"/>
  <c r="CN864" i="1"/>
  <c r="CO864" i="1"/>
  <c r="CP864" i="1"/>
  <c r="CQ864" i="1"/>
  <c r="CR864" i="1"/>
  <c r="BO865" i="1"/>
  <c r="BP865" i="1"/>
  <c r="BQ865" i="1"/>
  <c r="BR865" i="1"/>
  <c r="BS865" i="1"/>
  <c r="BT865" i="1"/>
  <c r="BU865" i="1"/>
  <c r="BV865" i="1"/>
  <c r="BW865" i="1"/>
  <c r="BX865" i="1"/>
  <c r="BY865" i="1"/>
  <c r="BZ865" i="1"/>
  <c r="CA865" i="1"/>
  <c r="CB865" i="1"/>
  <c r="CC865" i="1"/>
  <c r="CD865" i="1"/>
  <c r="CE865" i="1"/>
  <c r="CF865" i="1"/>
  <c r="CG865" i="1"/>
  <c r="CH865" i="1"/>
  <c r="CI865" i="1"/>
  <c r="CJ865" i="1"/>
  <c r="CK865" i="1"/>
  <c r="CL865" i="1"/>
  <c r="CM865" i="1"/>
  <c r="CN865" i="1"/>
  <c r="CO865" i="1"/>
  <c r="CP865" i="1"/>
  <c r="CQ865" i="1"/>
  <c r="CR865" i="1"/>
  <c r="BO866" i="1"/>
  <c r="BP866" i="1"/>
  <c r="BQ866" i="1"/>
  <c r="BR866" i="1"/>
  <c r="BS866" i="1"/>
  <c r="BT866" i="1"/>
  <c r="BU866" i="1"/>
  <c r="BV866" i="1"/>
  <c r="BW866" i="1"/>
  <c r="BX866" i="1"/>
  <c r="BY866" i="1"/>
  <c r="BZ866" i="1"/>
  <c r="CA866" i="1"/>
  <c r="CB866" i="1"/>
  <c r="CC866" i="1"/>
  <c r="CD866" i="1"/>
  <c r="CE866" i="1"/>
  <c r="CF866" i="1"/>
  <c r="CG866" i="1"/>
  <c r="CH866" i="1"/>
  <c r="CI866" i="1"/>
  <c r="CJ866" i="1"/>
  <c r="CK866" i="1"/>
  <c r="CL866" i="1"/>
  <c r="CM866" i="1"/>
  <c r="CN866" i="1"/>
  <c r="CO866" i="1"/>
  <c r="CP866" i="1"/>
  <c r="CQ866" i="1"/>
  <c r="CR866" i="1"/>
  <c r="BO867" i="1"/>
  <c r="BP867" i="1"/>
  <c r="BQ867" i="1"/>
  <c r="BR867" i="1"/>
  <c r="BS867" i="1"/>
  <c r="BT867" i="1"/>
  <c r="BU867" i="1"/>
  <c r="BV867" i="1"/>
  <c r="BW867" i="1"/>
  <c r="BX867" i="1"/>
  <c r="BY867" i="1"/>
  <c r="BZ867" i="1"/>
  <c r="CA867" i="1"/>
  <c r="CB867" i="1"/>
  <c r="CC867" i="1"/>
  <c r="CD867" i="1"/>
  <c r="CE867" i="1"/>
  <c r="CF867" i="1"/>
  <c r="CG867" i="1"/>
  <c r="CH867" i="1"/>
  <c r="CI867" i="1"/>
  <c r="CJ867" i="1"/>
  <c r="CK867" i="1"/>
  <c r="CL867" i="1"/>
  <c r="CM867" i="1"/>
  <c r="CN867" i="1"/>
  <c r="CO867" i="1"/>
  <c r="CP867" i="1"/>
  <c r="CQ867" i="1"/>
  <c r="CR867" i="1"/>
  <c r="BO868" i="1"/>
  <c r="BP868" i="1"/>
  <c r="BQ868" i="1"/>
  <c r="BR868" i="1"/>
  <c r="BS868" i="1"/>
  <c r="BT868" i="1"/>
  <c r="BU868" i="1"/>
  <c r="BV868" i="1"/>
  <c r="BW868" i="1"/>
  <c r="BX868" i="1"/>
  <c r="BY868" i="1"/>
  <c r="BZ868" i="1"/>
  <c r="CA868" i="1"/>
  <c r="CB868" i="1"/>
  <c r="CC868" i="1"/>
  <c r="CD868" i="1"/>
  <c r="CE868" i="1"/>
  <c r="CF868" i="1"/>
  <c r="CG868" i="1"/>
  <c r="CH868" i="1"/>
  <c r="CI868" i="1"/>
  <c r="CJ868" i="1"/>
  <c r="CK868" i="1"/>
  <c r="CL868" i="1"/>
  <c r="CM868" i="1"/>
  <c r="CN868" i="1"/>
  <c r="CO868" i="1"/>
  <c r="CP868" i="1"/>
  <c r="CQ868" i="1"/>
  <c r="CR868" i="1"/>
  <c r="BO869" i="1"/>
  <c r="BP869" i="1"/>
  <c r="BQ869" i="1"/>
  <c r="BR869" i="1"/>
  <c r="BS869" i="1"/>
  <c r="BT869" i="1"/>
  <c r="BU869" i="1"/>
  <c r="BV869" i="1"/>
  <c r="BW869" i="1"/>
  <c r="BX869" i="1"/>
  <c r="BY869" i="1"/>
  <c r="BZ869" i="1"/>
  <c r="CA869" i="1"/>
  <c r="CB869" i="1"/>
  <c r="CC869" i="1"/>
  <c r="CD869" i="1"/>
  <c r="CE869" i="1"/>
  <c r="CF869" i="1"/>
  <c r="CG869" i="1"/>
  <c r="CH869" i="1"/>
  <c r="CI869" i="1"/>
  <c r="CJ869" i="1"/>
  <c r="CK869" i="1"/>
  <c r="CL869" i="1"/>
  <c r="CM869" i="1"/>
  <c r="CN869" i="1"/>
  <c r="CO869" i="1"/>
  <c r="CP869" i="1"/>
  <c r="CQ869" i="1"/>
  <c r="CR869" i="1"/>
  <c r="BO870" i="1"/>
  <c r="BP870" i="1"/>
  <c r="BQ870" i="1"/>
  <c r="BR870" i="1"/>
  <c r="BS870" i="1"/>
  <c r="BT870" i="1"/>
  <c r="BU870" i="1"/>
  <c r="BV870" i="1"/>
  <c r="BW870" i="1"/>
  <c r="BX870" i="1"/>
  <c r="BY870" i="1"/>
  <c r="BZ870" i="1"/>
  <c r="CA870" i="1"/>
  <c r="CB870" i="1"/>
  <c r="CC870" i="1"/>
  <c r="CD870" i="1"/>
  <c r="CE870" i="1"/>
  <c r="CF870" i="1"/>
  <c r="CG870" i="1"/>
  <c r="CH870" i="1"/>
  <c r="CI870" i="1"/>
  <c r="CJ870" i="1"/>
  <c r="CK870" i="1"/>
  <c r="CL870" i="1"/>
  <c r="CM870" i="1"/>
  <c r="CN870" i="1"/>
  <c r="CO870" i="1"/>
  <c r="CP870" i="1"/>
  <c r="CQ870" i="1"/>
  <c r="CR870" i="1"/>
  <c r="BO871" i="1"/>
  <c r="BP871" i="1"/>
  <c r="BQ871" i="1"/>
  <c r="BR871" i="1"/>
  <c r="BS871" i="1"/>
  <c r="BT871" i="1"/>
  <c r="BU871" i="1"/>
  <c r="BV871" i="1"/>
  <c r="BW871" i="1"/>
  <c r="BX871" i="1"/>
  <c r="BY871" i="1"/>
  <c r="BZ871" i="1"/>
  <c r="CA871" i="1"/>
  <c r="CB871" i="1"/>
  <c r="CC871" i="1"/>
  <c r="CD871" i="1"/>
  <c r="CE871" i="1"/>
  <c r="CF871" i="1"/>
  <c r="CG871" i="1"/>
  <c r="CH871" i="1"/>
  <c r="CI871" i="1"/>
  <c r="CJ871" i="1"/>
  <c r="CK871" i="1"/>
  <c r="CL871" i="1"/>
  <c r="CM871" i="1"/>
  <c r="CN871" i="1"/>
  <c r="CO871" i="1"/>
  <c r="CP871" i="1"/>
  <c r="CQ871" i="1"/>
  <c r="CR871" i="1"/>
  <c r="BO872" i="1"/>
  <c r="BP872" i="1"/>
  <c r="BQ872" i="1"/>
  <c r="BR872" i="1"/>
  <c r="BS872" i="1"/>
  <c r="BT872" i="1"/>
  <c r="BU872" i="1"/>
  <c r="BV872" i="1"/>
  <c r="BW872" i="1"/>
  <c r="BX872" i="1"/>
  <c r="BY872" i="1"/>
  <c r="BZ872" i="1"/>
  <c r="CA872" i="1"/>
  <c r="CB872" i="1"/>
  <c r="CC872" i="1"/>
  <c r="CD872" i="1"/>
  <c r="CE872" i="1"/>
  <c r="CF872" i="1"/>
  <c r="CG872" i="1"/>
  <c r="CH872" i="1"/>
  <c r="CI872" i="1"/>
  <c r="CJ872" i="1"/>
  <c r="CK872" i="1"/>
  <c r="CL872" i="1"/>
  <c r="CM872" i="1"/>
  <c r="CN872" i="1"/>
  <c r="CO872" i="1"/>
  <c r="CP872" i="1"/>
  <c r="CQ872" i="1"/>
  <c r="CR872" i="1"/>
  <c r="BO873" i="1"/>
  <c r="BP873" i="1"/>
  <c r="BQ873" i="1"/>
  <c r="BR873" i="1"/>
  <c r="BS873" i="1"/>
  <c r="BT873" i="1"/>
  <c r="BU873" i="1"/>
  <c r="BV873" i="1"/>
  <c r="BW873" i="1"/>
  <c r="BX873" i="1"/>
  <c r="BY873" i="1"/>
  <c r="BZ873" i="1"/>
  <c r="CA873" i="1"/>
  <c r="CB873" i="1"/>
  <c r="CC873" i="1"/>
  <c r="CD873" i="1"/>
  <c r="CE873" i="1"/>
  <c r="CF873" i="1"/>
  <c r="CG873" i="1"/>
  <c r="CH873" i="1"/>
  <c r="CI873" i="1"/>
  <c r="CJ873" i="1"/>
  <c r="CK873" i="1"/>
  <c r="CL873" i="1"/>
  <c r="CM873" i="1"/>
  <c r="CN873" i="1"/>
  <c r="CO873" i="1"/>
  <c r="CP873" i="1"/>
  <c r="CQ873" i="1"/>
  <c r="CR873" i="1"/>
  <c r="BO874" i="1"/>
  <c r="BP874" i="1"/>
  <c r="BQ874" i="1"/>
  <c r="BR874" i="1"/>
  <c r="BS874" i="1"/>
  <c r="BT874" i="1"/>
  <c r="BU874" i="1"/>
  <c r="BV874" i="1"/>
  <c r="BW874" i="1"/>
  <c r="BX874" i="1"/>
  <c r="BY874" i="1"/>
  <c r="BZ874" i="1"/>
  <c r="CA874" i="1"/>
  <c r="CB874" i="1"/>
  <c r="CC874" i="1"/>
  <c r="CD874" i="1"/>
  <c r="CE874" i="1"/>
  <c r="CF874" i="1"/>
  <c r="CG874" i="1"/>
  <c r="CH874" i="1"/>
  <c r="CI874" i="1"/>
  <c r="CJ874" i="1"/>
  <c r="CK874" i="1"/>
  <c r="CL874" i="1"/>
  <c r="CM874" i="1"/>
  <c r="CN874" i="1"/>
  <c r="CO874" i="1"/>
  <c r="CP874" i="1"/>
  <c r="CQ874" i="1"/>
  <c r="CR874" i="1"/>
  <c r="BO875" i="1"/>
  <c r="BP875" i="1"/>
  <c r="BQ875" i="1"/>
  <c r="BR875" i="1"/>
  <c r="BS875" i="1"/>
  <c r="BT875" i="1"/>
  <c r="BU875" i="1"/>
  <c r="BV875" i="1"/>
  <c r="BW875" i="1"/>
  <c r="BX875" i="1"/>
  <c r="BY875" i="1"/>
  <c r="BZ875" i="1"/>
  <c r="CA875" i="1"/>
  <c r="CB875" i="1"/>
  <c r="CC875" i="1"/>
  <c r="CD875" i="1"/>
  <c r="CE875" i="1"/>
  <c r="CF875" i="1"/>
  <c r="CG875" i="1"/>
  <c r="CH875" i="1"/>
  <c r="CI875" i="1"/>
  <c r="CJ875" i="1"/>
  <c r="CK875" i="1"/>
  <c r="CL875" i="1"/>
  <c r="CM875" i="1"/>
  <c r="CN875" i="1"/>
  <c r="CO875" i="1"/>
  <c r="CP875" i="1"/>
  <c r="CQ875" i="1"/>
  <c r="CR875" i="1"/>
  <c r="BO876" i="1"/>
  <c r="BP876" i="1"/>
  <c r="BQ876" i="1"/>
  <c r="BR876" i="1"/>
  <c r="BS876" i="1"/>
  <c r="BT876" i="1"/>
  <c r="BU876" i="1"/>
  <c r="BV876" i="1"/>
  <c r="BW876" i="1"/>
  <c r="BX876" i="1"/>
  <c r="BY876" i="1"/>
  <c r="BZ876" i="1"/>
  <c r="CA876" i="1"/>
  <c r="CB876" i="1"/>
  <c r="CC876" i="1"/>
  <c r="CD876" i="1"/>
  <c r="CE876" i="1"/>
  <c r="CF876" i="1"/>
  <c r="CG876" i="1"/>
  <c r="CH876" i="1"/>
  <c r="CI876" i="1"/>
  <c r="CJ876" i="1"/>
  <c r="CK876" i="1"/>
  <c r="CL876" i="1"/>
  <c r="CM876" i="1"/>
  <c r="CN876" i="1"/>
  <c r="CO876" i="1"/>
  <c r="CP876" i="1"/>
  <c r="CQ876" i="1"/>
  <c r="CR876" i="1"/>
  <c r="BO877" i="1"/>
  <c r="BP877" i="1"/>
  <c r="BQ877" i="1"/>
  <c r="BR877" i="1"/>
  <c r="BS877" i="1"/>
  <c r="BT877" i="1"/>
  <c r="BU877" i="1"/>
  <c r="BV877" i="1"/>
  <c r="BW877" i="1"/>
  <c r="BX877" i="1"/>
  <c r="BY877" i="1"/>
  <c r="BZ877" i="1"/>
  <c r="CA877" i="1"/>
  <c r="CB877" i="1"/>
  <c r="CC877" i="1"/>
  <c r="CD877" i="1"/>
  <c r="CE877" i="1"/>
  <c r="CF877" i="1"/>
  <c r="CG877" i="1"/>
  <c r="CH877" i="1"/>
  <c r="CI877" i="1"/>
  <c r="CJ877" i="1"/>
  <c r="CK877" i="1"/>
  <c r="CL877" i="1"/>
  <c r="CM877" i="1"/>
  <c r="CN877" i="1"/>
  <c r="CO877" i="1"/>
  <c r="CP877" i="1"/>
  <c r="CQ877" i="1"/>
  <c r="CR877" i="1"/>
  <c r="BO878" i="1"/>
  <c r="BP878" i="1"/>
  <c r="BQ878" i="1"/>
  <c r="BR878" i="1"/>
  <c r="BS878" i="1"/>
  <c r="BT878" i="1"/>
  <c r="BU878" i="1"/>
  <c r="BV878" i="1"/>
  <c r="BW878" i="1"/>
  <c r="BX878" i="1"/>
  <c r="BY878" i="1"/>
  <c r="BZ878" i="1"/>
  <c r="CA878" i="1"/>
  <c r="CB878" i="1"/>
  <c r="CC878" i="1"/>
  <c r="CD878" i="1"/>
  <c r="CE878" i="1"/>
  <c r="CF878" i="1"/>
  <c r="CG878" i="1"/>
  <c r="CH878" i="1"/>
  <c r="CI878" i="1"/>
  <c r="CJ878" i="1"/>
  <c r="CK878" i="1"/>
  <c r="CL878" i="1"/>
  <c r="CM878" i="1"/>
  <c r="CN878" i="1"/>
  <c r="CO878" i="1"/>
  <c r="CP878" i="1"/>
  <c r="CQ878" i="1"/>
  <c r="CR878" i="1"/>
  <c r="BO879" i="1"/>
  <c r="BP879" i="1"/>
  <c r="BQ879" i="1"/>
  <c r="BR879" i="1"/>
  <c r="BS879" i="1"/>
  <c r="BT879" i="1"/>
  <c r="BU879" i="1"/>
  <c r="BV879" i="1"/>
  <c r="BW879" i="1"/>
  <c r="BX879" i="1"/>
  <c r="BY879" i="1"/>
  <c r="BZ879" i="1"/>
  <c r="CA879" i="1"/>
  <c r="CB879" i="1"/>
  <c r="CC879" i="1"/>
  <c r="CD879" i="1"/>
  <c r="CE879" i="1"/>
  <c r="CF879" i="1"/>
  <c r="CG879" i="1"/>
  <c r="CH879" i="1"/>
  <c r="CI879" i="1"/>
  <c r="CJ879" i="1"/>
  <c r="CK879" i="1"/>
  <c r="CL879" i="1"/>
  <c r="CM879" i="1"/>
  <c r="CN879" i="1"/>
  <c r="CO879" i="1"/>
  <c r="CP879" i="1"/>
  <c r="CQ879" i="1"/>
  <c r="CR879" i="1"/>
  <c r="BO880" i="1"/>
  <c r="BP880" i="1"/>
  <c r="BQ880" i="1"/>
  <c r="BR880" i="1"/>
  <c r="BS880" i="1"/>
  <c r="BT880" i="1"/>
  <c r="BU880" i="1"/>
  <c r="BV880" i="1"/>
  <c r="BW880" i="1"/>
  <c r="BX880" i="1"/>
  <c r="BY880" i="1"/>
  <c r="BZ880" i="1"/>
  <c r="CA880" i="1"/>
  <c r="CB880" i="1"/>
  <c r="CC880" i="1"/>
  <c r="CD880" i="1"/>
  <c r="CE880" i="1"/>
  <c r="CF880" i="1"/>
  <c r="CG880" i="1"/>
  <c r="CH880" i="1"/>
  <c r="CI880" i="1"/>
  <c r="CJ880" i="1"/>
  <c r="CK880" i="1"/>
  <c r="CL880" i="1"/>
  <c r="CM880" i="1"/>
  <c r="CN880" i="1"/>
  <c r="CO880" i="1"/>
  <c r="CP880" i="1"/>
  <c r="CQ880" i="1"/>
  <c r="CR880" i="1"/>
  <c r="BO881" i="1"/>
  <c r="BP881" i="1"/>
  <c r="BQ881" i="1"/>
  <c r="BR881" i="1"/>
  <c r="BS881" i="1"/>
  <c r="BT881" i="1"/>
  <c r="BU881" i="1"/>
  <c r="BV881" i="1"/>
  <c r="BW881" i="1"/>
  <c r="BX881" i="1"/>
  <c r="BY881" i="1"/>
  <c r="BZ881" i="1"/>
  <c r="CA881" i="1"/>
  <c r="CB881" i="1"/>
  <c r="CC881" i="1"/>
  <c r="CD881" i="1"/>
  <c r="CE881" i="1"/>
  <c r="CF881" i="1"/>
  <c r="CG881" i="1"/>
  <c r="CH881" i="1"/>
  <c r="CI881" i="1"/>
  <c r="CJ881" i="1"/>
  <c r="CK881" i="1"/>
  <c r="CL881" i="1"/>
  <c r="CM881" i="1"/>
  <c r="CN881" i="1"/>
  <c r="CO881" i="1"/>
  <c r="CP881" i="1"/>
  <c r="CQ881" i="1"/>
  <c r="CR881" i="1"/>
  <c r="BO882" i="1"/>
  <c r="BP882" i="1"/>
  <c r="BQ882" i="1"/>
  <c r="BR882" i="1"/>
  <c r="BS882" i="1"/>
  <c r="BT882" i="1"/>
  <c r="BU882" i="1"/>
  <c r="BV882" i="1"/>
  <c r="BW882" i="1"/>
  <c r="BX882" i="1"/>
  <c r="BY882" i="1"/>
  <c r="BZ882" i="1"/>
  <c r="CA882" i="1"/>
  <c r="CB882" i="1"/>
  <c r="CC882" i="1"/>
  <c r="CD882" i="1"/>
  <c r="CE882" i="1"/>
  <c r="CF882" i="1"/>
  <c r="CG882" i="1"/>
  <c r="CH882" i="1"/>
  <c r="CI882" i="1"/>
  <c r="CJ882" i="1"/>
  <c r="CK882" i="1"/>
  <c r="CL882" i="1"/>
  <c r="CM882" i="1"/>
  <c r="CN882" i="1"/>
  <c r="CO882" i="1"/>
  <c r="CP882" i="1"/>
  <c r="CQ882" i="1"/>
  <c r="CR882" i="1"/>
  <c r="BO883" i="1"/>
  <c r="BP883" i="1"/>
  <c r="BQ883" i="1"/>
  <c r="BR883" i="1"/>
  <c r="BS883" i="1"/>
  <c r="BT883" i="1"/>
  <c r="BU883" i="1"/>
  <c r="BV883" i="1"/>
  <c r="BW883" i="1"/>
  <c r="BX883" i="1"/>
  <c r="BY883" i="1"/>
  <c r="BZ883" i="1"/>
  <c r="CA883" i="1"/>
  <c r="CB883" i="1"/>
  <c r="CC883" i="1"/>
  <c r="CD883" i="1"/>
  <c r="CE883" i="1"/>
  <c r="CF883" i="1"/>
  <c r="CG883" i="1"/>
  <c r="CH883" i="1"/>
  <c r="CI883" i="1"/>
  <c r="CJ883" i="1"/>
  <c r="CK883" i="1"/>
  <c r="CL883" i="1"/>
  <c r="CM883" i="1"/>
  <c r="CN883" i="1"/>
  <c r="CO883" i="1"/>
  <c r="CP883" i="1"/>
  <c r="CQ883" i="1"/>
  <c r="CR883" i="1"/>
  <c r="BO884" i="1"/>
  <c r="BP884" i="1"/>
  <c r="BQ884" i="1"/>
  <c r="BR884" i="1"/>
  <c r="BS884" i="1"/>
  <c r="BT884" i="1"/>
  <c r="BU884" i="1"/>
  <c r="BV884" i="1"/>
  <c r="BW884" i="1"/>
  <c r="BX884" i="1"/>
  <c r="BY884" i="1"/>
  <c r="BZ884" i="1"/>
  <c r="CA884" i="1"/>
  <c r="CB884" i="1"/>
  <c r="CC884" i="1"/>
  <c r="CD884" i="1"/>
  <c r="CE884" i="1"/>
  <c r="CF884" i="1"/>
  <c r="CG884" i="1"/>
  <c r="CH884" i="1"/>
  <c r="CI884" i="1"/>
  <c r="CJ884" i="1"/>
  <c r="CK884" i="1"/>
  <c r="CL884" i="1"/>
  <c r="CM884" i="1"/>
  <c r="CN884" i="1"/>
  <c r="CO884" i="1"/>
  <c r="CP884" i="1"/>
  <c r="CQ884" i="1"/>
  <c r="CR884" i="1"/>
  <c r="BO885" i="1"/>
  <c r="BP885" i="1"/>
  <c r="BQ885" i="1"/>
  <c r="BR885" i="1"/>
  <c r="BS885" i="1"/>
  <c r="BT885" i="1"/>
  <c r="BU885" i="1"/>
  <c r="BV885" i="1"/>
  <c r="BW885" i="1"/>
  <c r="BX885" i="1"/>
  <c r="BY885" i="1"/>
  <c r="BZ885" i="1"/>
  <c r="CA885" i="1"/>
  <c r="CB885" i="1"/>
  <c r="CC885" i="1"/>
  <c r="CD885" i="1"/>
  <c r="CE885" i="1"/>
  <c r="CF885" i="1"/>
  <c r="CG885" i="1"/>
  <c r="CH885" i="1"/>
  <c r="CI885" i="1"/>
  <c r="CJ885" i="1"/>
  <c r="CK885" i="1"/>
  <c r="CL885" i="1"/>
  <c r="CM885" i="1"/>
  <c r="CN885" i="1"/>
  <c r="CO885" i="1"/>
  <c r="CP885" i="1"/>
  <c r="CQ885" i="1"/>
  <c r="CR885" i="1"/>
  <c r="BO886" i="1"/>
  <c r="BP886" i="1"/>
  <c r="BQ886" i="1"/>
  <c r="BR886" i="1"/>
  <c r="BS886" i="1"/>
  <c r="BT886" i="1"/>
  <c r="BU886" i="1"/>
  <c r="BV886" i="1"/>
  <c r="BW886" i="1"/>
  <c r="BX886" i="1"/>
  <c r="BY886" i="1"/>
  <c r="BZ886" i="1"/>
  <c r="CA886" i="1"/>
  <c r="CB886" i="1"/>
  <c r="CC886" i="1"/>
  <c r="CD886" i="1"/>
  <c r="CE886" i="1"/>
  <c r="CF886" i="1"/>
  <c r="CG886" i="1"/>
  <c r="CH886" i="1"/>
  <c r="CI886" i="1"/>
  <c r="CJ886" i="1"/>
  <c r="CK886" i="1"/>
  <c r="CL886" i="1"/>
  <c r="CM886" i="1"/>
  <c r="CN886" i="1"/>
  <c r="CO886" i="1"/>
  <c r="CP886" i="1"/>
  <c r="CQ886" i="1"/>
  <c r="CR886" i="1"/>
  <c r="BO887" i="1"/>
  <c r="BP887" i="1"/>
  <c r="BQ887" i="1"/>
  <c r="BR887" i="1"/>
  <c r="BS887" i="1"/>
  <c r="BT887" i="1"/>
  <c r="BU887" i="1"/>
  <c r="BV887" i="1"/>
  <c r="BW887" i="1"/>
  <c r="BX887" i="1"/>
  <c r="BY887" i="1"/>
  <c r="BZ887" i="1"/>
  <c r="CA887" i="1"/>
  <c r="CB887" i="1"/>
  <c r="CC887" i="1"/>
  <c r="CD887" i="1"/>
  <c r="CE887" i="1"/>
  <c r="CF887" i="1"/>
  <c r="CG887" i="1"/>
  <c r="CH887" i="1"/>
  <c r="CI887" i="1"/>
  <c r="CJ887" i="1"/>
  <c r="CK887" i="1"/>
  <c r="CL887" i="1"/>
  <c r="CM887" i="1"/>
  <c r="CN887" i="1"/>
  <c r="CO887" i="1"/>
  <c r="CP887" i="1"/>
  <c r="CQ887" i="1"/>
  <c r="CR887" i="1"/>
  <c r="BO888" i="1"/>
  <c r="BP888" i="1"/>
  <c r="BQ888" i="1"/>
  <c r="BR888" i="1"/>
  <c r="BS888" i="1"/>
  <c r="BT888" i="1"/>
  <c r="BU888" i="1"/>
  <c r="BV888" i="1"/>
  <c r="BW888" i="1"/>
  <c r="BX888" i="1"/>
  <c r="BY888" i="1"/>
  <c r="BZ888" i="1"/>
  <c r="CA888" i="1"/>
  <c r="CB888" i="1"/>
  <c r="CC888" i="1"/>
  <c r="CD888" i="1"/>
  <c r="CE888" i="1"/>
  <c r="CF888" i="1"/>
  <c r="CG888" i="1"/>
  <c r="CH888" i="1"/>
  <c r="CI888" i="1"/>
  <c r="CJ888" i="1"/>
  <c r="CK888" i="1"/>
  <c r="CL888" i="1"/>
  <c r="CM888" i="1"/>
  <c r="CN888" i="1"/>
  <c r="CO888" i="1"/>
  <c r="CP888" i="1"/>
  <c r="CQ888" i="1"/>
  <c r="CR888" i="1"/>
  <c r="BO889" i="1"/>
  <c r="BP889" i="1"/>
  <c r="BQ889" i="1"/>
  <c r="BR889" i="1"/>
  <c r="BS889" i="1"/>
  <c r="BT889" i="1"/>
  <c r="BU889" i="1"/>
  <c r="BV889" i="1"/>
  <c r="BW889" i="1"/>
  <c r="BX889" i="1"/>
  <c r="BY889" i="1"/>
  <c r="BZ889" i="1"/>
  <c r="CA889" i="1"/>
  <c r="CB889" i="1"/>
  <c r="CC889" i="1"/>
  <c r="CD889" i="1"/>
  <c r="CE889" i="1"/>
  <c r="CF889" i="1"/>
  <c r="CG889" i="1"/>
  <c r="CH889" i="1"/>
  <c r="CI889" i="1"/>
  <c r="CJ889" i="1"/>
  <c r="CK889" i="1"/>
  <c r="CL889" i="1"/>
  <c r="CM889" i="1"/>
  <c r="CN889" i="1"/>
  <c r="CO889" i="1"/>
  <c r="CP889" i="1"/>
  <c r="CQ889" i="1"/>
  <c r="CR889" i="1"/>
  <c r="BO890" i="1"/>
  <c r="BP890" i="1"/>
  <c r="BQ890" i="1"/>
  <c r="BR890" i="1"/>
  <c r="BS890" i="1"/>
  <c r="BT890" i="1"/>
  <c r="BU890" i="1"/>
  <c r="BV890" i="1"/>
  <c r="BW890" i="1"/>
  <c r="BX890" i="1"/>
  <c r="BY890" i="1"/>
  <c r="BZ890" i="1"/>
  <c r="CA890" i="1"/>
  <c r="CB890" i="1"/>
  <c r="CC890" i="1"/>
  <c r="CD890" i="1"/>
  <c r="CE890" i="1"/>
  <c r="CF890" i="1"/>
  <c r="CG890" i="1"/>
  <c r="CH890" i="1"/>
  <c r="CI890" i="1"/>
  <c r="CJ890" i="1"/>
  <c r="CK890" i="1"/>
  <c r="CL890" i="1"/>
  <c r="CM890" i="1"/>
  <c r="CN890" i="1"/>
  <c r="CO890" i="1"/>
  <c r="CP890" i="1"/>
  <c r="CQ890" i="1"/>
  <c r="CR890" i="1"/>
  <c r="BO891" i="1"/>
  <c r="BP891" i="1"/>
  <c r="BQ891" i="1"/>
  <c r="BR891" i="1"/>
  <c r="BS891" i="1"/>
  <c r="BT891" i="1"/>
  <c r="BU891" i="1"/>
  <c r="BV891" i="1"/>
  <c r="BW891" i="1"/>
  <c r="BX891" i="1"/>
  <c r="BY891" i="1"/>
  <c r="BZ891" i="1"/>
  <c r="CA891" i="1"/>
  <c r="CB891" i="1"/>
  <c r="CC891" i="1"/>
  <c r="CD891" i="1"/>
  <c r="CE891" i="1"/>
  <c r="CF891" i="1"/>
  <c r="CG891" i="1"/>
  <c r="CH891" i="1"/>
  <c r="CI891" i="1"/>
  <c r="CJ891" i="1"/>
  <c r="CK891" i="1"/>
  <c r="CL891" i="1"/>
  <c r="CM891" i="1"/>
  <c r="CN891" i="1"/>
  <c r="CO891" i="1"/>
  <c r="CP891" i="1"/>
  <c r="CQ891" i="1"/>
  <c r="CR891" i="1"/>
  <c r="BO892" i="1"/>
  <c r="BP892" i="1"/>
  <c r="BQ892" i="1"/>
  <c r="BR892" i="1"/>
  <c r="BS892" i="1"/>
  <c r="BT892" i="1"/>
  <c r="BU892" i="1"/>
  <c r="BV892" i="1"/>
  <c r="BW892" i="1"/>
  <c r="BX892" i="1"/>
  <c r="BY892" i="1"/>
  <c r="BZ892" i="1"/>
  <c r="CA892" i="1"/>
  <c r="CB892" i="1"/>
  <c r="CC892" i="1"/>
  <c r="CD892" i="1"/>
  <c r="CE892" i="1"/>
  <c r="CF892" i="1"/>
  <c r="CG892" i="1"/>
  <c r="CH892" i="1"/>
  <c r="CI892" i="1"/>
  <c r="CJ892" i="1"/>
  <c r="CK892" i="1"/>
  <c r="CL892" i="1"/>
  <c r="CM892" i="1"/>
  <c r="CN892" i="1"/>
  <c r="CO892" i="1"/>
  <c r="CP892" i="1"/>
  <c r="CQ892" i="1"/>
  <c r="CR892" i="1"/>
  <c r="BO893" i="1"/>
  <c r="BP893" i="1"/>
  <c r="BQ893" i="1"/>
  <c r="BR893" i="1"/>
  <c r="BS893" i="1"/>
  <c r="BT893" i="1"/>
  <c r="BU893" i="1"/>
  <c r="BV893" i="1"/>
  <c r="BW893" i="1"/>
  <c r="BX893" i="1"/>
  <c r="BY893" i="1"/>
  <c r="BZ893" i="1"/>
  <c r="CA893" i="1"/>
  <c r="CB893" i="1"/>
  <c r="CC893" i="1"/>
  <c r="CD893" i="1"/>
  <c r="CE893" i="1"/>
  <c r="CF893" i="1"/>
  <c r="CG893" i="1"/>
  <c r="CH893" i="1"/>
  <c r="CI893" i="1"/>
  <c r="CJ893" i="1"/>
  <c r="CK893" i="1"/>
  <c r="CL893" i="1"/>
  <c r="CM893" i="1"/>
  <c r="CN893" i="1"/>
  <c r="CO893" i="1"/>
  <c r="CP893" i="1"/>
  <c r="CQ893" i="1"/>
  <c r="CR893" i="1"/>
  <c r="BO894" i="1"/>
  <c r="BP894" i="1"/>
  <c r="BQ894" i="1"/>
  <c r="BR894" i="1"/>
  <c r="BS894" i="1"/>
  <c r="BT894" i="1"/>
  <c r="BU894" i="1"/>
  <c r="BV894" i="1"/>
  <c r="BW894" i="1"/>
  <c r="BX894" i="1"/>
  <c r="BY894" i="1"/>
  <c r="BZ894" i="1"/>
  <c r="CA894" i="1"/>
  <c r="CB894" i="1"/>
  <c r="CC894" i="1"/>
  <c r="CD894" i="1"/>
  <c r="CE894" i="1"/>
  <c r="CF894" i="1"/>
  <c r="CG894" i="1"/>
  <c r="CH894" i="1"/>
  <c r="CI894" i="1"/>
  <c r="CJ894" i="1"/>
  <c r="CK894" i="1"/>
  <c r="CL894" i="1"/>
  <c r="CM894" i="1"/>
  <c r="CN894" i="1"/>
  <c r="CO894" i="1"/>
  <c r="CP894" i="1"/>
  <c r="CQ894" i="1"/>
  <c r="CR894" i="1"/>
  <c r="BO895" i="1"/>
  <c r="BP895" i="1"/>
  <c r="BQ895" i="1"/>
  <c r="BR895" i="1"/>
  <c r="BS895" i="1"/>
  <c r="BT895" i="1"/>
  <c r="BU895" i="1"/>
  <c r="BV895" i="1"/>
  <c r="BW895" i="1"/>
  <c r="BX895" i="1"/>
  <c r="BY895" i="1"/>
  <c r="BZ895" i="1"/>
  <c r="CA895" i="1"/>
  <c r="CB895" i="1"/>
  <c r="CC895" i="1"/>
  <c r="CD895" i="1"/>
  <c r="CE895" i="1"/>
  <c r="CF895" i="1"/>
  <c r="CG895" i="1"/>
  <c r="CH895" i="1"/>
  <c r="CI895" i="1"/>
  <c r="CJ895" i="1"/>
  <c r="CK895" i="1"/>
  <c r="CL895" i="1"/>
  <c r="CM895" i="1"/>
  <c r="CN895" i="1"/>
  <c r="CO895" i="1"/>
  <c r="CP895" i="1"/>
  <c r="CQ895" i="1"/>
  <c r="CR895" i="1"/>
  <c r="BO896" i="1"/>
  <c r="BP896" i="1"/>
  <c r="BQ896" i="1"/>
  <c r="BR896" i="1"/>
  <c r="BS896" i="1"/>
  <c r="BT896" i="1"/>
  <c r="BU896" i="1"/>
  <c r="BV896" i="1"/>
  <c r="BW896" i="1"/>
  <c r="BX896" i="1"/>
  <c r="BY896" i="1"/>
  <c r="BZ896" i="1"/>
  <c r="CA896" i="1"/>
  <c r="CB896" i="1"/>
  <c r="CC896" i="1"/>
  <c r="CD896" i="1"/>
  <c r="CE896" i="1"/>
  <c r="CF896" i="1"/>
  <c r="CG896" i="1"/>
  <c r="CH896" i="1"/>
  <c r="CI896" i="1"/>
  <c r="CJ896" i="1"/>
  <c r="CK896" i="1"/>
  <c r="CL896" i="1"/>
  <c r="CM896" i="1"/>
  <c r="CN896" i="1"/>
  <c r="CO896" i="1"/>
  <c r="CP896" i="1"/>
  <c r="CQ896" i="1"/>
  <c r="CR896" i="1"/>
  <c r="BO897" i="1"/>
  <c r="BP897" i="1"/>
  <c r="BQ897" i="1"/>
  <c r="BR897" i="1"/>
  <c r="BS897" i="1"/>
  <c r="BT897" i="1"/>
  <c r="BU897" i="1"/>
  <c r="BV897" i="1"/>
  <c r="BW897" i="1"/>
  <c r="BX897" i="1"/>
  <c r="BY897" i="1"/>
  <c r="BZ897" i="1"/>
  <c r="CA897" i="1"/>
  <c r="CB897" i="1"/>
  <c r="CC897" i="1"/>
  <c r="CD897" i="1"/>
  <c r="CE897" i="1"/>
  <c r="CF897" i="1"/>
  <c r="CG897" i="1"/>
  <c r="CH897" i="1"/>
  <c r="CI897" i="1"/>
  <c r="CJ897" i="1"/>
  <c r="CK897" i="1"/>
  <c r="CL897" i="1"/>
  <c r="CM897" i="1"/>
  <c r="CN897" i="1"/>
  <c r="CO897" i="1"/>
  <c r="CP897" i="1"/>
  <c r="CQ897" i="1"/>
  <c r="CR897" i="1"/>
  <c r="BO898" i="1"/>
  <c r="BP898" i="1"/>
  <c r="BQ898" i="1"/>
  <c r="BR898" i="1"/>
  <c r="BS898" i="1"/>
  <c r="BT898" i="1"/>
  <c r="BU898" i="1"/>
  <c r="BV898" i="1"/>
  <c r="BW898" i="1"/>
  <c r="BX898" i="1"/>
  <c r="BY898" i="1"/>
  <c r="BZ898" i="1"/>
  <c r="CA898" i="1"/>
  <c r="CB898" i="1"/>
  <c r="CC898" i="1"/>
  <c r="CD898" i="1"/>
  <c r="CE898" i="1"/>
  <c r="CF898" i="1"/>
  <c r="CG898" i="1"/>
  <c r="CH898" i="1"/>
  <c r="CI898" i="1"/>
  <c r="CJ898" i="1"/>
  <c r="CK898" i="1"/>
  <c r="CL898" i="1"/>
  <c r="CM898" i="1"/>
  <c r="CN898" i="1"/>
  <c r="CO898" i="1"/>
  <c r="CP898" i="1"/>
  <c r="CQ898" i="1"/>
  <c r="CR898" i="1"/>
  <c r="BO899" i="1"/>
  <c r="BP899" i="1"/>
  <c r="BQ899" i="1"/>
  <c r="BR899" i="1"/>
  <c r="BS899" i="1"/>
  <c r="BT899" i="1"/>
  <c r="BU899" i="1"/>
  <c r="BV899" i="1"/>
  <c r="BW899" i="1"/>
  <c r="BX899" i="1"/>
  <c r="BY899" i="1"/>
  <c r="BZ899" i="1"/>
  <c r="CA899" i="1"/>
  <c r="CB899" i="1"/>
  <c r="CC899" i="1"/>
  <c r="CD899" i="1"/>
  <c r="CE899" i="1"/>
  <c r="CF899" i="1"/>
  <c r="CG899" i="1"/>
  <c r="CH899" i="1"/>
  <c r="CI899" i="1"/>
  <c r="CJ899" i="1"/>
  <c r="CK899" i="1"/>
  <c r="CL899" i="1"/>
  <c r="CM899" i="1"/>
  <c r="CN899" i="1"/>
  <c r="CO899" i="1"/>
  <c r="CP899" i="1"/>
  <c r="CQ899" i="1"/>
  <c r="CR899" i="1"/>
  <c r="BO900" i="1"/>
  <c r="BP900" i="1"/>
  <c r="BQ900" i="1"/>
  <c r="BR900" i="1"/>
  <c r="BS900" i="1"/>
  <c r="BT900" i="1"/>
  <c r="BU900" i="1"/>
  <c r="BV900" i="1"/>
  <c r="BW900" i="1"/>
  <c r="BX900" i="1"/>
  <c r="BY900" i="1"/>
  <c r="BZ900" i="1"/>
  <c r="CA900" i="1"/>
  <c r="CB900" i="1"/>
  <c r="CC900" i="1"/>
  <c r="CD900" i="1"/>
  <c r="CE900" i="1"/>
  <c r="CF900" i="1"/>
  <c r="CG900" i="1"/>
  <c r="CH900" i="1"/>
  <c r="CI900" i="1"/>
  <c r="CJ900" i="1"/>
  <c r="CK900" i="1"/>
  <c r="CL900" i="1"/>
  <c r="CM900" i="1"/>
  <c r="CN900" i="1"/>
  <c r="CO900" i="1"/>
  <c r="CP900" i="1"/>
  <c r="CQ900" i="1"/>
  <c r="CR900" i="1"/>
  <c r="BO901" i="1"/>
  <c r="BP901" i="1"/>
  <c r="BQ901" i="1"/>
  <c r="BR901" i="1"/>
  <c r="BS901" i="1"/>
  <c r="BT901" i="1"/>
  <c r="BU901" i="1"/>
  <c r="BV901" i="1"/>
  <c r="BW901" i="1"/>
  <c r="BX901" i="1"/>
  <c r="BY901" i="1"/>
  <c r="BZ901" i="1"/>
  <c r="CA901" i="1"/>
  <c r="CB901" i="1"/>
  <c r="CC901" i="1"/>
  <c r="CD901" i="1"/>
  <c r="CE901" i="1"/>
  <c r="CF901" i="1"/>
  <c r="CG901" i="1"/>
  <c r="CH901" i="1"/>
  <c r="CI901" i="1"/>
  <c r="CJ901" i="1"/>
  <c r="CK901" i="1"/>
  <c r="CL901" i="1"/>
  <c r="CM901" i="1"/>
  <c r="CN901" i="1"/>
  <c r="CO901" i="1"/>
  <c r="CP901" i="1"/>
  <c r="CQ901" i="1"/>
  <c r="CR901" i="1"/>
  <c r="BO902" i="1"/>
  <c r="BP902" i="1"/>
  <c r="BQ902" i="1"/>
  <c r="BR902" i="1"/>
  <c r="BS902" i="1"/>
  <c r="BT902" i="1"/>
  <c r="BU902" i="1"/>
  <c r="BV902" i="1"/>
  <c r="BW902" i="1"/>
  <c r="BX902" i="1"/>
  <c r="BY902" i="1"/>
  <c r="BZ902" i="1"/>
  <c r="CA902" i="1"/>
  <c r="CB902" i="1"/>
  <c r="CC902" i="1"/>
  <c r="CD902" i="1"/>
  <c r="CE902" i="1"/>
  <c r="CF902" i="1"/>
  <c r="CG902" i="1"/>
  <c r="CH902" i="1"/>
  <c r="CI902" i="1"/>
  <c r="CJ902" i="1"/>
  <c r="CK902" i="1"/>
  <c r="CL902" i="1"/>
  <c r="CM902" i="1"/>
  <c r="CN902" i="1"/>
  <c r="CO902" i="1"/>
  <c r="CP902" i="1"/>
  <c r="CQ902" i="1"/>
  <c r="CR902" i="1"/>
  <c r="BO903" i="1"/>
  <c r="BP903" i="1"/>
  <c r="BQ903" i="1"/>
  <c r="BR903" i="1"/>
  <c r="BS903" i="1"/>
  <c r="BT903" i="1"/>
  <c r="BU903" i="1"/>
  <c r="BV903" i="1"/>
  <c r="BW903" i="1"/>
  <c r="BX903" i="1"/>
  <c r="BY903" i="1"/>
  <c r="BZ903" i="1"/>
  <c r="CA903" i="1"/>
  <c r="CB903" i="1"/>
  <c r="CC903" i="1"/>
  <c r="CD903" i="1"/>
  <c r="CE903" i="1"/>
  <c r="CF903" i="1"/>
  <c r="CG903" i="1"/>
  <c r="CH903" i="1"/>
  <c r="CI903" i="1"/>
  <c r="CJ903" i="1"/>
  <c r="CK903" i="1"/>
  <c r="CL903" i="1"/>
  <c r="CM903" i="1"/>
  <c r="CN903" i="1"/>
  <c r="CO903" i="1"/>
  <c r="CP903" i="1"/>
  <c r="CQ903" i="1"/>
  <c r="CR903" i="1"/>
  <c r="BO904" i="1"/>
  <c r="BP904" i="1"/>
  <c r="BQ904" i="1"/>
  <c r="BR904" i="1"/>
  <c r="BS904" i="1"/>
  <c r="BT904" i="1"/>
  <c r="BU904" i="1"/>
  <c r="BV904" i="1"/>
  <c r="BW904" i="1"/>
  <c r="BX904" i="1"/>
  <c r="BY904" i="1"/>
  <c r="BZ904" i="1"/>
  <c r="CA904" i="1"/>
  <c r="CB904" i="1"/>
  <c r="CC904" i="1"/>
  <c r="CD904" i="1"/>
  <c r="CE904" i="1"/>
  <c r="CF904" i="1"/>
  <c r="CG904" i="1"/>
  <c r="CH904" i="1"/>
  <c r="CI904" i="1"/>
  <c r="CJ904" i="1"/>
  <c r="CK904" i="1"/>
  <c r="CL904" i="1"/>
  <c r="CM904" i="1"/>
  <c r="CN904" i="1"/>
  <c r="CO904" i="1"/>
  <c r="CP904" i="1"/>
  <c r="CQ904" i="1"/>
  <c r="CR904" i="1"/>
  <c r="BO905" i="1"/>
  <c r="BP905" i="1"/>
  <c r="BQ905" i="1"/>
  <c r="BR905" i="1"/>
  <c r="BS905" i="1"/>
  <c r="BT905" i="1"/>
  <c r="BU905" i="1"/>
  <c r="BV905" i="1"/>
  <c r="BW905" i="1"/>
  <c r="BX905" i="1"/>
  <c r="BY905" i="1"/>
  <c r="BZ905" i="1"/>
  <c r="CA905" i="1"/>
  <c r="CB905" i="1"/>
  <c r="CC905" i="1"/>
  <c r="CD905" i="1"/>
  <c r="CE905" i="1"/>
  <c r="CF905" i="1"/>
  <c r="CG905" i="1"/>
  <c r="CH905" i="1"/>
  <c r="CI905" i="1"/>
  <c r="CJ905" i="1"/>
  <c r="CK905" i="1"/>
  <c r="CL905" i="1"/>
  <c r="CM905" i="1"/>
  <c r="CN905" i="1"/>
  <c r="CO905" i="1"/>
  <c r="CP905" i="1"/>
  <c r="CQ905" i="1"/>
  <c r="CR905" i="1"/>
  <c r="BO906" i="1"/>
  <c r="BP906" i="1"/>
  <c r="BQ906" i="1"/>
  <c r="BR906" i="1"/>
  <c r="BS906" i="1"/>
  <c r="BT906" i="1"/>
  <c r="BU906" i="1"/>
  <c r="BV906" i="1"/>
  <c r="BW906" i="1"/>
  <c r="BX906" i="1"/>
  <c r="BY906" i="1"/>
  <c r="BZ906" i="1"/>
  <c r="CA906" i="1"/>
  <c r="CB906" i="1"/>
  <c r="CC906" i="1"/>
  <c r="CD906" i="1"/>
  <c r="CE906" i="1"/>
  <c r="CF906" i="1"/>
  <c r="CG906" i="1"/>
  <c r="CH906" i="1"/>
  <c r="CI906" i="1"/>
  <c r="CJ906" i="1"/>
  <c r="CK906" i="1"/>
  <c r="CL906" i="1"/>
  <c r="CM906" i="1"/>
  <c r="CN906" i="1"/>
  <c r="CO906" i="1"/>
  <c r="CP906" i="1"/>
  <c r="CQ906" i="1"/>
  <c r="CR906" i="1"/>
  <c r="BO907" i="1"/>
  <c r="BP907" i="1"/>
  <c r="BQ907" i="1"/>
  <c r="BR907" i="1"/>
  <c r="BS907" i="1"/>
  <c r="BT907" i="1"/>
  <c r="BU907" i="1"/>
  <c r="BV907" i="1"/>
  <c r="BW907" i="1"/>
  <c r="BX907" i="1"/>
  <c r="BY907" i="1"/>
  <c r="BZ907" i="1"/>
  <c r="CA907" i="1"/>
  <c r="CB907" i="1"/>
  <c r="CC907" i="1"/>
  <c r="CD907" i="1"/>
  <c r="CE907" i="1"/>
  <c r="CF907" i="1"/>
  <c r="CG907" i="1"/>
  <c r="CH907" i="1"/>
  <c r="CI907" i="1"/>
  <c r="CJ907" i="1"/>
  <c r="CK907" i="1"/>
  <c r="CL907" i="1"/>
  <c r="CM907" i="1"/>
  <c r="CN907" i="1"/>
  <c r="CO907" i="1"/>
  <c r="CP907" i="1"/>
  <c r="CQ907" i="1"/>
  <c r="CR907" i="1"/>
  <c r="BO908" i="1"/>
  <c r="BP908" i="1"/>
  <c r="BQ908" i="1"/>
  <c r="BR908" i="1"/>
  <c r="BS908" i="1"/>
  <c r="BT908" i="1"/>
  <c r="BU908" i="1"/>
  <c r="BV908" i="1"/>
  <c r="BW908" i="1"/>
  <c r="BX908" i="1"/>
  <c r="BY908" i="1"/>
  <c r="BZ908" i="1"/>
  <c r="CA908" i="1"/>
  <c r="CB908" i="1"/>
  <c r="CC908" i="1"/>
  <c r="CD908" i="1"/>
  <c r="CE908" i="1"/>
  <c r="CF908" i="1"/>
  <c r="CG908" i="1"/>
  <c r="CH908" i="1"/>
  <c r="CI908" i="1"/>
  <c r="CJ908" i="1"/>
  <c r="CK908" i="1"/>
  <c r="CL908" i="1"/>
  <c r="CM908" i="1"/>
  <c r="CN908" i="1"/>
  <c r="CO908" i="1"/>
  <c r="CP908" i="1"/>
  <c r="CQ908" i="1"/>
  <c r="CR908" i="1"/>
  <c r="BO909" i="1"/>
  <c r="BP909" i="1"/>
  <c r="BQ909" i="1"/>
  <c r="BR909" i="1"/>
  <c r="BS909" i="1"/>
  <c r="BT909" i="1"/>
  <c r="BU909" i="1"/>
  <c r="BV909" i="1"/>
  <c r="BW909" i="1"/>
  <c r="BX909" i="1"/>
  <c r="BY909" i="1"/>
  <c r="BZ909" i="1"/>
  <c r="CA909" i="1"/>
  <c r="CB909" i="1"/>
  <c r="CC909" i="1"/>
  <c r="CD909" i="1"/>
  <c r="CE909" i="1"/>
  <c r="CF909" i="1"/>
  <c r="CG909" i="1"/>
  <c r="CH909" i="1"/>
  <c r="CI909" i="1"/>
  <c r="CJ909" i="1"/>
  <c r="CK909" i="1"/>
  <c r="CL909" i="1"/>
  <c r="CM909" i="1"/>
  <c r="CN909" i="1"/>
  <c r="CO909" i="1"/>
  <c r="CP909" i="1"/>
  <c r="CQ909" i="1"/>
  <c r="CR909" i="1"/>
  <c r="BO910" i="1"/>
  <c r="BP910" i="1"/>
  <c r="BQ910" i="1"/>
  <c r="BR910" i="1"/>
  <c r="BS910" i="1"/>
  <c r="BT910" i="1"/>
  <c r="BU910" i="1"/>
  <c r="BV910" i="1"/>
  <c r="BW910" i="1"/>
  <c r="BX910" i="1"/>
  <c r="BY910" i="1"/>
  <c r="BZ910" i="1"/>
  <c r="CA910" i="1"/>
  <c r="CB910" i="1"/>
  <c r="CC910" i="1"/>
  <c r="CD910" i="1"/>
  <c r="CE910" i="1"/>
  <c r="CF910" i="1"/>
  <c r="CG910" i="1"/>
  <c r="CH910" i="1"/>
  <c r="CI910" i="1"/>
  <c r="CJ910" i="1"/>
  <c r="CK910" i="1"/>
  <c r="CL910" i="1"/>
  <c r="CM910" i="1"/>
  <c r="CN910" i="1"/>
  <c r="CO910" i="1"/>
  <c r="CP910" i="1"/>
  <c r="CQ910" i="1"/>
  <c r="CR910" i="1"/>
  <c r="BO911" i="1"/>
  <c r="BP911" i="1"/>
  <c r="BQ911" i="1"/>
  <c r="BR911" i="1"/>
  <c r="BS911" i="1"/>
  <c r="BT911" i="1"/>
  <c r="BU911" i="1"/>
  <c r="BV911" i="1"/>
  <c r="BW911" i="1"/>
  <c r="BX911" i="1"/>
  <c r="BY911" i="1"/>
  <c r="BZ911" i="1"/>
  <c r="CA911" i="1"/>
  <c r="CB911" i="1"/>
  <c r="CC911" i="1"/>
  <c r="CD911" i="1"/>
  <c r="CE911" i="1"/>
  <c r="CF911" i="1"/>
  <c r="CG911" i="1"/>
  <c r="CH911" i="1"/>
  <c r="CI911" i="1"/>
  <c r="CJ911" i="1"/>
  <c r="CK911" i="1"/>
  <c r="CL911" i="1"/>
  <c r="CM911" i="1"/>
  <c r="CN911" i="1"/>
  <c r="CO911" i="1"/>
  <c r="CP911" i="1"/>
  <c r="CQ911" i="1"/>
  <c r="CR911" i="1"/>
  <c r="BO912" i="1"/>
  <c r="BP912" i="1"/>
  <c r="BQ912" i="1"/>
  <c r="BR912" i="1"/>
  <c r="BS912" i="1"/>
  <c r="BT912" i="1"/>
  <c r="BU912" i="1"/>
  <c r="BV912" i="1"/>
  <c r="BW912" i="1"/>
  <c r="BX912" i="1"/>
  <c r="BY912" i="1"/>
  <c r="BZ912" i="1"/>
  <c r="CA912" i="1"/>
  <c r="CB912" i="1"/>
  <c r="CC912" i="1"/>
  <c r="CD912" i="1"/>
  <c r="CE912" i="1"/>
  <c r="CF912" i="1"/>
  <c r="CG912" i="1"/>
  <c r="CH912" i="1"/>
  <c r="CI912" i="1"/>
  <c r="CJ912" i="1"/>
  <c r="CK912" i="1"/>
  <c r="CL912" i="1"/>
  <c r="CM912" i="1"/>
  <c r="CN912" i="1"/>
  <c r="CO912" i="1"/>
  <c r="CP912" i="1"/>
  <c r="CQ912" i="1"/>
  <c r="CR912" i="1"/>
  <c r="BO913" i="1"/>
  <c r="BP913" i="1"/>
  <c r="BQ913" i="1"/>
  <c r="BR913" i="1"/>
  <c r="BS913" i="1"/>
  <c r="BT913" i="1"/>
  <c r="BU913" i="1"/>
  <c r="BV913" i="1"/>
  <c r="BW913" i="1"/>
  <c r="BX913" i="1"/>
  <c r="BY913" i="1"/>
  <c r="BZ913" i="1"/>
  <c r="CA913" i="1"/>
  <c r="CB913" i="1"/>
  <c r="CC913" i="1"/>
  <c r="CD913" i="1"/>
  <c r="CE913" i="1"/>
  <c r="CF913" i="1"/>
  <c r="CG913" i="1"/>
  <c r="CH913" i="1"/>
  <c r="CI913" i="1"/>
  <c r="CJ913" i="1"/>
  <c r="CK913" i="1"/>
  <c r="CL913" i="1"/>
  <c r="CM913" i="1"/>
  <c r="CN913" i="1"/>
  <c r="CO913" i="1"/>
  <c r="CP913" i="1"/>
  <c r="CQ913" i="1"/>
  <c r="CR913" i="1"/>
  <c r="BO914" i="1"/>
  <c r="BP914" i="1"/>
  <c r="BQ914" i="1"/>
  <c r="BR914" i="1"/>
  <c r="BS914" i="1"/>
  <c r="BT914" i="1"/>
  <c r="BU914" i="1"/>
  <c r="BV914" i="1"/>
  <c r="BW914" i="1"/>
  <c r="BX914" i="1"/>
  <c r="BY914" i="1"/>
  <c r="BZ914" i="1"/>
  <c r="CA914" i="1"/>
  <c r="CB914" i="1"/>
  <c r="CC914" i="1"/>
  <c r="CD914" i="1"/>
  <c r="CE914" i="1"/>
  <c r="CF914" i="1"/>
  <c r="CG914" i="1"/>
  <c r="CH914" i="1"/>
  <c r="CI914" i="1"/>
  <c r="CJ914" i="1"/>
  <c r="CK914" i="1"/>
  <c r="CL914" i="1"/>
  <c r="CM914" i="1"/>
  <c r="CN914" i="1"/>
  <c r="CO914" i="1"/>
  <c r="CP914" i="1"/>
  <c r="CQ914" i="1"/>
  <c r="CR914" i="1"/>
  <c r="BO915" i="1"/>
  <c r="BP915" i="1"/>
  <c r="BQ915" i="1"/>
  <c r="BR915" i="1"/>
  <c r="BS915" i="1"/>
  <c r="BT915" i="1"/>
  <c r="BU915" i="1"/>
  <c r="BV915" i="1"/>
  <c r="BW915" i="1"/>
  <c r="BX915" i="1"/>
  <c r="BY915" i="1"/>
  <c r="BZ915" i="1"/>
  <c r="CA915" i="1"/>
  <c r="CB915" i="1"/>
  <c r="CC915" i="1"/>
  <c r="CD915" i="1"/>
  <c r="CE915" i="1"/>
  <c r="CF915" i="1"/>
  <c r="CG915" i="1"/>
  <c r="CH915" i="1"/>
  <c r="CI915" i="1"/>
  <c r="CJ915" i="1"/>
  <c r="CK915" i="1"/>
  <c r="CL915" i="1"/>
  <c r="CM915" i="1"/>
  <c r="CN915" i="1"/>
  <c r="CO915" i="1"/>
  <c r="CP915" i="1"/>
  <c r="CQ915" i="1"/>
  <c r="CR915" i="1"/>
  <c r="BO916" i="1"/>
  <c r="BP916" i="1"/>
  <c r="BQ916" i="1"/>
  <c r="BR916" i="1"/>
  <c r="BS916" i="1"/>
  <c r="BT916" i="1"/>
  <c r="BU916" i="1"/>
  <c r="BV916" i="1"/>
  <c r="BW916" i="1"/>
  <c r="BX916" i="1"/>
  <c r="BY916" i="1"/>
  <c r="BZ916" i="1"/>
  <c r="CA916" i="1"/>
  <c r="CB916" i="1"/>
  <c r="CC916" i="1"/>
  <c r="CD916" i="1"/>
  <c r="CE916" i="1"/>
  <c r="CF916" i="1"/>
  <c r="CG916" i="1"/>
  <c r="CH916" i="1"/>
  <c r="CI916" i="1"/>
  <c r="CJ916" i="1"/>
  <c r="CK916" i="1"/>
  <c r="CL916" i="1"/>
  <c r="CM916" i="1"/>
  <c r="CN916" i="1"/>
  <c r="CO916" i="1"/>
  <c r="CP916" i="1"/>
  <c r="CQ916" i="1"/>
  <c r="CR916" i="1"/>
  <c r="BO917" i="1"/>
  <c r="BP917" i="1"/>
  <c r="BQ917" i="1"/>
  <c r="BR917" i="1"/>
  <c r="BS917" i="1"/>
  <c r="BT917" i="1"/>
  <c r="BU917" i="1"/>
  <c r="BV917" i="1"/>
  <c r="BW917" i="1"/>
  <c r="BX917" i="1"/>
  <c r="BY917" i="1"/>
  <c r="BZ917" i="1"/>
  <c r="CA917" i="1"/>
  <c r="CB917" i="1"/>
  <c r="CC917" i="1"/>
  <c r="CD917" i="1"/>
  <c r="CE917" i="1"/>
  <c r="CF917" i="1"/>
  <c r="CG917" i="1"/>
  <c r="CH917" i="1"/>
  <c r="CI917" i="1"/>
  <c r="CJ917" i="1"/>
  <c r="CK917" i="1"/>
  <c r="CL917" i="1"/>
  <c r="CM917" i="1"/>
  <c r="CN917" i="1"/>
  <c r="CO917" i="1"/>
  <c r="CP917" i="1"/>
  <c r="CQ917" i="1"/>
  <c r="CR917" i="1"/>
  <c r="BO918" i="1"/>
  <c r="BP918" i="1"/>
  <c r="BQ918" i="1"/>
  <c r="BR918" i="1"/>
  <c r="BS918" i="1"/>
  <c r="BT918" i="1"/>
  <c r="BU918" i="1"/>
  <c r="BV918" i="1"/>
  <c r="BW918" i="1"/>
  <c r="BX918" i="1"/>
  <c r="BY918" i="1"/>
  <c r="BZ918" i="1"/>
  <c r="CA918" i="1"/>
  <c r="CB918" i="1"/>
  <c r="CC918" i="1"/>
  <c r="CD918" i="1"/>
  <c r="CE918" i="1"/>
  <c r="CF918" i="1"/>
  <c r="CG918" i="1"/>
  <c r="CH918" i="1"/>
  <c r="CI918" i="1"/>
  <c r="CJ918" i="1"/>
  <c r="CK918" i="1"/>
  <c r="CL918" i="1"/>
  <c r="CM918" i="1"/>
  <c r="CN918" i="1"/>
  <c r="CO918" i="1"/>
  <c r="CP918" i="1"/>
  <c r="CQ918" i="1"/>
  <c r="CR918" i="1"/>
  <c r="BO919" i="1"/>
  <c r="BP919" i="1"/>
  <c r="BQ919" i="1"/>
  <c r="BR919" i="1"/>
  <c r="BS919" i="1"/>
  <c r="BT919" i="1"/>
  <c r="BU919" i="1"/>
  <c r="BV919" i="1"/>
  <c r="BW919" i="1"/>
  <c r="BX919" i="1"/>
  <c r="BY919" i="1"/>
  <c r="BZ919" i="1"/>
  <c r="CA919" i="1"/>
  <c r="CB919" i="1"/>
  <c r="CC919" i="1"/>
  <c r="CD919" i="1"/>
  <c r="CE919" i="1"/>
  <c r="CF919" i="1"/>
  <c r="CG919" i="1"/>
  <c r="CH919" i="1"/>
  <c r="CI919" i="1"/>
  <c r="CJ919" i="1"/>
  <c r="CK919" i="1"/>
  <c r="CL919" i="1"/>
  <c r="CM919" i="1"/>
  <c r="CN919" i="1"/>
  <c r="CO919" i="1"/>
  <c r="CP919" i="1"/>
  <c r="CQ919" i="1"/>
  <c r="CR919" i="1"/>
  <c r="BO920" i="1"/>
  <c r="BP920" i="1"/>
  <c r="BQ920" i="1"/>
  <c r="BR920" i="1"/>
  <c r="BS920" i="1"/>
  <c r="BT920" i="1"/>
  <c r="BU920" i="1"/>
  <c r="BV920" i="1"/>
  <c r="BW920" i="1"/>
  <c r="BX920" i="1"/>
  <c r="BY920" i="1"/>
  <c r="BZ920" i="1"/>
  <c r="CA920" i="1"/>
  <c r="CB920" i="1"/>
  <c r="CC920" i="1"/>
  <c r="CD920" i="1"/>
  <c r="CE920" i="1"/>
  <c r="CF920" i="1"/>
  <c r="CG920" i="1"/>
  <c r="CH920" i="1"/>
  <c r="CI920" i="1"/>
  <c r="CJ920" i="1"/>
  <c r="CK920" i="1"/>
  <c r="CL920" i="1"/>
  <c r="CM920" i="1"/>
  <c r="CN920" i="1"/>
  <c r="CO920" i="1"/>
  <c r="CP920" i="1"/>
  <c r="CQ920" i="1"/>
  <c r="CR920" i="1"/>
  <c r="BO921" i="1"/>
  <c r="BP921" i="1"/>
  <c r="BQ921" i="1"/>
  <c r="BR921" i="1"/>
  <c r="BS921" i="1"/>
  <c r="BT921" i="1"/>
  <c r="BU921" i="1"/>
  <c r="BV921" i="1"/>
  <c r="BW921" i="1"/>
  <c r="BX921" i="1"/>
  <c r="BY921" i="1"/>
  <c r="BZ921" i="1"/>
  <c r="CA921" i="1"/>
  <c r="CB921" i="1"/>
  <c r="CC921" i="1"/>
  <c r="CD921" i="1"/>
  <c r="CE921" i="1"/>
  <c r="CF921" i="1"/>
  <c r="CG921" i="1"/>
  <c r="CH921" i="1"/>
  <c r="CI921" i="1"/>
  <c r="CJ921" i="1"/>
  <c r="CK921" i="1"/>
  <c r="CL921" i="1"/>
  <c r="CM921" i="1"/>
  <c r="CN921" i="1"/>
  <c r="CO921" i="1"/>
  <c r="CP921" i="1"/>
  <c r="CQ921" i="1"/>
  <c r="CR921" i="1"/>
  <c r="BO922" i="1"/>
  <c r="BP922" i="1"/>
  <c r="BQ922" i="1"/>
  <c r="BR922" i="1"/>
  <c r="BS922" i="1"/>
  <c r="BT922" i="1"/>
  <c r="BU922" i="1"/>
  <c r="BV922" i="1"/>
  <c r="BW922" i="1"/>
  <c r="BX922" i="1"/>
  <c r="BY922" i="1"/>
  <c r="BZ922" i="1"/>
  <c r="CA922" i="1"/>
  <c r="CB922" i="1"/>
  <c r="CC922" i="1"/>
  <c r="CD922" i="1"/>
  <c r="CE922" i="1"/>
  <c r="CF922" i="1"/>
  <c r="CG922" i="1"/>
  <c r="CH922" i="1"/>
  <c r="CI922" i="1"/>
  <c r="CJ922" i="1"/>
  <c r="CK922" i="1"/>
  <c r="CL922" i="1"/>
  <c r="CM922" i="1"/>
  <c r="CN922" i="1"/>
  <c r="CO922" i="1"/>
  <c r="CP922" i="1"/>
  <c r="CQ922" i="1"/>
  <c r="CR922" i="1"/>
  <c r="BO923" i="1"/>
  <c r="BP923" i="1"/>
  <c r="BQ923" i="1"/>
  <c r="BR923" i="1"/>
  <c r="BS923" i="1"/>
  <c r="BT923" i="1"/>
  <c r="BU923" i="1"/>
  <c r="BV923" i="1"/>
  <c r="BW923" i="1"/>
  <c r="BX923" i="1"/>
  <c r="BY923" i="1"/>
  <c r="BZ923" i="1"/>
  <c r="CA923" i="1"/>
  <c r="CB923" i="1"/>
  <c r="CC923" i="1"/>
  <c r="CD923" i="1"/>
  <c r="CE923" i="1"/>
  <c r="CF923" i="1"/>
  <c r="CG923" i="1"/>
  <c r="CH923" i="1"/>
  <c r="CI923" i="1"/>
  <c r="CJ923" i="1"/>
  <c r="CK923" i="1"/>
  <c r="CL923" i="1"/>
  <c r="CM923" i="1"/>
  <c r="CN923" i="1"/>
  <c r="CO923" i="1"/>
  <c r="CP923" i="1"/>
  <c r="CQ923" i="1"/>
  <c r="CR923" i="1"/>
  <c r="BO924" i="1"/>
  <c r="BP924" i="1"/>
  <c r="BQ924" i="1"/>
  <c r="BR924" i="1"/>
  <c r="BS924" i="1"/>
  <c r="BT924" i="1"/>
  <c r="BU924" i="1"/>
  <c r="BV924" i="1"/>
  <c r="BW924" i="1"/>
  <c r="BX924" i="1"/>
  <c r="BY924" i="1"/>
  <c r="BZ924" i="1"/>
  <c r="CA924" i="1"/>
  <c r="CB924" i="1"/>
  <c r="CC924" i="1"/>
  <c r="CD924" i="1"/>
  <c r="CE924" i="1"/>
  <c r="CF924" i="1"/>
  <c r="CG924" i="1"/>
  <c r="CH924" i="1"/>
  <c r="CI924" i="1"/>
  <c r="CJ924" i="1"/>
  <c r="CK924" i="1"/>
  <c r="CL924" i="1"/>
  <c r="CM924" i="1"/>
  <c r="CN924" i="1"/>
  <c r="CO924" i="1"/>
  <c r="CP924" i="1"/>
  <c r="CQ924" i="1"/>
  <c r="CR924" i="1"/>
  <c r="BO925" i="1"/>
  <c r="BP925" i="1"/>
  <c r="BQ925" i="1"/>
  <c r="BR925" i="1"/>
  <c r="BS925" i="1"/>
  <c r="BT925" i="1"/>
  <c r="BU925" i="1"/>
  <c r="BV925" i="1"/>
  <c r="BW925" i="1"/>
  <c r="BX925" i="1"/>
  <c r="BY925" i="1"/>
  <c r="BZ925" i="1"/>
  <c r="CA925" i="1"/>
  <c r="CB925" i="1"/>
  <c r="CC925" i="1"/>
  <c r="CD925" i="1"/>
  <c r="CE925" i="1"/>
  <c r="CF925" i="1"/>
  <c r="CG925" i="1"/>
  <c r="CH925" i="1"/>
  <c r="CI925" i="1"/>
  <c r="CJ925" i="1"/>
  <c r="CK925" i="1"/>
  <c r="CL925" i="1"/>
  <c r="CM925" i="1"/>
  <c r="CN925" i="1"/>
  <c r="CO925" i="1"/>
  <c r="CP925" i="1"/>
  <c r="CQ925" i="1"/>
  <c r="CR925" i="1"/>
  <c r="BO926" i="1"/>
  <c r="BP926" i="1"/>
  <c r="BQ926" i="1"/>
  <c r="BR926" i="1"/>
  <c r="BS926" i="1"/>
  <c r="BT926" i="1"/>
  <c r="BU926" i="1"/>
  <c r="BV926" i="1"/>
  <c r="BW926" i="1"/>
  <c r="BX926" i="1"/>
  <c r="BY926" i="1"/>
  <c r="BZ926" i="1"/>
  <c r="CA926" i="1"/>
  <c r="CB926" i="1"/>
  <c r="CC926" i="1"/>
  <c r="CD926" i="1"/>
  <c r="CE926" i="1"/>
  <c r="CF926" i="1"/>
  <c r="CG926" i="1"/>
  <c r="CH926" i="1"/>
  <c r="CI926" i="1"/>
  <c r="CJ926" i="1"/>
  <c r="CK926" i="1"/>
  <c r="CL926" i="1"/>
  <c r="CM926" i="1"/>
  <c r="CN926" i="1"/>
  <c r="CO926" i="1"/>
  <c r="CP926" i="1"/>
  <c r="CQ926" i="1"/>
  <c r="CR926" i="1"/>
  <c r="BO927" i="1"/>
  <c r="BP927" i="1"/>
  <c r="BQ927" i="1"/>
  <c r="BR927" i="1"/>
  <c r="BS927" i="1"/>
  <c r="BT927" i="1"/>
  <c r="BU927" i="1"/>
  <c r="BV927" i="1"/>
  <c r="BW927" i="1"/>
  <c r="BX927" i="1"/>
  <c r="BY927" i="1"/>
  <c r="BZ927" i="1"/>
  <c r="CA927" i="1"/>
  <c r="CB927" i="1"/>
  <c r="CC927" i="1"/>
  <c r="CD927" i="1"/>
  <c r="CE927" i="1"/>
  <c r="CF927" i="1"/>
  <c r="CG927" i="1"/>
  <c r="CH927" i="1"/>
  <c r="CI927" i="1"/>
  <c r="CJ927" i="1"/>
  <c r="CK927" i="1"/>
  <c r="CL927" i="1"/>
  <c r="CM927" i="1"/>
  <c r="CN927" i="1"/>
  <c r="CO927" i="1"/>
  <c r="CP927" i="1"/>
  <c r="CQ927" i="1"/>
  <c r="CR927" i="1"/>
  <c r="BO928" i="1"/>
  <c r="BP928" i="1"/>
  <c r="BQ928" i="1"/>
  <c r="BR928" i="1"/>
  <c r="BS928" i="1"/>
  <c r="BT928" i="1"/>
  <c r="BU928" i="1"/>
  <c r="BV928" i="1"/>
  <c r="BW928" i="1"/>
  <c r="BX928" i="1"/>
  <c r="BY928" i="1"/>
  <c r="BZ928" i="1"/>
  <c r="CA928" i="1"/>
  <c r="CB928" i="1"/>
  <c r="CC928" i="1"/>
  <c r="CD928" i="1"/>
  <c r="CE928" i="1"/>
  <c r="CF928" i="1"/>
  <c r="CG928" i="1"/>
  <c r="CH928" i="1"/>
  <c r="CI928" i="1"/>
  <c r="CJ928" i="1"/>
  <c r="CK928" i="1"/>
  <c r="CL928" i="1"/>
  <c r="CM928" i="1"/>
  <c r="CN928" i="1"/>
  <c r="CO928" i="1"/>
  <c r="CP928" i="1"/>
  <c r="CQ928" i="1"/>
  <c r="CR928" i="1"/>
  <c r="BO929" i="1"/>
  <c r="BP929" i="1"/>
  <c r="BQ929" i="1"/>
  <c r="BR929" i="1"/>
  <c r="BS929" i="1"/>
  <c r="BT929" i="1"/>
  <c r="BU929" i="1"/>
  <c r="BV929" i="1"/>
  <c r="BW929" i="1"/>
  <c r="BX929" i="1"/>
  <c r="BY929" i="1"/>
  <c r="BZ929" i="1"/>
  <c r="CA929" i="1"/>
  <c r="CB929" i="1"/>
  <c r="CC929" i="1"/>
  <c r="CD929" i="1"/>
  <c r="CE929" i="1"/>
  <c r="CF929" i="1"/>
  <c r="CG929" i="1"/>
  <c r="CH929" i="1"/>
  <c r="CI929" i="1"/>
  <c r="CJ929" i="1"/>
  <c r="CK929" i="1"/>
  <c r="CL929" i="1"/>
  <c r="CM929" i="1"/>
  <c r="CN929" i="1"/>
  <c r="CO929" i="1"/>
  <c r="CP929" i="1"/>
  <c r="CQ929" i="1"/>
  <c r="CR929" i="1"/>
  <c r="BO930" i="1"/>
  <c r="BP930" i="1"/>
  <c r="BQ930" i="1"/>
  <c r="BR930" i="1"/>
  <c r="BS930" i="1"/>
  <c r="BT930" i="1"/>
  <c r="BU930" i="1"/>
  <c r="BV930" i="1"/>
  <c r="BW930" i="1"/>
  <c r="BX930" i="1"/>
  <c r="BY930" i="1"/>
  <c r="BZ930" i="1"/>
  <c r="CA930" i="1"/>
  <c r="CB930" i="1"/>
  <c r="CC930" i="1"/>
  <c r="CD930" i="1"/>
  <c r="CE930" i="1"/>
  <c r="CF930" i="1"/>
  <c r="CG930" i="1"/>
  <c r="CH930" i="1"/>
  <c r="CI930" i="1"/>
  <c r="CJ930" i="1"/>
  <c r="CK930" i="1"/>
  <c r="CL930" i="1"/>
  <c r="CM930" i="1"/>
  <c r="CN930" i="1"/>
  <c r="CO930" i="1"/>
  <c r="CP930" i="1"/>
  <c r="CQ930" i="1"/>
  <c r="CR930" i="1"/>
  <c r="BO931" i="1"/>
  <c r="BP931" i="1"/>
  <c r="BQ931" i="1"/>
  <c r="BR931" i="1"/>
  <c r="BS931" i="1"/>
  <c r="BT931" i="1"/>
  <c r="BU931" i="1"/>
  <c r="BV931" i="1"/>
  <c r="BW931" i="1"/>
  <c r="BX931" i="1"/>
  <c r="BY931" i="1"/>
  <c r="BZ931" i="1"/>
  <c r="CA931" i="1"/>
  <c r="CB931" i="1"/>
  <c r="CC931" i="1"/>
  <c r="CD931" i="1"/>
  <c r="CE931" i="1"/>
  <c r="CF931" i="1"/>
  <c r="CG931" i="1"/>
  <c r="CH931" i="1"/>
  <c r="CI931" i="1"/>
  <c r="CJ931" i="1"/>
  <c r="CK931" i="1"/>
  <c r="CL931" i="1"/>
  <c r="CM931" i="1"/>
  <c r="CN931" i="1"/>
  <c r="CO931" i="1"/>
  <c r="CP931" i="1"/>
  <c r="CQ931" i="1"/>
  <c r="CR931" i="1"/>
  <c r="BO932" i="1"/>
  <c r="BP932" i="1"/>
  <c r="BQ932" i="1"/>
  <c r="BR932" i="1"/>
  <c r="BS932" i="1"/>
  <c r="BT932" i="1"/>
  <c r="BU932" i="1"/>
  <c r="BV932" i="1"/>
  <c r="BW932" i="1"/>
  <c r="BX932" i="1"/>
  <c r="BY932" i="1"/>
  <c r="BZ932" i="1"/>
  <c r="CA932" i="1"/>
  <c r="CB932" i="1"/>
  <c r="CC932" i="1"/>
  <c r="CD932" i="1"/>
  <c r="CE932" i="1"/>
  <c r="CF932" i="1"/>
  <c r="CG932" i="1"/>
  <c r="CH932" i="1"/>
  <c r="CI932" i="1"/>
  <c r="CJ932" i="1"/>
  <c r="CK932" i="1"/>
  <c r="CL932" i="1"/>
  <c r="CM932" i="1"/>
  <c r="CN932" i="1"/>
  <c r="CO932" i="1"/>
  <c r="CP932" i="1"/>
  <c r="CQ932" i="1"/>
  <c r="CR932" i="1"/>
  <c r="BO933" i="1"/>
  <c r="BP933" i="1"/>
  <c r="BQ933" i="1"/>
  <c r="BR933" i="1"/>
  <c r="BS933" i="1"/>
  <c r="BT933" i="1"/>
  <c r="BU933" i="1"/>
  <c r="BV933" i="1"/>
  <c r="BW933" i="1"/>
  <c r="BX933" i="1"/>
  <c r="BY933" i="1"/>
  <c r="BZ933" i="1"/>
  <c r="CA933" i="1"/>
  <c r="CB933" i="1"/>
  <c r="CC933" i="1"/>
  <c r="CD933" i="1"/>
  <c r="CE933" i="1"/>
  <c r="CF933" i="1"/>
  <c r="CG933" i="1"/>
  <c r="CH933" i="1"/>
  <c r="CI933" i="1"/>
  <c r="CJ933" i="1"/>
  <c r="CK933" i="1"/>
  <c r="CL933" i="1"/>
  <c r="CM933" i="1"/>
  <c r="CN933" i="1"/>
  <c r="CO933" i="1"/>
  <c r="CP933" i="1"/>
  <c r="CQ933" i="1"/>
  <c r="CR933" i="1"/>
  <c r="BO934" i="1"/>
  <c r="BP934" i="1"/>
  <c r="BQ934" i="1"/>
  <c r="BR934" i="1"/>
  <c r="BS934" i="1"/>
  <c r="BT934" i="1"/>
  <c r="BU934" i="1"/>
  <c r="BV934" i="1"/>
  <c r="BW934" i="1"/>
  <c r="BX934" i="1"/>
  <c r="BY934" i="1"/>
  <c r="BZ934" i="1"/>
  <c r="CA934" i="1"/>
  <c r="CB934" i="1"/>
  <c r="CC934" i="1"/>
  <c r="CD934" i="1"/>
  <c r="CE934" i="1"/>
  <c r="CF934" i="1"/>
  <c r="CG934" i="1"/>
  <c r="CH934" i="1"/>
  <c r="CI934" i="1"/>
  <c r="CJ934" i="1"/>
  <c r="CK934" i="1"/>
  <c r="CL934" i="1"/>
  <c r="CM934" i="1"/>
  <c r="CN934" i="1"/>
  <c r="CO934" i="1"/>
  <c r="CP934" i="1"/>
  <c r="CQ934" i="1"/>
  <c r="CR934" i="1"/>
  <c r="BO935" i="1"/>
  <c r="BP935" i="1"/>
  <c r="BQ935" i="1"/>
  <c r="BR935" i="1"/>
  <c r="BS935" i="1"/>
  <c r="BT935" i="1"/>
  <c r="BU935" i="1"/>
  <c r="BV935" i="1"/>
  <c r="BW935" i="1"/>
  <c r="BX935" i="1"/>
  <c r="BY935" i="1"/>
  <c r="BZ935" i="1"/>
  <c r="CA935" i="1"/>
  <c r="CB935" i="1"/>
  <c r="CC935" i="1"/>
  <c r="CD935" i="1"/>
  <c r="CE935" i="1"/>
  <c r="CF935" i="1"/>
  <c r="CG935" i="1"/>
  <c r="CH935" i="1"/>
  <c r="CI935" i="1"/>
  <c r="CJ935" i="1"/>
  <c r="CK935" i="1"/>
  <c r="CL935" i="1"/>
  <c r="CM935" i="1"/>
  <c r="CN935" i="1"/>
  <c r="CO935" i="1"/>
  <c r="CP935" i="1"/>
  <c r="CQ935" i="1"/>
  <c r="CR935" i="1"/>
  <c r="BO936" i="1"/>
  <c r="BP936" i="1"/>
  <c r="BQ936" i="1"/>
  <c r="BR936" i="1"/>
  <c r="BS936" i="1"/>
  <c r="BT936" i="1"/>
  <c r="BU936" i="1"/>
  <c r="BV936" i="1"/>
  <c r="BW936" i="1"/>
  <c r="BX936" i="1"/>
  <c r="BY936" i="1"/>
  <c r="BZ936" i="1"/>
  <c r="CA936" i="1"/>
  <c r="CB936" i="1"/>
  <c r="CC936" i="1"/>
  <c r="CD936" i="1"/>
  <c r="CE936" i="1"/>
  <c r="CF936" i="1"/>
  <c r="CG936" i="1"/>
  <c r="CH936" i="1"/>
  <c r="CI936" i="1"/>
  <c r="CJ936" i="1"/>
  <c r="CK936" i="1"/>
  <c r="CL936" i="1"/>
  <c r="CM936" i="1"/>
  <c r="CN936" i="1"/>
  <c r="CO936" i="1"/>
  <c r="CP936" i="1"/>
  <c r="CQ936" i="1"/>
  <c r="CR936" i="1"/>
  <c r="BO937" i="1"/>
  <c r="BP937" i="1"/>
  <c r="BQ937" i="1"/>
  <c r="BR937" i="1"/>
  <c r="BS937" i="1"/>
  <c r="BT937" i="1"/>
  <c r="BU937" i="1"/>
  <c r="BV937" i="1"/>
  <c r="BW937" i="1"/>
  <c r="BX937" i="1"/>
  <c r="BY937" i="1"/>
  <c r="BZ937" i="1"/>
  <c r="CA937" i="1"/>
  <c r="CB937" i="1"/>
  <c r="CC937" i="1"/>
  <c r="CD937" i="1"/>
  <c r="CE937" i="1"/>
  <c r="CF937" i="1"/>
  <c r="CG937" i="1"/>
  <c r="CH937" i="1"/>
  <c r="CI937" i="1"/>
  <c r="CJ937" i="1"/>
  <c r="CK937" i="1"/>
  <c r="CL937" i="1"/>
  <c r="CM937" i="1"/>
  <c r="CN937" i="1"/>
  <c r="CO937" i="1"/>
  <c r="CP937" i="1"/>
  <c r="CQ937" i="1"/>
  <c r="CR937" i="1"/>
  <c r="BO938" i="1"/>
  <c r="BP938" i="1"/>
  <c r="BQ938" i="1"/>
  <c r="BR938" i="1"/>
  <c r="BS938" i="1"/>
  <c r="BT938" i="1"/>
  <c r="BU938" i="1"/>
  <c r="BV938" i="1"/>
  <c r="BW938" i="1"/>
  <c r="BX938" i="1"/>
  <c r="BY938" i="1"/>
  <c r="BZ938" i="1"/>
  <c r="CA938" i="1"/>
  <c r="CB938" i="1"/>
  <c r="CC938" i="1"/>
  <c r="CD938" i="1"/>
  <c r="CE938" i="1"/>
  <c r="CF938" i="1"/>
  <c r="CG938" i="1"/>
  <c r="CH938" i="1"/>
  <c r="CI938" i="1"/>
  <c r="CJ938" i="1"/>
  <c r="CK938" i="1"/>
  <c r="CL938" i="1"/>
  <c r="CM938" i="1"/>
  <c r="CN938" i="1"/>
  <c r="CO938" i="1"/>
  <c r="CP938" i="1"/>
  <c r="CQ938" i="1"/>
  <c r="CR938" i="1"/>
  <c r="BO939" i="1"/>
  <c r="BP939" i="1"/>
  <c r="BQ939" i="1"/>
  <c r="BR939" i="1"/>
  <c r="BS939" i="1"/>
  <c r="BT939" i="1"/>
  <c r="BU939" i="1"/>
  <c r="BV939" i="1"/>
  <c r="BW939" i="1"/>
  <c r="BX939" i="1"/>
  <c r="BY939" i="1"/>
  <c r="BZ939" i="1"/>
  <c r="CA939" i="1"/>
  <c r="CB939" i="1"/>
  <c r="CC939" i="1"/>
  <c r="CD939" i="1"/>
  <c r="CE939" i="1"/>
  <c r="CF939" i="1"/>
  <c r="CG939" i="1"/>
  <c r="CH939" i="1"/>
  <c r="CI939" i="1"/>
  <c r="CJ939" i="1"/>
  <c r="CK939" i="1"/>
  <c r="CL939" i="1"/>
  <c r="CM939" i="1"/>
  <c r="CN939" i="1"/>
  <c r="CO939" i="1"/>
  <c r="CP939" i="1"/>
  <c r="CQ939" i="1"/>
  <c r="CR939" i="1"/>
  <c r="BO940" i="1"/>
  <c r="BP940" i="1"/>
  <c r="BQ940" i="1"/>
  <c r="BR940" i="1"/>
  <c r="BS940" i="1"/>
  <c r="BT940" i="1"/>
  <c r="BU940" i="1"/>
  <c r="BV940" i="1"/>
  <c r="BW940" i="1"/>
  <c r="BX940" i="1"/>
  <c r="BY940" i="1"/>
  <c r="BZ940" i="1"/>
  <c r="CA940" i="1"/>
  <c r="CB940" i="1"/>
  <c r="CC940" i="1"/>
  <c r="CD940" i="1"/>
  <c r="CE940" i="1"/>
  <c r="CF940" i="1"/>
  <c r="CG940" i="1"/>
  <c r="CH940" i="1"/>
  <c r="CI940" i="1"/>
  <c r="CJ940" i="1"/>
  <c r="CK940" i="1"/>
  <c r="CL940" i="1"/>
  <c r="CM940" i="1"/>
  <c r="CN940" i="1"/>
  <c r="CO940" i="1"/>
  <c r="CP940" i="1"/>
  <c r="CQ940" i="1"/>
  <c r="CR940" i="1"/>
  <c r="BO941" i="1"/>
  <c r="BP941" i="1"/>
  <c r="BQ941" i="1"/>
  <c r="BR941" i="1"/>
  <c r="BS941" i="1"/>
  <c r="BT941" i="1"/>
  <c r="BU941" i="1"/>
  <c r="BV941" i="1"/>
  <c r="BW941" i="1"/>
  <c r="BX941" i="1"/>
  <c r="BY941" i="1"/>
  <c r="BZ941" i="1"/>
  <c r="CA941" i="1"/>
  <c r="CB941" i="1"/>
  <c r="CC941" i="1"/>
  <c r="CD941" i="1"/>
  <c r="CE941" i="1"/>
  <c r="CF941" i="1"/>
  <c r="CG941" i="1"/>
  <c r="CH941" i="1"/>
  <c r="CI941" i="1"/>
  <c r="CJ941" i="1"/>
  <c r="CK941" i="1"/>
  <c r="CL941" i="1"/>
  <c r="CM941" i="1"/>
  <c r="CN941" i="1"/>
  <c r="CO941" i="1"/>
  <c r="CP941" i="1"/>
  <c r="CQ941" i="1"/>
  <c r="CR941" i="1"/>
  <c r="BO942" i="1"/>
  <c r="BP942" i="1"/>
  <c r="BQ942" i="1"/>
  <c r="BR942" i="1"/>
  <c r="BS942" i="1"/>
  <c r="BT942" i="1"/>
  <c r="BU942" i="1"/>
  <c r="BV942" i="1"/>
  <c r="BW942" i="1"/>
  <c r="BX942" i="1"/>
  <c r="BY942" i="1"/>
  <c r="BZ942" i="1"/>
  <c r="CA942" i="1"/>
  <c r="CB942" i="1"/>
  <c r="CC942" i="1"/>
  <c r="CD942" i="1"/>
  <c r="CE942" i="1"/>
  <c r="CF942" i="1"/>
  <c r="CG942" i="1"/>
  <c r="CH942" i="1"/>
  <c r="CI942" i="1"/>
  <c r="CJ942" i="1"/>
  <c r="CK942" i="1"/>
  <c r="CL942" i="1"/>
  <c r="CM942" i="1"/>
  <c r="CN942" i="1"/>
  <c r="CO942" i="1"/>
  <c r="CP942" i="1"/>
  <c r="CQ942" i="1"/>
  <c r="CR942" i="1"/>
  <c r="BO943" i="1"/>
  <c r="BP943" i="1"/>
  <c r="BQ943" i="1"/>
  <c r="BR943" i="1"/>
  <c r="BS943" i="1"/>
  <c r="BT943" i="1"/>
  <c r="BU943" i="1"/>
  <c r="BV943" i="1"/>
  <c r="BW943" i="1"/>
  <c r="BX943" i="1"/>
  <c r="BY943" i="1"/>
  <c r="BZ943" i="1"/>
  <c r="CA943" i="1"/>
  <c r="CB943" i="1"/>
  <c r="CC943" i="1"/>
  <c r="CD943" i="1"/>
  <c r="CE943" i="1"/>
  <c r="CF943" i="1"/>
  <c r="CG943" i="1"/>
  <c r="CH943" i="1"/>
  <c r="CI943" i="1"/>
  <c r="CJ943" i="1"/>
  <c r="CK943" i="1"/>
  <c r="CL943" i="1"/>
  <c r="CM943" i="1"/>
  <c r="CN943" i="1"/>
  <c r="CO943" i="1"/>
  <c r="CP943" i="1"/>
  <c r="CQ943" i="1"/>
  <c r="CR943" i="1"/>
  <c r="BO944" i="1"/>
  <c r="BP944" i="1"/>
  <c r="BQ944" i="1"/>
  <c r="BR944" i="1"/>
  <c r="BS944" i="1"/>
  <c r="BT944" i="1"/>
  <c r="BU944" i="1"/>
  <c r="BV944" i="1"/>
  <c r="BW944" i="1"/>
  <c r="BX944" i="1"/>
  <c r="BY944" i="1"/>
  <c r="BZ944" i="1"/>
  <c r="CA944" i="1"/>
  <c r="CB944" i="1"/>
  <c r="CC944" i="1"/>
  <c r="CD944" i="1"/>
  <c r="CE944" i="1"/>
  <c r="CF944" i="1"/>
  <c r="CG944" i="1"/>
  <c r="CH944" i="1"/>
  <c r="CI944" i="1"/>
  <c r="CJ944" i="1"/>
  <c r="CK944" i="1"/>
  <c r="CL944" i="1"/>
  <c r="CM944" i="1"/>
  <c r="CN944" i="1"/>
  <c r="CO944" i="1"/>
  <c r="CP944" i="1"/>
  <c r="CQ944" i="1"/>
  <c r="CR944" i="1"/>
  <c r="BO945" i="1"/>
  <c r="BP945" i="1"/>
  <c r="BQ945" i="1"/>
  <c r="BR945" i="1"/>
  <c r="BS945" i="1"/>
  <c r="BT945" i="1"/>
  <c r="BU945" i="1"/>
  <c r="BV945" i="1"/>
  <c r="BW945" i="1"/>
  <c r="BX945" i="1"/>
  <c r="BY945" i="1"/>
  <c r="BZ945" i="1"/>
  <c r="CA945" i="1"/>
  <c r="CB945" i="1"/>
  <c r="CC945" i="1"/>
  <c r="CD945" i="1"/>
  <c r="CE945" i="1"/>
  <c r="CF945" i="1"/>
  <c r="CG945" i="1"/>
  <c r="CH945" i="1"/>
  <c r="CI945" i="1"/>
  <c r="CJ945" i="1"/>
  <c r="CK945" i="1"/>
  <c r="CL945" i="1"/>
  <c r="CM945" i="1"/>
  <c r="CN945" i="1"/>
  <c r="CO945" i="1"/>
  <c r="CP945" i="1"/>
  <c r="CQ945" i="1"/>
  <c r="CR945" i="1"/>
  <c r="BO946" i="1"/>
  <c r="BP946" i="1"/>
  <c r="BQ946" i="1"/>
  <c r="BR946" i="1"/>
  <c r="BS946" i="1"/>
  <c r="BT946" i="1"/>
  <c r="BU946" i="1"/>
  <c r="BV946" i="1"/>
  <c r="BW946" i="1"/>
  <c r="BX946" i="1"/>
  <c r="BY946" i="1"/>
  <c r="BZ946" i="1"/>
  <c r="CA946" i="1"/>
  <c r="CB946" i="1"/>
  <c r="CC946" i="1"/>
  <c r="CD946" i="1"/>
  <c r="CE946" i="1"/>
  <c r="CF946" i="1"/>
  <c r="CG946" i="1"/>
  <c r="CH946" i="1"/>
  <c r="CI946" i="1"/>
  <c r="CJ946" i="1"/>
  <c r="CK946" i="1"/>
  <c r="CL946" i="1"/>
  <c r="CM946" i="1"/>
  <c r="CN946" i="1"/>
  <c r="CO946" i="1"/>
  <c r="CP946" i="1"/>
  <c r="CQ946" i="1"/>
  <c r="CR946" i="1"/>
  <c r="BO947" i="1"/>
  <c r="BP947" i="1"/>
  <c r="BQ947" i="1"/>
  <c r="BR947" i="1"/>
  <c r="BS947" i="1"/>
  <c r="BT947" i="1"/>
  <c r="BU947" i="1"/>
  <c r="BV947" i="1"/>
  <c r="BW947" i="1"/>
  <c r="BX947" i="1"/>
  <c r="BY947" i="1"/>
  <c r="BZ947" i="1"/>
  <c r="CA947" i="1"/>
  <c r="CB947" i="1"/>
  <c r="CC947" i="1"/>
  <c r="CD947" i="1"/>
  <c r="CE947" i="1"/>
  <c r="CF947" i="1"/>
  <c r="CG947" i="1"/>
  <c r="CH947" i="1"/>
  <c r="CI947" i="1"/>
  <c r="CJ947" i="1"/>
  <c r="CK947" i="1"/>
  <c r="CL947" i="1"/>
  <c r="CM947" i="1"/>
  <c r="CN947" i="1"/>
  <c r="CO947" i="1"/>
  <c r="CP947" i="1"/>
  <c r="CQ947" i="1"/>
  <c r="CR947" i="1"/>
  <c r="BO948" i="1"/>
  <c r="BP948" i="1"/>
  <c r="BQ948" i="1"/>
  <c r="BR948" i="1"/>
  <c r="BS948" i="1"/>
  <c r="BT948" i="1"/>
  <c r="BU948" i="1"/>
  <c r="BV948" i="1"/>
  <c r="BW948" i="1"/>
  <c r="BX948" i="1"/>
  <c r="BY948" i="1"/>
  <c r="BZ948" i="1"/>
  <c r="CA948" i="1"/>
  <c r="CB948" i="1"/>
  <c r="CC948" i="1"/>
  <c r="CD948" i="1"/>
  <c r="CE948" i="1"/>
  <c r="CF948" i="1"/>
  <c r="CG948" i="1"/>
  <c r="CH948" i="1"/>
  <c r="CI948" i="1"/>
  <c r="CJ948" i="1"/>
  <c r="CK948" i="1"/>
  <c r="CL948" i="1"/>
  <c r="CM948" i="1"/>
  <c r="CN948" i="1"/>
  <c r="CO948" i="1"/>
  <c r="CP948" i="1"/>
  <c r="CQ948" i="1"/>
  <c r="CR948" i="1"/>
  <c r="BO949" i="1"/>
  <c r="BP949" i="1"/>
  <c r="BQ949" i="1"/>
  <c r="BR949" i="1"/>
  <c r="BS949" i="1"/>
  <c r="BT949" i="1"/>
  <c r="BU949" i="1"/>
  <c r="BV949" i="1"/>
  <c r="BW949" i="1"/>
  <c r="BX949" i="1"/>
  <c r="BY949" i="1"/>
  <c r="BZ949" i="1"/>
  <c r="CA949" i="1"/>
  <c r="CB949" i="1"/>
  <c r="CC949" i="1"/>
  <c r="CD949" i="1"/>
  <c r="CE949" i="1"/>
  <c r="CF949" i="1"/>
  <c r="CG949" i="1"/>
  <c r="CH949" i="1"/>
  <c r="CI949" i="1"/>
  <c r="CJ949" i="1"/>
  <c r="CK949" i="1"/>
  <c r="CL949" i="1"/>
  <c r="CM949" i="1"/>
  <c r="CN949" i="1"/>
  <c r="CO949" i="1"/>
  <c r="CP949" i="1"/>
  <c r="CQ949" i="1"/>
  <c r="CR949" i="1"/>
  <c r="BO950" i="1"/>
  <c r="BP950" i="1"/>
  <c r="BQ950" i="1"/>
  <c r="BR950" i="1"/>
  <c r="BS950" i="1"/>
  <c r="BT950" i="1"/>
  <c r="BU950" i="1"/>
  <c r="BV950" i="1"/>
  <c r="BW950" i="1"/>
  <c r="BX950" i="1"/>
  <c r="BY950" i="1"/>
  <c r="BZ950" i="1"/>
  <c r="CA950" i="1"/>
  <c r="CB950" i="1"/>
  <c r="CC950" i="1"/>
  <c r="CD950" i="1"/>
  <c r="CE950" i="1"/>
  <c r="CF950" i="1"/>
  <c r="CG950" i="1"/>
  <c r="CH950" i="1"/>
  <c r="CI950" i="1"/>
  <c r="CJ950" i="1"/>
  <c r="CK950" i="1"/>
  <c r="CL950" i="1"/>
  <c r="CM950" i="1"/>
  <c r="CN950" i="1"/>
  <c r="CO950" i="1"/>
  <c r="CP950" i="1"/>
  <c r="CQ950" i="1"/>
  <c r="CR950" i="1"/>
  <c r="BO951" i="1"/>
  <c r="BP951" i="1"/>
  <c r="BQ951" i="1"/>
  <c r="BR951" i="1"/>
  <c r="BS951" i="1"/>
  <c r="BT951" i="1"/>
  <c r="BU951" i="1"/>
  <c r="BV951" i="1"/>
  <c r="BW951" i="1"/>
  <c r="BX951" i="1"/>
  <c r="BY951" i="1"/>
  <c r="BZ951" i="1"/>
  <c r="CA951" i="1"/>
  <c r="CB951" i="1"/>
  <c r="CC951" i="1"/>
  <c r="CD951" i="1"/>
  <c r="CE951" i="1"/>
  <c r="CF951" i="1"/>
  <c r="CG951" i="1"/>
  <c r="CH951" i="1"/>
  <c r="CI951" i="1"/>
  <c r="CJ951" i="1"/>
  <c r="CK951" i="1"/>
  <c r="CL951" i="1"/>
  <c r="CM951" i="1"/>
  <c r="CN951" i="1"/>
  <c r="CO951" i="1"/>
  <c r="CP951" i="1"/>
  <c r="CQ951" i="1"/>
  <c r="CR951" i="1"/>
  <c r="BO952" i="1"/>
  <c r="BP952" i="1"/>
  <c r="BQ952" i="1"/>
  <c r="BR952" i="1"/>
  <c r="BS952" i="1"/>
  <c r="BT952" i="1"/>
  <c r="BU952" i="1"/>
  <c r="BV952" i="1"/>
  <c r="BW952" i="1"/>
  <c r="BX952" i="1"/>
  <c r="BY952" i="1"/>
  <c r="BZ952" i="1"/>
  <c r="CA952" i="1"/>
  <c r="CB952" i="1"/>
  <c r="CC952" i="1"/>
  <c r="CD952" i="1"/>
  <c r="CE952" i="1"/>
  <c r="CF952" i="1"/>
  <c r="CG952" i="1"/>
  <c r="CH952" i="1"/>
  <c r="CI952" i="1"/>
  <c r="CJ952" i="1"/>
  <c r="CK952" i="1"/>
  <c r="CL952" i="1"/>
  <c r="CM952" i="1"/>
  <c r="CN952" i="1"/>
  <c r="CO952" i="1"/>
  <c r="CP952" i="1"/>
  <c r="CQ952" i="1"/>
  <c r="CR952" i="1"/>
  <c r="BO953" i="1"/>
  <c r="BP953" i="1"/>
  <c r="BQ953" i="1"/>
  <c r="BR953" i="1"/>
  <c r="BS953" i="1"/>
  <c r="BT953" i="1"/>
  <c r="BU953" i="1"/>
  <c r="BV953" i="1"/>
  <c r="BW953" i="1"/>
  <c r="BX953" i="1"/>
  <c r="BY953" i="1"/>
  <c r="BZ953" i="1"/>
  <c r="CA953" i="1"/>
  <c r="CB953" i="1"/>
  <c r="CC953" i="1"/>
  <c r="CD953" i="1"/>
  <c r="CE953" i="1"/>
  <c r="CF953" i="1"/>
  <c r="CG953" i="1"/>
  <c r="CH953" i="1"/>
  <c r="CI953" i="1"/>
  <c r="CJ953" i="1"/>
  <c r="CK953" i="1"/>
  <c r="CL953" i="1"/>
  <c r="CM953" i="1"/>
  <c r="CN953" i="1"/>
  <c r="CO953" i="1"/>
  <c r="CP953" i="1"/>
  <c r="CQ953" i="1"/>
  <c r="CR953" i="1"/>
  <c r="BO954" i="1"/>
  <c r="BP954" i="1"/>
  <c r="BQ954" i="1"/>
  <c r="BR954" i="1"/>
  <c r="BS954" i="1"/>
  <c r="BT954" i="1"/>
  <c r="BU954" i="1"/>
  <c r="BV954" i="1"/>
  <c r="BW954" i="1"/>
  <c r="BX954" i="1"/>
  <c r="BY954" i="1"/>
  <c r="BZ954" i="1"/>
  <c r="CA954" i="1"/>
  <c r="CB954" i="1"/>
  <c r="CC954" i="1"/>
  <c r="CD954" i="1"/>
  <c r="CE954" i="1"/>
  <c r="CF954" i="1"/>
  <c r="CG954" i="1"/>
  <c r="CH954" i="1"/>
  <c r="CI954" i="1"/>
  <c r="CJ954" i="1"/>
  <c r="CK954" i="1"/>
  <c r="CL954" i="1"/>
  <c r="CM954" i="1"/>
  <c r="CN954" i="1"/>
  <c r="CO954" i="1"/>
  <c r="CP954" i="1"/>
  <c r="CQ954" i="1"/>
  <c r="CR954" i="1"/>
  <c r="BO955" i="1"/>
  <c r="BP955" i="1"/>
  <c r="BQ955" i="1"/>
  <c r="BR955" i="1"/>
  <c r="BS955" i="1"/>
  <c r="BT955" i="1"/>
  <c r="BU955" i="1"/>
  <c r="BV955" i="1"/>
  <c r="BW955" i="1"/>
  <c r="BX955" i="1"/>
  <c r="BY955" i="1"/>
  <c r="BZ955" i="1"/>
  <c r="CA955" i="1"/>
  <c r="CB955" i="1"/>
  <c r="CC955" i="1"/>
  <c r="CD955" i="1"/>
  <c r="CE955" i="1"/>
  <c r="CF955" i="1"/>
  <c r="CG955" i="1"/>
  <c r="CH955" i="1"/>
  <c r="CI955" i="1"/>
  <c r="CJ955" i="1"/>
  <c r="CK955" i="1"/>
  <c r="CL955" i="1"/>
  <c r="CM955" i="1"/>
  <c r="CN955" i="1"/>
  <c r="CO955" i="1"/>
  <c r="CP955" i="1"/>
  <c r="CQ955" i="1"/>
  <c r="CR955" i="1"/>
  <c r="BO956" i="1"/>
  <c r="BP956" i="1"/>
  <c r="BQ956" i="1"/>
  <c r="BR956" i="1"/>
  <c r="BS956" i="1"/>
  <c r="BT956" i="1"/>
  <c r="BU956" i="1"/>
  <c r="BV956" i="1"/>
  <c r="BW956" i="1"/>
  <c r="BX956" i="1"/>
  <c r="BY956" i="1"/>
  <c r="BZ956" i="1"/>
  <c r="CA956" i="1"/>
  <c r="CB956" i="1"/>
  <c r="CC956" i="1"/>
  <c r="CD956" i="1"/>
  <c r="CE956" i="1"/>
  <c r="CF956" i="1"/>
  <c r="CG956" i="1"/>
  <c r="CH956" i="1"/>
  <c r="CI956" i="1"/>
  <c r="CJ956" i="1"/>
  <c r="CK956" i="1"/>
  <c r="CL956" i="1"/>
  <c r="CM956" i="1"/>
  <c r="CN956" i="1"/>
  <c r="CO956" i="1"/>
  <c r="CP956" i="1"/>
  <c r="CQ956" i="1"/>
  <c r="CR956" i="1"/>
  <c r="BO957" i="1"/>
  <c r="BP957" i="1"/>
  <c r="BQ957" i="1"/>
  <c r="BR957" i="1"/>
  <c r="BS957" i="1"/>
  <c r="BT957" i="1"/>
  <c r="BU957" i="1"/>
  <c r="BV957" i="1"/>
  <c r="BW957" i="1"/>
  <c r="BX957" i="1"/>
  <c r="BY957" i="1"/>
  <c r="BZ957" i="1"/>
  <c r="CA957" i="1"/>
  <c r="CB957" i="1"/>
  <c r="CC957" i="1"/>
  <c r="CD957" i="1"/>
  <c r="CE957" i="1"/>
  <c r="CF957" i="1"/>
  <c r="CG957" i="1"/>
  <c r="CH957" i="1"/>
  <c r="CI957" i="1"/>
  <c r="CJ957" i="1"/>
  <c r="CK957" i="1"/>
  <c r="CL957" i="1"/>
  <c r="CM957" i="1"/>
  <c r="CN957" i="1"/>
  <c r="CO957" i="1"/>
  <c r="CP957" i="1"/>
  <c r="CQ957" i="1"/>
  <c r="CR957" i="1"/>
  <c r="BO958" i="1"/>
  <c r="BP958" i="1"/>
  <c r="BQ958" i="1"/>
  <c r="BR958" i="1"/>
  <c r="BS958" i="1"/>
  <c r="BT958" i="1"/>
  <c r="BU958" i="1"/>
  <c r="BV958" i="1"/>
  <c r="BW958" i="1"/>
  <c r="BX958" i="1"/>
  <c r="BY958" i="1"/>
  <c r="BZ958" i="1"/>
  <c r="CA958" i="1"/>
  <c r="CB958" i="1"/>
  <c r="CC958" i="1"/>
  <c r="CD958" i="1"/>
  <c r="CE958" i="1"/>
  <c r="CF958" i="1"/>
  <c r="CG958" i="1"/>
  <c r="CH958" i="1"/>
  <c r="CI958" i="1"/>
  <c r="CJ958" i="1"/>
  <c r="CK958" i="1"/>
  <c r="CL958" i="1"/>
  <c r="CM958" i="1"/>
  <c r="CN958" i="1"/>
  <c r="CO958" i="1"/>
  <c r="CP958" i="1"/>
  <c r="CQ958" i="1"/>
  <c r="CR958" i="1"/>
  <c r="BO959" i="1"/>
  <c r="BP959" i="1"/>
  <c r="BQ959" i="1"/>
  <c r="BR959" i="1"/>
  <c r="BS959" i="1"/>
  <c r="BT959" i="1"/>
  <c r="BU959" i="1"/>
  <c r="BV959" i="1"/>
  <c r="BW959" i="1"/>
  <c r="BX959" i="1"/>
  <c r="BY959" i="1"/>
  <c r="BZ959" i="1"/>
  <c r="CA959" i="1"/>
  <c r="CB959" i="1"/>
  <c r="CC959" i="1"/>
  <c r="CD959" i="1"/>
  <c r="CE959" i="1"/>
  <c r="CF959" i="1"/>
  <c r="CG959" i="1"/>
  <c r="CH959" i="1"/>
  <c r="CI959" i="1"/>
  <c r="CJ959" i="1"/>
  <c r="CK959" i="1"/>
  <c r="CL959" i="1"/>
  <c r="CM959" i="1"/>
  <c r="CN959" i="1"/>
  <c r="CO959" i="1"/>
  <c r="CP959" i="1"/>
  <c r="CQ959" i="1"/>
  <c r="CR959" i="1"/>
  <c r="BO960" i="1"/>
  <c r="BP960" i="1"/>
  <c r="BQ960" i="1"/>
  <c r="BR960" i="1"/>
  <c r="BS960" i="1"/>
  <c r="BT960" i="1"/>
  <c r="BU960" i="1"/>
  <c r="BV960" i="1"/>
  <c r="BW960" i="1"/>
  <c r="BX960" i="1"/>
  <c r="BY960" i="1"/>
  <c r="BZ960" i="1"/>
  <c r="CA960" i="1"/>
  <c r="CB960" i="1"/>
  <c r="CC960" i="1"/>
  <c r="CD960" i="1"/>
  <c r="CE960" i="1"/>
  <c r="CF960" i="1"/>
  <c r="CG960" i="1"/>
  <c r="CH960" i="1"/>
  <c r="CI960" i="1"/>
  <c r="CJ960" i="1"/>
  <c r="CK960" i="1"/>
  <c r="CL960" i="1"/>
  <c r="CM960" i="1"/>
  <c r="CN960" i="1"/>
  <c r="CO960" i="1"/>
  <c r="CP960" i="1"/>
  <c r="CQ960" i="1"/>
  <c r="CR960" i="1"/>
  <c r="BO961" i="1"/>
  <c r="BP961" i="1"/>
  <c r="BQ961" i="1"/>
  <c r="BR961" i="1"/>
  <c r="BS961" i="1"/>
  <c r="BT961" i="1"/>
  <c r="BU961" i="1"/>
  <c r="BV961" i="1"/>
  <c r="BW961" i="1"/>
  <c r="BX961" i="1"/>
  <c r="BY961" i="1"/>
  <c r="BZ961" i="1"/>
  <c r="CA961" i="1"/>
  <c r="CB961" i="1"/>
  <c r="CC961" i="1"/>
  <c r="CD961" i="1"/>
  <c r="CE961" i="1"/>
  <c r="CF961" i="1"/>
  <c r="CG961" i="1"/>
  <c r="CH961" i="1"/>
  <c r="CI961" i="1"/>
  <c r="CJ961" i="1"/>
  <c r="CK961" i="1"/>
  <c r="CL961" i="1"/>
  <c r="CM961" i="1"/>
  <c r="CN961" i="1"/>
  <c r="CO961" i="1"/>
  <c r="CP961" i="1"/>
  <c r="CQ961" i="1"/>
  <c r="CR961" i="1"/>
  <c r="BO962" i="1"/>
  <c r="BP962" i="1"/>
  <c r="BQ962" i="1"/>
  <c r="BR962" i="1"/>
  <c r="BS962" i="1"/>
  <c r="BT962" i="1"/>
  <c r="BU962" i="1"/>
  <c r="BV962" i="1"/>
  <c r="BW962" i="1"/>
  <c r="BX962" i="1"/>
  <c r="BY962" i="1"/>
  <c r="BZ962" i="1"/>
  <c r="CA962" i="1"/>
  <c r="CB962" i="1"/>
  <c r="CC962" i="1"/>
  <c r="CD962" i="1"/>
  <c r="CE962" i="1"/>
  <c r="CF962" i="1"/>
  <c r="CG962" i="1"/>
  <c r="CH962" i="1"/>
  <c r="CI962" i="1"/>
  <c r="CJ962" i="1"/>
  <c r="CK962" i="1"/>
  <c r="CL962" i="1"/>
  <c r="CM962" i="1"/>
  <c r="CN962" i="1"/>
  <c r="CO962" i="1"/>
  <c r="CP962" i="1"/>
  <c r="CQ962" i="1"/>
  <c r="CR962" i="1"/>
  <c r="BO963" i="1"/>
  <c r="BP963" i="1"/>
  <c r="BQ963" i="1"/>
  <c r="BR963" i="1"/>
  <c r="BS963" i="1"/>
  <c r="BT963" i="1"/>
  <c r="BU963" i="1"/>
  <c r="BV963" i="1"/>
  <c r="BW963" i="1"/>
  <c r="BX963" i="1"/>
  <c r="BY963" i="1"/>
  <c r="BZ963" i="1"/>
  <c r="CA963" i="1"/>
  <c r="CB963" i="1"/>
  <c r="CC963" i="1"/>
  <c r="CD963" i="1"/>
  <c r="CE963" i="1"/>
  <c r="CF963" i="1"/>
  <c r="CG963" i="1"/>
  <c r="CH963" i="1"/>
  <c r="CI963" i="1"/>
  <c r="CJ963" i="1"/>
  <c r="CK963" i="1"/>
  <c r="CL963" i="1"/>
  <c r="CM963" i="1"/>
  <c r="CN963" i="1"/>
  <c r="CO963" i="1"/>
  <c r="CP963" i="1"/>
  <c r="CQ963" i="1"/>
  <c r="CR963" i="1"/>
  <c r="BO964" i="1"/>
  <c r="BP964" i="1"/>
  <c r="BQ964" i="1"/>
  <c r="BR964" i="1"/>
  <c r="BS964" i="1"/>
  <c r="BT964" i="1"/>
  <c r="BU964" i="1"/>
  <c r="BV964" i="1"/>
  <c r="BW964" i="1"/>
  <c r="BX964" i="1"/>
  <c r="BY964" i="1"/>
  <c r="BZ964" i="1"/>
  <c r="CA964" i="1"/>
  <c r="CB964" i="1"/>
  <c r="CC964" i="1"/>
  <c r="CD964" i="1"/>
  <c r="CE964" i="1"/>
  <c r="CF964" i="1"/>
  <c r="CG964" i="1"/>
  <c r="CH964" i="1"/>
  <c r="CI964" i="1"/>
  <c r="CJ964" i="1"/>
  <c r="CK964" i="1"/>
  <c r="CL964" i="1"/>
  <c r="CM964" i="1"/>
  <c r="CN964" i="1"/>
  <c r="CO964" i="1"/>
  <c r="CP964" i="1"/>
  <c r="CQ964" i="1"/>
  <c r="CR964" i="1"/>
  <c r="BO965" i="1"/>
  <c r="BP965" i="1"/>
  <c r="BQ965" i="1"/>
  <c r="BR965" i="1"/>
  <c r="BS965" i="1"/>
  <c r="BT965" i="1"/>
  <c r="BU965" i="1"/>
  <c r="BV965" i="1"/>
  <c r="BW965" i="1"/>
  <c r="BX965" i="1"/>
  <c r="BY965" i="1"/>
  <c r="BZ965" i="1"/>
  <c r="CA965" i="1"/>
  <c r="CB965" i="1"/>
  <c r="CC965" i="1"/>
  <c r="CD965" i="1"/>
  <c r="CE965" i="1"/>
  <c r="CF965" i="1"/>
  <c r="CG965" i="1"/>
  <c r="CH965" i="1"/>
  <c r="CI965" i="1"/>
  <c r="CJ965" i="1"/>
  <c r="CK965" i="1"/>
  <c r="CL965" i="1"/>
  <c r="CM965" i="1"/>
  <c r="CN965" i="1"/>
  <c r="CO965" i="1"/>
  <c r="CP965" i="1"/>
  <c r="CQ965" i="1"/>
  <c r="CR965" i="1"/>
  <c r="BO966" i="1"/>
  <c r="BP966" i="1"/>
  <c r="BQ966" i="1"/>
  <c r="BR966" i="1"/>
  <c r="BS966" i="1"/>
  <c r="BT966" i="1"/>
  <c r="BU966" i="1"/>
  <c r="BV966" i="1"/>
  <c r="BW966" i="1"/>
  <c r="BX966" i="1"/>
  <c r="BY966" i="1"/>
  <c r="BZ966" i="1"/>
  <c r="CA966" i="1"/>
  <c r="CB966" i="1"/>
  <c r="CC966" i="1"/>
  <c r="CD966" i="1"/>
  <c r="CE966" i="1"/>
  <c r="CF966" i="1"/>
  <c r="CG966" i="1"/>
  <c r="CH966" i="1"/>
  <c r="CI966" i="1"/>
  <c r="CJ966" i="1"/>
  <c r="CK966" i="1"/>
  <c r="CL966" i="1"/>
  <c r="CM966" i="1"/>
  <c r="CN966" i="1"/>
  <c r="CO966" i="1"/>
  <c r="CP966" i="1"/>
  <c r="CQ966" i="1"/>
  <c r="CR966" i="1"/>
  <c r="BO967" i="1"/>
  <c r="BP967" i="1"/>
  <c r="BQ967" i="1"/>
  <c r="BR967" i="1"/>
  <c r="BS967" i="1"/>
  <c r="BT967" i="1"/>
  <c r="BU967" i="1"/>
  <c r="BV967" i="1"/>
  <c r="BW967" i="1"/>
  <c r="BX967" i="1"/>
  <c r="BY967" i="1"/>
  <c r="BZ967" i="1"/>
  <c r="CA967" i="1"/>
  <c r="CB967" i="1"/>
  <c r="CC967" i="1"/>
  <c r="CD967" i="1"/>
  <c r="CE967" i="1"/>
  <c r="CF967" i="1"/>
  <c r="CG967" i="1"/>
  <c r="CH967" i="1"/>
  <c r="CI967" i="1"/>
  <c r="CJ967" i="1"/>
  <c r="CK967" i="1"/>
  <c r="CL967" i="1"/>
  <c r="CM967" i="1"/>
  <c r="CN967" i="1"/>
  <c r="CO967" i="1"/>
  <c r="CP967" i="1"/>
  <c r="CQ967" i="1"/>
  <c r="CR967" i="1"/>
  <c r="BO968" i="1"/>
  <c r="BP968" i="1"/>
  <c r="BQ968" i="1"/>
  <c r="BR968" i="1"/>
  <c r="BS968" i="1"/>
  <c r="BT968" i="1"/>
  <c r="BU968" i="1"/>
  <c r="BV968" i="1"/>
  <c r="BW968" i="1"/>
  <c r="BX968" i="1"/>
  <c r="BY968" i="1"/>
  <c r="BZ968" i="1"/>
  <c r="CA968" i="1"/>
  <c r="CB968" i="1"/>
  <c r="CC968" i="1"/>
  <c r="CD968" i="1"/>
  <c r="CE968" i="1"/>
  <c r="CF968" i="1"/>
  <c r="CG968" i="1"/>
  <c r="CH968" i="1"/>
  <c r="CI968" i="1"/>
  <c r="CJ968" i="1"/>
  <c r="CK968" i="1"/>
  <c r="CL968" i="1"/>
  <c r="CM968" i="1"/>
  <c r="CN968" i="1"/>
  <c r="CO968" i="1"/>
  <c r="CP968" i="1"/>
  <c r="CQ968" i="1"/>
  <c r="CR968" i="1"/>
  <c r="BO969" i="1"/>
  <c r="BP969" i="1"/>
  <c r="BQ969" i="1"/>
  <c r="BR969" i="1"/>
  <c r="BS969" i="1"/>
  <c r="BT969" i="1"/>
  <c r="BU969" i="1"/>
  <c r="BV969" i="1"/>
  <c r="BW969" i="1"/>
  <c r="BX969" i="1"/>
  <c r="BY969" i="1"/>
  <c r="BZ969" i="1"/>
  <c r="CA969" i="1"/>
  <c r="CB969" i="1"/>
  <c r="CC969" i="1"/>
  <c r="CD969" i="1"/>
  <c r="CE969" i="1"/>
  <c r="CF969" i="1"/>
  <c r="CG969" i="1"/>
  <c r="CH969" i="1"/>
  <c r="CI969" i="1"/>
  <c r="CJ969" i="1"/>
  <c r="CK969" i="1"/>
  <c r="CL969" i="1"/>
  <c r="CM969" i="1"/>
  <c r="CN969" i="1"/>
  <c r="CO969" i="1"/>
  <c r="CP969" i="1"/>
  <c r="CQ969" i="1"/>
  <c r="CR969" i="1"/>
  <c r="BO970" i="1"/>
  <c r="BP970" i="1"/>
  <c r="BQ970" i="1"/>
  <c r="BR970" i="1"/>
  <c r="BS970" i="1"/>
  <c r="BT970" i="1"/>
  <c r="BU970" i="1"/>
  <c r="BV970" i="1"/>
  <c r="BW970" i="1"/>
  <c r="BX970" i="1"/>
  <c r="BY970" i="1"/>
  <c r="BZ970" i="1"/>
  <c r="CA970" i="1"/>
  <c r="CB970" i="1"/>
  <c r="CC970" i="1"/>
  <c r="CD970" i="1"/>
  <c r="CE970" i="1"/>
  <c r="CF970" i="1"/>
  <c r="CG970" i="1"/>
  <c r="CH970" i="1"/>
  <c r="CI970" i="1"/>
  <c r="CJ970" i="1"/>
  <c r="CK970" i="1"/>
  <c r="CL970" i="1"/>
  <c r="CM970" i="1"/>
  <c r="CN970" i="1"/>
  <c r="CO970" i="1"/>
  <c r="CP970" i="1"/>
  <c r="CQ970" i="1"/>
  <c r="CR970" i="1"/>
  <c r="BO971" i="1"/>
  <c r="BP971" i="1"/>
  <c r="BQ971" i="1"/>
  <c r="BR971" i="1"/>
  <c r="BS971" i="1"/>
  <c r="BT971" i="1"/>
  <c r="BU971" i="1"/>
  <c r="BV971" i="1"/>
  <c r="BW971" i="1"/>
  <c r="BX971" i="1"/>
  <c r="BY971" i="1"/>
  <c r="BZ971" i="1"/>
  <c r="CA971" i="1"/>
  <c r="CB971" i="1"/>
  <c r="CC971" i="1"/>
  <c r="CD971" i="1"/>
  <c r="CE971" i="1"/>
  <c r="CF971" i="1"/>
  <c r="CG971" i="1"/>
  <c r="CH971" i="1"/>
  <c r="CI971" i="1"/>
  <c r="CJ971" i="1"/>
  <c r="CK971" i="1"/>
  <c r="CL971" i="1"/>
  <c r="CM971" i="1"/>
  <c r="CN971" i="1"/>
  <c r="CO971" i="1"/>
  <c r="CP971" i="1"/>
  <c r="CQ971" i="1"/>
  <c r="CR971" i="1"/>
  <c r="BO972" i="1"/>
  <c r="BP972" i="1"/>
  <c r="BQ972" i="1"/>
  <c r="BR972" i="1"/>
  <c r="BS972" i="1"/>
  <c r="BT972" i="1"/>
  <c r="BU972" i="1"/>
  <c r="BV972" i="1"/>
  <c r="BW972" i="1"/>
  <c r="BX972" i="1"/>
  <c r="BY972" i="1"/>
  <c r="BZ972" i="1"/>
  <c r="CA972" i="1"/>
  <c r="CB972" i="1"/>
  <c r="CC972" i="1"/>
  <c r="CD972" i="1"/>
  <c r="CE972" i="1"/>
  <c r="CF972" i="1"/>
  <c r="CG972" i="1"/>
  <c r="CH972" i="1"/>
  <c r="CI972" i="1"/>
  <c r="CJ972" i="1"/>
  <c r="CK972" i="1"/>
  <c r="CL972" i="1"/>
  <c r="CM972" i="1"/>
  <c r="CN972" i="1"/>
  <c r="CO972" i="1"/>
  <c r="CP972" i="1"/>
  <c r="CQ972" i="1"/>
  <c r="CR972" i="1"/>
  <c r="BO973" i="1"/>
  <c r="BP973" i="1"/>
  <c r="BQ973" i="1"/>
  <c r="BR973" i="1"/>
  <c r="BS973" i="1"/>
  <c r="BT973" i="1"/>
  <c r="BU973" i="1"/>
  <c r="BV973" i="1"/>
  <c r="BW973" i="1"/>
  <c r="BX973" i="1"/>
  <c r="BY973" i="1"/>
  <c r="BZ973" i="1"/>
  <c r="CA973" i="1"/>
  <c r="CB973" i="1"/>
  <c r="CC973" i="1"/>
  <c r="CD973" i="1"/>
  <c r="CE973" i="1"/>
  <c r="CF973" i="1"/>
  <c r="CG973" i="1"/>
  <c r="CH973" i="1"/>
  <c r="CI973" i="1"/>
  <c r="CJ973" i="1"/>
  <c r="CK973" i="1"/>
  <c r="CL973" i="1"/>
  <c r="CM973" i="1"/>
  <c r="CN973" i="1"/>
  <c r="CO973" i="1"/>
  <c r="CP973" i="1"/>
  <c r="CQ973" i="1"/>
  <c r="CR973" i="1"/>
  <c r="BO974" i="1"/>
  <c r="BP974" i="1"/>
  <c r="BQ974" i="1"/>
  <c r="BR974" i="1"/>
  <c r="BS974" i="1"/>
  <c r="BT974" i="1"/>
  <c r="BU974" i="1"/>
  <c r="BV974" i="1"/>
  <c r="BW974" i="1"/>
  <c r="BX974" i="1"/>
  <c r="BY974" i="1"/>
  <c r="BZ974" i="1"/>
  <c r="CA974" i="1"/>
  <c r="CB974" i="1"/>
  <c r="CC974" i="1"/>
  <c r="CD974" i="1"/>
  <c r="CE974" i="1"/>
  <c r="CF974" i="1"/>
  <c r="CG974" i="1"/>
  <c r="CH974" i="1"/>
  <c r="CI974" i="1"/>
  <c r="CJ974" i="1"/>
  <c r="CK974" i="1"/>
  <c r="CL974" i="1"/>
  <c r="CM974" i="1"/>
  <c r="CN974" i="1"/>
  <c r="CO974" i="1"/>
  <c r="CP974" i="1"/>
  <c r="CQ974" i="1"/>
  <c r="CR974" i="1"/>
  <c r="BO975" i="1"/>
  <c r="BP975" i="1"/>
  <c r="BQ975" i="1"/>
  <c r="BR975" i="1"/>
  <c r="BS975" i="1"/>
  <c r="BT975" i="1"/>
  <c r="BU975" i="1"/>
  <c r="BV975" i="1"/>
  <c r="BW975" i="1"/>
  <c r="BX975" i="1"/>
  <c r="BY975" i="1"/>
  <c r="BZ975" i="1"/>
  <c r="CA975" i="1"/>
  <c r="CB975" i="1"/>
  <c r="CC975" i="1"/>
  <c r="CD975" i="1"/>
  <c r="CE975" i="1"/>
  <c r="CF975" i="1"/>
  <c r="CG975" i="1"/>
  <c r="CH975" i="1"/>
  <c r="CI975" i="1"/>
  <c r="CJ975" i="1"/>
  <c r="CK975" i="1"/>
  <c r="CL975" i="1"/>
  <c r="CM975" i="1"/>
  <c r="CN975" i="1"/>
  <c r="CO975" i="1"/>
  <c r="CP975" i="1"/>
  <c r="CQ975" i="1"/>
  <c r="CR975" i="1"/>
  <c r="BO976" i="1"/>
  <c r="BP976" i="1"/>
  <c r="BQ976" i="1"/>
  <c r="BR976" i="1"/>
  <c r="BS976" i="1"/>
  <c r="BT976" i="1"/>
  <c r="BU976" i="1"/>
  <c r="BV976" i="1"/>
  <c r="BW976" i="1"/>
  <c r="BX976" i="1"/>
  <c r="BY976" i="1"/>
  <c r="BZ976" i="1"/>
  <c r="CA976" i="1"/>
  <c r="CB976" i="1"/>
  <c r="CC976" i="1"/>
  <c r="CD976" i="1"/>
  <c r="CE976" i="1"/>
  <c r="CF976" i="1"/>
  <c r="CG976" i="1"/>
  <c r="CH976" i="1"/>
  <c r="CI976" i="1"/>
  <c r="CJ976" i="1"/>
  <c r="CK976" i="1"/>
  <c r="CL976" i="1"/>
  <c r="CM976" i="1"/>
  <c r="CN976" i="1"/>
  <c r="CO976" i="1"/>
  <c r="CP976" i="1"/>
  <c r="CQ976" i="1"/>
  <c r="CR976" i="1"/>
  <c r="BO977" i="1"/>
  <c r="BP977" i="1"/>
  <c r="BQ977" i="1"/>
  <c r="BR977" i="1"/>
  <c r="BS977" i="1"/>
  <c r="BT977" i="1"/>
  <c r="BU977" i="1"/>
  <c r="BV977" i="1"/>
  <c r="BW977" i="1"/>
  <c r="BX977" i="1"/>
  <c r="BY977" i="1"/>
  <c r="BZ977" i="1"/>
  <c r="CA977" i="1"/>
  <c r="CB977" i="1"/>
  <c r="CC977" i="1"/>
  <c r="CD977" i="1"/>
  <c r="CE977" i="1"/>
  <c r="CF977" i="1"/>
  <c r="CG977" i="1"/>
  <c r="CH977" i="1"/>
  <c r="CI977" i="1"/>
  <c r="CJ977" i="1"/>
  <c r="CK977" i="1"/>
  <c r="CL977" i="1"/>
  <c r="CM977" i="1"/>
  <c r="CN977" i="1"/>
  <c r="CO977" i="1"/>
  <c r="CP977" i="1"/>
  <c r="CQ977" i="1"/>
  <c r="CR977" i="1"/>
  <c r="BO978" i="1"/>
  <c r="BP978" i="1"/>
  <c r="BQ978" i="1"/>
  <c r="BR978" i="1"/>
  <c r="BS978" i="1"/>
  <c r="BT978" i="1"/>
  <c r="BU978" i="1"/>
  <c r="BV978" i="1"/>
  <c r="BW978" i="1"/>
  <c r="BX978" i="1"/>
  <c r="BY978" i="1"/>
  <c r="BZ978" i="1"/>
  <c r="CA978" i="1"/>
  <c r="CB978" i="1"/>
  <c r="CC978" i="1"/>
  <c r="CD978" i="1"/>
  <c r="CE978" i="1"/>
  <c r="CF978" i="1"/>
  <c r="CG978" i="1"/>
  <c r="CH978" i="1"/>
  <c r="CI978" i="1"/>
  <c r="CJ978" i="1"/>
  <c r="CK978" i="1"/>
  <c r="CL978" i="1"/>
  <c r="CM978" i="1"/>
  <c r="CN978" i="1"/>
  <c r="CO978" i="1"/>
  <c r="CP978" i="1"/>
  <c r="CQ978" i="1"/>
  <c r="CR978" i="1"/>
  <c r="BO979" i="1"/>
  <c r="BP979" i="1"/>
  <c r="BQ979" i="1"/>
  <c r="BR979" i="1"/>
  <c r="BS979" i="1"/>
  <c r="BT979" i="1"/>
  <c r="BU979" i="1"/>
  <c r="BV979" i="1"/>
  <c r="BW979" i="1"/>
  <c r="BX979" i="1"/>
  <c r="BY979" i="1"/>
  <c r="BZ979" i="1"/>
  <c r="CA979" i="1"/>
  <c r="CB979" i="1"/>
  <c r="CC979" i="1"/>
  <c r="CD979" i="1"/>
  <c r="CE979" i="1"/>
  <c r="CF979" i="1"/>
  <c r="CG979" i="1"/>
  <c r="CH979" i="1"/>
  <c r="CI979" i="1"/>
  <c r="CJ979" i="1"/>
  <c r="CK979" i="1"/>
  <c r="CL979" i="1"/>
  <c r="CM979" i="1"/>
  <c r="CN979" i="1"/>
  <c r="CO979" i="1"/>
  <c r="CP979" i="1"/>
  <c r="CQ979" i="1"/>
  <c r="CR979" i="1"/>
  <c r="BO980" i="1"/>
  <c r="BP980" i="1"/>
  <c r="BQ980" i="1"/>
  <c r="BR980" i="1"/>
  <c r="BS980" i="1"/>
  <c r="BT980" i="1"/>
  <c r="BU980" i="1"/>
  <c r="BV980" i="1"/>
  <c r="BW980" i="1"/>
  <c r="BX980" i="1"/>
  <c r="BY980" i="1"/>
  <c r="BZ980" i="1"/>
  <c r="CA980" i="1"/>
  <c r="CB980" i="1"/>
  <c r="CC980" i="1"/>
  <c r="CD980" i="1"/>
  <c r="CE980" i="1"/>
  <c r="CF980" i="1"/>
  <c r="CG980" i="1"/>
  <c r="CH980" i="1"/>
  <c r="CI980" i="1"/>
  <c r="CJ980" i="1"/>
  <c r="CK980" i="1"/>
  <c r="CL980" i="1"/>
  <c r="CM980" i="1"/>
  <c r="CN980" i="1"/>
  <c r="CO980" i="1"/>
  <c r="CP980" i="1"/>
  <c r="CQ980" i="1"/>
  <c r="CR980" i="1"/>
  <c r="BO981" i="1"/>
  <c r="BP981" i="1"/>
  <c r="BQ981" i="1"/>
  <c r="BR981" i="1"/>
  <c r="BS981" i="1"/>
  <c r="BT981" i="1"/>
  <c r="BU981" i="1"/>
  <c r="BV981" i="1"/>
  <c r="BW981" i="1"/>
  <c r="BX981" i="1"/>
  <c r="BY981" i="1"/>
  <c r="BZ981" i="1"/>
  <c r="CA981" i="1"/>
  <c r="CB981" i="1"/>
  <c r="CC981" i="1"/>
  <c r="CD981" i="1"/>
  <c r="CE981" i="1"/>
  <c r="CF981" i="1"/>
  <c r="CG981" i="1"/>
  <c r="CH981" i="1"/>
  <c r="CI981" i="1"/>
  <c r="CJ981" i="1"/>
  <c r="CK981" i="1"/>
  <c r="CL981" i="1"/>
  <c r="CM981" i="1"/>
  <c r="CN981" i="1"/>
  <c r="CO981" i="1"/>
  <c r="CP981" i="1"/>
  <c r="CQ981" i="1"/>
  <c r="CR981" i="1"/>
  <c r="BO982" i="1"/>
  <c r="BP982" i="1"/>
  <c r="BQ982" i="1"/>
  <c r="BR982" i="1"/>
  <c r="BS982" i="1"/>
  <c r="BT982" i="1"/>
  <c r="BU982" i="1"/>
  <c r="BV982" i="1"/>
  <c r="BW982" i="1"/>
  <c r="BX982" i="1"/>
  <c r="BY982" i="1"/>
  <c r="BZ982" i="1"/>
  <c r="CA982" i="1"/>
  <c r="CB982" i="1"/>
  <c r="CC982" i="1"/>
  <c r="CD982" i="1"/>
  <c r="CE982" i="1"/>
  <c r="CF982" i="1"/>
  <c r="CG982" i="1"/>
  <c r="CH982" i="1"/>
  <c r="CI982" i="1"/>
  <c r="CJ982" i="1"/>
  <c r="CK982" i="1"/>
  <c r="CL982" i="1"/>
  <c r="CM982" i="1"/>
  <c r="CN982" i="1"/>
  <c r="CO982" i="1"/>
  <c r="CP982" i="1"/>
  <c r="CQ982" i="1"/>
  <c r="CR982" i="1"/>
  <c r="BO983" i="1"/>
  <c r="BP983" i="1"/>
  <c r="BQ983" i="1"/>
  <c r="BR983" i="1"/>
  <c r="BS983" i="1"/>
  <c r="BT983" i="1"/>
  <c r="BU983" i="1"/>
  <c r="BV983" i="1"/>
  <c r="BW983" i="1"/>
  <c r="BX983" i="1"/>
  <c r="BY983" i="1"/>
  <c r="BZ983" i="1"/>
  <c r="CA983" i="1"/>
  <c r="CB983" i="1"/>
  <c r="CC983" i="1"/>
  <c r="CD983" i="1"/>
  <c r="CE983" i="1"/>
  <c r="CF983" i="1"/>
  <c r="CG983" i="1"/>
  <c r="CH983" i="1"/>
  <c r="CI983" i="1"/>
  <c r="CJ983" i="1"/>
  <c r="CK983" i="1"/>
  <c r="CL983" i="1"/>
  <c r="CM983" i="1"/>
  <c r="CN983" i="1"/>
  <c r="CO983" i="1"/>
  <c r="CP983" i="1"/>
  <c r="CQ983" i="1"/>
  <c r="CR983" i="1"/>
  <c r="BO984" i="1"/>
  <c r="BP984" i="1"/>
  <c r="BQ984" i="1"/>
  <c r="BR984" i="1"/>
  <c r="BS984" i="1"/>
  <c r="BT984" i="1"/>
  <c r="BU984" i="1"/>
  <c r="BV984" i="1"/>
  <c r="BW984" i="1"/>
  <c r="BX984" i="1"/>
  <c r="BY984" i="1"/>
  <c r="BZ984" i="1"/>
  <c r="CA984" i="1"/>
  <c r="CB984" i="1"/>
  <c r="CC984" i="1"/>
  <c r="CD984" i="1"/>
  <c r="CE984" i="1"/>
  <c r="CF984" i="1"/>
  <c r="CG984" i="1"/>
  <c r="CH984" i="1"/>
  <c r="CI984" i="1"/>
  <c r="CJ984" i="1"/>
  <c r="CK984" i="1"/>
  <c r="CL984" i="1"/>
  <c r="CM984" i="1"/>
  <c r="CN984" i="1"/>
  <c r="CO984" i="1"/>
  <c r="CP984" i="1"/>
  <c r="CQ984" i="1"/>
  <c r="CR984" i="1"/>
  <c r="BO985" i="1"/>
  <c r="BP985" i="1"/>
  <c r="BQ985" i="1"/>
  <c r="BR985" i="1"/>
  <c r="BS985" i="1"/>
  <c r="BT985" i="1"/>
  <c r="BU985" i="1"/>
  <c r="BV985" i="1"/>
  <c r="BW985" i="1"/>
  <c r="BX985" i="1"/>
  <c r="BY985" i="1"/>
  <c r="BZ985" i="1"/>
  <c r="CA985" i="1"/>
  <c r="CB985" i="1"/>
  <c r="CC985" i="1"/>
  <c r="CD985" i="1"/>
  <c r="CE985" i="1"/>
  <c r="CF985" i="1"/>
  <c r="CG985" i="1"/>
  <c r="CH985" i="1"/>
  <c r="CI985" i="1"/>
  <c r="CJ985" i="1"/>
  <c r="CK985" i="1"/>
  <c r="CL985" i="1"/>
  <c r="CM985" i="1"/>
  <c r="CN985" i="1"/>
  <c r="CO985" i="1"/>
  <c r="CP985" i="1"/>
  <c r="CQ985" i="1"/>
  <c r="CR985" i="1"/>
  <c r="BO986" i="1"/>
  <c r="BP986" i="1"/>
  <c r="BQ986" i="1"/>
  <c r="BR986" i="1"/>
  <c r="BS986" i="1"/>
  <c r="BT986" i="1"/>
  <c r="BU986" i="1"/>
  <c r="BV986" i="1"/>
  <c r="BW986" i="1"/>
  <c r="BX986" i="1"/>
  <c r="BY986" i="1"/>
  <c r="BZ986" i="1"/>
  <c r="CA986" i="1"/>
  <c r="CB986" i="1"/>
  <c r="CC986" i="1"/>
  <c r="CD986" i="1"/>
  <c r="CE986" i="1"/>
  <c r="CF986" i="1"/>
  <c r="CG986" i="1"/>
  <c r="CH986" i="1"/>
  <c r="CI986" i="1"/>
  <c r="CJ986" i="1"/>
  <c r="CK986" i="1"/>
  <c r="CL986" i="1"/>
  <c r="CM986" i="1"/>
  <c r="CN986" i="1"/>
  <c r="CO986" i="1"/>
  <c r="CP986" i="1"/>
  <c r="CQ986" i="1"/>
  <c r="CR986" i="1"/>
  <c r="BO987" i="1"/>
  <c r="BP987" i="1"/>
  <c r="BQ987" i="1"/>
  <c r="BR987" i="1"/>
  <c r="BS987" i="1"/>
  <c r="BT987" i="1"/>
  <c r="BU987" i="1"/>
  <c r="BV987" i="1"/>
  <c r="BW987" i="1"/>
  <c r="BX987" i="1"/>
  <c r="BY987" i="1"/>
  <c r="BZ987" i="1"/>
  <c r="CA987" i="1"/>
  <c r="CB987" i="1"/>
  <c r="CC987" i="1"/>
  <c r="CD987" i="1"/>
  <c r="CE987" i="1"/>
  <c r="CF987" i="1"/>
  <c r="CG987" i="1"/>
  <c r="CH987" i="1"/>
  <c r="CI987" i="1"/>
  <c r="CJ987" i="1"/>
  <c r="CK987" i="1"/>
  <c r="CL987" i="1"/>
  <c r="CM987" i="1"/>
  <c r="CN987" i="1"/>
  <c r="CO987" i="1"/>
  <c r="CP987" i="1"/>
  <c r="CQ987" i="1"/>
  <c r="CR987" i="1"/>
  <c r="BO988" i="1"/>
  <c r="BP988" i="1"/>
  <c r="BQ988" i="1"/>
  <c r="BR988" i="1"/>
  <c r="BS988" i="1"/>
  <c r="BT988" i="1"/>
  <c r="BU988" i="1"/>
  <c r="BV988" i="1"/>
  <c r="BW988" i="1"/>
  <c r="BX988" i="1"/>
  <c r="BY988" i="1"/>
  <c r="BZ988" i="1"/>
  <c r="CA988" i="1"/>
  <c r="CB988" i="1"/>
  <c r="CC988" i="1"/>
  <c r="CD988" i="1"/>
  <c r="CE988" i="1"/>
  <c r="CF988" i="1"/>
  <c r="CG988" i="1"/>
  <c r="CH988" i="1"/>
  <c r="CI988" i="1"/>
  <c r="CJ988" i="1"/>
  <c r="CK988" i="1"/>
  <c r="CL988" i="1"/>
  <c r="CM988" i="1"/>
  <c r="CN988" i="1"/>
  <c r="CO988" i="1"/>
  <c r="CP988" i="1"/>
  <c r="CQ988" i="1"/>
  <c r="CR988" i="1"/>
  <c r="BO989" i="1"/>
  <c r="BP989" i="1"/>
  <c r="BQ989" i="1"/>
  <c r="BR989" i="1"/>
  <c r="BS989" i="1"/>
  <c r="BT989" i="1"/>
  <c r="BU989" i="1"/>
  <c r="BV989" i="1"/>
  <c r="BW989" i="1"/>
  <c r="BX989" i="1"/>
  <c r="BY989" i="1"/>
  <c r="BZ989" i="1"/>
  <c r="CA989" i="1"/>
  <c r="CB989" i="1"/>
  <c r="CC989" i="1"/>
  <c r="CD989" i="1"/>
  <c r="CE989" i="1"/>
  <c r="CF989" i="1"/>
  <c r="CG989" i="1"/>
  <c r="CH989" i="1"/>
  <c r="CI989" i="1"/>
  <c r="CJ989" i="1"/>
  <c r="CK989" i="1"/>
  <c r="CL989" i="1"/>
  <c r="CM989" i="1"/>
  <c r="CN989" i="1"/>
  <c r="CO989" i="1"/>
  <c r="CP989" i="1"/>
  <c r="CQ989" i="1"/>
  <c r="CR989" i="1"/>
  <c r="BO990" i="1"/>
  <c r="BP990" i="1"/>
  <c r="BQ990" i="1"/>
  <c r="BR990" i="1"/>
  <c r="BS990" i="1"/>
  <c r="BT990" i="1"/>
  <c r="BU990" i="1"/>
  <c r="BV990" i="1"/>
  <c r="BW990" i="1"/>
  <c r="BX990" i="1"/>
  <c r="BY990" i="1"/>
  <c r="BZ990" i="1"/>
  <c r="CA990" i="1"/>
  <c r="CB990" i="1"/>
  <c r="CC990" i="1"/>
  <c r="CD990" i="1"/>
  <c r="CE990" i="1"/>
  <c r="CF990" i="1"/>
  <c r="CG990" i="1"/>
  <c r="CH990" i="1"/>
  <c r="CI990" i="1"/>
  <c r="CJ990" i="1"/>
  <c r="CK990" i="1"/>
  <c r="CL990" i="1"/>
  <c r="CM990" i="1"/>
  <c r="CN990" i="1"/>
  <c r="CO990" i="1"/>
  <c r="CP990" i="1"/>
  <c r="CQ990" i="1"/>
  <c r="CR990" i="1"/>
  <c r="BO991" i="1"/>
  <c r="BP991" i="1"/>
  <c r="BQ991" i="1"/>
  <c r="BR991" i="1"/>
  <c r="BS991" i="1"/>
  <c r="BT991" i="1"/>
  <c r="BU991" i="1"/>
  <c r="BV991" i="1"/>
  <c r="BW991" i="1"/>
  <c r="BX991" i="1"/>
  <c r="BY991" i="1"/>
  <c r="BZ991" i="1"/>
  <c r="CA991" i="1"/>
  <c r="CB991" i="1"/>
  <c r="CC991" i="1"/>
  <c r="CD991" i="1"/>
  <c r="CE991" i="1"/>
  <c r="CF991" i="1"/>
  <c r="CG991" i="1"/>
  <c r="CH991" i="1"/>
  <c r="CI991" i="1"/>
  <c r="CJ991" i="1"/>
  <c r="CK991" i="1"/>
  <c r="CL991" i="1"/>
  <c r="CM991" i="1"/>
  <c r="CN991" i="1"/>
  <c r="CO991" i="1"/>
  <c r="CP991" i="1"/>
  <c r="CQ991" i="1"/>
  <c r="CR991" i="1"/>
  <c r="BO992" i="1"/>
  <c r="BP992" i="1"/>
  <c r="BQ992" i="1"/>
  <c r="BR992" i="1"/>
  <c r="BS992" i="1"/>
  <c r="BT992" i="1"/>
  <c r="BU992" i="1"/>
  <c r="BV992" i="1"/>
  <c r="BW992" i="1"/>
  <c r="BX992" i="1"/>
  <c r="BY992" i="1"/>
  <c r="BZ992" i="1"/>
  <c r="CA992" i="1"/>
  <c r="CB992" i="1"/>
  <c r="CC992" i="1"/>
  <c r="CD992" i="1"/>
  <c r="CE992" i="1"/>
  <c r="CF992" i="1"/>
  <c r="CG992" i="1"/>
  <c r="CH992" i="1"/>
  <c r="CI992" i="1"/>
  <c r="CJ992" i="1"/>
  <c r="CK992" i="1"/>
  <c r="CL992" i="1"/>
  <c r="CM992" i="1"/>
  <c r="CN992" i="1"/>
  <c r="CO992" i="1"/>
  <c r="CP992" i="1"/>
  <c r="CQ992" i="1"/>
  <c r="CR992" i="1"/>
  <c r="BO993" i="1"/>
  <c r="BP993" i="1"/>
  <c r="BQ993" i="1"/>
  <c r="BR993" i="1"/>
  <c r="BS993" i="1"/>
  <c r="BT993" i="1"/>
  <c r="BU993" i="1"/>
  <c r="BV993" i="1"/>
  <c r="BW993" i="1"/>
  <c r="BX993" i="1"/>
  <c r="BY993" i="1"/>
  <c r="BZ993" i="1"/>
  <c r="CA993" i="1"/>
  <c r="CB993" i="1"/>
  <c r="CC993" i="1"/>
  <c r="CD993" i="1"/>
  <c r="CE993" i="1"/>
  <c r="CF993" i="1"/>
  <c r="CG993" i="1"/>
  <c r="CH993" i="1"/>
  <c r="CI993" i="1"/>
  <c r="CJ993" i="1"/>
  <c r="CK993" i="1"/>
  <c r="CL993" i="1"/>
  <c r="CM993" i="1"/>
  <c r="CN993" i="1"/>
  <c r="CO993" i="1"/>
  <c r="CP993" i="1"/>
  <c r="CQ993" i="1"/>
  <c r="CR993" i="1"/>
  <c r="BO994" i="1"/>
  <c r="BP994" i="1"/>
  <c r="BQ994" i="1"/>
  <c r="BR994" i="1"/>
  <c r="BS994" i="1"/>
  <c r="BT994" i="1"/>
  <c r="BU994" i="1"/>
  <c r="BV994" i="1"/>
  <c r="BW994" i="1"/>
  <c r="BX994" i="1"/>
  <c r="BY994" i="1"/>
  <c r="BZ994" i="1"/>
  <c r="CA994" i="1"/>
  <c r="CB994" i="1"/>
  <c r="CC994" i="1"/>
  <c r="CD994" i="1"/>
  <c r="CE994" i="1"/>
  <c r="CF994" i="1"/>
  <c r="CG994" i="1"/>
  <c r="CH994" i="1"/>
  <c r="CI994" i="1"/>
  <c r="CJ994" i="1"/>
  <c r="CK994" i="1"/>
  <c r="CL994" i="1"/>
  <c r="CM994" i="1"/>
  <c r="CN994" i="1"/>
  <c r="CO994" i="1"/>
  <c r="CP994" i="1"/>
  <c r="CQ994" i="1"/>
  <c r="CR994" i="1"/>
  <c r="BO995" i="1"/>
  <c r="BP995" i="1"/>
  <c r="BQ995" i="1"/>
  <c r="BR995" i="1"/>
  <c r="BS995" i="1"/>
  <c r="BT995" i="1"/>
  <c r="BU995" i="1"/>
  <c r="BV995" i="1"/>
  <c r="BW995" i="1"/>
  <c r="BX995" i="1"/>
  <c r="BY995" i="1"/>
  <c r="BZ995" i="1"/>
  <c r="CA995" i="1"/>
  <c r="CB995" i="1"/>
  <c r="CC995" i="1"/>
  <c r="CD995" i="1"/>
  <c r="CE995" i="1"/>
  <c r="CF995" i="1"/>
  <c r="CG995" i="1"/>
  <c r="CH995" i="1"/>
  <c r="CI995" i="1"/>
  <c r="CJ995" i="1"/>
  <c r="CK995" i="1"/>
  <c r="CL995" i="1"/>
  <c r="CM995" i="1"/>
  <c r="CN995" i="1"/>
  <c r="CO995" i="1"/>
  <c r="CP995" i="1"/>
  <c r="CQ995" i="1"/>
  <c r="CR995" i="1"/>
  <c r="BO996" i="1"/>
  <c r="BP996" i="1"/>
  <c r="BQ996" i="1"/>
  <c r="BR996" i="1"/>
  <c r="BS996" i="1"/>
  <c r="BT996" i="1"/>
  <c r="BU996" i="1"/>
  <c r="BV996" i="1"/>
  <c r="BW996" i="1"/>
  <c r="BX996" i="1"/>
  <c r="BY996" i="1"/>
  <c r="BZ996" i="1"/>
  <c r="CA996" i="1"/>
  <c r="CB996" i="1"/>
  <c r="CC996" i="1"/>
  <c r="CD996" i="1"/>
  <c r="CE996" i="1"/>
  <c r="CF996" i="1"/>
  <c r="CG996" i="1"/>
  <c r="CH996" i="1"/>
  <c r="CI996" i="1"/>
  <c r="CJ996" i="1"/>
  <c r="CK996" i="1"/>
  <c r="CL996" i="1"/>
  <c r="CM996" i="1"/>
  <c r="CN996" i="1"/>
  <c r="CO996" i="1"/>
  <c r="CP996" i="1"/>
  <c r="CQ996" i="1"/>
  <c r="CR996" i="1"/>
  <c r="BO997" i="1"/>
  <c r="BP997" i="1"/>
  <c r="BQ997" i="1"/>
  <c r="BR997" i="1"/>
  <c r="BS997" i="1"/>
  <c r="BT997" i="1"/>
  <c r="BU997" i="1"/>
  <c r="BV997" i="1"/>
  <c r="BW997" i="1"/>
  <c r="BX997" i="1"/>
  <c r="BY997" i="1"/>
  <c r="BZ997" i="1"/>
  <c r="CA997" i="1"/>
  <c r="CB997" i="1"/>
  <c r="CC997" i="1"/>
  <c r="CD997" i="1"/>
  <c r="CE997" i="1"/>
  <c r="CF997" i="1"/>
  <c r="CG997" i="1"/>
  <c r="CH997" i="1"/>
  <c r="CI997" i="1"/>
  <c r="CJ997" i="1"/>
  <c r="CK997" i="1"/>
  <c r="CL997" i="1"/>
  <c r="CM997" i="1"/>
  <c r="CN997" i="1"/>
  <c r="CO997" i="1"/>
  <c r="CP997" i="1"/>
  <c r="CQ997" i="1"/>
  <c r="CR997" i="1"/>
  <c r="BO998" i="1"/>
  <c r="BP998" i="1"/>
  <c r="BQ998" i="1"/>
  <c r="BR998" i="1"/>
  <c r="BS998" i="1"/>
  <c r="BT998" i="1"/>
  <c r="BU998" i="1"/>
  <c r="BV998" i="1"/>
  <c r="BW998" i="1"/>
  <c r="BX998" i="1"/>
  <c r="BY998" i="1"/>
  <c r="BZ998" i="1"/>
  <c r="CA998" i="1"/>
  <c r="CB998" i="1"/>
  <c r="CC998" i="1"/>
  <c r="CD998" i="1"/>
  <c r="CE998" i="1"/>
  <c r="CF998" i="1"/>
  <c r="CG998" i="1"/>
  <c r="CH998" i="1"/>
  <c r="CI998" i="1"/>
  <c r="CJ998" i="1"/>
  <c r="CK998" i="1"/>
  <c r="CL998" i="1"/>
  <c r="CM998" i="1"/>
  <c r="CN998" i="1"/>
  <c r="CO998" i="1"/>
  <c r="CP998" i="1"/>
  <c r="CQ998" i="1"/>
  <c r="CR998" i="1"/>
  <c r="BO999" i="1"/>
  <c r="BP999" i="1"/>
  <c r="BQ999" i="1"/>
  <c r="BR999" i="1"/>
  <c r="BS999" i="1"/>
  <c r="BT999" i="1"/>
  <c r="BU999" i="1"/>
  <c r="BV999" i="1"/>
  <c r="BW999" i="1"/>
  <c r="BX999" i="1"/>
  <c r="BY999" i="1"/>
  <c r="BZ999" i="1"/>
  <c r="CA999" i="1"/>
  <c r="CB999" i="1"/>
  <c r="CC999" i="1"/>
  <c r="CD999" i="1"/>
  <c r="CE999" i="1"/>
  <c r="CF999" i="1"/>
  <c r="CG999" i="1"/>
  <c r="CH999" i="1"/>
  <c r="CI999" i="1"/>
  <c r="CJ999" i="1"/>
  <c r="CK999" i="1"/>
  <c r="CL999" i="1"/>
  <c r="CM999" i="1"/>
  <c r="CN999" i="1"/>
  <c r="CO999" i="1"/>
  <c r="CP999" i="1"/>
  <c r="CQ999" i="1"/>
  <c r="CR999" i="1"/>
  <c r="BO1000" i="1"/>
  <c r="BP1000" i="1"/>
  <c r="BQ1000" i="1"/>
  <c r="BR1000" i="1"/>
  <c r="BS1000" i="1"/>
  <c r="BT1000" i="1"/>
  <c r="BU1000" i="1"/>
  <c r="BV1000" i="1"/>
  <c r="BW1000" i="1"/>
  <c r="BX1000" i="1"/>
  <c r="BY1000" i="1"/>
  <c r="BZ1000" i="1"/>
  <c r="CA1000" i="1"/>
  <c r="CB1000" i="1"/>
  <c r="CC1000" i="1"/>
  <c r="CD1000" i="1"/>
  <c r="CE1000" i="1"/>
  <c r="CF1000" i="1"/>
  <c r="CG1000" i="1"/>
  <c r="CH1000" i="1"/>
  <c r="CI1000" i="1"/>
  <c r="CJ1000" i="1"/>
  <c r="CK1000" i="1"/>
  <c r="CL1000" i="1"/>
  <c r="CM1000" i="1"/>
  <c r="CN1000" i="1"/>
  <c r="CO1000" i="1"/>
  <c r="CP1000" i="1"/>
  <c r="CQ1000" i="1"/>
  <c r="CR1000" i="1"/>
  <c r="BO1001" i="1"/>
  <c r="BP1001" i="1"/>
  <c r="BQ1001" i="1"/>
  <c r="BR1001" i="1"/>
  <c r="BS1001" i="1"/>
  <c r="BT1001" i="1"/>
  <c r="BU1001" i="1"/>
  <c r="BV1001" i="1"/>
  <c r="BW1001" i="1"/>
  <c r="BX1001" i="1"/>
  <c r="BY1001" i="1"/>
  <c r="BZ1001" i="1"/>
  <c r="CA1001" i="1"/>
  <c r="CB1001" i="1"/>
  <c r="CC1001" i="1"/>
  <c r="CD1001" i="1"/>
  <c r="CE1001" i="1"/>
  <c r="CF1001" i="1"/>
  <c r="CG1001" i="1"/>
  <c r="CH1001" i="1"/>
  <c r="CI1001" i="1"/>
  <c r="CJ1001" i="1"/>
  <c r="CK1001" i="1"/>
  <c r="CL1001" i="1"/>
  <c r="CM1001" i="1"/>
  <c r="CN1001" i="1"/>
  <c r="CO1001" i="1"/>
  <c r="CP1001" i="1"/>
  <c r="CQ1001" i="1"/>
  <c r="CR1001" i="1"/>
  <c r="BO1002" i="1"/>
  <c r="BP1002" i="1"/>
  <c r="BQ1002" i="1"/>
  <c r="BR1002" i="1"/>
  <c r="BS1002" i="1"/>
  <c r="BT1002" i="1"/>
  <c r="BU1002" i="1"/>
  <c r="BV1002" i="1"/>
  <c r="BW1002" i="1"/>
  <c r="BX1002" i="1"/>
  <c r="BY1002" i="1"/>
  <c r="BZ1002" i="1"/>
  <c r="CA1002" i="1"/>
  <c r="CB1002" i="1"/>
  <c r="CC1002" i="1"/>
  <c r="CD1002" i="1"/>
  <c r="CE1002" i="1"/>
  <c r="CF1002" i="1"/>
  <c r="CG1002" i="1"/>
  <c r="CH1002" i="1"/>
  <c r="CI1002" i="1"/>
  <c r="CJ1002" i="1"/>
  <c r="CK1002" i="1"/>
  <c r="CL1002" i="1"/>
  <c r="CM1002" i="1"/>
  <c r="CN1002" i="1"/>
  <c r="CO1002" i="1"/>
  <c r="CP1002" i="1"/>
  <c r="CQ1002" i="1"/>
  <c r="CR1002" i="1"/>
  <c r="BO1003" i="1"/>
  <c r="BP1003" i="1"/>
  <c r="BQ1003" i="1"/>
  <c r="BR1003" i="1"/>
  <c r="BS1003" i="1"/>
  <c r="BT1003" i="1"/>
  <c r="BU1003" i="1"/>
  <c r="BV1003" i="1"/>
  <c r="BW1003" i="1"/>
  <c r="BX1003" i="1"/>
  <c r="BY1003" i="1"/>
  <c r="BZ1003" i="1"/>
  <c r="CA1003" i="1"/>
  <c r="CB1003" i="1"/>
  <c r="CC1003" i="1"/>
  <c r="CD1003" i="1"/>
  <c r="CE1003" i="1"/>
  <c r="CF1003" i="1"/>
  <c r="CG1003" i="1"/>
  <c r="CH1003" i="1"/>
  <c r="CI1003" i="1"/>
  <c r="CJ1003" i="1"/>
  <c r="CK1003" i="1"/>
  <c r="CL1003" i="1"/>
  <c r="CM1003" i="1"/>
  <c r="CN1003" i="1"/>
  <c r="CO1003" i="1"/>
  <c r="CP1003" i="1"/>
  <c r="CQ1003" i="1"/>
  <c r="CR1003" i="1"/>
  <c r="BO1004" i="1"/>
  <c r="BP1004" i="1"/>
  <c r="BQ1004" i="1"/>
  <c r="BR1004" i="1"/>
  <c r="BS1004" i="1"/>
  <c r="BT1004" i="1"/>
  <c r="BU1004" i="1"/>
  <c r="BV1004" i="1"/>
  <c r="BW1004" i="1"/>
  <c r="BX1004" i="1"/>
  <c r="BY1004" i="1"/>
  <c r="BZ1004" i="1"/>
  <c r="CA1004" i="1"/>
  <c r="CB1004" i="1"/>
  <c r="CC1004" i="1"/>
  <c r="CD1004" i="1"/>
  <c r="CE1004" i="1"/>
  <c r="CF1004" i="1"/>
  <c r="CG1004" i="1"/>
  <c r="CH1004" i="1"/>
  <c r="CI1004" i="1"/>
  <c r="CJ1004" i="1"/>
  <c r="CK1004" i="1"/>
  <c r="CL1004" i="1"/>
  <c r="CM1004" i="1"/>
  <c r="CN1004" i="1"/>
  <c r="CO1004" i="1"/>
  <c r="CP1004" i="1"/>
  <c r="CQ1004" i="1"/>
  <c r="CR1004" i="1"/>
  <c r="BO1005" i="1"/>
  <c r="BP1005" i="1"/>
  <c r="BQ1005" i="1"/>
  <c r="BR1005" i="1"/>
  <c r="BS1005" i="1"/>
  <c r="BT1005" i="1"/>
  <c r="BU1005" i="1"/>
  <c r="BV1005" i="1"/>
  <c r="BW1005" i="1"/>
  <c r="BX1005" i="1"/>
  <c r="BY1005" i="1"/>
  <c r="BZ1005" i="1"/>
  <c r="CA1005" i="1"/>
  <c r="CB1005" i="1"/>
  <c r="CC1005" i="1"/>
  <c r="CD1005" i="1"/>
  <c r="CE1005" i="1"/>
  <c r="CF1005" i="1"/>
  <c r="CG1005" i="1"/>
  <c r="CH1005" i="1"/>
  <c r="CI1005" i="1"/>
  <c r="CJ1005" i="1"/>
  <c r="CK1005" i="1"/>
  <c r="CL1005" i="1"/>
  <c r="CM1005" i="1"/>
  <c r="CN1005" i="1"/>
  <c r="CO1005" i="1"/>
  <c r="CP1005" i="1"/>
  <c r="CQ1005" i="1"/>
  <c r="CR1005" i="1"/>
  <c r="BO1006" i="1"/>
  <c r="BP1006" i="1"/>
  <c r="BQ1006" i="1"/>
  <c r="BR1006" i="1"/>
  <c r="BS1006" i="1"/>
  <c r="BT1006" i="1"/>
  <c r="BU1006" i="1"/>
  <c r="BV1006" i="1"/>
  <c r="BW1006" i="1"/>
  <c r="BX1006" i="1"/>
  <c r="BY1006" i="1"/>
  <c r="BZ1006" i="1"/>
  <c r="CA1006" i="1"/>
  <c r="CB1006" i="1"/>
  <c r="CC1006" i="1"/>
  <c r="CD1006" i="1"/>
  <c r="CE1006" i="1"/>
  <c r="CF1006" i="1"/>
  <c r="CG1006" i="1"/>
  <c r="CH1006" i="1"/>
  <c r="CI1006" i="1"/>
  <c r="CJ1006" i="1"/>
  <c r="CK1006" i="1"/>
  <c r="CL1006" i="1"/>
  <c r="CM1006" i="1"/>
  <c r="CN1006" i="1"/>
  <c r="CO1006" i="1"/>
  <c r="CP1006" i="1"/>
  <c r="CQ1006" i="1"/>
  <c r="CR1006" i="1"/>
  <c r="BO1007" i="1"/>
  <c r="BP1007" i="1"/>
  <c r="BQ1007" i="1"/>
  <c r="BR1007" i="1"/>
  <c r="BS1007" i="1"/>
  <c r="BT1007" i="1"/>
  <c r="BU1007" i="1"/>
  <c r="BV1007" i="1"/>
  <c r="BW1007" i="1"/>
  <c r="BX1007" i="1"/>
  <c r="BY1007" i="1"/>
  <c r="BZ1007" i="1"/>
  <c r="CA1007" i="1"/>
  <c r="CB1007" i="1"/>
  <c r="CC1007" i="1"/>
  <c r="CD1007" i="1"/>
  <c r="CE1007" i="1"/>
  <c r="CF1007" i="1"/>
  <c r="CG1007" i="1"/>
  <c r="CH1007" i="1"/>
  <c r="CI1007" i="1"/>
  <c r="CJ1007" i="1"/>
  <c r="CK1007" i="1"/>
  <c r="CL1007" i="1"/>
  <c r="CM1007" i="1"/>
  <c r="CN1007" i="1"/>
  <c r="CO1007" i="1"/>
  <c r="CP1007" i="1"/>
  <c r="CQ1007" i="1"/>
  <c r="CR1007" i="1"/>
  <c r="BO1008" i="1"/>
  <c r="BP1008" i="1"/>
  <c r="BQ1008" i="1"/>
  <c r="BR1008" i="1"/>
  <c r="BS1008" i="1"/>
  <c r="BT1008" i="1"/>
  <c r="BU1008" i="1"/>
  <c r="BV1008" i="1"/>
  <c r="BW1008" i="1"/>
  <c r="BX1008" i="1"/>
  <c r="BY1008" i="1"/>
  <c r="BZ1008" i="1"/>
  <c r="CA1008" i="1"/>
  <c r="CB1008" i="1"/>
  <c r="CC1008" i="1"/>
  <c r="CD1008" i="1"/>
  <c r="CE1008" i="1"/>
  <c r="CF1008" i="1"/>
  <c r="CG1008" i="1"/>
  <c r="CH1008" i="1"/>
  <c r="CI1008" i="1"/>
  <c r="CJ1008" i="1"/>
  <c r="CK1008" i="1"/>
  <c r="CL1008" i="1"/>
  <c r="CM1008" i="1"/>
  <c r="CN1008" i="1"/>
  <c r="CO1008" i="1"/>
  <c r="CP1008" i="1"/>
  <c r="CQ1008" i="1"/>
  <c r="CR1008" i="1"/>
  <c r="BO1009" i="1"/>
  <c r="BP1009" i="1"/>
  <c r="BQ1009" i="1"/>
  <c r="BR1009" i="1"/>
  <c r="BS1009" i="1"/>
  <c r="BT1009" i="1"/>
  <c r="BU1009" i="1"/>
  <c r="BV1009" i="1"/>
  <c r="BW1009" i="1"/>
  <c r="BX1009" i="1"/>
  <c r="BY1009" i="1"/>
  <c r="BZ1009" i="1"/>
  <c r="CA1009" i="1"/>
  <c r="CB1009" i="1"/>
  <c r="CC1009" i="1"/>
  <c r="CD1009" i="1"/>
  <c r="CE1009" i="1"/>
  <c r="CF1009" i="1"/>
  <c r="CG1009" i="1"/>
  <c r="CH1009" i="1"/>
  <c r="CI1009" i="1"/>
  <c r="CJ1009" i="1"/>
  <c r="CK1009" i="1"/>
  <c r="CL1009" i="1"/>
  <c r="CM1009" i="1"/>
  <c r="CN1009" i="1"/>
  <c r="CO1009" i="1"/>
  <c r="CP1009" i="1"/>
  <c r="CQ1009" i="1"/>
  <c r="CR1009" i="1"/>
  <c r="BO1010" i="1"/>
  <c r="BP1010" i="1"/>
  <c r="BQ1010" i="1"/>
  <c r="BR1010" i="1"/>
  <c r="BS1010" i="1"/>
  <c r="BT1010" i="1"/>
  <c r="BU1010" i="1"/>
  <c r="BV1010" i="1"/>
  <c r="BW1010" i="1"/>
  <c r="BX1010" i="1"/>
  <c r="BY1010" i="1"/>
  <c r="BZ1010" i="1"/>
  <c r="CA1010" i="1"/>
  <c r="CB1010" i="1"/>
  <c r="CC1010" i="1"/>
  <c r="CD1010" i="1"/>
  <c r="CE1010" i="1"/>
  <c r="CF1010" i="1"/>
  <c r="CG1010" i="1"/>
  <c r="CH1010" i="1"/>
  <c r="CI1010" i="1"/>
  <c r="CJ1010" i="1"/>
  <c r="CK1010" i="1"/>
  <c r="CL1010" i="1"/>
  <c r="CM1010" i="1"/>
  <c r="CN1010" i="1"/>
  <c r="CO1010" i="1"/>
  <c r="CP1010" i="1"/>
  <c r="CQ1010" i="1"/>
  <c r="CR1010" i="1"/>
  <c r="BO1011" i="1"/>
  <c r="BP1011" i="1"/>
  <c r="BQ1011" i="1"/>
  <c r="BR1011" i="1"/>
  <c r="BS1011" i="1"/>
  <c r="BT1011" i="1"/>
  <c r="BU1011" i="1"/>
  <c r="BV1011" i="1"/>
  <c r="BW1011" i="1"/>
  <c r="BX1011" i="1"/>
  <c r="BY1011" i="1"/>
  <c r="BZ1011" i="1"/>
  <c r="CA1011" i="1"/>
  <c r="CB1011" i="1"/>
  <c r="CC1011" i="1"/>
  <c r="CD1011" i="1"/>
  <c r="CE1011" i="1"/>
  <c r="CF1011" i="1"/>
  <c r="CG1011" i="1"/>
  <c r="CH1011" i="1"/>
  <c r="CI1011" i="1"/>
  <c r="CJ1011" i="1"/>
  <c r="CK1011" i="1"/>
  <c r="CL1011" i="1"/>
  <c r="CM1011" i="1"/>
  <c r="CN1011" i="1"/>
  <c r="CO1011" i="1"/>
  <c r="CP1011" i="1"/>
  <c r="CQ1011" i="1"/>
  <c r="CR1011" i="1"/>
  <c r="BO1012" i="1"/>
  <c r="BP1012" i="1"/>
  <c r="BQ1012" i="1"/>
  <c r="BR1012" i="1"/>
  <c r="BS1012" i="1"/>
  <c r="BT1012" i="1"/>
  <c r="BU1012" i="1"/>
  <c r="BV1012" i="1"/>
  <c r="BW1012" i="1"/>
  <c r="BX1012" i="1"/>
  <c r="BY1012" i="1"/>
  <c r="BZ1012" i="1"/>
  <c r="CA1012" i="1"/>
  <c r="CB1012" i="1"/>
  <c r="CC1012" i="1"/>
  <c r="CD1012" i="1"/>
  <c r="CE1012" i="1"/>
  <c r="CF1012" i="1"/>
  <c r="CG1012" i="1"/>
  <c r="CH1012" i="1"/>
  <c r="CI1012" i="1"/>
  <c r="CJ1012" i="1"/>
  <c r="CK1012" i="1"/>
  <c r="CL1012" i="1"/>
  <c r="CM1012" i="1"/>
  <c r="CN1012" i="1"/>
  <c r="CO1012" i="1"/>
  <c r="CP1012" i="1"/>
  <c r="CQ1012" i="1"/>
  <c r="CR1012" i="1"/>
  <c r="BO1013" i="1"/>
  <c r="BP1013" i="1"/>
  <c r="BQ1013" i="1"/>
  <c r="BR1013" i="1"/>
  <c r="BS1013" i="1"/>
  <c r="BT1013" i="1"/>
  <c r="BU1013" i="1"/>
  <c r="BV1013" i="1"/>
  <c r="BW1013" i="1"/>
  <c r="BX1013" i="1"/>
  <c r="BY1013" i="1"/>
  <c r="BZ1013" i="1"/>
  <c r="CA1013" i="1"/>
  <c r="CB1013" i="1"/>
  <c r="CC1013" i="1"/>
  <c r="CD1013" i="1"/>
  <c r="CE1013" i="1"/>
  <c r="CF1013" i="1"/>
  <c r="CG1013" i="1"/>
  <c r="CH1013" i="1"/>
  <c r="CI1013" i="1"/>
  <c r="CJ1013" i="1"/>
  <c r="CK1013" i="1"/>
  <c r="CL1013" i="1"/>
  <c r="CM1013" i="1"/>
  <c r="CN1013" i="1"/>
  <c r="CO1013" i="1"/>
  <c r="CP1013" i="1"/>
  <c r="CQ1013" i="1"/>
  <c r="CR1013" i="1"/>
  <c r="BN514" i="1" l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8" i="1"/>
  <c r="BN529" i="1"/>
  <c r="BN530" i="1"/>
  <c r="BN531" i="1"/>
  <c r="BN532" i="1"/>
  <c r="BN533" i="1"/>
  <c r="BN534" i="1"/>
  <c r="BN535" i="1"/>
  <c r="BN536" i="1"/>
  <c r="BN537" i="1"/>
  <c r="BN538" i="1"/>
  <c r="BN539" i="1"/>
  <c r="BN540" i="1"/>
  <c r="BN541" i="1"/>
  <c r="BN542" i="1"/>
  <c r="BN543" i="1"/>
  <c r="BN544" i="1"/>
  <c r="BN545" i="1"/>
  <c r="BN546" i="1"/>
  <c r="BN547" i="1"/>
  <c r="BN548" i="1"/>
  <c r="BN549" i="1"/>
  <c r="BN550" i="1"/>
  <c r="BN551" i="1"/>
  <c r="BN552" i="1"/>
  <c r="BN553" i="1"/>
  <c r="BN554" i="1"/>
  <c r="BN555" i="1"/>
  <c r="BN556" i="1"/>
  <c r="BN557" i="1"/>
  <c r="BN558" i="1"/>
  <c r="BN559" i="1"/>
  <c r="BN560" i="1"/>
  <c r="BN561" i="1"/>
  <c r="BN562" i="1"/>
  <c r="BN563" i="1"/>
  <c r="BN564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92" i="1"/>
  <c r="BN593" i="1"/>
  <c r="BN594" i="1"/>
  <c r="BN595" i="1"/>
  <c r="BN596" i="1"/>
  <c r="BN597" i="1"/>
  <c r="BN598" i="1"/>
  <c r="BN599" i="1"/>
  <c r="BN600" i="1"/>
  <c r="BN601" i="1"/>
  <c r="BN602" i="1"/>
  <c r="BN603" i="1"/>
  <c r="BN604" i="1"/>
  <c r="BN605" i="1"/>
  <c r="BN606" i="1"/>
  <c r="BN607" i="1"/>
  <c r="BN608" i="1"/>
  <c r="BN609" i="1"/>
  <c r="BN610" i="1"/>
  <c r="BN611" i="1"/>
  <c r="BN612" i="1"/>
  <c r="BN613" i="1"/>
  <c r="BN614" i="1"/>
  <c r="BN615" i="1"/>
  <c r="BN616" i="1"/>
  <c r="BN617" i="1"/>
  <c r="BN618" i="1"/>
  <c r="BN619" i="1"/>
  <c r="BN620" i="1"/>
  <c r="BN621" i="1"/>
  <c r="BN622" i="1"/>
  <c r="BN623" i="1"/>
  <c r="BN624" i="1"/>
  <c r="BN625" i="1"/>
  <c r="BN626" i="1"/>
  <c r="BN627" i="1"/>
  <c r="BN628" i="1"/>
  <c r="BN629" i="1"/>
  <c r="BN630" i="1"/>
  <c r="BN631" i="1"/>
  <c r="BN632" i="1"/>
  <c r="BN633" i="1"/>
  <c r="BN634" i="1"/>
  <c r="BN635" i="1"/>
  <c r="BN636" i="1"/>
  <c r="BN637" i="1"/>
  <c r="BN638" i="1"/>
  <c r="BN639" i="1"/>
  <c r="BN640" i="1"/>
  <c r="BN641" i="1"/>
  <c r="BN642" i="1"/>
  <c r="BN643" i="1"/>
  <c r="BN644" i="1"/>
  <c r="BN645" i="1"/>
  <c r="BN646" i="1"/>
  <c r="BN647" i="1"/>
  <c r="BN648" i="1"/>
  <c r="BN649" i="1"/>
  <c r="BN650" i="1"/>
  <c r="BN651" i="1"/>
  <c r="BN652" i="1"/>
  <c r="BN653" i="1"/>
  <c r="BN654" i="1"/>
  <c r="BN655" i="1"/>
  <c r="BN656" i="1"/>
  <c r="BN657" i="1"/>
  <c r="BN658" i="1"/>
  <c r="BN659" i="1"/>
  <c r="BN660" i="1"/>
  <c r="BN661" i="1"/>
  <c r="BN662" i="1"/>
  <c r="BN663" i="1"/>
  <c r="BN664" i="1"/>
  <c r="BN665" i="1"/>
  <c r="BN666" i="1"/>
  <c r="BN667" i="1"/>
  <c r="BN668" i="1"/>
  <c r="BN669" i="1"/>
  <c r="BN670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709" i="1"/>
  <c r="BN710" i="1"/>
  <c r="BN711" i="1"/>
  <c r="BN712" i="1"/>
  <c r="BN713" i="1"/>
  <c r="BN714" i="1"/>
  <c r="BN715" i="1"/>
  <c r="BN716" i="1"/>
  <c r="BN717" i="1"/>
  <c r="BN718" i="1"/>
  <c r="BN719" i="1"/>
  <c r="BN720" i="1"/>
  <c r="BN721" i="1"/>
  <c r="BN722" i="1"/>
  <c r="BN723" i="1"/>
  <c r="BN724" i="1"/>
  <c r="BN725" i="1"/>
  <c r="BN726" i="1"/>
  <c r="BN727" i="1"/>
  <c r="BN728" i="1"/>
  <c r="BN729" i="1"/>
  <c r="BN730" i="1"/>
  <c r="BN731" i="1"/>
  <c r="BN732" i="1"/>
  <c r="BN733" i="1"/>
  <c r="BN734" i="1"/>
  <c r="BN735" i="1"/>
  <c r="BN736" i="1"/>
  <c r="BN737" i="1"/>
  <c r="BN738" i="1"/>
  <c r="BN739" i="1"/>
  <c r="BN740" i="1"/>
  <c r="BN741" i="1"/>
  <c r="BN742" i="1"/>
  <c r="BN743" i="1"/>
  <c r="BN744" i="1"/>
  <c r="BN745" i="1"/>
  <c r="BN746" i="1"/>
  <c r="BN747" i="1"/>
  <c r="BN748" i="1"/>
  <c r="BN749" i="1"/>
  <c r="BN750" i="1"/>
  <c r="BN751" i="1"/>
  <c r="BN752" i="1"/>
  <c r="BN753" i="1"/>
  <c r="BN754" i="1"/>
  <c r="BN755" i="1"/>
  <c r="BN756" i="1"/>
  <c r="BN757" i="1"/>
  <c r="BN758" i="1"/>
  <c r="BN759" i="1"/>
  <c r="BN760" i="1"/>
  <c r="BN761" i="1"/>
  <c r="BN762" i="1"/>
  <c r="BN763" i="1"/>
  <c r="BN764" i="1"/>
  <c r="BN765" i="1"/>
  <c r="BN766" i="1"/>
  <c r="BN767" i="1"/>
  <c r="BN768" i="1"/>
  <c r="BN769" i="1"/>
  <c r="BN770" i="1"/>
  <c r="BN771" i="1"/>
  <c r="BN772" i="1"/>
  <c r="BN773" i="1"/>
  <c r="BN774" i="1"/>
  <c r="BN775" i="1"/>
  <c r="BN776" i="1"/>
  <c r="BN777" i="1"/>
  <c r="BN778" i="1"/>
  <c r="BN779" i="1"/>
  <c r="BN780" i="1"/>
  <c r="BN781" i="1"/>
  <c r="BN782" i="1"/>
  <c r="BN783" i="1"/>
  <c r="BN784" i="1"/>
  <c r="BN785" i="1"/>
  <c r="BN786" i="1"/>
  <c r="BN787" i="1"/>
  <c r="BN788" i="1"/>
  <c r="BN789" i="1"/>
  <c r="BN790" i="1"/>
  <c r="BN791" i="1"/>
  <c r="BN792" i="1"/>
  <c r="BN793" i="1"/>
  <c r="BN794" i="1"/>
  <c r="BN795" i="1"/>
  <c r="BN796" i="1"/>
  <c r="BN797" i="1"/>
  <c r="BN798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848" i="1"/>
  <c r="BN849" i="1"/>
  <c r="BN850" i="1"/>
  <c r="BN851" i="1"/>
  <c r="BN852" i="1"/>
  <c r="BN853" i="1"/>
  <c r="BN854" i="1"/>
  <c r="BN855" i="1"/>
  <c r="BN856" i="1"/>
  <c r="BN857" i="1"/>
  <c r="BN858" i="1"/>
  <c r="BN859" i="1"/>
  <c r="BN860" i="1"/>
  <c r="BN861" i="1"/>
  <c r="BN862" i="1"/>
  <c r="BN863" i="1"/>
  <c r="BN864" i="1"/>
  <c r="BN865" i="1"/>
  <c r="BN866" i="1"/>
  <c r="BN867" i="1"/>
  <c r="BN868" i="1"/>
  <c r="BN869" i="1"/>
  <c r="BN870" i="1"/>
  <c r="BN871" i="1"/>
  <c r="BN872" i="1"/>
  <c r="BN873" i="1"/>
  <c r="BN874" i="1"/>
  <c r="BN875" i="1"/>
  <c r="BN876" i="1"/>
  <c r="BN877" i="1"/>
  <c r="BN878" i="1"/>
  <c r="BN879" i="1"/>
  <c r="BN880" i="1"/>
  <c r="BN881" i="1"/>
  <c r="BN882" i="1"/>
  <c r="BN883" i="1"/>
  <c r="BN884" i="1"/>
  <c r="BN885" i="1"/>
  <c r="BN886" i="1"/>
  <c r="BN887" i="1"/>
  <c r="BN888" i="1"/>
  <c r="BN889" i="1"/>
  <c r="BN890" i="1"/>
  <c r="BN891" i="1"/>
  <c r="BN892" i="1"/>
  <c r="BN893" i="1"/>
  <c r="BN894" i="1"/>
  <c r="BN895" i="1"/>
  <c r="BN896" i="1"/>
  <c r="BN897" i="1"/>
  <c r="BN898" i="1"/>
  <c r="BN899" i="1"/>
  <c r="BN900" i="1"/>
  <c r="BN901" i="1"/>
  <c r="BN902" i="1"/>
  <c r="BN903" i="1"/>
  <c r="BN904" i="1"/>
  <c r="BN905" i="1"/>
  <c r="BN906" i="1"/>
  <c r="BN907" i="1"/>
  <c r="BN908" i="1"/>
  <c r="BN909" i="1"/>
  <c r="BN910" i="1"/>
  <c r="BN911" i="1"/>
  <c r="BN912" i="1"/>
  <c r="BN913" i="1"/>
  <c r="BN914" i="1"/>
  <c r="BN915" i="1"/>
  <c r="BN916" i="1"/>
  <c r="BN917" i="1"/>
  <c r="BN918" i="1"/>
  <c r="BN919" i="1"/>
  <c r="BN920" i="1"/>
  <c r="BN921" i="1"/>
  <c r="BN922" i="1"/>
  <c r="BN923" i="1"/>
  <c r="BN924" i="1"/>
  <c r="BN925" i="1"/>
  <c r="BN926" i="1"/>
  <c r="BN927" i="1"/>
  <c r="BN928" i="1"/>
  <c r="BN929" i="1"/>
  <c r="BN930" i="1"/>
  <c r="BN931" i="1"/>
  <c r="BN932" i="1"/>
  <c r="BN933" i="1"/>
  <c r="BN934" i="1"/>
  <c r="BN935" i="1"/>
  <c r="BN936" i="1"/>
  <c r="BN937" i="1"/>
  <c r="BN938" i="1"/>
  <c r="BN939" i="1"/>
  <c r="BN940" i="1"/>
  <c r="BN941" i="1"/>
  <c r="BN942" i="1"/>
  <c r="BN943" i="1"/>
  <c r="BN944" i="1"/>
  <c r="BN945" i="1"/>
  <c r="BN946" i="1"/>
  <c r="BN947" i="1"/>
  <c r="BN948" i="1"/>
  <c r="BN949" i="1"/>
  <c r="BN950" i="1"/>
  <c r="BN951" i="1"/>
  <c r="BN952" i="1"/>
  <c r="BN953" i="1"/>
  <c r="BN954" i="1"/>
  <c r="BN955" i="1"/>
  <c r="BN956" i="1"/>
  <c r="BN957" i="1"/>
  <c r="BN958" i="1"/>
  <c r="BN959" i="1"/>
  <c r="BN960" i="1"/>
  <c r="BN961" i="1"/>
  <c r="BN962" i="1"/>
  <c r="BN963" i="1"/>
  <c r="BN964" i="1"/>
  <c r="BN965" i="1"/>
  <c r="BN966" i="1"/>
  <c r="BN967" i="1"/>
  <c r="BN968" i="1"/>
  <c r="BN969" i="1"/>
  <c r="BN970" i="1"/>
  <c r="BN971" i="1"/>
  <c r="BN972" i="1"/>
  <c r="BN973" i="1"/>
  <c r="BN974" i="1"/>
  <c r="BN975" i="1"/>
  <c r="BN976" i="1"/>
  <c r="BN977" i="1"/>
  <c r="BN978" i="1"/>
  <c r="BN979" i="1"/>
  <c r="BN980" i="1"/>
  <c r="BN981" i="1"/>
  <c r="BN982" i="1"/>
  <c r="BN983" i="1"/>
  <c r="BN984" i="1"/>
  <c r="BN985" i="1"/>
  <c r="BN986" i="1"/>
  <c r="BN987" i="1"/>
  <c r="BN988" i="1"/>
  <c r="BN989" i="1"/>
  <c r="BN990" i="1"/>
  <c r="BN991" i="1"/>
  <c r="BN992" i="1"/>
  <c r="BN993" i="1"/>
  <c r="BN994" i="1"/>
  <c r="BN995" i="1"/>
  <c r="BN996" i="1"/>
  <c r="BN997" i="1"/>
  <c r="BN998" i="1"/>
  <c r="BN999" i="1"/>
  <c r="BN1000" i="1"/>
  <c r="BN1001" i="1"/>
  <c r="BN1002" i="1"/>
  <c r="BN1003" i="1"/>
  <c r="BN1004" i="1"/>
  <c r="BN1005" i="1"/>
  <c r="BN1006" i="1"/>
  <c r="BN1007" i="1"/>
  <c r="BN1008" i="1"/>
  <c r="BN1009" i="1"/>
  <c r="BN1010" i="1"/>
  <c r="BN1011" i="1"/>
  <c r="BN1012" i="1"/>
  <c r="BN1013" i="1"/>
  <c r="BN513" i="1"/>
  <c r="CR575" i="1"/>
  <c r="CQ575" i="1"/>
  <c r="CP575" i="1"/>
  <c r="CO575" i="1"/>
  <c r="CN575" i="1"/>
  <c r="CM575" i="1"/>
  <c r="CL575" i="1"/>
  <c r="CK575" i="1"/>
  <c r="CJ575" i="1"/>
  <c r="CI575" i="1"/>
  <c r="CH575" i="1"/>
  <c r="CG575" i="1"/>
  <c r="CF575" i="1"/>
  <c r="CE575" i="1"/>
  <c r="CD575" i="1"/>
  <c r="CC575" i="1"/>
  <c r="CB575" i="1"/>
  <c r="CA575" i="1"/>
  <c r="BZ575" i="1"/>
  <c r="BY575" i="1"/>
  <c r="BX575" i="1"/>
  <c r="BW575" i="1"/>
  <c r="CR574" i="1"/>
  <c r="CQ574" i="1"/>
  <c r="CP574" i="1"/>
  <c r="CO574" i="1"/>
  <c r="CN574" i="1"/>
  <c r="CM574" i="1"/>
  <c r="CL574" i="1"/>
  <c r="CK574" i="1"/>
  <c r="CJ574" i="1"/>
  <c r="CI574" i="1"/>
  <c r="CH574" i="1"/>
  <c r="CG574" i="1"/>
  <c r="CF574" i="1"/>
  <c r="CE574" i="1"/>
  <c r="CD574" i="1"/>
  <c r="CC574" i="1"/>
  <c r="CB574" i="1"/>
  <c r="CA574" i="1"/>
  <c r="BZ574" i="1"/>
  <c r="BY574" i="1"/>
  <c r="BX574" i="1"/>
  <c r="BW574" i="1"/>
  <c r="CR573" i="1"/>
  <c r="CQ573" i="1"/>
  <c r="CP573" i="1"/>
  <c r="CO573" i="1"/>
  <c r="CN573" i="1"/>
  <c r="CM573" i="1"/>
  <c r="CL573" i="1"/>
  <c r="CK573" i="1"/>
  <c r="CJ573" i="1"/>
  <c r="CI573" i="1"/>
  <c r="CH573" i="1"/>
  <c r="CG573" i="1"/>
  <c r="CF573" i="1"/>
  <c r="CE573" i="1"/>
  <c r="CD573" i="1"/>
  <c r="CC573" i="1"/>
  <c r="CB573" i="1"/>
  <c r="CA573" i="1"/>
  <c r="BZ573" i="1"/>
  <c r="BY573" i="1"/>
  <c r="BX573" i="1"/>
  <c r="BW573" i="1"/>
  <c r="CR572" i="1"/>
  <c r="CQ572" i="1"/>
  <c r="CP572" i="1"/>
  <c r="CO572" i="1"/>
  <c r="CN572" i="1"/>
  <c r="CM572" i="1"/>
  <c r="CL572" i="1"/>
  <c r="CK572" i="1"/>
  <c r="CJ572" i="1"/>
  <c r="CI572" i="1"/>
  <c r="CH572" i="1"/>
  <c r="CG572" i="1"/>
  <c r="CF572" i="1"/>
  <c r="CE572" i="1"/>
  <c r="CD572" i="1"/>
  <c r="CC572" i="1"/>
  <c r="CB572" i="1"/>
  <c r="CA572" i="1"/>
  <c r="BZ572" i="1"/>
  <c r="BY572" i="1"/>
  <c r="BX572" i="1"/>
  <c r="BW572" i="1"/>
  <c r="CR571" i="1"/>
  <c r="CQ571" i="1"/>
  <c r="CP571" i="1"/>
  <c r="CO571" i="1"/>
  <c r="CN571" i="1"/>
  <c r="CM571" i="1"/>
  <c r="CL571" i="1"/>
  <c r="CK571" i="1"/>
  <c r="CJ571" i="1"/>
  <c r="CI571" i="1"/>
  <c r="CH571" i="1"/>
  <c r="CG571" i="1"/>
  <c r="CF571" i="1"/>
  <c r="CE571" i="1"/>
  <c r="CD571" i="1"/>
  <c r="CC571" i="1"/>
  <c r="CB571" i="1"/>
  <c r="CA571" i="1"/>
  <c r="BZ571" i="1"/>
  <c r="BY571" i="1"/>
  <c r="BX571" i="1"/>
  <c r="BW571" i="1"/>
  <c r="CR570" i="1"/>
  <c r="CQ570" i="1"/>
  <c r="CP570" i="1"/>
  <c r="CO570" i="1"/>
  <c r="CN570" i="1"/>
  <c r="CM570" i="1"/>
  <c r="CL570" i="1"/>
  <c r="CK570" i="1"/>
  <c r="CJ570" i="1"/>
  <c r="CI570" i="1"/>
  <c r="CH570" i="1"/>
  <c r="CG570" i="1"/>
  <c r="CF570" i="1"/>
  <c r="CE570" i="1"/>
  <c r="CD570" i="1"/>
  <c r="CC570" i="1"/>
  <c r="CB570" i="1"/>
  <c r="CA570" i="1"/>
  <c r="BZ570" i="1"/>
  <c r="BY570" i="1"/>
  <c r="BX570" i="1"/>
  <c r="BW570" i="1"/>
  <c r="CR569" i="1"/>
  <c r="CQ569" i="1"/>
  <c r="CP569" i="1"/>
  <c r="CO569" i="1"/>
  <c r="CN569" i="1"/>
  <c r="CM569" i="1"/>
  <c r="CL569" i="1"/>
  <c r="CK569" i="1"/>
  <c r="CJ569" i="1"/>
  <c r="CI569" i="1"/>
  <c r="CH569" i="1"/>
  <c r="CG569" i="1"/>
  <c r="CF569" i="1"/>
  <c r="CE569" i="1"/>
  <c r="CD569" i="1"/>
  <c r="CC569" i="1"/>
  <c r="CB569" i="1"/>
  <c r="CA569" i="1"/>
  <c r="BZ569" i="1"/>
  <c r="BY569" i="1"/>
  <c r="BX569" i="1"/>
  <c r="BW569" i="1"/>
  <c r="CR568" i="1"/>
  <c r="CQ568" i="1"/>
  <c r="CP568" i="1"/>
  <c r="CO568" i="1"/>
  <c r="CN568" i="1"/>
  <c r="CM568" i="1"/>
  <c r="CL568" i="1"/>
  <c r="CK568" i="1"/>
  <c r="CJ568" i="1"/>
  <c r="CI568" i="1"/>
  <c r="CH568" i="1"/>
  <c r="CG568" i="1"/>
  <c r="CF568" i="1"/>
  <c r="CE568" i="1"/>
  <c r="CD568" i="1"/>
  <c r="CC568" i="1"/>
  <c r="CB568" i="1"/>
  <c r="CA568" i="1"/>
  <c r="BZ568" i="1"/>
  <c r="BY568" i="1"/>
  <c r="BX568" i="1"/>
  <c r="BW568" i="1"/>
  <c r="CR567" i="1"/>
  <c r="CQ567" i="1"/>
  <c r="CP567" i="1"/>
  <c r="CO567" i="1"/>
  <c r="CN567" i="1"/>
  <c r="CM567" i="1"/>
  <c r="CL567" i="1"/>
  <c r="CK567" i="1"/>
  <c r="CJ567" i="1"/>
  <c r="CI567" i="1"/>
  <c r="CH567" i="1"/>
  <c r="CG567" i="1"/>
  <c r="CF567" i="1"/>
  <c r="CE567" i="1"/>
  <c r="CD567" i="1"/>
  <c r="CC567" i="1"/>
  <c r="CB567" i="1"/>
  <c r="CA567" i="1"/>
  <c r="BZ567" i="1"/>
  <c r="BY567" i="1"/>
  <c r="BX567" i="1"/>
  <c r="BW567" i="1"/>
  <c r="CR566" i="1"/>
  <c r="CQ566" i="1"/>
  <c r="CP566" i="1"/>
  <c r="CO566" i="1"/>
  <c r="CN566" i="1"/>
  <c r="CM566" i="1"/>
  <c r="CL566" i="1"/>
  <c r="CK566" i="1"/>
  <c r="CJ566" i="1"/>
  <c r="CI566" i="1"/>
  <c r="CH566" i="1"/>
  <c r="CG566" i="1"/>
  <c r="CF566" i="1"/>
  <c r="CE566" i="1"/>
  <c r="CD566" i="1"/>
  <c r="CC566" i="1"/>
  <c r="CB566" i="1"/>
  <c r="CA566" i="1"/>
  <c r="BZ566" i="1"/>
  <c r="BY566" i="1"/>
  <c r="BX566" i="1"/>
  <c r="BW566" i="1"/>
  <c r="CR565" i="1"/>
  <c r="CQ565" i="1"/>
  <c r="CP565" i="1"/>
  <c r="CO565" i="1"/>
  <c r="CN565" i="1"/>
  <c r="CM565" i="1"/>
  <c r="CL565" i="1"/>
  <c r="CK565" i="1"/>
  <c r="CJ565" i="1"/>
  <c r="CI565" i="1"/>
  <c r="CH565" i="1"/>
  <c r="CG565" i="1"/>
  <c r="CF565" i="1"/>
  <c r="CE565" i="1"/>
  <c r="CD565" i="1"/>
  <c r="CC565" i="1"/>
  <c r="CB565" i="1"/>
  <c r="CA565" i="1"/>
  <c r="BZ565" i="1"/>
  <c r="BY565" i="1"/>
  <c r="BX565" i="1"/>
  <c r="BW565" i="1"/>
  <c r="CR564" i="1"/>
  <c r="CQ564" i="1"/>
  <c r="CP564" i="1"/>
  <c r="CO564" i="1"/>
  <c r="CN564" i="1"/>
  <c r="CM564" i="1"/>
  <c r="CL564" i="1"/>
  <c r="CK564" i="1"/>
  <c r="CJ564" i="1"/>
  <c r="CI564" i="1"/>
  <c r="CH564" i="1"/>
  <c r="CG564" i="1"/>
  <c r="CF564" i="1"/>
  <c r="CE564" i="1"/>
  <c r="CD564" i="1"/>
  <c r="CC564" i="1"/>
  <c r="CB564" i="1"/>
  <c r="CA564" i="1"/>
  <c r="BZ564" i="1"/>
  <c r="BY564" i="1"/>
  <c r="BX564" i="1"/>
  <c r="BW564" i="1"/>
  <c r="CR563" i="1"/>
  <c r="CQ563" i="1"/>
  <c r="CP563" i="1"/>
  <c r="CO563" i="1"/>
  <c r="CN563" i="1"/>
  <c r="CM563" i="1"/>
  <c r="CL563" i="1"/>
  <c r="CK563" i="1"/>
  <c r="CJ563" i="1"/>
  <c r="CI563" i="1"/>
  <c r="CH563" i="1"/>
  <c r="CG563" i="1"/>
  <c r="CF563" i="1"/>
  <c r="CE563" i="1"/>
  <c r="CD563" i="1"/>
  <c r="CC563" i="1"/>
  <c r="CB563" i="1"/>
  <c r="CA563" i="1"/>
  <c r="BZ563" i="1"/>
  <c r="BY563" i="1"/>
  <c r="BX563" i="1"/>
  <c r="BW563" i="1"/>
  <c r="CR562" i="1"/>
  <c r="CQ562" i="1"/>
  <c r="CP562" i="1"/>
  <c r="CO562" i="1"/>
  <c r="CN562" i="1"/>
  <c r="CM562" i="1"/>
  <c r="CL562" i="1"/>
  <c r="CK562" i="1"/>
  <c r="CJ562" i="1"/>
  <c r="CI562" i="1"/>
  <c r="CH562" i="1"/>
  <c r="CG562" i="1"/>
  <c r="CF562" i="1"/>
  <c r="CE562" i="1"/>
  <c r="CD562" i="1"/>
  <c r="CC562" i="1"/>
  <c r="CB562" i="1"/>
  <c r="CA562" i="1"/>
  <c r="BZ562" i="1"/>
  <c r="BY562" i="1"/>
  <c r="BX562" i="1"/>
  <c r="BW562" i="1"/>
  <c r="CR561" i="1"/>
  <c r="CQ561" i="1"/>
  <c r="CP561" i="1"/>
  <c r="CO561" i="1"/>
  <c r="CN561" i="1"/>
  <c r="CM561" i="1"/>
  <c r="CL561" i="1"/>
  <c r="CK561" i="1"/>
  <c r="CJ561" i="1"/>
  <c r="CI561" i="1"/>
  <c r="CH561" i="1"/>
  <c r="CG561" i="1"/>
  <c r="CF561" i="1"/>
  <c r="CE561" i="1"/>
  <c r="CD561" i="1"/>
  <c r="CC561" i="1"/>
  <c r="CB561" i="1"/>
  <c r="CA561" i="1"/>
  <c r="BZ561" i="1"/>
  <c r="BY561" i="1"/>
  <c r="BX561" i="1"/>
  <c r="BW561" i="1"/>
  <c r="CR560" i="1"/>
  <c r="CQ560" i="1"/>
  <c r="CP560" i="1"/>
  <c r="CO560" i="1"/>
  <c r="CN560" i="1"/>
  <c r="CM560" i="1"/>
  <c r="CL560" i="1"/>
  <c r="CK560" i="1"/>
  <c r="CJ560" i="1"/>
  <c r="CI560" i="1"/>
  <c r="CH560" i="1"/>
  <c r="CG560" i="1"/>
  <c r="CF560" i="1"/>
  <c r="CE560" i="1"/>
  <c r="CD560" i="1"/>
  <c r="CC560" i="1"/>
  <c r="CB560" i="1"/>
  <c r="CA560" i="1"/>
  <c r="BZ560" i="1"/>
  <c r="BY560" i="1"/>
  <c r="BX560" i="1"/>
  <c r="BW560" i="1"/>
  <c r="CR559" i="1"/>
  <c r="CQ559" i="1"/>
  <c r="CP559" i="1"/>
  <c r="CO559" i="1"/>
  <c r="CN559" i="1"/>
  <c r="CM559" i="1"/>
  <c r="CL559" i="1"/>
  <c r="CK559" i="1"/>
  <c r="CJ559" i="1"/>
  <c r="CI559" i="1"/>
  <c r="CH559" i="1"/>
  <c r="CG559" i="1"/>
  <c r="CF559" i="1"/>
  <c r="CE559" i="1"/>
  <c r="CD559" i="1"/>
  <c r="CC559" i="1"/>
  <c r="CB559" i="1"/>
  <c r="CA559" i="1"/>
  <c r="BZ559" i="1"/>
  <c r="BY559" i="1"/>
  <c r="BX559" i="1"/>
  <c r="BW559" i="1"/>
  <c r="CR558" i="1"/>
  <c r="CQ558" i="1"/>
  <c r="CP558" i="1"/>
  <c r="CO558" i="1"/>
  <c r="CN558" i="1"/>
  <c r="CM558" i="1"/>
  <c r="CL558" i="1"/>
  <c r="CK558" i="1"/>
  <c r="CJ558" i="1"/>
  <c r="CI558" i="1"/>
  <c r="CH558" i="1"/>
  <c r="CG558" i="1"/>
  <c r="CF558" i="1"/>
  <c r="CE558" i="1"/>
  <c r="CD558" i="1"/>
  <c r="CC558" i="1"/>
  <c r="CB558" i="1"/>
  <c r="CA558" i="1"/>
  <c r="BZ558" i="1"/>
  <c r="BY558" i="1"/>
  <c r="BX558" i="1"/>
  <c r="BW558" i="1"/>
  <c r="CR557" i="1"/>
  <c r="CQ557" i="1"/>
  <c r="CP557" i="1"/>
  <c r="CO557" i="1"/>
  <c r="CN557" i="1"/>
  <c r="CM557" i="1"/>
  <c r="CL557" i="1"/>
  <c r="CK557" i="1"/>
  <c r="CJ557" i="1"/>
  <c r="CI557" i="1"/>
  <c r="CH557" i="1"/>
  <c r="CG557" i="1"/>
  <c r="CF557" i="1"/>
  <c r="CE557" i="1"/>
  <c r="CD557" i="1"/>
  <c r="CC557" i="1"/>
  <c r="CB557" i="1"/>
  <c r="CA557" i="1"/>
  <c r="BZ557" i="1"/>
  <c r="BY557" i="1"/>
  <c r="BX557" i="1"/>
  <c r="BW557" i="1"/>
  <c r="CR556" i="1"/>
  <c r="CQ556" i="1"/>
  <c r="CP556" i="1"/>
  <c r="CO556" i="1"/>
  <c r="CN556" i="1"/>
  <c r="CM556" i="1"/>
  <c r="CL556" i="1"/>
  <c r="CK556" i="1"/>
  <c r="CJ556" i="1"/>
  <c r="CI556" i="1"/>
  <c r="CH556" i="1"/>
  <c r="CG556" i="1"/>
  <c r="CF556" i="1"/>
  <c r="CE556" i="1"/>
  <c r="CD556" i="1"/>
  <c r="CC556" i="1"/>
  <c r="CB556" i="1"/>
  <c r="CA556" i="1"/>
  <c r="BZ556" i="1"/>
  <c r="BY556" i="1"/>
  <c r="BX556" i="1"/>
  <c r="BW556" i="1"/>
  <c r="CR555" i="1"/>
  <c r="CQ555" i="1"/>
  <c r="CP555" i="1"/>
  <c r="CO555" i="1"/>
  <c r="CN555" i="1"/>
  <c r="CM555" i="1"/>
  <c r="CL555" i="1"/>
  <c r="CK555" i="1"/>
  <c r="CJ555" i="1"/>
  <c r="CI555" i="1"/>
  <c r="CH555" i="1"/>
  <c r="CG555" i="1"/>
  <c r="CF555" i="1"/>
  <c r="CE555" i="1"/>
  <c r="CD555" i="1"/>
  <c r="CC555" i="1"/>
  <c r="CB555" i="1"/>
  <c r="CA555" i="1"/>
  <c r="BZ555" i="1"/>
  <c r="BY555" i="1"/>
  <c r="BX555" i="1"/>
  <c r="BW555" i="1"/>
  <c r="CR554" i="1"/>
  <c r="CQ554" i="1"/>
  <c r="CP554" i="1"/>
  <c r="CO554" i="1"/>
  <c r="CN554" i="1"/>
  <c r="CM554" i="1"/>
  <c r="CL554" i="1"/>
  <c r="CK554" i="1"/>
  <c r="CJ554" i="1"/>
  <c r="CI554" i="1"/>
  <c r="CH554" i="1"/>
  <c r="CG554" i="1"/>
  <c r="CF554" i="1"/>
  <c r="CE554" i="1"/>
  <c r="CD554" i="1"/>
  <c r="CC554" i="1"/>
  <c r="CB554" i="1"/>
  <c r="CA554" i="1"/>
  <c r="BZ554" i="1"/>
  <c r="BY554" i="1"/>
  <c r="BX554" i="1"/>
  <c r="BW554" i="1"/>
  <c r="CR553" i="1"/>
  <c r="CQ553" i="1"/>
  <c r="CP553" i="1"/>
  <c r="CO553" i="1"/>
  <c r="CN553" i="1"/>
  <c r="CM553" i="1"/>
  <c r="CL553" i="1"/>
  <c r="CK553" i="1"/>
  <c r="CJ553" i="1"/>
  <c r="CI553" i="1"/>
  <c r="CH553" i="1"/>
  <c r="CG553" i="1"/>
  <c r="CF553" i="1"/>
  <c r="CE553" i="1"/>
  <c r="CD553" i="1"/>
  <c r="CC553" i="1"/>
  <c r="CB553" i="1"/>
  <c r="CA553" i="1"/>
  <c r="BZ553" i="1"/>
  <c r="BY553" i="1"/>
  <c r="BX553" i="1"/>
  <c r="BW553" i="1"/>
  <c r="CR552" i="1"/>
  <c r="CQ552" i="1"/>
  <c r="CP552" i="1"/>
  <c r="CO552" i="1"/>
  <c r="CN552" i="1"/>
  <c r="CM552" i="1"/>
  <c r="CL552" i="1"/>
  <c r="CK552" i="1"/>
  <c r="CJ552" i="1"/>
  <c r="CI552" i="1"/>
  <c r="CH552" i="1"/>
  <c r="CG552" i="1"/>
  <c r="CF552" i="1"/>
  <c r="CE552" i="1"/>
  <c r="CD552" i="1"/>
  <c r="CC552" i="1"/>
  <c r="CB552" i="1"/>
  <c r="CA552" i="1"/>
  <c r="BZ552" i="1"/>
  <c r="BY552" i="1"/>
  <c r="BX552" i="1"/>
  <c r="BW552" i="1"/>
  <c r="CR551" i="1"/>
  <c r="CQ551" i="1"/>
  <c r="CP551" i="1"/>
  <c r="CO551" i="1"/>
  <c r="CN551" i="1"/>
  <c r="CM551" i="1"/>
  <c r="CL551" i="1"/>
  <c r="CK551" i="1"/>
  <c r="CJ551" i="1"/>
  <c r="CI551" i="1"/>
  <c r="CH551" i="1"/>
  <c r="CG551" i="1"/>
  <c r="CF551" i="1"/>
  <c r="CE551" i="1"/>
  <c r="CD551" i="1"/>
  <c r="CC551" i="1"/>
  <c r="CB551" i="1"/>
  <c r="CA551" i="1"/>
  <c r="BZ551" i="1"/>
  <c r="BY551" i="1"/>
  <c r="BX551" i="1"/>
  <c r="BW551" i="1"/>
  <c r="CR550" i="1"/>
  <c r="CQ550" i="1"/>
  <c r="CP550" i="1"/>
  <c r="CO550" i="1"/>
  <c r="CN550" i="1"/>
  <c r="CM550" i="1"/>
  <c r="CL550" i="1"/>
  <c r="CK550" i="1"/>
  <c r="CJ550" i="1"/>
  <c r="CI550" i="1"/>
  <c r="CH550" i="1"/>
  <c r="CG550" i="1"/>
  <c r="CF550" i="1"/>
  <c r="CE550" i="1"/>
  <c r="CD550" i="1"/>
  <c r="CC550" i="1"/>
  <c r="CB550" i="1"/>
  <c r="CA550" i="1"/>
  <c r="BZ550" i="1"/>
  <c r="BY550" i="1"/>
  <c r="BX550" i="1"/>
  <c r="BW550" i="1"/>
  <c r="CR549" i="1"/>
  <c r="CQ549" i="1"/>
  <c r="CP549" i="1"/>
  <c r="CO549" i="1"/>
  <c r="CN549" i="1"/>
  <c r="CM549" i="1"/>
  <c r="CL549" i="1"/>
  <c r="CK549" i="1"/>
  <c r="CJ549" i="1"/>
  <c r="CI549" i="1"/>
  <c r="CH549" i="1"/>
  <c r="CG549" i="1"/>
  <c r="CF549" i="1"/>
  <c r="CE549" i="1"/>
  <c r="CD549" i="1"/>
  <c r="CC549" i="1"/>
  <c r="CB549" i="1"/>
  <c r="CA549" i="1"/>
  <c r="BZ549" i="1"/>
  <c r="BY549" i="1"/>
  <c r="BX549" i="1"/>
  <c r="BW549" i="1"/>
  <c r="CR548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BW548" i="1"/>
  <c r="CR547" i="1"/>
  <c r="CQ547" i="1"/>
  <c r="CP547" i="1"/>
  <c r="CO547" i="1"/>
  <c r="CN547" i="1"/>
  <c r="CM547" i="1"/>
  <c r="CL547" i="1"/>
  <c r="CK547" i="1"/>
  <c r="CJ547" i="1"/>
  <c r="CI547" i="1"/>
  <c r="CH547" i="1"/>
  <c r="CG547" i="1"/>
  <c r="CF547" i="1"/>
  <c r="CE547" i="1"/>
  <c r="CD547" i="1"/>
  <c r="CC547" i="1"/>
  <c r="CB547" i="1"/>
  <c r="CA547" i="1"/>
  <c r="BZ547" i="1"/>
  <c r="BY547" i="1"/>
  <c r="BX547" i="1"/>
  <c r="BW547" i="1"/>
  <c r="CR546" i="1"/>
  <c r="CQ546" i="1"/>
  <c r="CP546" i="1"/>
  <c r="CO546" i="1"/>
  <c r="CN546" i="1"/>
  <c r="CM546" i="1"/>
  <c r="CL546" i="1"/>
  <c r="CK546" i="1"/>
  <c r="CJ546" i="1"/>
  <c r="CI546" i="1"/>
  <c r="CH546" i="1"/>
  <c r="CG546" i="1"/>
  <c r="CF546" i="1"/>
  <c r="CE546" i="1"/>
  <c r="CD546" i="1"/>
  <c r="CC546" i="1"/>
  <c r="CB546" i="1"/>
  <c r="CA546" i="1"/>
  <c r="BZ546" i="1"/>
  <c r="BY546" i="1"/>
  <c r="BX546" i="1"/>
  <c r="BW546" i="1"/>
  <c r="CR545" i="1"/>
  <c r="CQ545" i="1"/>
  <c r="CP545" i="1"/>
  <c r="CO545" i="1"/>
  <c r="CN545" i="1"/>
  <c r="CM545" i="1"/>
  <c r="CL545" i="1"/>
  <c r="CK545" i="1"/>
  <c r="CJ545" i="1"/>
  <c r="CI545" i="1"/>
  <c r="CH545" i="1"/>
  <c r="CG545" i="1"/>
  <c r="CF545" i="1"/>
  <c r="CE545" i="1"/>
  <c r="CD545" i="1"/>
  <c r="CC545" i="1"/>
  <c r="CB545" i="1"/>
  <c r="CA545" i="1"/>
  <c r="BZ545" i="1"/>
  <c r="BY545" i="1"/>
  <c r="BX545" i="1"/>
  <c r="BW545" i="1"/>
  <c r="CR544" i="1"/>
  <c r="CQ544" i="1"/>
  <c r="CP544" i="1"/>
  <c r="CO544" i="1"/>
  <c r="CN544" i="1"/>
  <c r="CM544" i="1"/>
  <c r="CL544" i="1"/>
  <c r="CK544" i="1"/>
  <c r="CJ544" i="1"/>
  <c r="CI544" i="1"/>
  <c r="CH544" i="1"/>
  <c r="CG544" i="1"/>
  <c r="CF544" i="1"/>
  <c r="CE544" i="1"/>
  <c r="CD544" i="1"/>
  <c r="CC544" i="1"/>
  <c r="CB544" i="1"/>
  <c r="CA544" i="1"/>
  <c r="BZ544" i="1"/>
  <c r="BY544" i="1"/>
  <c r="BX544" i="1"/>
  <c r="BW544" i="1"/>
  <c r="CR543" i="1"/>
  <c r="CQ543" i="1"/>
  <c r="CP543" i="1"/>
  <c r="CO543" i="1"/>
  <c r="CN543" i="1"/>
  <c r="CM543" i="1"/>
  <c r="CL543" i="1"/>
  <c r="CK543" i="1"/>
  <c r="CJ543" i="1"/>
  <c r="CI543" i="1"/>
  <c r="CH543" i="1"/>
  <c r="CG543" i="1"/>
  <c r="CF543" i="1"/>
  <c r="CE543" i="1"/>
  <c r="CD543" i="1"/>
  <c r="CC543" i="1"/>
  <c r="CB543" i="1"/>
  <c r="CA543" i="1"/>
  <c r="BZ543" i="1"/>
  <c r="BY543" i="1"/>
  <c r="BX543" i="1"/>
  <c r="BW543" i="1"/>
  <c r="CR542" i="1"/>
  <c r="CQ542" i="1"/>
  <c r="CP542" i="1"/>
  <c r="CO542" i="1"/>
  <c r="CN542" i="1"/>
  <c r="CM542" i="1"/>
  <c r="CL542" i="1"/>
  <c r="CK542" i="1"/>
  <c r="CJ542" i="1"/>
  <c r="CI542" i="1"/>
  <c r="CH542" i="1"/>
  <c r="CG542" i="1"/>
  <c r="CF542" i="1"/>
  <c r="CE542" i="1"/>
  <c r="CD542" i="1"/>
  <c r="CC542" i="1"/>
  <c r="CB542" i="1"/>
  <c r="CA542" i="1"/>
  <c r="BZ542" i="1"/>
  <c r="BY542" i="1"/>
  <c r="BX542" i="1"/>
  <c r="BW542" i="1"/>
  <c r="CR541" i="1"/>
  <c r="CQ541" i="1"/>
  <c r="CP541" i="1"/>
  <c r="CO541" i="1"/>
  <c r="CN541" i="1"/>
  <c r="CM541" i="1"/>
  <c r="CL541" i="1"/>
  <c r="CK541" i="1"/>
  <c r="CJ541" i="1"/>
  <c r="CI541" i="1"/>
  <c r="CH541" i="1"/>
  <c r="CG541" i="1"/>
  <c r="CF541" i="1"/>
  <c r="CE541" i="1"/>
  <c r="CD541" i="1"/>
  <c r="CC541" i="1"/>
  <c r="CB541" i="1"/>
  <c r="CA541" i="1"/>
  <c r="BZ541" i="1"/>
  <c r="BY541" i="1"/>
  <c r="BX541" i="1"/>
  <c r="BW541" i="1"/>
  <c r="CR540" i="1"/>
  <c r="CQ540" i="1"/>
  <c r="CP540" i="1"/>
  <c r="CO540" i="1"/>
  <c r="CN540" i="1"/>
  <c r="CM540" i="1"/>
  <c r="CL540" i="1"/>
  <c r="CK540" i="1"/>
  <c r="CJ540" i="1"/>
  <c r="CI540" i="1"/>
  <c r="CH540" i="1"/>
  <c r="CG540" i="1"/>
  <c r="CF540" i="1"/>
  <c r="CE540" i="1"/>
  <c r="CD540" i="1"/>
  <c r="CC540" i="1"/>
  <c r="CB540" i="1"/>
  <c r="CA540" i="1"/>
  <c r="BZ540" i="1"/>
  <c r="BY540" i="1"/>
  <c r="BX540" i="1"/>
  <c r="BW540" i="1"/>
  <c r="CR539" i="1"/>
  <c r="CQ539" i="1"/>
  <c r="CP539" i="1"/>
  <c r="CO539" i="1"/>
  <c r="CN539" i="1"/>
  <c r="CM539" i="1"/>
  <c r="CL539" i="1"/>
  <c r="CK539" i="1"/>
  <c r="CJ539" i="1"/>
  <c r="CI539" i="1"/>
  <c r="CH539" i="1"/>
  <c r="CG539" i="1"/>
  <c r="CF539" i="1"/>
  <c r="CE539" i="1"/>
  <c r="CD539" i="1"/>
  <c r="CC539" i="1"/>
  <c r="CB539" i="1"/>
  <c r="CA539" i="1"/>
  <c r="BZ539" i="1"/>
  <c r="BY539" i="1"/>
  <c r="BX539" i="1"/>
  <c r="BW539" i="1"/>
  <c r="CR538" i="1"/>
  <c r="CQ538" i="1"/>
  <c r="CP538" i="1"/>
  <c r="CO538" i="1"/>
  <c r="CN538" i="1"/>
  <c r="CM538" i="1"/>
  <c r="CL538" i="1"/>
  <c r="CK538" i="1"/>
  <c r="CJ538" i="1"/>
  <c r="CI538" i="1"/>
  <c r="CH538" i="1"/>
  <c r="CG538" i="1"/>
  <c r="CF538" i="1"/>
  <c r="CE538" i="1"/>
  <c r="CD538" i="1"/>
  <c r="CC538" i="1"/>
  <c r="CB538" i="1"/>
  <c r="CA538" i="1"/>
  <c r="BZ538" i="1"/>
  <c r="BY538" i="1"/>
  <c r="BX538" i="1"/>
  <c r="BW538" i="1"/>
  <c r="CR537" i="1"/>
  <c r="CQ537" i="1"/>
  <c r="CP537" i="1"/>
  <c r="CO537" i="1"/>
  <c r="CN537" i="1"/>
  <c r="CM537" i="1"/>
  <c r="CL537" i="1"/>
  <c r="CK537" i="1"/>
  <c r="CJ537" i="1"/>
  <c r="CI537" i="1"/>
  <c r="CH537" i="1"/>
  <c r="CG537" i="1"/>
  <c r="CF537" i="1"/>
  <c r="CE537" i="1"/>
  <c r="CD537" i="1"/>
  <c r="CC537" i="1"/>
  <c r="CB537" i="1"/>
  <c r="CA537" i="1"/>
  <c r="BZ537" i="1"/>
  <c r="BY537" i="1"/>
  <c r="BX537" i="1"/>
  <c r="BW537" i="1"/>
  <c r="CR536" i="1"/>
  <c r="CQ536" i="1"/>
  <c r="CP536" i="1"/>
  <c r="CO536" i="1"/>
  <c r="CN536" i="1"/>
  <c r="CM536" i="1"/>
  <c r="CL536" i="1"/>
  <c r="CK536" i="1"/>
  <c r="CJ536" i="1"/>
  <c r="CI536" i="1"/>
  <c r="CH536" i="1"/>
  <c r="CG536" i="1"/>
  <c r="CF536" i="1"/>
  <c r="CE536" i="1"/>
  <c r="CD536" i="1"/>
  <c r="CC536" i="1"/>
  <c r="CB536" i="1"/>
  <c r="CA536" i="1"/>
  <c r="BZ536" i="1"/>
  <c r="BY536" i="1"/>
  <c r="BX536" i="1"/>
  <c r="BW536" i="1"/>
  <c r="CR535" i="1"/>
  <c r="CQ535" i="1"/>
  <c r="CP535" i="1"/>
  <c r="CO535" i="1"/>
  <c r="CN535" i="1"/>
  <c r="CM535" i="1"/>
  <c r="CL535" i="1"/>
  <c r="CK535" i="1"/>
  <c r="CJ535" i="1"/>
  <c r="CI535" i="1"/>
  <c r="CH535" i="1"/>
  <c r="CG535" i="1"/>
  <c r="CF535" i="1"/>
  <c r="CE535" i="1"/>
  <c r="CD535" i="1"/>
  <c r="CC535" i="1"/>
  <c r="CB535" i="1"/>
  <c r="CA535" i="1"/>
  <c r="BZ535" i="1"/>
  <c r="BY535" i="1"/>
  <c r="BX535" i="1"/>
  <c r="BW535" i="1"/>
  <c r="CR534" i="1"/>
  <c r="CQ534" i="1"/>
  <c r="CP534" i="1"/>
  <c r="CO534" i="1"/>
  <c r="CN534" i="1"/>
  <c r="CM534" i="1"/>
  <c r="CL534" i="1"/>
  <c r="CK534" i="1"/>
  <c r="CJ534" i="1"/>
  <c r="CI534" i="1"/>
  <c r="CH534" i="1"/>
  <c r="CG534" i="1"/>
  <c r="CF534" i="1"/>
  <c r="CE534" i="1"/>
  <c r="CD534" i="1"/>
  <c r="CC534" i="1"/>
  <c r="CB534" i="1"/>
  <c r="CA534" i="1"/>
  <c r="BZ534" i="1"/>
  <c r="BY534" i="1"/>
  <c r="BX534" i="1"/>
  <c r="BW534" i="1"/>
  <c r="CR533" i="1"/>
  <c r="CQ533" i="1"/>
  <c r="CP533" i="1"/>
  <c r="CO533" i="1"/>
  <c r="CN533" i="1"/>
  <c r="CM533" i="1"/>
  <c r="CL533" i="1"/>
  <c r="CK533" i="1"/>
  <c r="CJ533" i="1"/>
  <c r="CI533" i="1"/>
  <c r="CH533" i="1"/>
  <c r="CG533" i="1"/>
  <c r="CF533" i="1"/>
  <c r="CE533" i="1"/>
  <c r="CD533" i="1"/>
  <c r="CC533" i="1"/>
  <c r="CB533" i="1"/>
  <c r="CA533" i="1"/>
  <c r="BZ533" i="1"/>
  <c r="BY533" i="1"/>
  <c r="BX533" i="1"/>
  <c r="BW533" i="1"/>
  <c r="CR532" i="1"/>
  <c r="CQ532" i="1"/>
  <c r="CP532" i="1"/>
  <c r="CO532" i="1"/>
  <c r="CN532" i="1"/>
  <c r="CM532" i="1"/>
  <c r="CL532" i="1"/>
  <c r="CK532" i="1"/>
  <c r="CJ532" i="1"/>
  <c r="CI532" i="1"/>
  <c r="CH532" i="1"/>
  <c r="CG532" i="1"/>
  <c r="CF532" i="1"/>
  <c r="CE532" i="1"/>
  <c r="CD532" i="1"/>
  <c r="CC532" i="1"/>
  <c r="CB532" i="1"/>
  <c r="CA532" i="1"/>
  <c r="BZ532" i="1"/>
  <c r="BY532" i="1"/>
  <c r="BX532" i="1"/>
  <c r="BW532" i="1"/>
  <c r="CR531" i="1"/>
  <c r="CQ531" i="1"/>
  <c r="CP531" i="1"/>
  <c r="CO531" i="1"/>
  <c r="CN531" i="1"/>
  <c r="CM531" i="1"/>
  <c r="CL531" i="1"/>
  <c r="CK531" i="1"/>
  <c r="CJ531" i="1"/>
  <c r="CI531" i="1"/>
  <c r="CH531" i="1"/>
  <c r="CG531" i="1"/>
  <c r="CF531" i="1"/>
  <c r="CE531" i="1"/>
  <c r="CD531" i="1"/>
  <c r="CC531" i="1"/>
  <c r="CB531" i="1"/>
  <c r="CA531" i="1"/>
  <c r="BZ531" i="1"/>
  <c r="BY531" i="1"/>
  <c r="BX531" i="1"/>
  <c r="BW531" i="1"/>
  <c r="CR530" i="1"/>
  <c r="CQ530" i="1"/>
  <c r="CP530" i="1"/>
  <c r="CO530" i="1"/>
  <c r="CN530" i="1"/>
  <c r="CM530" i="1"/>
  <c r="CL530" i="1"/>
  <c r="CK530" i="1"/>
  <c r="CJ530" i="1"/>
  <c r="CI530" i="1"/>
  <c r="CH530" i="1"/>
  <c r="CG530" i="1"/>
  <c r="CF530" i="1"/>
  <c r="CE530" i="1"/>
  <c r="CD530" i="1"/>
  <c r="CC530" i="1"/>
  <c r="CB530" i="1"/>
  <c r="CA530" i="1"/>
  <c r="BZ530" i="1"/>
  <c r="BY530" i="1"/>
  <c r="BX530" i="1"/>
  <c r="BW530" i="1"/>
  <c r="CR529" i="1"/>
  <c r="CQ529" i="1"/>
  <c r="CP529" i="1"/>
  <c r="CO529" i="1"/>
  <c r="CN529" i="1"/>
  <c r="CM529" i="1"/>
  <c r="CL529" i="1"/>
  <c r="CK529" i="1"/>
  <c r="CJ529" i="1"/>
  <c r="CI529" i="1"/>
  <c r="CH529" i="1"/>
  <c r="CG529" i="1"/>
  <c r="CF529" i="1"/>
  <c r="CE529" i="1"/>
  <c r="CD529" i="1"/>
  <c r="CC529" i="1"/>
  <c r="CB529" i="1"/>
  <c r="CA529" i="1"/>
  <c r="BZ529" i="1"/>
  <c r="BY529" i="1"/>
  <c r="BX529" i="1"/>
  <c r="BW529" i="1"/>
  <c r="CR528" i="1"/>
  <c r="CQ528" i="1"/>
  <c r="CP528" i="1"/>
  <c r="CO528" i="1"/>
  <c r="CN528" i="1"/>
  <c r="CM528" i="1"/>
  <c r="CL528" i="1"/>
  <c r="CK528" i="1"/>
  <c r="CJ528" i="1"/>
  <c r="CI528" i="1"/>
  <c r="CH528" i="1"/>
  <c r="CG528" i="1"/>
  <c r="CF528" i="1"/>
  <c r="CE528" i="1"/>
  <c r="CD528" i="1"/>
  <c r="CC528" i="1"/>
  <c r="CB528" i="1"/>
  <c r="CA528" i="1"/>
  <c r="BZ528" i="1"/>
  <c r="BY528" i="1"/>
  <c r="BX528" i="1"/>
  <c r="BW528" i="1"/>
  <c r="CR527" i="1"/>
  <c r="CQ527" i="1"/>
  <c r="CP527" i="1"/>
  <c r="CO527" i="1"/>
  <c r="CN527" i="1"/>
  <c r="CM527" i="1"/>
  <c r="CL527" i="1"/>
  <c r="CK527" i="1"/>
  <c r="CJ527" i="1"/>
  <c r="CI527" i="1"/>
  <c r="CH527" i="1"/>
  <c r="CG527" i="1"/>
  <c r="CF527" i="1"/>
  <c r="CE527" i="1"/>
  <c r="CD527" i="1"/>
  <c r="CC527" i="1"/>
  <c r="CB527" i="1"/>
  <c r="CA527" i="1"/>
  <c r="BZ527" i="1"/>
  <c r="BY527" i="1"/>
  <c r="BX527" i="1"/>
  <c r="BW527" i="1"/>
  <c r="CR526" i="1"/>
  <c r="CQ526" i="1"/>
  <c r="CP526" i="1"/>
  <c r="CO526" i="1"/>
  <c r="CN526" i="1"/>
  <c r="CM526" i="1"/>
  <c r="CL526" i="1"/>
  <c r="CK526" i="1"/>
  <c r="CJ526" i="1"/>
  <c r="CI526" i="1"/>
  <c r="CH526" i="1"/>
  <c r="CG526" i="1"/>
  <c r="CF526" i="1"/>
  <c r="CE526" i="1"/>
  <c r="CD526" i="1"/>
  <c r="CC526" i="1"/>
  <c r="CB526" i="1"/>
  <c r="CA526" i="1"/>
  <c r="BZ526" i="1"/>
  <c r="BY526" i="1"/>
  <c r="BX526" i="1"/>
  <c r="BW526" i="1"/>
  <c r="CR525" i="1"/>
  <c r="CQ525" i="1"/>
  <c r="CP525" i="1"/>
  <c r="CO525" i="1"/>
  <c r="CN525" i="1"/>
  <c r="CM525" i="1"/>
  <c r="CL525" i="1"/>
  <c r="CK525" i="1"/>
  <c r="CJ525" i="1"/>
  <c r="CI525" i="1"/>
  <c r="CH525" i="1"/>
  <c r="CG525" i="1"/>
  <c r="CF525" i="1"/>
  <c r="CE525" i="1"/>
  <c r="CD525" i="1"/>
  <c r="CC525" i="1"/>
  <c r="CB525" i="1"/>
  <c r="CA525" i="1"/>
  <c r="BZ525" i="1"/>
  <c r="BY525" i="1"/>
  <c r="BX525" i="1"/>
  <c r="BW525" i="1"/>
  <c r="CR524" i="1"/>
  <c r="CQ524" i="1"/>
  <c r="CP524" i="1"/>
  <c r="CO524" i="1"/>
  <c r="CN524" i="1"/>
  <c r="CM524" i="1"/>
  <c r="CL524" i="1"/>
  <c r="CK524" i="1"/>
  <c r="CJ524" i="1"/>
  <c r="CI524" i="1"/>
  <c r="CH524" i="1"/>
  <c r="CG524" i="1"/>
  <c r="CF524" i="1"/>
  <c r="CE524" i="1"/>
  <c r="CD524" i="1"/>
  <c r="CC524" i="1"/>
  <c r="CB524" i="1"/>
  <c r="CA524" i="1"/>
  <c r="BZ524" i="1"/>
  <c r="BY524" i="1"/>
  <c r="BX524" i="1"/>
  <c r="BW524" i="1"/>
  <c r="CR523" i="1"/>
  <c r="CQ523" i="1"/>
  <c r="CP523" i="1"/>
  <c r="CO523" i="1"/>
  <c r="CN523" i="1"/>
  <c r="CM523" i="1"/>
  <c r="CL523" i="1"/>
  <c r="CK523" i="1"/>
  <c r="CJ523" i="1"/>
  <c r="CI523" i="1"/>
  <c r="CH523" i="1"/>
  <c r="CG523" i="1"/>
  <c r="CF523" i="1"/>
  <c r="CE523" i="1"/>
  <c r="CD523" i="1"/>
  <c r="CC523" i="1"/>
  <c r="CB523" i="1"/>
  <c r="CA523" i="1"/>
  <c r="BZ523" i="1"/>
  <c r="BY523" i="1"/>
  <c r="BX523" i="1"/>
  <c r="BW523" i="1"/>
  <c r="CR522" i="1"/>
  <c r="CQ522" i="1"/>
  <c r="CP522" i="1"/>
  <c r="CO522" i="1"/>
  <c r="CN522" i="1"/>
  <c r="CM522" i="1"/>
  <c r="CL522" i="1"/>
  <c r="CK522" i="1"/>
  <c r="CJ522" i="1"/>
  <c r="CI522" i="1"/>
  <c r="CH522" i="1"/>
  <c r="CG522" i="1"/>
  <c r="CF522" i="1"/>
  <c r="CE522" i="1"/>
  <c r="CD522" i="1"/>
  <c r="CC522" i="1"/>
  <c r="CB522" i="1"/>
  <c r="CA522" i="1"/>
  <c r="BZ522" i="1"/>
  <c r="BY522" i="1"/>
  <c r="BX522" i="1"/>
  <c r="BW522" i="1"/>
  <c r="CR521" i="1"/>
  <c r="CQ521" i="1"/>
  <c r="CP521" i="1"/>
  <c r="CO521" i="1"/>
  <c r="CN521" i="1"/>
  <c r="CM521" i="1"/>
  <c r="CL521" i="1"/>
  <c r="CK521" i="1"/>
  <c r="CJ521" i="1"/>
  <c r="CI521" i="1"/>
  <c r="CH521" i="1"/>
  <c r="CG521" i="1"/>
  <c r="CF521" i="1"/>
  <c r="CE521" i="1"/>
  <c r="CD521" i="1"/>
  <c r="CC521" i="1"/>
  <c r="CB521" i="1"/>
  <c r="CA521" i="1"/>
  <c r="BZ521" i="1"/>
  <c r="BY521" i="1"/>
  <c r="BX521" i="1"/>
  <c r="BW521" i="1"/>
  <c r="CR520" i="1"/>
  <c r="CQ520" i="1"/>
  <c r="CP520" i="1"/>
  <c r="CO520" i="1"/>
  <c r="CN520" i="1"/>
  <c r="CM520" i="1"/>
  <c r="CL520" i="1"/>
  <c r="CK520" i="1"/>
  <c r="CJ520" i="1"/>
  <c r="CI520" i="1"/>
  <c r="CH520" i="1"/>
  <c r="CG520" i="1"/>
  <c r="CF520" i="1"/>
  <c r="CE520" i="1"/>
  <c r="CD520" i="1"/>
  <c r="CC520" i="1"/>
  <c r="CB520" i="1"/>
  <c r="CA520" i="1"/>
  <c r="BZ520" i="1"/>
  <c r="BY520" i="1"/>
  <c r="BX520" i="1"/>
  <c r="BW520" i="1"/>
  <c r="CR519" i="1"/>
  <c r="CQ519" i="1"/>
  <c r="CP519" i="1"/>
  <c r="CO519" i="1"/>
  <c r="CN519" i="1"/>
  <c r="CM519" i="1"/>
  <c r="CL519" i="1"/>
  <c r="CK519" i="1"/>
  <c r="CJ519" i="1"/>
  <c r="CI519" i="1"/>
  <c r="CH519" i="1"/>
  <c r="CG519" i="1"/>
  <c r="CF519" i="1"/>
  <c r="CE519" i="1"/>
  <c r="CD519" i="1"/>
  <c r="CC519" i="1"/>
  <c r="CB519" i="1"/>
  <c r="CA519" i="1"/>
  <c r="BZ519" i="1"/>
  <c r="BY519" i="1"/>
  <c r="BX519" i="1"/>
  <c r="BW519" i="1"/>
  <c r="CR518" i="1"/>
  <c r="CQ518" i="1"/>
  <c r="CP518" i="1"/>
  <c r="CO518" i="1"/>
  <c r="CN518" i="1"/>
  <c r="CM518" i="1"/>
  <c r="CL518" i="1"/>
  <c r="CK518" i="1"/>
  <c r="CJ518" i="1"/>
  <c r="CI518" i="1"/>
  <c r="CH518" i="1"/>
  <c r="CG518" i="1"/>
  <c r="CF518" i="1"/>
  <c r="CE518" i="1"/>
  <c r="CD518" i="1"/>
  <c r="CC518" i="1"/>
  <c r="CB518" i="1"/>
  <c r="CA518" i="1"/>
  <c r="BZ518" i="1"/>
  <c r="BY518" i="1"/>
  <c r="BX518" i="1"/>
  <c r="BW518" i="1"/>
  <c r="CR517" i="1"/>
  <c r="CQ517" i="1"/>
  <c r="CP517" i="1"/>
  <c r="CO517" i="1"/>
  <c r="CN517" i="1"/>
  <c r="CM517" i="1"/>
  <c r="CL517" i="1"/>
  <c r="CK517" i="1"/>
  <c r="CJ517" i="1"/>
  <c r="CI517" i="1"/>
  <c r="CH517" i="1"/>
  <c r="CG517" i="1"/>
  <c r="CF517" i="1"/>
  <c r="CE517" i="1"/>
  <c r="CD517" i="1"/>
  <c r="CC517" i="1"/>
  <c r="CB517" i="1"/>
  <c r="CA517" i="1"/>
  <c r="BZ517" i="1"/>
  <c r="BY517" i="1"/>
  <c r="BX517" i="1"/>
  <c r="BW517" i="1"/>
  <c r="CR516" i="1"/>
  <c r="CQ516" i="1"/>
  <c r="CP516" i="1"/>
  <c r="CO516" i="1"/>
  <c r="CN516" i="1"/>
  <c r="CM516" i="1"/>
  <c r="CL516" i="1"/>
  <c r="CK516" i="1"/>
  <c r="CJ516" i="1"/>
  <c r="CI516" i="1"/>
  <c r="CH516" i="1"/>
  <c r="CG516" i="1"/>
  <c r="CF516" i="1"/>
  <c r="CE516" i="1"/>
  <c r="CD516" i="1"/>
  <c r="CC516" i="1"/>
  <c r="CB516" i="1"/>
  <c r="CA516" i="1"/>
  <c r="BZ516" i="1"/>
  <c r="BY516" i="1"/>
  <c r="BX516" i="1"/>
  <c r="BW516" i="1"/>
  <c r="CR515" i="1"/>
  <c r="CQ515" i="1"/>
  <c r="CP515" i="1"/>
  <c r="CO515" i="1"/>
  <c r="CN515" i="1"/>
  <c r="CM515" i="1"/>
  <c r="CL515" i="1"/>
  <c r="CK515" i="1"/>
  <c r="CJ515" i="1"/>
  <c r="CI515" i="1"/>
  <c r="CH515" i="1"/>
  <c r="CG515" i="1"/>
  <c r="CF515" i="1"/>
  <c r="CE515" i="1"/>
  <c r="CD515" i="1"/>
  <c r="CC515" i="1"/>
  <c r="CB515" i="1"/>
  <c r="CA515" i="1"/>
  <c r="BZ515" i="1"/>
  <c r="BY515" i="1"/>
  <c r="BX515" i="1"/>
  <c r="BW515" i="1"/>
  <c r="CR514" i="1"/>
  <c r="CQ514" i="1"/>
  <c r="CP514" i="1"/>
  <c r="CO514" i="1"/>
  <c r="CN514" i="1"/>
  <c r="CM514" i="1"/>
  <c r="CL514" i="1"/>
  <c r="CK514" i="1"/>
  <c r="CJ514" i="1"/>
  <c r="CI514" i="1"/>
  <c r="CH514" i="1"/>
  <c r="CG514" i="1"/>
  <c r="CF514" i="1"/>
  <c r="CE514" i="1"/>
  <c r="CD514" i="1"/>
  <c r="CC514" i="1"/>
  <c r="CB514" i="1"/>
  <c r="CA514" i="1"/>
  <c r="BZ514" i="1"/>
  <c r="BY514" i="1"/>
  <c r="BX514" i="1"/>
  <c r="BW514" i="1"/>
  <c r="CR513" i="1"/>
  <c r="CQ513" i="1"/>
  <c r="CP513" i="1"/>
  <c r="CO513" i="1"/>
  <c r="CN513" i="1"/>
  <c r="CM513" i="1"/>
  <c r="CL513" i="1"/>
  <c r="CK513" i="1"/>
  <c r="CJ513" i="1"/>
  <c r="CI513" i="1"/>
  <c r="CH513" i="1"/>
  <c r="CG513" i="1"/>
  <c r="CF513" i="1"/>
  <c r="CE513" i="1"/>
  <c r="CD513" i="1"/>
  <c r="CC513" i="1"/>
  <c r="CB513" i="1"/>
  <c r="CA513" i="1"/>
  <c r="BZ513" i="1"/>
  <c r="BY513" i="1"/>
  <c r="BX513" i="1"/>
  <c r="BW513" i="1"/>
  <c r="CR512" i="1"/>
  <c r="CQ512" i="1"/>
  <c r="CP512" i="1"/>
  <c r="CO512" i="1"/>
  <c r="CN512" i="1"/>
  <c r="CM512" i="1"/>
  <c r="CL512" i="1"/>
  <c r="CK512" i="1"/>
  <c r="CJ512" i="1"/>
  <c r="CI512" i="1"/>
  <c r="CH512" i="1"/>
  <c r="CG512" i="1"/>
  <c r="CF512" i="1"/>
  <c r="CE512" i="1"/>
  <c r="CD512" i="1"/>
  <c r="CC512" i="1"/>
  <c r="CB512" i="1"/>
  <c r="CA512" i="1"/>
  <c r="BZ512" i="1"/>
  <c r="BY512" i="1"/>
  <c r="BX512" i="1"/>
  <c r="BW512" i="1"/>
  <c r="BO512" i="1"/>
  <c r="BP512" i="1"/>
  <c r="BQ512" i="1"/>
  <c r="BR512" i="1"/>
  <c r="BS512" i="1"/>
  <c r="BT512" i="1"/>
  <c r="BU512" i="1"/>
  <c r="BO513" i="1"/>
  <c r="BP513" i="1"/>
  <c r="BQ513" i="1"/>
  <c r="BR513" i="1"/>
  <c r="BS513" i="1"/>
  <c r="BT513" i="1"/>
  <c r="BU513" i="1"/>
  <c r="BO514" i="1"/>
  <c r="BP514" i="1"/>
  <c r="BQ514" i="1"/>
  <c r="BR514" i="1"/>
  <c r="BS514" i="1"/>
  <c r="BT514" i="1"/>
  <c r="BU514" i="1"/>
  <c r="BO515" i="1"/>
  <c r="BP515" i="1"/>
  <c r="BQ515" i="1"/>
  <c r="BR515" i="1"/>
  <c r="BS515" i="1"/>
  <c r="BT515" i="1"/>
  <c r="BU515" i="1"/>
  <c r="BO516" i="1"/>
  <c r="BP516" i="1"/>
  <c r="BQ516" i="1"/>
  <c r="BR516" i="1"/>
  <c r="BS516" i="1"/>
  <c r="BT516" i="1"/>
  <c r="BU516" i="1"/>
  <c r="BO517" i="1"/>
  <c r="BP517" i="1"/>
  <c r="BQ517" i="1"/>
  <c r="BR517" i="1"/>
  <c r="BS517" i="1"/>
  <c r="BT517" i="1"/>
  <c r="BU517" i="1"/>
  <c r="BO518" i="1"/>
  <c r="BP518" i="1"/>
  <c r="BQ518" i="1"/>
  <c r="BR518" i="1"/>
  <c r="BS518" i="1"/>
  <c r="BT518" i="1"/>
  <c r="BU518" i="1"/>
  <c r="BO519" i="1"/>
  <c r="BP519" i="1"/>
  <c r="BQ519" i="1"/>
  <c r="BR519" i="1"/>
  <c r="BS519" i="1"/>
  <c r="BT519" i="1"/>
  <c r="BU519" i="1"/>
  <c r="BO520" i="1"/>
  <c r="BP520" i="1"/>
  <c r="BQ520" i="1"/>
  <c r="BR520" i="1"/>
  <c r="BS520" i="1"/>
  <c r="BT520" i="1"/>
  <c r="BU520" i="1"/>
  <c r="BO521" i="1"/>
  <c r="BP521" i="1"/>
  <c r="BQ521" i="1"/>
  <c r="BR521" i="1"/>
  <c r="BS521" i="1"/>
  <c r="BT521" i="1"/>
  <c r="BU521" i="1"/>
  <c r="BO522" i="1"/>
  <c r="BP522" i="1"/>
  <c r="BQ522" i="1"/>
  <c r="BR522" i="1"/>
  <c r="BS522" i="1"/>
  <c r="BT522" i="1"/>
  <c r="BU522" i="1"/>
  <c r="BO523" i="1"/>
  <c r="BP523" i="1"/>
  <c r="BQ523" i="1"/>
  <c r="BR523" i="1"/>
  <c r="BS523" i="1"/>
  <c r="BT523" i="1"/>
  <c r="BU523" i="1"/>
  <c r="BO524" i="1"/>
  <c r="BP524" i="1"/>
  <c r="BQ524" i="1"/>
  <c r="BR524" i="1"/>
  <c r="BS524" i="1"/>
  <c r="BT524" i="1"/>
  <c r="BU524" i="1"/>
  <c r="BO525" i="1"/>
  <c r="BP525" i="1"/>
  <c r="BQ525" i="1"/>
  <c r="BR525" i="1"/>
  <c r="BS525" i="1"/>
  <c r="BT525" i="1"/>
  <c r="BU525" i="1"/>
  <c r="BO526" i="1"/>
  <c r="BP526" i="1"/>
  <c r="BQ526" i="1"/>
  <c r="BR526" i="1"/>
  <c r="BS526" i="1"/>
  <c r="BT526" i="1"/>
  <c r="BU526" i="1"/>
  <c r="BO527" i="1"/>
  <c r="BP527" i="1"/>
  <c r="BQ527" i="1"/>
  <c r="BR527" i="1"/>
  <c r="BS527" i="1"/>
  <c r="BT527" i="1"/>
  <c r="BU527" i="1"/>
  <c r="BO528" i="1"/>
  <c r="BP528" i="1"/>
  <c r="BQ528" i="1"/>
  <c r="BR528" i="1"/>
  <c r="BS528" i="1"/>
  <c r="BT528" i="1"/>
  <c r="BU528" i="1"/>
  <c r="BO529" i="1"/>
  <c r="BP529" i="1"/>
  <c r="BQ529" i="1"/>
  <c r="BR529" i="1"/>
  <c r="BS529" i="1"/>
  <c r="BT529" i="1"/>
  <c r="BU529" i="1"/>
  <c r="BO530" i="1"/>
  <c r="BP530" i="1"/>
  <c r="BQ530" i="1"/>
  <c r="BR530" i="1"/>
  <c r="BS530" i="1"/>
  <c r="BT530" i="1"/>
  <c r="BU530" i="1"/>
  <c r="BO531" i="1"/>
  <c r="BP531" i="1"/>
  <c r="BQ531" i="1"/>
  <c r="BR531" i="1"/>
  <c r="BS531" i="1"/>
  <c r="BT531" i="1"/>
  <c r="BU531" i="1"/>
  <c r="BO532" i="1"/>
  <c r="BP532" i="1"/>
  <c r="BQ532" i="1"/>
  <c r="BR532" i="1"/>
  <c r="BS532" i="1"/>
  <c r="BT532" i="1"/>
  <c r="BU532" i="1"/>
  <c r="BO533" i="1"/>
  <c r="BP533" i="1"/>
  <c r="BQ533" i="1"/>
  <c r="BR533" i="1"/>
  <c r="BS533" i="1"/>
  <c r="BT533" i="1"/>
  <c r="BU533" i="1"/>
  <c r="BO534" i="1"/>
  <c r="BP534" i="1"/>
  <c r="BQ534" i="1"/>
  <c r="BR534" i="1"/>
  <c r="BS534" i="1"/>
  <c r="BT534" i="1"/>
  <c r="BU534" i="1"/>
  <c r="BO535" i="1"/>
  <c r="BP535" i="1"/>
  <c r="BQ535" i="1"/>
  <c r="BR535" i="1"/>
  <c r="BS535" i="1"/>
  <c r="BT535" i="1"/>
  <c r="BU535" i="1"/>
  <c r="BO536" i="1"/>
  <c r="BP536" i="1"/>
  <c r="BQ536" i="1"/>
  <c r="BR536" i="1"/>
  <c r="BS536" i="1"/>
  <c r="BT536" i="1"/>
  <c r="BU536" i="1"/>
  <c r="BO537" i="1"/>
  <c r="BP537" i="1"/>
  <c r="BQ537" i="1"/>
  <c r="BR537" i="1"/>
  <c r="BS537" i="1"/>
  <c r="BT537" i="1"/>
  <c r="BU537" i="1"/>
  <c r="BO538" i="1"/>
  <c r="BP538" i="1"/>
  <c r="BQ538" i="1"/>
  <c r="BR538" i="1"/>
  <c r="BS538" i="1"/>
  <c r="BT538" i="1"/>
  <c r="BU538" i="1"/>
  <c r="BO539" i="1"/>
  <c r="BP539" i="1"/>
  <c r="BQ539" i="1"/>
  <c r="BR539" i="1"/>
  <c r="BS539" i="1"/>
  <c r="BT539" i="1"/>
  <c r="BU539" i="1"/>
  <c r="BO540" i="1"/>
  <c r="BP540" i="1"/>
  <c r="BQ540" i="1"/>
  <c r="BR540" i="1"/>
  <c r="BS540" i="1"/>
  <c r="BT540" i="1"/>
  <c r="BU540" i="1"/>
  <c r="BO541" i="1"/>
  <c r="BP541" i="1"/>
  <c r="BQ541" i="1"/>
  <c r="BR541" i="1"/>
  <c r="BS541" i="1"/>
  <c r="BT541" i="1"/>
  <c r="BU541" i="1"/>
  <c r="BO542" i="1"/>
  <c r="BP542" i="1"/>
  <c r="BQ542" i="1"/>
  <c r="BR542" i="1"/>
  <c r="BS542" i="1"/>
  <c r="BT542" i="1"/>
  <c r="BU542" i="1"/>
  <c r="BO543" i="1"/>
  <c r="BP543" i="1"/>
  <c r="BQ543" i="1"/>
  <c r="BR543" i="1"/>
  <c r="BS543" i="1"/>
  <c r="BT543" i="1"/>
  <c r="BU543" i="1"/>
  <c r="BO544" i="1"/>
  <c r="BP544" i="1"/>
  <c r="BQ544" i="1"/>
  <c r="BR544" i="1"/>
  <c r="BS544" i="1"/>
  <c r="BT544" i="1"/>
  <c r="BU544" i="1"/>
  <c r="BO545" i="1"/>
  <c r="BP545" i="1"/>
  <c r="BQ545" i="1"/>
  <c r="BR545" i="1"/>
  <c r="BS545" i="1"/>
  <c r="BT545" i="1"/>
  <c r="BU545" i="1"/>
  <c r="BO546" i="1"/>
  <c r="BP546" i="1"/>
  <c r="BQ546" i="1"/>
  <c r="BR546" i="1"/>
  <c r="BS546" i="1"/>
  <c r="BT546" i="1"/>
  <c r="BU546" i="1"/>
  <c r="BO547" i="1"/>
  <c r="BP547" i="1"/>
  <c r="BQ547" i="1"/>
  <c r="BR547" i="1"/>
  <c r="BS547" i="1"/>
  <c r="BT547" i="1"/>
  <c r="BU547" i="1"/>
  <c r="BO548" i="1"/>
  <c r="BP548" i="1"/>
  <c r="BQ548" i="1"/>
  <c r="BR548" i="1"/>
  <c r="BS548" i="1"/>
  <c r="BT548" i="1"/>
  <c r="BU548" i="1"/>
  <c r="BO549" i="1"/>
  <c r="BP549" i="1"/>
  <c r="BQ549" i="1"/>
  <c r="BR549" i="1"/>
  <c r="BS549" i="1"/>
  <c r="BT549" i="1"/>
  <c r="BU549" i="1"/>
  <c r="BO550" i="1"/>
  <c r="BP550" i="1"/>
  <c r="BQ550" i="1"/>
  <c r="BR550" i="1"/>
  <c r="BS550" i="1"/>
  <c r="BT550" i="1"/>
  <c r="BU550" i="1"/>
  <c r="BO551" i="1"/>
  <c r="BP551" i="1"/>
  <c r="BQ551" i="1"/>
  <c r="BR551" i="1"/>
  <c r="BS551" i="1"/>
  <c r="BT551" i="1"/>
  <c r="BU551" i="1"/>
  <c r="BO552" i="1"/>
  <c r="BP552" i="1"/>
  <c r="BQ552" i="1"/>
  <c r="BR552" i="1"/>
  <c r="BS552" i="1"/>
  <c r="BT552" i="1"/>
  <c r="BU552" i="1"/>
  <c r="BO553" i="1"/>
  <c r="BP553" i="1"/>
  <c r="BQ553" i="1"/>
  <c r="BR553" i="1"/>
  <c r="BS553" i="1"/>
  <c r="BT553" i="1"/>
  <c r="BU553" i="1"/>
  <c r="BO554" i="1"/>
  <c r="BP554" i="1"/>
  <c r="BQ554" i="1"/>
  <c r="BR554" i="1"/>
  <c r="BS554" i="1"/>
  <c r="BT554" i="1"/>
  <c r="BU554" i="1"/>
  <c r="BO555" i="1"/>
  <c r="BP555" i="1"/>
  <c r="BQ555" i="1"/>
  <c r="BR555" i="1"/>
  <c r="BS555" i="1"/>
  <c r="BT555" i="1"/>
  <c r="BU555" i="1"/>
  <c r="BO556" i="1"/>
  <c r="BP556" i="1"/>
  <c r="BQ556" i="1"/>
  <c r="BR556" i="1"/>
  <c r="BS556" i="1"/>
  <c r="BT556" i="1"/>
  <c r="BU556" i="1"/>
  <c r="BO557" i="1"/>
  <c r="BP557" i="1"/>
  <c r="BQ557" i="1"/>
  <c r="BR557" i="1"/>
  <c r="BS557" i="1"/>
  <c r="BT557" i="1"/>
  <c r="BU557" i="1"/>
  <c r="BO558" i="1"/>
  <c r="BP558" i="1"/>
  <c r="BQ558" i="1"/>
  <c r="BR558" i="1"/>
  <c r="BS558" i="1"/>
  <c r="BT558" i="1"/>
  <c r="BU558" i="1"/>
  <c r="BO559" i="1"/>
  <c r="BP559" i="1"/>
  <c r="BQ559" i="1"/>
  <c r="BR559" i="1"/>
  <c r="BS559" i="1"/>
  <c r="BT559" i="1"/>
  <c r="BU559" i="1"/>
  <c r="BO560" i="1"/>
  <c r="BP560" i="1"/>
  <c r="BQ560" i="1"/>
  <c r="BR560" i="1"/>
  <c r="BS560" i="1"/>
  <c r="BT560" i="1"/>
  <c r="BU560" i="1"/>
  <c r="BO561" i="1"/>
  <c r="BP561" i="1"/>
  <c r="BQ561" i="1"/>
  <c r="BR561" i="1"/>
  <c r="BS561" i="1"/>
  <c r="BT561" i="1"/>
  <c r="BU561" i="1"/>
  <c r="BO562" i="1"/>
  <c r="BP562" i="1"/>
  <c r="BQ562" i="1"/>
  <c r="BR562" i="1"/>
  <c r="BS562" i="1"/>
  <c r="BT562" i="1"/>
  <c r="BU562" i="1"/>
  <c r="BO563" i="1"/>
  <c r="BP563" i="1"/>
  <c r="BQ563" i="1"/>
  <c r="BR563" i="1"/>
  <c r="BS563" i="1"/>
  <c r="BT563" i="1"/>
  <c r="BU563" i="1"/>
  <c r="BO564" i="1"/>
  <c r="BP564" i="1"/>
  <c r="BQ564" i="1"/>
  <c r="BR564" i="1"/>
  <c r="BS564" i="1"/>
  <c r="BT564" i="1"/>
  <c r="BU564" i="1"/>
  <c r="BO565" i="1"/>
  <c r="BP565" i="1"/>
  <c r="BQ565" i="1"/>
  <c r="BR565" i="1"/>
  <c r="BS565" i="1"/>
  <c r="BT565" i="1"/>
  <c r="BU565" i="1"/>
  <c r="BO566" i="1"/>
  <c r="BP566" i="1"/>
  <c r="BQ566" i="1"/>
  <c r="BR566" i="1"/>
  <c r="BS566" i="1"/>
  <c r="BT566" i="1"/>
  <c r="BU566" i="1"/>
  <c r="BO567" i="1"/>
  <c r="BP567" i="1"/>
  <c r="BQ567" i="1"/>
  <c r="BR567" i="1"/>
  <c r="BS567" i="1"/>
  <c r="BT567" i="1"/>
  <c r="BU567" i="1"/>
  <c r="BO568" i="1"/>
  <c r="BP568" i="1"/>
  <c r="BQ568" i="1"/>
  <c r="BR568" i="1"/>
  <c r="BS568" i="1"/>
  <c r="BT568" i="1"/>
  <c r="BU568" i="1"/>
  <c r="BO569" i="1"/>
  <c r="BP569" i="1"/>
  <c r="BQ569" i="1"/>
  <c r="BR569" i="1"/>
  <c r="BS569" i="1"/>
  <c r="BT569" i="1"/>
  <c r="BU569" i="1"/>
  <c r="BO570" i="1"/>
  <c r="BP570" i="1"/>
  <c r="BQ570" i="1"/>
  <c r="BR570" i="1"/>
  <c r="BS570" i="1"/>
  <c r="BT570" i="1"/>
  <c r="BU570" i="1"/>
  <c r="BO571" i="1"/>
  <c r="BP571" i="1"/>
  <c r="BQ571" i="1"/>
  <c r="BR571" i="1"/>
  <c r="BS571" i="1"/>
  <c r="BT571" i="1"/>
  <c r="BU571" i="1"/>
  <c r="BO572" i="1"/>
  <c r="BP572" i="1"/>
  <c r="BQ572" i="1"/>
  <c r="BR572" i="1"/>
  <c r="BS572" i="1"/>
  <c r="BT572" i="1"/>
  <c r="BU572" i="1"/>
  <c r="BO573" i="1"/>
  <c r="BP573" i="1"/>
  <c r="BQ573" i="1"/>
  <c r="BR573" i="1"/>
  <c r="BS573" i="1"/>
  <c r="BT573" i="1"/>
  <c r="BU573" i="1"/>
  <c r="BO574" i="1"/>
  <c r="BP574" i="1"/>
  <c r="BQ574" i="1"/>
  <c r="BR574" i="1"/>
  <c r="BS574" i="1"/>
  <c r="BT574" i="1"/>
  <c r="BU574" i="1"/>
  <c r="BO575" i="1"/>
  <c r="BP575" i="1"/>
  <c r="BQ575" i="1"/>
  <c r="BR575" i="1"/>
  <c r="BS575" i="1"/>
  <c r="BT575" i="1"/>
  <c r="BU575" i="1"/>
  <c r="CL509" i="1" l="1"/>
  <c r="CK509" i="1"/>
  <c r="CJ509" i="1"/>
  <c r="CI509" i="1"/>
  <c r="CH509" i="1"/>
  <c r="CG509" i="1"/>
  <c r="CF509" i="1"/>
  <c r="CE509" i="1"/>
  <c r="CD509" i="1"/>
  <c r="CC509" i="1"/>
  <c r="CB509" i="1"/>
  <c r="CA509" i="1"/>
  <c r="BZ509" i="1"/>
  <c r="BX509" i="1"/>
  <c r="BW509" i="1"/>
  <c r="BU509" i="1"/>
  <c r="BT509" i="1"/>
  <c r="BS509" i="1"/>
  <c r="BR509" i="1"/>
  <c r="BQ509" i="1"/>
  <c r="BP509" i="1"/>
  <c r="CR507" i="1" l="1"/>
  <c r="CQ507" i="1"/>
  <c r="CP507" i="1"/>
  <c r="CO507" i="1"/>
  <c r="CN507" i="1"/>
  <c r="CM507" i="1"/>
  <c r="CL507" i="1"/>
  <c r="CK507" i="1"/>
  <c r="CJ507" i="1"/>
  <c r="CI507" i="1"/>
  <c r="CH507" i="1"/>
  <c r="CG507" i="1"/>
  <c r="CF507" i="1"/>
  <c r="CE507" i="1"/>
  <c r="CD507" i="1"/>
  <c r="CC507" i="1"/>
  <c r="CB507" i="1"/>
  <c r="CA507" i="1"/>
  <c r="BZ507" i="1"/>
  <c r="BY507" i="1"/>
  <c r="BX507" i="1"/>
  <c r="BW507" i="1"/>
  <c r="BO507" i="1"/>
  <c r="CR503" i="1"/>
  <c r="CQ503" i="1"/>
  <c r="CP503" i="1"/>
  <c r="CO503" i="1"/>
  <c r="CN503" i="1"/>
  <c r="CM503" i="1"/>
  <c r="CL503" i="1"/>
  <c r="CK503" i="1"/>
  <c r="CJ503" i="1"/>
  <c r="CI503" i="1"/>
  <c r="CH503" i="1"/>
  <c r="CG503" i="1"/>
  <c r="CF503" i="1"/>
  <c r="CE503" i="1"/>
  <c r="CD503" i="1"/>
  <c r="CC503" i="1"/>
  <c r="CB503" i="1"/>
  <c r="CA503" i="1"/>
  <c r="BZ503" i="1"/>
  <c r="BY503" i="1"/>
  <c r="BX503" i="1"/>
  <c r="BW503" i="1"/>
  <c r="CR502" i="1"/>
  <c r="CQ502" i="1"/>
  <c r="CP502" i="1"/>
  <c r="CO502" i="1"/>
  <c r="CN502" i="1"/>
  <c r="CM502" i="1"/>
  <c r="CL502" i="1"/>
  <c r="CK502" i="1"/>
  <c r="CJ502" i="1"/>
  <c r="CI502" i="1"/>
  <c r="CH502" i="1"/>
  <c r="CG502" i="1"/>
  <c r="CF502" i="1"/>
  <c r="CE502" i="1"/>
  <c r="CD502" i="1"/>
  <c r="CC502" i="1"/>
  <c r="CB502" i="1"/>
  <c r="CA502" i="1"/>
  <c r="BZ502" i="1"/>
  <c r="BY502" i="1"/>
  <c r="BX502" i="1"/>
  <c r="BW502" i="1"/>
  <c r="CR501" i="1"/>
  <c r="CQ501" i="1"/>
  <c r="CP501" i="1"/>
  <c r="CO501" i="1"/>
  <c r="CN501" i="1"/>
  <c r="CM501" i="1"/>
  <c r="CL501" i="1"/>
  <c r="CK501" i="1"/>
  <c r="CJ501" i="1"/>
  <c r="CI501" i="1"/>
  <c r="CH501" i="1"/>
  <c r="CG501" i="1"/>
  <c r="CF501" i="1"/>
  <c r="CE501" i="1"/>
  <c r="CD501" i="1"/>
  <c r="CC501" i="1"/>
  <c r="CB501" i="1"/>
  <c r="CA501" i="1"/>
  <c r="BZ501" i="1"/>
  <c r="BY501" i="1"/>
  <c r="BX501" i="1"/>
  <c r="BW501" i="1"/>
  <c r="CR500" i="1"/>
  <c r="CQ500" i="1"/>
  <c r="CP500" i="1"/>
  <c r="CO500" i="1"/>
  <c r="CN500" i="1"/>
  <c r="CM500" i="1"/>
  <c r="CL500" i="1"/>
  <c r="CK500" i="1"/>
  <c r="CJ500" i="1"/>
  <c r="CI500" i="1"/>
  <c r="CH500" i="1"/>
  <c r="CG500" i="1"/>
  <c r="CF500" i="1"/>
  <c r="CE500" i="1"/>
  <c r="CD500" i="1"/>
  <c r="CC500" i="1"/>
  <c r="CB500" i="1"/>
  <c r="CA500" i="1"/>
  <c r="BZ500" i="1"/>
  <c r="BY500" i="1"/>
  <c r="BX500" i="1"/>
  <c r="BW500" i="1"/>
  <c r="CR499" i="1"/>
  <c r="CQ499" i="1"/>
  <c r="CP499" i="1"/>
  <c r="CO499" i="1"/>
  <c r="CN499" i="1"/>
  <c r="CM499" i="1"/>
  <c r="CL499" i="1"/>
  <c r="CK499" i="1"/>
  <c r="CJ499" i="1"/>
  <c r="CI499" i="1"/>
  <c r="CH499" i="1"/>
  <c r="CG499" i="1"/>
  <c r="CF499" i="1"/>
  <c r="CE499" i="1"/>
  <c r="CD499" i="1"/>
  <c r="CC499" i="1"/>
  <c r="CB499" i="1"/>
  <c r="CA499" i="1"/>
  <c r="BZ499" i="1"/>
  <c r="BY499" i="1"/>
  <c r="BX499" i="1"/>
  <c r="BW499" i="1"/>
  <c r="CR498" i="1"/>
  <c r="CQ498" i="1"/>
  <c r="CP498" i="1"/>
  <c r="CO498" i="1"/>
  <c r="CN498" i="1"/>
  <c r="CM498" i="1"/>
  <c r="CL498" i="1"/>
  <c r="CK498" i="1"/>
  <c r="CJ498" i="1"/>
  <c r="CI498" i="1"/>
  <c r="CH498" i="1"/>
  <c r="CG498" i="1"/>
  <c r="CF498" i="1"/>
  <c r="CE498" i="1"/>
  <c r="CD498" i="1"/>
  <c r="CC498" i="1"/>
  <c r="CB498" i="1"/>
  <c r="CA498" i="1"/>
  <c r="BZ498" i="1"/>
  <c r="BY498" i="1"/>
  <c r="BX498" i="1"/>
  <c r="BW498" i="1"/>
  <c r="CR497" i="1"/>
  <c r="CQ497" i="1"/>
  <c r="CP497" i="1"/>
  <c r="CO497" i="1"/>
  <c r="CN497" i="1"/>
  <c r="CM497" i="1"/>
  <c r="CL497" i="1"/>
  <c r="CK497" i="1"/>
  <c r="CJ497" i="1"/>
  <c r="CI497" i="1"/>
  <c r="CH497" i="1"/>
  <c r="CG497" i="1"/>
  <c r="CF497" i="1"/>
  <c r="CE497" i="1"/>
  <c r="CD497" i="1"/>
  <c r="CC497" i="1"/>
  <c r="CB497" i="1"/>
  <c r="CA497" i="1"/>
  <c r="BZ497" i="1"/>
  <c r="BY497" i="1"/>
  <c r="BX497" i="1"/>
  <c r="BW497" i="1"/>
  <c r="CR496" i="1"/>
  <c r="CQ496" i="1"/>
  <c r="CP496" i="1"/>
  <c r="CO496" i="1"/>
  <c r="CN496" i="1"/>
  <c r="CM496" i="1"/>
  <c r="CL496" i="1"/>
  <c r="CK496" i="1"/>
  <c r="CJ496" i="1"/>
  <c r="CI496" i="1"/>
  <c r="CH496" i="1"/>
  <c r="CG496" i="1"/>
  <c r="CF496" i="1"/>
  <c r="CE496" i="1"/>
  <c r="CD496" i="1"/>
  <c r="CC496" i="1"/>
  <c r="CB496" i="1"/>
  <c r="CA496" i="1"/>
  <c r="BZ496" i="1"/>
  <c r="BY496" i="1"/>
  <c r="BX496" i="1"/>
  <c r="BW496" i="1"/>
  <c r="CR495" i="1"/>
  <c r="CQ495" i="1"/>
  <c r="CP495" i="1"/>
  <c r="CO495" i="1"/>
  <c r="CN495" i="1"/>
  <c r="CM495" i="1"/>
  <c r="CL495" i="1"/>
  <c r="CK495" i="1"/>
  <c r="CJ495" i="1"/>
  <c r="CI495" i="1"/>
  <c r="CH495" i="1"/>
  <c r="CG495" i="1"/>
  <c r="CF495" i="1"/>
  <c r="CE495" i="1"/>
  <c r="CD495" i="1"/>
  <c r="CC495" i="1"/>
  <c r="CB495" i="1"/>
  <c r="CA495" i="1"/>
  <c r="BZ495" i="1"/>
  <c r="BY495" i="1"/>
  <c r="BX495" i="1"/>
  <c r="BW495" i="1"/>
  <c r="CR494" i="1"/>
  <c r="CQ494" i="1"/>
  <c r="CP494" i="1"/>
  <c r="CO494" i="1"/>
  <c r="CN494" i="1"/>
  <c r="CM494" i="1"/>
  <c r="CL494" i="1"/>
  <c r="CK494" i="1"/>
  <c r="CJ494" i="1"/>
  <c r="CI494" i="1"/>
  <c r="CH494" i="1"/>
  <c r="CG494" i="1"/>
  <c r="CF494" i="1"/>
  <c r="CE494" i="1"/>
  <c r="CD494" i="1"/>
  <c r="CC494" i="1"/>
  <c r="CB494" i="1"/>
  <c r="CA494" i="1"/>
  <c r="BZ494" i="1"/>
  <c r="BY494" i="1"/>
  <c r="BX494" i="1"/>
  <c r="BW494" i="1"/>
  <c r="CR493" i="1"/>
  <c r="CQ493" i="1"/>
  <c r="CP493" i="1"/>
  <c r="CO493" i="1"/>
  <c r="CN493" i="1"/>
  <c r="CM493" i="1"/>
  <c r="CL493" i="1"/>
  <c r="CK493" i="1"/>
  <c r="CJ493" i="1"/>
  <c r="CI493" i="1"/>
  <c r="CH493" i="1"/>
  <c r="CG493" i="1"/>
  <c r="CF493" i="1"/>
  <c r="CE493" i="1"/>
  <c r="CD493" i="1"/>
  <c r="CC493" i="1"/>
  <c r="CB493" i="1"/>
  <c r="CA493" i="1"/>
  <c r="BZ493" i="1"/>
  <c r="BY493" i="1"/>
  <c r="BX493" i="1"/>
  <c r="BW493" i="1"/>
  <c r="CR492" i="1"/>
  <c r="CQ492" i="1"/>
  <c r="CP492" i="1"/>
  <c r="CO492" i="1"/>
  <c r="CN492" i="1"/>
  <c r="CM492" i="1"/>
  <c r="CL492" i="1"/>
  <c r="CK492" i="1"/>
  <c r="CJ492" i="1"/>
  <c r="CI492" i="1"/>
  <c r="CH492" i="1"/>
  <c r="CG492" i="1"/>
  <c r="CF492" i="1"/>
  <c r="CE492" i="1"/>
  <c r="CD492" i="1"/>
  <c r="CC492" i="1"/>
  <c r="CB492" i="1"/>
  <c r="CA492" i="1"/>
  <c r="BZ492" i="1"/>
  <c r="BY492" i="1"/>
  <c r="BX492" i="1"/>
  <c r="BW492" i="1"/>
  <c r="CR491" i="1"/>
  <c r="CQ491" i="1"/>
  <c r="CP491" i="1"/>
  <c r="CO491" i="1"/>
  <c r="CN491" i="1"/>
  <c r="CM491" i="1"/>
  <c r="CL491" i="1"/>
  <c r="CK491" i="1"/>
  <c r="CJ491" i="1"/>
  <c r="CI491" i="1"/>
  <c r="CH491" i="1"/>
  <c r="CG491" i="1"/>
  <c r="CF491" i="1"/>
  <c r="CE491" i="1"/>
  <c r="CD491" i="1"/>
  <c r="CC491" i="1"/>
  <c r="CB491" i="1"/>
  <c r="CA491" i="1"/>
  <c r="BZ491" i="1"/>
  <c r="BY491" i="1"/>
  <c r="BX491" i="1"/>
  <c r="BW491" i="1"/>
  <c r="CR490" i="1"/>
  <c r="CQ490" i="1"/>
  <c r="CP490" i="1"/>
  <c r="CO490" i="1"/>
  <c r="CN490" i="1"/>
  <c r="CM490" i="1"/>
  <c r="CL490" i="1"/>
  <c r="CK490" i="1"/>
  <c r="CJ490" i="1"/>
  <c r="CI490" i="1"/>
  <c r="CH490" i="1"/>
  <c r="CG490" i="1"/>
  <c r="CF490" i="1"/>
  <c r="CE490" i="1"/>
  <c r="CD490" i="1"/>
  <c r="CC490" i="1"/>
  <c r="CB490" i="1"/>
  <c r="CA490" i="1"/>
  <c r="BZ490" i="1"/>
  <c r="BY490" i="1"/>
  <c r="BX490" i="1"/>
  <c r="BW490" i="1"/>
  <c r="CR489" i="1"/>
  <c r="CQ489" i="1"/>
  <c r="CP489" i="1"/>
  <c r="CO489" i="1"/>
  <c r="CN489" i="1"/>
  <c r="CM489" i="1"/>
  <c r="CL489" i="1"/>
  <c r="CK489" i="1"/>
  <c r="CJ489" i="1"/>
  <c r="CI489" i="1"/>
  <c r="CH489" i="1"/>
  <c r="CG489" i="1"/>
  <c r="CF489" i="1"/>
  <c r="CE489" i="1"/>
  <c r="CD489" i="1"/>
  <c r="CC489" i="1"/>
  <c r="CB489" i="1"/>
  <c r="CA489" i="1"/>
  <c r="BZ489" i="1"/>
  <c r="BY489" i="1"/>
  <c r="BX489" i="1"/>
  <c r="BW489" i="1"/>
  <c r="CR488" i="1"/>
  <c r="CQ488" i="1"/>
  <c r="CP488" i="1"/>
  <c r="CO488" i="1"/>
  <c r="CN488" i="1"/>
  <c r="CM488" i="1"/>
  <c r="CL488" i="1"/>
  <c r="CK488" i="1"/>
  <c r="CJ488" i="1"/>
  <c r="CI488" i="1"/>
  <c r="CH488" i="1"/>
  <c r="CG488" i="1"/>
  <c r="CF488" i="1"/>
  <c r="CE488" i="1"/>
  <c r="CD488" i="1"/>
  <c r="CC488" i="1"/>
  <c r="CB488" i="1"/>
  <c r="CA488" i="1"/>
  <c r="BZ488" i="1"/>
  <c r="BY488" i="1"/>
  <c r="BX488" i="1"/>
  <c r="BW488" i="1"/>
  <c r="CR487" i="1"/>
  <c r="CQ487" i="1"/>
  <c r="CP487" i="1"/>
  <c r="CO487" i="1"/>
  <c r="CN487" i="1"/>
  <c r="CM487" i="1"/>
  <c r="CL487" i="1"/>
  <c r="CK487" i="1"/>
  <c r="CJ487" i="1"/>
  <c r="CI487" i="1"/>
  <c r="CH487" i="1"/>
  <c r="CG487" i="1"/>
  <c r="CF487" i="1"/>
  <c r="CE487" i="1"/>
  <c r="CD487" i="1"/>
  <c r="CC487" i="1"/>
  <c r="CB487" i="1"/>
  <c r="CA487" i="1"/>
  <c r="BZ487" i="1"/>
  <c r="BY487" i="1"/>
  <c r="BX487" i="1"/>
  <c r="BW487" i="1"/>
  <c r="CR486" i="1"/>
  <c r="CQ486" i="1"/>
  <c r="CP486" i="1"/>
  <c r="CO486" i="1"/>
  <c r="CN486" i="1"/>
  <c r="CM486" i="1"/>
  <c r="CL486" i="1"/>
  <c r="CK486" i="1"/>
  <c r="CJ486" i="1"/>
  <c r="CI486" i="1"/>
  <c r="CH486" i="1"/>
  <c r="CG486" i="1"/>
  <c r="CF486" i="1"/>
  <c r="CE486" i="1"/>
  <c r="CD486" i="1"/>
  <c r="CC486" i="1"/>
  <c r="CB486" i="1"/>
  <c r="CA486" i="1"/>
  <c r="BZ486" i="1"/>
  <c r="BY486" i="1"/>
  <c r="BX486" i="1"/>
  <c r="BW486" i="1"/>
  <c r="CR485" i="1"/>
  <c r="CQ485" i="1"/>
  <c r="CP485" i="1"/>
  <c r="CO485" i="1"/>
  <c r="CN485" i="1"/>
  <c r="CM485" i="1"/>
  <c r="CL485" i="1"/>
  <c r="CK485" i="1"/>
  <c r="CJ485" i="1"/>
  <c r="CI485" i="1"/>
  <c r="CH485" i="1"/>
  <c r="CG485" i="1"/>
  <c r="CF485" i="1"/>
  <c r="CE485" i="1"/>
  <c r="CD485" i="1"/>
  <c r="CC485" i="1"/>
  <c r="CB485" i="1"/>
  <c r="CA485" i="1"/>
  <c r="BZ485" i="1"/>
  <c r="BY485" i="1"/>
  <c r="BX485" i="1"/>
  <c r="BW485" i="1"/>
  <c r="CR484" i="1"/>
  <c r="CQ484" i="1"/>
  <c r="CP484" i="1"/>
  <c r="CO484" i="1"/>
  <c r="CN484" i="1"/>
  <c r="CM484" i="1"/>
  <c r="CL484" i="1"/>
  <c r="CK484" i="1"/>
  <c r="CJ484" i="1"/>
  <c r="CI484" i="1"/>
  <c r="CH484" i="1"/>
  <c r="CG484" i="1"/>
  <c r="CF484" i="1"/>
  <c r="CE484" i="1"/>
  <c r="CD484" i="1"/>
  <c r="CC484" i="1"/>
  <c r="CB484" i="1"/>
  <c r="CA484" i="1"/>
  <c r="BZ484" i="1"/>
  <c r="BY484" i="1"/>
  <c r="BX484" i="1"/>
  <c r="BW484" i="1"/>
  <c r="CR483" i="1"/>
  <c r="CQ483" i="1"/>
  <c r="CP483" i="1"/>
  <c r="CO483" i="1"/>
  <c r="CN483" i="1"/>
  <c r="CM483" i="1"/>
  <c r="CL483" i="1"/>
  <c r="CK483" i="1"/>
  <c r="CJ483" i="1"/>
  <c r="CI483" i="1"/>
  <c r="CH483" i="1"/>
  <c r="CG483" i="1"/>
  <c r="CF483" i="1"/>
  <c r="CE483" i="1"/>
  <c r="CD483" i="1"/>
  <c r="CC483" i="1"/>
  <c r="CB483" i="1"/>
  <c r="CA483" i="1"/>
  <c r="BZ483" i="1"/>
  <c r="BY483" i="1"/>
  <c r="BX483" i="1"/>
  <c r="BW483" i="1"/>
  <c r="CR482" i="1"/>
  <c r="CQ482" i="1"/>
  <c r="CP482" i="1"/>
  <c r="CO482" i="1"/>
  <c r="CN482" i="1"/>
  <c r="CM482" i="1"/>
  <c r="CL482" i="1"/>
  <c r="CK482" i="1"/>
  <c r="CJ482" i="1"/>
  <c r="CI482" i="1"/>
  <c r="CH482" i="1"/>
  <c r="CG482" i="1"/>
  <c r="CF482" i="1"/>
  <c r="CE482" i="1"/>
  <c r="CD482" i="1"/>
  <c r="CC482" i="1"/>
  <c r="CB482" i="1"/>
  <c r="CA482" i="1"/>
  <c r="BZ482" i="1"/>
  <c r="BY482" i="1"/>
  <c r="BX482" i="1"/>
  <c r="BW482" i="1"/>
  <c r="CR481" i="1"/>
  <c r="CQ481" i="1"/>
  <c r="CP481" i="1"/>
  <c r="CO481" i="1"/>
  <c r="CN481" i="1"/>
  <c r="CM481" i="1"/>
  <c r="CL481" i="1"/>
  <c r="CK481" i="1"/>
  <c r="CJ481" i="1"/>
  <c r="CI481" i="1"/>
  <c r="CH481" i="1"/>
  <c r="CG481" i="1"/>
  <c r="CF481" i="1"/>
  <c r="CE481" i="1"/>
  <c r="CD481" i="1"/>
  <c r="CC481" i="1"/>
  <c r="CB481" i="1"/>
  <c r="CA481" i="1"/>
  <c r="BZ481" i="1"/>
  <c r="BY481" i="1"/>
  <c r="BX481" i="1"/>
  <c r="BW481" i="1"/>
  <c r="CR480" i="1"/>
  <c r="CQ480" i="1"/>
  <c r="CP480" i="1"/>
  <c r="CO480" i="1"/>
  <c r="CN480" i="1"/>
  <c r="CM480" i="1"/>
  <c r="CL480" i="1"/>
  <c r="CK480" i="1"/>
  <c r="CJ480" i="1"/>
  <c r="CI480" i="1"/>
  <c r="CH480" i="1"/>
  <c r="CG480" i="1"/>
  <c r="CF480" i="1"/>
  <c r="CE480" i="1"/>
  <c r="CD480" i="1"/>
  <c r="CC480" i="1"/>
  <c r="CB480" i="1"/>
  <c r="CA480" i="1"/>
  <c r="BZ480" i="1"/>
  <c r="BY480" i="1"/>
  <c r="BX480" i="1"/>
  <c r="BW480" i="1"/>
  <c r="CR479" i="1"/>
  <c r="CQ479" i="1"/>
  <c r="CP479" i="1"/>
  <c r="CO479" i="1"/>
  <c r="CN479" i="1"/>
  <c r="CM479" i="1"/>
  <c r="CL479" i="1"/>
  <c r="CK479" i="1"/>
  <c r="CJ479" i="1"/>
  <c r="CI479" i="1"/>
  <c r="CH479" i="1"/>
  <c r="CG479" i="1"/>
  <c r="CF479" i="1"/>
  <c r="CE479" i="1"/>
  <c r="CD479" i="1"/>
  <c r="CC479" i="1"/>
  <c r="CB479" i="1"/>
  <c r="CA479" i="1"/>
  <c r="BZ479" i="1"/>
  <c r="BY479" i="1"/>
  <c r="BX479" i="1"/>
  <c r="BW479" i="1"/>
  <c r="CR478" i="1"/>
  <c r="CQ478" i="1"/>
  <c r="CP478" i="1"/>
  <c r="CO478" i="1"/>
  <c r="CN478" i="1"/>
  <c r="CM478" i="1"/>
  <c r="CL478" i="1"/>
  <c r="CK478" i="1"/>
  <c r="CJ478" i="1"/>
  <c r="CI478" i="1"/>
  <c r="CH478" i="1"/>
  <c r="CG478" i="1"/>
  <c r="CF478" i="1"/>
  <c r="CE478" i="1"/>
  <c r="CD478" i="1"/>
  <c r="CC478" i="1"/>
  <c r="CB478" i="1"/>
  <c r="CA478" i="1"/>
  <c r="BZ478" i="1"/>
  <c r="BY478" i="1"/>
  <c r="BX478" i="1"/>
  <c r="BW478" i="1"/>
  <c r="CR477" i="1"/>
  <c r="CQ477" i="1"/>
  <c r="CP477" i="1"/>
  <c r="CO477" i="1"/>
  <c r="CN477" i="1"/>
  <c r="CM477" i="1"/>
  <c r="CL477" i="1"/>
  <c r="CK477" i="1"/>
  <c r="CJ477" i="1"/>
  <c r="CI477" i="1"/>
  <c r="CH477" i="1"/>
  <c r="CG477" i="1"/>
  <c r="CF477" i="1"/>
  <c r="CE477" i="1"/>
  <c r="CD477" i="1"/>
  <c r="CC477" i="1"/>
  <c r="CB477" i="1"/>
  <c r="CA477" i="1"/>
  <c r="BZ477" i="1"/>
  <c r="BY477" i="1"/>
  <c r="BX477" i="1"/>
  <c r="BW477" i="1"/>
  <c r="CR476" i="1"/>
  <c r="CQ476" i="1"/>
  <c r="CP476" i="1"/>
  <c r="CO476" i="1"/>
  <c r="CN476" i="1"/>
  <c r="CM476" i="1"/>
  <c r="CL476" i="1"/>
  <c r="CK476" i="1"/>
  <c r="CJ476" i="1"/>
  <c r="CI476" i="1"/>
  <c r="CH476" i="1"/>
  <c r="CG476" i="1"/>
  <c r="CF476" i="1"/>
  <c r="CE476" i="1"/>
  <c r="CD476" i="1"/>
  <c r="CC476" i="1"/>
  <c r="CB476" i="1"/>
  <c r="CA476" i="1"/>
  <c r="BZ476" i="1"/>
  <c r="BY476" i="1"/>
  <c r="BX476" i="1"/>
  <c r="BW476" i="1"/>
  <c r="CR475" i="1"/>
  <c r="CQ475" i="1"/>
  <c r="CP475" i="1"/>
  <c r="CO475" i="1"/>
  <c r="CN475" i="1"/>
  <c r="CM475" i="1"/>
  <c r="CL475" i="1"/>
  <c r="CK475" i="1"/>
  <c r="CJ475" i="1"/>
  <c r="CI475" i="1"/>
  <c r="CH475" i="1"/>
  <c r="CG475" i="1"/>
  <c r="CF475" i="1"/>
  <c r="CE475" i="1"/>
  <c r="CD475" i="1"/>
  <c r="CC475" i="1"/>
  <c r="CB475" i="1"/>
  <c r="CA475" i="1"/>
  <c r="BZ475" i="1"/>
  <c r="BY475" i="1"/>
  <c r="BX475" i="1"/>
  <c r="BW475" i="1"/>
  <c r="CR474" i="1"/>
  <c r="CQ474" i="1"/>
  <c r="CP474" i="1"/>
  <c r="CO474" i="1"/>
  <c r="CN474" i="1"/>
  <c r="CM474" i="1"/>
  <c r="CL474" i="1"/>
  <c r="CK474" i="1"/>
  <c r="CJ474" i="1"/>
  <c r="CI474" i="1"/>
  <c r="CH474" i="1"/>
  <c r="CG474" i="1"/>
  <c r="CF474" i="1"/>
  <c r="CE474" i="1"/>
  <c r="CD474" i="1"/>
  <c r="CC474" i="1"/>
  <c r="CB474" i="1"/>
  <c r="CA474" i="1"/>
  <c r="BZ474" i="1"/>
  <c r="BY474" i="1"/>
  <c r="BX474" i="1"/>
  <c r="BW474" i="1"/>
  <c r="CR473" i="1"/>
  <c r="CQ473" i="1"/>
  <c r="CP473" i="1"/>
  <c r="CO473" i="1"/>
  <c r="CN473" i="1"/>
  <c r="CM473" i="1"/>
  <c r="CL473" i="1"/>
  <c r="CK473" i="1"/>
  <c r="CJ473" i="1"/>
  <c r="CI473" i="1"/>
  <c r="CH473" i="1"/>
  <c r="CG473" i="1"/>
  <c r="CF473" i="1"/>
  <c r="CE473" i="1"/>
  <c r="CD473" i="1"/>
  <c r="CC473" i="1"/>
  <c r="CB473" i="1"/>
  <c r="CA473" i="1"/>
  <c r="BZ473" i="1"/>
  <c r="BY473" i="1"/>
  <c r="BX473" i="1"/>
  <c r="BW473" i="1"/>
  <c r="CR472" i="1"/>
  <c r="CQ472" i="1"/>
  <c r="CP472" i="1"/>
  <c r="CO472" i="1"/>
  <c r="CN472" i="1"/>
  <c r="CM472" i="1"/>
  <c r="CL472" i="1"/>
  <c r="CK472" i="1"/>
  <c r="CJ472" i="1"/>
  <c r="CI472" i="1"/>
  <c r="CH472" i="1"/>
  <c r="CG472" i="1"/>
  <c r="CF472" i="1"/>
  <c r="CE472" i="1"/>
  <c r="CD472" i="1"/>
  <c r="CC472" i="1"/>
  <c r="CB472" i="1"/>
  <c r="CA472" i="1"/>
  <c r="BZ472" i="1"/>
  <c r="BY472" i="1"/>
  <c r="BX472" i="1"/>
  <c r="BW472" i="1"/>
  <c r="CR471" i="1"/>
  <c r="CQ471" i="1"/>
  <c r="CP471" i="1"/>
  <c r="CO471" i="1"/>
  <c r="CN471" i="1"/>
  <c r="CM471" i="1"/>
  <c r="CL471" i="1"/>
  <c r="CK471" i="1"/>
  <c r="CJ471" i="1"/>
  <c r="CI471" i="1"/>
  <c r="CH471" i="1"/>
  <c r="CG471" i="1"/>
  <c r="CF471" i="1"/>
  <c r="CE471" i="1"/>
  <c r="CD471" i="1"/>
  <c r="CC471" i="1"/>
  <c r="CB471" i="1"/>
  <c r="CA471" i="1"/>
  <c r="BZ471" i="1"/>
  <c r="BY471" i="1"/>
  <c r="BX471" i="1"/>
  <c r="BW471" i="1"/>
  <c r="CR470" i="1"/>
  <c r="CQ470" i="1"/>
  <c r="CP470" i="1"/>
  <c r="CO470" i="1"/>
  <c r="CN470" i="1"/>
  <c r="CM470" i="1"/>
  <c r="CL470" i="1"/>
  <c r="CK470" i="1"/>
  <c r="CJ470" i="1"/>
  <c r="CI470" i="1"/>
  <c r="CH470" i="1"/>
  <c r="CG470" i="1"/>
  <c r="CF470" i="1"/>
  <c r="CE470" i="1"/>
  <c r="CD470" i="1"/>
  <c r="CC470" i="1"/>
  <c r="CB470" i="1"/>
  <c r="CA470" i="1"/>
  <c r="BZ470" i="1"/>
  <c r="BY470" i="1"/>
  <c r="BX470" i="1"/>
  <c r="BW470" i="1"/>
  <c r="CR469" i="1"/>
  <c r="CQ469" i="1"/>
  <c r="CP469" i="1"/>
  <c r="CO469" i="1"/>
  <c r="CN469" i="1"/>
  <c r="CM469" i="1"/>
  <c r="CL469" i="1"/>
  <c r="CK469" i="1"/>
  <c r="CJ469" i="1"/>
  <c r="CI469" i="1"/>
  <c r="CH469" i="1"/>
  <c r="CG469" i="1"/>
  <c r="CF469" i="1"/>
  <c r="CE469" i="1"/>
  <c r="CD469" i="1"/>
  <c r="CC469" i="1"/>
  <c r="CB469" i="1"/>
  <c r="CA469" i="1"/>
  <c r="BZ469" i="1"/>
  <c r="BY469" i="1"/>
  <c r="BX469" i="1"/>
  <c r="BW469" i="1"/>
  <c r="CR468" i="1"/>
  <c r="CQ468" i="1"/>
  <c r="CP468" i="1"/>
  <c r="CO468" i="1"/>
  <c r="CN468" i="1"/>
  <c r="CM468" i="1"/>
  <c r="CL468" i="1"/>
  <c r="CK468" i="1"/>
  <c r="CJ468" i="1"/>
  <c r="CI468" i="1"/>
  <c r="CH468" i="1"/>
  <c r="CG468" i="1"/>
  <c r="CF468" i="1"/>
  <c r="CE468" i="1"/>
  <c r="CD468" i="1"/>
  <c r="CC468" i="1"/>
  <c r="CB468" i="1"/>
  <c r="CA468" i="1"/>
  <c r="BZ468" i="1"/>
  <c r="BY468" i="1"/>
  <c r="BX468" i="1"/>
  <c r="BW468" i="1"/>
  <c r="CR467" i="1"/>
  <c r="CQ467" i="1"/>
  <c r="CP467" i="1"/>
  <c r="CO467" i="1"/>
  <c r="CN467" i="1"/>
  <c r="CM467" i="1"/>
  <c r="CL467" i="1"/>
  <c r="CK467" i="1"/>
  <c r="CJ467" i="1"/>
  <c r="CI467" i="1"/>
  <c r="CH467" i="1"/>
  <c r="CG467" i="1"/>
  <c r="CF467" i="1"/>
  <c r="CE467" i="1"/>
  <c r="CD467" i="1"/>
  <c r="CC467" i="1"/>
  <c r="CB467" i="1"/>
  <c r="CA467" i="1"/>
  <c r="BZ467" i="1"/>
  <c r="BY467" i="1"/>
  <c r="BX467" i="1"/>
  <c r="BW467" i="1"/>
  <c r="CR466" i="1"/>
  <c r="CQ466" i="1"/>
  <c r="CP466" i="1"/>
  <c r="CO466" i="1"/>
  <c r="CN466" i="1"/>
  <c r="CM466" i="1"/>
  <c r="CL466" i="1"/>
  <c r="CK466" i="1"/>
  <c r="CJ466" i="1"/>
  <c r="CI466" i="1"/>
  <c r="CH466" i="1"/>
  <c r="CG466" i="1"/>
  <c r="CF466" i="1"/>
  <c r="CE466" i="1"/>
  <c r="CD466" i="1"/>
  <c r="CC466" i="1"/>
  <c r="CB466" i="1"/>
  <c r="CA466" i="1"/>
  <c r="BZ466" i="1"/>
  <c r="BY466" i="1"/>
  <c r="BX466" i="1"/>
  <c r="BW466" i="1"/>
  <c r="CR465" i="1"/>
  <c r="CQ465" i="1"/>
  <c r="CP465" i="1"/>
  <c r="CO465" i="1"/>
  <c r="CN465" i="1"/>
  <c r="CM465" i="1"/>
  <c r="CL465" i="1"/>
  <c r="CK465" i="1"/>
  <c r="CJ465" i="1"/>
  <c r="CI465" i="1"/>
  <c r="CH465" i="1"/>
  <c r="CG465" i="1"/>
  <c r="CF465" i="1"/>
  <c r="CE465" i="1"/>
  <c r="CD465" i="1"/>
  <c r="CC465" i="1"/>
  <c r="CB465" i="1"/>
  <c r="CA465" i="1"/>
  <c r="BZ465" i="1"/>
  <c r="BY465" i="1"/>
  <c r="BX465" i="1"/>
  <c r="BW465" i="1"/>
  <c r="CR464" i="1"/>
  <c r="CQ464" i="1"/>
  <c r="CP464" i="1"/>
  <c r="CO464" i="1"/>
  <c r="CN464" i="1"/>
  <c r="CM464" i="1"/>
  <c r="CL464" i="1"/>
  <c r="CK464" i="1"/>
  <c r="CJ464" i="1"/>
  <c r="CI464" i="1"/>
  <c r="CH464" i="1"/>
  <c r="CG464" i="1"/>
  <c r="CF464" i="1"/>
  <c r="CE464" i="1"/>
  <c r="CD464" i="1"/>
  <c r="CC464" i="1"/>
  <c r="CB464" i="1"/>
  <c r="CA464" i="1"/>
  <c r="BZ464" i="1"/>
  <c r="BY464" i="1"/>
  <c r="BX464" i="1"/>
  <c r="BW464" i="1"/>
  <c r="CR463" i="1"/>
  <c r="CQ463" i="1"/>
  <c r="CP463" i="1"/>
  <c r="CO463" i="1"/>
  <c r="CN463" i="1"/>
  <c r="CM463" i="1"/>
  <c r="CL463" i="1"/>
  <c r="CK463" i="1"/>
  <c r="CJ463" i="1"/>
  <c r="CI463" i="1"/>
  <c r="CH463" i="1"/>
  <c r="CG463" i="1"/>
  <c r="CF463" i="1"/>
  <c r="CE463" i="1"/>
  <c r="CD463" i="1"/>
  <c r="CC463" i="1"/>
  <c r="CB463" i="1"/>
  <c r="CA463" i="1"/>
  <c r="BZ463" i="1"/>
  <c r="BY463" i="1"/>
  <c r="BX463" i="1"/>
  <c r="BW463" i="1"/>
  <c r="CR462" i="1"/>
  <c r="CQ462" i="1"/>
  <c r="CP462" i="1"/>
  <c r="CO462" i="1"/>
  <c r="CN462" i="1"/>
  <c r="CM462" i="1"/>
  <c r="CL462" i="1"/>
  <c r="CK462" i="1"/>
  <c r="CJ462" i="1"/>
  <c r="CI462" i="1"/>
  <c r="CH462" i="1"/>
  <c r="CG462" i="1"/>
  <c r="CF462" i="1"/>
  <c r="CE462" i="1"/>
  <c r="CD462" i="1"/>
  <c r="CC462" i="1"/>
  <c r="CB462" i="1"/>
  <c r="CA462" i="1"/>
  <c r="BZ462" i="1"/>
  <c r="BY462" i="1"/>
  <c r="BX462" i="1"/>
  <c r="BW462" i="1"/>
  <c r="CR461" i="1"/>
  <c r="CQ461" i="1"/>
  <c r="CP461" i="1"/>
  <c r="CO461" i="1"/>
  <c r="CN461" i="1"/>
  <c r="CM461" i="1"/>
  <c r="CL461" i="1"/>
  <c r="CK461" i="1"/>
  <c r="CJ461" i="1"/>
  <c r="CI461" i="1"/>
  <c r="CH461" i="1"/>
  <c r="CG461" i="1"/>
  <c r="CF461" i="1"/>
  <c r="CE461" i="1"/>
  <c r="CD461" i="1"/>
  <c r="CC461" i="1"/>
  <c r="CB461" i="1"/>
  <c r="CA461" i="1"/>
  <c r="BZ461" i="1"/>
  <c r="BY461" i="1"/>
  <c r="BX461" i="1"/>
  <c r="BW461" i="1"/>
  <c r="CR460" i="1"/>
  <c r="CQ460" i="1"/>
  <c r="CP460" i="1"/>
  <c r="CO460" i="1"/>
  <c r="CN460" i="1"/>
  <c r="CM460" i="1"/>
  <c r="CL460" i="1"/>
  <c r="CK460" i="1"/>
  <c r="CJ460" i="1"/>
  <c r="CI460" i="1"/>
  <c r="CH460" i="1"/>
  <c r="CG460" i="1"/>
  <c r="CF460" i="1"/>
  <c r="CE460" i="1"/>
  <c r="CD460" i="1"/>
  <c r="CC460" i="1"/>
  <c r="CB460" i="1"/>
  <c r="CA460" i="1"/>
  <c r="BZ460" i="1"/>
  <c r="BY460" i="1"/>
  <c r="BX460" i="1"/>
  <c r="BW460" i="1"/>
  <c r="CR459" i="1"/>
  <c r="CQ459" i="1"/>
  <c r="CP459" i="1"/>
  <c r="CO459" i="1"/>
  <c r="CN459" i="1"/>
  <c r="CM459" i="1"/>
  <c r="CL459" i="1"/>
  <c r="CK459" i="1"/>
  <c r="CJ459" i="1"/>
  <c r="CI459" i="1"/>
  <c r="CH459" i="1"/>
  <c r="CG459" i="1"/>
  <c r="CF459" i="1"/>
  <c r="CE459" i="1"/>
  <c r="CD459" i="1"/>
  <c r="CC459" i="1"/>
  <c r="CB459" i="1"/>
  <c r="CA459" i="1"/>
  <c r="BZ459" i="1"/>
  <c r="BY459" i="1"/>
  <c r="BX459" i="1"/>
  <c r="BW459" i="1"/>
  <c r="CR458" i="1"/>
  <c r="CQ458" i="1"/>
  <c r="CP458" i="1"/>
  <c r="CO458" i="1"/>
  <c r="CN458" i="1"/>
  <c r="CM458" i="1"/>
  <c r="CL458" i="1"/>
  <c r="CK458" i="1"/>
  <c r="CJ458" i="1"/>
  <c r="CI458" i="1"/>
  <c r="CH458" i="1"/>
  <c r="CG458" i="1"/>
  <c r="CF458" i="1"/>
  <c r="CE458" i="1"/>
  <c r="CD458" i="1"/>
  <c r="CC458" i="1"/>
  <c r="CB458" i="1"/>
  <c r="CA458" i="1"/>
  <c r="BZ458" i="1"/>
  <c r="BY458" i="1"/>
  <c r="BX458" i="1"/>
  <c r="BW458" i="1"/>
  <c r="CR457" i="1"/>
  <c r="CQ457" i="1"/>
  <c r="CP457" i="1"/>
  <c r="CO457" i="1"/>
  <c r="CN457" i="1"/>
  <c r="CM457" i="1"/>
  <c r="CL457" i="1"/>
  <c r="CK457" i="1"/>
  <c r="CJ457" i="1"/>
  <c r="CI457" i="1"/>
  <c r="CH457" i="1"/>
  <c r="CG457" i="1"/>
  <c r="CF457" i="1"/>
  <c r="CE457" i="1"/>
  <c r="CD457" i="1"/>
  <c r="CC457" i="1"/>
  <c r="CB457" i="1"/>
  <c r="CA457" i="1"/>
  <c r="BZ457" i="1"/>
  <c r="BY457" i="1"/>
  <c r="BX457" i="1"/>
  <c r="BW457" i="1"/>
  <c r="CR456" i="1"/>
  <c r="CQ456" i="1"/>
  <c r="CP456" i="1"/>
  <c r="CO456" i="1"/>
  <c r="CN456" i="1"/>
  <c r="CM456" i="1"/>
  <c r="CL456" i="1"/>
  <c r="CK456" i="1"/>
  <c r="CJ456" i="1"/>
  <c r="CI456" i="1"/>
  <c r="CH456" i="1"/>
  <c r="CG456" i="1"/>
  <c r="CF456" i="1"/>
  <c r="CE456" i="1"/>
  <c r="CD456" i="1"/>
  <c r="CC456" i="1"/>
  <c r="CB456" i="1"/>
  <c r="CA456" i="1"/>
  <c r="BZ456" i="1"/>
  <c r="BY456" i="1"/>
  <c r="BX456" i="1"/>
  <c r="BW456" i="1"/>
  <c r="CR455" i="1"/>
  <c r="CQ455" i="1"/>
  <c r="CP455" i="1"/>
  <c r="CO455" i="1"/>
  <c r="CN455" i="1"/>
  <c r="CM455" i="1"/>
  <c r="CL455" i="1"/>
  <c r="CK455" i="1"/>
  <c r="CJ455" i="1"/>
  <c r="CI455" i="1"/>
  <c r="CH455" i="1"/>
  <c r="CG455" i="1"/>
  <c r="CF455" i="1"/>
  <c r="CE455" i="1"/>
  <c r="CD455" i="1"/>
  <c r="CC455" i="1"/>
  <c r="CB455" i="1"/>
  <c r="CA455" i="1"/>
  <c r="BZ455" i="1"/>
  <c r="BY455" i="1"/>
  <c r="BX455" i="1"/>
  <c r="BW455" i="1"/>
  <c r="CR454" i="1"/>
  <c r="CQ454" i="1"/>
  <c r="CP454" i="1"/>
  <c r="CO454" i="1"/>
  <c r="CN454" i="1"/>
  <c r="CM454" i="1"/>
  <c r="CL454" i="1"/>
  <c r="CK454" i="1"/>
  <c r="CJ454" i="1"/>
  <c r="CI454" i="1"/>
  <c r="CH454" i="1"/>
  <c r="CG454" i="1"/>
  <c r="CF454" i="1"/>
  <c r="CE454" i="1"/>
  <c r="CD454" i="1"/>
  <c r="CC454" i="1"/>
  <c r="CB454" i="1"/>
  <c r="CA454" i="1"/>
  <c r="BZ454" i="1"/>
  <c r="BY454" i="1"/>
  <c r="BX454" i="1"/>
  <c r="BW454" i="1"/>
  <c r="CR453" i="1"/>
  <c r="CQ453" i="1"/>
  <c r="CP453" i="1"/>
  <c r="CO453" i="1"/>
  <c r="CN453" i="1"/>
  <c r="CM453" i="1"/>
  <c r="CL453" i="1"/>
  <c r="CK453" i="1"/>
  <c r="CJ453" i="1"/>
  <c r="CI453" i="1"/>
  <c r="CH453" i="1"/>
  <c r="CG453" i="1"/>
  <c r="CF453" i="1"/>
  <c r="CE453" i="1"/>
  <c r="CD453" i="1"/>
  <c r="CC453" i="1"/>
  <c r="CB453" i="1"/>
  <c r="CA453" i="1"/>
  <c r="BZ453" i="1"/>
  <c r="BY453" i="1"/>
  <c r="BX453" i="1"/>
  <c r="BW453" i="1"/>
  <c r="CR452" i="1"/>
  <c r="CQ452" i="1"/>
  <c r="CP452" i="1"/>
  <c r="CO452" i="1"/>
  <c r="CN452" i="1"/>
  <c r="CM452" i="1"/>
  <c r="CL452" i="1"/>
  <c r="CK452" i="1"/>
  <c r="CJ452" i="1"/>
  <c r="CI452" i="1"/>
  <c r="CH452" i="1"/>
  <c r="CG452" i="1"/>
  <c r="CF452" i="1"/>
  <c r="CE452" i="1"/>
  <c r="CD452" i="1"/>
  <c r="CC452" i="1"/>
  <c r="CB452" i="1"/>
  <c r="CA452" i="1"/>
  <c r="BZ452" i="1"/>
  <c r="BY452" i="1"/>
  <c r="BX452" i="1"/>
  <c r="BW452" i="1"/>
  <c r="CR451" i="1"/>
  <c r="CQ451" i="1"/>
  <c r="CP451" i="1"/>
  <c r="CO451" i="1"/>
  <c r="CN451" i="1"/>
  <c r="CM451" i="1"/>
  <c r="CL451" i="1"/>
  <c r="CK451" i="1"/>
  <c r="CJ451" i="1"/>
  <c r="CI451" i="1"/>
  <c r="CH451" i="1"/>
  <c r="CG451" i="1"/>
  <c r="CF451" i="1"/>
  <c r="CE451" i="1"/>
  <c r="CD451" i="1"/>
  <c r="CC451" i="1"/>
  <c r="CB451" i="1"/>
  <c r="CA451" i="1"/>
  <c r="BZ451" i="1"/>
  <c r="BY451" i="1"/>
  <c r="BX451" i="1"/>
  <c r="BW451" i="1"/>
  <c r="CR450" i="1"/>
  <c r="CQ450" i="1"/>
  <c r="CP450" i="1"/>
  <c r="CO450" i="1"/>
  <c r="CN450" i="1"/>
  <c r="CM450" i="1"/>
  <c r="CL450" i="1"/>
  <c r="CK450" i="1"/>
  <c r="CJ450" i="1"/>
  <c r="CI450" i="1"/>
  <c r="CH450" i="1"/>
  <c r="CG450" i="1"/>
  <c r="CF450" i="1"/>
  <c r="CE450" i="1"/>
  <c r="CD450" i="1"/>
  <c r="CC450" i="1"/>
  <c r="CB450" i="1"/>
  <c r="CA450" i="1"/>
  <c r="BZ450" i="1"/>
  <c r="BY450" i="1"/>
  <c r="BX450" i="1"/>
  <c r="BW450" i="1"/>
  <c r="CR449" i="1"/>
  <c r="CQ449" i="1"/>
  <c r="CP449" i="1"/>
  <c r="CO449" i="1"/>
  <c r="CN449" i="1"/>
  <c r="CM449" i="1"/>
  <c r="CL449" i="1"/>
  <c r="CK449" i="1"/>
  <c r="CJ449" i="1"/>
  <c r="CI449" i="1"/>
  <c r="CH449" i="1"/>
  <c r="CG449" i="1"/>
  <c r="CF449" i="1"/>
  <c r="CE449" i="1"/>
  <c r="CD449" i="1"/>
  <c r="CC449" i="1"/>
  <c r="CB449" i="1"/>
  <c r="CA449" i="1"/>
  <c r="BZ449" i="1"/>
  <c r="BY449" i="1"/>
  <c r="BX449" i="1"/>
  <c r="BW449" i="1"/>
  <c r="CR448" i="1"/>
  <c r="CQ448" i="1"/>
  <c r="CP448" i="1"/>
  <c r="CO448" i="1"/>
  <c r="CN448" i="1"/>
  <c r="CM448" i="1"/>
  <c r="CL448" i="1"/>
  <c r="CK448" i="1"/>
  <c r="CJ448" i="1"/>
  <c r="CI448" i="1"/>
  <c r="CH448" i="1"/>
  <c r="CG448" i="1"/>
  <c r="CF448" i="1"/>
  <c r="CE448" i="1"/>
  <c r="CD448" i="1"/>
  <c r="CC448" i="1"/>
  <c r="CB448" i="1"/>
  <c r="CA448" i="1"/>
  <c r="BZ448" i="1"/>
  <c r="BY448" i="1"/>
  <c r="BX448" i="1"/>
  <c r="BW448" i="1"/>
  <c r="CR447" i="1"/>
  <c r="CQ447" i="1"/>
  <c r="CP447" i="1"/>
  <c r="CO447" i="1"/>
  <c r="CN447" i="1"/>
  <c r="CM447" i="1"/>
  <c r="CL447" i="1"/>
  <c r="CK447" i="1"/>
  <c r="CJ447" i="1"/>
  <c r="CI447" i="1"/>
  <c r="CH447" i="1"/>
  <c r="CG447" i="1"/>
  <c r="CF447" i="1"/>
  <c r="CE447" i="1"/>
  <c r="CD447" i="1"/>
  <c r="CC447" i="1"/>
  <c r="CB447" i="1"/>
  <c r="CA447" i="1"/>
  <c r="BZ447" i="1"/>
  <c r="BY447" i="1"/>
  <c r="BX447" i="1"/>
  <c r="BW447" i="1"/>
  <c r="CR446" i="1"/>
  <c r="CQ446" i="1"/>
  <c r="CP446" i="1"/>
  <c r="CO446" i="1"/>
  <c r="CN446" i="1"/>
  <c r="CM446" i="1"/>
  <c r="CL446" i="1"/>
  <c r="CK446" i="1"/>
  <c r="CJ446" i="1"/>
  <c r="CI446" i="1"/>
  <c r="CH446" i="1"/>
  <c r="CG446" i="1"/>
  <c r="CF446" i="1"/>
  <c r="CE446" i="1"/>
  <c r="CD446" i="1"/>
  <c r="CC446" i="1"/>
  <c r="CB446" i="1"/>
  <c r="CA446" i="1"/>
  <c r="BZ446" i="1"/>
  <c r="BY446" i="1"/>
  <c r="BX446" i="1"/>
  <c r="BW446" i="1"/>
  <c r="CR445" i="1"/>
  <c r="CQ445" i="1"/>
  <c r="CP445" i="1"/>
  <c r="CO445" i="1"/>
  <c r="CN445" i="1"/>
  <c r="CM445" i="1"/>
  <c r="CL445" i="1"/>
  <c r="CK445" i="1"/>
  <c r="CJ445" i="1"/>
  <c r="CI445" i="1"/>
  <c r="CH445" i="1"/>
  <c r="CG445" i="1"/>
  <c r="CF445" i="1"/>
  <c r="CE445" i="1"/>
  <c r="CD445" i="1"/>
  <c r="CC445" i="1"/>
  <c r="CB445" i="1"/>
  <c r="CA445" i="1"/>
  <c r="BZ445" i="1"/>
  <c r="BY445" i="1"/>
  <c r="BX445" i="1"/>
  <c r="BW445" i="1"/>
  <c r="CR444" i="1"/>
  <c r="CQ444" i="1"/>
  <c r="CP444" i="1"/>
  <c r="CO444" i="1"/>
  <c r="CN444" i="1"/>
  <c r="CM444" i="1"/>
  <c r="CL444" i="1"/>
  <c r="CK444" i="1"/>
  <c r="CJ444" i="1"/>
  <c r="CI444" i="1"/>
  <c r="CH444" i="1"/>
  <c r="CG444" i="1"/>
  <c r="CF444" i="1"/>
  <c r="CE444" i="1"/>
  <c r="CD444" i="1"/>
  <c r="CC444" i="1"/>
  <c r="CB444" i="1"/>
  <c r="CA444" i="1"/>
  <c r="BZ444" i="1"/>
  <c r="BY444" i="1"/>
  <c r="BX444" i="1"/>
  <c r="BW444" i="1"/>
  <c r="CR443" i="1"/>
  <c r="CQ443" i="1"/>
  <c r="CP443" i="1"/>
  <c r="CO443" i="1"/>
  <c r="CN443" i="1"/>
  <c r="CM443" i="1"/>
  <c r="CL443" i="1"/>
  <c r="CK443" i="1"/>
  <c r="CJ443" i="1"/>
  <c r="CI443" i="1"/>
  <c r="CH443" i="1"/>
  <c r="CG443" i="1"/>
  <c r="CF443" i="1"/>
  <c r="CE443" i="1"/>
  <c r="CD443" i="1"/>
  <c r="CC443" i="1"/>
  <c r="CB443" i="1"/>
  <c r="CA443" i="1"/>
  <c r="BZ443" i="1"/>
  <c r="BY443" i="1"/>
  <c r="BX443" i="1"/>
  <c r="BW443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CR441" i="1"/>
  <c r="CQ441" i="1"/>
  <c r="CP441" i="1"/>
  <c r="CO441" i="1"/>
  <c r="CN441" i="1"/>
  <c r="CM441" i="1"/>
  <c r="CL441" i="1"/>
  <c r="CK441" i="1"/>
  <c r="CJ441" i="1"/>
  <c r="CI441" i="1"/>
  <c r="CH441" i="1"/>
  <c r="CG441" i="1"/>
  <c r="CF441" i="1"/>
  <c r="CE441" i="1"/>
  <c r="CD441" i="1"/>
  <c r="CC441" i="1"/>
  <c r="CB441" i="1"/>
  <c r="CA441" i="1"/>
  <c r="BZ441" i="1"/>
  <c r="BY441" i="1"/>
  <c r="BX441" i="1"/>
  <c r="BW441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CR439" i="1"/>
  <c r="CQ439" i="1"/>
  <c r="CP439" i="1"/>
  <c r="CO439" i="1"/>
  <c r="CN439" i="1"/>
  <c r="CM439" i="1"/>
  <c r="CL439" i="1"/>
  <c r="CK439" i="1"/>
  <c r="CJ439" i="1"/>
  <c r="CI439" i="1"/>
  <c r="CH439" i="1"/>
  <c r="CG439" i="1"/>
  <c r="CF439" i="1"/>
  <c r="CE439" i="1"/>
  <c r="CD439" i="1"/>
  <c r="CC439" i="1"/>
  <c r="CB439" i="1"/>
  <c r="CA439" i="1"/>
  <c r="BZ439" i="1"/>
  <c r="BY439" i="1"/>
  <c r="BX439" i="1"/>
  <c r="BW439" i="1"/>
  <c r="CR438" i="1"/>
  <c r="CQ438" i="1"/>
  <c r="CP438" i="1"/>
  <c r="CO438" i="1"/>
  <c r="CN438" i="1"/>
  <c r="CM438" i="1"/>
  <c r="CL438" i="1"/>
  <c r="CK438" i="1"/>
  <c r="CJ438" i="1"/>
  <c r="CI438" i="1"/>
  <c r="CH438" i="1"/>
  <c r="CG438" i="1"/>
  <c r="CF438" i="1"/>
  <c r="CE438" i="1"/>
  <c r="CD438" i="1"/>
  <c r="CC438" i="1"/>
  <c r="CB438" i="1"/>
  <c r="CA438" i="1"/>
  <c r="BZ438" i="1"/>
  <c r="BY438" i="1"/>
  <c r="BX438" i="1"/>
  <c r="BW438" i="1"/>
  <c r="CR437" i="1"/>
  <c r="CQ437" i="1"/>
  <c r="CP437" i="1"/>
  <c r="CO437" i="1"/>
  <c r="CN437" i="1"/>
  <c r="CM437" i="1"/>
  <c r="CL437" i="1"/>
  <c r="CK437" i="1"/>
  <c r="CJ437" i="1"/>
  <c r="CI437" i="1"/>
  <c r="CH437" i="1"/>
  <c r="CG437" i="1"/>
  <c r="CF437" i="1"/>
  <c r="CE437" i="1"/>
  <c r="CD437" i="1"/>
  <c r="CC437" i="1"/>
  <c r="CB437" i="1"/>
  <c r="CA437" i="1"/>
  <c r="BZ437" i="1"/>
  <c r="BY437" i="1"/>
  <c r="BX437" i="1"/>
  <c r="BW437" i="1"/>
  <c r="CR436" i="1"/>
  <c r="CQ436" i="1"/>
  <c r="CP436" i="1"/>
  <c r="CO436" i="1"/>
  <c r="CN436" i="1"/>
  <c r="CM436" i="1"/>
  <c r="CL436" i="1"/>
  <c r="CK436" i="1"/>
  <c r="CJ436" i="1"/>
  <c r="CI436" i="1"/>
  <c r="CH436" i="1"/>
  <c r="CG436" i="1"/>
  <c r="CF436" i="1"/>
  <c r="CE436" i="1"/>
  <c r="CD436" i="1"/>
  <c r="CC436" i="1"/>
  <c r="CB436" i="1"/>
  <c r="CA436" i="1"/>
  <c r="BZ436" i="1"/>
  <c r="BY436" i="1"/>
  <c r="BX436" i="1"/>
  <c r="BW436" i="1"/>
  <c r="CR435" i="1"/>
  <c r="CQ435" i="1"/>
  <c r="CP435" i="1"/>
  <c r="CO435" i="1"/>
  <c r="CN435" i="1"/>
  <c r="CM435" i="1"/>
  <c r="CL435" i="1"/>
  <c r="CK435" i="1"/>
  <c r="CJ435" i="1"/>
  <c r="CI435" i="1"/>
  <c r="CH435" i="1"/>
  <c r="CG435" i="1"/>
  <c r="CF435" i="1"/>
  <c r="CE435" i="1"/>
  <c r="CD435" i="1"/>
  <c r="CC435" i="1"/>
  <c r="CB435" i="1"/>
  <c r="CA435" i="1"/>
  <c r="BZ435" i="1"/>
  <c r="BY435" i="1"/>
  <c r="BX435" i="1"/>
  <c r="BW435" i="1"/>
  <c r="CR434" i="1"/>
  <c r="CQ434" i="1"/>
  <c r="CP434" i="1"/>
  <c r="CO434" i="1"/>
  <c r="CN434" i="1"/>
  <c r="CM434" i="1"/>
  <c r="CL434" i="1"/>
  <c r="CK434" i="1"/>
  <c r="CJ434" i="1"/>
  <c r="CI434" i="1"/>
  <c r="CH434" i="1"/>
  <c r="CG434" i="1"/>
  <c r="CF434" i="1"/>
  <c r="CE434" i="1"/>
  <c r="CD434" i="1"/>
  <c r="CC434" i="1"/>
  <c r="CB434" i="1"/>
  <c r="CA434" i="1"/>
  <c r="BZ434" i="1"/>
  <c r="BY434" i="1"/>
  <c r="BX434" i="1"/>
  <c r="BW434" i="1"/>
  <c r="CR433" i="1"/>
  <c r="CQ433" i="1"/>
  <c r="CP433" i="1"/>
  <c r="CO433" i="1"/>
  <c r="CN433" i="1"/>
  <c r="CM433" i="1"/>
  <c r="CL433" i="1"/>
  <c r="CK433" i="1"/>
  <c r="CJ433" i="1"/>
  <c r="CI433" i="1"/>
  <c r="CH433" i="1"/>
  <c r="CG433" i="1"/>
  <c r="CF433" i="1"/>
  <c r="CE433" i="1"/>
  <c r="CD433" i="1"/>
  <c r="CC433" i="1"/>
  <c r="CB433" i="1"/>
  <c r="CA433" i="1"/>
  <c r="BZ433" i="1"/>
  <c r="BY433" i="1"/>
  <c r="BX433" i="1"/>
  <c r="BW433" i="1"/>
  <c r="CR432" i="1"/>
  <c r="CQ432" i="1"/>
  <c r="CP432" i="1"/>
  <c r="CO432" i="1"/>
  <c r="CN432" i="1"/>
  <c r="CM432" i="1"/>
  <c r="CL432" i="1"/>
  <c r="CK432" i="1"/>
  <c r="CJ432" i="1"/>
  <c r="CI432" i="1"/>
  <c r="CH432" i="1"/>
  <c r="CG432" i="1"/>
  <c r="CF432" i="1"/>
  <c r="CE432" i="1"/>
  <c r="CD432" i="1"/>
  <c r="CC432" i="1"/>
  <c r="CB432" i="1"/>
  <c r="CA432" i="1"/>
  <c r="BZ432" i="1"/>
  <c r="BY432" i="1"/>
  <c r="BX432" i="1"/>
  <c r="BW432" i="1"/>
  <c r="CR431" i="1"/>
  <c r="CQ431" i="1"/>
  <c r="CP431" i="1"/>
  <c r="CO431" i="1"/>
  <c r="CN431" i="1"/>
  <c r="CM431" i="1"/>
  <c r="CL431" i="1"/>
  <c r="CK431" i="1"/>
  <c r="CJ431" i="1"/>
  <c r="CI431" i="1"/>
  <c r="CH431" i="1"/>
  <c r="CG431" i="1"/>
  <c r="CF431" i="1"/>
  <c r="CE431" i="1"/>
  <c r="CD431" i="1"/>
  <c r="CC431" i="1"/>
  <c r="CB431" i="1"/>
  <c r="CA431" i="1"/>
  <c r="BZ431" i="1"/>
  <c r="BY431" i="1"/>
  <c r="BX431" i="1"/>
  <c r="BW431" i="1"/>
  <c r="CR430" i="1"/>
  <c r="CQ430" i="1"/>
  <c r="CP430" i="1"/>
  <c r="CO430" i="1"/>
  <c r="CN430" i="1"/>
  <c r="CM430" i="1"/>
  <c r="CL430" i="1"/>
  <c r="CK430" i="1"/>
  <c r="CJ430" i="1"/>
  <c r="CI430" i="1"/>
  <c r="CH430" i="1"/>
  <c r="CG430" i="1"/>
  <c r="CF430" i="1"/>
  <c r="CE430" i="1"/>
  <c r="CD430" i="1"/>
  <c r="CC430" i="1"/>
  <c r="CB430" i="1"/>
  <c r="CA430" i="1"/>
  <c r="BZ430" i="1"/>
  <c r="BY430" i="1"/>
  <c r="BX430" i="1"/>
  <c r="BW430" i="1"/>
  <c r="CR429" i="1"/>
  <c r="CQ429" i="1"/>
  <c r="CP429" i="1"/>
  <c r="CO429" i="1"/>
  <c r="CN429" i="1"/>
  <c r="CM429" i="1"/>
  <c r="CL429" i="1"/>
  <c r="CK429" i="1"/>
  <c r="CJ429" i="1"/>
  <c r="CI429" i="1"/>
  <c r="CH429" i="1"/>
  <c r="CG429" i="1"/>
  <c r="CF429" i="1"/>
  <c r="CE429" i="1"/>
  <c r="CD429" i="1"/>
  <c r="CC429" i="1"/>
  <c r="CB429" i="1"/>
  <c r="CA429" i="1"/>
  <c r="BZ429" i="1"/>
  <c r="BY429" i="1"/>
  <c r="BX429" i="1"/>
  <c r="BW429" i="1"/>
  <c r="CR428" i="1"/>
  <c r="CQ428" i="1"/>
  <c r="CP428" i="1"/>
  <c r="CO428" i="1"/>
  <c r="CN428" i="1"/>
  <c r="CM428" i="1"/>
  <c r="CL428" i="1"/>
  <c r="CK428" i="1"/>
  <c r="CJ428" i="1"/>
  <c r="CI428" i="1"/>
  <c r="CH428" i="1"/>
  <c r="CG428" i="1"/>
  <c r="CF428" i="1"/>
  <c r="CE428" i="1"/>
  <c r="CD428" i="1"/>
  <c r="CC428" i="1"/>
  <c r="CB428" i="1"/>
  <c r="CA428" i="1"/>
  <c r="BZ428" i="1"/>
  <c r="BY428" i="1"/>
  <c r="BX428" i="1"/>
  <c r="BW428" i="1"/>
  <c r="CR427" i="1"/>
  <c r="CQ427" i="1"/>
  <c r="CP427" i="1"/>
  <c r="CO427" i="1"/>
  <c r="CN427" i="1"/>
  <c r="CM427" i="1"/>
  <c r="CL427" i="1"/>
  <c r="CK427" i="1"/>
  <c r="CJ427" i="1"/>
  <c r="CI427" i="1"/>
  <c r="CH427" i="1"/>
  <c r="CG427" i="1"/>
  <c r="CF427" i="1"/>
  <c r="CE427" i="1"/>
  <c r="CD427" i="1"/>
  <c r="CC427" i="1"/>
  <c r="CB427" i="1"/>
  <c r="CA427" i="1"/>
  <c r="BZ427" i="1"/>
  <c r="BY427" i="1"/>
  <c r="BX427" i="1"/>
  <c r="BW427" i="1"/>
  <c r="CR426" i="1"/>
  <c r="CQ426" i="1"/>
  <c r="CP426" i="1"/>
  <c r="CO426" i="1"/>
  <c r="CN426" i="1"/>
  <c r="CM426" i="1"/>
  <c r="CL426" i="1"/>
  <c r="CK426" i="1"/>
  <c r="CJ426" i="1"/>
  <c r="CI426" i="1"/>
  <c r="CH426" i="1"/>
  <c r="CG426" i="1"/>
  <c r="CF426" i="1"/>
  <c r="CE426" i="1"/>
  <c r="CD426" i="1"/>
  <c r="CC426" i="1"/>
  <c r="CB426" i="1"/>
  <c r="CA426" i="1"/>
  <c r="BZ426" i="1"/>
  <c r="BY426" i="1"/>
  <c r="BX426" i="1"/>
  <c r="BW426" i="1"/>
  <c r="CR425" i="1"/>
  <c r="CQ425" i="1"/>
  <c r="CP425" i="1"/>
  <c r="CO425" i="1"/>
  <c r="CN425" i="1"/>
  <c r="CM425" i="1"/>
  <c r="CL425" i="1"/>
  <c r="CK425" i="1"/>
  <c r="CJ425" i="1"/>
  <c r="CI425" i="1"/>
  <c r="CH425" i="1"/>
  <c r="CG425" i="1"/>
  <c r="CF425" i="1"/>
  <c r="CE425" i="1"/>
  <c r="CD425" i="1"/>
  <c r="CC425" i="1"/>
  <c r="CB425" i="1"/>
  <c r="CA425" i="1"/>
  <c r="BZ425" i="1"/>
  <c r="BY425" i="1"/>
  <c r="BX425" i="1"/>
  <c r="BW425" i="1"/>
  <c r="CR424" i="1"/>
  <c r="CQ424" i="1"/>
  <c r="CP424" i="1"/>
  <c r="CO424" i="1"/>
  <c r="CN424" i="1"/>
  <c r="CM424" i="1"/>
  <c r="CL424" i="1"/>
  <c r="CK424" i="1"/>
  <c r="CJ424" i="1"/>
  <c r="CI424" i="1"/>
  <c r="CH424" i="1"/>
  <c r="CG424" i="1"/>
  <c r="CF424" i="1"/>
  <c r="CE424" i="1"/>
  <c r="CD424" i="1"/>
  <c r="CC424" i="1"/>
  <c r="CB424" i="1"/>
  <c r="CA424" i="1"/>
  <c r="BZ424" i="1"/>
  <c r="BY424" i="1"/>
  <c r="BX424" i="1"/>
  <c r="BW424" i="1"/>
  <c r="CR423" i="1"/>
  <c r="CQ423" i="1"/>
  <c r="CP423" i="1"/>
  <c r="CO423" i="1"/>
  <c r="CN423" i="1"/>
  <c r="CM423" i="1"/>
  <c r="CL423" i="1"/>
  <c r="CK423" i="1"/>
  <c r="CJ423" i="1"/>
  <c r="CI423" i="1"/>
  <c r="CH423" i="1"/>
  <c r="CG423" i="1"/>
  <c r="CF423" i="1"/>
  <c r="CE423" i="1"/>
  <c r="CD423" i="1"/>
  <c r="CC423" i="1"/>
  <c r="CB423" i="1"/>
  <c r="CA423" i="1"/>
  <c r="BZ423" i="1"/>
  <c r="BY423" i="1"/>
  <c r="BX423" i="1"/>
  <c r="BW423" i="1"/>
  <c r="CR422" i="1"/>
  <c r="CQ422" i="1"/>
  <c r="CP422" i="1"/>
  <c r="CO422" i="1"/>
  <c r="CN422" i="1"/>
  <c r="CM422" i="1"/>
  <c r="CL422" i="1"/>
  <c r="CK422" i="1"/>
  <c r="CJ422" i="1"/>
  <c r="CI422" i="1"/>
  <c r="CH422" i="1"/>
  <c r="CG422" i="1"/>
  <c r="CF422" i="1"/>
  <c r="CE422" i="1"/>
  <c r="CD422" i="1"/>
  <c r="CC422" i="1"/>
  <c r="CB422" i="1"/>
  <c r="CA422" i="1"/>
  <c r="BZ422" i="1"/>
  <c r="BY422" i="1"/>
  <c r="BX422" i="1"/>
  <c r="BW422" i="1"/>
  <c r="CR421" i="1"/>
  <c r="CQ421" i="1"/>
  <c r="CP421" i="1"/>
  <c r="CO421" i="1"/>
  <c r="CN421" i="1"/>
  <c r="CM421" i="1"/>
  <c r="CL421" i="1"/>
  <c r="CK421" i="1"/>
  <c r="CJ421" i="1"/>
  <c r="CI421" i="1"/>
  <c r="CH421" i="1"/>
  <c r="CG421" i="1"/>
  <c r="CF421" i="1"/>
  <c r="CE421" i="1"/>
  <c r="CD421" i="1"/>
  <c r="CC421" i="1"/>
  <c r="CB421" i="1"/>
  <c r="CA421" i="1"/>
  <c r="BZ421" i="1"/>
  <c r="BY421" i="1"/>
  <c r="BX421" i="1"/>
  <c r="BW421" i="1"/>
  <c r="CR420" i="1"/>
  <c r="CQ420" i="1"/>
  <c r="CP420" i="1"/>
  <c r="CO420" i="1"/>
  <c r="CN420" i="1"/>
  <c r="CM420" i="1"/>
  <c r="CL420" i="1"/>
  <c r="CK420" i="1"/>
  <c r="CJ420" i="1"/>
  <c r="CI420" i="1"/>
  <c r="CH420" i="1"/>
  <c r="CG420" i="1"/>
  <c r="CF420" i="1"/>
  <c r="CE420" i="1"/>
  <c r="CD420" i="1"/>
  <c r="CC420" i="1"/>
  <c r="CB420" i="1"/>
  <c r="CA420" i="1"/>
  <c r="BZ420" i="1"/>
  <c r="BY420" i="1"/>
  <c r="BX420" i="1"/>
  <c r="BW420" i="1"/>
  <c r="CR419" i="1"/>
  <c r="CQ419" i="1"/>
  <c r="CP419" i="1"/>
  <c r="CO419" i="1"/>
  <c r="CN419" i="1"/>
  <c r="CM419" i="1"/>
  <c r="CL419" i="1"/>
  <c r="CK419" i="1"/>
  <c r="CJ419" i="1"/>
  <c r="CI419" i="1"/>
  <c r="CH419" i="1"/>
  <c r="CG419" i="1"/>
  <c r="CF419" i="1"/>
  <c r="CE419" i="1"/>
  <c r="CD419" i="1"/>
  <c r="CC419" i="1"/>
  <c r="CB419" i="1"/>
  <c r="CA419" i="1"/>
  <c r="BZ419" i="1"/>
  <c r="BY419" i="1"/>
  <c r="BX419" i="1"/>
  <c r="BW419" i="1"/>
  <c r="CR418" i="1"/>
  <c r="CQ418" i="1"/>
  <c r="CP418" i="1"/>
  <c r="CO418" i="1"/>
  <c r="CN418" i="1"/>
  <c r="CM418" i="1"/>
  <c r="CL418" i="1"/>
  <c r="CK418" i="1"/>
  <c r="CJ418" i="1"/>
  <c r="CI418" i="1"/>
  <c r="CH418" i="1"/>
  <c r="CG418" i="1"/>
  <c r="CF418" i="1"/>
  <c r="CE418" i="1"/>
  <c r="CD418" i="1"/>
  <c r="CC418" i="1"/>
  <c r="CB418" i="1"/>
  <c r="CA418" i="1"/>
  <c r="BZ418" i="1"/>
  <c r="BY418" i="1"/>
  <c r="BX418" i="1"/>
  <c r="BW418" i="1"/>
  <c r="CR417" i="1"/>
  <c r="CQ417" i="1"/>
  <c r="CP417" i="1"/>
  <c r="CO417" i="1"/>
  <c r="CN417" i="1"/>
  <c r="CM417" i="1"/>
  <c r="CL417" i="1"/>
  <c r="CK417" i="1"/>
  <c r="CJ417" i="1"/>
  <c r="CI417" i="1"/>
  <c r="CH417" i="1"/>
  <c r="CG417" i="1"/>
  <c r="CF417" i="1"/>
  <c r="CE417" i="1"/>
  <c r="CD417" i="1"/>
  <c r="CC417" i="1"/>
  <c r="CB417" i="1"/>
  <c r="CA417" i="1"/>
  <c r="BZ417" i="1"/>
  <c r="BY417" i="1"/>
  <c r="BX417" i="1"/>
  <c r="BW417" i="1"/>
  <c r="CR416" i="1"/>
  <c r="CQ416" i="1"/>
  <c r="CP416" i="1"/>
  <c r="CO416" i="1"/>
  <c r="CN416" i="1"/>
  <c r="CM416" i="1"/>
  <c r="CL416" i="1"/>
  <c r="CK416" i="1"/>
  <c r="CJ416" i="1"/>
  <c r="CI416" i="1"/>
  <c r="CH416" i="1"/>
  <c r="CG416" i="1"/>
  <c r="CF416" i="1"/>
  <c r="CE416" i="1"/>
  <c r="CD416" i="1"/>
  <c r="CC416" i="1"/>
  <c r="CB416" i="1"/>
  <c r="CA416" i="1"/>
  <c r="BZ416" i="1"/>
  <c r="BY416" i="1"/>
  <c r="BX416" i="1"/>
  <c r="BW416" i="1"/>
  <c r="CR415" i="1"/>
  <c r="CQ415" i="1"/>
  <c r="CP415" i="1"/>
  <c r="CO415" i="1"/>
  <c r="CN415" i="1"/>
  <c r="CM415" i="1"/>
  <c r="CL415" i="1"/>
  <c r="CK415" i="1"/>
  <c r="CJ415" i="1"/>
  <c r="CI415" i="1"/>
  <c r="CH415" i="1"/>
  <c r="CG415" i="1"/>
  <c r="CF415" i="1"/>
  <c r="CE415" i="1"/>
  <c r="CD415" i="1"/>
  <c r="CC415" i="1"/>
  <c r="CB415" i="1"/>
  <c r="CA415" i="1"/>
  <c r="BZ415" i="1"/>
  <c r="BY415" i="1"/>
  <c r="BX415" i="1"/>
  <c r="BW415" i="1"/>
  <c r="CR414" i="1"/>
  <c r="CQ414" i="1"/>
  <c r="CP414" i="1"/>
  <c r="CO414" i="1"/>
  <c r="CN414" i="1"/>
  <c r="CM414" i="1"/>
  <c r="CL414" i="1"/>
  <c r="CK414" i="1"/>
  <c r="CJ414" i="1"/>
  <c r="CI414" i="1"/>
  <c r="CH414" i="1"/>
  <c r="CG414" i="1"/>
  <c r="CF414" i="1"/>
  <c r="CE414" i="1"/>
  <c r="CD414" i="1"/>
  <c r="CC414" i="1"/>
  <c r="CB414" i="1"/>
  <c r="CA414" i="1"/>
  <c r="BZ414" i="1"/>
  <c r="BY414" i="1"/>
  <c r="BX414" i="1"/>
  <c r="BW414" i="1"/>
  <c r="CR413" i="1"/>
  <c r="CQ413" i="1"/>
  <c r="CP413" i="1"/>
  <c r="CO413" i="1"/>
  <c r="CN413" i="1"/>
  <c r="CM413" i="1"/>
  <c r="CL413" i="1"/>
  <c r="CK413" i="1"/>
  <c r="CJ413" i="1"/>
  <c r="CI413" i="1"/>
  <c r="CH413" i="1"/>
  <c r="CG413" i="1"/>
  <c r="CF413" i="1"/>
  <c r="CE413" i="1"/>
  <c r="CD413" i="1"/>
  <c r="CC413" i="1"/>
  <c r="CB413" i="1"/>
  <c r="CA413" i="1"/>
  <c r="BZ413" i="1"/>
  <c r="BY413" i="1"/>
  <c r="BX413" i="1"/>
  <c r="BW413" i="1"/>
  <c r="CR412" i="1"/>
  <c r="CQ412" i="1"/>
  <c r="CP412" i="1"/>
  <c r="CO412" i="1"/>
  <c r="CN412" i="1"/>
  <c r="CM412" i="1"/>
  <c r="CL412" i="1"/>
  <c r="CK412" i="1"/>
  <c r="CJ412" i="1"/>
  <c r="CI412" i="1"/>
  <c r="CH412" i="1"/>
  <c r="CG412" i="1"/>
  <c r="CF412" i="1"/>
  <c r="CE412" i="1"/>
  <c r="CD412" i="1"/>
  <c r="CC412" i="1"/>
  <c r="CB412" i="1"/>
  <c r="CA412" i="1"/>
  <c r="BZ412" i="1"/>
  <c r="BY412" i="1"/>
  <c r="BX412" i="1"/>
  <c r="BW412" i="1"/>
  <c r="CR411" i="1"/>
  <c r="CQ411" i="1"/>
  <c r="CP411" i="1"/>
  <c r="CO411" i="1"/>
  <c r="CN411" i="1"/>
  <c r="CM411" i="1"/>
  <c r="CL411" i="1"/>
  <c r="CK411" i="1"/>
  <c r="CJ411" i="1"/>
  <c r="CI411" i="1"/>
  <c r="CH411" i="1"/>
  <c r="CG411" i="1"/>
  <c r="CF411" i="1"/>
  <c r="CE411" i="1"/>
  <c r="CD411" i="1"/>
  <c r="CC411" i="1"/>
  <c r="CB411" i="1"/>
  <c r="CA411" i="1"/>
  <c r="BZ411" i="1"/>
  <c r="BY411" i="1"/>
  <c r="BX411" i="1"/>
  <c r="BW411" i="1"/>
  <c r="CR410" i="1"/>
  <c r="CQ410" i="1"/>
  <c r="CP410" i="1"/>
  <c r="CO410" i="1"/>
  <c r="CN410" i="1"/>
  <c r="CM410" i="1"/>
  <c r="CL410" i="1"/>
  <c r="CK410" i="1"/>
  <c r="CJ410" i="1"/>
  <c r="CI410" i="1"/>
  <c r="CH410" i="1"/>
  <c r="CG410" i="1"/>
  <c r="CF410" i="1"/>
  <c r="CE410" i="1"/>
  <c r="CD410" i="1"/>
  <c r="CC410" i="1"/>
  <c r="CB410" i="1"/>
  <c r="CA410" i="1"/>
  <c r="BZ410" i="1"/>
  <c r="BY410" i="1"/>
  <c r="BX410" i="1"/>
  <c r="BW410" i="1"/>
  <c r="CR409" i="1"/>
  <c r="CQ409" i="1"/>
  <c r="CP409" i="1"/>
  <c r="CO409" i="1"/>
  <c r="CN409" i="1"/>
  <c r="CM409" i="1"/>
  <c r="CL409" i="1"/>
  <c r="CK409" i="1"/>
  <c r="CJ409" i="1"/>
  <c r="CI409" i="1"/>
  <c r="CH409" i="1"/>
  <c r="CG409" i="1"/>
  <c r="CF409" i="1"/>
  <c r="CE409" i="1"/>
  <c r="CD409" i="1"/>
  <c r="CC409" i="1"/>
  <c r="CB409" i="1"/>
  <c r="CA409" i="1"/>
  <c r="BZ409" i="1"/>
  <c r="BY409" i="1"/>
  <c r="BX409" i="1"/>
  <c r="BW409" i="1"/>
  <c r="CR408" i="1"/>
  <c r="CQ408" i="1"/>
  <c r="CP408" i="1"/>
  <c r="CO408" i="1"/>
  <c r="CN408" i="1"/>
  <c r="CM408" i="1"/>
  <c r="CL408" i="1"/>
  <c r="CK408" i="1"/>
  <c r="CJ408" i="1"/>
  <c r="CI408" i="1"/>
  <c r="CH408" i="1"/>
  <c r="CG408" i="1"/>
  <c r="CF408" i="1"/>
  <c r="CE408" i="1"/>
  <c r="CD408" i="1"/>
  <c r="CC408" i="1"/>
  <c r="CB408" i="1"/>
  <c r="CA408" i="1"/>
  <c r="BZ408" i="1"/>
  <c r="BY408" i="1"/>
  <c r="BX408" i="1"/>
  <c r="BW408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CR405" i="1"/>
  <c r="CQ405" i="1"/>
  <c r="CP405" i="1"/>
  <c r="CO405" i="1"/>
  <c r="CN405" i="1"/>
  <c r="CM405" i="1"/>
  <c r="CL405" i="1"/>
  <c r="CK405" i="1"/>
  <c r="CJ405" i="1"/>
  <c r="CI405" i="1"/>
  <c r="CH405" i="1"/>
  <c r="CG405" i="1"/>
  <c r="CF405" i="1"/>
  <c r="CE405" i="1"/>
  <c r="CD405" i="1"/>
  <c r="CC405" i="1"/>
  <c r="CB405" i="1"/>
  <c r="CA405" i="1"/>
  <c r="BZ405" i="1"/>
  <c r="BY405" i="1"/>
  <c r="BX405" i="1"/>
  <c r="BW405" i="1"/>
  <c r="CR404" i="1"/>
  <c r="CQ404" i="1"/>
  <c r="CP404" i="1"/>
  <c r="CO404" i="1"/>
  <c r="CN404" i="1"/>
  <c r="CM404" i="1"/>
  <c r="CL404" i="1"/>
  <c r="CK404" i="1"/>
  <c r="CJ404" i="1"/>
  <c r="CI404" i="1"/>
  <c r="CH404" i="1"/>
  <c r="CG404" i="1"/>
  <c r="CF404" i="1"/>
  <c r="CE404" i="1"/>
  <c r="CD404" i="1"/>
  <c r="CC404" i="1"/>
  <c r="CB404" i="1"/>
  <c r="CA404" i="1"/>
  <c r="BZ404" i="1"/>
  <c r="BY404" i="1"/>
  <c r="BX404" i="1"/>
  <c r="BW404" i="1"/>
  <c r="CR403" i="1"/>
  <c r="CQ403" i="1"/>
  <c r="CP403" i="1"/>
  <c r="CO403" i="1"/>
  <c r="CN403" i="1"/>
  <c r="CM403" i="1"/>
  <c r="CL403" i="1"/>
  <c r="CK403" i="1"/>
  <c r="CJ403" i="1"/>
  <c r="CI403" i="1"/>
  <c r="CH403" i="1"/>
  <c r="CG403" i="1"/>
  <c r="CF403" i="1"/>
  <c r="CE403" i="1"/>
  <c r="CD403" i="1"/>
  <c r="CC403" i="1"/>
  <c r="CB403" i="1"/>
  <c r="CA403" i="1"/>
  <c r="BZ403" i="1"/>
  <c r="BY403" i="1"/>
  <c r="BX403" i="1"/>
  <c r="BW403" i="1"/>
  <c r="CR402" i="1"/>
  <c r="CQ402" i="1"/>
  <c r="CP402" i="1"/>
  <c r="CO402" i="1"/>
  <c r="CN402" i="1"/>
  <c r="CM402" i="1"/>
  <c r="CL402" i="1"/>
  <c r="CK402" i="1"/>
  <c r="CJ402" i="1"/>
  <c r="CI402" i="1"/>
  <c r="CH402" i="1"/>
  <c r="CG402" i="1"/>
  <c r="CF402" i="1"/>
  <c r="CE402" i="1"/>
  <c r="CD402" i="1"/>
  <c r="CC402" i="1"/>
  <c r="CB402" i="1"/>
  <c r="CA402" i="1"/>
  <c r="BZ402" i="1"/>
  <c r="BY402" i="1"/>
  <c r="BX402" i="1"/>
  <c r="BW402" i="1"/>
  <c r="CR401" i="1"/>
  <c r="CQ401" i="1"/>
  <c r="CP401" i="1"/>
  <c r="CO401" i="1"/>
  <c r="CN401" i="1"/>
  <c r="CM401" i="1"/>
  <c r="CL401" i="1"/>
  <c r="CK401" i="1"/>
  <c r="CJ401" i="1"/>
  <c r="CI401" i="1"/>
  <c r="CH401" i="1"/>
  <c r="CG401" i="1"/>
  <c r="CF401" i="1"/>
  <c r="CE401" i="1"/>
  <c r="CD401" i="1"/>
  <c r="CC401" i="1"/>
  <c r="CB401" i="1"/>
  <c r="CA401" i="1"/>
  <c r="BZ401" i="1"/>
  <c r="BY401" i="1"/>
  <c r="BX401" i="1"/>
  <c r="BW401" i="1"/>
  <c r="CR400" i="1"/>
  <c r="CQ400" i="1"/>
  <c r="CP400" i="1"/>
  <c r="CO400" i="1"/>
  <c r="CN400" i="1"/>
  <c r="CM400" i="1"/>
  <c r="CL400" i="1"/>
  <c r="CK400" i="1"/>
  <c r="CJ400" i="1"/>
  <c r="CI400" i="1"/>
  <c r="CH400" i="1"/>
  <c r="CG400" i="1"/>
  <c r="CF400" i="1"/>
  <c r="CE400" i="1"/>
  <c r="CD400" i="1"/>
  <c r="CC400" i="1"/>
  <c r="CB400" i="1"/>
  <c r="CA400" i="1"/>
  <c r="BZ400" i="1"/>
  <c r="BY400" i="1"/>
  <c r="BX400" i="1"/>
  <c r="BW400" i="1"/>
  <c r="CR399" i="1"/>
  <c r="CQ399" i="1"/>
  <c r="CP399" i="1"/>
  <c r="CO399" i="1"/>
  <c r="CN399" i="1"/>
  <c r="CM399" i="1"/>
  <c r="CL399" i="1"/>
  <c r="CK399" i="1"/>
  <c r="CJ399" i="1"/>
  <c r="CI399" i="1"/>
  <c r="CH399" i="1"/>
  <c r="CG399" i="1"/>
  <c r="CF399" i="1"/>
  <c r="CE399" i="1"/>
  <c r="CD399" i="1"/>
  <c r="CC399" i="1"/>
  <c r="CB399" i="1"/>
  <c r="CA399" i="1"/>
  <c r="BZ399" i="1"/>
  <c r="BY399" i="1"/>
  <c r="BX399" i="1"/>
  <c r="BW399" i="1"/>
  <c r="CR398" i="1"/>
  <c r="CQ398" i="1"/>
  <c r="CP398" i="1"/>
  <c r="CO398" i="1"/>
  <c r="CN398" i="1"/>
  <c r="CM398" i="1"/>
  <c r="CL398" i="1"/>
  <c r="CK398" i="1"/>
  <c r="CJ398" i="1"/>
  <c r="CI398" i="1"/>
  <c r="CH398" i="1"/>
  <c r="CG398" i="1"/>
  <c r="CF398" i="1"/>
  <c r="CE398" i="1"/>
  <c r="CD398" i="1"/>
  <c r="CC398" i="1"/>
  <c r="CB398" i="1"/>
  <c r="CA398" i="1"/>
  <c r="BZ398" i="1"/>
  <c r="BY398" i="1"/>
  <c r="BX398" i="1"/>
  <c r="BW398" i="1"/>
  <c r="CR397" i="1"/>
  <c r="CQ397" i="1"/>
  <c r="CP397" i="1"/>
  <c r="CO397" i="1"/>
  <c r="CN397" i="1"/>
  <c r="CM397" i="1"/>
  <c r="CL397" i="1"/>
  <c r="CK397" i="1"/>
  <c r="CJ397" i="1"/>
  <c r="CI397" i="1"/>
  <c r="CH397" i="1"/>
  <c r="CG397" i="1"/>
  <c r="CF397" i="1"/>
  <c r="CE397" i="1"/>
  <c r="CD397" i="1"/>
  <c r="CC397" i="1"/>
  <c r="CB397" i="1"/>
  <c r="CA397" i="1"/>
  <c r="BZ397" i="1"/>
  <c r="BY397" i="1"/>
  <c r="BX397" i="1"/>
  <c r="BW397" i="1"/>
  <c r="CR396" i="1"/>
  <c r="CQ396" i="1"/>
  <c r="CP396" i="1"/>
  <c r="CO396" i="1"/>
  <c r="CN396" i="1"/>
  <c r="CM396" i="1"/>
  <c r="CL396" i="1"/>
  <c r="CK396" i="1"/>
  <c r="CJ396" i="1"/>
  <c r="CI396" i="1"/>
  <c r="CH396" i="1"/>
  <c r="CG396" i="1"/>
  <c r="CF396" i="1"/>
  <c r="CE396" i="1"/>
  <c r="CD396" i="1"/>
  <c r="CC396" i="1"/>
  <c r="CB396" i="1"/>
  <c r="CA396" i="1"/>
  <c r="BZ396" i="1"/>
  <c r="BY396" i="1"/>
  <c r="BX396" i="1"/>
  <c r="BW396" i="1"/>
  <c r="CR395" i="1"/>
  <c r="CQ395" i="1"/>
  <c r="CP395" i="1"/>
  <c r="CO395" i="1"/>
  <c r="CN395" i="1"/>
  <c r="CM395" i="1"/>
  <c r="CL395" i="1"/>
  <c r="CK395" i="1"/>
  <c r="CJ395" i="1"/>
  <c r="CI395" i="1"/>
  <c r="CH395" i="1"/>
  <c r="CG395" i="1"/>
  <c r="CF395" i="1"/>
  <c r="CE395" i="1"/>
  <c r="CD395" i="1"/>
  <c r="CC395" i="1"/>
  <c r="CB395" i="1"/>
  <c r="CA395" i="1"/>
  <c r="BZ395" i="1"/>
  <c r="BY395" i="1"/>
  <c r="BX395" i="1"/>
  <c r="BW395" i="1"/>
  <c r="CR394" i="1"/>
  <c r="CQ394" i="1"/>
  <c r="CP394" i="1"/>
  <c r="CO394" i="1"/>
  <c r="CN394" i="1"/>
  <c r="CM394" i="1"/>
  <c r="CL394" i="1"/>
  <c r="CK394" i="1"/>
  <c r="CJ394" i="1"/>
  <c r="CI394" i="1"/>
  <c r="CH394" i="1"/>
  <c r="CG394" i="1"/>
  <c r="CF394" i="1"/>
  <c r="CE394" i="1"/>
  <c r="CD394" i="1"/>
  <c r="CC394" i="1"/>
  <c r="CB394" i="1"/>
  <c r="CA394" i="1"/>
  <c r="BZ394" i="1"/>
  <c r="BY394" i="1"/>
  <c r="BX394" i="1"/>
  <c r="BW394" i="1"/>
  <c r="CR393" i="1"/>
  <c r="CQ393" i="1"/>
  <c r="CP393" i="1"/>
  <c r="CO393" i="1"/>
  <c r="CN393" i="1"/>
  <c r="CM393" i="1"/>
  <c r="CL393" i="1"/>
  <c r="CK393" i="1"/>
  <c r="CJ393" i="1"/>
  <c r="CI393" i="1"/>
  <c r="CH393" i="1"/>
  <c r="CG393" i="1"/>
  <c r="CF393" i="1"/>
  <c r="CE393" i="1"/>
  <c r="CD393" i="1"/>
  <c r="CC393" i="1"/>
  <c r="CB393" i="1"/>
  <c r="CA393" i="1"/>
  <c r="BZ393" i="1"/>
  <c r="BY393" i="1"/>
  <c r="BX393" i="1"/>
  <c r="BW393" i="1"/>
  <c r="CR392" i="1"/>
  <c r="CQ392" i="1"/>
  <c r="CP392" i="1"/>
  <c r="CO392" i="1"/>
  <c r="CN392" i="1"/>
  <c r="CM392" i="1"/>
  <c r="CL392" i="1"/>
  <c r="CK392" i="1"/>
  <c r="CJ392" i="1"/>
  <c r="CI392" i="1"/>
  <c r="CH392" i="1"/>
  <c r="CG392" i="1"/>
  <c r="CF392" i="1"/>
  <c r="CE392" i="1"/>
  <c r="CD392" i="1"/>
  <c r="CC392" i="1"/>
  <c r="CB392" i="1"/>
  <c r="CA392" i="1"/>
  <c r="BZ392" i="1"/>
  <c r="BY392" i="1"/>
  <c r="BX392" i="1"/>
  <c r="BW392" i="1"/>
  <c r="CR391" i="1"/>
  <c r="CQ391" i="1"/>
  <c r="CP391" i="1"/>
  <c r="CO391" i="1"/>
  <c r="CN391" i="1"/>
  <c r="CM391" i="1"/>
  <c r="CL391" i="1"/>
  <c r="CK391" i="1"/>
  <c r="CJ391" i="1"/>
  <c r="CI391" i="1"/>
  <c r="CH391" i="1"/>
  <c r="CG391" i="1"/>
  <c r="CF391" i="1"/>
  <c r="CE391" i="1"/>
  <c r="CD391" i="1"/>
  <c r="CC391" i="1"/>
  <c r="CB391" i="1"/>
  <c r="CA391" i="1"/>
  <c r="BZ391" i="1"/>
  <c r="BY391" i="1"/>
  <c r="BX391" i="1"/>
  <c r="BW391" i="1"/>
  <c r="CR390" i="1"/>
  <c r="CQ390" i="1"/>
  <c r="CP390" i="1"/>
  <c r="CO390" i="1"/>
  <c r="CN390" i="1"/>
  <c r="CM390" i="1"/>
  <c r="CL390" i="1"/>
  <c r="CK390" i="1"/>
  <c r="CJ390" i="1"/>
  <c r="CI390" i="1"/>
  <c r="CH390" i="1"/>
  <c r="CG390" i="1"/>
  <c r="CF390" i="1"/>
  <c r="CE390" i="1"/>
  <c r="CD390" i="1"/>
  <c r="CC390" i="1"/>
  <c r="CB390" i="1"/>
  <c r="CA390" i="1"/>
  <c r="BZ390" i="1"/>
  <c r="BY390" i="1"/>
  <c r="BX390" i="1"/>
  <c r="BW390" i="1"/>
  <c r="CR389" i="1"/>
  <c r="CQ389" i="1"/>
  <c r="CP389" i="1"/>
  <c r="CO389" i="1"/>
  <c r="CN389" i="1"/>
  <c r="CM389" i="1"/>
  <c r="CL389" i="1"/>
  <c r="CK389" i="1"/>
  <c r="CJ389" i="1"/>
  <c r="CI389" i="1"/>
  <c r="CH389" i="1"/>
  <c r="CG389" i="1"/>
  <c r="CF389" i="1"/>
  <c r="CE389" i="1"/>
  <c r="CD389" i="1"/>
  <c r="CC389" i="1"/>
  <c r="CB389" i="1"/>
  <c r="CA389" i="1"/>
  <c r="BZ389" i="1"/>
  <c r="BY389" i="1"/>
  <c r="BX389" i="1"/>
  <c r="BW389" i="1"/>
  <c r="CR388" i="1"/>
  <c r="CQ388" i="1"/>
  <c r="CP388" i="1"/>
  <c r="CO388" i="1"/>
  <c r="CN388" i="1"/>
  <c r="CM388" i="1"/>
  <c r="CL388" i="1"/>
  <c r="CK388" i="1"/>
  <c r="CJ388" i="1"/>
  <c r="CI388" i="1"/>
  <c r="CH388" i="1"/>
  <c r="CG388" i="1"/>
  <c r="CF388" i="1"/>
  <c r="CE388" i="1"/>
  <c r="CD388" i="1"/>
  <c r="CC388" i="1"/>
  <c r="CB388" i="1"/>
  <c r="CA388" i="1"/>
  <c r="BZ388" i="1"/>
  <c r="BY388" i="1"/>
  <c r="BX388" i="1"/>
  <c r="BW388" i="1"/>
  <c r="CR387" i="1"/>
  <c r="CQ387" i="1"/>
  <c r="CP387" i="1"/>
  <c r="CO387" i="1"/>
  <c r="CN387" i="1"/>
  <c r="CM387" i="1"/>
  <c r="CL387" i="1"/>
  <c r="CK387" i="1"/>
  <c r="CJ387" i="1"/>
  <c r="CI387" i="1"/>
  <c r="CH387" i="1"/>
  <c r="CG387" i="1"/>
  <c r="CF387" i="1"/>
  <c r="CE387" i="1"/>
  <c r="CD387" i="1"/>
  <c r="CC387" i="1"/>
  <c r="CB387" i="1"/>
  <c r="CA387" i="1"/>
  <c r="BZ387" i="1"/>
  <c r="BY387" i="1"/>
  <c r="BX387" i="1"/>
  <c r="BW387" i="1"/>
  <c r="CR386" i="1"/>
  <c r="CQ386" i="1"/>
  <c r="CP386" i="1"/>
  <c r="CO386" i="1"/>
  <c r="CN386" i="1"/>
  <c r="CM386" i="1"/>
  <c r="CL386" i="1"/>
  <c r="CK386" i="1"/>
  <c r="CJ386" i="1"/>
  <c r="CI386" i="1"/>
  <c r="CH386" i="1"/>
  <c r="CG386" i="1"/>
  <c r="CF386" i="1"/>
  <c r="CE386" i="1"/>
  <c r="CD386" i="1"/>
  <c r="CC386" i="1"/>
  <c r="CB386" i="1"/>
  <c r="CA386" i="1"/>
  <c r="BZ386" i="1"/>
  <c r="BY386" i="1"/>
  <c r="BX386" i="1"/>
  <c r="BW386" i="1"/>
  <c r="CR385" i="1"/>
  <c r="CQ385" i="1"/>
  <c r="CP385" i="1"/>
  <c r="CO385" i="1"/>
  <c r="CN385" i="1"/>
  <c r="CM385" i="1"/>
  <c r="CL385" i="1"/>
  <c r="CK385" i="1"/>
  <c r="CJ385" i="1"/>
  <c r="CI385" i="1"/>
  <c r="CH385" i="1"/>
  <c r="CG385" i="1"/>
  <c r="CF385" i="1"/>
  <c r="CE385" i="1"/>
  <c r="CD385" i="1"/>
  <c r="CC385" i="1"/>
  <c r="CB385" i="1"/>
  <c r="CA385" i="1"/>
  <c r="BZ385" i="1"/>
  <c r="BY385" i="1"/>
  <c r="BX385" i="1"/>
  <c r="BW385" i="1"/>
  <c r="CR384" i="1"/>
  <c r="CQ384" i="1"/>
  <c r="CP384" i="1"/>
  <c r="CO384" i="1"/>
  <c r="CN384" i="1"/>
  <c r="CM384" i="1"/>
  <c r="CL384" i="1"/>
  <c r="CK384" i="1"/>
  <c r="CJ384" i="1"/>
  <c r="CI384" i="1"/>
  <c r="CH384" i="1"/>
  <c r="CG384" i="1"/>
  <c r="CF384" i="1"/>
  <c r="CE384" i="1"/>
  <c r="CD384" i="1"/>
  <c r="CC384" i="1"/>
  <c r="CB384" i="1"/>
  <c r="CA384" i="1"/>
  <c r="BZ384" i="1"/>
  <c r="BY384" i="1"/>
  <c r="BX384" i="1"/>
  <c r="BW384" i="1"/>
  <c r="CR383" i="1"/>
  <c r="CQ383" i="1"/>
  <c r="CP383" i="1"/>
  <c r="CO383" i="1"/>
  <c r="CN383" i="1"/>
  <c r="CM383" i="1"/>
  <c r="CL383" i="1"/>
  <c r="CK383" i="1"/>
  <c r="CJ383" i="1"/>
  <c r="CI383" i="1"/>
  <c r="CH383" i="1"/>
  <c r="CG383" i="1"/>
  <c r="CF383" i="1"/>
  <c r="CE383" i="1"/>
  <c r="CD383" i="1"/>
  <c r="CC383" i="1"/>
  <c r="CB383" i="1"/>
  <c r="CA383" i="1"/>
  <c r="BZ383" i="1"/>
  <c r="BY383" i="1"/>
  <c r="BX383" i="1"/>
  <c r="BW383" i="1"/>
  <c r="CR382" i="1"/>
  <c r="CQ382" i="1"/>
  <c r="CP382" i="1"/>
  <c r="CO382" i="1"/>
  <c r="CN382" i="1"/>
  <c r="CM382" i="1"/>
  <c r="CL382" i="1"/>
  <c r="CK382" i="1"/>
  <c r="CJ382" i="1"/>
  <c r="CI382" i="1"/>
  <c r="CH382" i="1"/>
  <c r="CG382" i="1"/>
  <c r="CF382" i="1"/>
  <c r="CE382" i="1"/>
  <c r="CD382" i="1"/>
  <c r="CC382" i="1"/>
  <c r="CB382" i="1"/>
  <c r="CA382" i="1"/>
  <c r="BZ382" i="1"/>
  <c r="BY382" i="1"/>
  <c r="BX382" i="1"/>
  <c r="BW382" i="1"/>
  <c r="CR381" i="1"/>
  <c r="CQ381" i="1"/>
  <c r="CP381" i="1"/>
  <c r="CO381" i="1"/>
  <c r="CN381" i="1"/>
  <c r="CM381" i="1"/>
  <c r="CL381" i="1"/>
  <c r="CK381" i="1"/>
  <c r="CJ381" i="1"/>
  <c r="CI381" i="1"/>
  <c r="CH381" i="1"/>
  <c r="CG381" i="1"/>
  <c r="CF381" i="1"/>
  <c r="CE381" i="1"/>
  <c r="CD381" i="1"/>
  <c r="CC381" i="1"/>
  <c r="CB381" i="1"/>
  <c r="CA381" i="1"/>
  <c r="BZ381" i="1"/>
  <c r="BY381" i="1"/>
  <c r="BX381" i="1"/>
  <c r="BW381" i="1"/>
  <c r="CR380" i="1"/>
  <c r="CQ380" i="1"/>
  <c r="CP380" i="1"/>
  <c r="CO380" i="1"/>
  <c r="CN380" i="1"/>
  <c r="CM380" i="1"/>
  <c r="CL380" i="1"/>
  <c r="CK380" i="1"/>
  <c r="CJ380" i="1"/>
  <c r="CI380" i="1"/>
  <c r="CH380" i="1"/>
  <c r="CG380" i="1"/>
  <c r="CF380" i="1"/>
  <c r="CE380" i="1"/>
  <c r="CD380" i="1"/>
  <c r="CC380" i="1"/>
  <c r="CB380" i="1"/>
  <c r="CA380" i="1"/>
  <c r="BZ380" i="1"/>
  <c r="BY380" i="1"/>
  <c r="BX380" i="1"/>
  <c r="BW380" i="1"/>
  <c r="CR379" i="1"/>
  <c r="CQ379" i="1"/>
  <c r="CP379" i="1"/>
  <c r="CO379" i="1"/>
  <c r="CN379" i="1"/>
  <c r="CM379" i="1"/>
  <c r="CL379" i="1"/>
  <c r="CK379" i="1"/>
  <c r="CJ379" i="1"/>
  <c r="CI379" i="1"/>
  <c r="CH379" i="1"/>
  <c r="CG379" i="1"/>
  <c r="CF379" i="1"/>
  <c r="CE379" i="1"/>
  <c r="CD379" i="1"/>
  <c r="CC379" i="1"/>
  <c r="CB379" i="1"/>
  <c r="CA379" i="1"/>
  <c r="BZ379" i="1"/>
  <c r="BY379" i="1"/>
  <c r="BX379" i="1"/>
  <c r="BW379" i="1"/>
  <c r="CR378" i="1"/>
  <c r="CQ378" i="1"/>
  <c r="CP378" i="1"/>
  <c r="CO378" i="1"/>
  <c r="CN378" i="1"/>
  <c r="CM378" i="1"/>
  <c r="CL378" i="1"/>
  <c r="CK378" i="1"/>
  <c r="CJ378" i="1"/>
  <c r="CI378" i="1"/>
  <c r="CH378" i="1"/>
  <c r="CG378" i="1"/>
  <c r="CF378" i="1"/>
  <c r="CE378" i="1"/>
  <c r="CD378" i="1"/>
  <c r="CC378" i="1"/>
  <c r="CB378" i="1"/>
  <c r="CA378" i="1"/>
  <c r="BZ378" i="1"/>
  <c r="BY378" i="1"/>
  <c r="BX378" i="1"/>
  <c r="BW378" i="1"/>
  <c r="CR377" i="1"/>
  <c r="CQ377" i="1"/>
  <c r="CP377" i="1"/>
  <c r="CO377" i="1"/>
  <c r="CN377" i="1"/>
  <c r="CM377" i="1"/>
  <c r="CL377" i="1"/>
  <c r="CK377" i="1"/>
  <c r="CJ377" i="1"/>
  <c r="CI377" i="1"/>
  <c r="CH377" i="1"/>
  <c r="CG377" i="1"/>
  <c r="CF377" i="1"/>
  <c r="CE377" i="1"/>
  <c r="CD377" i="1"/>
  <c r="CC377" i="1"/>
  <c r="CB377" i="1"/>
  <c r="CA377" i="1"/>
  <c r="BZ377" i="1"/>
  <c r="BY377" i="1"/>
  <c r="BX377" i="1"/>
  <c r="BW377" i="1"/>
  <c r="CR376" i="1"/>
  <c r="CQ376" i="1"/>
  <c r="CP376" i="1"/>
  <c r="CO376" i="1"/>
  <c r="CN376" i="1"/>
  <c r="CM376" i="1"/>
  <c r="CL376" i="1"/>
  <c r="CK376" i="1"/>
  <c r="CJ376" i="1"/>
  <c r="CI376" i="1"/>
  <c r="CH376" i="1"/>
  <c r="CG376" i="1"/>
  <c r="CF376" i="1"/>
  <c r="CE376" i="1"/>
  <c r="CD376" i="1"/>
  <c r="CC376" i="1"/>
  <c r="CB376" i="1"/>
  <c r="CA376" i="1"/>
  <c r="BZ376" i="1"/>
  <c r="BY376" i="1"/>
  <c r="BX376" i="1"/>
  <c r="BW376" i="1"/>
  <c r="CR375" i="1"/>
  <c r="CQ375" i="1"/>
  <c r="CP375" i="1"/>
  <c r="CO375" i="1"/>
  <c r="CN375" i="1"/>
  <c r="CM375" i="1"/>
  <c r="CL375" i="1"/>
  <c r="CK375" i="1"/>
  <c r="CJ375" i="1"/>
  <c r="CI375" i="1"/>
  <c r="CH375" i="1"/>
  <c r="CG375" i="1"/>
  <c r="CF375" i="1"/>
  <c r="CE375" i="1"/>
  <c r="CD375" i="1"/>
  <c r="CC375" i="1"/>
  <c r="CB375" i="1"/>
  <c r="CA375" i="1"/>
  <c r="BZ375" i="1"/>
  <c r="BY375" i="1"/>
  <c r="BX375" i="1"/>
  <c r="BW375" i="1"/>
  <c r="CR374" i="1"/>
  <c r="CQ374" i="1"/>
  <c r="CP374" i="1"/>
  <c r="CO374" i="1"/>
  <c r="CN374" i="1"/>
  <c r="CM374" i="1"/>
  <c r="CL374" i="1"/>
  <c r="CK374" i="1"/>
  <c r="CJ374" i="1"/>
  <c r="CI374" i="1"/>
  <c r="CH374" i="1"/>
  <c r="CG374" i="1"/>
  <c r="CF374" i="1"/>
  <c r="CE374" i="1"/>
  <c r="CD374" i="1"/>
  <c r="CC374" i="1"/>
  <c r="CB374" i="1"/>
  <c r="CA374" i="1"/>
  <c r="BZ374" i="1"/>
  <c r="BY374" i="1"/>
  <c r="BX374" i="1"/>
  <c r="BW374" i="1"/>
  <c r="CR373" i="1"/>
  <c r="CQ373" i="1"/>
  <c r="CP373" i="1"/>
  <c r="CO373" i="1"/>
  <c r="CN373" i="1"/>
  <c r="CM373" i="1"/>
  <c r="CL373" i="1"/>
  <c r="CK373" i="1"/>
  <c r="CJ373" i="1"/>
  <c r="CI373" i="1"/>
  <c r="CH373" i="1"/>
  <c r="CG373" i="1"/>
  <c r="CF373" i="1"/>
  <c r="CE373" i="1"/>
  <c r="CD373" i="1"/>
  <c r="CC373" i="1"/>
  <c r="CB373" i="1"/>
  <c r="CA373" i="1"/>
  <c r="BZ373" i="1"/>
  <c r="BY373" i="1"/>
  <c r="BX373" i="1"/>
  <c r="BW373" i="1"/>
  <c r="CR372" i="1"/>
  <c r="CQ372" i="1"/>
  <c r="CP372" i="1"/>
  <c r="CO372" i="1"/>
  <c r="CN372" i="1"/>
  <c r="CM372" i="1"/>
  <c r="CL372" i="1"/>
  <c r="CK372" i="1"/>
  <c r="CJ372" i="1"/>
  <c r="CI372" i="1"/>
  <c r="CH372" i="1"/>
  <c r="CG372" i="1"/>
  <c r="CF372" i="1"/>
  <c r="CE372" i="1"/>
  <c r="CD372" i="1"/>
  <c r="CC372" i="1"/>
  <c r="CB372" i="1"/>
  <c r="CA372" i="1"/>
  <c r="BZ372" i="1"/>
  <c r="BY372" i="1"/>
  <c r="BX372" i="1"/>
  <c r="BW372" i="1"/>
  <c r="CR371" i="1"/>
  <c r="CQ371" i="1"/>
  <c r="CP371" i="1"/>
  <c r="CO371" i="1"/>
  <c r="CN371" i="1"/>
  <c r="CM371" i="1"/>
  <c r="CL371" i="1"/>
  <c r="CK371" i="1"/>
  <c r="CJ371" i="1"/>
  <c r="CI371" i="1"/>
  <c r="CH371" i="1"/>
  <c r="CG371" i="1"/>
  <c r="CF371" i="1"/>
  <c r="CE371" i="1"/>
  <c r="CD371" i="1"/>
  <c r="CC371" i="1"/>
  <c r="CB371" i="1"/>
  <c r="CA371" i="1"/>
  <c r="BZ371" i="1"/>
  <c r="BY371" i="1"/>
  <c r="BX371" i="1"/>
  <c r="BW371" i="1"/>
  <c r="CR370" i="1"/>
  <c r="CQ370" i="1"/>
  <c r="CP370" i="1"/>
  <c r="CO370" i="1"/>
  <c r="CN370" i="1"/>
  <c r="CM370" i="1"/>
  <c r="CL370" i="1"/>
  <c r="CK370" i="1"/>
  <c r="CJ370" i="1"/>
  <c r="CI370" i="1"/>
  <c r="CH370" i="1"/>
  <c r="CG370" i="1"/>
  <c r="CF370" i="1"/>
  <c r="CE370" i="1"/>
  <c r="CD370" i="1"/>
  <c r="CC370" i="1"/>
  <c r="CB370" i="1"/>
  <c r="CA370" i="1"/>
  <c r="BZ370" i="1"/>
  <c r="BY370" i="1"/>
  <c r="BX370" i="1"/>
  <c r="BW370" i="1"/>
  <c r="CR369" i="1"/>
  <c r="CQ369" i="1"/>
  <c r="CP369" i="1"/>
  <c r="CO369" i="1"/>
  <c r="CN369" i="1"/>
  <c r="CM369" i="1"/>
  <c r="CL369" i="1"/>
  <c r="CK369" i="1"/>
  <c r="CJ369" i="1"/>
  <c r="CI369" i="1"/>
  <c r="CH369" i="1"/>
  <c r="CG369" i="1"/>
  <c r="CF369" i="1"/>
  <c r="CE369" i="1"/>
  <c r="CD369" i="1"/>
  <c r="CC369" i="1"/>
  <c r="CB369" i="1"/>
  <c r="CA369" i="1"/>
  <c r="BZ369" i="1"/>
  <c r="BY369" i="1"/>
  <c r="BX369" i="1"/>
  <c r="BW369" i="1"/>
  <c r="CR368" i="1"/>
  <c r="CQ368" i="1"/>
  <c r="CP368" i="1"/>
  <c r="CO368" i="1"/>
  <c r="CN368" i="1"/>
  <c r="CM368" i="1"/>
  <c r="CL368" i="1"/>
  <c r="CK368" i="1"/>
  <c r="CJ368" i="1"/>
  <c r="CI368" i="1"/>
  <c r="CH368" i="1"/>
  <c r="CG368" i="1"/>
  <c r="CF368" i="1"/>
  <c r="CE368" i="1"/>
  <c r="CD368" i="1"/>
  <c r="CC368" i="1"/>
  <c r="CB368" i="1"/>
  <c r="CA368" i="1"/>
  <c r="BZ368" i="1"/>
  <c r="BY368" i="1"/>
  <c r="BX368" i="1"/>
  <c r="BW368" i="1"/>
  <c r="CR367" i="1"/>
  <c r="CQ367" i="1"/>
  <c r="CP367" i="1"/>
  <c r="CO367" i="1"/>
  <c r="CN367" i="1"/>
  <c r="CM367" i="1"/>
  <c r="CL367" i="1"/>
  <c r="CK367" i="1"/>
  <c r="CJ367" i="1"/>
  <c r="CI367" i="1"/>
  <c r="CH367" i="1"/>
  <c r="CG367" i="1"/>
  <c r="CF367" i="1"/>
  <c r="CE367" i="1"/>
  <c r="CD367" i="1"/>
  <c r="CC367" i="1"/>
  <c r="CB367" i="1"/>
  <c r="CA367" i="1"/>
  <c r="BZ367" i="1"/>
  <c r="BY367" i="1"/>
  <c r="BX367" i="1"/>
  <c r="BW367" i="1"/>
  <c r="CR366" i="1"/>
  <c r="CQ366" i="1"/>
  <c r="CP366" i="1"/>
  <c r="CO366" i="1"/>
  <c r="CN366" i="1"/>
  <c r="CM366" i="1"/>
  <c r="CL366" i="1"/>
  <c r="CK366" i="1"/>
  <c r="CJ366" i="1"/>
  <c r="CI366" i="1"/>
  <c r="CH366" i="1"/>
  <c r="CG366" i="1"/>
  <c r="CF366" i="1"/>
  <c r="CE366" i="1"/>
  <c r="CD366" i="1"/>
  <c r="CC366" i="1"/>
  <c r="CB366" i="1"/>
  <c r="CA366" i="1"/>
  <c r="BZ366" i="1"/>
  <c r="BY366" i="1"/>
  <c r="BX366" i="1"/>
  <c r="BW366" i="1"/>
  <c r="CR365" i="1"/>
  <c r="CQ365" i="1"/>
  <c r="CP365" i="1"/>
  <c r="CO365" i="1"/>
  <c r="CN365" i="1"/>
  <c r="CM365" i="1"/>
  <c r="CL365" i="1"/>
  <c r="CK365" i="1"/>
  <c r="CJ365" i="1"/>
  <c r="CI365" i="1"/>
  <c r="CH365" i="1"/>
  <c r="CG365" i="1"/>
  <c r="CF365" i="1"/>
  <c r="CE365" i="1"/>
  <c r="CD365" i="1"/>
  <c r="CC365" i="1"/>
  <c r="CB365" i="1"/>
  <c r="CA365" i="1"/>
  <c r="BZ365" i="1"/>
  <c r="BY365" i="1"/>
  <c r="BX365" i="1"/>
  <c r="BW365" i="1"/>
  <c r="CR364" i="1"/>
  <c r="CQ364" i="1"/>
  <c r="CP364" i="1"/>
  <c r="CO364" i="1"/>
  <c r="CN364" i="1"/>
  <c r="CM364" i="1"/>
  <c r="CL364" i="1"/>
  <c r="CK364" i="1"/>
  <c r="CJ364" i="1"/>
  <c r="CI364" i="1"/>
  <c r="CH364" i="1"/>
  <c r="CG364" i="1"/>
  <c r="CF364" i="1"/>
  <c r="CE364" i="1"/>
  <c r="CD364" i="1"/>
  <c r="CC364" i="1"/>
  <c r="CB364" i="1"/>
  <c r="CA364" i="1"/>
  <c r="BZ364" i="1"/>
  <c r="BY364" i="1"/>
  <c r="BX364" i="1"/>
  <c r="BW364" i="1"/>
  <c r="CR363" i="1"/>
  <c r="CQ363" i="1"/>
  <c r="CP363" i="1"/>
  <c r="CO363" i="1"/>
  <c r="CN363" i="1"/>
  <c r="CM363" i="1"/>
  <c r="CL363" i="1"/>
  <c r="CK363" i="1"/>
  <c r="CJ363" i="1"/>
  <c r="CI363" i="1"/>
  <c r="CH363" i="1"/>
  <c r="CG363" i="1"/>
  <c r="CF363" i="1"/>
  <c r="CE363" i="1"/>
  <c r="CD363" i="1"/>
  <c r="CC363" i="1"/>
  <c r="CB363" i="1"/>
  <c r="CA363" i="1"/>
  <c r="BZ363" i="1"/>
  <c r="BY363" i="1"/>
  <c r="BX363" i="1"/>
  <c r="BW363" i="1"/>
  <c r="CR362" i="1"/>
  <c r="CQ362" i="1"/>
  <c r="CP362" i="1"/>
  <c r="CO362" i="1"/>
  <c r="CN362" i="1"/>
  <c r="CM362" i="1"/>
  <c r="CL362" i="1"/>
  <c r="CK362" i="1"/>
  <c r="CJ362" i="1"/>
  <c r="CI362" i="1"/>
  <c r="CH362" i="1"/>
  <c r="CG362" i="1"/>
  <c r="CF362" i="1"/>
  <c r="CE362" i="1"/>
  <c r="CD362" i="1"/>
  <c r="CC362" i="1"/>
  <c r="CB362" i="1"/>
  <c r="CA362" i="1"/>
  <c r="BZ362" i="1"/>
  <c r="BY362" i="1"/>
  <c r="BX362" i="1"/>
  <c r="BW362" i="1"/>
  <c r="CR361" i="1"/>
  <c r="CQ361" i="1"/>
  <c r="CP361" i="1"/>
  <c r="CO361" i="1"/>
  <c r="CN361" i="1"/>
  <c r="CM361" i="1"/>
  <c r="CL361" i="1"/>
  <c r="CK361" i="1"/>
  <c r="CJ361" i="1"/>
  <c r="CI361" i="1"/>
  <c r="CH361" i="1"/>
  <c r="CG361" i="1"/>
  <c r="CF361" i="1"/>
  <c r="CE361" i="1"/>
  <c r="CD361" i="1"/>
  <c r="CC361" i="1"/>
  <c r="CB361" i="1"/>
  <c r="CA361" i="1"/>
  <c r="BZ361" i="1"/>
  <c r="BY361" i="1"/>
  <c r="BX361" i="1"/>
  <c r="BW361" i="1"/>
  <c r="CR360" i="1"/>
  <c r="CQ360" i="1"/>
  <c r="CP360" i="1"/>
  <c r="CO360" i="1"/>
  <c r="CN360" i="1"/>
  <c r="CM360" i="1"/>
  <c r="CL360" i="1"/>
  <c r="CK360" i="1"/>
  <c r="CJ360" i="1"/>
  <c r="CI360" i="1"/>
  <c r="CH360" i="1"/>
  <c r="CG360" i="1"/>
  <c r="CF360" i="1"/>
  <c r="CE360" i="1"/>
  <c r="CD360" i="1"/>
  <c r="CC360" i="1"/>
  <c r="CB360" i="1"/>
  <c r="CA360" i="1"/>
  <c r="BZ360" i="1"/>
  <c r="BY360" i="1"/>
  <c r="BX360" i="1"/>
  <c r="BW360" i="1"/>
  <c r="CR359" i="1"/>
  <c r="CQ359" i="1"/>
  <c r="CP359" i="1"/>
  <c r="CO359" i="1"/>
  <c r="CN359" i="1"/>
  <c r="CM359" i="1"/>
  <c r="CL359" i="1"/>
  <c r="CK359" i="1"/>
  <c r="CJ359" i="1"/>
  <c r="CI359" i="1"/>
  <c r="CH359" i="1"/>
  <c r="CG359" i="1"/>
  <c r="CF359" i="1"/>
  <c r="CE359" i="1"/>
  <c r="CD359" i="1"/>
  <c r="CC359" i="1"/>
  <c r="CB359" i="1"/>
  <c r="CA359" i="1"/>
  <c r="BZ359" i="1"/>
  <c r="BY359" i="1"/>
  <c r="BX359" i="1"/>
  <c r="BW359" i="1"/>
  <c r="CR358" i="1"/>
  <c r="CQ358" i="1"/>
  <c r="CP358" i="1"/>
  <c r="CO358" i="1"/>
  <c r="CN358" i="1"/>
  <c r="CM358" i="1"/>
  <c r="CL358" i="1"/>
  <c r="CK358" i="1"/>
  <c r="CJ358" i="1"/>
  <c r="CI358" i="1"/>
  <c r="CH358" i="1"/>
  <c r="CG358" i="1"/>
  <c r="CF358" i="1"/>
  <c r="CE358" i="1"/>
  <c r="CD358" i="1"/>
  <c r="CC358" i="1"/>
  <c r="CB358" i="1"/>
  <c r="CA358" i="1"/>
  <c r="BZ358" i="1"/>
  <c r="BY358" i="1"/>
  <c r="BX358" i="1"/>
  <c r="BW358" i="1"/>
  <c r="CR357" i="1"/>
  <c r="CQ357" i="1"/>
  <c r="CP357" i="1"/>
  <c r="CO357" i="1"/>
  <c r="CN357" i="1"/>
  <c r="CM357" i="1"/>
  <c r="CL357" i="1"/>
  <c r="CK357" i="1"/>
  <c r="CJ357" i="1"/>
  <c r="CI357" i="1"/>
  <c r="CH357" i="1"/>
  <c r="CG357" i="1"/>
  <c r="CF357" i="1"/>
  <c r="CE357" i="1"/>
  <c r="CD357" i="1"/>
  <c r="CC357" i="1"/>
  <c r="CB357" i="1"/>
  <c r="CA357" i="1"/>
  <c r="BZ357" i="1"/>
  <c r="BY357" i="1"/>
  <c r="BX357" i="1"/>
  <c r="BW357" i="1"/>
  <c r="CR356" i="1"/>
  <c r="CQ356" i="1"/>
  <c r="CP356" i="1"/>
  <c r="CO356" i="1"/>
  <c r="CN356" i="1"/>
  <c r="CM356" i="1"/>
  <c r="CL356" i="1"/>
  <c r="CK356" i="1"/>
  <c r="CJ356" i="1"/>
  <c r="CI356" i="1"/>
  <c r="CH356" i="1"/>
  <c r="CG356" i="1"/>
  <c r="CF356" i="1"/>
  <c r="CE356" i="1"/>
  <c r="CD356" i="1"/>
  <c r="CC356" i="1"/>
  <c r="CB356" i="1"/>
  <c r="CA356" i="1"/>
  <c r="BZ356" i="1"/>
  <c r="BY356" i="1"/>
  <c r="BX356" i="1"/>
  <c r="BW356" i="1"/>
  <c r="CR355" i="1"/>
  <c r="CQ355" i="1"/>
  <c r="CP355" i="1"/>
  <c r="CO355" i="1"/>
  <c r="CN355" i="1"/>
  <c r="CM355" i="1"/>
  <c r="CL355" i="1"/>
  <c r="CK355" i="1"/>
  <c r="CJ355" i="1"/>
  <c r="CI355" i="1"/>
  <c r="CH355" i="1"/>
  <c r="CG355" i="1"/>
  <c r="CF355" i="1"/>
  <c r="CE355" i="1"/>
  <c r="CD355" i="1"/>
  <c r="CC355" i="1"/>
  <c r="CB355" i="1"/>
  <c r="CA355" i="1"/>
  <c r="BZ355" i="1"/>
  <c r="BY355" i="1"/>
  <c r="BX355" i="1"/>
  <c r="BW355" i="1"/>
  <c r="CR354" i="1"/>
  <c r="CQ354" i="1"/>
  <c r="CP354" i="1"/>
  <c r="CO354" i="1"/>
  <c r="CN354" i="1"/>
  <c r="CM354" i="1"/>
  <c r="CL354" i="1"/>
  <c r="CK354" i="1"/>
  <c r="CJ354" i="1"/>
  <c r="CI354" i="1"/>
  <c r="CH354" i="1"/>
  <c r="CG354" i="1"/>
  <c r="CF354" i="1"/>
  <c r="CE354" i="1"/>
  <c r="CD354" i="1"/>
  <c r="CC354" i="1"/>
  <c r="CB354" i="1"/>
  <c r="CA354" i="1"/>
  <c r="BZ354" i="1"/>
  <c r="BY354" i="1"/>
  <c r="BX354" i="1"/>
  <c r="BW354" i="1"/>
  <c r="CR353" i="1"/>
  <c r="CQ353" i="1"/>
  <c r="CP353" i="1"/>
  <c r="CO353" i="1"/>
  <c r="CN353" i="1"/>
  <c r="CM353" i="1"/>
  <c r="CL353" i="1"/>
  <c r="CK353" i="1"/>
  <c r="CJ353" i="1"/>
  <c r="CI353" i="1"/>
  <c r="CH353" i="1"/>
  <c r="CG353" i="1"/>
  <c r="CF353" i="1"/>
  <c r="CE353" i="1"/>
  <c r="CD353" i="1"/>
  <c r="CC353" i="1"/>
  <c r="CB353" i="1"/>
  <c r="CA353" i="1"/>
  <c r="BZ353" i="1"/>
  <c r="BY353" i="1"/>
  <c r="BX353" i="1"/>
  <c r="BW353" i="1"/>
  <c r="CR352" i="1"/>
  <c r="CQ352" i="1"/>
  <c r="CP352" i="1"/>
  <c r="CO352" i="1"/>
  <c r="CN352" i="1"/>
  <c r="CM352" i="1"/>
  <c r="CL352" i="1"/>
  <c r="CK352" i="1"/>
  <c r="CJ352" i="1"/>
  <c r="CI352" i="1"/>
  <c r="CH352" i="1"/>
  <c r="CG352" i="1"/>
  <c r="CF352" i="1"/>
  <c r="CE352" i="1"/>
  <c r="CD352" i="1"/>
  <c r="CC352" i="1"/>
  <c r="CB352" i="1"/>
  <c r="CA352" i="1"/>
  <c r="BZ352" i="1"/>
  <c r="BY352" i="1"/>
  <c r="BX352" i="1"/>
  <c r="BW352" i="1"/>
  <c r="CR351" i="1"/>
  <c r="CQ351" i="1"/>
  <c r="CP351" i="1"/>
  <c r="CO351" i="1"/>
  <c r="CN351" i="1"/>
  <c r="CM351" i="1"/>
  <c r="CL351" i="1"/>
  <c r="CK351" i="1"/>
  <c r="CJ351" i="1"/>
  <c r="CI351" i="1"/>
  <c r="CH351" i="1"/>
  <c r="CG351" i="1"/>
  <c r="CF351" i="1"/>
  <c r="CE351" i="1"/>
  <c r="CD351" i="1"/>
  <c r="CC351" i="1"/>
  <c r="CB351" i="1"/>
  <c r="CA351" i="1"/>
  <c r="BZ351" i="1"/>
  <c r="BY351" i="1"/>
  <c r="BX351" i="1"/>
  <c r="BW351" i="1"/>
  <c r="CR350" i="1"/>
  <c r="CQ350" i="1"/>
  <c r="CP350" i="1"/>
  <c r="CO350" i="1"/>
  <c r="CN350" i="1"/>
  <c r="CM350" i="1"/>
  <c r="CL350" i="1"/>
  <c r="CK350" i="1"/>
  <c r="CJ350" i="1"/>
  <c r="CI350" i="1"/>
  <c r="CH350" i="1"/>
  <c r="CG350" i="1"/>
  <c r="CF350" i="1"/>
  <c r="CE350" i="1"/>
  <c r="CD350" i="1"/>
  <c r="CC350" i="1"/>
  <c r="CB350" i="1"/>
  <c r="CA350" i="1"/>
  <c r="BZ350" i="1"/>
  <c r="BY350" i="1"/>
  <c r="BX350" i="1"/>
  <c r="BW350" i="1"/>
  <c r="CR349" i="1"/>
  <c r="CQ349" i="1"/>
  <c r="CP349" i="1"/>
  <c r="CO349" i="1"/>
  <c r="CN349" i="1"/>
  <c r="CM349" i="1"/>
  <c r="CL349" i="1"/>
  <c r="CK349" i="1"/>
  <c r="CJ349" i="1"/>
  <c r="CI349" i="1"/>
  <c r="CH349" i="1"/>
  <c r="CG349" i="1"/>
  <c r="CF349" i="1"/>
  <c r="CE349" i="1"/>
  <c r="CD349" i="1"/>
  <c r="CC349" i="1"/>
  <c r="CB349" i="1"/>
  <c r="CA349" i="1"/>
  <c r="BZ349" i="1"/>
  <c r="BY349" i="1"/>
  <c r="BX349" i="1"/>
  <c r="BW349" i="1"/>
  <c r="CR348" i="1"/>
  <c r="CQ348" i="1"/>
  <c r="CP348" i="1"/>
  <c r="CO348" i="1"/>
  <c r="CN348" i="1"/>
  <c r="CM348" i="1"/>
  <c r="CL348" i="1"/>
  <c r="CK348" i="1"/>
  <c r="CJ348" i="1"/>
  <c r="CI348" i="1"/>
  <c r="CH348" i="1"/>
  <c r="CG348" i="1"/>
  <c r="CF348" i="1"/>
  <c r="CE348" i="1"/>
  <c r="CD348" i="1"/>
  <c r="CC348" i="1"/>
  <c r="CB348" i="1"/>
  <c r="CA348" i="1"/>
  <c r="BZ348" i="1"/>
  <c r="BY348" i="1"/>
  <c r="BX348" i="1"/>
  <c r="BW348" i="1"/>
  <c r="CR347" i="1"/>
  <c r="CQ347" i="1"/>
  <c r="CP347" i="1"/>
  <c r="CO347" i="1"/>
  <c r="CN347" i="1"/>
  <c r="CM347" i="1"/>
  <c r="CL347" i="1"/>
  <c r="CK347" i="1"/>
  <c r="CJ347" i="1"/>
  <c r="CI347" i="1"/>
  <c r="CH347" i="1"/>
  <c r="CG347" i="1"/>
  <c r="CF347" i="1"/>
  <c r="CE347" i="1"/>
  <c r="CD347" i="1"/>
  <c r="CC347" i="1"/>
  <c r="CB347" i="1"/>
  <c r="CA347" i="1"/>
  <c r="BZ347" i="1"/>
  <c r="BY347" i="1"/>
  <c r="BX347" i="1"/>
  <c r="BW347" i="1"/>
  <c r="CR346" i="1"/>
  <c r="CQ346" i="1"/>
  <c r="CP346" i="1"/>
  <c r="CO346" i="1"/>
  <c r="CN346" i="1"/>
  <c r="CM346" i="1"/>
  <c r="CL346" i="1"/>
  <c r="CK346" i="1"/>
  <c r="CJ346" i="1"/>
  <c r="CI346" i="1"/>
  <c r="CH346" i="1"/>
  <c r="CG346" i="1"/>
  <c r="CF346" i="1"/>
  <c r="CE346" i="1"/>
  <c r="CD346" i="1"/>
  <c r="CC346" i="1"/>
  <c r="CB346" i="1"/>
  <c r="CA346" i="1"/>
  <c r="BZ346" i="1"/>
  <c r="BY346" i="1"/>
  <c r="BX346" i="1"/>
  <c r="BW346" i="1"/>
  <c r="CR345" i="1"/>
  <c r="CQ345" i="1"/>
  <c r="CP345" i="1"/>
  <c r="CO345" i="1"/>
  <c r="CN345" i="1"/>
  <c r="CM345" i="1"/>
  <c r="CL345" i="1"/>
  <c r="CK345" i="1"/>
  <c r="CJ345" i="1"/>
  <c r="CI345" i="1"/>
  <c r="CH345" i="1"/>
  <c r="CG345" i="1"/>
  <c r="CF345" i="1"/>
  <c r="CE345" i="1"/>
  <c r="CD345" i="1"/>
  <c r="CC345" i="1"/>
  <c r="CB345" i="1"/>
  <c r="CA345" i="1"/>
  <c r="BZ345" i="1"/>
  <c r="BY345" i="1"/>
  <c r="BX345" i="1"/>
  <c r="BW345" i="1"/>
  <c r="CR344" i="1"/>
  <c r="CQ344" i="1"/>
  <c r="CP344" i="1"/>
  <c r="CO344" i="1"/>
  <c r="CN344" i="1"/>
  <c r="CM344" i="1"/>
  <c r="CL344" i="1"/>
  <c r="CK344" i="1"/>
  <c r="CJ344" i="1"/>
  <c r="CI344" i="1"/>
  <c r="CH344" i="1"/>
  <c r="CG344" i="1"/>
  <c r="CF344" i="1"/>
  <c r="CE344" i="1"/>
  <c r="CD344" i="1"/>
  <c r="CC344" i="1"/>
  <c r="CB344" i="1"/>
  <c r="CA344" i="1"/>
  <c r="BZ344" i="1"/>
  <c r="BY344" i="1"/>
  <c r="BX344" i="1"/>
  <c r="BW344" i="1"/>
  <c r="CR343" i="1"/>
  <c r="CQ343" i="1"/>
  <c r="CP343" i="1"/>
  <c r="CO343" i="1"/>
  <c r="CN343" i="1"/>
  <c r="CM343" i="1"/>
  <c r="CL343" i="1"/>
  <c r="CK343" i="1"/>
  <c r="CJ343" i="1"/>
  <c r="CI343" i="1"/>
  <c r="CH343" i="1"/>
  <c r="CG343" i="1"/>
  <c r="CF343" i="1"/>
  <c r="CE343" i="1"/>
  <c r="CD343" i="1"/>
  <c r="CC343" i="1"/>
  <c r="CB343" i="1"/>
  <c r="CA343" i="1"/>
  <c r="BZ343" i="1"/>
  <c r="BY343" i="1"/>
  <c r="BX343" i="1"/>
  <c r="BW343" i="1"/>
  <c r="CR342" i="1"/>
  <c r="CQ342" i="1"/>
  <c r="CP342" i="1"/>
  <c r="CO342" i="1"/>
  <c r="CN342" i="1"/>
  <c r="CM342" i="1"/>
  <c r="CL342" i="1"/>
  <c r="CK342" i="1"/>
  <c r="CJ342" i="1"/>
  <c r="CI342" i="1"/>
  <c r="CH342" i="1"/>
  <c r="CG342" i="1"/>
  <c r="CF342" i="1"/>
  <c r="CE342" i="1"/>
  <c r="CD342" i="1"/>
  <c r="CC342" i="1"/>
  <c r="CB342" i="1"/>
  <c r="CA342" i="1"/>
  <c r="BZ342" i="1"/>
  <c r="BY342" i="1"/>
  <c r="BX342" i="1"/>
  <c r="BW342" i="1"/>
  <c r="CR341" i="1"/>
  <c r="CQ341" i="1"/>
  <c r="CP341" i="1"/>
  <c r="CO341" i="1"/>
  <c r="CN341" i="1"/>
  <c r="CM341" i="1"/>
  <c r="CL341" i="1"/>
  <c r="CK341" i="1"/>
  <c r="CJ341" i="1"/>
  <c r="CI341" i="1"/>
  <c r="CH341" i="1"/>
  <c r="CG341" i="1"/>
  <c r="CF341" i="1"/>
  <c r="CE341" i="1"/>
  <c r="CD341" i="1"/>
  <c r="CC341" i="1"/>
  <c r="CB341" i="1"/>
  <c r="CA341" i="1"/>
  <c r="BZ341" i="1"/>
  <c r="BY341" i="1"/>
  <c r="BX341" i="1"/>
  <c r="BW341" i="1"/>
  <c r="CR340" i="1"/>
  <c r="CQ340" i="1"/>
  <c r="CP340" i="1"/>
  <c r="CO340" i="1"/>
  <c r="CN340" i="1"/>
  <c r="CM340" i="1"/>
  <c r="CL340" i="1"/>
  <c r="CK340" i="1"/>
  <c r="CJ340" i="1"/>
  <c r="CI340" i="1"/>
  <c r="CH340" i="1"/>
  <c r="CG340" i="1"/>
  <c r="CF340" i="1"/>
  <c r="CE340" i="1"/>
  <c r="CD340" i="1"/>
  <c r="CC340" i="1"/>
  <c r="CB340" i="1"/>
  <c r="CA340" i="1"/>
  <c r="BZ340" i="1"/>
  <c r="BY340" i="1"/>
  <c r="BX340" i="1"/>
  <c r="BW340" i="1"/>
  <c r="CR339" i="1"/>
  <c r="CQ339" i="1"/>
  <c r="CP339" i="1"/>
  <c r="CO339" i="1"/>
  <c r="CN339" i="1"/>
  <c r="CM339" i="1"/>
  <c r="CL339" i="1"/>
  <c r="CK339" i="1"/>
  <c r="CJ339" i="1"/>
  <c r="CI339" i="1"/>
  <c r="CH339" i="1"/>
  <c r="CG339" i="1"/>
  <c r="CF339" i="1"/>
  <c r="CE339" i="1"/>
  <c r="CD339" i="1"/>
  <c r="CC339" i="1"/>
  <c r="CB339" i="1"/>
  <c r="CA339" i="1"/>
  <c r="BZ339" i="1"/>
  <c r="BY339" i="1"/>
  <c r="BX339" i="1"/>
  <c r="BW339" i="1"/>
  <c r="CR338" i="1"/>
  <c r="CQ338" i="1"/>
  <c r="CP338" i="1"/>
  <c r="CO338" i="1"/>
  <c r="CN338" i="1"/>
  <c r="CM338" i="1"/>
  <c r="CL338" i="1"/>
  <c r="CK338" i="1"/>
  <c r="CJ338" i="1"/>
  <c r="CI338" i="1"/>
  <c r="CH338" i="1"/>
  <c r="CG338" i="1"/>
  <c r="CF338" i="1"/>
  <c r="CE338" i="1"/>
  <c r="CD338" i="1"/>
  <c r="CC338" i="1"/>
  <c r="CB338" i="1"/>
  <c r="CA338" i="1"/>
  <c r="BZ338" i="1"/>
  <c r="BY338" i="1"/>
  <c r="BX338" i="1"/>
  <c r="BW338" i="1"/>
  <c r="CR337" i="1"/>
  <c r="CQ337" i="1"/>
  <c r="CP337" i="1"/>
  <c r="CO337" i="1"/>
  <c r="CN337" i="1"/>
  <c r="CM337" i="1"/>
  <c r="CL337" i="1"/>
  <c r="CK337" i="1"/>
  <c r="CJ337" i="1"/>
  <c r="CI337" i="1"/>
  <c r="CH337" i="1"/>
  <c r="CG337" i="1"/>
  <c r="CF337" i="1"/>
  <c r="CE337" i="1"/>
  <c r="CD337" i="1"/>
  <c r="CC337" i="1"/>
  <c r="CB337" i="1"/>
  <c r="CA337" i="1"/>
  <c r="BZ337" i="1"/>
  <c r="BY337" i="1"/>
  <c r="BX337" i="1"/>
  <c r="BW337" i="1"/>
  <c r="CR336" i="1"/>
  <c r="CQ336" i="1"/>
  <c r="CP336" i="1"/>
  <c r="CO336" i="1"/>
  <c r="CN336" i="1"/>
  <c r="CM336" i="1"/>
  <c r="CL336" i="1"/>
  <c r="CK336" i="1"/>
  <c r="CJ336" i="1"/>
  <c r="CI336" i="1"/>
  <c r="CH336" i="1"/>
  <c r="CG336" i="1"/>
  <c r="CF336" i="1"/>
  <c r="CE336" i="1"/>
  <c r="CD336" i="1"/>
  <c r="CC336" i="1"/>
  <c r="CB336" i="1"/>
  <c r="CA336" i="1"/>
  <c r="BZ336" i="1"/>
  <c r="BY336" i="1"/>
  <c r="BX336" i="1"/>
  <c r="BW336" i="1"/>
  <c r="CR335" i="1"/>
  <c r="CQ335" i="1"/>
  <c r="CP335" i="1"/>
  <c r="CO335" i="1"/>
  <c r="CN335" i="1"/>
  <c r="CM335" i="1"/>
  <c r="CL335" i="1"/>
  <c r="CK335" i="1"/>
  <c r="CJ335" i="1"/>
  <c r="CI335" i="1"/>
  <c r="CH335" i="1"/>
  <c r="CG335" i="1"/>
  <c r="CF335" i="1"/>
  <c r="CE335" i="1"/>
  <c r="CD335" i="1"/>
  <c r="CC335" i="1"/>
  <c r="CB335" i="1"/>
  <c r="CA335" i="1"/>
  <c r="BZ335" i="1"/>
  <c r="BY335" i="1"/>
  <c r="BX335" i="1"/>
  <c r="BW335" i="1"/>
  <c r="CR334" i="1"/>
  <c r="CQ334" i="1"/>
  <c r="CP334" i="1"/>
  <c r="CO334" i="1"/>
  <c r="CN334" i="1"/>
  <c r="CM334" i="1"/>
  <c r="CL334" i="1"/>
  <c r="CK334" i="1"/>
  <c r="CJ334" i="1"/>
  <c r="CI334" i="1"/>
  <c r="CH334" i="1"/>
  <c r="CG334" i="1"/>
  <c r="CF334" i="1"/>
  <c r="CE334" i="1"/>
  <c r="CD334" i="1"/>
  <c r="CC334" i="1"/>
  <c r="CB334" i="1"/>
  <c r="CA334" i="1"/>
  <c r="BZ334" i="1"/>
  <c r="BY334" i="1"/>
  <c r="BX334" i="1"/>
  <c r="BW334" i="1"/>
  <c r="CR333" i="1"/>
  <c r="CQ333" i="1"/>
  <c r="CP333" i="1"/>
  <c r="CO333" i="1"/>
  <c r="CN333" i="1"/>
  <c r="CM333" i="1"/>
  <c r="CL333" i="1"/>
  <c r="CK333" i="1"/>
  <c r="CJ333" i="1"/>
  <c r="CI333" i="1"/>
  <c r="CH333" i="1"/>
  <c r="CG333" i="1"/>
  <c r="CF333" i="1"/>
  <c r="CE333" i="1"/>
  <c r="CD333" i="1"/>
  <c r="CC333" i="1"/>
  <c r="CB333" i="1"/>
  <c r="CA333" i="1"/>
  <c r="BZ333" i="1"/>
  <c r="BY333" i="1"/>
  <c r="BX333" i="1"/>
  <c r="BW333" i="1"/>
  <c r="CR332" i="1"/>
  <c r="CQ332" i="1"/>
  <c r="CP332" i="1"/>
  <c r="CO332" i="1"/>
  <c r="CN332" i="1"/>
  <c r="CM332" i="1"/>
  <c r="CL332" i="1"/>
  <c r="CK332" i="1"/>
  <c r="CJ332" i="1"/>
  <c r="CI332" i="1"/>
  <c r="CH332" i="1"/>
  <c r="CG332" i="1"/>
  <c r="CF332" i="1"/>
  <c r="CE332" i="1"/>
  <c r="CD332" i="1"/>
  <c r="CC332" i="1"/>
  <c r="CB332" i="1"/>
  <c r="CA332" i="1"/>
  <c r="BZ332" i="1"/>
  <c r="BY332" i="1"/>
  <c r="BX332" i="1"/>
  <c r="BW332" i="1"/>
  <c r="CR331" i="1"/>
  <c r="CQ331" i="1"/>
  <c r="CP331" i="1"/>
  <c r="CO331" i="1"/>
  <c r="CN331" i="1"/>
  <c r="CM331" i="1"/>
  <c r="CL331" i="1"/>
  <c r="CK331" i="1"/>
  <c r="CJ331" i="1"/>
  <c r="CI331" i="1"/>
  <c r="CH331" i="1"/>
  <c r="CG331" i="1"/>
  <c r="CF331" i="1"/>
  <c r="CE331" i="1"/>
  <c r="CD331" i="1"/>
  <c r="CC331" i="1"/>
  <c r="CB331" i="1"/>
  <c r="CA331" i="1"/>
  <c r="BZ331" i="1"/>
  <c r="BY331" i="1"/>
  <c r="BX331" i="1"/>
  <c r="BW331" i="1"/>
  <c r="CR330" i="1"/>
  <c r="CQ330" i="1"/>
  <c r="CP330" i="1"/>
  <c r="CO330" i="1"/>
  <c r="CN330" i="1"/>
  <c r="CM330" i="1"/>
  <c r="CL330" i="1"/>
  <c r="CK330" i="1"/>
  <c r="CJ330" i="1"/>
  <c r="CI330" i="1"/>
  <c r="CH330" i="1"/>
  <c r="CG330" i="1"/>
  <c r="CF330" i="1"/>
  <c r="CE330" i="1"/>
  <c r="CD330" i="1"/>
  <c r="CC330" i="1"/>
  <c r="CB330" i="1"/>
  <c r="CA330" i="1"/>
  <c r="BZ330" i="1"/>
  <c r="BY330" i="1"/>
  <c r="BX330" i="1"/>
  <c r="BW330" i="1"/>
  <c r="CR329" i="1"/>
  <c r="CQ329" i="1"/>
  <c r="CP329" i="1"/>
  <c r="CO329" i="1"/>
  <c r="CN329" i="1"/>
  <c r="CM329" i="1"/>
  <c r="CL329" i="1"/>
  <c r="CK329" i="1"/>
  <c r="CJ329" i="1"/>
  <c r="CI329" i="1"/>
  <c r="CH329" i="1"/>
  <c r="CG329" i="1"/>
  <c r="CF329" i="1"/>
  <c r="CE329" i="1"/>
  <c r="CD329" i="1"/>
  <c r="CC329" i="1"/>
  <c r="CB329" i="1"/>
  <c r="CA329" i="1"/>
  <c r="BZ329" i="1"/>
  <c r="BY329" i="1"/>
  <c r="BX329" i="1"/>
  <c r="BW329" i="1"/>
  <c r="CR328" i="1"/>
  <c r="CQ328" i="1"/>
  <c r="CP328" i="1"/>
  <c r="CO328" i="1"/>
  <c r="CN328" i="1"/>
  <c r="CM328" i="1"/>
  <c r="CL328" i="1"/>
  <c r="CK328" i="1"/>
  <c r="CJ328" i="1"/>
  <c r="CI328" i="1"/>
  <c r="CH328" i="1"/>
  <c r="CG328" i="1"/>
  <c r="CF328" i="1"/>
  <c r="CE328" i="1"/>
  <c r="CD328" i="1"/>
  <c r="CC328" i="1"/>
  <c r="CB328" i="1"/>
  <c r="CA328" i="1"/>
  <c r="BZ328" i="1"/>
  <c r="BY328" i="1"/>
  <c r="BX328" i="1"/>
  <c r="BW328" i="1"/>
  <c r="CR327" i="1"/>
  <c r="CQ327" i="1"/>
  <c r="CP327" i="1"/>
  <c r="CO327" i="1"/>
  <c r="CN327" i="1"/>
  <c r="CM327" i="1"/>
  <c r="CL327" i="1"/>
  <c r="CK327" i="1"/>
  <c r="CJ327" i="1"/>
  <c r="CI327" i="1"/>
  <c r="CH327" i="1"/>
  <c r="CG327" i="1"/>
  <c r="CF327" i="1"/>
  <c r="CE327" i="1"/>
  <c r="CD327" i="1"/>
  <c r="CC327" i="1"/>
  <c r="CB327" i="1"/>
  <c r="CA327" i="1"/>
  <c r="BZ327" i="1"/>
  <c r="BY327" i="1"/>
  <c r="BX327" i="1"/>
  <c r="BW327" i="1"/>
  <c r="CR326" i="1"/>
  <c r="CQ326" i="1"/>
  <c r="CP326" i="1"/>
  <c r="CO326" i="1"/>
  <c r="CN326" i="1"/>
  <c r="CM326" i="1"/>
  <c r="CL326" i="1"/>
  <c r="CK326" i="1"/>
  <c r="CJ326" i="1"/>
  <c r="CI326" i="1"/>
  <c r="CH326" i="1"/>
  <c r="CG326" i="1"/>
  <c r="CF326" i="1"/>
  <c r="CE326" i="1"/>
  <c r="CD326" i="1"/>
  <c r="CC326" i="1"/>
  <c r="CB326" i="1"/>
  <c r="CA326" i="1"/>
  <c r="BZ326" i="1"/>
  <c r="BY326" i="1"/>
  <c r="BX326" i="1"/>
  <c r="BW326" i="1"/>
  <c r="CR325" i="1"/>
  <c r="CQ325" i="1"/>
  <c r="CP325" i="1"/>
  <c r="CO325" i="1"/>
  <c r="CN325" i="1"/>
  <c r="CM325" i="1"/>
  <c r="CL325" i="1"/>
  <c r="CK325" i="1"/>
  <c r="CJ325" i="1"/>
  <c r="CI325" i="1"/>
  <c r="CH325" i="1"/>
  <c r="CG325" i="1"/>
  <c r="CF325" i="1"/>
  <c r="CE325" i="1"/>
  <c r="CD325" i="1"/>
  <c r="CC325" i="1"/>
  <c r="CB325" i="1"/>
  <c r="CA325" i="1"/>
  <c r="BZ325" i="1"/>
  <c r="BY325" i="1"/>
  <c r="BX325" i="1"/>
  <c r="BW325" i="1"/>
  <c r="CR324" i="1"/>
  <c r="CQ324" i="1"/>
  <c r="CP324" i="1"/>
  <c r="CO324" i="1"/>
  <c r="CN324" i="1"/>
  <c r="CM324" i="1"/>
  <c r="CL324" i="1"/>
  <c r="CK324" i="1"/>
  <c r="CJ324" i="1"/>
  <c r="CI324" i="1"/>
  <c r="CH324" i="1"/>
  <c r="CG324" i="1"/>
  <c r="CF324" i="1"/>
  <c r="CE324" i="1"/>
  <c r="CD324" i="1"/>
  <c r="CC324" i="1"/>
  <c r="CB324" i="1"/>
  <c r="CA324" i="1"/>
  <c r="BZ324" i="1"/>
  <c r="BY324" i="1"/>
  <c r="BX324" i="1"/>
  <c r="BW324" i="1"/>
  <c r="CR323" i="1"/>
  <c r="CQ323" i="1"/>
  <c r="CP323" i="1"/>
  <c r="CO323" i="1"/>
  <c r="CN323" i="1"/>
  <c r="CM323" i="1"/>
  <c r="CL323" i="1"/>
  <c r="CK323" i="1"/>
  <c r="CJ323" i="1"/>
  <c r="CI323" i="1"/>
  <c r="CH323" i="1"/>
  <c r="CG323" i="1"/>
  <c r="CF323" i="1"/>
  <c r="CE323" i="1"/>
  <c r="CD323" i="1"/>
  <c r="CC323" i="1"/>
  <c r="CB323" i="1"/>
  <c r="CA323" i="1"/>
  <c r="BZ323" i="1"/>
  <c r="BY323" i="1"/>
  <c r="BX323" i="1"/>
  <c r="BW323" i="1"/>
  <c r="CR322" i="1"/>
  <c r="CQ322" i="1"/>
  <c r="CP322" i="1"/>
  <c r="CO322" i="1"/>
  <c r="CN322" i="1"/>
  <c r="CM322" i="1"/>
  <c r="CL322" i="1"/>
  <c r="CK322" i="1"/>
  <c r="CJ322" i="1"/>
  <c r="CI322" i="1"/>
  <c r="CH322" i="1"/>
  <c r="CG322" i="1"/>
  <c r="CF322" i="1"/>
  <c r="CE322" i="1"/>
  <c r="CD322" i="1"/>
  <c r="CC322" i="1"/>
  <c r="CB322" i="1"/>
  <c r="CA322" i="1"/>
  <c r="BZ322" i="1"/>
  <c r="BY322" i="1"/>
  <c r="BX322" i="1"/>
  <c r="BW322" i="1"/>
  <c r="CR321" i="1"/>
  <c r="CQ321" i="1"/>
  <c r="CP321" i="1"/>
  <c r="CO321" i="1"/>
  <c r="CN321" i="1"/>
  <c r="CM321" i="1"/>
  <c r="CL321" i="1"/>
  <c r="CK321" i="1"/>
  <c r="CJ321" i="1"/>
  <c r="CI321" i="1"/>
  <c r="CH321" i="1"/>
  <c r="CG321" i="1"/>
  <c r="CF321" i="1"/>
  <c r="CE321" i="1"/>
  <c r="CD321" i="1"/>
  <c r="CC321" i="1"/>
  <c r="CB321" i="1"/>
  <c r="CA321" i="1"/>
  <c r="BZ321" i="1"/>
  <c r="BY321" i="1"/>
  <c r="BX321" i="1"/>
  <c r="BW321" i="1"/>
  <c r="CR320" i="1"/>
  <c r="CQ320" i="1"/>
  <c r="CP320" i="1"/>
  <c r="CO320" i="1"/>
  <c r="CN320" i="1"/>
  <c r="CM320" i="1"/>
  <c r="CL320" i="1"/>
  <c r="CK320" i="1"/>
  <c r="CJ320" i="1"/>
  <c r="CI320" i="1"/>
  <c r="CH320" i="1"/>
  <c r="CG320" i="1"/>
  <c r="CF320" i="1"/>
  <c r="CE320" i="1"/>
  <c r="CD320" i="1"/>
  <c r="CC320" i="1"/>
  <c r="CB320" i="1"/>
  <c r="CA320" i="1"/>
  <c r="BZ320" i="1"/>
  <c r="BY320" i="1"/>
  <c r="BX320" i="1"/>
  <c r="BW320" i="1"/>
  <c r="CR319" i="1"/>
  <c r="CQ319" i="1"/>
  <c r="CP319" i="1"/>
  <c r="CO319" i="1"/>
  <c r="CN319" i="1"/>
  <c r="CM319" i="1"/>
  <c r="CL319" i="1"/>
  <c r="CK319" i="1"/>
  <c r="CJ319" i="1"/>
  <c r="CI319" i="1"/>
  <c r="CH319" i="1"/>
  <c r="CG319" i="1"/>
  <c r="CF319" i="1"/>
  <c r="CE319" i="1"/>
  <c r="CD319" i="1"/>
  <c r="CC319" i="1"/>
  <c r="CB319" i="1"/>
  <c r="CA319" i="1"/>
  <c r="BZ319" i="1"/>
  <c r="BY319" i="1"/>
  <c r="BX319" i="1"/>
  <c r="BW319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BW318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BW317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F316" i="1"/>
  <c r="CE316" i="1"/>
  <c r="CD316" i="1"/>
  <c r="CC316" i="1"/>
  <c r="CB316" i="1"/>
  <c r="CA316" i="1"/>
  <c r="BZ316" i="1"/>
  <c r="BY316" i="1"/>
  <c r="BX316" i="1"/>
  <c r="BW316" i="1"/>
  <c r="CR315" i="1"/>
  <c r="CQ315" i="1"/>
  <c r="CP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BW315" i="1"/>
  <c r="CR314" i="1"/>
  <c r="CQ314" i="1"/>
  <c r="CP314" i="1"/>
  <c r="CO314" i="1"/>
  <c r="CN314" i="1"/>
  <c r="CM314" i="1"/>
  <c r="CL314" i="1"/>
  <c r="CK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BW314" i="1"/>
  <c r="CR313" i="1"/>
  <c r="CQ313" i="1"/>
  <c r="CP313" i="1"/>
  <c r="CO313" i="1"/>
  <c r="CN313" i="1"/>
  <c r="CM313" i="1"/>
  <c r="CL313" i="1"/>
  <c r="CK313" i="1"/>
  <c r="CJ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BW313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BW312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BW311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BW310" i="1"/>
  <c r="CR309" i="1"/>
  <c r="CQ309" i="1"/>
  <c r="CP309" i="1"/>
  <c r="CO309" i="1"/>
  <c r="CN309" i="1"/>
  <c r="CM309" i="1"/>
  <c r="CL309" i="1"/>
  <c r="CK309" i="1"/>
  <c r="CJ309" i="1"/>
  <c r="CI309" i="1"/>
  <c r="CH309" i="1"/>
  <c r="CG309" i="1"/>
  <c r="CF309" i="1"/>
  <c r="CE309" i="1"/>
  <c r="CD309" i="1"/>
  <c r="CC309" i="1"/>
  <c r="CB309" i="1"/>
  <c r="CA309" i="1"/>
  <c r="BZ309" i="1"/>
  <c r="BY309" i="1"/>
  <c r="BX309" i="1"/>
  <c r="BW309" i="1"/>
  <c r="CR308" i="1"/>
  <c r="CQ308" i="1"/>
  <c r="CP308" i="1"/>
  <c r="CO308" i="1"/>
  <c r="CN308" i="1"/>
  <c r="CM308" i="1"/>
  <c r="CL308" i="1"/>
  <c r="CK308" i="1"/>
  <c r="CJ308" i="1"/>
  <c r="CI308" i="1"/>
  <c r="CH308" i="1"/>
  <c r="CG308" i="1"/>
  <c r="CF308" i="1"/>
  <c r="CE308" i="1"/>
  <c r="CD308" i="1"/>
  <c r="CC308" i="1"/>
  <c r="CB308" i="1"/>
  <c r="CA308" i="1"/>
  <c r="BZ308" i="1"/>
  <c r="BY308" i="1"/>
  <c r="BX308" i="1"/>
  <c r="BW308" i="1"/>
  <c r="CR307" i="1"/>
  <c r="CQ307" i="1"/>
  <c r="CP307" i="1"/>
  <c r="CO307" i="1"/>
  <c r="CN307" i="1"/>
  <c r="CM307" i="1"/>
  <c r="CL307" i="1"/>
  <c r="CK307" i="1"/>
  <c r="CJ307" i="1"/>
  <c r="CI307" i="1"/>
  <c r="CH307" i="1"/>
  <c r="CG307" i="1"/>
  <c r="CF307" i="1"/>
  <c r="CE307" i="1"/>
  <c r="CD307" i="1"/>
  <c r="CC307" i="1"/>
  <c r="CB307" i="1"/>
  <c r="CA307" i="1"/>
  <c r="BZ307" i="1"/>
  <c r="BY307" i="1"/>
  <c r="BX307" i="1"/>
  <c r="BW307" i="1"/>
  <c r="CR306" i="1"/>
  <c r="CQ306" i="1"/>
  <c r="CP306" i="1"/>
  <c r="CO306" i="1"/>
  <c r="CN306" i="1"/>
  <c r="CM306" i="1"/>
  <c r="CL306" i="1"/>
  <c r="CK306" i="1"/>
  <c r="CJ306" i="1"/>
  <c r="CI306" i="1"/>
  <c r="CH306" i="1"/>
  <c r="CG306" i="1"/>
  <c r="CF306" i="1"/>
  <c r="CE306" i="1"/>
  <c r="CD306" i="1"/>
  <c r="CC306" i="1"/>
  <c r="CB306" i="1"/>
  <c r="CA306" i="1"/>
  <c r="BZ306" i="1"/>
  <c r="BY306" i="1"/>
  <c r="BX306" i="1"/>
  <c r="BW306" i="1"/>
  <c r="CR305" i="1"/>
  <c r="CQ305" i="1"/>
  <c r="CP305" i="1"/>
  <c r="CO305" i="1"/>
  <c r="CN305" i="1"/>
  <c r="CM305" i="1"/>
  <c r="CL305" i="1"/>
  <c r="CK305" i="1"/>
  <c r="CJ305" i="1"/>
  <c r="CI305" i="1"/>
  <c r="CH305" i="1"/>
  <c r="CG305" i="1"/>
  <c r="CF305" i="1"/>
  <c r="CE305" i="1"/>
  <c r="CD305" i="1"/>
  <c r="CC305" i="1"/>
  <c r="CB305" i="1"/>
  <c r="CA305" i="1"/>
  <c r="BZ305" i="1"/>
  <c r="BY305" i="1"/>
  <c r="BX305" i="1"/>
  <c r="BW305" i="1"/>
  <c r="CR304" i="1"/>
  <c r="CQ304" i="1"/>
  <c r="CP304" i="1"/>
  <c r="CO304" i="1"/>
  <c r="CN304" i="1"/>
  <c r="CM304" i="1"/>
  <c r="CL304" i="1"/>
  <c r="CK304" i="1"/>
  <c r="CJ304" i="1"/>
  <c r="CI304" i="1"/>
  <c r="CH304" i="1"/>
  <c r="CG304" i="1"/>
  <c r="CF304" i="1"/>
  <c r="CE304" i="1"/>
  <c r="CD304" i="1"/>
  <c r="CC304" i="1"/>
  <c r="CB304" i="1"/>
  <c r="CA304" i="1"/>
  <c r="BZ304" i="1"/>
  <c r="BY304" i="1"/>
  <c r="BX304" i="1"/>
  <c r="BW304" i="1"/>
  <c r="CR303" i="1"/>
  <c r="CQ303" i="1"/>
  <c r="CP303" i="1"/>
  <c r="CO303" i="1"/>
  <c r="CN303" i="1"/>
  <c r="CM303" i="1"/>
  <c r="CL303" i="1"/>
  <c r="CK303" i="1"/>
  <c r="CJ303" i="1"/>
  <c r="CI303" i="1"/>
  <c r="CH303" i="1"/>
  <c r="CG303" i="1"/>
  <c r="CF303" i="1"/>
  <c r="CE303" i="1"/>
  <c r="CD303" i="1"/>
  <c r="CC303" i="1"/>
  <c r="CB303" i="1"/>
  <c r="CA303" i="1"/>
  <c r="BZ303" i="1"/>
  <c r="BY303" i="1"/>
  <c r="BX303" i="1"/>
  <c r="BW303" i="1"/>
  <c r="CR302" i="1"/>
  <c r="CQ302" i="1"/>
  <c r="CP302" i="1"/>
  <c r="CO302" i="1"/>
  <c r="CN302" i="1"/>
  <c r="CM302" i="1"/>
  <c r="CL302" i="1"/>
  <c r="CK302" i="1"/>
  <c r="CJ302" i="1"/>
  <c r="CI302" i="1"/>
  <c r="CH302" i="1"/>
  <c r="CG302" i="1"/>
  <c r="CF302" i="1"/>
  <c r="CE302" i="1"/>
  <c r="CD302" i="1"/>
  <c r="CC302" i="1"/>
  <c r="CB302" i="1"/>
  <c r="CA302" i="1"/>
  <c r="BZ302" i="1"/>
  <c r="BY302" i="1"/>
  <c r="BX302" i="1"/>
  <c r="BW302" i="1"/>
  <c r="CR301" i="1"/>
  <c r="CQ301" i="1"/>
  <c r="CP301" i="1"/>
  <c r="CO301" i="1"/>
  <c r="CN301" i="1"/>
  <c r="CM301" i="1"/>
  <c r="CL301" i="1"/>
  <c r="CK301" i="1"/>
  <c r="CJ301" i="1"/>
  <c r="CI301" i="1"/>
  <c r="CH301" i="1"/>
  <c r="CG301" i="1"/>
  <c r="CF301" i="1"/>
  <c r="CE301" i="1"/>
  <c r="CD301" i="1"/>
  <c r="CC301" i="1"/>
  <c r="CB301" i="1"/>
  <c r="CA301" i="1"/>
  <c r="BZ301" i="1"/>
  <c r="BY301" i="1"/>
  <c r="BX301" i="1"/>
  <c r="BW301" i="1"/>
  <c r="CR300" i="1"/>
  <c r="CQ300" i="1"/>
  <c r="CP300" i="1"/>
  <c r="CO300" i="1"/>
  <c r="CN300" i="1"/>
  <c r="CM300" i="1"/>
  <c r="CL300" i="1"/>
  <c r="CK300" i="1"/>
  <c r="CJ300" i="1"/>
  <c r="CI300" i="1"/>
  <c r="CH300" i="1"/>
  <c r="CG300" i="1"/>
  <c r="CF300" i="1"/>
  <c r="CE300" i="1"/>
  <c r="CD300" i="1"/>
  <c r="CC300" i="1"/>
  <c r="CB300" i="1"/>
  <c r="CA300" i="1"/>
  <c r="BZ300" i="1"/>
  <c r="BY300" i="1"/>
  <c r="BX300" i="1"/>
  <c r="BW300" i="1"/>
  <c r="CR299" i="1"/>
  <c r="CQ299" i="1"/>
  <c r="CP299" i="1"/>
  <c r="CO299" i="1"/>
  <c r="CN299" i="1"/>
  <c r="CM299" i="1"/>
  <c r="CL299" i="1"/>
  <c r="CK299" i="1"/>
  <c r="CJ299" i="1"/>
  <c r="CI299" i="1"/>
  <c r="CH299" i="1"/>
  <c r="CG299" i="1"/>
  <c r="CF299" i="1"/>
  <c r="CE299" i="1"/>
  <c r="CD299" i="1"/>
  <c r="CC299" i="1"/>
  <c r="CB299" i="1"/>
  <c r="CA299" i="1"/>
  <c r="BZ299" i="1"/>
  <c r="BY299" i="1"/>
  <c r="BX299" i="1"/>
  <c r="BW299" i="1"/>
  <c r="CR298" i="1"/>
  <c r="CQ298" i="1"/>
  <c r="CP298" i="1"/>
  <c r="CO298" i="1"/>
  <c r="CN298" i="1"/>
  <c r="CM298" i="1"/>
  <c r="CL298" i="1"/>
  <c r="CK298" i="1"/>
  <c r="CJ298" i="1"/>
  <c r="CI298" i="1"/>
  <c r="CH298" i="1"/>
  <c r="CG298" i="1"/>
  <c r="CF298" i="1"/>
  <c r="CE298" i="1"/>
  <c r="CD298" i="1"/>
  <c r="CC298" i="1"/>
  <c r="CB298" i="1"/>
  <c r="CA298" i="1"/>
  <c r="BZ298" i="1"/>
  <c r="BY298" i="1"/>
  <c r="BX298" i="1"/>
  <c r="BW298" i="1"/>
  <c r="CR297" i="1"/>
  <c r="CQ297" i="1"/>
  <c r="CP297" i="1"/>
  <c r="CO297" i="1"/>
  <c r="CN297" i="1"/>
  <c r="CM297" i="1"/>
  <c r="CL297" i="1"/>
  <c r="CK297" i="1"/>
  <c r="CJ297" i="1"/>
  <c r="CI297" i="1"/>
  <c r="CH297" i="1"/>
  <c r="CG297" i="1"/>
  <c r="CF297" i="1"/>
  <c r="CE297" i="1"/>
  <c r="CD297" i="1"/>
  <c r="CC297" i="1"/>
  <c r="CB297" i="1"/>
  <c r="CA297" i="1"/>
  <c r="BZ297" i="1"/>
  <c r="BY297" i="1"/>
  <c r="BX297" i="1"/>
  <c r="BW297" i="1"/>
  <c r="CR296" i="1"/>
  <c r="CQ296" i="1"/>
  <c r="CP296" i="1"/>
  <c r="CO296" i="1"/>
  <c r="CN296" i="1"/>
  <c r="CM296" i="1"/>
  <c r="CL296" i="1"/>
  <c r="CK296" i="1"/>
  <c r="CJ296" i="1"/>
  <c r="CI296" i="1"/>
  <c r="CH296" i="1"/>
  <c r="CG296" i="1"/>
  <c r="CF296" i="1"/>
  <c r="CE296" i="1"/>
  <c r="CD296" i="1"/>
  <c r="CC296" i="1"/>
  <c r="CB296" i="1"/>
  <c r="CA296" i="1"/>
  <c r="BZ296" i="1"/>
  <c r="BY296" i="1"/>
  <c r="BX296" i="1"/>
  <c r="BW296" i="1"/>
  <c r="CR295" i="1"/>
  <c r="CQ295" i="1"/>
  <c r="CP295" i="1"/>
  <c r="CO295" i="1"/>
  <c r="CN295" i="1"/>
  <c r="CM295" i="1"/>
  <c r="CL295" i="1"/>
  <c r="CK295" i="1"/>
  <c r="CJ295" i="1"/>
  <c r="CI295" i="1"/>
  <c r="CH295" i="1"/>
  <c r="CG295" i="1"/>
  <c r="CF295" i="1"/>
  <c r="CE295" i="1"/>
  <c r="CD295" i="1"/>
  <c r="CC295" i="1"/>
  <c r="CB295" i="1"/>
  <c r="CA295" i="1"/>
  <c r="BZ295" i="1"/>
  <c r="BY295" i="1"/>
  <c r="BX295" i="1"/>
  <c r="BW295" i="1"/>
  <c r="CR294" i="1"/>
  <c r="CQ294" i="1"/>
  <c r="CP294" i="1"/>
  <c r="CO294" i="1"/>
  <c r="CN294" i="1"/>
  <c r="CM294" i="1"/>
  <c r="CL294" i="1"/>
  <c r="CK294" i="1"/>
  <c r="CJ294" i="1"/>
  <c r="CI294" i="1"/>
  <c r="CH294" i="1"/>
  <c r="CG294" i="1"/>
  <c r="CF294" i="1"/>
  <c r="CE294" i="1"/>
  <c r="CD294" i="1"/>
  <c r="CC294" i="1"/>
  <c r="CB294" i="1"/>
  <c r="CA294" i="1"/>
  <c r="BZ294" i="1"/>
  <c r="BY294" i="1"/>
  <c r="BX294" i="1"/>
  <c r="BW294" i="1"/>
  <c r="CR293" i="1"/>
  <c r="CQ293" i="1"/>
  <c r="CP293" i="1"/>
  <c r="CO293" i="1"/>
  <c r="CN293" i="1"/>
  <c r="CM293" i="1"/>
  <c r="CL293" i="1"/>
  <c r="CK293" i="1"/>
  <c r="CJ293" i="1"/>
  <c r="CI293" i="1"/>
  <c r="CH293" i="1"/>
  <c r="CG293" i="1"/>
  <c r="CF293" i="1"/>
  <c r="CE293" i="1"/>
  <c r="CD293" i="1"/>
  <c r="CC293" i="1"/>
  <c r="CB293" i="1"/>
  <c r="CA293" i="1"/>
  <c r="BZ293" i="1"/>
  <c r="BY293" i="1"/>
  <c r="BX293" i="1"/>
  <c r="BW293" i="1"/>
  <c r="CR292" i="1"/>
  <c r="CQ292" i="1"/>
  <c r="CP292" i="1"/>
  <c r="CO292" i="1"/>
  <c r="CN292" i="1"/>
  <c r="CM292" i="1"/>
  <c r="CL292" i="1"/>
  <c r="CK292" i="1"/>
  <c r="CJ292" i="1"/>
  <c r="CI292" i="1"/>
  <c r="CH292" i="1"/>
  <c r="CG292" i="1"/>
  <c r="CF292" i="1"/>
  <c r="CE292" i="1"/>
  <c r="CD292" i="1"/>
  <c r="CC292" i="1"/>
  <c r="CB292" i="1"/>
  <c r="CA292" i="1"/>
  <c r="BZ292" i="1"/>
  <c r="BY292" i="1"/>
  <c r="BX292" i="1"/>
  <c r="BW292" i="1"/>
  <c r="CR291" i="1"/>
  <c r="CQ291" i="1"/>
  <c r="CP291" i="1"/>
  <c r="CO291" i="1"/>
  <c r="CN291" i="1"/>
  <c r="CM291" i="1"/>
  <c r="CL291" i="1"/>
  <c r="CK291" i="1"/>
  <c r="CJ291" i="1"/>
  <c r="CI291" i="1"/>
  <c r="CH291" i="1"/>
  <c r="CG291" i="1"/>
  <c r="CF291" i="1"/>
  <c r="CE291" i="1"/>
  <c r="CD291" i="1"/>
  <c r="CC291" i="1"/>
  <c r="CB291" i="1"/>
  <c r="CA291" i="1"/>
  <c r="BZ291" i="1"/>
  <c r="BY291" i="1"/>
  <c r="BX291" i="1"/>
  <c r="BW291" i="1"/>
  <c r="CR290" i="1"/>
  <c r="CQ290" i="1"/>
  <c r="CP290" i="1"/>
  <c r="CO290" i="1"/>
  <c r="CN290" i="1"/>
  <c r="CM290" i="1"/>
  <c r="CL290" i="1"/>
  <c r="CK290" i="1"/>
  <c r="CJ290" i="1"/>
  <c r="CI290" i="1"/>
  <c r="CH290" i="1"/>
  <c r="CG290" i="1"/>
  <c r="CF290" i="1"/>
  <c r="CE290" i="1"/>
  <c r="CD290" i="1"/>
  <c r="CC290" i="1"/>
  <c r="CB290" i="1"/>
  <c r="CA290" i="1"/>
  <c r="BZ290" i="1"/>
  <c r="BY290" i="1"/>
  <c r="BX290" i="1"/>
  <c r="BW290" i="1"/>
  <c r="CR289" i="1"/>
  <c r="CQ289" i="1"/>
  <c r="CP289" i="1"/>
  <c r="CO289" i="1"/>
  <c r="CN289" i="1"/>
  <c r="CM289" i="1"/>
  <c r="CL289" i="1"/>
  <c r="CK289" i="1"/>
  <c r="CJ289" i="1"/>
  <c r="CI289" i="1"/>
  <c r="CH289" i="1"/>
  <c r="CG289" i="1"/>
  <c r="CF289" i="1"/>
  <c r="CE289" i="1"/>
  <c r="CD289" i="1"/>
  <c r="CC289" i="1"/>
  <c r="CB289" i="1"/>
  <c r="CA289" i="1"/>
  <c r="BZ289" i="1"/>
  <c r="BY289" i="1"/>
  <c r="BX289" i="1"/>
  <c r="BW289" i="1"/>
  <c r="CR288" i="1"/>
  <c r="CQ288" i="1"/>
  <c r="CP288" i="1"/>
  <c r="CO288" i="1"/>
  <c r="CN288" i="1"/>
  <c r="CM288" i="1"/>
  <c r="CL288" i="1"/>
  <c r="CK288" i="1"/>
  <c r="CJ288" i="1"/>
  <c r="CI288" i="1"/>
  <c r="CH288" i="1"/>
  <c r="CG288" i="1"/>
  <c r="CF288" i="1"/>
  <c r="CE288" i="1"/>
  <c r="CD288" i="1"/>
  <c r="CC288" i="1"/>
  <c r="CB288" i="1"/>
  <c r="CA288" i="1"/>
  <c r="BZ288" i="1"/>
  <c r="BY288" i="1"/>
  <c r="BX288" i="1"/>
  <c r="BW288" i="1"/>
  <c r="CR287" i="1"/>
  <c r="CQ287" i="1"/>
  <c r="CP287" i="1"/>
  <c r="CO287" i="1"/>
  <c r="CN287" i="1"/>
  <c r="CM287" i="1"/>
  <c r="CL287" i="1"/>
  <c r="CK287" i="1"/>
  <c r="CJ287" i="1"/>
  <c r="CI287" i="1"/>
  <c r="CH287" i="1"/>
  <c r="CG287" i="1"/>
  <c r="CF287" i="1"/>
  <c r="CE287" i="1"/>
  <c r="CD287" i="1"/>
  <c r="CC287" i="1"/>
  <c r="CB287" i="1"/>
  <c r="CA287" i="1"/>
  <c r="BZ287" i="1"/>
  <c r="BY287" i="1"/>
  <c r="BX287" i="1"/>
  <c r="BW287" i="1"/>
  <c r="CR286" i="1"/>
  <c r="CQ286" i="1"/>
  <c r="CP286" i="1"/>
  <c r="CO286" i="1"/>
  <c r="CN286" i="1"/>
  <c r="CM286" i="1"/>
  <c r="CL286" i="1"/>
  <c r="CK286" i="1"/>
  <c r="CJ286" i="1"/>
  <c r="CI286" i="1"/>
  <c r="CH286" i="1"/>
  <c r="CG286" i="1"/>
  <c r="CF286" i="1"/>
  <c r="CE286" i="1"/>
  <c r="CD286" i="1"/>
  <c r="CC286" i="1"/>
  <c r="CB286" i="1"/>
  <c r="CA286" i="1"/>
  <c r="BZ286" i="1"/>
  <c r="BY286" i="1"/>
  <c r="BX286" i="1"/>
  <c r="BW286" i="1"/>
  <c r="CR285" i="1"/>
  <c r="CQ285" i="1"/>
  <c r="CP285" i="1"/>
  <c r="CO285" i="1"/>
  <c r="CN285" i="1"/>
  <c r="CM285" i="1"/>
  <c r="CL285" i="1"/>
  <c r="CK285" i="1"/>
  <c r="CJ285" i="1"/>
  <c r="CI285" i="1"/>
  <c r="CH285" i="1"/>
  <c r="CG285" i="1"/>
  <c r="CF285" i="1"/>
  <c r="CE285" i="1"/>
  <c r="CD285" i="1"/>
  <c r="CC285" i="1"/>
  <c r="CB285" i="1"/>
  <c r="CA285" i="1"/>
  <c r="BZ285" i="1"/>
  <c r="BY285" i="1"/>
  <c r="BX285" i="1"/>
  <c r="BW285" i="1"/>
  <c r="CR284" i="1"/>
  <c r="CQ284" i="1"/>
  <c r="CP284" i="1"/>
  <c r="CO284" i="1"/>
  <c r="CN284" i="1"/>
  <c r="CM284" i="1"/>
  <c r="CL284" i="1"/>
  <c r="CK284" i="1"/>
  <c r="CJ284" i="1"/>
  <c r="CI284" i="1"/>
  <c r="CH284" i="1"/>
  <c r="CG284" i="1"/>
  <c r="CF284" i="1"/>
  <c r="CE284" i="1"/>
  <c r="CD284" i="1"/>
  <c r="CC284" i="1"/>
  <c r="CB284" i="1"/>
  <c r="CA284" i="1"/>
  <c r="BZ284" i="1"/>
  <c r="BY284" i="1"/>
  <c r="BX284" i="1"/>
  <c r="BW284" i="1"/>
  <c r="CR283" i="1"/>
  <c r="CQ283" i="1"/>
  <c r="CP283" i="1"/>
  <c r="CO283" i="1"/>
  <c r="CN283" i="1"/>
  <c r="CM283" i="1"/>
  <c r="CL283" i="1"/>
  <c r="CK283" i="1"/>
  <c r="CJ283" i="1"/>
  <c r="CI283" i="1"/>
  <c r="CH283" i="1"/>
  <c r="CG283" i="1"/>
  <c r="CF283" i="1"/>
  <c r="CE283" i="1"/>
  <c r="CD283" i="1"/>
  <c r="CC283" i="1"/>
  <c r="CB283" i="1"/>
  <c r="CA283" i="1"/>
  <c r="BZ283" i="1"/>
  <c r="BY283" i="1"/>
  <c r="BX283" i="1"/>
  <c r="BW283" i="1"/>
  <c r="CR282" i="1"/>
  <c r="CQ282" i="1"/>
  <c r="CP282" i="1"/>
  <c r="CO282" i="1"/>
  <c r="CN282" i="1"/>
  <c r="CM282" i="1"/>
  <c r="CL282" i="1"/>
  <c r="CK282" i="1"/>
  <c r="CJ282" i="1"/>
  <c r="CI282" i="1"/>
  <c r="CH282" i="1"/>
  <c r="CG282" i="1"/>
  <c r="CF282" i="1"/>
  <c r="CE282" i="1"/>
  <c r="CD282" i="1"/>
  <c r="CC282" i="1"/>
  <c r="CB282" i="1"/>
  <c r="CA282" i="1"/>
  <c r="BZ282" i="1"/>
  <c r="BY282" i="1"/>
  <c r="BX282" i="1"/>
  <c r="BW282" i="1"/>
  <c r="CR281" i="1"/>
  <c r="CQ281" i="1"/>
  <c r="CP281" i="1"/>
  <c r="CO281" i="1"/>
  <c r="CN281" i="1"/>
  <c r="CM281" i="1"/>
  <c r="CL281" i="1"/>
  <c r="CK281" i="1"/>
  <c r="CJ281" i="1"/>
  <c r="CI281" i="1"/>
  <c r="CH281" i="1"/>
  <c r="CG281" i="1"/>
  <c r="CF281" i="1"/>
  <c r="CE281" i="1"/>
  <c r="CD281" i="1"/>
  <c r="CC281" i="1"/>
  <c r="CB281" i="1"/>
  <c r="CA281" i="1"/>
  <c r="BZ281" i="1"/>
  <c r="BY281" i="1"/>
  <c r="BX281" i="1"/>
  <c r="BW281" i="1"/>
  <c r="CR280" i="1"/>
  <c r="CQ280" i="1"/>
  <c r="CP280" i="1"/>
  <c r="CO280" i="1"/>
  <c r="CN280" i="1"/>
  <c r="CM280" i="1"/>
  <c r="CL280" i="1"/>
  <c r="CK280" i="1"/>
  <c r="CJ280" i="1"/>
  <c r="CI280" i="1"/>
  <c r="CH280" i="1"/>
  <c r="CG280" i="1"/>
  <c r="CF280" i="1"/>
  <c r="CE280" i="1"/>
  <c r="CD280" i="1"/>
  <c r="CC280" i="1"/>
  <c r="CB280" i="1"/>
  <c r="CA280" i="1"/>
  <c r="BZ280" i="1"/>
  <c r="BY280" i="1"/>
  <c r="BX280" i="1"/>
  <c r="BW280" i="1"/>
  <c r="CR279" i="1"/>
  <c r="CQ279" i="1"/>
  <c r="CP279" i="1"/>
  <c r="CO279" i="1"/>
  <c r="CN279" i="1"/>
  <c r="CM279" i="1"/>
  <c r="CL279" i="1"/>
  <c r="CK279" i="1"/>
  <c r="CJ279" i="1"/>
  <c r="CI279" i="1"/>
  <c r="CH279" i="1"/>
  <c r="CG279" i="1"/>
  <c r="CF279" i="1"/>
  <c r="CE279" i="1"/>
  <c r="CD279" i="1"/>
  <c r="CC279" i="1"/>
  <c r="CB279" i="1"/>
  <c r="CA279" i="1"/>
  <c r="BZ279" i="1"/>
  <c r="BY279" i="1"/>
  <c r="BX279" i="1"/>
  <c r="BW279" i="1"/>
  <c r="CR278" i="1"/>
  <c r="CQ278" i="1"/>
  <c r="CP278" i="1"/>
  <c r="CO278" i="1"/>
  <c r="CN278" i="1"/>
  <c r="CM278" i="1"/>
  <c r="CL278" i="1"/>
  <c r="CK278" i="1"/>
  <c r="CJ278" i="1"/>
  <c r="CI278" i="1"/>
  <c r="CH278" i="1"/>
  <c r="CG278" i="1"/>
  <c r="CF278" i="1"/>
  <c r="CE278" i="1"/>
  <c r="CD278" i="1"/>
  <c r="CC278" i="1"/>
  <c r="CB278" i="1"/>
  <c r="CA278" i="1"/>
  <c r="BZ278" i="1"/>
  <c r="BY278" i="1"/>
  <c r="BX278" i="1"/>
  <c r="BW278" i="1"/>
  <c r="CR277" i="1"/>
  <c r="CQ277" i="1"/>
  <c r="CP277" i="1"/>
  <c r="CO277" i="1"/>
  <c r="CN277" i="1"/>
  <c r="CM277" i="1"/>
  <c r="CL277" i="1"/>
  <c r="CK277" i="1"/>
  <c r="CJ277" i="1"/>
  <c r="CI277" i="1"/>
  <c r="CH277" i="1"/>
  <c r="CG277" i="1"/>
  <c r="CF277" i="1"/>
  <c r="CE277" i="1"/>
  <c r="CD277" i="1"/>
  <c r="CC277" i="1"/>
  <c r="CB277" i="1"/>
  <c r="CA277" i="1"/>
  <c r="BZ277" i="1"/>
  <c r="BY277" i="1"/>
  <c r="BX277" i="1"/>
  <c r="BW277" i="1"/>
  <c r="CR276" i="1"/>
  <c r="CQ276" i="1"/>
  <c r="CP276" i="1"/>
  <c r="CO276" i="1"/>
  <c r="CN276" i="1"/>
  <c r="CM276" i="1"/>
  <c r="CL276" i="1"/>
  <c r="CK276" i="1"/>
  <c r="CJ276" i="1"/>
  <c r="CI276" i="1"/>
  <c r="CH276" i="1"/>
  <c r="CG276" i="1"/>
  <c r="CF276" i="1"/>
  <c r="CE276" i="1"/>
  <c r="CD276" i="1"/>
  <c r="CC276" i="1"/>
  <c r="CB276" i="1"/>
  <c r="CA276" i="1"/>
  <c r="BZ276" i="1"/>
  <c r="BY276" i="1"/>
  <c r="BX276" i="1"/>
  <c r="BW276" i="1"/>
  <c r="CR275" i="1"/>
  <c r="CQ275" i="1"/>
  <c r="CP275" i="1"/>
  <c r="CO275" i="1"/>
  <c r="CN275" i="1"/>
  <c r="CM275" i="1"/>
  <c r="CL275" i="1"/>
  <c r="CK275" i="1"/>
  <c r="CJ275" i="1"/>
  <c r="CI275" i="1"/>
  <c r="CH275" i="1"/>
  <c r="CG275" i="1"/>
  <c r="CF275" i="1"/>
  <c r="CE275" i="1"/>
  <c r="CD275" i="1"/>
  <c r="CC275" i="1"/>
  <c r="CB275" i="1"/>
  <c r="CA275" i="1"/>
  <c r="BZ275" i="1"/>
  <c r="BY275" i="1"/>
  <c r="BX275" i="1"/>
  <c r="BW275" i="1"/>
  <c r="CR274" i="1"/>
  <c r="CQ274" i="1"/>
  <c r="CP274" i="1"/>
  <c r="CO274" i="1"/>
  <c r="CN274" i="1"/>
  <c r="CM274" i="1"/>
  <c r="CL274" i="1"/>
  <c r="CK274" i="1"/>
  <c r="CJ274" i="1"/>
  <c r="CI274" i="1"/>
  <c r="CH274" i="1"/>
  <c r="CG274" i="1"/>
  <c r="CF274" i="1"/>
  <c r="CE274" i="1"/>
  <c r="CD274" i="1"/>
  <c r="CC274" i="1"/>
  <c r="CB274" i="1"/>
  <c r="CA274" i="1"/>
  <c r="BZ274" i="1"/>
  <c r="BY274" i="1"/>
  <c r="BX274" i="1"/>
  <c r="BW274" i="1"/>
  <c r="CR273" i="1"/>
  <c r="CQ273" i="1"/>
  <c r="CP273" i="1"/>
  <c r="CO273" i="1"/>
  <c r="CN273" i="1"/>
  <c r="CM273" i="1"/>
  <c r="CL273" i="1"/>
  <c r="CK273" i="1"/>
  <c r="CJ273" i="1"/>
  <c r="CI273" i="1"/>
  <c r="CH273" i="1"/>
  <c r="CG273" i="1"/>
  <c r="CF273" i="1"/>
  <c r="CE273" i="1"/>
  <c r="CD273" i="1"/>
  <c r="CC273" i="1"/>
  <c r="CB273" i="1"/>
  <c r="CA273" i="1"/>
  <c r="BZ273" i="1"/>
  <c r="BY273" i="1"/>
  <c r="BX273" i="1"/>
  <c r="BW273" i="1"/>
  <c r="CR272" i="1"/>
  <c r="CQ272" i="1"/>
  <c r="CP272" i="1"/>
  <c r="CO272" i="1"/>
  <c r="CN272" i="1"/>
  <c r="CM272" i="1"/>
  <c r="CL272" i="1"/>
  <c r="CK272" i="1"/>
  <c r="CJ272" i="1"/>
  <c r="CI272" i="1"/>
  <c r="CH272" i="1"/>
  <c r="CG272" i="1"/>
  <c r="CF272" i="1"/>
  <c r="CE272" i="1"/>
  <c r="CD272" i="1"/>
  <c r="CC272" i="1"/>
  <c r="CB272" i="1"/>
  <c r="CA272" i="1"/>
  <c r="BZ272" i="1"/>
  <c r="BY272" i="1"/>
  <c r="BX272" i="1"/>
  <c r="BW272" i="1"/>
  <c r="CR271" i="1"/>
  <c r="CQ271" i="1"/>
  <c r="CP271" i="1"/>
  <c r="CO271" i="1"/>
  <c r="CN271" i="1"/>
  <c r="CM271" i="1"/>
  <c r="CL271" i="1"/>
  <c r="CK271" i="1"/>
  <c r="CJ271" i="1"/>
  <c r="CI271" i="1"/>
  <c r="CH271" i="1"/>
  <c r="CG271" i="1"/>
  <c r="CF271" i="1"/>
  <c r="CE271" i="1"/>
  <c r="CD271" i="1"/>
  <c r="CC271" i="1"/>
  <c r="CB271" i="1"/>
  <c r="CA271" i="1"/>
  <c r="BZ271" i="1"/>
  <c r="BY271" i="1"/>
  <c r="BX271" i="1"/>
  <c r="BW271" i="1"/>
  <c r="CR270" i="1"/>
  <c r="CQ270" i="1"/>
  <c r="CP270" i="1"/>
  <c r="CO270" i="1"/>
  <c r="CN270" i="1"/>
  <c r="CM270" i="1"/>
  <c r="CL270" i="1"/>
  <c r="CK270" i="1"/>
  <c r="CJ270" i="1"/>
  <c r="CI270" i="1"/>
  <c r="CH270" i="1"/>
  <c r="CG270" i="1"/>
  <c r="CF270" i="1"/>
  <c r="CE270" i="1"/>
  <c r="CD270" i="1"/>
  <c r="CC270" i="1"/>
  <c r="CB270" i="1"/>
  <c r="CA270" i="1"/>
  <c r="BZ270" i="1"/>
  <c r="BY270" i="1"/>
  <c r="BX270" i="1"/>
  <c r="BW270" i="1"/>
  <c r="CR269" i="1"/>
  <c r="CQ269" i="1"/>
  <c r="CP269" i="1"/>
  <c r="CO269" i="1"/>
  <c r="CN269" i="1"/>
  <c r="CM269" i="1"/>
  <c r="CL269" i="1"/>
  <c r="CK269" i="1"/>
  <c r="CJ269" i="1"/>
  <c r="CI269" i="1"/>
  <c r="CH269" i="1"/>
  <c r="CG269" i="1"/>
  <c r="CF269" i="1"/>
  <c r="CE269" i="1"/>
  <c r="CD269" i="1"/>
  <c r="CC269" i="1"/>
  <c r="CB269" i="1"/>
  <c r="CA269" i="1"/>
  <c r="BZ269" i="1"/>
  <c r="BY269" i="1"/>
  <c r="BX269" i="1"/>
  <c r="BW269" i="1"/>
  <c r="CR268" i="1"/>
  <c r="CQ268" i="1"/>
  <c r="CP268" i="1"/>
  <c r="CO268" i="1"/>
  <c r="CN268" i="1"/>
  <c r="CM268" i="1"/>
  <c r="CL268" i="1"/>
  <c r="CK268" i="1"/>
  <c r="CJ268" i="1"/>
  <c r="CI268" i="1"/>
  <c r="CH268" i="1"/>
  <c r="CG268" i="1"/>
  <c r="CF268" i="1"/>
  <c r="CE268" i="1"/>
  <c r="CD268" i="1"/>
  <c r="CC268" i="1"/>
  <c r="CB268" i="1"/>
  <c r="CA268" i="1"/>
  <c r="BZ268" i="1"/>
  <c r="BY268" i="1"/>
  <c r="BX268" i="1"/>
  <c r="BW268" i="1"/>
  <c r="CR267" i="1"/>
  <c r="CQ267" i="1"/>
  <c r="CP267" i="1"/>
  <c r="CO267" i="1"/>
  <c r="CN267" i="1"/>
  <c r="CM267" i="1"/>
  <c r="CL267" i="1"/>
  <c r="CK267" i="1"/>
  <c r="CJ267" i="1"/>
  <c r="CI267" i="1"/>
  <c r="CH267" i="1"/>
  <c r="CG267" i="1"/>
  <c r="CF267" i="1"/>
  <c r="CE267" i="1"/>
  <c r="CD267" i="1"/>
  <c r="CC267" i="1"/>
  <c r="CB267" i="1"/>
  <c r="CA267" i="1"/>
  <c r="BZ267" i="1"/>
  <c r="BY267" i="1"/>
  <c r="BX267" i="1"/>
  <c r="BW267" i="1"/>
  <c r="CR266" i="1"/>
  <c r="CQ266" i="1"/>
  <c r="CP266" i="1"/>
  <c r="CO266" i="1"/>
  <c r="CN266" i="1"/>
  <c r="CM266" i="1"/>
  <c r="CL266" i="1"/>
  <c r="CK266" i="1"/>
  <c r="CJ266" i="1"/>
  <c r="CI266" i="1"/>
  <c r="CH266" i="1"/>
  <c r="CG266" i="1"/>
  <c r="CF266" i="1"/>
  <c r="CE266" i="1"/>
  <c r="CD266" i="1"/>
  <c r="CC266" i="1"/>
  <c r="CB266" i="1"/>
  <c r="CA266" i="1"/>
  <c r="BZ266" i="1"/>
  <c r="BY266" i="1"/>
  <c r="BX266" i="1"/>
  <c r="BW266" i="1"/>
  <c r="CR265" i="1"/>
  <c r="CQ265" i="1"/>
  <c r="CP265" i="1"/>
  <c r="CO265" i="1"/>
  <c r="CN265" i="1"/>
  <c r="CM265" i="1"/>
  <c r="CL265" i="1"/>
  <c r="CK265" i="1"/>
  <c r="CJ265" i="1"/>
  <c r="CI265" i="1"/>
  <c r="CH265" i="1"/>
  <c r="CG265" i="1"/>
  <c r="CF265" i="1"/>
  <c r="CE265" i="1"/>
  <c r="CD265" i="1"/>
  <c r="CC265" i="1"/>
  <c r="CB265" i="1"/>
  <c r="CA265" i="1"/>
  <c r="BZ265" i="1"/>
  <c r="BY265" i="1"/>
  <c r="BX265" i="1"/>
  <c r="BW265" i="1"/>
  <c r="CR264" i="1"/>
  <c r="CQ264" i="1"/>
  <c r="CP264" i="1"/>
  <c r="CO264" i="1"/>
  <c r="CN264" i="1"/>
  <c r="CM264" i="1"/>
  <c r="CL264" i="1"/>
  <c r="CK264" i="1"/>
  <c r="CJ264" i="1"/>
  <c r="CI264" i="1"/>
  <c r="CH264" i="1"/>
  <c r="CG264" i="1"/>
  <c r="CF264" i="1"/>
  <c r="CE264" i="1"/>
  <c r="CD264" i="1"/>
  <c r="CC264" i="1"/>
  <c r="CB264" i="1"/>
  <c r="CA264" i="1"/>
  <c r="BZ264" i="1"/>
  <c r="BY264" i="1"/>
  <c r="BX264" i="1"/>
  <c r="BW264" i="1"/>
  <c r="CR263" i="1"/>
  <c r="CQ263" i="1"/>
  <c r="CP263" i="1"/>
  <c r="CO263" i="1"/>
  <c r="CN263" i="1"/>
  <c r="CM263" i="1"/>
  <c r="CL263" i="1"/>
  <c r="CK263" i="1"/>
  <c r="CJ263" i="1"/>
  <c r="CI263" i="1"/>
  <c r="CH263" i="1"/>
  <c r="CG263" i="1"/>
  <c r="CF263" i="1"/>
  <c r="CE263" i="1"/>
  <c r="CD263" i="1"/>
  <c r="CC263" i="1"/>
  <c r="CB263" i="1"/>
  <c r="CA263" i="1"/>
  <c r="BZ263" i="1"/>
  <c r="BY263" i="1"/>
  <c r="BX263" i="1"/>
  <c r="BW263" i="1"/>
  <c r="CR262" i="1"/>
  <c r="CQ262" i="1"/>
  <c r="CP262" i="1"/>
  <c r="CO262" i="1"/>
  <c r="CN262" i="1"/>
  <c r="CM262" i="1"/>
  <c r="CL262" i="1"/>
  <c r="CK262" i="1"/>
  <c r="CJ262" i="1"/>
  <c r="CI262" i="1"/>
  <c r="CH262" i="1"/>
  <c r="CG262" i="1"/>
  <c r="CF262" i="1"/>
  <c r="CE262" i="1"/>
  <c r="CD262" i="1"/>
  <c r="CC262" i="1"/>
  <c r="CB262" i="1"/>
  <c r="CA262" i="1"/>
  <c r="BZ262" i="1"/>
  <c r="BY262" i="1"/>
  <c r="BX262" i="1"/>
  <c r="BW262" i="1"/>
  <c r="CR261" i="1"/>
  <c r="CQ261" i="1"/>
  <c r="CP261" i="1"/>
  <c r="CO261" i="1"/>
  <c r="CN261" i="1"/>
  <c r="CM261" i="1"/>
  <c r="CL261" i="1"/>
  <c r="CK261" i="1"/>
  <c r="CJ261" i="1"/>
  <c r="CI261" i="1"/>
  <c r="CH261" i="1"/>
  <c r="CG261" i="1"/>
  <c r="CF261" i="1"/>
  <c r="CE261" i="1"/>
  <c r="CD261" i="1"/>
  <c r="CC261" i="1"/>
  <c r="CB261" i="1"/>
  <c r="CA261" i="1"/>
  <c r="BZ261" i="1"/>
  <c r="BY261" i="1"/>
  <c r="BX261" i="1"/>
  <c r="BW261" i="1"/>
  <c r="CR260" i="1"/>
  <c r="CQ260" i="1"/>
  <c r="CP260" i="1"/>
  <c r="CO260" i="1"/>
  <c r="CN260" i="1"/>
  <c r="CM260" i="1"/>
  <c r="CL260" i="1"/>
  <c r="CK260" i="1"/>
  <c r="CJ260" i="1"/>
  <c r="CI260" i="1"/>
  <c r="CH260" i="1"/>
  <c r="CG260" i="1"/>
  <c r="CF260" i="1"/>
  <c r="CE260" i="1"/>
  <c r="CD260" i="1"/>
  <c r="CC260" i="1"/>
  <c r="CB260" i="1"/>
  <c r="CA260" i="1"/>
  <c r="BZ260" i="1"/>
  <c r="BY260" i="1"/>
  <c r="BX260" i="1"/>
  <c r="BW260" i="1"/>
  <c r="CR259" i="1"/>
  <c r="CQ259" i="1"/>
  <c r="CP259" i="1"/>
  <c r="CO259" i="1"/>
  <c r="CN259" i="1"/>
  <c r="CM259" i="1"/>
  <c r="CL259" i="1"/>
  <c r="CK259" i="1"/>
  <c r="CJ259" i="1"/>
  <c r="CI259" i="1"/>
  <c r="CH259" i="1"/>
  <c r="CG259" i="1"/>
  <c r="CF259" i="1"/>
  <c r="CE259" i="1"/>
  <c r="CD259" i="1"/>
  <c r="CC259" i="1"/>
  <c r="CB259" i="1"/>
  <c r="CA259" i="1"/>
  <c r="BZ259" i="1"/>
  <c r="BY259" i="1"/>
  <c r="BX259" i="1"/>
  <c r="BW259" i="1"/>
  <c r="CR258" i="1"/>
  <c r="CQ258" i="1"/>
  <c r="CP258" i="1"/>
  <c r="CO258" i="1"/>
  <c r="CN258" i="1"/>
  <c r="CM258" i="1"/>
  <c r="CL258" i="1"/>
  <c r="CK258" i="1"/>
  <c r="CJ258" i="1"/>
  <c r="CI258" i="1"/>
  <c r="CH258" i="1"/>
  <c r="CG258" i="1"/>
  <c r="CF258" i="1"/>
  <c r="CE258" i="1"/>
  <c r="CD258" i="1"/>
  <c r="CC258" i="1"/>
  <c r="CB258" i="1"/>
  <c r="CA258" i="1"/>
  <c r="BZ258" i="1"/>
  <c r="BY258" i="1"/>
  <c r="BX258" i="1"/>
  <c r="BW258" i="1"/>
  <c r="CR257" i="1"/>
  <c r="CQ257" i="1"/>
  <c r="CP257" i="1"/>
  <c r="CO257" i="1"/>
  <c r="CN257" i="1"/>
  <c r="CM257" i="1"/>
  <c r="CL257" i="1"/>
  <c r="CK257" i="1"/>
  <c r="CJ257" i="1"/>
  <c r="CI257" i="1"/>
  <c r="CH257" i="1"/>
  <c r="CG257" i="1"/>
  <c r="CF257" i="1"/>
  <c r="CE257" i="1"/>
  <c r="CD257" i="1"/>
  <c r="CC257" i="1"/>
  <c r="CB257" i="1"/>
  <c r="CA257" i="1"/>
  <c r="BZ257" i="1"/>
  <c r="BY257" i="1"/>
  <c r="BX257" i="1"/>
  <c r="BW257" i="1"/>
  <c r="CR256" i="1"/>
  <c r="CQ256" i="1"/>
  <c r="CP256" i="1"/>
  <c r="CO256" i="1"/>
  <c r="CN256" i="1"/>
  <c r="CM256" i="1"/>
  <c r="CL256" i="1"/>
  <c r="CK256" i="1"/>
  <c r="CJ256" i="1"/>
  <c r="CI256" i="1"/>
  <c r="CH256" i="1"/>
  <c r="CG256" i="1"/>
  <c r="CF256" i="1"/>
  <c r="CE256" i="1"/>
  <c r="CD256" i="1"/>
  <c r="CC256" i="1"/>
  <c r="CB256" i="1"/>
  <c r="CA256" i="1"/>
  <c r="BZ256" i="1"/>
  <c r="BY256" i="1"/>
  <c r="BX256" i="1"/>
  <c r="BW256" i="1"/>
  <c r="CR255" i="1"/>
  <c r="CQ255" i="1"/>
  <c r="CP255" i="1"/>
  <c r="CO255" i="1"/>
  <c r="CN255" i="1"/>
  <c r="CM255" i="1"/>
  <c r="CL255" i="1"/>
  <c r="CK255" i="1"/>
  <c r="CJ255" i="1"/>
  <c r="CI255" i="1"/>
  <c r="CH255" i="1"/>
  <c r="CG255" i="1"/>
  <c r="CF255" i="1"/>
  <c r="CE255" i="1"/>
  <c r="CD255" i="1"/>
  <c r="CC255" i="1"/>
  <c r="CB255" i="1"/>
  <c r="CA255" i="1"/>
  <c r="BZ255" i="1"/>
  <c r="BY255" i="1"/>
  <c r="BX255" i="1"/>
  <c r="BW255" i="1"/>
  <c r="CR254" i="1"/>
  <c r="CQ254" i="1"/>
  <c r="CP254" i="1"/>
  <c r="CO254" i="1"/>
  <c r="CN254" i="1"/>
  <c r="CM254" i="1"/>
  <c r="CL254" i="1"/>
  <c r="CK254" i="1"/>
  <c r="CJ254" i="1"/>
  <c r="CI254" i="1"/>
  <c r="CH254" i="1"/>
  <c r="CG254" i="1"/>
  <c r="CF254" i="1"/>
  <c r="CE254" i="1"/>
  <c r="CD254" i="1"/>
  <c r="CC254" i="1"/>
  <c r="CB254" i="1"/>
  <c r="CA254" i="1"/>
  <c r="BZ254" i="1"/>
  <c r="BY254" i="1"/>
  <c r="BX254" i="1"/>
  <c r="BW254" i="1"/>
  <c r="CR253" i="1"/>
  <c r="CQ253" i="1"/>
  <c r="CP253" i="1"/>
  <c r="CO253" i="1"/>
  <c r="CN253" i="1"/>
  <c r="CM253" i="1"/>
  <c r="CL253" i="1"/>
  <c r="CK253" i="1"/>
  <c r="CJ253" i="1"/>
  <c r="CI253" i="1"/>
  <c r="CH253" i="1"/>
  <c r="CG253" i="1"/>
  <c r="CF253" i="1"/>
  <c r="CE253" i="1"/>
  <c r="CD253" i="1"/>
  <c r="CC253" i="1"/>
  <c r="CB253" i="1"/>
  <c r="CA253" i="1"/>
  <c r="BZ253" i="1"/>
  <c r="BY253" i="1"/>
  <c r="BX253" i="1"/>
  <c r="BW253" i="1"/>
  <c r="CR252" i="1"/>
  <c r="CQ252" i="1"/>
  <c r="CP252" i="1"/>
  <c r="CO252" i="1"/>
  <c r="CN252" i="1"/>
  <c r="CM252" i="1"/>
  <c r="CL252" i="1"/>
  <c r="CK252" i="1"/>
  <c r="CJ252" i="1"/>
  <c r="CI252" i="1"/>
  <c r="CH252" i="1"/>
  <c r="CG252" i="1"/>
  <c r="CF252" i="1"/>
  <c r="CE252" i="1"/>
  <c r="CD252" i="1"/>
  <c r="CC252" i="1"/>
  <c r="CB252" i="1"/>
  <c r="CA252" i="1"/>
  <c r="BZ252" i="1"/>
  <c r="BY252" i="1"/>
  <c r="BX252" i="1"/>
  <c r="BW252" i="1"/>
  <c r="CR251" i="1"/>
  <c r="CQ251" i="1"/>
  <c r="CP251" i="1"/>
  <c r="CO251" i="1"/>
  <c r="CN251" i="1"/>
  <c r="CM251" i="1"/>
  <c r="CL251" i="1"/>
  <c r="CK251" i="1"/>
  <c r="CJ251" i="1"/>
  <c r="CI251" i="1"/>
  <c r="CH251" i="1"/>
  <c r="CG251" i="1"/>
  <c r="CF251" i="1"/>
  <c r="CE251" i="1"/>
  <c r="CD251" i="1"/>
  <c r="CC251" i="1"/>
  <c r="CB251" i="1"/>
  <c r="CA251" i="1"/>
  <c r="BZ251" i="1"/>
  <c r="BY251" i="1"/>
  <c r="BX251" i="1"/>
  <c r="BW251" i="1"/>
  <c r="CR250" i="1"/>
  <c r="CQ250" i="1"/>
  <c r="CP250" i="1"/>
  <c r="CO250" i="1"/>
  <c r="CN250" i="1"/>
  <c r="CM250" i="1"/>
  <c r="CL250" i="1"/>
  <c r="CK250" i="1"/>
  <c r="CJ250" i="1"/>
  <c r="CI250" i="1"/>
  <c r="CH250" i="1"/>
  <c r="CG250" i="1"/>
  <c r="CF250" i="1"/>
  <c r="CE250" i="1"/>
  <c r="CD250" i="1"/>
  <c r="CC250" i="1"/>
  <c r="CB250" i="1"/>
  <c r="CA250" i="1"/>
  <c r="BZ250" i="1"/>
  <c r="BY250" i="1"/>
  <c r="BX250" i="1"/>
  <c r="BW250" i="1"/>
  <c r="CR249" i="1"/>
  <c r="CQ249" i="1"/>
  <c r="CP249" i="1"/>
  <c r="CO249" i="1"/>
  <c r="CN249" i="1"/>
  <c r="CM249" i="1"/>
  <c r="CL249" i="1"/>
  <c r="CK249" i="1"/>
  <c r="CJ249" i="1"/>
  <c r="CI249" i="1"/>
  <c r="CH249" i="1"/>
  <c r="CG249" i="1"/>
  <c r="CF249" i="1"/>
  <c r="CE249" i="1"/>
  <c r="CD249" i="1"/>
  <c r="CC249" i="1"/>
  <c r="CB249" i="1"/>
  <c r="CA249" i="1"/>
  <c r="BZ249" i="1"/>
  <c r="BY249" i="1"/>
  <c r="BX249" i="1"/>
  <c r="BW249" i="1"/>
  <c r="CR248" i="1"/>
  <c r="CQ248" i="1"/>
  <c r="CP248" i="1"/>
  <c r="CO248" i="1"/>
  <c r="CN248" i="1"/>
  <c r="CM248" i="1"/>
  <c r="CL248" i="1"/>
  <c r="CK248" i="1"/>
  <c r="CJ248" i="1"/>
  <c r="CI248" i="1"/>
  <c r="CH248" i="1"/>
  <c r="CG248" i="1"/>
  <c r="CF248" i="1"/>
  <c r="CE248" i="1"/>
  <c r="CD248" i="1"/>
  <c r="CC248" i="1"/>
  <c r="CB248" i="1"/>
  <c r="CA248" i="1"/>
  <c r="BZ248" i="1"/>
  <c r="BY248" i="1"/>
  <c r="BX248" i="1"/>
  <c r="BW248" i="1"/>
  <c r="CR247" i="1"/>
  <c r="CQ247" i="1"/>
  <c r="CP247" i="1"/>
  <c r="CO247" i="1"/>
  <c r="CN247" i="1"/>
  <c r="CM247" i="1"/>
  <c r="CL247" i="1"/>
  <c r="CK247" i="1"/>
  <c r="CJ247" i="1"/>
  <c r="CI247" i="1"/>
  <c r="CH247" i="1"/>
  <c r="CG247" i="1"/>
  <c r="CF247" i="1"/>
  <c r="CE247" i="1"/>
  <c r="CD247" i="1"/>
  <c r="CC247" i="1"/>
  <c r="CB247" i="1"/>
  <c r="CA247" i="1"/>
  <c r="BZ247" i="1"/>
  <c r="BY247" i="1"/>
  <c r="BX247" i="1"/>
  <c r="BW247" i="1"/>
  <c r="CR246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CE246" i="1"/>
  <c r="CD246" i="1"/>
  <c r="CC246" i="1"/>
  <c r="CB246" i="1"/>
  <c r="CA246" i="1"/>
  <c r="BZ246" i="1"/>
  <c r="BY246" i="1"/>
  <c r="BX246" i="1"/>
  <c r="BW246" i="1"/>
  <c r="CR245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CE245" i="1"/>
  <c r="CD245" i="1"/>
  <c r="CC245" i="1"/>
  <c r="CB245" i="1"/>
  <c r="CA245" i="1"/>
  <c r="BZ245" i="1"/>
  <c r="BY245" i="1"/>
  <c r="BX245" i="1"/>
  <c r="BW245" i="1"/>
  <c r="CR244" i="1"/>
  <c r="CQ244" i="1"/>
  <c r="CP244" i="1"/>
  <c r="CO244" i="1"/>
  <c r="CN244" i="1"/>
  <c r="CM244" i="1"/>
  <c r="CL244" i="1"/>
  <c r="CK244" i="1"/>
  <c r="CJ244" i="1"/>
  <c r="CI244" i="1"/>
  <c r="CH244" i="1"/>
  <c r="CG244" i="1"/>
  <c r="CF244" i="1"/>
  <c r="CE244" i="1"/>
  <c r="CD244" i="1"/>
  <c r="CC244" i="1"/>
  <c r="CB244" i="1"/>
  <c r="CA244" i="1"/>
  <c r="BZ244" i="1"/>
  <c r="BY244" i="1"/>
  <c r="BX244" i="1"/>
  <c r="BW244" i="1"/>
  <c r="CR243" i="1"/>
  <c r="CQ243" i="1"/>
  <c r="CP243" i="1"/>
  <c r="CO243" i="1"/>
  <c r="CN243" i="1"/>
  <c r="CM243" i="1"/>
  <c r="CL243" i="1"/>
  <c r="CK243" i="1"/>
  <c r="CJ243" i="1"/>
  <c r="CI243" i="1"/>
  <c r="CH243" i="1"/>
  <c r="CG243" i="1"/>
  <c r="CF243" i="1"/>
  <c r="CE243" i="1"/>
  <c r="CD243" i="1"/>
  <c r="CC243" i="1"/>
  <c r="CB243" i="1"/>
  <c r="CA243" i="1"/>
  <c r="BZ243" i="1"/>
  <c r="BY243" i="1"/>
  <c r="BX243" i="1"/>
  <c r="BW243" i="1"/>
  <c r="CR242" i="1"/>
  <c r="CQ242" i="1"/>
  <c r="CP242" i="1"/>
  <c r="CO242" i="1"/>
  <c r="CN242" i="1"/>
  <c r="CM242" i="1"/>
  <c r="CL242" i="1"/>
  <c r="CK242" i="1"/>
  <c r="CJ242" i="1"/>
  <c r="CI242" i="1"/>
  <c r="CH242" i="1"/>
  <c r="CG242" i="1"/>
  <c r="CF242" i="1"/>
  <c r="CE242" i="1"/>
  <c r="CD242" i="1"/>
  <c r="CC242" i="1"/>
  <c r="CB242" i="1"/>
  <c r="CA242" i="1"/>
  <c r="BZ242" i="1"/>
  <c r="BY242" i="1"/>
  <c r="BX242" i="1"/>
  <c r="BW242" i="1"/>
  <c r="CR241" i="1"/>
  <c r="CQ241" i="1"/>
  <c r="CP241" i="1"/>
  <c r="CO241" i="1"/>
  <c r="CN241" i="1"/>
  <c r="CM241" i="1"/>
  <c r="CL241" i="1"/>
  <c r="CK241" i="1"/>
  <c r="CJ241" i="1"/>
  <c r="CI241" i="1"/>
  <c r="CH241" i="1"/>
  <c r="CG241" i="1"/>
  <c r="CF241" i="1"/>
  <c r="CE241" i="1"/>
  <c r="CD241" i="1"/>
  <c r="CC241" i="1"/>
  <c r="CB241" i="1"/>
  <c r="CA241" i="1"/>
  <c r="BZ241" i="1"/>
  <c r="BY241" i="1"/>
  <c r="BX241" i="1"/>
  <c r="BW241" i="1"/>
  <c r="CR240" i="1"/>
  <c r="CQ240" i="1"/>
  <c r="CP240" i="1"/>
  <c r="CO240" i="1"/>
  <c r="CN240" i="1"/>
  <c r="CM240" i="1"/>
  <c r="CL240" i="1"/>
  <c r="CK240" i="1"/>
  <c r="CJ240" i="1"/>
  <c r="CI240" i="1"/>
  <c r="CH240" i="1"/>
  <c r="CG240" i="1"/>
  <c r="CF240" i="1"/>
  <c r="CE240" i="1"/>
  <c r="CD240" i="1"/>
  <c r="CC240" i="1"/>
  <c r="CB240" i="1"/>
  <c r="CA240" i="1"/>
  <c r="BZ240" i="1"/>
  <c r="BY240" i="1"/>
  <c r="BX240" i="1"/>
  <c r="BW240" i="1"/>
  <c r="CR239" i="1"/>
  <c r="CQ239" i="1"/>
  <c r="CP239" i="1"/>
  <c r="CO239" i="1"/>
  <c r="CN239" i="1"/>
  <c r="CM239" i="1"/>
  <c r="CL239" i="1"/>
  <c r="CK239" i="1"/>
  <c r="CJ239" i="1"/>
  <c r="CI239" i="1"/>
  <c r="CH239" i="1"/>
  <c r="CG239" i="1"/>
  <c r="CF239" i="1"/>
  <c r="CE239" i="1"/>
  <c r="CD239" i="1"/>
  <c r="CC239" i="1"/>
  <c r="CB239" i="1"/>
  <c r="CA239" i="1"/>
  <c r="BZ239" i="1"/>
  <c r="BY239" i="1"/>
  <c r="BX239" i="1"/>
  <c r="BW239" i="1"/>
  <c r="CR238" i="1"/>
  <c r="CQ238" i="1"/>
  <c r="CP238" i="1"/>
  <c r="CO238" i="1"/>
  <c r="CN238" i="1"/>
  <c r="CM238" i="1"/>
  <c r="CL238" i="1"/>
  <c r="CK238" i="1"/>
  <c r="CJ238" i="1"/>
  <c r="CI238" i="1"/>
  <c r="CH238" i="1"/>
  <c r="CG238" i="1"/>
  <c r="CF238" i="1"/>
  <c r="CE238" i="1"/>
  <c r="CD238" i="1"/>
  <c r="CC238" i="1"/>
  <c r="CB238" i="1"/>
  <c r="CA238" i="1"/>
  <c r="BZ238" i="1"/>
  <c r="BY238" i="1"/>
  <c r="BX238" i="1"/>
  <c r="BW238" i="1"/>
  <c r="CR237" i="1"/>
  <c r="CQ237" i="1"/>
  <c r="CP237" i="1"/>
  <c r="CO237" i="1"/>
  <c r="CN237" i="1"/>
  <c r="CM237" i="1"/>
  <c r="CL237" i="1"/>
  <c r="CK237" i="1"/>
  <c r="CJ237" i="1"/>
  <c r="CI237" i="1"/>
  <c r="CH237" i="1"/>
  <c r="CG237" i="1"/>
  <c r="CF237" i="1"/>
  <c r="CE237" i="1"/>
  <c r="CD237" i="1"/>
  <c r="CC237" i="1"/>
  <c r="CB237" i="1"/>
  <c r="CA237" i="1"/>
  <c r="BZ237" i="1"/>
  <c r="BY237" i="1"/>
  <c r="BX237" i="1"/>
  <c r="BW237" i="1"/>
  <c r="CR236" i="1"/>
  <c r="CQ236" i="1"/>
  <c r="CP236" i="1"/>
  <c r="CO236" i="1"/>
  <c r="CN236" i="1"/>
  <c r="CM236" i="1"/>
  <c r="CL236" i="1"/>
  <c r="CK236" i="1"/>
  <c r="CJ236" i="1"/>
  <c r="CI236" i="1"/>
  <c r="CH236" i="1"/>
  <c r="CG236" i="1"/>
  <c r="CF236" i="1"/>
  <c r="CE236" i="1"/>
  <c r="CD236" i="1"/>
  <c r="CC236" i="1"/>
  <c r="CB236" i="1"/>
  <c r="CA236" i="1"/>
  <c r="BZ236" i="1"/>
  <c r="BY236" i="1"/>
  <c r="BX236" i="1"/>
  <c r="BW236" i="1"/>
  <c r="CR235" i="1"/>
  <c r="CQ235" i="1"/>
  <c r="CP235" i="1"/>
  <c r="CO235" i="1"/>
  <c r="CN235" i="1"/>
  <c r="CM235" i="1"/>
  <c r="CL235" i="1"/>
  <c r="CK235" i="1"/>
  <c r="CJ235" i="1"/>
  <c r="CI235" i="1"/>
  <c r="CH235" i="1"/>
  <c r="CG235" i="1"/>
  <c r="CF235" i="1"/>
  <c r="CE235" i="1"/>
  <c r="CD235" i="1"/>
  <c r="CC235" i="1"/>
  <c r="CB235" i="1"/>
  <c r="CA235" i="1"/>
  <c r="BZ235" i="1"/>
  <c r="BY235" i="1"/>
  <c r="BX235" i="1"/>
  <c r="BW235" i="1"/>
  <c r="CR234" i="1"/>
  <c r="CQ234" i="1"/>
  <c r="CP234" i="1"/>
  <c r="CO234" i="1"/>
  <c r="CN234" i="1"/>
  <c r="CM234" i="1"/>
  <c r="CL234" i="1"/>
  <c r="CK234" i="1"/>
  <c r="CJ234" i="1"/>
  <c r="CI234" i="1"/>
  <c r="CH234" i="1"/>
  <c r="CG234" i="1"/>
  <c r="CF234" i="1"/>
  <c r="CE234" i="1"/>
  <c r="CD234" i="1"/>
  <c r="CC234" i="1"/>
  <c r="CB234" i="1"/>
  <c r="CA234" i="1"/>
  <c r="BZ234" i="1"/>
  <c r="BY234" i="1"/>
  <c r="BX234" i="1"/>
  <c r="BW234" i="1"/>
  <c r="CR233" i="1"/>
  <c r="CQ233" i="1"/>
  <c r="CP233" i="1"/>
  <c r="CO233" i="1"/>
  <c r="CN233" i="1"/>
  <c r="CM233" i="1"/>
  <c r="CL233" i="1"/>
  <c r="CK233" i="1"/>
  <c r="CJ233" i="1"/>
  <c r="CI233" i="1"/>
  <c r="CH233" i="1"/>
  <c r="CG233" i="1"/>
  <c r="CF233" i="1"/>
  <c r="CE233" i="1"/>
  <c r="CD233" i="1"/>
  <c r="CC233" i="1"/>
  <c r="CB233" i="1"/>
  <c r="CA233" i="1"/>
  <c r="BZ233" i="1"/>
  <c r="BY233" i="1"/>
  <c r="BX233" i="1"/>
  <c r="BW233" i="1"/>
  <c r="CR232" i="1"/>
  <c r="CQ232" i="1"/>
  <c r="CP232" i="1"/>
  <c r="CO232" i="1"/>
  <c r="CN232" i="1"/>
  <c r="CM232" i="1"/>
  <c r="CL232" i="1"/>
  <c r="CK232" i="1"/>
  <c r="CJ232" i="1"/>
  <c r="CI232" i="1"/>
  <c r="CH232" i="1"/>
  <c r="CG232" i="1"/>
  <c r="CF232" i="1"/>
  <c r="CE232" i="1"/>
  <c r="CD232" i="1"/>
  <c r="CC232" i="1"/>
  <c r="CB232" i="1"/>
  <c r="CA232" i="1"/>
  <c r="BZ232" i="1"/>
  <c r="BY232" i="1"/>
  <c r="BX232" i="1"/>
  <c r="BW232" i="1"/>
  <c r="CR231" i="1"/>
  <c r="CQ231" i="1"/>
  <c r="CP231" i="1"/>
  <c r="CO231" i="1"/>
  <c r="CN231" i="1"/>
  <c r="CM231" i="1"/>
  <c r="CL231" i="1"/>
  <c r="CK231" i="1"/>
  <c r="CJ231" i="1"/>
  <c r="CI231" i="1"/>
  <c r="CH231" i="1"/>
  <c r="CG231" i="1"/>
  <c r="CF231" i="1"/>
  <c r="CE231" i="1"/>
  <c r="CD231" i="1"/>
  <c r="CC231" i="1"/>
  <c r="CB231" i="1"/>
  <c r="CA231" i="1"/>
  <c r="BZ231" i="1"/>
  <c r="BY231" i="1"/>
  <c r="BX231" i="1"/>
  <c r="BW231" i="1"/>
  <c r="CR230" i="1"/>
  <c r="CQ230" i="1"/>
  <c r="CP230" i="1"/>
  <c r="CO230" i="1"/>
  <c r="CN230" i="1"/>
  <c r="CM230" i="1"/>
  <c r="CL230" i="1"/>
  <c r="CK230" i="1"/>
  <c r="CJ230" i="1"/>
  <c r="CI230" i="1"/>
  <c r="CH230" i="1"/>
  <c r="CG230" i="1"/>
  <c r="CF230" i="1"/>
  <c r="CE230" i="1"/>
  <c r="CD230" i="1"/>
  <c r="CC230" i="1"/>
  <c r="CB230" i="1"/>
  <c r="CA230" i="1"/>
  <c r="BZ230" i="1"/>
  <c r="BY230" i="1"/>
  <c r="BX230" i="1"/>
  <c r="BW230" i="1"/>
  <c r="CR229" i="1"/>
  <c r="CQ229" i="1"/>
  <c r="CP229" i="1"/>
  <c r="CO229" i="1"/>
  <c r="CN229" i="1"/>
  <c r="CM229" i="1"/>
  <c r="CL229" i="1"/>
  <c r="CK229" i="1"/>
  <c r="CJ229" i="1"/>
  <c r="CI229" i="1"/>
  <c r="CH229" i="1"/>
  <c r="CG229" i="1"/>
  <c r="CF229" i="1"/>
  <c r="CE229" i="1"/>
  <c r="CD229" i="1"/>
  <c r="CC229" i="1"/>
  <c r="CB229" i="1"/>
  <c r="CA229" i="1"/>
  <c r="BZ229" i="1"/>
  <c r="BY229" i="1"/>
  <c r="BX229" i="1"/>
  <c r="BW229" i="1"/>
  <c r="CR228" i="1"/>
  <c r="CQ228" i="1"/>
  <c r="CP228" i="1"/>
  <c r="CO228" i="1"/>
  <c r="CN228" i="1"/>
  <c r="CM228" i="1"/>
  <c r="CL228" i="1"/>
  <c r="CK228" i="1"/>
  <c r="CJ228" i="1"/>
  <c r="CI228" i="1"/>
  <c r="CH228" i="1"/>
  <c r="CG228" i="1"/>
  <c r="CF228" i="1"/>
  <c r="CE228" i="1"/>
  <c r="CD228" i="1"/>
  <c r="CC228" i="1"/>
  <c r="CB228" i="1"/>
  <c r="CA228" i="1"/>
  <c r="BZ228" i="1"/>
  <c r="BY228" i="1"/>
  <c r="BX228" i="1"/>
  <c r="BW228" i="1"/>
  <c r="CR227" i="1"/>
  <c r="CQ227" i="1"/>
  <c r="CP227" i="1"/>
  <c r="CO227" i="1"/>
  <c r="CN227" i="1"/>
  <c r="CM227" i="1"/>
  <c r="CL227" i="1"/>
  <c r="CK227" i="1"/>
  <c r="CJ227" i="1"/>
  <c r="CI227" i="1"/>
  <c r="CH227" i="1"/>
  <c r="CG227" i="1"/>
  <c r="CF227" i="1"/>
  <c r="CE227" i="1"/>
  <c r="CD227" i="1"/>
  <c r="CC227" i="1"/>
  <c r="CB227" i="1"/>
  <c r="CA227" i="1"/>
  <c r="BZ227" i="1"/>
  <c r="BY227" i="1"/>
  <c r="BX227" i="1"/>
  <c r="BW227" i="1"/>
  <c r="CR226" i="1"/>
  <c r="CQ226" i="1"/>
  <c r="CP226" i="1"/>
  <c r="CO226" i="1"/>
  <c r="CN226" i="1"/>
  <c r="CM226" i="1"/>
  <c r="CL226" i="1"/>
  <c r="CK226" i="1"/>
  <c r="CJ226" i="1"/>
  <c r="CI226" i="1"/>
  <c r="CH226" i="1"/>
  <c r="CG226" i="1"/>
  <c r="CF226" i="1"/>
  <c r="CE226" i="1"/>
  <c r="CD226" i="1"/>
  <c r="CC226" i="1"/>
  <c r="CB226" i="1"/>
  <c r="CA226" i="1"/>
  <c r="BZ226" i="1"/>
  <c r="BY226" i="1"/>
  <c r="BX226" i="1"/>
  <c r="BW226" i="1"/>
  <c r="CR225" i="1"/>
  <c r="CQ225" i="1"/>
  <c r="CP225" i="1"/>
  <c r="CO225" i="1"/>
  <c r="CN225" i="1"/>
  <c r="CM225" i="1"/>
  <c r="CL225" i="1"/>
  <c r="CK225" i="1"/>
  <c r="CJ225" i="1"/>
  <c r="CI225" i="1"/>
  <c r="CH225" i="1"/>
  <c r="CG225" i="1"/>
  <c r="CF225" i="1"/>
  <c r="CE225" i="1"/>
  <c r="CD225" i="1"/>
  <c r="CC225" i="1"/>
  <c r="CB225" i="1"/>
  <c r="CA225" i="1"/>
  <c r="BZ225" i="1"/>
  <c r="BY225" i="1"/>
  <c r="BX225" i="1"/>
  <c r="BW225" i="1"/>
  <c r="CR224" i="1"/>
  <c r="CQ224" i="1"/>
  <c r="CP224" i="1"/>
  <c r="CO224" i="1"/>
  <c r="CN224" i="1"/>
  <c r="CM224" i="1"/>
  <c r="CL224" i="1"/>
  <c r="CK224" i="1"/>
  <c r="CJ224" i="1"/>
  <c r="CI224" i="1"/>
  <c r="CH224" i="1"/>
  <c r="CG224" i="1"/>
  <c r="CF224" i="1"/>
  <c r="CE224" i="1"/>
  <c r="CD224" i="1"/>
  <c r="CC224" i="1"/>
  <c r="CB224" i="1"/>
  <c r="CA224" i="1"/>
  <c r="BZ224" i="1"/>
  <c r="BY224" i="1"/>
  <c r="BX224" i="1"/>
  <c r="BW224" i="1"/>
  <c r="CR223" i="1"/>
  <c r="CQ223" i="1"/>
  <c r="CP223" i="1"/>
  <c r="CO223" i="1"/>
  <c r="CN223" i="1"/>
  <c r="CM223" i="1"/>
  <c r="CL223" i="1"/>
  <c r="CK223" i="1"/>
  <c r="CJ223" i="1"/>
  <c r="CI223" i="1"/>
  <c r="CH223" i="1"/>
  <c r="CG223" i="1"/>
  <c r="CF223" i="1"/>
  <c r="CE223" i="1"/>
  <c r="CD223" i="1"/>
  <c r="CC223" i="1"/>
  <c r="CB223" i="1"/>
  <c r="CA223" i="1"/>
  <c r="BZ223" i="1"/>
  <c r="BY223" i="1"/>
  <c r="BX223" i="1"/>
  <c r="BW223" i="1"/>
  <c r="CR222" i="1"/>
  <c r="CQ222" i="1"/>
  <c r="CP222" i="1"/>
  <c r="CO222" i="1"/>
  <c r="CN222" i="1"/>
  <c r="CM222" i="1"/>
  <c r="CL222" i="1"/>
  <c r="CK222" i="1"/>
  <c r="CJ222" i="1"/>
  <c r="CI222" i="1"/>
  <c r="CH222" i="1"/>
  <c r="CG222" i="1"/>
  <c r="CF222" i="1"/>
  <c r="CE222" i="1"/>
  <c r="CD222" i="1"/>
  <c r="CC222" i="1"/>
  <c r="CB222" i="1"/>
  <c r="CA222" i="1"/>
  <c r="BZ222" i="1"/>
  <c r="BY222" i="1"/>
  <c r="BX222" i="1"/>
  <c r="BW222" i="1"/>
  <c r="CR221" i="1"/>
  <c r="CQ221" i="1"/>
  <c r="CP221" i="1"/>
  <c r="CO221" i="1"/>
  <c r="CN221" i="1"/>
  <c r="CM221" i="1"/>
  <c r="CL221" i="1"/>
  <c r="CK221" i="1"/>
  <c r="CJ221" i="1"/>
  <c r="CI221" i="1"/>
  <c r="CH221" i="1"/>
  <c r="CG221" i="1"/>
  <c r="CF221" i="1"/>
  <c r="CE221" i="1"/>
  <c r="CD221" i="1"/>
  <c r="CC221" i="1"/>
  <c r="CB221" i="1"/>
  <c r="CA221" i="1"/>
  <c r="BZ221" i="1"/>
  <c r="BY221" i="1"/>
  <c r="BX221" i="1"/>
  <c r="BW221" i="1"/>
  <c r="CR220" i="1"/>
  <c r="CQ220" i="1"/>
  <c r="CP220" i="1"/>
  <c r="CO220" i="1"/>
  <c r="CN220" i="1"/>
  <c r="CM220" i="1"/>
  <c r="CL220" i="1"/>
  <c r="CK220" i="1"/>
  <c r="CJ220" i="1"/>
  <c r="CI220" i="1"/>
  <c r="CH220" i="1"/>
  <c r="CG220" i="1"/>
  <c r="CF220" i="1"/>
  <c r="CE220" i="1"/>
  <c r="CD220" i="1"/>
  <c r="CC220" i="1"/>
  <c r="CB220" i="1"/>
  <c r="CA220" i="1"/>
  <c r="BZ220" i="1"/>
  <c r="BY220" i="1"/>
  <c r="BX220" i="1"/>
  <c r="BW220" i="1"/>
  <c r="CR219" i="1"/>
  <c r="CQ219" i="1"/>
  <c r="CP219" i="1"/>
  <c r="CO219" i="1"/>
  <c r="CN219" i="1"/>
  <c r="CM219" i="1"/>
  <c r="CL219" i="1"/>
  <c r="CK219" i="1"/>
  <c r="CJ219" i="1"/>
  <c r="CI219" i="1"/>
  <c r="CH219" i="1"/>
  <c r="CG219" i="1"/>
  <c r="CF219" i="1"/>
  <c r="CE219" i="1"/>
  <c r="CD219" i="1"/>
  <c r="CC219" i="1"/>
  <c r="CB219" i="1"/>
  <c r="CA219" i="1"/>
  <c r="BZ219" i="1"/>
  <c r="BY219" i="1"/>
  <c r="BX219" i="1"/>
  <c r="BW219" i="1"/>
  <c r="CR218" i="1"/>
  <c r="CQ218" i="1"/>
  <c r="CP218" i="1"/>
  <c r="CO218" i="1"/>
  <c r="CN218" i="1"/>
  <c r="CM218" i="1"/>
  <c r="CL218" i="1"/>
  <c r="CK218" i="1"/>
  <c r="CJ218" i="1"/>
  <c r="CI218" i="1"/>
  <c r="CH218" i="1"/>
  <c r="CG218" i="1"/>
  <c r="CF218" i="1"/>
  <c r="CE218" i="1"/>
  <c r="CD218" i="1"/>
  <c r="CC218" i="1"/>
  <c r="CB218" i="1"/>
  <c r="CA218" i="1"/>
  <c r="BZ218" i="1"/>
  <c r="BY218" i="1"/>
  <c r="BX218" i="1"/>
  <c r="BW218" i="1"/>
  <c r="CR217" i="1"/>
  <c r="CQ217" i="1"/>
  <c r="CP217" i="1"/>
  <c r="CO217" i="1"/>
  <c r="CN217" i="1"/>
  <c r="CM217" i="1"/>
  <c r="CL217" i="1"/>
  <c r="CK217" i="1"/>
  <c r="CJ217" i="1"/>
  <c r="CI217" i="1"/>
  <c r="CH217" i="1"/>
  <c r="CG217" i="1"/>
  <c r="CF217" i="1"/>
  <c r="CE217" i="1"/>
  <c r="CD217" i="1"/>
  <c r="CC217" i="1"/>
  <c r="CB217" i="1"/>
  <c r="CA217" i="1"/>
  <c r="BZ217" i="1"/>
  <c r="BY217" i="1"/>
  <c r="BX217" i="1"/>
  <c r="BW217" i="1"/>
  <c r="CR216" i="1"/>
  <c r="CQ216" i="1"/>
  <c r="CP216" i="1"/>
  <c r="CO216" i="1"/>
  <c r="CN216" i="1"/>
  <c r="CM216" i="1"/>
  <c r="CL216" i="1"/>
  <c r="CK216" i="1"/>
  <c r="CJ216" i="1"/>
  <c r="CI216" i="1"/>
  <c r="CH216" i="1"/>
  <c r="CG216" i="1"/>
  <c r="CF216" i="1"/>
  <c r="CE216" i="1"/>
  <c r="CD216" i="1"/>
  <c r="CC216" i="1"/>
  <c r="CB216" i="1"/>
  <c r="CA216" i="1"/>
  <c r="BZ216" i="1"/>
  <c r="BY216" i="1"/>
  <c r="BX216" i="1"/>
  <c r="BW216" i="1"/>
  <c r="CR215" i="1"/>
  <c r="CQ215" i="1"/>
  <c r="CP215" i="1"/>
  <c r="CO215" i="1"/>
  <c r="CN215" i="1"/>
  <c r="CM215" i="1"/>
  <c r="CL215" i="1"/>
  <c r="CK215" i="1"/>
  <c r="CJ215" i="1"/>
  <c r="CI215" i="1"/>
  <c r="CH215" i="1"/>
  <c r="CG215" i="1"/>
  <c r="CF215" i="1"/>
  <c r="CE215" i="1"/>
  <c r="CD215" i="1"/>
  <c r="CC215" i="1"/>
  <c r="CB215" i="1"/>
  <c r="CA215" i="1"/>
  <c r="BZ215" i="1"/>
  <c r="BY215" i="1"/>
  <c r="BX215" i="1"/>
  <c r="BW215" i="1"/>
  <c r="CR214" i="1"/>
  <c r="CQ214" i="1"/>
  <c r="CP214" i="1"/>
  <c r="CO214" i="1"/>
  <c r="CN214" i="1"/>
  <c r="CM214" i="1"/>
  <c r="CL214" i="1"/>
  <c r="CK214" i="1"/>
  <c r="CJ214" i="1"/>
  <c r="CI214" i="1"/>
  <c r="CH214" i="1"/>
  <c r="CG214" i="1"/>
  <c r="CF214" i="1"/>
  <c r="CE214" i="1"/>
  <c r="CD214" i="1"/>
  <c r="CC214" i="1"/>
  <c r="CB214" i="1"/>
  <c r="CA214" i="1"/>
  <c r="BZ214" i="1"/>
  <c r="BY214" i="1"/>
  <c r="BX214" i="1"/>
  <c r="BW214" i="1"/>
  <c r="CR213" i="1"/>
  <c r="CQ213" i="1"/>
  <c r="CP213" i="1"/>
  <c r="CO213" i="1"/>
  <c r="CN213" i="1"/>
  <c r="CM213" i="1"/>
  <c r="CL213" i="1"/>
  <c r="CK213" i="1"/>
  <c r="CJ213" i="1"/>
  <c r="CI213" i="1"/>
  <c r="CH213" i="1"/>
  <c r="CG213" i="1"/>
  <c r="CF213" i="1"/>
  <c r="CE213" i="1"/>
  <c r="CD213" i="1"/>
  <c r="CC213" i="1"/>
  <c r="CB213" i="1"/>
  <c r="CA213" i="1"/>
  <c r="BZ213" i="1"/>
  <c r="BY213" i="1"/>
  <c r="BX213" i="1"/>
  <c r="BW213" i="1"/>
  <c r="CR212" i="1"/>
  <c r="CQ212" i="1"/>
  <c r="CP212" i="1"/>
  <c r="CO212" i="1"/>
  <c r="CN212" i="1"/>
  <c r="CM212" i="1"/>
  <c r="CL212" i="1"/>
  <c r="CK212" i="1"/>
  <c r="CJ212" i="1"/>
  <c r="CI212" i="1"/>
  <c r="CH212" i="1"/>
  <c r="CG212" i="1"/>
  <c r="CF212" i="1"/>
  <c r="CE212" i="1"/>
  <c r="CD212" i="1"/>
  <c r="CC212" i="1"/>
  <c r="CB212" i="1"/>
  <c r="CA212" i="1"/>
  <c r="BZ212" i="1"/>
  <c r="BY212" i="1"/>
  <c r="BX212" i="1"/>
  <c r="BW212" i="1"/>
  <c r="CR211" i="1"/>
  <c r="CQ211" i="1"/>
  <c r="CP211" i="1"/>
  <c r="CO211" i="1"/>
  <c r="CN211" i="1"/>
  <c r="CM211" i="1"/>
  <c r="CL211" i="1"/>
  <c r="CK211" i="1"/>
  <c r="CJ211" i="1"/>
  <c r="CI211" i="1"/>
  <c r="CH211" i="1"/>
  <c r="CG211" i="1"/>
  <c r="CF211" i="1"/>
  <c r="CE211" i="1"/>
  <c r="CD211" i="1"/>
  <c r="CC211" i="1"/>
  <c r="CB211" i="1"/>
  <c r="CA211" i="1"/>
  <c r="BZ211" i="1"/>
  <c r="BY211" i="1"/>
  <c r="BX211" i="1"/>
  <c r="BW211" i="1"/>
  <c r="CR210" i="1"/>
  <c r="CQ210" i="1"/>
  <c r="CP210" i="1"/>
  <c r="CO210" i="1"/>
  <c r="CN210" i="1"/>
  <c r="CM210" i="1"/>
  <c r="CL210" i="1"/>
  <c r="CK210" i="1"/>
  <c r="CJ210" i="1"/>
  <c r="CI210" i="1"/>
  <c r="CH210" i="1"/>
  <c r="CG210" i="1"/>
  <c r="CF210" i="1"/>
  <c r="CE210" i="1"/>
  <c r="CD210" i="1"/>
  <c r="CC210" i="1"/>
  <c r="CB210" i="1"/>
  <c r="CA210" i="1"/>
  <c r="BZ210" i="1"/>
  <c r="BY210" i="1"/>
  <c r="BX210" i="1"/>
  <c r="BW210" i="1"/>
  <c r="CR209" i="1"/>
  <c r="CQ209" i="1"/>
  <c r="CP209" i="1"/>
  <c r="CO209" i="1"/>
  <c r="CN209" i="1"/>
  <c r="CM209" i="1"/>
  <c r="CL209" i="1"/>
  <c r="CK209" i="1"/>
  <c r="CJ209" i="1"/>
  <c r="CI209" i="1"/>
  <c r="CH209" i="1"/>
  <c r="CG209" i="1"/>
  <c r="CF209" i="1"/>
  <c r="CE209" i="1"/>
  <c r="CD209" i="1"/>
  <c r="CC209" i="1"/>
  <c r="CB209" i="1"/>
  <c r="CA209" i="1"/>
  <c r="BZ209" i="1"/>
  <c r="BY209" i="1"/>
  <c r="BX209" i="1"/>
  <c r="BW209" i="1"/>
  <c r="CR208" i="1"/>
  <c r="CQ208" i="1"/>
  <c r="CP208" i="1"/>
  <c r="CO208" i="1"/>
  <c r="CN208" i="1"/>
  <c r="CM208" i="1"/>
  <c r="CL208" i="1"/>
  <c r="CK208" i="1"/>
  <c r="CJ208" i="1"/>
  <c r="CI208" i="1"/>
  <c r="CH208" i="1"/>
  <c r="CG208" i="1"/>
  <c r="CF208" i="1"/>
  <c r="CE208" i="1"/>
  <c r="CD208" i="1"/>
  <c r="CC208" i="1"/>
  <c r="CB208" i="1"/>
  <c r="CA208" i="1"/>
  <c r="BZ208" i="1"/>
  <c r="BY208" i="1"/>
  <c r="BX208" i="1"/>
  <c r="BW208" i="1"/>
  <c r="CR207" i="1"/>
  <c r="CQ207" i="1"/>
  <c r="CP207" i="1"/>
  <c r="CO207" i="1"/>
  <c r="CN207" i="1"/>
  <c r="CM207" i="1"/>
  <c r="CL207" i="1"/>
  <c r="CK207" i="1"/>
  <c r="CJ207" i="1"/>
  <c r="CI207" i="1"/>
  <c r="CH207" i="1"/>
  <c r="CG207" i="1"/>
  <c r="CF207" i="1"/>
  <c r="CE207" i="1"/>
  <c r="CD207" i="1"/>
  <c r="CC207" i="1"/>
  <c r="CB207" i="1"/>
  <c r="CA207" i="1"/>
  <c r="BZ207" i="1"/>
  <c r="BY207" i="1"/>
  <c r="BX207" i="1"/>
  <c r="BW207" i="1"/>
  <c r="CR206" i="1"/>
  <c r="CQ206" i="1"/>
  <c r="CP206" i="1"/>
  <c r="CO206" i="1"/>
  <c r="CN206" i="1"/>
  <c r="CM206" i="1"/>
  <c r="CL206" i="1"/>
  <c r="CK206" i="1"/>
  <c r="CJ206" i="1"/>
  <c r="CI206" i="1"/>
  <c r="CH206" i="1"/>
  <c r="CG206" i="1"/>
  <c r="CF206" i="1"/>
  <c r="CE206" i="1"/>
  <c r="CD206" i="1"/>
  <c r="CC206" i="1"/>
  <c r="CB206" i="1"/>
  <c r="CA206" i="1"/>
  <c r="BZ206" i="1"/>
  <c r="BY206" i="1"/>
  <c r="BX206" i="1"/>
  <c r="BW206" i="1"/>
  <c r="CR205" i="1"/>
  <c r="CQ205" i="1"/>
  <c r="CP205" i="1"/>
  <c r="CO205" i="1"/>
  <c r="CN205" i="1"/>
  <c r="CM205" i="1"/>
  <c r="CL205" i="1"/>
  <c r="CK205" i="1"/>
  <c r="CJ205" i="1"/>
  <c r="CI205" i="1"/>
  <c r="CH205" i="1"/>
  <c r="CG205" i="1"/>
  <c r="CF205" i="1"/>
  <c r="CE205" i="1"/>
  <c r="CD205" i="1"/>
  <c r="CC205" i="1"/>
  <c r="CB205" i="1"/>
  <c r="CA205" i="1"/>
  <c r="BZ205" i="1"/>
  <c r="BY205" i="1"/>
  <c r="BX205" i="1"/>
  <c r="BW205" i="1"/>
  <c r="CR204" i="1"/>
  <c r="CQ204" i="1"/>
  <c r="CP204" i="1"/>
  <c r="CO204" i="1"/>
  <c r="CN204" i="1"/>
  <c r="CM204" i="1"/>
  <c r="CL204" i="1"/>
  <c r="CK204" i="1"/>
  <c r="CJ204" i="1"/>
  <c r="CI204" i="1"/>
  <c r="CH204" i="1"/>
  <c r="CG204" i="1"/>
  <c r="CF204" i="1"/>
  <c r="CE204" i="1"/>
  <c r="CD204" i="1"/>
  <c r="CC204" i="1"/>
  <c r="CB204" i="1"/>
  <c r="CA204" i="1"/>
  <c r="BZ204" i="1"/>
  <c r="BY204" i="1"/>
  <c r="BX204" i="1"/>
  <c r="BW204" i="1"/>
  <c r="CR203" i="1"/>
  <c r="CQ203" i="1"/>
  <c r="CP203" i="1"/>
  <c r="CO203" i="1"/>
  <c r="CN203" i="1"/>
  <c r="CM203" i="1"/>
  <c r="CL203" i="1"/>
  <c r="CK203" i="1"/>
  <c r="CJ203" i="1"/>
  <c r="CI203" i="1"/>
  <c r="CH203" i="1"/>
  <c r="CG203" i="1"/>
  <c r="CF203" i="1"/>
  <c r="CE203" i="1"/>
  <c r="CD203" i="1"/>
  <c r="CC203" i="1"/>
  <c r="CB203" i="1"/>
  <c r="CA203" i="1"/>
  <c r="BZ203" i="1"/>
  <c r="BY203" i="1"/>
  <c r="BX203" i="1"/>
  <c r="BW203" i="1"/>
  <c r="CR202" i="1"/>
  <c r="CQ202" i="1"/>
  <c r="CP202" i="1"/>
  <c r="CO202" i="1"/>
  <c r="CN202" i="1"/>
  <c r="CM202" i="1"/>
  <c r="CL202" i="1"/>
  <c r="CK202" i="1"/>
  <c r="CJ202" i="1"/>
  <c r="CI202" i="1"/>
  <c r="CH202" i="1"/>
  <c r="CG202" i="1"/>
  <c r="CF202" i="1"/>
  <c r="CE202" i="1"/>
  <c r="CD202" i="1"/>
  <c r="CC202" i="1"/>
  <c r="CB202" i="1"/>
  <c r="CA202" i="1"/>
  <c r="BZ202" i="1"/>
  <c r="BY202" i="1"/>
  <c r="BX202" i="1"/>
  <c r="BW202" i="1"/>
  <c r="CR201" i="1"/>
  <c r="CQ201" i="1"/>
  <c r="CP201" i="1"/>
  <c r="CO201" i="1"/>
  <c r="CN201" i="1"/>
  <c r="CM201" i="1"/>
  <c r="CL201" i="1"/>
  <c r="CK201" i="1"/>
  <c r="CJ201" i="1"/>
  <c r="CI201" i="1"/>
  <c r="CH201" i="1"/>
  <c r="CG201" i="1"/>
  <c r="CF201" i="1"/>
  <c r="CE201" i="1"/>
  <c r="CD201" i="1"/>
  <c r="CC201" i="1"/>
  <c r="CB201" i="1"/>
  <c r="CA201" i="1"/>
  <c r="BZ201" i="1"/>
  <c r="BY201" i="1"/>
  <c r="BX201" i="1"/>
  <c r="BW201" i="1"/>
  <c r="CR200" i="1"/>
  <c r="CQ200" i="1"/>
  <c r="CP200" i="1"/>
  <c r="CO200" i="1"/>
  <c r="CN200" i="1"/>
  <c r="CM200" i="1"/>
  <c r="CL200" i="1"/>
  <c r="CK200" i="1"/>
  <c r="CJ200" i="1"/>
  <c r="CI200" i="1"/>
  <c r="CH200" i="1"/>
  <c r="CG200" i="1"/>
  <c r="CF200" i="1"/>
  <c r="CE200" i="1"/>
  <c r="CD200" i="1"/>
  <c r="CC200" i="1"/>
  <c r="CB200" i="1"/>
  <c r="CA200" i="1"/>
  <c r="BZ200" i="1"/>
  <c r="BY200" i="1"/>
  <c r="BX200" i="1"/>
  <c r="BW200" i="1"/>
  <c r="CR199" i="1"/>
  <c r="CQ199" i="1"/>
  <c r="CP199" i="1"/>
  <c r="CO199" i="1"/>
  <c r="CN199" i="1"/>
  <c r="CM199" i="1"/>
  <c r="CL199" i="1"/>
  <c r="CK199" i="1"/>
  <c r="CJ199" i="1"/>
  <c r="CI199" i="1"/>
  <c r="CH199" i="1"/>
  <c r="CG199" i="1"/>
  <c r="CF199" i="1"/>
  <c r="CE199" i="1"/>
  <c r="CD199" i="1"/>
  <c r="CC199" i="1"/>
  <c r="CB199" i="1"/>
  <c r="CA199" i="1"/>
  <c r="BZ199" i="1"/>
  <c r="BY199" i="1"/>
  <c r="BX199" i="1"/>
  <c r="BW199" i="1"/>
  <c r="CR198" i="1"/>
  <c r="CQ198" i="1"/>
  <c r="CP198" i="1"/>
  <c r="CO198" i="1"/>
  <c r="CN198" i="1"/>
  <c r="CM198" i="1"/>
  <c r="CL198" i="1"/>
  <c r="CK198" i="1"/>
  <c r="CJ198" i="1"/>
  <c r="CI198" i="1"/>
  <c r="CH198" i="1"/>
  <c r="CG198" i="1"/>
  <c r="CF198" i="1"/>
  <c r="CE198" i="1"/>
  <c r="CD198" i="1"/>
  <c r="CC198" i="1"/>
  <c r="CB198" i="1"/>
  <c r="CA198" i="1"/>
  <c r="BZ198" i="1"/>
  <c r="BY198" i="1"/>
  <c r="BX198" i="1"/>
  <c r="BW198" i="1"/>
  <c r="CR197" i="1"/>
  <c r="CQ197" i="1"/>
  <c r="CP197" i="1"/>
  <c r="CO197" i="1"/>
  <c r="CN197" i="1"/>
  <c r="CM197" i="1"/>
  <c r="CL197" i="1"/>
  <c r="CK197" i="1"/>
  <c r="CJ197" i="1"/>
  <c r="CI197" i="1"/>
  <c r="CH197" i="1"/>
  <c r="CG197" i="1"/>
  <c r="CF197" i="1"/>
  <c r="CE197" i="1"/>
  <c r="CD197" i="1"/>
  <c r="CC197" i="1"/>
  <c r="CB197" i="1"/>
  <c r="CA197" i="1"/>
  <c r="BZ197" i="1"/>
  <c r="BY197" i="1"/>
  <c r="BX197" i="1"/>
  <c r="BW197" i="1"/>
  <c r="CR196" i="1"/>
  <c r="CQ196" i="1"/>
  <c r="CP196" i="1"/>
  <c r="CO196" i="1"/>
  <c r="CN196" i="1"/>
  <c r="CM196" i="1"/>
  <c r="CL196" i="1"/>
  <c r="CK196" i="1"/>
  <c r="CJ196" i="1"/>
  <c r="CI196" i="1"/>
  <c r="CH196" i="1"/>
  <c r="CG196" i="1"/>
  <c r="CF196" i="1"/>
  <c r="CE196" i="1"/>
  <c r="CD196" i="1"/>
  <c r="CC196" i="1"/>
  <c r="CB196" i="1"/>
  <c r="CA196" i="1"/>
  <c r="BZ196" i="1"/>
  <c r="BY196" i="1"/>
  <c r="BX196" i="1"/>
  <c r="BW196" i="1"/>
  <c r="CR195" i="1"/>
  <c r="CQ195" i="1"/>
  <c r="CP195" i="1"/>
  <c r="CO195" i="1"/>
  <c r="CN195" i="1"/>
  <c r="CM195" i="1"/>
  <c r="CL195" i="1"/>
  <c r="CK195" i="1"/>
  <c r="CJ195" i="1"/>
  <c r="CI195" i="1"/>
  <c r="CH195" i="1"/>
  <c r="CG195" i="1"/>
  <c r="CF195" i="1"/>
  <c r="CE195" i="1"/>
  <c r="CD195" i="1"/>
  <c r="CC195" i="1"/>
  <c r="CB195" i="1"/>
  <c r="CA195" i="1"/>
  <c r="BZ195" i="1"/>
  <c r="BY195" i="1"/>
  <c r="BX195" i="1"/>
  <c r="BW195" i="1"/>
  <c r="CR194" i="1"/>
  <c r="CQ194" i="1"/>
  <c r="CP194" i="1"/>
  <c r="CO194" i="1"/>
  <c r="CN194" i="1"/>
  <c r="CM194" i="1"/>
  <c r="CL194" i="1"/>
  <c r="CK194" i="1"/>
  <c r="CJ194" i="1"/>
  <c r="CI194" i="1"/>
  <c r="CH194" i="1"/>
  <c r="CG194" i="1"/>
  <c r="CF194" i="1"/>
  <c r="CE194" i="1"/>
  <c r="CD194" i="1"/>
  <c r="CC194" i="1"/>
  <c r="CB194" i="1"/>
  <c r="CA194" i="1"/>
  <c r="BZ194" i="1"/>
  <c r="BY194" i="1"/>
  <c r="BX194" i="1"/>
  <c r="BW194" i="1"/>
  <c r="CR193" i="1"/>
  <c r="CQ193" i="1"/>
  <c r="CP193" i="1"/>
  <c r="CO193" i="1"/>
  <c r="CN193" i="1"/>
  <c r="CM193" i="1"/>
  <c r="CL193" i="1"/>
  <c r="CK193" i="1"/>
  <c r="CJ193" i="1"/>
  <c r="CI193" i="1"/>
  <c r="CH193" i="1"/>
  <c r="CG193" i="1"/>
  <c r="CF193" i="1"/>
  <c r="CE193" i="1"/>
  <c r="CD193" i="1"/>
  <c r="CC193" i="1"/>
  <c r="CB193" i="1"/>
  <c r="CA193" i="1"/>
  <c r="BZ193" i="1"/>
  <c r="BY193" i="1"/>
  <c r="BX193" i="1"/>
  <c r="BW193" i="1"/>
  <c r="CR192" i="1"/>
  <c r="CQ192" i="1"/>
  <c r="CP192" i="1"/>
  <c r="CO192" i="1"/>
  <c r="CN192" i="1"/>
  <c r="CM192" i="1"/>
  <c r="CL192" i="1"/>
  <c r="CK192" i="1"/>
  <c r="CJ192" i="1"/>
  <c r="CI192" i="1"/>
  <c r="CH192" i="1"/>
  <c r="CG192" i="1"/>
  <c r="CF192" i="1"/>
  <c r="CE192" i="1"/>
  <c r="CD192" i="1"/>
  <c r="CC192" i="1"/>
  <c r="CB192" i="1"/>
  <c r="CA192" i="1"/>
  <c r="BZ192" i="1"/>
  <c r="BY192" i="1"/>
  <c r="BX192" i="1"/>
  <c r="BW192" i="1"/>
  <c r="CR191" i="1"/>
  <c r="CQ191" i="1"/>
  <c r="CP191" i="1"/>
  <c r="CO191" i="1"/>
  <c r="CN191" i="1"/>
  <c r="CM191" i="1"/>
  <c r="CL191" i="1"/>
  <c r="CK191" i="1"/>
  <c r="CJ191" i="1"/>
  <c r="CI191" i="1"/>
  <c r="CH191" i="1"/>
  <c r="CG191" i="1"/>
  <c r="CF191" i="1"/>
  <c r="CE191" i="1"/>
  <c r="CD191" i="1"/>
  <c r="CC191" i="1"/>
  <c r="CB191" i="1"/>
  <c r="CA191" i="1"/>
  <c r="BZ191" i="1"/>
  <c r="BY191" i="1"/>
  <c r="BX191" i="1"/>
  <c r="BW191" i="1"/>
  <c r="CR190" i="1"/>
  <c r="CQ190" i="1"/>
  <c r="CP190" i="1"/>
  <c r="CO190" i="1"/>
  <c r="CN190" i="1"/>
  <c r="CM190" i="1"/>
  <c r="CL190" i="1"/>
  <c r="CK190" i="1"/>
  <c r="CJ190" i="1"/>
  <c r="CI190" i="1"/>
  <c r="CH190" i="1"/>
  <c r="CG190" i="1"/>
  <c r="CF190" i="1"/>
  <c r="CE190" i="1"/>
  <c r="CD190" i="1"/>
  <c r="CC190" i="1"/>
  <c r="CB190" i="1"/>
  <c r="CA190" i="1"/>
  <c r="BZ190" i="1"/>
  <c r="BY190" i="1"/>
  <c r="BX190" i="1"/>
  <c r="BW190" i="1"/>
  <c r="CR189" i="1"/>
  <c r="CQ189" i="1"/>
  <c r="CP189" i="1"/>
  <c r="CO189" i="1"/>
  <c r="CN189" i="1"/>
  <c r="CM189" i="1"/>
  <c r="CL189" i="1"/>
  <c r="CK189" i="1"/>
  <c r="CJ189" i="1"/>
  <c r="CI189" i="1"/>
  <c r="CH189" i="1"/>
  <c r="CG189" i="1"/>
  <c r="CF189" i="1"/>
  <c r="CE189" i="1"/>
  <c r="CD189" i="1"/>
  <c r="CC189" i="1"/>
  <c r="CB189" i="1"/>
  <c r="CA189" i="1"/>
  <c r="BZ189" i="1"/>
  <c r="BY189" i="1"/>
  <c r="BX189" i="1"/>
  <c r="BW189" i="1"/>
  <c r="CR188" i="1"/>
  <c r="CQ188" i="1"/>
  <c r="CP188" i="1"/>
  <c r="CO188" i="1"/>
  <c r="CN188" i="1"/>
  <c r="CM188" i="1"/>
  <c r="CL188" i="1"/>
  <c r="CK188" i="1"/>
  <c r="CJ188" i="1"/>
  <c r="CI188" i="1"/>
  <c r="CH188" i="1"/>
  <c r="CG188" i="1"/>
  <c r="CF188" i="1"/>
  <c r="CE188" i="1"/>
  <c r="CD188" i="1"/>
  <c r="CC188" i="1"/>
  <c r="CB188" i="1"/>
  <c r="CA188" i="1"/>
  <c r="BZ188" i="1"/>
  <c r="BY188" i="1"/>
  <c r="BX188" i="1"/>
  <c r="BW188" i="1"/>
  <c r="CR187" i="1"/>
  <c r="CQ187" i="1"/>
  <c r="CP187" i="1"/>
  <c r="CO187" i="1"/>
  <c r="CN187" i="1"/>
  <c r="CM187" i="1"/>
  <c r="CL187" i="1"/>
  <c r="CK187" i="1"/>
  <c r="CJ187" i="1"/>
  <c r="CI187" i="1"/>
  <c r="CH187" i="1"/>
  <c r="CG187" i="1"/>
  <c r="CF187" i="1"/>
  <c r="CE187" i="1"/>
  <c r="CD187" i="1"/>
  <c r="CC187" i="1"/>
  <c r="CB187" i="1"/>
  <c r="CA187" i="1"/>
  <c r="BZ187" i="1"/>
  <c r="BY187" i="1"/>
  <c r="BX187" i="1"/>
  <c r="BW187" i="1"/>
  <c r="CR186" i="1"/>
  <c r="CQ186" i="1"/>
  <c r="CP186" i="1"/>
  <c r="CO186" i="1"/>
  <c r="CN186" i="1"/>
  <c r="CM186" i="1"/>
  <c r="CL186" i="1"/>
  <c r="CK186" i="1"/>
  <c r="CJ186" i="1"/>
  <c r="CI186" i="1"/>
  <c r="CH186" i="1"/>
  <c r="CG186" i="1"/>
  <c r="CF186" i="1"/>
  <c r="CE186" i="1"/>
  <c r="CD186" i="1"/>
  <c r="CC186" i="1"/>
  <c r="CB186" i="1"/>
  <c r="CA186" i="1"/>
  <c r="BZ186" i="1"/>
  <c r="BY186" i="1"/>
  <c r="BX186" i="1"/>
  <c r="BW186" i="1"/>
  <c r="CR185" i="1"/>
  <c r="CQ185" i="1"/>
  <c r="CP185" i="1"/>
  <c r="CO185" i="1"/>
  <c r="CN185" i="1"/>
  <c r="CM185" i="1"/>
  <c r="CL185" i="1"/>
  <c r="CK185" i="1"/>
  <c r="CJ185" i="1"/>
  <c r="CI185" i="1"/>
  <c r="CH185" i="1"/>
  <c r="CG185" i="1"/>
  <c r="CF185" i="1"/>
  <c r="CE185" i="1"/>
  <c r="CD185" i="1"/>
  <c r="CC185" i="1"/>
  <c r="CB185" i="1"/>
  <c r="CA185" i="1"/>
  <c r="BZ185" i="1"/>
  <c r="BY185" i="1"/>
  <c r="BX185" i="1"/>
  <c r="BW185" i="1"/>
  <c r="CR184" i="1"/>
  <c r="CQ184" i="1"/>
  <c r="CP184" i="1"/>
  <c r="CO184" i="1"/>
  <c r="CN184" i="1"/>
  <c r="CM184" i="1"/>
  <c r="CL184" i="1"/>
  <c r="CK184" i="1"/>
  <c r="CJ184" i="1"/>
  <c r="CI184" i="1"/>
  <c r="CH184" i="1"/>
  <c r="CG184" i="1"/>
  <c r="CF184" i="1"/>
  <c r="CE184" i="1"/>
  <c r="CD184" i="1"/>
  <c r="CC184" i="1"/>
  <c r="CB184" i="1"/>
  <c r="CA184" i="1"/>
  <c r="BZ184" i="1"/>
  <c r="BY184" i="1"/>
  <c r="BX184" i="1"/>
  <c r="BW184" i="1"/>
  <c r="CR183" i="1"/>
  <c r="CQ183" i="1"/>
  <c r="CP183" i="1"/>
  <c r="CO183" i="1"/>
  <c r="CN183" i="1"/>
  <c r="CM183" i="1"/>
  <c r="CL183" i="1"/>
  <c r="CK183" i="1"/>
  <c r="CJ183" i="1"/>
  <c r="CI183" i="1"/>
  <c r="CH183" i="1"/>
  <c r="CG183" i="1"/>
  <c r="CF183" i="1"/>
  <c r="CE183" i="1"/>
  <c r="CD183" i="1"/>
  <c r="CC183" i="1"/>
  <c r="CB183" i="1"/>
  <c r="CA183" i="1"/>
  <c r="BZ183" i="1"/>
  <c r="BY183" i="1"/>
  <c r="BX183" i="1"/>
  <c r="BW183" i="1"/>
  <c r="CR182" i="1"/>
  <c r="CQ182" i="1"/>
  <c r="CP182" i="1"/>
  <c r="CO182" i="1"/>
  <c r="CN182" i="1"/>
  <c r="CM182" i="1"/>
  <c r="CL182" i="1"/>
  <c r="CK182" i="1"/>
  <c r="CJ182" i="1"/>
  <c r="CI182" i="1"/>
  <c r="CH182" i="1"/>
  <c r="CG182" i="1"/>
  <c r="CF182" i="1"/>
  <c r="CE182" i="1"/>
  <c r="CD182" i="1"/>
  <c r="CC182" i="1"/>
  <c r="CB182" i="1"/>
  <c r="CA182" i="1"/>
  <c r="BZ182" i="1"/>
  <c r="BY182" i="1"/>
  <c r="BX182" i="1"/>
  <c r="BW182" i="1"/>
  <c r="CR181" i="1"/>
  <c r="CQ181" i="1"/>
  <c r="CP181" i="1"/>
  <c r="CO181" i="1"/>
  <c r="CN181" i="1"/>
  <c r="CM181" i="1"/>
  <c r="CL181" i="1"/>
  <c r="CK181" i="1"/>
  <c r="CJ181" i="1"/>
  <c r="CI181" i="1"/>
  <c r="CH181" i="1"/>
  <c r="CG181" i="1"/>
  <c r="CF181" i="1"/>
  <c r="CE181" i="1"/>
  <c r="CD181" i="1"/>
  <c r="CC181" i="1"/>
  <c r="CB181" i="1"/>
  <c r="CA181" i="1"/>
  <c r="BZ181" i="1"/>
  <c r="BY181" i="1"/>
  <c r="BX181" i="1"/>
  <c r="BW181" i="1"/>
  <c r="CR180" i="1"/>
  <c r="CQ180" i="1"/>
  <c r="CP180" i="1"/>
  <c r="CO180" i="1"/>
  <c r="CN180" i="1"/>
  <c r="CM180" i="1"/>
  <c r="CL180" i="1"/>
  <c r="CK180" i="1"/>
  <c r="CJ180" i="1"/>
  <c r="CI180" i="1"/>
  <c r="CH180" i="1"/>
  <c r="CG180" i="1"/>
  <c r="CF180" i="1"/>
  <c r="CE180" i="1"/>
  <c r="CD180" i="1"/>
  <c r="CC180" i="1"/>
  <c r="CB180" i="1"/>
  <c r="CA180" i="1"/>
  <c r="BZ180" i="1"/>
  <c r="BY180" i="1"/>
  <c r="BX180" i="1"/>
  <c r="BW180" i="1"/>
  <c r="CR179" i="1"/>
  <c r="CQ179" i="1"/>
  <c r="CP179" i="1"/>
  <c r="CO179" i="1"/>
  <c r="CN179" i="1"/>
  <c r="CM179" i="1"/>
  <c r="CL179" i="1"/>
  <c r="CK179" i="1"/>
  <c r="CJ179" i="1"/>
  <c r="CI179" i="1"/>
  <c r="CH179" i="1"/>
  <c r="CG179" i="1"/>
  <c r="CF179" i="1"/>
  <c r="CE179" i="1"/>
  <c r="CD179" i="1"/>
  <c r="CC179" i="1"/>
  <c r="CB179" i="1"/>
  <c r="CA179" i="1"/>
  <c r="BZ179" i="1"/>
  <c r="BY179" i="1"/>
  <c r="BX179" i="1"/>
  <c r="BW179" i="1"/>
  <c r="CR178" i="1"/>
  <c r="CQ178" i="1"/>
  <c r="CP178" i="1"/>
  <c r="CO178" i="1"/>
  <c r="CN178" i="1"/>
  <c r="CM178" i="1"/>
  <c r="CL178" i="1"/>
  <c r="CK178" i="1"/>
  <c r="CJ178" i="1"/>
  <c r="CI178" i="1"/>
  <c r="CH178" i="1"/>
  <c r="CG178" i="1"/>
  <c r="CF178" i="1"/>
  <c r="CE178" i="1"/>
  <c r="CD178" i="1"/>
  <c r="CC178" i="1"/>
  <c r="CB178" i="1"/>
  <c r="CA178" i="1"/>
  <c r="BZ178" i="1"/>
  <c r="BY178" i="1"/>
  <c r="BX178" i="1"/>
  <c r="BW178" i="1"/>
  <c r="CR177" i="1"/>
  <c r="CQ177" i="1"/>
  <c r="CP177" i="1"/>
  <c r="CO177" i="1"/>
  <c r="CN177" i="1"/>
  <c r="CM177" i="1"/>
  <c r="CL177" i="1"/>
  <c r="CK177" i="1"/>
  <c r="CJ177" i="1"/>
  <c r="CI177" i="1"/>
  <c r="CH177" i="1"/>
  <c r="CG177" i="1"/>
  <c r="CF177" i="1"/>
  <c r="CE177" i="1"/>
  <c r="CD177" i="1"/>
  <c r="CC177" i="1"/>
  <c r="CB177" i="1"/>
  <c r="CA177" i="1"/>
  <c r="BZ177" i="1"/>
  <c r="BY177" i="1"/>
  <c r="BX177" i="1"/>
  <c r="BW177" i="1"/>
  <c r="CR176" i="1"/>
  <c r="CQ176" i="1"/>
  <c r="CP176" i="1"/>
  <c r="CO176" i="1"/>
  <c r="CN176" i="1"/>
  <c r="CM176" i="1"/>
  <c r="CL176" i="1"/>
  <c r="CK176" i="1"/>
  <c r="CJ176" i="1"/>
  <c r="CI176" i="1"/>
  <c r="CH176" i="1"/>
  <c r="CG176" i="1"/>
  <c r="CF176" i="1"/>
  <c r="CE176" i="1"/>
  <c r="CD176" i="1"/>
  <c r="CC176" i="1"/>
  <c r="CB176" i="1"/>
  <c r="CA176" i="1"/>
  <c r="BZ176" i="1"/>
  <c r="BY176" i="1"/>
  <c r="BX176" i="1"/>
  <c r="BW176" i="1"/>
  <c r="CR175" i="1"/>
  <c r="CQ175" i="1"/>
  <c r="CP175" i="1"/>
  <c r="CO175" i="1"/>
  <c r="CN175" i="1"/>
  <c r="CM175" i="1"/>
  <c r="CL175" i="1"/>
  <c r="CK175" i="1"/>
  <c r="CJ175" i="1"/>
  <c r="CI175" i="1"/>
  <c r="CH175" i="1"/>
  <c r="CG175" i="1"/>
  <c r="CF175" i="1"/>
  <c r="CE175" i="1"/>
  <c r="CD175" i="1"/>
  <c r="CC175" i="1"/>
  <c r="CB175" i="1"/>
  <c r="CA175" i="1"/>
  <c r="BZ175" i="1"/>
  <c r="BY175" i="1"/>
  <c r="BX175" i="1"/>
  <c r="BW175" i="1"/>
  <c r="CR174" i="1"/>
  <c r="CQ174" i="1"/>
  <c r="CP174" i="1"/>
  <c r="CO174" i="1"/>
  <c r="CN174" i="1"/>
  <c r="CM174" i="1"/>
  <c r="CL174" i="1"/>
  <c r="CK174" i="1"/>
  <c r="CJ174" i="1"/>
  <c r="CI174" i="1"/>
  <c r="CH174" i="1"/>
  <c r="CG174" i="1"/>
  <c r="CF174" i="1"/>
  <c r="CE174" i="1"/>
  <c r="CD174" i="1"/>
  <c r="CC174" i="1"/>
  <c r="CB174" i="1"/>
  <c r="CA174" i="1"/>
  <c r="BZ174" i="1"/>
  <c r="BY174" i="1"/>
  <c r="BX174" i="1"/>
  <c r="BW174" i="1"/>
  <c r="CR173" i="1"/>
  <c r="CQ173" i="1"/>
  <c r="CP173" i="1"/>
  <c r="CO173" i="1"/>
  <c r="CN173" i="1"/>
  <c r="CM173" i="1"/>
  <c r="CL173" i="1"/>
  <c r="CK173" i="1"/>
  <c r="CJ173" i="1"/>
  <c r="CI173" i="1"/>
  <c r="CH173" i="1"/>
  <c r="CG173" i="1"/>
  <c r="CF173" i="1"/>
  <c r="CE173" i="1"/>
  <c r="CD173" i="1"/>
  <c r="CC173" i="1"/>
  <c r="CB173" i="1"/>
  <c r="CA173" i="1"/>
  <c r="BZ173" i="1"/>
  <c r="BY173" i="1"/>
  <c r="BX173" i="1"/>
  <c r="BW173" i="1"/>
  <c r="BV173" i="1"/>
  <c r="CR172" i="1"/>
  <c r="CQ172" i="1"/>
  <c r="CP172" i="1"/>
  <c r="CO172" i="1"/>
  <c r="CN172" i="1"/>
  <c r="CM172" i="1"/>
  <c r="CL172" i="1"/>
  <c r="CK172" i="1"/>
  <c r="CJ172" i="1"/>
  <c r="CI172" i="1"/>
  <c r="CH172" i="1"/>
  <c r="CG172" i="1"/>
  <c r="CF172" i="1"/>
  <c r="CE172" i="1"/>
  <c r="CD172" i="1"/>
  <c r="CC172" i="1"/>
  <c r="CB172" i="1"/>
  <c r="CA172" i="1"/>
  <c r="BZ172" i="1"/>
  <c r="BY172" i="1"/>
  <c r="BX172" i="1"/>
  <c r="BW172" i="1"/>
  <c r="CR171" i="1"/>
  <c r="CQ171" i="1"/>
  <c r="CP171" i="1"/>
  <c r="CO171" i="1"/>
  <c r="CN171" i="1"/>
  <c r="CM171" i="1"/>
  <c r="CL171" i="1"/>
  <c r="CK171" i="1"/>
  <c r="CJ171" i="1"/>
  <c r="CI171" i="1"/>
  <c r="CH171" i="1"/>
  <c r="CG171" i="1"/>
  <c r="CF171" i="1"/>
  <c r="CE171" i="1"/>
  <c r="CD171" i="1"/>
  <c r="CC171" i="1"/>
  <c r="CB171" i="1"/>
  <c r="CA171" i="1"/>
  <c r="BZ171" i="1"/>
  <c r="BY171" i="1"/>
  <c r="BX171" i="1"/>
  <c r="BW171" i="1"/>
  <c r="CR170" i="1"/>
  <c r="CQ170" i="1"/>
  <c r="CP170" i="1"/>
  <c r="CO170" i="1"/>
  <c r="CN170" i="1"/>
  <c r="CM170" i="1"/>
  <c r="CL170" i="1"/>
  <c r="CK170" i="1"/>
  <c r="CJ170" i="1"/>
  <c r="CI170" i="1"/>
  <c r="CH170" i="1"/>
  <c r="CG170" i="1"/>
  <c r="CF170" i="1"/>
  <c r="CE170" i="1"/>
  <c r="CD170" i="1"/>
  <c r="CC170" i="1"/>
  <c r="CB170" i="1"/>
  <c r="CA170" i="1"/>
  <c r="BZ170" i="1"/>
  <c r="BY170" i="1"/>
  <c r="BX170" i="1"/>
  <c r="BW170" i="1"/>
  <c r="BV170" i="1"/>
  <c r="CR169" i="1"/>
  <c r="CQ169" i="1"/>
  <c r="CP169" i="1"/>
  <c r="CO169" i="1"/>
  <c r="CN169" i="1"/>
  <c r="CM169" i="1"/>
  <c r="CL169" i="1"/>
  <c r="CK169" i="1"/>
  <c r="CJ169" i="1"/>
  <c r="CI169" i="1"/>
  <c r="CH169" i="1"/>
  <c r="CG169" i="1"/>
  <c r="CF169" i="1"/>
  <c r="CE169" i="1"/>
  <c r="CD169" i="1"/>
  <c r="CC169" i="1"/>
  <c r="CB169" i="1"/>
  <c r="CA169" i="1"/>
  <c r="BZ169" i="1"/>
  <c r="BY169" i="1"/>
  <c r="BX169" i="1"/>
  <c r="BW169" i="1"/>
  <c r="BV169" i="1"/>
  <c r="CR168" i="1"/>
  <c r="CQ168" i="1"/>
  <c r="CP168" i="1"/>
  <c r="CO168" i="1"/>
  <c r="CN168" i="1"/>
  <c r="CM168" i="1"/>
  <c r="CL168" i="1"/>
  <c r="CK168" i="1"/>
  <c r="CJ168" i="1"/>
  <c r="CI168" i="1"/>
  <c r="CH168" i="1"/>
  <c r="CG168" i="1"/>
  <c r="CF168" i="1"/>
  <c r="CE168" i="1"/>
  <c r="CD168" i="1"/>
  <c r="CC168" i="1"/>
  <c r="CB168" i="1"/>
  <c r="CA168" i="1"/>
  <c r="BZ168" i="1"/>
  <c r="BY168" i="1"/>
  <c r="BX168" i="1"/>
  <c r="BW168" i="1"/>
  <c r="BV168" i="1"/>
  <c r="CR167" i="1"/>
  <c r="CQ167" i="1"/>
  <c r="CP167" i="1"/>
  <c r="CO167" i="1"/>
  <c r="CN167" i="1"/>
  <c r="CM167" i="1"/>
  <c r="CL167" i="1"/>
  <c r="CK167" i="1"/>
  <c r="CJ167" i="1"/>
  <c r="CI167" i="1"/>
  <c r="CH167" i="1"/>
  <c r="CG167" i="1"/>
  <c r="CF167" i="1"/>
  <c r="CE167" i="1"/>
  <c r="CD167" i="1"/>
  <c r="CC167" i="1"/>
  <c r="CB167" i="1"/>
  <c r="CA167" i="1"/>
  <c r="BZ167" i="1"/>
  <c r="BY167" i="1"/>
  <c r="BX167" i="1"/>
  <c r="BW167" i="1"/>
  <c r="BV167" i="1"/>
  <c r="CR166" i="1"/>
  <c r="CQ166" i="1"/>
  <c r="CP166" i="1"/>
  <c r="CO166" i="1"/>
  <c r="CN166" i="1"/>
  <c r="CM166" i="1"/>
  <c r="CL166" i="1"/>
  <c r="CK166" i="1"/>
  <c r="CJ166" i="1"/>
  <c r="CI166" i="1"/>
  <c r="CH166" i="1"/>
  <c r="CG166" i="1"/>
  <c r="CF166" i="1"/>
  <c r="CE166" i="1"/>
  <c r="CD166" i="1"/>
  <c r="CC166" i="1"/>
  <c r="CB166" i="1"/>
  <c r="CA166" i="1"/>
  <c r="BZ166" i="1"/>
  <c r="BY166" i="1"/>
  <c r="BX166" i="1"/>
  <c r="BW166" i="1"/>
  <c r="BV166" i="1"/>
  <c r="CR165" i="1"/>
  <c r="CQ165" i="1"/>
  <c r="CP165" i="1"/>
  <c r="CO165" i="1"/>
  <c r="CN165" i="1"/>
  <c r="CM165" i="1"/>
  <c r="CL165" i="1"/>
  <c r="CK165" i="1"/>
  <c r="CJ165" i="1"/>
  <c r="CI165" i="1"/>
  <c r="CH165" i="1"/>
  <c r="CG165" i="1"/>
  <c r="CF165" i="1"/>
  <c r="CE165" i="1"/>
  <c r="CD165" i="1"/>
  <c r="CC165" i="1"/>
  <c r="CB165" i="1"/>
  <c r="CA165" i="1"/>
  <c r="BZ165" i="1"/>
  <c r="BY165" i="1"/>
  <c r="BX165" i="1"/>
  <c r="BW165" i="1"/>
  <c r="BV165" i="1"/>
  <c r="CR164" i="1"/>
  <c r="CQ164" i="1"/>
  <c r="CP164" i="1"/>
  <c r="CO164" i="1"/>
  <c r="CN164" i="1"/>
  <c r="CM164" i="1"/>
  <c r="CL164" i="1"/>
  <c r="CK164" i="1"/>
  <c r="CJ164" i="1"/>
  <c r="CI164" i="1"/>
  <c r="CH164" i="1"/>
  <c r="CG164" i="1"/>
  <c r="CF164" i="1"/>
  <c r="CE164" i="1"/>
  <c r="CD164" i="1"/>
  <c r="CC164" i="1"/>
  <c r="CB164" i="1"/>
  <c r="CA164" i="1"/>
  <c r="BZ164" i="1"/>
  <c r="BY164" i="1"/>
  <c r="BX164" i="1"/>
  <c r="BW164" i="1"/>
  <c r="BV164" i="1"/>
  <c r="CR163" i="1"/>
  <c r="CQ163" i="1"/>
  <c r="CP163" i="1"/>
  <c r="CO163" i="1"/>
  <c r="CN163" i="1"/>
  <c r="CM163" i="1"/>
  <c r="CL163" i="1"/>
  <c r="CK163" i="1"/>
  <c r="CJ163" i="1"/>
  <c r="CI163" i="1"/>
  <c r="CH163" i="1"/>
  <c r="CG163" i="1"/>
  <c r="CF163" i="1"/>
  <c r="CE163" i="1"/>
  <c r="CD163" i="1"/>
  <c r="CC163" i="1"/>
  <c r="CB163" i="1"/>
  <c r="CA163" i="1"/>
  <c r="BZ163" i="1"/>
  <c r="BY163" i="1"/>
  <c r="BX163" i="1"/>
  <c r="BW163" i="1"/>
  <c r="BV163" i="1"/>
  <c r="CR162" i="1"/>
  <c r="CQ162" i="1"/>
  <c r="CP162" i="1"/>
  <c r="CO162" i="1"/>
  <c r="CN162" i="1"/>
  <c r="CM162" i="1"/>
  <c r="CL162" i="1"/>
  <c r="CK162" i="1"/>
  <c r="CJ162" i="1"/>
  <c r="CI162" i="1"/>
  <c r="CH162" i="1"/>
  <c r="CG162" i="1"/>
  <c r="CF162" i="1"/>
  <c r="CE162" i="1"/>
  <c r="CD162" i="1"/>
  <c r="CC162" i="1"/>
  <c r="CB162" i="1"/>
  <c r="CA162" i="1"/>
  <c r="BZ162" i="1"/>
  <c r="BY162" i="1"/>
  <c r="BX162" i="1"/>
  <c r="BW162" i="1"/>
  <c r="BV162" i="1"/>
  <c r="CR161" i="1"/>
  <c r="CQ161" i="1"/>
  <c r="CP161" i="1"/>
  <c r="CO161" i="1"/>
  <c r="CN161" i="1"/>
  <c r="CM161" i="1"/>
  <c r="CL161" i="1"/>
  <c r="CK161" i="1"/>
  <c r="CJ161" i="1"/>
  <c r="CI161" i="1"/>
  <c r="CH161" i="1"/>
  <c r="CG161" i="1"/>
  <c r="CF161" i="1"/>
  <c r="CE161" i="1"/>
  <c r="CD161" i="1"/>
  <c r="CC161" i="1"/>
  <c r="CB161" i="1"/>
  <c r="CA161" i="1"/>
  <c r="BZ161" i="1"/>
  <c r="BY161" i="1"/>
  <c r="BX161" i="1"/>
  <c r="BW161" i="1"/>
  <c r="BV161" i="1"/>
  <c r="CR160" i="1"/>
  <c r="CQ160" i="1"/>
  <c r="CP160" i="1"/>
  <c r="CO160" i="1"/>
  <c r="CN160" i="1"/>
  <c r="CM160" i="1"/>
  <c r="CL160" i="1"/>
  <c r="CK160" i="1"/>
  <c r="CJ160" i="1"/>
  <c r="CI160" i="1"/>
  <c r="CH160" i="1"/>
  <c r="CG160" i="1"/>
  <c r="CF160" i="1"/>
  <c r="CE160" i="1"/>
  <c r="CD160" i="1"/>
  <c r="CC160" i="1"/>
  <c r="CB160" i="1"/>
  <c r="CA160" i="1"/>
  <c r="BZ160" i="1"/>
  <c r="BY160" i="1"/>
  <c r="BX160" i="1"/>
  <c r="BW160" i="1"/>
  <c r="BV160" i="1"/>
  <c r="CR159" i="1"/>
  <c r="CQ159" i="1"/>
  <c r="CP159" i="1"/>
  <c r="CO159" i="1"/>
  <c r="CN159" i="1"/>
  <c r="CM159" i="1"/>
  <c r="CL159" i="1"/>
  <c r="CK159" i="1"/>
  <c r="CJ159" i="1"/>
  <c r="CI159" i="1"/>
  <c r="CH159" i="1"/>
  <c r="CG159" i="1"/>
  <c r="CF159" i="1"/>
  <c r="CE159" i="1"/>
  <c r="CD159" i="1"/>
  <c r="CC159" i="1"/>
  <c r="CB159" i="1"/>
  <c r="CA159" i="1"/>
  <c r="BZ159" i="1"/>
  <c r="BY159" i="1"/>
  <c r="BX159" i="1"/>
  <c r="BW159" i="1"/>
  <c r="BV159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CR156" i="1"/>
  <c r="CQ156" i="1"/>
  <c r="CP156" i="1"/>
  <c r="CO156" i="1"/>
  <c r="CN156" i="1"/>
  <c r="CM156" i="1"/>
  <c r="CL156" i="1"/>
  <c r="CK156" i="1"/>
  <c r="CJ156" i="1"/>
  <c r="CI156" i="1"/>
  <c r="CH156" i="1"/>
  <c r="CG156" i="1"/>
  <c r="CF156" i="1"/>
  <c r="CE156" i="1"/>
  <c r="CD156" i="1"/>
  <c r="CC156" i="1"/>
  <c r="CB156" i="1"/>
  <c r="CA156" i="1"/>
  <c r="BZ156" i="1"/>
  <c r="BY156" i="1"/>
  <c r="BX156" i="1"/>
  <c r="BW156" i="1"/>
  <c r="BV156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BW154" i="1"/>
  <c r="BV154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BW153" i="1"/>
  <c r="BV153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BW149" i="1"/>
  <c r="BV149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BW148" i="1"/>
  <c r="BV148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BW147" i="1"/>
  <c r="BV147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BW146" i="1"/>
  <c r="BV146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BW145" i="1"/>
  <c r="BV145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BW144" i="1"/>
  <c r="BV144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D143" i="1"/>
  <c r="CC143" i="1"/>
  <c r="CB143" i="1"/>
  <c r="CA143" i="1"/>
  <c r="BZ143" i="1"/>
  <c r="BY143" i="1"/>
  <c r="BX143" i="1"/>
  <c r="BW143" i="1"/>
  <c r="BV143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D142" i="1"/>
  <c r="CC142" i="1"/>
  <c r="CB142" i="1"/>
  <c r="CA142" i="1"/>
  <c r="BZ142" i="1"/>
  <c r="BY142" i="1"/>
  <c r="BX142" i="1"/>
  <c r="BW142" i="1"/>
  <c r="BV142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D141" i="1"/>
  <c r="CC141" i="1"/>
  <c r="CB141" i="1"/>
  <c r="CA141" i="1"/>
  <c r="BZ141" i="1"/>
  <c r="BY141" i="1"/>
  <c r="BX141" i="1"/>
  <c r="BW141" i="1"/>
  <c r="BV141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D140" i="1"/>
  <c r="CC140" i="1"/>
  <c r="CB140" i="1"/>
  <c r="CA140" i="1"/>
  <c r="BZ140" i="1"/>
  <c r="BY140" i="1"/>
  <c r="BX140" i="1"/>
  <c r="BW140" i="1"/>
  <c r="BV140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D139" i="1"/>
  <c r="CC139" i="1"/>
  <c r="CB139" i="1"/>
  <c r="CA139" i="1"/>
  <c r="BZ139" i="1"/>
  <c r="BY139" i="1"/>
  <c r="BX139" i="1"/>
  <c r="BW139" i="1"/>
  <c r="BV139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D138" i="1"/>
  <c r="CC138" i="1"/>
  <c r="CB138" i="1"/>
  <c r="CA138" i="1"/>
  <c r="BZ138" i="1"/>
  <c r="BY138" i="1"/>
  <c r="BX138" i="1"/>
  <c r="BW138" i="1"/>
  <c r="BV138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D137" i="1"/>
  <c r="CC137" i="1"/>
  <c r="CB137" i="1"/>
  <c r="CA137" i="1"/>
  <c r="BZ137" i="1"/>
  <c r="BY137" i="1"/>
  <c r="BX137" i="1"/>
  <c r="BW137" i="1"/>
  <c r="BV137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D136" i="1"/>
  <c r="CC136" i="1"/>
  <c r="CB136" i="1"/>
  <c r="CA136" i="1"/>
  <c r="BZ136" i="1"/>
  <c r="BY136" i="1"/>
  <c r="BX136" i="1"/>
  <c r="BW136" i="1"/>
  <c r="BV136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D135" i="1"/>
  <c r="CC135" i="1"/>
  <c r="CB135" i="1"/>
  <c r="CA135" i="1"/>
  <c r="BZ135" i="1"/>
  <c r="BY135" i="1"/>
  <c r="BX135" i="1"/>
  <c r="BW135" i="1"/>
  <c r="BV135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D134" i="1"/>
  <c r="CC134" i="1"/>
  <c r="CB134" i="1"/>
  <c r="CA134" i="1"/>
  <c r="BZ134" i="1"/>
  <c r="BY134" i="1"/>
  <c r="BX134" i="1"/>
  <c r="BW134" i="1"/>
  <c r="BV134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D133" i="1"/>
  <c r="CC133" i="1"/>
  <c r="CB133" i="1"/>
  <c r="CA133" i="1"/>
  <c r="BZ133" i="1"/>
  <c r="BY133" i="1"/>
  <c r="BX133" i="1"/>
  <c r="BW133" i="1"/>
  <c r="BV133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D132" i="1"/>
  <c r="CC132" i="1"/>
  <c r="CB132" i="1"/>
  <c r="CA132" i="1"/>
  <c r="BZ132" i="1"/>
  <c r="BY132" i="1"/>
  <c r="BX132" i="1"/>
  <c r="BW132" i="1"/>
  <c r="BV132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D131" i="1"/>
  <c r="CC131" i="1"/>
  <c r="CB131" i="1"/>
  <c r="CA131" i="1"/>
  <c r="BZ131" i="1"/>
  <c r="BY131" i="1"/>
  <c r="BX131" i="1"/>
  <c r="BW131" i="1"/>
  <c r="BV131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D130" i="1"/>
  <c r="CC130" i="1"/>
  <c r="CB130" i="1"/>
  <c r="CA130" i="1"/>
  <c r="BZ130" i="1"/>
  <c r="BY130" i="1"/>
  <c r="BX130" i="1"/>
  <c r="BW130" i="1"/>
  <c r="BV130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D129" i="1"/>
  <c r="CC129" i="1"/>
  <c r="CB129" i="1"/>
  <c r="CA129" i="1"/>
  <c r="BZ129" i="1"/>
  <c r="BY129" i="1"/>
  <c r="BX129" i="1"/>
  <c r="BW129" i="1"/>
  <c r="BV129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D128" i="1"/>
  <c r="CC128" i="1"/>
  <c r="CB128" i="1"/>
  <c r="CA128" i="1"/>
  <c r="BZ128" i="1"/>
  <c r="BY128" i="1"/>
  <c r="BX128" i="1"/>
  <c r="BW128" i="1"/>
  <c r="BV128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D127" i="1"/>
  <c r="CC127" i="1"/>
  <c r="CB127" i="1"/>
  <c r="CA127" i="1"/>
  <c r="BZ127" i="1"/>
  <c r="BY127" i="1"/>
  <c r="BX127" i="1"/>
  <c r="BW127" i="1"/>
  <c r="BV127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D126" i="1"/>
  <c r="CC126" i="1"/>
  <c r="CB126" i="1"/>
  <c r="CA126" i="1"/>
  <c r="BZ126" i="1"/>
  <c r="BY126" i="1"/>
  <c r="BX126" i="1"/>
  <c r="BW126" i="1"/>
  <c r="BV126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D125" i="1"/>
  <c r="CC125" i="1"/>
  <c r="CB125" i="1"/>
  <c r="CA125" i="1"/>
  <c r="BZ125" i="1"/>
  <c r="BY125" i="1"/>
  <c r="BX125" i="1"/>
  <c r="BW125" i="1"/>
  <c r="BV125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D124" i="1"/>
  <c r="CC124" i="1"/>
  <c r="CB124" i="1"/>
  <c r="CA124" i="1"/>
  <c r="BZ124" i="1"/>
  <c r="BY124" i="1"/>
  <c r="BX124" i="1"/>
  <c r="BW124" i="1"/>
  <c r="BV124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D123" i="1"/>
  <c r="CC123" i="1"/>
  <c r="CB123" i="1"/>
  <c r="CA123" i="1"/>
  <c r="BZ123" i="1"/>
  <c r="BY123" i="1"/>
  <c r="BX123" i="1"/>
  <c r="BW123" i="1"/>
  <c r="BV123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D122" i="1"/>
  <c r="CC122" i="1"/>
  <c r="CB122" i="1"/>
  <c r="CA122" i="1"/>
  <c r="BZ122" i="1"/>
  <c r="BY122" i="1"/>
  <c r="BX122" i="1"/>
  <c r="BW122" i="1"/>
  <c r="BV122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D121" i="1"/>
  <c r="CC121" i="1"/>
  <c r="CB121" i="1"/>
  <c r="CA121" i="1"/>
  <c r="BZ121" i="1"/>
  <c r="BY121" i="1"/>
  <c r="BX121" i="1"/>
  <c r="BW121" i="1"/>
  <c r="BV121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D120" i="1"/>
  <c r="CC120" i="1"/>
  <c r="CB120" i="1"/>
  <c r="CA120" i="1"/>
  <c r="BZ120" i="1"/>
  <c r="BY120" i="1"/>
  <c r="BX120" i="1"/>
  <c r="BW120" i="1"/>
  <c r="BV120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D119" i="1"/>
  <c r="CC119" i="1"/>
  <c r="CB119" i="1"/>
  <c r="CA119" i="1"/>
  <c r="BZ119" i="1"/>
  <c r="BY119" i="1"/>
  <c r="BX119" i="1"/>
  <c r="BW119" i="1"/>
  <c r="BV119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D118" i="1"/>
  <c r="CC118" i="1"/>
  <c r="CB118" i="1"/>
  <c r="CA118" i="1"/>
  <c r="BZ118" i="1"/>
  <c r="BY118" i="1"/>
  <c r="BX118" i="1"/>
  <c r="BW118" i="1"/>
  <c r="BV118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CA117" i="1"/>
  <c r="BZ117" i="1"/>
  <c r="BY117" i="1"/>
  <c r="BX117" i="1"/>
  <c r="BW117" i="1"/>
  <c r="BV117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D116" i="1"/>
  <c r="CC116" i="1"/>
  <c r="CB116" i="1"/>
  <c r="CA116" i="1"/>
  <c r="BZ116" i="1"/>
  <c r="BY116" i="1"/>
  <c r="BX116" i="1"/>
  <c r="BW116" i="1"/>
  <c r="BV116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D115" i="1"/>
  <c r="CC115" i="1"/>
  <c r="CB115" i="1"/>
  <c r="CA115" i="1"/>
  <c r="BZ115" i="1"/>
  <c r="BY115" i="1"/>
  <c r="BX115" i="1"/>
  <c r="BW115" i="1"/>
  <c r="BV115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D114" i="1"/>
  <c r="CC114" i="1"/>
  <c r="CB114" i="1"/>
  <c r="CA114" i="1"/>
  <c r="BZ114" i="1"/>
  <c r="BY114" i="1"/>
  <c r="BX114" i="1"/>
  <c r="BW114" i="1"/>
  <c r="BV114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W113" i="1"/>
  <c r="BV113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D112" i="1"/>
  <c r="CC112" i="1"/>
  <c r="CB112" i="1"/>
  <c r="CA112" i="1"/>
  <c r="BZ112" i="1"/>
  <c r="BY112" i="1"/>
  <c r="BX112" i="1"/>
  <c r="BW112" i="1"/>
  <c r="BV112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D111" i="1"/>
  <c r="CC111" i="1"/>
  <c r="CB111" i="1"/>
  <c r="CA111" i="1"/>
  <c r="BZ111" i="1"/>
  <c r="BY111" i="1"/>
  <c r="BX111" i="1"/>
  <c r="BW111" i="1"/>
  <c r="BV111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D110" i="1"/>
  <c r="CC110" i="1"/>
  <c r="CB110" i="1"/>
  <c r="CA110" i="1"/>
  <c r="BZ110" i="1"/>
  <c r="BY110" i="1"/>
  <c r="BX110" i="1"/>
  <c r="BW110" i="1"/>
  <c r="BV110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D109" i="1"/>
  <c r="CC109" i="1"/>
  <c r="CB109" i="1"/>
  <c r="CA109" i="1"/>
  <c r="BZ109" i="1"/>
  <c r="BY109" i="1"/>
  <c r="BX109" i="1"/>
  <c r="BW109" i="1"/>
  <c r="BV109" i="1"/>
  <c r="CR108" i="1"/>
  <c r="CQ108" i="1"/>
  <c r="CP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B108" i="1"/>
  <c r="CA108" i="1"/>
  <c r="BZ108" i="1"/>
  <c r="BY108" i="1"/>
  <c r="BX108" i="1"/>
  <c r="BW108" i="1"/>
  <c r="BV108" i="1"/>
  <c r="CR107" i="1"/>
  <c r="CQ107" i="1"/>
  <c r="CP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B107" i="1"/>
  <c r="CA107" i="1"/>
  <c r="BZ107" i="1"/>
  <c r="BY107" i="1"/>
  <c r="BX107" i="1"/>
  <c r="BW107" i="1"/>
  <c r="BV107" i="1"/>
  <c r="CR106" i="1"/>
  <c r="CQ106" i="1"/>
  <c r="CP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B106" i="1"/>
  <c r="CA106" i="1"/>
  <c r="BZ106" i="1"/>
  <c r="BY106" i="1"/>
  <c r="BX106" i="1"/>
  <c r="BW106" i="1"/>
  <c r="BV106" i="1"/>
  <c r="CR105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B105" i="1"/>
  <c r="CA105" i="1"/>
  <c r="BZ105" i="1"/>
  <c r="BY105" i="1"/>
  <c r="BX105" i="1"/>
  <c r="BW105" i="1"/>
  <c r="BV105" i="1"/>
  <c r="CR104" i="1"/>
  <c r="CQ104" i="1"/>
  <c r="CP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B104" i="1"/>
  <c r="CA104" i="1"/>
  <c r="BZ104" i="1"/>
  <c r="BY104" i="1"/>
  <c r="BX104" i="1"/>
  <c r="BW104" i="1"/>
  <c r="BV104" i="1"/>
  <c r="CR103" i="1"/>
  <c r="CQ103" i="1"/>
  <c r="CP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B103" i="1"/>
  <c r="CA103" i="1"/>
  <c r="BZ103" i="1"/>
  <c r="BY103" i="1"/>
  <c r="BX103" i="1"/>
  <c r="BW103" i="1"/>
  <c r="BV103" i="1"/>
  <c r="CR102" i="1"/>
  <c r="CQ102" i="1"/>
  <c r="CP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B102" i="1"/>
  <c r="CA102" i="1"/>
  <c r="BZ102" i="1"/>
  <c r="BY102" i="1"/>
  <c r="BX102" i="1"/>
  <c r="BW102" i="1"/>
  <c r="BV102" i="1"/>
  <c r="CR101" i="1"/>
  <c r="CQ101" i="1"/>
  <c r="CP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B101" i="1"/>
  <c r="CA101" i="1"/>
  <c r="BZ101" i="1"/>
  <c r="BY101" i="1"/>
  <c r="BX101" i="1"/>
  <c r="BW101" i="1"/>
  <c r="BV101" i="1"/>
  <c r="CR100" i="1"/>
  <c r="CQ100" i="1"/>
  <c r="CP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B100" i="1"/>
  <c r="CA100" i="1"/>
  <c r="BZ100" i="1"/>
  <c r="BY100" i="1"/>
  <c r="BX100" i="1"/>
  <c r="BW100" i="1"/>
  <c r="BV100" i="1"/>
  <c r="CR99" i="1"/>
  <c r="CQ99" i="1"/>
  <c r="CP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B99" i="1"/>
  <c r="CA99" i="1"/>
  <c r="BZ99" i="1"/>
  <c r="BY99" i="1"/>
  <c r="BX99" i="1"/>
  <c r="BW99" i="1"/>
  <c r="BV99" i="1"/>
  <c r="CR98" i="1"/>
  <c r="CQ98" i="1"/>
  <c r="CP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B98" i="1"/>
  <c r="CA98" i="1"/>
  <c r="BZ98" i="1"/>
  <c r="BY98" i="1"/>
  <c r="BX98" i="1"/>
  <c r="BW98" i="1"/>
  <c r="BV98" i="1"/>
  <c r="CR97" i="1"/>
  <c r="CQ97" i="1"/>
  <c r="CP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B97" i="1"/>
  <c r="CA97" i="1"/>
  <c r="BZ97" i="1"/>
  <c r="BY97" i="1"/>
  <c r="BX97" i="1"/>
  <c r="BW97" i="1"/>
  <c r="BV97" i="1"/>
  <c r="CR96" i="1"/>
  <c r="CQ96" i="1"/>
  <c r="CP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B96" i="1"/>
  <c r="CA96" i="1"/>
  <c r="BZ96" i="1"/>
  <c r="BY96" i="1"/>
  <c r="BX96" i="1"/>
  <c r="BW96" i="1"/>
  <c r="BV96" i="1"/>
  <c r="CR95" i="1"/>
  <c r="CQ95" i="1"/>
  <c r="CP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B95" i="1"/>
  <c r="CA95" i="1"/>
  <c r="BZ95" i="1"/>
  <c r="BY95" i="1"/>
  <c r="BX95" i="1"/>
  <c r="BW95" i="1"/>
  <c r="BV95" i="1"/>
  <c r="CR94" i="1"/>
  <c r="CQ94" i="1"/>
  <c r="CP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B94" i="1"/>
  <c r="CA94" i="1"/>
  <c r="BZ94" i="1"/>
  <c r="BY94" i="1"/>
  <c r="BX94" i="1"/>
  <c r="BW94" i="1"/>
  <c r="BV94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B93" i="1"/>
  <c r="CA93" i="1"/>
  <c r="BZ93" i="1"/>
  <c r="BY93" i="1"/>
  <c r="BX93" i="1"/>
  <c r="BW93" i="1"/>
  <c r="BV93" i="1"/>
  <c r="CR92" i="1"/>
  <c r="CQ92" i="1"/>
  <c r="CP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B92" i="1"/>
  <c r="CA92" i="1"/>
  <c r="BZ92" i="1"/>
  <c r="BY92" i="1"/>
  <c r="BX92" i="1"/>
  <c r="BW92" i="1"/>
  <c r="BV92" i="1"/>
  <c r="CR91" i="1"/>
  <c r="CQ91" i="1"/>
  <c r="CP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B91" i="1"/>
  <c r="CA91" i="1"/>
  <c r="BZ91" i="1"/>
  <c r="BY91" i="1"/>
  <c r="BX91" i="1"/>
  <c r="BW91" i="1"/>
  <c r="BV91" i="1"/>
  <c r="CR90" i="1"/>
  <c r="CQ90" i="1"/>
  <c r="CP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B90" i="1"/>
  <c r="CA90" i="1"/>
  <c r="BZ90" i="1"/>
  <c r="BY90" i="1"/>
  <c r="BX90" i="1"/>
  <c r="BW90" i="1"/>
  <c r="BV90" i="1"/>
  <c r="CR89" i="1"/>
  <c r="CQ89" i="1"/>
  <c r="CP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B89" i="1"/>
  <c r="CA89" i="1"/>
  <c r="BZ89" i="1"/>
  <c r="BY89" i="1"/>
  <c r="BX89" i="1"/>
  <c r="BW89" i="1"/>
  <c r="BV89" i="1"/>
  <c r="CR88" i="1"/>
  <c r="CQ88" i="1"/>
  <c r="CP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B88" i="1"/>
  <c r="CA88" i="1"/>
  <c r="BZ88" i="1"/>
  <c r="BY88" i="1"/>
  <c r="BX88" i="1"/>
  <c r="BW88" i="1"/>
  <c r="BV88" i="1"/>
  <c r="CR87" i="1"/>
  <c r="CQ87" i="1"/>
  <c r="CP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B87" i="1"/>
  <c r="CA87" i="1"/>
  <c r="BZ87" i="1"/>
  <c r="BY87" i="1"/>
  <c r="BX87" i="1"/>
  <c r="BW87" i="1"/>
  <c r="BV87" i="1"/>
  <c r="CR86" i="1"/>
  <c r="CQ86" i="1"/>
  <c r="CP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B86" i="1"/>
  <c r="CA86" i="1"/>
  <c r="BZ86" i="1"/>
  <c r="BY86" i="1"/>
  <c r="BX86" i="1"/>
  <c r="BW86" i="1"/>
  <c r="BV86" i="1"/>
  <c r="CR85" i="1"/>
  <c r="CQ85" i="1"/>
  <c r="CP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B85" i="1"/>
  <c r="CA85" i="1"/>
  <c r="BZ85" i="1"/>
  <c r="BY85" i="1"/>
  <c r="BX85" i="1"/>
  <c r="BW85" i="1"/>
  <c r="BV85" i="1"/>
  <c r="CR84" i="1"/>
  <c r="CQ84" i="1"/>
  <c r="CP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B84" i="1"/>
  <c r="CA84" i="1"/>
  <c r="BZ84" i="1"/>
  <c r="BY84" i="1"/>
  <c r="BX84" i="1"/>
  <c r="BW84" i="1"/>
  <c r="BV84" i="1"/>
  <c r="CR83" i="1"/>
  <c r="CQ83" i="1"/>
  <c r="CP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B83" i="1"/>
  <c r="CA83" i="1"/>
  <c r="BZ83" i="1"/>
  <c r="BY83" i="1"/>
  <c r="BX83" i="1"/>
  <c r="BW83" i="1"/>
  <c r="BV83" i="1"/>
  <c r="CR82" i="1"/>
  <c r="CQ82" i="1"/>
  <c r="CP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B82" i="1"/>
  <c r="CA82" i="1"/>
  <c r="BZ82" i="1"/>
  <c r="BY82" i="1"/>
  <c r="BX82" i="1"/>
  <c r="BW82" i="1"/>
  <c r="BV82" i="1"/>
  <c r="CR81" i="1"/>
  <c r="CQ81" i="1"/>
  <c r="CP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B81" i="1"/>
  <c r="CA81" i="1"/>
  <c r="BZ81" i="1"/>
  <c r="BY81" i="1"/>
  <c r="BX81" i="1"/>
  <c r="BW81" i="1"/>
  <c r="BV81" i="1"/>
  <c r="CR80" i="1"/>
  <c r="CQ80" i="1"/>
  <c r="CP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BY80" i="1"/>
  <c r="BX80" i="1"/>
  <c r="BW80" i="1"/>
  <c r="BV80" i="1"/>
  <c r="CR79" i="1"/>
  <c r="CQ79" i="1"/>
  <c r="CP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B79" i="1"/>
  <c r="CA79" i="1"/>
  <c r="BZ79" i="1"/>
  <c r="BY79" i="1"/>
  <c r="BX79" i="1"/>
  <c r="BW79" i="1"/>
  <c r="BV79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B78" i="1"/>
  <c r="CA78" i="1"/>
  <c r="BZ78" i="1"/>
  <c r="BY78" i="1"/>
  <c r="BX78" i="1"/>
  <c r="BW78" i="1"/>
  <c r="BV78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/>
  <c r="BX77" i="1"/>
  <c r="BW77" i="1"/>
  <c r="BV77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B76" i="1"/>
  <c r="CA76" i="1"/>
  <c r="BZ76" i="1"/>
  <c r="BY76" i="1"/>
  <c r="BX76" i="1"/>
  <c r="BW76" i="1"/>
  <c r="BV76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B75" i="1"/>
  <c r="CA75" i="1"/>
  <c r="BZ75" i="1"/>
  <c r="BY75" i="1"/>
  <c r="BX75" i="1"/>
  <c r="BW75" i="1"/>
  <c r="BV75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B74" i="1"/>
  <c r="CA74" i="1"/>
  <c r="BZ74" i="1"/>
  <c r="BY74" i="1"/>
  <c r="BX74" i="1"/>
  <c r="BW74" i="1"/>
  <c r="BV74" i="1"/>
  <c r="CR73" i="1"/>
  <c r="CQ73" i="1"/>
  <c r="CP73" i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BZ73" i="1"/>
  <c r="BY73" i="1"/>
  <c r="BX73" i="1"/>
  <c r="BW73" i="1"/>
  <c r="BV73" i="1"/>
  <c r="CR72" i="1"/>
  <c r="CQ72" i="1"/>
  <c r="CP72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BZ72" i="1"/>
  <c r="BY72" i="1"/>
  <c r="BX72" i="1"/>
  <c r="BW72" i="1"/>
  <c r="BV72" i="1"/>
  <c r="CR71" i="1"/>
  <c r="CQ71" i="1"/>
  <c r="CP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BZ71" i="1"/>
  <c r="BY71" i="1"/>
  <c r="BX71" i="1"/>
  <c r="BW71" i="1"/>
  <c r="BV71" i="1"/>
  <c r="CR70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BY70" i="1"/>
  <c r="BX70" i="1"/>
  <c r="BW70" i="1"/>
  <c r="BV70" i="1"/>
  <c r="CR69" i="1"/>
  <c r="CQ69" i="1"/>
  <c r="CP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/>
  <c r="BX69" i="1"/>
  <c r="BW69" i="1"/>
  <c r="BV69" i="1"/>
  <c r="CR68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BZ68" i="1"/>
  <c r="BY68" i="1"/>
  <c r="BX68" i="1"/>
  <c r="BW68" i="1"/>
  <c r="BV68" i="1"/>
  <c r="CR67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BZ67" i="1"/>
  <c r="BY67" i="1"/>
  <c r="BX67" i="1"/>
  <c r="BW67" i="1"/>
  <c r="BV67" i="1"/>
  <c r="CR66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BZ66" i="1"/>
  <c r="BY66" i="1"/>
  <c r="BX66" i="1"/>
  <c r="BW66" i="1"/>
  <c r="BV66" i="1"/>
  <c r="CR65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BZ65" i="1"/>
  <c r="BY65" i="1"/>
  <c r="BX65" i="1"/>
  <c r="BW65" i="1"/>
  <c r="BV65" i="1"/>
  <c r="CR64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BZ64" i="1"/>
  <c r="BY64" i="1"/>
  <c r="BX64" i="1"/>
  <c r="BW64" i="1"/>
  <c r="BV64" i="1"/>
  <c r="CR63" i="1"/>
  <c r="CQ63" i="1"/>
  <c r="CP63" i="1"/>
  <c r="CO63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BZ63" i="1"/>
  <c r="BY63" i="1"/>
  <c r="BX63" i="1"/>
  <c r="BW63" i="1"/>
  <c r="BV63" i="1"/>
  <c r="CR62" i="1"/>
  <c r="CQ62" i="1"/>
  <c r="CP62" i="1"/>
  <c r="CO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BZ62" i="1"/>
  <c r="BY62" i="1"/>
  <c r="BX62" i="1"/>
  <c r="BW62" i="1"/>
  <c r="BV62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BX61" i="1"/>
  <c r="BW61" i="1"/>
  <c r="BV61" i="1"/>
  <c r="CR60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BW60" i="1"/>
  <c r="BV60" i="1"/>
  <c r="CR59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X59" i="1"/>
  <c r="BW59" i="1"/>
  <c r="BV59" i="1"/>
  <c r="CR58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BW58" i="1"/>
  <c r="BV58" i="1"/>
  <c r="CR57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W57" i="1"/>
  <c r="BV57" i="1"/>
  <c r="CR56" i="1"/>
  <c r="CQ56" i="1"/>
  <c r="CP56" i="1"/>
  <c r="CO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BZ56" i="1"/>
  <c r="BY56" i="1"/>
  <c r="BX56" i="1"/>
  <c r="BW56" i="1"/>
  <c r="BV56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CR54" i="1"/>
  <c r="CQ54" i="1"/>
  <c r="CP54" i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BZ54" i="1"/>
  <c r="BY54" i="1"/>
  <c r="BX54" i="1"/>
  <c r="BW54" i="1"/>
  <c r="BV54" i="1"/>
  <c r="CR53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/>
  <c r="BX53" i="1"/>
  <c r="BW53" i="1"/>
  <c r="BV53" i="1"/>
  <c r="CR52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BW52" i="1"/>
  <c r="BV52" i="1"/>
  <c r="CR51" i="1"/>
  <c r="CQ51" i="1"/>
  <c r="CP51" i="1"/>
  <c r="CO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BZ51" i="1"/>
  <c r="BY51" i="1"/>
  <c r="BX51" i="1"/>
  <c r="BW51" i="1"/>
  <c r="BV51" i="1"/>
  <c r="CR50" i="1"/>
  <c r="CQ50" i="1"/>
  <c r="CP50" i="1"/>
  <c r="CO50" i="1"/>
  <c r="CN50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BZ50" i="1"/>
  <c r="BY50" i="1"/>
  <c r="BX50" i="1"/>
  <c r="BW50" i="1"/>
  <c r="BV50" i="1"/>
  <c r="CR49" i="1"/>
  <c r="CQ49" i="1"/>
  <c r="CP49" i="1"/>
  <c r="CO49" i="1"/>
  <c r="CN49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BZ49" i="1"/>
  <c r="BY49" i="1"/>
  <c r="BX49" i="1"/>
  <c r="BW49" i="1"/>
  <c r="BV49" i="1"/>
  <c r="CR48" i="1"/>
  <c r="CQ48" i="1"/>
  <c r="CP48" i="1"/>
  <c r="CO48" i="1"/>
  <c r="CN48" i="1"/>
  <c r="CM48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BZ48" i="1"/>
  <c r="BY48" i="1"/>
  <c r="BX48" i="1"/>
  <c r="BW48" i="1"/>
  <c r="BV48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CR46" i="1"/>
  <c r="CQ46" i="1"/>
  <c r="CP46" i="1"/>
  <c r="CO46" i="1"/>
  <c r="CN46" i="1"/>
  <c r="CM46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BZ46" i="1"/>
  <c r="BY46" i="1"/>
  <c r="BX46" i="1"/>
  <c r="BW46" i="1"/>
  <c r="BV46" i="1"/>
  <c r="CR45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CR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BW44" i="1"/>
  <c r="BV44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BX43" i="1"/>
  <c r="BW43" i="1"/>
  <c r="BV43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/>
  <c r="BV42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BX41" i="1"/>
  <c r="BW41" i="1"/>
  <c r="BV41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BW40" i="1"/>
  <c r="BV40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BX39" i="1"/>
  <c r="BW39" i="1"/>
  <c r="BV39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BZ38" i="1"/>
  <c r="BY38" i="1"/>
  <c r="BX38" i="1"/>
  <c r="BW38" i="1"/>
  <c r="BV38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BZ36" i="1"/>
  <c r="BY36" i="1"/>
  <c r="BX36" i="1"/>
  <c r="BW36" i="1"/>
  <c r="BV36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BZ35" i="1"/>
  <c r="BY35" i="1"/>
  <c r="BX35" i="1"/>
  <c r="BW35" i="1"/>
  <c r="BV35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BZ32" i="1"/>
  <c r="BY32" i="1"/>
  <c r="BX32" i="1"/>
  <c r="BW32" i="1"/>
  <c r="BV32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BZ31" i="1"/>
  <c r="BY31" i="1"/>
  <c r="BX31" i="1"/>
  <c r="BW31" i="1"/>
  <c r="BV31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BZ30" i="1"/>
  <c r="BY30" i="1"/>
  <c r="BX30" i="1"/>
  <c r="BW30" i="1"/>
  <c r="BV30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/>
  <c r="BX29" i="1"/>
  <c r="BW29" i="1"/>
  <c r="BV29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BZ28" i="1"/>
  <c r="BY28" i="1"/>
  <c r="BX28" i="1"/>
  <c r="BW28" i="1"/>
  <c r="BV28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BZ27" i="1"/>
  <c r="BY27" i="1"/>
  <c r="BX27" i="1"/>
  <c r="BW27" i="1"/>
  <c r="BV27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BZ26" i="1"/>
  <c r="BY26" i="1"/>
  <c r="BX26" i="1"/>
  <c r="BW26" i="1"/>
  <c r="BV26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BZ25" i="1"/>
  <c r="BY25" i="1"/>
  <c r="BX25" i="1"/>
  <c r="BW25" i="1"/>
  <c r="BV25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BZ24" i="1"/>
  <c r="BY24" i="1"/>
  <c r="BX24" i="1"/>
  <c r="BW24" i="1"/>
  <c r="BV24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BZ22" i="1"/>
  <c r="BY22" i="1"/>
  <c r="BX22" i="1"/>
  <c r="BW22" i="1"/>
  <c r="BV22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BV21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BZ20" i="1"/>
  <c r="BY20" i="1"/>
  <c r="BX20" i="1"/>
  <c r="BW20" i="1"/>
  <c r="BV20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BZ19" i="1"/>
  <c r="BY19" i="1"/>
  <c r="BX19" i="1"/>
  <c r="BW19" i="1"/>
  <c r="BV19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BZ17" i="1"/>
  <c r="BY17" i="1"/>
  <c r="BX17" i="1"/>
  <c r="BW17" i="1"/>
  <c r="BV17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/>
  <c r="BX15" i="1"/>
  <c r="BW15" i="1"/>
  <c r="BV15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/>
  <c r="BX13" i="1"/>
  <c r="BW13" i="1"/>
  <c r="BV13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R10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R9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BZ8" i="1"/>
  <c r="BY8" i="1"/>
  <c r="BX8" i="1"/>
  <c r="BW8" i="1"/>
  <c r="BV8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R6" i="1"/>
  <c r="BQ6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S5" i="1"/>
  <c r="BR5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S4" i="1"/>
  <c r="BP4" i="1"/>
  <c r="CR3" i="1"/>
  <c r="CQ3" i="1"/>
  <c r="CP3" i="1"/>
  <c r="CO3" i="1"/>
  <c r="CN3" i="1"/>
  <c r="CM3" i="1"/>
  <c r="CL3" i="1"/>
  <c r="CK3" i="1"/>
  <c r="CJ3" i="1"/>
  <c r="CI3" i="1"/>
  <c r="CH3" i="1"/>
  <c r="CG3" i="1"/>
  <c r="CF3" i="1"/>
  <c r="CE3" i="1"/>
  <c r="CD3" i="1"/>
  <c r="CC3" i="1"/>
  <c r="CB3" i="1"/>
  <c r="CA3" i="1"/>
  <c r="BZ3" i="1"/>
  <c r="BY3" i="1"/>
  <c r="BX3" i="1"/>
  <c r="BW3" i="1"/>
  <c r="BV3" i="1"/>
  <c r="BU3" i="1"/>
  <c r="BT3" i="1"/>
  <c r="BQ3" i="1"/>
  <c r="BP3" i="1"/>
  <c r="CR2" i="1"/>
  <c r="CQ2" i="1"/>
  <c r="CP2" i="1"/>
  <c r="CO2" i="1"/>
  <c r="CN2" i="1"/>
  <c r="CM2" i="1"/>
  <c r="CL2" i="1"/>
  <c r="CK2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AP171" i="1"/>
  <c r="AP172" i="1" s="1"/>
  <c r="AP173" i="1" s="1"/>
  <c r="AP174" i="1" s="1"/>
  <c r="AP175" i="1" s="1"/>
  <c r="AO3" i="1"/>
  <c r="AN3" i="1"/>
  <c r="AN4" i="1" s="1"/>
  <c r="AM4" i="1"/>
  <c r="AM5" i="1" s="1"/>
  <c r="AM3" i="1"/>
  <c r="BS3" i="1" s="1"/>
  <c r="AL3" i="1"/>
  <c r="AL4" i="1" s="1"/>
  <c r="AL5" i="1" s="1"/>
  <c r="AL6" i="1" s="1"/>
  <c r="AL7" i="1" s="1"/>
  <c r="AL8" i="1" s="1"/>
  <c r="AL9" i="1" s="1"/>
  <c r="AL10" i="1" s="1"/>
  <c r="AL11" i="1" s="1"/>
  <c r="AL12" i="1" s="1"/>
  <c r="AK5" i="1"/>
  <c r="AK6" i="1" s="1"/>
  <c r="AK7" i="1" s="1"/>
  <c r="AK3" i="1"/>
  <c r="AK4" i="1" s="1"/>
  <c r="BQ5" i="1" s="1"/>
  <c r="AJ5" i="1"/>
  <c r="AJ6" i="1"/>
  <c r="AJ7" i="1" s="1"/>
  <c r="AJ8" i="1" s="1"/>
  <c r="AJ3" i="1"/>
  <c r="AJ4" i="1" s="1"/>
  <c r="BO4" i="1"/>
  <c r="BO5" i="1"/>
  <c r="BO6" i="1"/>
  <c r="BO7" i="1"/>
  <c r="BO8" i="1"/>
  <c r="BO9" i="1"/>
  <c r="BO10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3" i="1"/>
  <c r="BO2" i="1"/>
  <c r="BO506" i="1" s="1"/>
  <c r="BO508" i="1" s="1"/>
  <c r="BV572" i="1" l="1"/>
  <c r="BV568" i="1"/>
  <c r="BV564" i="1"/>
  <c r="BV560" i="1"/>
  <c r="BV556" i="1"/>
  <c r="BV552" i="1"/>
  <c r="BV548" i="1"/>
  <c r="BV544" i="1"/>
  <c r="BV540" i="1"/>
  <c r="BV536" i="1"/>
  <c r="BV532" i="1"/>
  <c r="BV528" i="1"/>
  <c r="BV524" i="1"/>
  <c r="BV520" i="1"/>
  <c r="BV516" i="1"/>
  <c r="BV512" i="1"/>
  <c r="BV571" i="1"/>
  <c r="BV563" i="1"/>
  <c r="BV555" i="1"/>
  <c r="BV551" i="1"/>
  <c r="BV543" i="1"/>
  <c r="BV539" i="1"/>
  <c r="BV535" i="1"/>
  <c r="BV527" i="1"/>
  <c r="BV523" i="1"/>
  <c r="BV519" i="1"/>
  <c r="BV573" i="1"/>
  <c r="BV569" i="1"/>
  <c r="BV565" i="1"/>
  <c r="BV561" i="1"/>
  <c r="BV557" i="1"/>
  <c r="BV553" i="1"/>
  <c r="BV549" i="1"/>
  <c r="BV545" i="1"/>
  <c r="BV541" i="1"/>
  <c r="BV537" i="1"/>
  <c r="BV533" i="1"/>
  <c r="BV529" i="1"/>
  <c r="BV525" i="1"/>
  <c r="BV521" i="1"/>
  <c r="BV517" i="1"/>
  <c r="BV513" i="1"/>
  <c r="BV547" i="1"/>
  <c r="BV515" i="1"/>
  <c r="BV574" i="1"/>
  <c r="BV570" i="1"/>
  <c r="BV566" i="1"/>
  <c r="BV562" i="1"/>
  <c r="BV558" i="1"/>
  <c r="BV554" i="1"/>
  <c r="BV550" i="1"/>
  <c r="BV546" i="1"/>
  <c r="BV542" i="1"/>
  <c r="BV538" i="1"/>
  <c r="BV534" i="1"/>
  <c r="BV530" i="1"/>
  <c r="BV526" i="1"/>
  <c r="BV522" i="1"/>
  <c r="BV518" i="1"/>
  <c r="BV514" i="1"/>
  <c r="BV575" i="1"/>
  <c r="BV567" i="1"/>
  <c r="BV559" i="1"/>
  <c r="BV531" i="1"/>
  <c r="BP6" i="1"/>
  <c r="AN5" i="1"/>
  <c r="BT5" i="1"/>
  <c r="BP8" i="1"/>
  <c r="CC506" i="1"/>
  <c r="CC508" i="1" s="1"/>
  <c r="CK506" i="1"/>
  <c r="CK508" i="1" s="1"/>
  <c r="BP7" i="1"/>
  <c r="AO4" i="1"/>
  <c r="BU4" i="1"/>
  <c r="BY506" i="1"/>
  <c r="CG506" i="1"/>
  <c r="CG508" i="1" s="1"/>
  <c r="CO506" i="1"/>
  <c r="CO508" i="1" s="1"/>
  <c r="BP5" i="1"/>
  <c r="AK8" i="1"/>
  <c r="BQ8" i="1" s="1"/>
  <c r="AM6" i="1"/>
  <c r="CL506" i="1"/>
  <c r="CL508" i="1" s="1"/>
  <c r="CP506" i="1"/>
  <c r="CP508" i="1" s="1"/>
  <c r="BT4" i="1"/>
  <c r="BQ7" i="1"/>
  <c r="BV174" i="1"/>
  <c r="AP176" i="1"/>
  <c r="BV176" i="1"/>
  <c r="CM506" i="1"/>
  <c r="CM508" i="1" s="1"/>
  <c r="CQ506" i="1"/>
  <c r="CQ508" i="1" s="1"/>
  <c r="BR3" i="1"/>
  <c r="BZ506" i="1"/>
  <c r="BZ508" i="1" s="1"/>
  <c r="CD506" i="1"/>
  <c r="CD508" i="1" s="1"/>
  <c r="CH506" i="1"/>
  <c r="CH508" i="1" s="1"/>
  <c r="BQ4" i="1"/>
  <c r="BR7" i="1"/>
  <c r="BR11" i="1"/>
  <c r="BV171" i="1"/>
  <c r="BX506" i="1"/>
  <c r="BX508" i="1" s="1"/>
  <c r="CB506" i="1"/>
  <c r="CB508" i="1" s="1"/>
  <c r="CF506" i="1"/>
  <c r="CF508" i="1" s="1"/>
  <c r="CN506" i="1"/>
  <c r="CN508" i="1" s="1"/>
  <c r="CR506" i="1"/>
  <c r="CR508" i="1" s="1"/>
  <c r="BW506" i="1"/>
  <c r="BW508" i="1" s="1"/>
  <c r="CA506" i="1"/>
  <c r="CA508" i="1" s="1"/>
  <c r="CE506" i="1"/>
  <c r="CE508" i="1" s="1"/>
  <c r="CI506" i="1"/>
  <c r="CI508" i="1" s="1"/>
  <c r="BR4" i="1"/>
  <c r="BR8" i="1"/>
  <c r="BR12" i="1"/>
  <c r="BV172" i="1"/>
  <c r="BV175" i="1"/>
  <c r="CJ506" i="1"/>
  <c r="CJ508" i="1" s="1"/>
  <c r="AN6" i="1"/>
  <c r="AL13" i="1"/>
  <c r="AJ9" i="1"/>
  <c r="BY508" i="1" l="1"/>
  <c r="BY509" i="1"/>
  <c r="AM7" i="1"/>
  <c r="BS7" i="1" s="1"/>
  <c r="AP177" i="1"/>
  <c r="BV177" i="1" s="1"/>
  <c r="AO5" i="1"/>
  <c r="BU5" i="1"/>
  <c r="AK9" i="1"/>
  <c r="BQ9" i="1" s="1"/>
  <c r="BT6" i="1"/>
  <c r="BR13" i="1"/>
  <c r="BR14" i="1"/>
  <c r="BS6" i="1"/>
  <c r="BP9" i="1"/>
  <c r="AN7" i="1"/>
  <c r="BT7" i="1" s="1"/>
  <c r="AL14" i="1"/>
  <c r="AJ10" i="1"/>
  <c r="BP10" i="1" s="1"/>
  <c r="BR15" i="1" l="1"/>
  <c r="AO6" i="1"/>
  <c r="AK10" i="1"/>
  <c r="BQ10" i="1" s="1"/>
  <c r="AP178" i="1"/>
  <c r="BV178" i="1"/>
  <c r="BS8" i="1"/>
  <c r="AM8" i="1"/>
  <c r="AN8" i="1"/>
  <c r="AL15" i="1"/>
  <c r="AJ11" i="1"/>
  <c r="AO7" i="1" l="1"/>
  <c r="AP179" i="1"/>
  <c r="BT8" i="1"/>
  <c r="AM9" i="1"/>
  <c r="BS9" i="1"/>
  <c r="BU6" i="1"/>
  <c r="BP11" i="1"/>
  <c r="AK11" i="1"/>
  <c r="BQ11" i="1"/>
  <c r="AN9" i="1"/>
  <c r="AL16" i="1"/>
  <c r="BR16" i="1" s="1"/>
  <c r="AJ12" i="1"/>
  <c r="BP12" i="1" s="1"/>
  <c r="AP180" i="1" l="1"/>
  <c r="BV180" i="1"/>
  <c r="AO8" i="1"/>
  <c r="BU8" i="1"/>
  <c r="AK12" i="1"/>
  <c r="BQ12" i="1"/>
  <c r="AM10" i="1"/>
  <c r="BT9" i="1"/>
  <c r="BR17" i="1"/>
  <c r="BV179" i="1"/>
  <c r="BU7" i="1"/>
  <c r="AN10" i="1"/>
  <c r="AL17" i="1"/>
  <c r="AJ13" i="1"/>
  <c r="AM11" i="1" l="1"/>
  <c r="BS11" i="1" s="1"/>
  <c r="AO9" i="1"/>
  <c r="BU9" i="1"/>
  <c r="AK13" i="1"/>
  <c r="BQ13" i="1"/>
  <c r="BP13" i="1"/>
  <c r="BS10" i="1"/>
  <c r="BT10" i="1"/>
  <c r="AP181" i="1"/>
  <c r="BV181" i="1"/>
  <c r="AN11" i="1"/>
  <c r="AL18" i="1"/>
  <c r="AJ14" i="1"/>
  <c r="BP14" i="1" s="1"/>
  <c r="AK14" i="1" l="1"/>
  <c r="BQ14" i="1"/>
  <c r="AO10" i="1"/>
  <c r="AP182" i="1"/>
  <c r="BR18" i="1"/>
  <c r="BT11" i="1"/>
  <c r="AM12" i="1"/>
  <c r="AN12" i="1"/>
  <c r="AL19" i="1"/>
  <c r="AJ15" i="1"/>
  <c r="AM13" i="1" l="1"/>
  <c r="BS13" i="1"/>
  <c r="AP183" i="1"/>
  <c r="AO11" i="1"/>
  <c r="BU11" i="1"/>
  <c r="AJ16" i="1"/>
  <c r="BT12" i="1"/>
  <c r="BP15" i="1"/>
  <c r="AK15" i="1"/>
  <c r="BQ15" i="1"/>
  <c r="BS12" i="1"/>
  <c r="BV182" i="1"/>
  <c r="BU10" i="1"/>
  <c r="BR19" i="1"/>
  <c r="AN13" i="1"/>
  <c r="AL20" i="1"/>
  <c r="BR20" i="1" s="1"/>
  <c r="AJ17" i="1" l="1"/>
  <c r="AP184" i="1"/>
  <c r="BV184" i="1" s="1"/>
  <c r="AO12" i="1"/>
  <c r="BU12" i="1"/>
  <c r="AM14" i="1"/>
  <c r="BS14" i="1" s="1"/>
  <c r="AK16" i="1"/>
  <c r="BQ16" i="1" s="1"/>
  <c r="BP16" i="1"/>
  <c r="BV183" i="1"/>
  <c r="BT13" i="1"/>
  <c r="AN14" i="1"/>
  <c r="AL21" i="1"/>
  <c r="AK17" i="1" l="1"/>
  <c r="BQ17" i="1"/>
  <c r="AM15" i="1"/>
  <c r="AP185" i="1"/>
  <c r="BV185" i="1"/>
  <c r="BT15" i="1"/>
  <c r="BT14" i="1"/>
  <c r="AJ18" i="1"/>
  <c r="BP18" i="1"/>
  <c r="BR21" i="1"/>
  <c r="AO13" i="1"/>
  <c r="BU13" i="1"/>
  <c r="BP17" i="1"/>
  <c r="AN15" i="1"/>
  <c r="AL22" i="1"/>
  <c r="AM16" i="1" l="1"/>
  <c r="BS16" i="1"/>
  <c r="BT16" i="1"/>
  <c r="AJ19" i="1"/>
  <c r="BP19" i="1"/>
  <c r="AP186" i="1"/>
  <c r="BV186" i="1" s="1"/>
  <c r="AK18" i="1"/>
  <c r="BQ18" i="1"/>
  <c r="AO14" i="1"/>
  <c r="BU14" i="1" s="1"/>
  <c r="BS15" i="1"/>
  <c r="BR22" i="1"/>
  <c r="AN16" i="1"/>
  <c r="AL23" i="1"/>
  <c r="AP187" i="1" l="1"/>
  <c r="BV187" i="1" s="1"/>
  <c r="AO15" i="1"/>
  <c r="BR23" i="1"/>
  <c r="AK19" i="1"/>
  <c r="AJ20" i="1"/>
  <c r="AM17" i="1"/>
  <c r="AN17" i="1"/>
  <c r="BT17" i="1" s="1"/>
  <c r="AL24" i="1"/>
  <c r="BR24" i="1" s="1"/>
  <c r="AM18" i="1" l="1"/>
  <c r="BS18" i="1"/>
  <c r="AO16" i="1"/>
  <c r="BU16" i="1"/>
  <c r="AJ21" i="1"/>
  <c r="BR25" i="1"/>
  <c r="BP20" i="1"/>
  <c r="AK20" i="1"/>
  <c r="BQ20" i="1"/>
  <c r="BS17" i="1"/>
  <c r="BQ19" i="1"/>
  <c r="BU15" i="1"/>
  <c r="AP188" i="1"/>
  <c r="BV188" i="1"/>
  <c r="AN18" i="1"/>
  <c r="AL25" i="1"/>
  <c r="AP189" i="1" l="1"/>
  <c r="BV189" i="1"/>
  <c r="AO17" i="1"/>
  <c r="BU17" i="1"/>
  <c r="AK21" i="1"/>
  <c r="BQ21" i="1"/>
  <c r="BP22" i="1"/>
  <c r="AJ22" i="1"/>
  <c r="BT18" i="1"/>
  <c r="BP21" i="1"/>
  <c r="AM19" i="1"/>
  <c r="BS19" i="1"/>
  <c r="AN19" i="1"/>
  <c r="AL26" i="1"/>
  <c r="AO18" i="1" l="1"/>
  <c r="BU18" i="1"/>
  <c r="BR26" i="1"/>
  <c r="AK22" i="1"/>
  <c r="BQ22" i="1"/>
  <c r="BT20" i="1"/>
  <c r="AM20" i="1"/>
  <c r="AJ23" i="1"/>
  <c r="BP23" i="1" s="1"/>
  <c r="BT19" i="1"/>
  <c r="AP190" i="1"/>
  <c r="BV190" i="1"/>
  <c r="AN20" i="1"/>
  <c r="AL27" i="1"/>
  <c r="AM21" i="1" l="1"/>
  <c r="BS21" i="1"/>
  <c r="AO19" i="1"/>
  <c r="AJ24" i="1"/>
  <c r="BT21" i="1"/>
  <c r="AP191" i="1"/>
  <c r="BV191" i="1"/>
  <c r="BS20" i="1"/>
  <c r="AK23" i="1"/>
  <c r="BR27" i="1"/>
  <c r="AN21" i="1"/>
  <c r="AL28" i="1"/>
  <c r="AO20" i="1" l="1"/>
  <c r="BU20" i="1"/>
  <c r="BP25" i="1"/>
  <c r="AJ25" i="1"/>
  <c r="BR28" i="1"/>
  <c r="BP24" i="1"/>
  <c r="AK24" i="1"/>
  <c r="BQ23" i="1"/>
  <c r="AP192" i="1"/>
  <c r="BU19" i="1"/>
  <c r="AM22" i="1"/>
  <c r="BS22" i="1"/>
  <c r="AN22" i="1"/>
  <c r="AL29" i="1"/>
  <c r="BR29" i="1" s="1"/>
  <c r="AP193" i="1" l="1"/>
  <c r="BV193" i="1" s="1"/>
  <c r="AK25" i="1"/>
  <c r="BQ25" i="1"/>
  <c r="AM23" i="1"/>
  <c r="BS23" i="1"/>
  <c r="BT22" i="1"/>
  <c r="BV192" i="1"/>
  <c r="BQ24" i="1"/>
  <c r="BP26" i="1"/>
  <c r="AJ26" i="1"/>
  <c r="AO21" i="1"/>
  <c r="BU21" i="1"/>
  <c r="AN23" i="1"/>
  <c r="AL30" i="1"/>
  <c r="AK26" i="1" l="1"/>
  <c r="BQ26" i="1"/>
  <c r="BT24" i="1"/>
  <c r="AO22" i="1"/>
  <c r="BU22" i="1"/>
  <c r="AM24" i="1"/>
  <c r="BS24" i="1"/>
  <c r="AJ27" i="1"/>
  <c r="BR30" i="1"/>
  <c r="BT23" i="1"/>
  <c r="AP194" i="1"/>
  <c r="BV194" i="1"/>
  <c r="AN24" i="1"/>
  <c r="AL31" i="1"/>
  <c r="AM25" i="1" l="1"/>
  <c r="BS25" i="1"/>
  <c r="BP28" i="1"/>
  <c r="AJ28" i="1"/>
  <c r="AK27" i="1"/>
  <c r="BQ27" i="1"/>
  <c r="BT25" i="1"/>
  <c r="AP195" i="1"/>
  <c r="BV195" i="1"/>
  <c r="BP27" i="1"/>
  <c r="AO23" i="1"/>
  <c r="BR31" i="1"/>
  <c r="AN25" i="1"/>
  <c r="AL32" i="1"/>
  <c r="AO24" i="1" l="1"/>
  <c r="AK28" i="1"/>
  <c r="AM26" i="1"/>
  <c r="BS26" i="1"/>
  <c r="BT26" i="1"/>
  <c r="BU23" i="1"/>
  <c r="AP196" i="1"/>
  <c r="BV196" i="1"/>
  <c r="BP29" i="1"/>
  <c r="AJ29" i="1"/>
  <c r="BR32" i="1"/>
  <c r="AN26" i="1"/>
  <c r="AL33" i="1"/>
  <c r="AK29" i="1" l="1"/>
  <c r="BQ29" i="1"/>
  <c r="BR33" i="1"/>
  <c r="AP197" i="1"/>
  <c r="BV197" i="1"/>
  <c r="AM27" i="1"/>
  <c r="BS27" i="1"/>
  <c r="AO25" i="1"/>
  <c r="BU25" i="1"/>
  <c r="BP30" i="1"/>
  <c r="AJ30" i="1"/>
  <c r="BQ28" i="1"/>
  <c r="BU24" i="1"/>
  <c r="AN27" i="1"/>
  <c r="BT27" i="1" s="1"/>
  <c r="AL34" i="1"/>
  <c r="AM28" i="1" l="1"/>
  <c r="BS28" i="1"/>
  <c r="BR34" i="1"/>
  <c r="AJ31" i="1"/>
  <c r="BP31" i="1"/>
  <c r="AO26" i="1"/>
  <c r="AP198" i="1"/>
  <c r="BV198" i="1"/>
  <c r="AK30" i="1"/>
  <c r="AN28" i="1"/>
  <c r="AL35" i="1"/>
  <c r="AK31" i="1" l="1"/>
  <c r="BQ31" i="1" s="1"/>
  <c r="AO27" i="1"/>
  <c r="AP199" i="1"/>
  <c r="BV199" i="1" s="1"/>
  <c r="BP32" i="1"/>
  <c r="AJ32" i="1"/>
  <c r="AM29" i="1"/>
  <c r="BS29" i="1" s="1"/>
  <c r="BR36" i="1"/>
  <c r="BQ30" i="1"/>
  <c r="BU26" i="1"/>
  <c r="BT28" i="1"/>
  <c r="BR35" i="1"/>
  <c r="AN29" i="1"/>
  <c r="AL36" i="1"/>
  <c r="AO28" i="1" l="1"/>
  <c r="BU28" i="1" s="1"/>
  <c r="AM30" i="1"/>
  <c r="AK32" i="1"/>
  <c r="BQ32" i="1"/>
  <c r="AP200" i="1"/>
  <c r="AJ33" i="1"/>
  <c r="BU27" i="1"/>
  <c r="BT29" i="1"/>
  <c r="AN30" i="1"/>
  <c r="BT30" i="1" s="1"/>
  <c r="AL37" i="1"/>
  <c r="AJ34" i="1" l="1"/>
  <c r="AP201" i="1"/>
  <c r="BV201" i="1"/>
  <c r="AM31" i="1"/>
  <c r="BS31" i="1"/>
  <c r="BP33" i="1"/>
  <c r="BR38" i="1"/>
  <c r="BR37" i="1"/>
  <c r="AK33" i="1"/>
  <c r="BQ33" i="1"/>
  <c r="BT31" i="1"/>
  <c r="BV200" i="1"/>
  <c r="BS30" i="1"/>
  <c r="AO29" i="1"/>
  <c r="BU29" i="1"/>
  <c r="AN31" i="1"/>
  <c r="AL38" i="1"/>
  <c r="AP202" i="1" l="1"/>
  <c r="BV202" i="1"/>
  <c r="AK34" i="1"/>
  <c r="AJ35" i="1"/>
  <c r="AO30" i="1"/>
  <c r="AM32" i="1"/>
  <c r="BS32" i="1"/>
  <c r="BP34" i="1"/>
  <c r="AN32" i="1"/>
  <c r="AL39" i="1"/>
  <c r="AO31" i="1" l="1"/>
  <c r="BU31" i="1"/>
  <c r="AK35" i="1"/>
  <c r="AM33" i="1"/>
  <c r="BS33" i="1"/>
  <c r="BP36" i="1"/>
  <c r="AJ36" i="1"/>
  <c r="BT32" i="1"/>
  <c r="BR40" i="1"/>
  <c r="BR39" i="1"/>
  <c r="BP35" i="1"/>
  <c r="BU30" i="1"/>
  <c r="BQ34" i="1"/>
  <c r="AP203" i="1"/>
  <c r="AN33" i="1"/>
  <c r="AL40" i="1"/>
  <c r="AK36" i="1" l="1"/>
  <c r="BQ36" i="1"/>
  <c r="AM34" i="1"/>
  <c r="AO32" i="1"/>
  <c r="BU32" i="1"/>
  <c r="AP204" i="1"/>
  <c r="BV203" i="1"/>
  <c r="BP37" i="1"/>
  <c r="AJ37" i="1"/>
  <c r="BQ35" i="1"/>
  <c r="BT33" i="1"/>
  <c r="AN34" i="1"/>
  <c r="AL41" i="1"/>
  <c r="AP205" i="1" l="1"/>
  <c r="BV205" i="1"/>
  <c r="BT35" i="1"/>
  <c r="BR41" i="1"/>
  <c r="AO33" i="1"/>
  <c r="BU33" i="1"/>
  <c r="AK37" i="1"/>
  <c r="AM35" i="1"/>
  <c r="BS35" i="1"/>
  <c r="BP38" i="1"/>
  <c r="AJ38" i="1"/>
  <c r="BV204" i="1"/>
  <c r="BS34" i="1"/>
  <c r="BT34" i="1"/>
  <c r="AN35" i="1"/>
  <c r="AL42" i="1"/>
  <c r="AM36" i="1" l="1"/>
  <c r="BS36" i="1"/>
  <c r="AO34" i="1"/>
  <c r="AP206" i="1"/>
  <c r="BV206" i="1"/>
  <c r="AK38" i="1"/>
  <c r="AJ39" i="1"/>
  <c r="BQ37" i="1"/>
  <c r="BR42" i="1"/>
  <c r="AN36" i="1"/>
  <c r="AL43" i="1"/>
  <c r="BR43" i="1" s="1"/>
  <c r="AK39" i="1" l="1"/>
  <c r="BQ39" i="1"/>
  <c r="AP207" i="1"/>
  <c r="BV207" i="1"/>
  <c r="AM37" i="1"/>
  <c r="BS37" i="1"/>
  <c r="AJ40" i="1"/>
  <c r="AO35" i="1"/>
  <c r="BU35" i="1"/>
  <c r="BR44" i="1"/>
  <c r="BP39" i="1"/>
  <c r="BQ38" i="1"/>
  <c r="BU34" i="1"/>
  <c r="BT36" i="1"/>
  <c r="AN37" i="1"/>
  <c r="AL44" i="1"/>
  <c r="BP41" i="1" l="1"/>
  <c r="AJ41" i="1"/>
  <c r="BP40" i="1"/>
  <c r="AP208" i="1"/>
  <c r="BV208" i="1" s="1"/>
  <c r="BT37" i="1"/>
  <c r="AO36" i="1"/>
  <c r="BU36" i="1" s="1"/>
  <c r="AM38" i="1"/>
  <c r="BS38" i="1"/>
  <c r="AK40" i="1"/>
  <c r="BQ40" i="1" s="1"/>
  <c r="AN38" i="1"/>
  <c r="BT38" i="1" s="1"/>
  <c r="AL45" i="1"/>
  <c r="AM39" i="1" l="1"/>
  <c r="BS39" i="1" s="1"/>
  <c r="BR45" i="1"/>
  <c r="AJ42" i="1"/>
  <c r="AK41" i="1"/>
  <c r="AO37" i="1"/>
  <c r="BU37" i="1"/>
  <c r="AP209" i="1"/>
  <c r="AN39" i="1"/>
  <c r="BT39" i="1" s="1"/>
  <c r="AL46" i="1"/>
  <c r="AP210" i="1" l="1"/>
  <c r="BV210" i="1" s="1"/>
  <c r="AK42" i="1"/>
  <c r="BQ42" i="1"/>
  <c r="AO38" i="1"/>
  <c r="BU38" i="1" s="1"/>
  <c r="AJ43" i="1"/>
  <c r="BP43" i="1" s="1"/>
  <c r="AM40" i="1"/>
  <c r="BR47" i="1"/>
  <c r="BV209" i="1"/>
  <c r="BQ41" i="1"/>
  <c r="BP42" i="1"/>
  <c r="BR46" i="1"/>
  <c r="AN40" i="1"/>
  <c r="AL47" i="1"/>
  <c r="AM41" i="1" l="1"/>
  <c r="BS41" i="1" s="1"/>
  <c r="AK43" i="1"/>
  <c r="BS40" i="1"/>
  <c r="AJ44" i="1"/>
  <c r="BT40" i="1"/>
  <c r="AO39" i="1"/>
  <c r="BU39" i="1"/>
  <c r="AP211" i="1"/>
  <c r="BV211" i="1"/>
  <c r="AN41" i="1"/>
  <c r="AL48" i="1"/>
  <c r="AO40" i="1" l="1"/>
  <c r="BU40" i="1"/>
  <c r="BP45" i="1"/>
  <c r="AJ45" i="1"/>
  <c r="AK44" i="1"/>
  <c r="BQ44" i="1"/>
  <c r="BP44" i="1"/>
  <c r="AM42" i="1"/>
  <c r="AP212" i="1"/>
  <c r="BR48" i="1"/>
  <c r="BQ43" i="1"/>
  <c r="BT41" i="1"/>
  <c r="AN42" i="1"/>
  <c r="BT42" i="1" s="1"/>
  <c r="AL49" i="1"/>
  <c r="AM43" i="1" l="1"/>
  <c r="AK45" i="1"/>
  <c r="AO41" i="1"/>
  <c r="BU41" i="1"/>
  <c r="AP213" i="1"/>
  <c r="BV213" i="1"/>
  <c r="BV212" i="1"/>
  <c r="BS42" i="1"/>
  <c r="AJ46" i="1"/>
  <c r="BR49" i="1"/>
  <c r="AN43" i="1"/>
  <c r="AL50" i="1"/>
  <c r="AK46" i="1" l="1"/>
  <c r="BQ46" i="1"/>
  <c r="AM44" i="1"/>
  <c r="BS44" i="1" s="1"/>
  <c r="AP214" i="1"/>
  <c r="BV214" i="1"/>
  <c r="BQ45" i="1"/>
  <c r="AJ47" i="1"/>
  <c r="BR50" i="1"/>
  <c r="BP46" i="1"/>
  <c r="BT43" i="1"/>
  <c r="AO42" i="1"/>
  <c r="BU42" i="1"/>
  <c r="BS43" i="1"/>
  <c r="AN44" i="1"/>
  <c r="AL51" i="1"/>
  <c r="AJ48" i="1" l="1"/>
  <c r="BP47" i="1"/>
  <c r="AP215" i="1"/>
  <c r="BV215" i="1"/>
  <c r="BS45" i="1"/>
  <c r="AM45" i="1"/>
  <c r="AO43" i="1"/>
  <c r="BU43" i="1"/>
  <c r="BT44" i="1"/>
  <c r="BR51" i="1"/>
  <c r="AK47" i="1"/>
  <c r="BQ47" i="1"/>
  <c r="AN45" i="1"/>
  <c r="AL52" i="1"/>
  <c r="BR52" i="1" l="1"/>
  <c r="AJ49" i="1"/>
  <c r="AK48" i="1"/>
  <c r="BQ48" i="1"/>
  <c r="AO44" i="1"/>
  <c r="AP216" i="1"/>
  <c r="BV216" i="1"/>
  <c r="BP48" i="1"/>
  <c r="AM46" i="1"/>
  <c r="BT45" i="1"/>
  <c r="AN46" i="1"/>
  <c r="AL53" i="1"/>
  <c r="AO45" i="1" l="1"/>
  <c r="BU45" i="1"/>
  <c r="BP50" i="1"/>
  <c r="AJ50" i="1"/>
  <c r="BP49" i="1"/>
  <c r="AM47" i="1"/>
  <c r="AK49" i="1"/>
  <c r="BQ49" i="1"/>
  <c r="AP217" i="1"/>
  <c r="BS46" i="1"/>
  <c r="BU44" i="1"/>
  <c r="BT46" i="1"/>
  <c r="BR53" i="1"/>
  <c r="AN47" i="1"/>
  <c r="AL54" i="1"/>
  <c r="AP218" i="1" l="1"/>
  <c r="BV218" i="1"/>
  <c r="BU46" i="1"/>
  <c r="AO46" i="1"/>
  <c r="AM48" i="1"/>
  <c r="BS48" i="1" s="1"/>
  <c r="BT47" i="1"/>
  <c r="BS47" i="1"/>
  <c r="BR55" i="1"/>
  <c r="BV217" i="1"/>
  <c r="AK50" i="1"/>
  <c r="AJ51" i="1"/>
  <c r="BR54" i="1"/>
  <c r="AN48" i="1"/>
  <c r="AL55" i="1"/>
  <c r="AJ52" i="1" l="1"/>
  <c r="BP51" i="1"/>
  <c r="AP219" i="1"/>
  <c r="AK51" i="1"/>
  <c r="BQ51" i="1"/>
  <c r="BT49" i="1"/>
  <c r="AM49" i="1"/>
  <c r="BQ50" i="1"/>
  <c r="AO47" i="1"/>
  <c r="BT48" i="1"/>
  <c r="AN49" i="1"/>
  <c r="AL56" i="1"/>
  <c r="BR56" i="1" s="1"/>
  <c r="AP220" i="1" l="1"/>
  <c r="BV220" i="1"/>
  <c r="BU48" i="1"/>
  <c r="AO48" i="1"/>
  <c r="AM50" i="1"/>
  <c r="BS50" i="1" s="1"/>
  <c r="AK52" i="1"/>
  <c r="AJ53" i="1"/>
  <c r="BR57" i="1"/>
  <c r="BU47" i="1"/>
  <c r="BS49" i="1"/>
  <c r="BV219" i="1"/>
  <c r="BP52" i="1"/>
  <c r="AN50" i="1"/>
  <c r="AL57" i="1"/>
  <c r="AJ54" i="1" l="1"/>
  <c r="BP54" i="1" s="1"/>
  <c r="BT50" i="1"/>
  <c r="BP53" i="1"/>
  <c r="AK53" i="1"/>
  <c r="BQ53" i="1"/>
  <c r="BS51" i="1"/>
  <c r="AM51" i="1"/>
  <c r="BQ52" i="1"/>
  <c r="BU49" i="1"/>
  <c r="AO49" i="1"/>
  <c r="AP221" i="1"/>
  <c r="BV221" i="1"/>
  <c r="AN51" i="1"/>
  <c r="AL58" i="1"/>
  <c r="BT52" i="1" l="1"/>
  <c r="AP222" i="1"/>
  <c r="BV222" i="1"/>
  <c r="BR58" i="1"/>
  <c r="AK54" i="1"/>
  <c r="BQ54" i="1"/>
  <c r="BP55" i="1"/>
  <c r="AJ55" i="1"/>
  <c r="AO50" i="1"/>
  <c r="BS52" i="1"/>
  <c r="AM52" i="1"/>
  <c r="BT51" i="1"/>
  <c r="AN52" i="1"/>
  <c r="AL59" i="1"/>
  <c r="AO51" i="1" l="1"/>
  <c r="AP223" i="1"/>
  <c r="BU50" i="1"/>
  <c r="AK55" i="1"/>
  <c r="BQ55" i="1"/>
  <c r="AM53" i="1"/>
  <c r="BP56" i="1"/>
  <c r="AJ56" i="1"/>
  <c r="BR59" i="1"/>
  <c r="AN53" i="1"/>
  <c r="AL60" i="1"/>
  <c r="AP224" i="1" l="1"/>
  <c r="BV224" i="1"/>
  <c r="BR61" i="1"/>
  <c r="BS54" i="1"/>
  <c r="AM54" i="1"/>
  <c r="AO52" i="1"/>
  <c r="BU51" i="1"/>
  <c r="AK56" i="1"/>
  <c r="BQ56" i="1"/>
  <c r="BS53" i="1"/>
  <c r="AJ57" i="1"/>
  <c r="BT53" i="1"/>
  <c r="BV223" i="1"/>
  <c r="BR60" i="1"/>
  <c r="AN54" i="1"/>
  <c r="AL61" i="1"/>
  <c r="BT54" i="1" l="1"/>
  <c r="AO53" i="1"/>
  <c r="BU53" i="1" s="1"/>
  <c r="AJ58" i="1"/>
  <c r="BP58" i="1" s="1"/>
  <c r="BU52" i="1"/>
  <c r="BP57" i="1"/>
  <c r="AK57" i="1"/>
  <c r="BQ57" i="1"/>
  <c r="BS55" i="1"/>
  <c r="AM55" i="1"/>
  <c r="AP225" i="1"/>
  <c r="BV225" i="1"/>
  <c r="AN55" i="1"/>
  <c r="AL62" i="1"/>
  <c r="AP226" i="1" l="1"/>
  <c r="BV226" i="1"/>
  <c r="BU54" i="1"/>
  <c r="AO54" i="1"/>
  <c r="AJ59" i="1"/>
  <c r="BP59" i="1"/>
  <c r="BT56" i="1"/>
  <c r="AK58" i="1"/>
  <c r="BQ58" i="1"/>
  <c r="AM56" i="1"/>
  <c r="BS56" i="1" s="1"/>
  <c r="BR62" i="1"/>
  <c r="BT55" i="1"/>
  <c r="AN56" i="1"/>
  <c r="AL63" i="1"/>
  <c r="AJ60" i="1" l="1"/>
  <c r="BP60" i="1"/>
  <c r="AP227" i="1"/>
  <c r="AM57" i="1"/>
  <c r="AK59" i="1"/>
  <c r="BQ59" i="1"/>
  <c r="AO55" i="1"/>
  <c r="BR63" i="1"/>
  <c r="AN57" i="1"/>
  <c r="BT57" i="1" s="1"/>
  <c r="AL64" i="1"/>
  <c r="AO56" i="1" l="1"/>
  <c r="BU55" i="1"/>
  <c r="BS58" i="1"/>
  <c r="AM58" i="1"/>
  <c r="BR65" i="1"/>
  <c r="BS57" i="1"/>
  <c r="BP61" i="1"/>
  <c r="AJ61" i="1"/>
  <c r="AP228" i="1"/>
  <c r="BV228" i="1"/>
  <c r="AK60" i="1"/>
  <c r="BQ60" i="1"/>
  <c r="BV227" i="1"/>
  <c r="BR64" i="1"/>
  <c r="AN58" i="1"/>
  <c r="AL65" i="1"/>
  <c r="AP229" i="1" l="1"/>
  <c r="BV229" i="1"/>
  <c r="BT58" i="1"/>
  <c r="AO57" i="1"/>
  <c r="AK61" i="1"/>
  <c r="AJ62" i="1"/>
  <c r="BS59" i="1"/>
  <c r="AM59" i="1"/>
  <c r="BU56" i="1"/>
  <c r="AN59" i="1"/>
  <c r="AL66" i="1"/>
  <c r="AO58" i="1" l="1"/>
  <c r="BU58" i="1" s="1"/>
  <c r="AP230" i="1"/>
  <c r="AK62" i="1"/>
  <c r="BQ62" i="1"/>
  <c r="BP63" i="1"/>
  <c r="AJ63" i="1"/>
  <c r="BR66" i="1"/>
  <c r="BP62" i="1"/>
  <c r="AM60" i="1"/>
  <c r="BQ61" i="1"/>
  <c r="BU57" i="1"/>
  <c r="BT59" i="1"/>
  <c r="AN60" i="1"/>
  <c r="AL67" i="1"/>
  <c r="BT60" i="1" l="1"/>
  <c r="AP231" i="1"/>
  <c r="BV231" i="1"/>
  <c r="AM61" i="1"/>
  <c r="AK63" i="1"/>
  <c r="BQ63" i="1"/>
  <c r="AO59" i="1"/>
  <c r="BR68" i="1"/>
  <c r="BS60" i="1"/>
  <c r="AJ64" i="1"/>
  <c r="BV230" i="1"/>
  <c r="BR67" i="1"/>
  <c r="AN61" i="1"/>
  <c r="AL68" i="1"/>
  <c r="AK64" i="1" l="1"/>
  <c r="BQ64" i="1"/>
  <c r="BU60" i="1"/>
  <c r="AO60" i="1"/>
  <c r="AP232" i="1"/>
  <c r="BV232" i="1"/>
  <c r="BP65" i="1"/>
  <c r="AJ65" i="1"/>
  <c r="AM62" i="1"/>
  <c r="BS62" i="1" s="1"/>
  <c r="BR69" i="1"/>
  <c r="BP64" i="1"/>
  <c r="BU59" i="1"/>
  <c r="BS61" i="1"/>
  <c r="BT61" i="1"/>
  <c r="AN62" i="1"/>
  <c r="AL69" i="1"/>
  <c r="AP233" i="1" l="1"/>
  <c r="BV233" i="1"/>
  <c r="AK65" i="1"/>
  <c r="BQ65" i="1"/>
  <c r="AM63" i="1"/>
  <c r="BR70" i="1"/>
  <c r="AJ66" i="1"/>
  <c r="AO61" i="1"/>
  <c r="BT62" i="1"/>
  <c r="AN63" i="1"/>
  <c r="AL70" i="1"/>
  <c r="AO62" i="1" l="1"/>
  <c r="AM64" i="1"/>
  <c r="BU61" i="1"/>
  <c r="AK66" i="1"/>
  <c r="BQ66" i="1"/>
  <c r="AJ67" i="1"/>
  <c r="BS63" i="1"/>
  <c r="BP66" i="1"/>
  <c r="BT63" i="1"/>
  <c r="AP234" i="1"/>
  <c r="BV234" i="1"/>
  <c r="AN64" i="1"/>
  <c r="AL71" i="1"/>
  <c r="AM65" i="1" l="1"/>
  <c r="BP68" i="1"/>
  <c r="AJ68" i="1"/>
  <c r="BS64" i="1"/>
  <c r="BP67" i="1"/>
  <c r="BU63" i="1"/>
  <c r="AO63" i="1"/>
  <c r="AP235" i="1"/>
  <c r="BV235" i="1"/>
  <c r="AK67" i="1"/>
  <c r="BR71" i="1"/>
  <c r="BT64" i="1"/>
  <c r="BU62" i="1"/>
  <c r="AN65" i="1"/>
  <c r="BT65" i="1" s="1"/>
  <c r="AL72" i="1"/>
  <c r="AP236" i="1" l="1"/>
  <c r="BV236" i="1"/>
  <c r="AM66" i="1"/>
  <c r="BS66" i="1" s="1"/>
  <c r="AK68" i="1"/>
  <c r="BQ68" i="1"/>
  <c r="BR72" i="1"/>
  <c r="BQ67" i="1"/>
  <c r="AO64" i="1"/>
  <c r="BU64" i="1" s="1"/>
  <c r="AJ69" i="1"/>
  <c r="BS65" i="1"/>
  <c r="AN66" i="1"/>
  <c r="AL73" i="1"/>
  <c r="BR73" i="1" s="1"/>
  <c r="AJ70" i="1" l="1"/>
  <c r="BP70" i="1" s="1"/>
  <c r="BR74" i="1"/>
  <c r="AO65" i="1"/>
  <c r="AM67" i="1"/>
  <c r="AK69" i="1"/>
  <c r="BQ69" i="1"/>
  <c r="BP69" i="1"/>
  <c r="BT66" i="1"/>
  <c r="AP237" i="1"/>
  <c r="BV237" i="1"/>
  <c r="AN67" i="1"/>
  <c r="AL74" i="1"/>
  <c r="AO66" i="1" l="1"/>
  <c r="AM68" i="1"/>
  <c r="BS67" i="1"/>
  <c r="AJ71" i="1"/>
  <c r="AP238" i="1"/>
  <c r="BV238" i="1"/>
  <c r="AK70" i="1"/>
  <c r="BU65" i="1"/>
  <c r="BT67" i="1"/>
  <c r="AN68" i="1"/>
  <c r="AL75" i="1"/>
  <c r="AJ72" i="1" l="1"/>
  <c r="AM69" i="1"/>
  <c r="BS68" i="1"/>
  <c r="BT69" i="1"/>
  <c r="AO67" i="1"/>
  <c r="AK71" i="1"/>
  <c r="BQ71" i="1"/>
  <c r="BP71" i="1"/>
  <c r="AP239" i="1"/>
  <c r="BV239" i="1"/>
  <c r="BQ70" i="1"/>
  <c r="BT68" i="1"/>
  <c r="BR75" i="1"/>
  <c r="BU66" i="1"/>
  <c r="AN69" i="1"/>
  <c r="AL76" i="1"/>
  <c r="AO68" i="1" l="1"/>
  <c r="AM70" i="1"/>
  <c r="BS69" i="1"/>
  <c r="AK72" i="1"/>
  <c r="BQ72" i="1"/>
  <c r="BP73" i="1"/>
  <c r="AJ73" i="1"/>
  <c r="BR77" i="1"/>
  <c r="BU67" i="1"/>
  <c r="BT70" i="1"/>
  <c r="AP240" i="1"/>
  <c r="BV240" i="1"/>
  <c r="BR76" i="1"/>
  <c r="BP72" i="1"/>
  <c r="AN70" i="1"/>
  <c r="AL77" i="1"/>
  <c r="AM71" i="1" l="1"/>
  <c r="BT71" i="1"/>
  <c r="BS70" i="1"/>
  <c r="AK73" i="1"/>
  <c r="BQ73" i="1"/>
  <c r="AO69" i="1"/>
  <c r="AP241" i="1"/>
  <c r="BV241" i="1"/>
  <c r="BP74" i="1"/>
  <c r="AJ74" i="1"/>
  <c r="BU68" i="1"/>
  <c r="AN71" i="1"/>
  <c r="AL78" i="1"/>
  <c r="AO70" i="1" l="1"/>
  <c r="BU69" i="1"/>
  <c r="AP242" i="1"/>
  <c r="BV242" i="1"/>
  <c r="AM72" i="1"/>
  <c r="BS72" i="1" s="1"/>
  <c r="BP75" i="1"/>
  <c r="AJ75" i="1"/>
  <c r="BR78" i="1"/>
  <c r="AK74" i="1"/>
  <c r="BQ74" i="1"/>
  <c r="BS71" i="1"/>
  <c r="AN72" i="1"/>
  <c r="AL79" i="1"/>
  <c r="BR79" i="1" s="1"/>
  <c r="AJ76" i="1" l="1"/>
  <c r="AO71" i="1"/>
  <c r="BU71" i="1" s="1"/>
  <c r="AM73" i="1"/>
  <c r="BT73" i="1"/>
  <c r="AK75" i="1"/>
  <c r="BQ75" i="1"/>
  <c r="BT72" i="1"/>
  <c r="AP243" i="1"/>
  <c r="BU70" i="1"/>
  <c r="AN73" i="1"/>
  <c r="AL80" i="1"/>
  <c r="AM74" i="1" l="1"/>
  <c r="BS73" i="1"/>
  <c r="BP77" i="1"/>
  <c r="AJ77" i="1"/>
  <c r="AP244" i="1"/>
  <c r="BV244" i="1"/>
  <c r="BU72" i="1"/>
  <c r="AO72" i="1"/>
  <c r="BR81" i="1"/>
  <c r="BV243" i="1"/>
  <c r="AK76" i="1"/>
  <c r="BQ76" i="1"/>
  <c r="BR80" i="1"/>
  <c r="BP76" i="1"/>
  <c r="AN74" i="1"/>
  <c r="BT74" i="1" s="1"/>
  <c r="AL81" i="1"/>
  <c r="AP245" i="1" l="1"/>
  <c r="BV245" i="1"/>
  <c r="AM75" i="1"/>
  <c r="AK77" i="1"/>
  <c r="BQ77" i="1"/>
  <c r="AO73" i="1"/>
  <c r="AJ78" i="1"/>
  <c r="BS74" i="1"/>
  <c r="AN75" i="1"/>
  <c r="AL82" i="1"/>
  <c r="AJ79" i="1" l="1"/>
  <c r="BS76" i="1"/>
  <c r="AM76" i="1"/>
  <c r="BP78" i="1"/>
  <c r="AK78" i="1"/>
  <c r="BQ78" i="1"/>
  <c r="BS75" i="1"/>
  <c r="AO74" i="1"/>
  <c r="BR83" i="1"/>
  <c r="BR82" i="1"/>
  <c r="BU73" i="1"/>
  <c r="BT75" i="1"/>
  <c r="AP246" i="1"/>
  <c r="AN76" i="1"/>
  <c r="AL83" i="1"/>
  <c r="AJ80" i="1" l="1"/>
  <c r="AP247" i="1"/>
  <c r="BV247" i="1"/>
  <c r="AO75" i="1"/>
  <c r="BR84" i="1"/>
  <c r="BU74" i="1"/>
  <c r="BP79" i="1"/>
  <c r="AK79" i="1"/>
  <c r="BQ79" i="1"/>
  <c r="BV246" i="1"/>
  <c r="AM77" i="1"/>
  <c r="BT76" i="1"/>
  <c r="AN77" i="1"/>
  <c r="AL84" i="1"/>
  <c r="AM78" i="1" l="1"/>
  <c r="AK80" i="1"/>
  <c r="AP248" i="1"/>
  <c r="BV248" i="1"/>
  <c r="BT77" i="1"/>
  <c r="AO76" i="1"/>
  <c r="AJ81" i="1"/>
  <c r="BP81" i="1" s="1"/>
  <c r="BS77" i="1"/>
  <c r="BU75" i="1"/>
  <c r="BP80" i="1"/>
  <c r="AN78" i="1"/>
  <c r="AL85" i="1"/>
  <c r="BR85" i="1" s="1"/>
  <c r="AM79" i="1" l="1"/>
  <c r="AK81" i="1"/>
  <c r="AO77" i="1"/>
  <c r="AP249" i="1"/>
  <c r="BS78" i="1"/>
  <c r="AJ82" i="1"/>
  <c r="BP82" i="1" s="1"/>
  <c r="BU76" i="1"/>
  <c r="BQ80" i="1"/>
  <c r="BT78" i="1"/>
  <c r="AN79" i="1"/>
  <c r="AL86" i="1"/>
  <c r="AO78" i="1" l="1"/>
  <c r="BS80" i="1"/>
  <c r="AM80" i="1"/>
  <c r="AJ83" i="1"/>
  <c r="AK82" i="1"/>
  <c r="BU77" i="1"/>
  <c r="BS79" i="1"/>
  <c r="AP250" i="1"/>
  <c r="BR86" i="1"/>
  <c r="BV249" i="1"/>
  <c r="BQ81" i="1"/>
  <c r="BT79" i="1"/>
  <c r="AN80" i="1"/>
  <c r="AL87" i="1"/>
  <c r="BR87" i="1" s="1"/>
  <c r="AO79" i="1" l="1"/>
  <c r="AJ84" i="1"/>
  <c r="BP83" i="1"/>
  <c r="BU78" i="1"/>
  <c r="AP251" i="1"/>
  <c r="BV251" i="1"/>
  <c r="AK83" i="1"/>
  <c r="BQ83" i="1"/>
  <c r="BR88" i="1"/>
  <c r="BV250" i="1"/>
  <c r="BQ82" i="1"/>
  <c r="AM81" i="1"/>
  <c r="BS81" i="1" s="1"/>
  <c r="BT80" i="1"/>
  <c r="AN81" i="1"/>
  <c r="AL88" i="1"/>
  <c r="AP252" i="1" l="1"/>
  <c r="BV252" i="1"/>
  <c r="AO80" i="1"/>
  <c r="AM82" i="1"/>
  <c r="BS82" i="1" s="1"/>
  <c r="BT81" i="1"/>
  <c r="AJ85" i="1"/>
  <c r="BP84" i="1"/>
  <c r="AK84" i="1"/>
  <c r="BQ84" i="1"/>
  <c r="BU79" i="1"/>
  <c r="AN82" i="1"/>
  <c r="AL89" i="1"/>
  <c r="BR89" i="1" l="1"/>
  <c r="AJ86" i="1"/>
  <c r="BP85" i="1"/>
  <c r="AO81" i="1"/>
  <c r="AP253" i="1"/>
  <c r="BV253" i="1"/>
  <c r="AM83" i="1"/>
  <c r="AK85" i="1"/>
  <c r="BQ85" i="1"/>
  <c r="BU80" i="1"/>
  <c r="BT82" i="1"/>
  <c r="AN83" i="1"/>
  <c r="AL90" i="1"/>
  <c r="AM84" i="1" l="1"/>
  <c r="AJ87" i="1"/>
  <c r="BS83" i="1"/>
  <c r="AO82" i="1"/>
  <c r="BU81" i="1"/>
  <c r="BP86" i="1"/>
  <c r="BR91" i="1"/>
  <c r="AK86" i="1"/>
  <c r="AP254" i="1"/>
  <c r="BV254" i="1"/>
  <c r="BT83" i="1"/>
  <c r="BR90" i="1"/>
  <c r="AN84" i="1"/>
  <c r="AL91" i="1"/>
  <c r="AK87" i="1" l="1"/>
  <c r="BQ87" i="1"/>
  <c r="BT84" i="1"/>
  <c r="AJ88" i="1"/>
  <c r="AO83" i="1"/>
  <c r="BU83" i="1" s="1"/>
  <c r="BP87" i="1"/>
  <c r="AP255" i="1"/>
  <c r="BV255" i="1"/>
  <c r="BU82" i="1"/>
  <c r="AM85" i="1"/>
  <c r="BQ86" i="1"/>
  <c r="BS84" i="1"/>
  <c r="AN85" i="1"/>
  <c r="AL92" i="1"/>
  <c r="AM86" i="1" l="1"/>
  <c r="AP256" i="1"/>
  <c r="AO84" i="1"/>
  <c r="BU84" i="1" s="1"/>
  <c r="BR93" i="1"/>
  <c r="BS85" i="1"/>
  <c r="BR92" i="1"/>
  <c r="AJ89" i="1"/>
  <c r="AK88" i="1"/>
  <c r="BQ88" i="1"/>
  <c r="BP88" i="1"/>
  <c r="BT85" i="1"/>
  <c r="AN86" i="1"/>
  <c r="AL93" i="1"/>
  <c r="AM87" i="1" l="1"/>
  <c r="AJ90" i="1"/>
  <c r="BP90" i="1" s="1"/>
  <c r="AP257" i="1"/>
  <c r="BV257" i="1"/>
  <c r="BP89" i="1"/>
  <c r="BS86" i="1"/>
  <c r="AO85" i="1"/>
  <c r="BR94" i="1"/>
  <c r="AK89" i="1"/>
  <c r="BQ89" i="1"/>
  <c r="BV256" i="1"/>
  <c r="BT86" i="1"/>
  <c r="AN87" i="1"/>
  <c r="AL94" i="1"/>
  <c r="AO86" i="1" l="1"/>
  <c r="BU85" i="1"/>
  <c r="AM88" i="1"/>
  <c r="AJ91" i="1"/>
  <c r="AK90" i="1"/>
  <c r="BT87" i="1"/>
  <c r="AP258" i="1"/>
  <c r="BV258" i="1"/>
  <c r="BS87" i="1"/>
  <c r="AN88" i="1"/>
  <c r="AL95" i="1"/>
  <c r="BP92" i="1" l="1"/>
  <c r="AJ92" i="1"/>
  <c r="AK91" i="1"/>
  <c r="BQ91" i="1" s="1"/>
  <c r="BP91" i="1"/>
  <c r="AO87" i="1"/>
  <c r="BR96" i="1"/>
  <c r="AM89" i="1"/>
  <c r="BU86" i="1"/>
  <c r="BQ90" i="1"/>
  <c r="AP259" i="1"/>
  <c r="BV259" i="1"/>
  <c r="BR95" i="1"/>
  <c r="BS88" i="1"/>
  <c r="BT88" i="1"/>
  <c r="AN89" i="1"/>
  <c r="AL96" i="1"/>
  <c r="AM90" i="1" l="1"/>
  <c r="BU88" i="1"/>
  <c r="AO88" i="1"/>
  <c r="AK92" i="1"/>
  <c r="AP260" i="1"/>
  <c r="BS89" i="1"/>
  <c r="BU87" i="1"/>
  <c r="BP93" i="1"/>
  <c r="AJ93" i="1"/>
  <c r="BT89" i="1"/>
  <c r="AN90" i="1"/>
  <c r="BT90" i="1" s="1"/>
  <c r="AL97" i="1"/>
  <c r="AK93" i="1" l="1"/>
  <c r="AM91" i="1"/>
  <c r="AP261" i="1"/>
  <c r="BV261" i="1"/>
  <c r="BQ92" i="1"/>
  <c r="BS90" i="1"/>
  <c r="AJ94" i="1"/>
  <c r="BP94" i="1" s="1"/>
  <c r="BV260" i="1"/>
  <c r="AO89" i="1"/>
  <c r="BR97" i="1"/>
  <c r="AN91" i="1"/>
  <c r="AL98" i="1"/>
  <c r="AM92" i="1" l="1"/>
  <c r="BS91" i="1"/>
  <c r="AJ95" i="1"/>
  <c r="BT91" i="1"/>
  <c r="AP262" i="1"/>
  <c r="AK94" i="1"/>
  <c r="BU90" i="1"/>
  <c r="AO90" i="1"/>
  <c r="BU89" i="1"/>
  <c r="BR99" i="1"/>
  <c r="BR98" i="1"/>
  <c r="BQ93" i="1"/>
  <c r="AN92" i="1"/>
  <c r="AL99" i="1"/>
  <c r="AP263" i="1" l="1"/>
  <c r="BV263" i="1"/>
  <c r="BQ95" i="1"/>
  <c r="AK95" i="1"/>
  <c r="BT92" i="1"/>
  <c r="AJ96" i="1"/>
  <c r="AM93" i="1"/>
  <c r="BQ94" i="1"/>
  <c r="AO91" i="1"/>
  <c r="BV262" i="1"/>
  <c r="BP95" i="1"/>
  <c r="BS92" i="1"/>
  <c r="AN93" i="1"/>
  <c r="AL100" i="1"/>
  <c r="BR100" i="1" s="1"/>
  <c r="AJ97" i="1" l="1"/>
  <c r="BP96" i="1"/>
  <c r="AO92" i="1"/>
  <c r="AP264" i="1"/>
  <c r="AM94" i="1"/>
  <c r="BU91" i="1"/>
  <c r="BS93" i="1"/>
  <c r="AK96" i="1"/>
  <c r="BT93" i="1"/>
  <c r="AN94" i="1"/>
  <c r="AL101" i="1"/>
  <c r="AK97" i="1" l="1"/>
  <c r="BS95" i="1"/>
  <c r="AM95" i="1"/>
  <c r="AO93" i="1"/>
  <c r="BP98" i="1"/>
  <c r="AJ98" i="1"/>
  <c r="BQ96" i="1"/>
  <c r="BS94" i="1"/>
  <c r="BU92" i="1"/>
  <c r="BP97" i="1"/>
  <c r="AP265" i="1"/>
  <c r="BV265" i="1"/>
  <c r="BV264" i="1"/>
  <c r="BR101" i="1"/>
  <c r="BT94" i="1"/>
  <c r="AN95" i="1"/>
  <c r="AL102" i="1"/>
  <c r="BR102" i="1" s="1"/>
  <c r="AO94" i="1" l="1"/>
  <c r="AK98" i="1"/>
  <c r="AP266" i="1"/>
  <c r="BV266" i="1"/>
  <c r="BU93" i="1"/>
  <c r="BQ97" i="1"/>
  <c r="AJ99" i="1"/>
  <c r="AM96" i="1"/>
  <c r="BT95" i="1"/>
  <c r="AN96" i="1"/>
  <c r="AL103" i="1"/>
  <c r="AJ100" i="1" l="1"/>
  <c r="BP100" i="1" s="1"/>
  <c r="BQ99" i="1"/>
  <c r="AK99" i="1"/>
  <c r="BP99" i="1"/>
  <c r="BQ98" i="1"/>
  <c r="BT97" i="1"/>
  <c r="BR103" i="1"/>
  <c r="AP267" i="1"/>
  <c r="BV267" i="1"/>
  <c r="BU95" i="1"/>
  <c r="AO95" i="1"/>
  <c r="AM97" i="1"/>
  <c r="BS96" i="1"/>
  <c r="BT96" i="1"/>
  <c r="BU94" i="1"/>
  <c r="AN97" i="1"/>
  <c r="AL104" i="1"/>
  <c r="AP268" i="1" l="1"/>
  <c r="BV268" i="1"/>
  <c r="BS98" i="1"/>
  <c r="AM98" i="1"/>
  <c r="AJ101" i="1"/>
  <c r="BS97" i="1"/>
  <c r="AO96" i="1"/>
  <c r="BQ100" i="1"/>
  <c r="AK100" i="1"/>
  <c r="BR104" i="1"/>
  <c r="AN98" i="1"/>
  <c r="AL105" i="1"/>
  <c r="AO97" i="1" l="1"/>
  <c r="BU97" i="1" s="1"/>
  <c r="BP102" i="1"/>
  <c r="AJ102" i="1"/>
  <c r="BR105" i="1"/>
  <c r="BU96" i="1"/>
  <c r="BP101" i="1"/>
  <c r="AK101" i="1"/>
  <c r="BT98" i="1"/>
  <c r="AM99" i="1"/>
  <c r="AP269" i="1"/>
  <c r="BV269" i="1"/>
  <c r="AN99" i="1"/>
  <c r="AL106" i="1"/>
  <c r="AP270" i="1" l="1"/>
  <c r="BV270" i="1"/>
  <c r="AK102" i="1"/>
  <c r="BQ101" i="1"/>
  <c r="AO98" i="1"/>
  <c r="AM100" i="1"/>
  <c r="BR107" i="1"/>
  <c r="BS99" i="1"/>
  <c r="BT99" i="1"/>
  <c r="AJ103" i="1"/>
  <c r="BR106" i="1"/>
  <c r="AN100" i="1"/>
  <c r="BT100" i="1" s="1"/>
  <c r="AL107" i="1"/>
  <c r="AO99" i="1" l="1"/>
  <c r="AJ104" i="1"/>
  <c r="BU98" i="1"/>
  <c r="BP103" i="1"/>
  <c r="AM101" i="1"/>
  <c r="AK103" i="1"/>
  <c r="BQ102" i="1"/>
  <c r="BS100" i="1"/>
  <c r="AP271" i="1"/>
  <c r="BV271" i="1"/>
  <c r="AN101" i="1"/>
  <c r="AL108" i="1"/>
  <c r="AM102" i="1" l="1"/>
  <c r="AP272" i="1"/>
  <c r="BV272" i="1"/>
  <c r="BS101" i="1"/>
  <c r="AK104" i="1"/>
  <c r="BU100" i="1"/>
  <c r="AO100" i="1"/>
  <c r="AJ105" i="1"/>
  <c r="BT102" i="1"/>
  <c r="BT101" i="1"/>
  <c r="BP104" i="1"/>
  <c r="BR108" i="1"/>
  <c r="BQ103" i="1"/>
  <c r="BU99" i="1"/>
  <c r="AN102" i="1"/>
  <c r="AL109" i="1"/>
  <c r="AJ106" i="1" l="1"/>
  <c r="AK105" i="1"/>
  <c r="BP105" i="1"/>
  <c r="BQ104" i="1"/>
  <c r="AM103" i="1"/>
  <c r="BR109" i="1"/>
  <c r="AP273" i="1"/>
  <c r="BV273" i="1"/>
  <c r="AO101" i="1"/>
  <c r="BU101" i="1" s="1"/>
  <c r="BS102" i="1"/>
  <c r="AN103" i="1"/>
  <c r="AL110" i="1"/>
  <c r="AK106" i="1" l="1"/>
  <c r="AP274" i="1"/>
  <c r="AJ107" i="1"/>
  <c r="BP107" i="1" s="1"/>
  <c r="BS104" i="1"/>
  <c r="AM104" i="1"/>
  <c r="AO102" i="1"/>
  <c r="BS103" i="1"/>
  <c r="BQ105" i="1"/>
  <c r="BT103" i="1"/>
  <c r="BR110" i="1"/>
  <c r="BP106" i="1"/>
  <c r="AN104" i="1"/>
  <c r="AL111" i="1"/>
  <c r="BR111" i="1" l="1"/>
  <c r="AK107" i="1"/>
  <c r="AP275" i="1"/>
  <c r="BV275" i="1"/>
  <c r="BU103" i="1"/>
  <c r="AO103" i="1"/>
  <c r="AJ108" i="1"/>
  <c r="BP108" i="1" s="1"/>
  <c r="BT104" i="1"/>
  <c r="BU102" i="1"/>
  <c r="AM105" i="1"/>
  <c r="BV274" i="1"/>
  <c r="BQ106" i="1"/>
  <c r="AN105" i="1"/>
  <c r="AL112" i="1"/>
  <c r="BR113" i="1" l="1"/>
  <c r="AK108" i="1"/>
  <c r="AM106" i="1"/>
  <c r="AJ109" i="1"/>
  <c r="BQ107" i="1"/>
  <c r="BS105" i="1"/>
  <c r="AP276" i="1"/>
  <c r="BV276" i="1"/>
  <c r="AO104" i="1"/>
  <c r="BT105" i="1"/>
  <c r="BR112" i="1"/>
  <c r="AN106" i="1"/>
  <c r="AL113" i="1"/>
  <c r="AJ110" i="1" l="1"/>
  <c r="BQ109" i="1"/>
  <c r="AK109" i="1"/>
  <c r="AP277" i="1"/>
  <c r="BV277" i="1"/>
  <c r="BP109" i="1"/>
  <c r="BQ108" i="1"/>
  <c r="AO105" i="1"/>
  <c r="BS107" i="1"/>
  <c r="AM107" i="1"/>
  <c r="BU104" i="1"/>
  <c r="BS106" i="1"/>
  <c r="BT106" i="1"/>
  <c r="AN107" i="1"/>
  <c r="AL114" i="1"/>
  <c r="AO106" i="1" l="1"/>
  <c r="BT107" i="1"/>
  <c r="BR114" i="1"/>
  <c r="BU105" i="1"/>
  <c r="AP278" i="1"/>
  <c r="AJ111" i="1"/>
  <c r="BS108" i="1"/>
  <c r="AM108" i="1"/>
  <c r="AK110" i="1"/>
  <c r="BP110" i="1"/>
  <c r="AN108" i="1"/>
  <c r="AL115" i="1"/>
  <c r="AP279" i="1" l="1"/>
  <c r="BV279" i="1"/>
  <c r="BT109" i="1"/>
  <c r="BQ111" i="1"/>
  <c r="AK111" i="1"/>
  <c r="AJ112" i="1"/>
  <c r="BU107" i="1"/>
  <c r="AO107" i="1"/>
  <c r="BQ110" i="1"/>
  <c r="BP111" i="1"/>
  <c r="BU106" i="1"/>
  <c r="AM109" i="1"/>
  <c r="BV278" i="1"/>
  <c r="BR115" i="1"/>
  <c r="BT108" i="1"/>
  <c r="AN109" i="1"/>
  <c r="AL116" i="1"/>
  <c r="AM110" i="1" l="1"/>
  <c r="BP113" i="1"/>
  <c r="AJ113" i="1"/>
  <c r="BS109" i="1"/>
  <c r="BP112" i="1"/>
  <c r="BT110" i="1"/>
  <c r="BR116" i="1"/>
  <c r="AO108" i="1"/>
  <c r="BQ112" i="1"/>
  <c r="AK112" i="1"/>
  <c r="AP280" i="1"/>
  <c r="BV280" i="1"/>
  <c r="AN110" i="1"/>
  <c r="AL117" i="1"/>
  <c r="AO109" i="1" l="1"/>
  <c r="BS111" i="1"/>
  <c r="AM111" i="1"/>
  <c r="AP281" i="1"/>
  <c r="BV281" i="1"/>
  <c r="BU108" i="1"/>
  <c r="BS110" i="1"/>
  <c r="AK113" i="1"/>
  <c r="AJ114" i="1"/>
  <c r="BR117" i="1"/>
  <c r="AN111" i="1"/>
  <c r="AL118" i="1"/>
  <c r="AK114" i="1" l="1"/>
  <c r="BQ113" i="1"/>
  <c r="AP282" i="1"/>
  <c r="BV282" i="1"/>
  <c r="AO110" i="1"/>
  <c r="AJ115" i="1"/>
  <c r="BP115" i="1"/>
  <c r="BT111" i="1"/>
  <c r="BU109" i="1"/>
  <c r="BP114" i="1"/>
  <c r="AM112" i="1"/>
  <c r="BR118" i="1"/>
  <c r="AN112" i="1"/>
  <c r="AL119" i="1"/>
  <c r="BS113" i="1" l="1"/>
  <c r="AM113" i="1"/>
  <c r="AO111" i="1"/>
  <c r="BS112" i="1"/>
  <c r="AK115" i="1"/>
  <c r="BR120" i="1"/>
  <c r="AJ116" i="1"/>
  <c r="BP116" i="1" s="1"/>
  <c r="BQ114" i="1"/>
  <c r="BU110" i="1"/>
  <c r="BT112" i="1"/>
  <c r="AP283" i="1"/>
  <c r="BV283" i="1"/>
  <c r="BR119" i="1"/>
  <c r="AN113" i="1"/>
  <c r="BT113" i="1" s="1"/>
  <c r="AL120" i="1"/>
  <c r="AO112" i="1" l="1"/>
  <c r="AP284" i="1"/>
  <c r="BV284" i="1"/>
  <c r="AK116" i="1"/>
  <c r="BU111" i="1"/>
  <c r="BR121" i="1"/>
  <c r="BQ115" i="1"/>
  <c r="AM114" i="1"/>
  <c r="BS114" i="1" s="1"/>
  <c r="BT114" i="1"/>
  <c r="AJ117" i="1"/>
  <c r="AN114" i="1"/>
  <c r="AL121" i="1"/>
  <c r="AP285" i="1" l="1"/>
  <c r="BV285" i="1"/>
  <c r="BP118" i="1"/>
  <c r="AJ118" i="1"/>
  <c r="AK117" i="1"/>
  <c r="BQ117" i="1" s="1"/>
  <c r="BU113" i="1"/>
  <c r="AO113" i="1"/>
  <c r="AM115" i="1"/>
  <c r="BT115" i="1"/>
  <c r="BP117" i="1"/>
  <c r="BQ116" i="1"/>
  <c r="BU112" i="1"/>
  <c r="AN115" i="1"/>
  <c r="AL122" i="1"/>
  <c r="AM116" i="1" l="1"/>
  <c r="BT116" i="1"/>
  <c r="BS115" i="1"/>
  <c r="AP286" i="1"/>
  <c r="BV286" i="1"/>
  <c r="BQ118" i="1"/>
  <c r="AK118" i="1"/>
  <c r="AO114" i="1"/>
  <c r="BP119" i="1"/>
  <c r="AJ119" i="1"/>
  <c r="BR122" i="1"/>
  <c r="AN116" i="1"/>
  <c r="AL123" i="1"/>
  <c r="BR123" i="1" s="1"/>
  <c r="AO115" i="1" l="1"/>
  <c r="AM117" i="1"/>
  <c r="BS117" i="1" s="1"/>
  <c r="BU114" i="1"/>
  <c r="BT117" i="1"/>
  <c r="BP120" i="1"/>
  <c r="AJ120" i="1"/>
  <c r="AK119" i="1"/>
  <c r="AP287" i="1"/>
  <c r="BS116" i="1"/>
  <c r="AN117" i="1"/>
  <c r="AL124" i="1"/>
  <c r="AK120" i="1" l="1"/>
  <c r="AP288" i="1"/>
  <c r="BQ119" i="1"/>
  <c r="AO116" i="1"/>
  <c r="BU116" i="1" s="1"/>
  <c r="AM118" i="1"/>
  <c r="BV287" i="1"/>
  <c r="AJ121" i="1"/>
  <c r="BR124" i="1"/>
  <c r="BU115" i="1"/>
  <c r="AN118" i="1"/>
  <c r="AL125" i="1"/>
  <c r="AK121" i="1" l="1"/>
  <c r="AP289" i="1"/>
  <c r="BV289" i="1"/>
  <c r="BQ120" i="1"/>
  <c r="AO117" i="1"/>
  <c r="BT119" i="1"/>
  <c r="BT118" i="1"/>
  <c r="AJ122" i="1"/>
  <c r="BS119" i="1"/>
  <c r="AM119" i="1"/>
  <c r="BP121" i="1"/>
  <c r="BS118" i="1"/>
  <c r="BV288" i="1"/>
  <c r="BR125" i="1"/>
  <c r="AN119" i="1"/>
  <c r="AL126" i="1"/>
  <c r="AO118" i="1" l="1"/>
  <c r="BR127" i="1"/>
  <c r="BP123" i="1"/>
  <c r="AJ123" i="1"/>
  <c r="BR126" i="1"/>
  <c r="BP122" i="1"/>
  <c r="BU117" i="1"/>
  <c r="AK122" i="1"/>
  <c r="AP290" i="1"/>
  <c r="BV290" i="1"/>
  <c r="AM120" i="1"/>
  <c r="BQ121" i="1"/>
  <c r="AN120" i="1"/>
  <c r="AL127" i="1"/>
  <c r="AP291" i="1" l="1"/>
  <c r="BV291" i="1"/>
  <c r="BU119" i="1"/>
  <c r="AO119" i="1"/>
  <c r="AM121" i="1"/>
  <c r="BS120" i="1"/>
  <c r="AK123" i="1"/>
  <c r="BR128" i="1"/>
  <c r="BT120" i="1"/>
  <c r="BQ122" i="1"/>
  <c r="AJ124" i="1"/>
  <c r="BU118" i="1"/>
  <c r="AN121" i="1"/>
  <c r="AL128" i="1"/>
  <c r="AM122" i="1" l="1"/>
  <c r="BP125" i="1"/>
  <c r="AJ125" i="1"/>
  <c r="BP124" i="1"/>
  <c r="AK124" i="1"/>
  <c r="BQ124" i="1" s="1"/>
  <c r="BS121" i="1"/>
  <c r="AP292" i="1"/>
  <c r="BV292" i="1"/>
  <c r="BQ123" i="1"/>
  <c r="AO120" i="1"/>
  <c r="BT121" i="1"/>
  <c r="AN122" i="1"/>
  <c r="AL129" i="1"/>
  <c r="BR129" i="1" s="1"/>
  <c r="AO121" i="1" l="1"/>
  <c r="BS123" i="1"/>
  <c r="AM123" i="1"/>
  <c r="AK125" i="1"/>
  <c r="BU120" i="1"/>
  <c r="AP293" i="1"/>
  <c r="BV293" i="1"/>
  <c r="BS122" i="1"/>
  <c r="AJ126" i="1"/>
  <c r="BT122" i="1"/>
  <c r="AN123" i="1"/>
  <c r="AL130" i="1"/>
  <c r="BR130" i="1" l="1"/>
  <c r="AK126" i="1"/>
  <c r="BQ126" i="1" s="1"/>
  <c r="AO122" i="1"/>
  <c r="AJ127" i="1"/>
  <c r="BP127" i="1" s="1"/>
  <c r="BU121" i="1"/>
  <c r="BQ125" i="1"/>
  <c r="BP126" i="1"/>
  <c r="AP294" i="1"/>
  <c r="BV294" i="1"/>
  <c r="AM124" i="1"/>
  <c r="BS124" i="1" s="1"/>
  <c r="BT123" i="1"/>
  <c r="AN124" i="1"/>
  <c r="BT124" i="1" s="1"/>
  <c r="AL131" i="1"/>
  <c r="AK127" i="1" l="1"/>
  <c r="BT125" i="1"/>
  <c r="BS125" i="1"/>
  <c r="AM125" i="1"/>
  <c r="AJ128" i="1"/>
  <c r="BR132" i="1"/>
  <c r="AO123" i="1"/>
  <c r="AP295" i="1"/>
  <c r="BV295" i="1"/>
  <c r="BU122" i="1"/>
  <c r="BR131" i="1"/>
  <c r="AN125" i="1"/>
  <c r="AL132" i="1"/>
  <c r="AJ129" i="1" l="1"/>
  <c r="BQ128" i="1"/>
  <c r="AK128" i="1"/>
  <c r="AP296" i="1"/>
  <c r="BV296" i="1"/>
  <c r="BU124" i="1"/>
  <c r="AO124" i="1"/>
  <c r="BP128" i="1"/>
  <c r="BU123" i="1"/>
  <c r="AM126" i="1"/>
  <c r="BQ127" i="1"/>
  <c r="AN126" i="1"/>
  <c r="BT126" i="1" s="1"/>
  <c r="AL133" i="1"/>
  <c r="AJ130" i="1" l="1"/>
  <c r="BP130" i="1" s="1"/>
  <c r="BT127" i="1"/>
  <c r="AP297" i="1"/>
  <c r="BV297" i="1"/>
  <c r="BP129" i="1"/>
  <c r="BS127" i="1"/>
  <c r="AM127" i="1"/>
  <c r="BS126" i="1"/>
  <c r="AO125" i="1"/>
  <c r="AK129" i="1"/>
  <c r="BR133" i="1"/>
  <c r="AN127" i="1"/>
  <c r="AL134" i="1"/>
  <c r="AO126" i="1" l="1"/>
  <c r="BT128" i="1"/>
  <c r="BU125" i="1"/>
  <c r="AJ131" i="1"/>
  <c r="BP131" i="1" s="1"/>
  <c r="BQ130" i="1"/>
  <c r="AK130" i="1"/>
  <c r="BQ129" i="1"/>
  <c r="AM128" i="1"/>
  <c r="AP298" i="1"/>
  <c r="BV298" i="1"/>
  <c r="BR134" i="1"/>
  <c r="AN128" i="1"/>
  <c r="AL135" i="1"/>
  <c r="AO127" i="1" l="1"/>
  <c r="BU126" i="1"/>
  <c r="AM129" i="1"/>
  <c r="BS128" i="1"/>
  <c r="AJ132" i="1"/>
  <c r="AP299" i="1"/>
  <c r="BV299" i="1"/>
  <c r="AK131" i="1"/>
  <c r="BR135" i="1"/>
  <c r="AN129" i="1"/>
  <c r="BT129" i="1" s="1"/>
  <c r="AL136" i="1"/>
  <c r="AM130" i="1" l="1"/>
  <c r="BR136" i="1"/>
  <c r="AK132" i="1"/>
  <c r="BQ132" i="1" s="1"/>
  <c r="BP133" i="1"/>
  <c r="AJ133" i="1"/>
  <c r="BS129" i="1"/>
  <c r="BU128" i="1"/>
  <c r="AO128" i="1"/>
  <c r="AP300" i="1"/>
  <c r="BV300" i="1"/>
  <c r="BQ131" i="1"/>
  <c r="BP132" i="1"/>
  <c r="BU127" i="1"/>
  <c r="AN130" i="1"/>
  <c r="AL137" i="1"/>
  <c r="AO129" i="1" l="1"/>
  <c r="BS131" i="1"/>
  <c r="AM131" i="1"/>
  <c r="BS130" i="1"/>
  <c r="AK133" i="1"/>
  <c r="BQ133" i="1" s="1"/>
  <c r="AP301" i="1"/>
  <c r="BV301" i="1"/>
  <c r="BP134" i="1"/>
  <c r="AJ134" i="1"/>
  <c r="BT130" i="1"/>
  <c r="BR137" i="1"/>
  <c r="AN131" i="1"/>
  <c r="AL138" i="1"/>
  <c r="AO130" i="1" l="1"/>
  <c r="BT132" i="1"/>
  <c r="AP302" i="1"/>
  <c r="BV302" i="1"/>
  <c r="BU129" i="1"/>
  <c r="BQ134" i="1"/>
  <c r="AK134" i="1"/>
  <c r="AJ135" i="1"/>
  <c r="BR138" i="1"/>
  <c r="AM132" i="1"/>
  <c r="BT131" i="1"/>
  <c r="AN132" i="1"/>
  <c r="AL139" i="1"/>
  <c r="AJ136" i="1" l="1"/>
  <c r="AO131" i="1"/>
  <c r="AM133" i="1"/>
  <c r="BS133" i="1" s="1"/>
  <c r="BP135" i="1"/>
  <c r="BU130" i="1"/>
  <c r="BS132" i="1"/>
  <c r="BQ135" i="1"/>
  <c r="AK135" i="1"/>
  <c r="AP303" i="1"/>
  <c r="BV303" i="1"/>
  <c r="BR139" i="1"/>
  <c r="AN133" i="1"/>
  <c r="BT133" i="1" s="1"/>
  <c r="AL140" i="1"/>
  <c r="AO132" i="1" l="1"/>
  <c r="BU131" i="1"/>
  <c r="AP304" i="1"/>
  <c r="AJ137" i="1"/>
  <c r="BP137" i="1" s="1"/>
  <c r="BT134" i="1"/>
  <c r="AM134" i="1"/>
  <c r="BQ136" i="1"/>
  <c r="AK136" i="1"/>
  <c r="BR140" i="1"/>
  <c r="BP136" i="1"/>
  <c r="AN134" i="1"/>
  <c r="AL141" i="1"/>
  <c r="AP305" i="1" l="1"/>
  <c r="BV305" i="1"/>
  <c r="BR141" i="1"/>
  <c r="AM135" i="1"/>
  <c r="BU133" i="1"/>
  <c r="AO133" i="1"/>
  <c r="AJ138" i="1"/>
  <c r="BQ137" i="1"/>
  <c r="AK137" i="1"/>
  <c r="BS134" i="1"/>
  <c r="BV304" i="1"/>
  <c r="BU132" i="1"/>
  <c r="AN135" i="1"/>
  <c r="AL142" i="1"/>
  <c r="AJ139" i="1" l="1"/>
  <c r="AM136" i="1"/>
  <c r="BP138" i="1"/>
  <c r="BS135" i="1"/>
  <c r="AP306" i="1"/>
  <c r="BV306" i="1"/>
  <c r="AK138" i="1"/>
  <c r="BQ138" i="1" s="1"/>
  <c r="AO134" i="1"/>
  <c r="BT135" i="1"/>
  <c r="BR142" i="1"/>
  <c r="AN136" i="1"/>
  <c r="AL143" i="1"/>
  <c r="BR143" i="1" s="1"/>
  <c r="AM137" i="1" l="1"/>
  <c r="AP307" i="1"/>
  <c r="BV307" i="1"/>
  <c r="BS136" i="1"/>
  <c r="AO135" i="1"/>
  <c r="BP140" i="1"/>
  <c r="AJ140" i="1"/>
  <c r="AK139" i="1"/>
  <c r="BT137" i="1"/>
  <c r="BU134" i="1"/>
  <c r="BT136" i="1"/>
  <c r="BP139" i="1"/>
  <c r="AN137" i="1"/>
  <c r="AL144" i="1"/>
  <c r="AK140" i="1" l="1"/>
  <c r="AO136" i="1"/>
  <c r="AP308" i="1"/>
  <c r="BV308" i="1"/>
  <c r="BQ139" i="1"/>
  <c r="BU135" i="1"/>
  <c r="AM138" i="1"/>
  <c r="BR145" i="1"/>
  <c r="BR144" i="1"/>
  <c r="AJ141" i="1"/>
  <c r="BS137" i="1"/>
  <c r="AN138" i="1"/>
  <c r="BT138" i="1" s="1"/>
  <c r="AL145" i="1"/>
  <c r="AO137" i="1" l="1"/>
  <c r="AJ142" i="1"/>
  <c r="BU136" i="1"/>
  <c r="BP141" i="1"/>
  <c r="AM139" i="1"/>
  <c r="AK141" i="1"/>
  <c r="BR146" i="1"/>
  <c r="BS138" i="1"/>
  <c r="AP309" i="1"/>
  <c r="BV309" i="1"/>
  <c r="BQ140" i="1"/>
  <c r="AN139" i="1"/>
  <c r="BT139" i="1" s="1"/>
  <c r="AL146" i="1"/>
  <c r="AM140" i="1" l="1"/>
  <c r="AJ143" i="1"/>
  <c r="BS139" i="1"/>
  <c r="BP142" i="1"/>
  <c r="AP310" i="1"/>
  <c r="BV310" i="1"/>
  <c r="AK142" i="1"/>
  <c r="AO138" i="1"/>
  <c r="BQ141" i="1"/>
  <c r="BU137" i="1"/>
  <c r="AN140" i="1"/>
  <c r="AL147" i="1"/>
  <c r="BR147" i="1" s="1"/>
  <c r="AO139" i="1" l="1"/>
  <c r="AJ144" i="1"/>
  <c r="BU138" i="1"/>
  <c r="AP311" i="1"/>
  <c r="BV311" i="1"/>
  <c r="BP143" i="1"/>
  <c r="AK143" i="1"/>
  <c r="BQ143" i="1" s="1"/>
  <c r="BS141" i="1"/>
  <c r="AM141" i="1"/>
  <c r="BT140" i="1"/>
  <c r="BQ142" i="1"/>
  <c r="BS140" i="1"/>
  <c r="AN141" i="1"/>
  <c r="AL148" i="1"/>
  <c r="AJ145" i="1" l="1"/>
  <c r="BP144" i="1"/>
  <c r="BR149" i="1"/>
  <c r="BR148" i="1"/>
  <c r="AP312" i="1"/>
  <c r="BV312" i="1"/>
  <c r="BU140" i="1"/>
  <c r="AO140" i="1"/>
  <c r="AK144" i="1"/>
  <c r="AM142" i="1"/>
  <c r="BT141" i="1"/>
  <c r="BU139" i="1"/>
  <c r="AN142" i="1"/>
  <c r="BT142" i="1" s="1"/>
  <c r="AL149" i="1"/>
  <c r="AM143" i="1" l="1"/>
  <c r="AP313" i="1"/>
  <c r="BV313" i="1"/>
  <c r="AJ146" i="1"/>
  <c r="AK145" i="1"/>
  <c r="BQ145" i="1" s="1"/>
  <c r="BQ144" i="1"/>
  <c r="BS142" i="1"/>
  <c r="AO141" i="1"/>
  <c r="BP145" i="1"/>
  <c r="AN143" i="1"/>
  <c r="AL150" i="1"/>
  <c r="BR150" i="1" l="1"/>
  <c r="AP314" i="1"/>
  <c r="BV314" i="1"/>
  <c r="AK146" i="1"/>
  <c r="AO142" i="1"/>
  <c r="AJ147" i="1"/>
  <c r="AM144" i="1"/>
  <c r="BU141" i="1"/>
  <c r="BT143" i="1"/>
  <c r="BP146" i="1"/>
  <c r="BS143" i="1"/>
  <c r="AN144" i="1"/>
  <c r="AL151" i="1"/>
  <c r="AO143" i="1" l="1"/>
  <c r="BS145" i="1"/>
  <c r="AM145" i="1"/>
  <c r="BS144" i="1"/>
  <c r="BU142" i="1"/>
  <c r="AP315" i="1"/>
  <c r="AJ148" i="1"/>
  <c r="AK147" i="1"/>
  <c r="BT144" i="1"/>
  <c r="BP147" i="1"/>
  <c r="BQ146" i="1"/>
  <c r="BR151" i="1"/>
  <c r="AN145" i="1"/>
  <c r="BT145" i="1" s="1"/>
  <c r="AL152" i="1"/>
  <c r="BR152" i="1" s="1"/>
  <c r="AP316" i="1" l="1"/>
  <c r="BV316" i="1"/>
  <c r="AJ149" i="1"/>
  <c r="BP148" i="1"/>
  <c r="AK148" i="1"/>
  <c r="BU144" i="1"/>
  <c r="AO144" i="1"/>
  <c r="BQ147" i="1"/>
  <c r="BV315" i="1"/>
  <c r="AM146" i="1"/>
  <c r="BU143" i="1"/>
  <c r="AN146" i="1"/>
  <c r="BT146" i="1" s="1"/>
  <c r="AL153" i="1"/>
  <c r="BR153" i="1" s="1"/>
  <c r="AJ150" i="1" l="1"/>
  <c r="AM147" i="1"/>
  <c r="AK149" i="1"/>
  <c r="BP149" i="1"/>
  <c r="BS146" i="1"/>
  <c r="BQ148" i="1"/>
  <c r="BU145" i="1"/>
  <c r="AO145" i="1"/>
  <c r="AP317" i="1"/>
  <c r="BV317" i="1"/>
  <c r="AN147" i="1"/>
  <c r="AL154" i="1"/>
  <c r="BR154" i="1" s="1"/>
  <c r="AM148" i="1" l="1"/>
  <c r="BS147" i="1"/>
  <c r="AP318" i="1"/>
  <c r="BV318" i="1"/>
  <c r="BT147" i="1"/>
  <c r="BQ150" i="1"/>
  <c r="AK150" i="1"/>
  <c r="AJ151" i="1"/>
  <c r="BP151" i="1" s="1"/>
  <c r="BR155" i="1"/>
  <c r="AO146" i="1"/>
  <c r="BQ149" i="1"/>
  <c r="BP150" i="1"/>
  <c r="AN148" i="1"/>
  <c r="BT148" i="1" s="1"/>
  <c r="AL155" i="1"/>
  <c r="AO147" i="1" l="1"/>
  <c r="BS149" i="1"/>
  <c r="AM149" i="1"/>
  <c r="AJ152" i="1"/>
  <c r="BR156" i="1"/>
  <c r="BU146" i="1"/>
  <c r="AK151" i="1"/>
  <c r="AP319" i="1"/>
  <c r="BS148" i="1"/>
  <c r="AN149" i="1"/>
  <c r="AL156" i="1"/>
  <c r="AK152" i="1" l="1"/>
  <c r="AJ153" i="1"/>
  <c r="AO148" i="1"/>
  <c r="BQ151" i="1"/>
  <c r="BP152" i="1"/>
  <c r="BU147" i="1"/>
  <c r="AP320" i="1"/>
  <c r="BV320" i="1"/>
  <c r="BV319" i="1"/>
  <c r="AM150" i="1"/>
  <c r="BT149" i="1"/>
  <c r="AN150" i="1"/>
  <c r="AL157" i="1"/>
  <c r="BR157" i="1" s="1"/>
  <c r="AM151" i="1" l="1"/>
  <c r="BP154" i="1"/>
  <c r="AJ154" i="1"/>
  <c r="BS150" i="1"/>
  <c r="AP321" i="1"/>
  <c r="BV321" i="1"/>
  <c r="BP153" i="1"/>
  <c r="AO149" i="1"/>
  <c r="BQ153" i="1"/>
  <c r="AK153" i="1"/>
  <c r="BT150" i="1"/>
  <c r="BU148" i="1"/>
  <c r="BQ152" i="1"/>
  <c r="AN151" i="1"/>
  <c r="AL158" i="1"/>
  <c r="BR158" i="1" s="1"/>
  <c r="AO150" i="1" l="1"/>
  <c r="AP322" i="1"/>
  <c r="AM152" i="1"/>
  <c r="BU149" i="1"/>
  <c r="BS151" i="1"/>
  <c r="AK154" i="1"/>
  <c r="AJ155" i="1"/>
  <c r="BT151" i="1"/>
  <c r="AN152" i="1"/>
  <c r="AL159" i="1"/>
  <c r="AK155" i="1" l="1"/>
  <c r="AM153" i="1"/>
  <c r="BS153" i="1" s="1"/>
  <c r="BQ154" i="1"/>
  <c r="AO151" i="1"/>
  <c r="AJ156" i="1"/>
  <c r="BR159" i="1"/>
  <c r="BS152" i="1"/>
  <c r="BU150" i="1"/>
  <c r="AP323" i="1"/>
  <c r="BV323" i="1"/>
  <c r="BT153" i="1"/>
  <c r="BP155" i="1"/>
  <c r="BV322" i="1"/>
  <c r="BT152" i="1"/>
  <c r="AN153" i="1"/>
  <c r="AL160" i="1"/>
  <c r="AO152" i="1" l="1"/>
  <c r="BU151" i="1"/>
  <c r="BS154" i="1"/>
  <c r="AM154" i="1"/>
  <c r="AP324" i="1"/>
  <c r="BV324" i="1"/>
  <c r="BP157" i="1"/>
  <c r="AJ157" i="1"/>
  <c r="AK156" i="1"/>
  <c r="BR161" i="1"/>
  <c r="BP156" i="1"/>
  <c r="BR160" i="1"/>
  <c r="BQ155" i="1"/>
  <c r="AN154" i="1"/>
  <c r="AL161" i="1"/>
  <c r="AK157" i="1" l="1"/>
  <c r="BQ156" i="1"/>
  <c r="AP325" i="1"/>
  <c r="AO153" i="1"/>
  <c r="BT155" i="1"/>
  <c r="BT154" i="1"/>
  <c r="AJ158" i="1"/>
  <c r="AM155" i="1"/>
  <c r="BU152" i="1"/>
  <c r="AN155" i="1"/>
  <c r="AL162" i="1"/>
  <c r="AJ159" i="1" l="1"/>
  <c r="AP326" i="1"/>
  <c r="BV326" i="1"/>
  <c r="BP158" i="1"/>
  <c r="AO154" i="1"/>
  <c r="AM156" i="1"/>
  <c r="BS156" i="1" s="1"/>
  <c r="BU153" i="1"/>
  <c r="AK158" i="1"/>
  <c r="BS155" i="1"/>
  <c r="BR162" i="1"/>
  <c r="BV325" i="1"/>
  <c r="BQ157" i="1"/>
  <c r="AN156" i="1"/>
  <c r="AL163" i="1"/>
  <c r="AO155" i="1" l="1"/>
  <c r="BU154" i="1"/>
  <c r="AP327" i="1"/>
  <c r="AJ160" i="1"/>
  <c r="AM157" i="1"/>
  <c r="AK159" i="1"/>
  <c r="BQ158" i="1"/>
  <c r="BT156" i="1"/>
  <c r="BR163" i="1"/>
  <c r="BP159" i="1"/>
  <c r="AN157" i="1"/>
  <c r="AL164" i="1"/>
  <c r="BR164" i="1" s="1"/>
  <c r="AP328" i="1" l="1"/>
  <c r="AM158" i="1"/>
  <c r="BS158" i="1" s="1"/>
  <c r="AO156" i="1"/>
  <c r="BT158" i="1"/>
  <c r="BQ160" i="1"/>
  <c r="AK160" i="1"/>
  <c r="AJ161" i="1"/>
  <c r="BQ159" i="1"/>
  <c r="BP160" i="1"/>
  <c r="BT157" i="1"/>
  <c r="BS157" i="1"/>
  <c r="BV327" i="1"/>
  <c r="BU155" i="1"/>
  <c r="AN158" i="1"/>
  <c r="AL165" i="1"/>
  <c r="BP162" i="1" l="1"/>
  <c r="AJ162" i="1"/>
  <c r="BR165" i="1"/>
  <c r="BU157" i="1"/>
  <c r="AO157" i="1"/>
  <c r="AP329" i="1"/>
  <c r="BS159" i="1"/>
  <c r="AM159" i="1"/>
  <c r="BP161" i="1"/>
  <c r="BT159" i="1"/>
  <c r="BQ161" i="1"/>
  <c r="AK161" i="1"/>
  <c r="BU156" i="1"/>
  <c r="BV328" i="1"/>
  <c r="AN159" i="1"/>
  <c r="AL166" i="1"/>
  <c r="BR166" i="1" s="1"/>
  <c r="AP330" i="1" l="1"/>
  <c r="BV329" i="1"/>
  <c r="AK162" i="1"/>
  <c r="BS160" i="1"/>
  <c r="AM160" i="1"/>
  <c r="AO158" i="1"/>
  <c r="BP163" i="1"/>
  <c r="AJ163" i="1"/>
  <c r="AN160" i="1"/>
  <c r="AL167" i="1"/>
  <c r="BR167" i="1" s="1"/>
  <c r="AP331" i="1" l="1"/>
  <c r="BU159" i="1"/>
  <c r="AO159" i="1"/>
  <c r="AK163" i="1"/>
  <c r="BV330" i="1"/>
  <c r="BU158" i="1"/>
  <c r="BQ162" i="1"/>
  <c r="BR168" i="1"/>
  <c r="BP164" i="1"/>
  <c r="AJ164" i="1"/>
  <c r="AM161" i="1"/>
  <c r="BS161" i="1" s="1"/>
  <c r="BT160" i="1"/>
  <c r="AN161" i="1"/>
  <c r="AL168" i="1"/>
  <c r="AK164" i="1" l="1"/>
  <c r="BT161" i="1"/>
  <c r="BQ163" i="1"/>
  <c r="AP332" i="1"/>
  <c r="BS162" i="1"/>
  <c r="AM162" i="1"/>
  <c r="AJ165" i="1"/>
  <c r="AO160" i="1"/>
  <c r="BV331" i="1"/>
  <c r="AN162" i="1"/>
  <c r="AL169" i="1"/>
  <c r="AJ166" i="1" l="1"/>
  <c r="BQ165" i="1"/>
  <c r="AK165" i="1"/>
  <c r="AP333" i="1"/>
  <c r="BT163" i="1"/>
  <c r="AO161" i="1"/>
  <c r="BR169" i="1"/>
  <c r="BV332" i="1"/>
  <c r="BQ164" i="1"/>
  <c r="BP165" i="1"/>
  <c r="BU160" i="1"/>
  <c r="BS163" i="1"/>
  <c r="AM163" i="1"/>
  <c r="BT162" i="1"/>
  <c r="AN163" i="1"/>
  <c r="AL170" i="1"/>
  <c r="BR170" i="1" s="1"/>
  <c r="AP334" i="1" l="1"/>
  <c r="BU162" i="1"/>
  <c r="AO162" i="1"/>
  <c r="BV333" i="1"/>
  <c r="AJ167" i="1"/>
  <c r="BS164" i="1"/>
  <c r="AM164" i="1"/>
  <c r="BU161" i="1"/>
  <c r="AK166" i="1"/>
  <c r="BP166" i="1"/>
  <c r="AN164" i="1"/>
  <c r="AL171" i="1"/>
  <c r="BR171" i="1" s="1"/>
  <c r="AJ168" i="1" l="1"/>
  <c r="AM165" i="1"/>
  <c r="BP167" i="1"/>
  <c r="BV335" i="1"/>
  <c r="AP335" i="1"/>
  <c r="AK167" i="1"/>
  <c r="BQ167" i="1" s="1"/>
  <c r="BQ166" i="1"/>
  <c r="BT164" i="1"/>
  <c r="AO163" i="1"/>
  <c r="BV334" i="1"/>
  <c r="AN165" i="1"/>
  <c r="BT165" i="1" s="1"/>
  <c r="AL172" i="1"/>
  <c r="AP336" i="1" l="1"/>
  <c r="AM166" i="1"/>
  <c r="BS165" i="1"/>
  <c r="AO164" i="1"/>
  <c r="BU163" i="1"/>
  <c r="AJ169" i="1"/>
  <c r="BQ168" i="1"/>
  <c r="AK168" i="1"/>
  <c r="BR173" i="1"/>
  <c r="BR172" i="1"/>
  <c r="BP168" i="1"/>
  <c r="AN166" i="1"/>
  <c r="AL173" i="1"/>
  <c r="AM167" i="1" l="1"/>
  <c r="BT166" i="1"/>
  <c r="AO165" i="1"/>
  <c r="BS166" i="1"/>
  <c r="BU164" i="1"/>
  <c r="AP337" i="1"/>
  <c r="AJ170" i="1"/>
  <c r="AK169" i="1"/>
  <c r="BP169" i="1"/>
  <c r="BV336" i="1"/>
  <c r="AN167" i="1"/>
  <c r="BT167" i="1" s="1"/>
  <c r="AL174" i="1"/>
  <c r="AJ171" i="1" l="1"/>
  <c r="BP170" i="1"/>
  <c r="BT168" i="1"/>
  <c r="AP338" i="1"/>
  <c r="AO166" i="1"/>
  <c r="AM168" i="1"/>
  <c r="AK170" i="1"/>
  <c r="BQ169" i="1"/>
  <c r="BR174" i="1"/>
  <c r="BV337" i="1"/>
  <c r="BU165" i="1"/>
  <c r="BS167" i="1"/>
  <c r="AN168" i="1"/>
  <c r="AL175" i="1"/>
  <c r="AK171" i="1" l="1"/>
  <c r="AO167" i="1"/>
  <c r="BU166" i="1"/>
  <c r="AP339" i="1"/>
  <c r="BP172" i="1"/>
  <c r="AJ172" i="1"/>
  <c r="BQ170" i="1"/>
  <c r="BS169" i="1"/>
  <c r="AM169" i="1"/>
  <c r="BR175" i="1"/>
  <c r="BS168" i="1"/>
  <c r="BV338" i="1"/>
  <c r="BP171" i="1"/>
  <c r="AN169" i="1"/>
  <c r="BT169" i="1" s="1"/>
  <c r="AL176" i="1"/>
  <c r="AO168" i="1" l="1"/>
  <c r="AP340" i="1"/>
  <c r="BU167" i="1"/>
  <c r="BR176" i="1"/>
  <c r="BV339" i="1"/>
  <c r="AK172" i="1"/>
  <c r="BS170" i="1"/>
  <c r="AM170" i="1"/>
  <c r="AJ173" i="1"/>
  <c r="BQ171" i="1"/>
  <c r="AN170" i="1"/>
  <c r="AL177" i="1"/>
  <c r="BR177" i="1" s="1"/>
  <c r="AP341" i="1" l="1"/>
  <c r="BP174" i="1"/>
  <c r="AJ174" i="1"/>
  <c r="BT170" i="1"/>
  <c r="BV340" i="1"/>
  <c r="BP173" i="1"/>
  <c r="AK173" i="1"/>
  <c r="AO169" i="1"/>
  <c r="AM171" i="1"/>
  <c r="BQ172" i="1"/>
  <c r="BU168" i="1"/>
  <c r="AN171" i="1"/>
  <c r="AL178" i="1"/>
  <c r="AO170" i="1" l="1"/>
  <c r="BS172" i="1"/>
  <c r="AM172" i="1"/>
  <c r="BT171" i="1"/>
  <c r="BV342" i="1"/>
  <c r="AP342" i="1"/>
  <c r="BU169" i="1"/>
  <c r="BS171" i="1"/>
  <c r="BQ174" i="1"/>
  <c r="AK174" i="1"/>
  <c r="BR178" i="1"/>
  <c r="BQ173" i="1"/>
  <c r="BP175" i="1"/>
  <c r="AJ175" i="1"/>
  <c r="BV341" i="1"/>
  <c r="AN172" i="1"/>
  <c r="AL179" i="1"/>
  <c r="BR179" i="1" s="1"/>
  <c r="AO171" i="1" l="1"/>
  <c r="BU170" i="1"/>
  <c r="AJ176" i="1"/>
  <c r="BQ175" i="1"/>
  <c r="AK175" i="1"/>
  <c r="AP343" i="1"/>
  <c r="BS173" i="1"/>
  <c r="AM173" i="1"/>
  <c r="BT172" i="1"/>
  <c r="AN173" i="1"/>
  <c r="AL180" i="1"/>
  <c r="BR180" i="1" s="1"/>
  <c r="AP344" i="1" l="1"/>
  <c r="BP177" i="1"/>
  <c r="AJ177" i="1"/>
  <c r="BV343" i="1"/>
  <c r="BP176" i="1"/>
  <c r="BU172" i="1"/>
  <c r="AO172" i="1"/>
  <c r="AM174" i="1"/>
  <c r="AK176" i="1"/>
  <c r="BT173" i="1"/>
  <c r="BU171" i="1"/>
  <c r="AN174" i="1"/>
  <c r="BT174" i="1" s="1"/>
  <c r="AL181" i="1"/>
  <c r="BR181" i="1" s="1"/>
  <c r="BS175" i="1" l="1"/>
  <c r="AM175" i="1"/>
  <c r="BS174" i="1"/>
  <c r="BQ177" i="1"/>
  <c r="AK177" i="1"/>
  <c r="AP345" i="1"/>
  <c r="BT175" i="1"/>
  <c r="BQ176" i="1"/>
  <c r="AO173" i="1"/>
  <c r="AJ178" i="1"/>
  <c r="BV344" i="1"/>
  <c r="AN175" i="1"/>
  <c r="AL182" i="1"/>
  <c r="AO174" i="1" l="1"/>
  <c r="BU173" i="1"/>
  <c r="AP346" i="1"/>
  <c r="BP179" i="1"/>
  <c r="AJ179" i="1"/>
  <c r="BV345" i="1"/>
  <c r="AM176" i="1"/>
  <c r="BP178" i="1"/>
  <c r="BR182" i="1"/>
  <c r="AK178" i="1"/>
  <c r="BQ178" i="1" s="1"/>
  <c r="AN176" i="1"/>
  <c r="AL183" i="1"/>
  <c r="BR183" i="1" s="1"/>
  <c r="AM177" i="1" l="1"/>
  <c r="BS176" i="1"/>
  <c r="BT176" i="1"/>
  <c r="AK179" i="1"/>
  <c r="BV347" i="1"/>
  <c r="AP347" i="1"/>
  <c r="AO175" i="1"/>
  <c r="BR184" i="1"/>
  <c r="AJ180" i="1"/>
  <c r="BV346" i="1"/>
  <c r="BU174" i="1"/>
  <c r="AN177" i="1"/>
  <c r="BT177" i="1" s="1"/>
  <c r="AL184" i="1"/>
  <c r="AO176" i="1" l="1"/>
  <c r="AK180" i="1"/>
  <c r="AJ181" i="1"/>
  <c r="BU175" i="1"/>
  <c r="BQ179" i="1"/>
  <c r="AM178" i="1"/>
  <c r="BR185" i="1"/>
  <c r="BP180" i="1"/>
  <c r="AP348" i="1"/>
  <c r="BS177" i="1"/>
  <c r="AN178" i="1"/>
  <c r="AL185" i="1"/>
  <c r="AK181" i="1" l="1"/>
  <c r="BV349" i="1"/>
  <c r="AP349" i="1"/>
  <c r="AM179" i="1"/>
  <c r="BP182" i="1"/>
  <c r="AJ182" i="1"/>
  <c r="BQ180" i="1"/>
  <c r="BS178" i="1"/>
  <c r="BP181" i="1"/>
  <c r="AO177" i="1"/>
  <c r="BV348" i="1"/>
  <c r="BR186" i="1"/>
  <c r="BT178" i="1"/>
  <c r="BU176" i="1"/>
  <c r="AN179" i="1"/>
  <c r="BT179" i="1" s="1"/>
  <c r="AL186" i="1"/>
  <c r="AM180" i="1" l="1"/>
  <c r="BU178" i="1"/>
  <c r="AO178" i="1"/>
  <c r="BS179" i="1"/>
  <c r="AK182" i="1"/>
  <c r="BQ182" i="1" s="1"/>
  <c r="BU177" i="1"/>
  <c r="AJ183" i="1"/>
  <c r="AP350" i="1"/>
  <c r="BQ181" i="1"/>
  <c r="AN180" i="1"/>
  <c r="AL187" i="1"/>
  <c r="AJ184" i="1" l="1"/>
  <c r="BP183" i="1"/>
  <c r="BR187" i="1"/>
  <c r="AP351" i="1"/>
  <c r="AM181" i="1"/>
  <c r="AK183" i="1"/>
  <c r="BV350" i="1"/>
  <c r="BT180" i="1"/>
  <c r="AO179" i="1"/>
  <c r="BU179" i="1" s="1"/>
  <c r="BS180" i="1"/>
  <c r="AN181" i="1"/>
  <c r="AL188" i="1"/>
  <c r="BR188" i="1" s="1"/>
  <c r="AP352" i="1" l="1"/>
  <c r="BQ184" i="1"/>
  <c r="AK184" i="1"/>
  <c r="BQ183" i="1"/>
  <c r="BV351" i="1"/>
  <c r="BR189" i="1"/>
  <c r="AM182" i="1"/>
  <c r="BT181" i="1"/>
  <c r="BP185" i="1"/>
  <c r="AJ185" i="1"/>
  <c r="AO180" i="1"/>
  <c r="BS181" i="1"/>
  <c r="BP184" i="1"/>
  <c r="AN182" i="1"/>
  <c r="AL189" i="1"/>
  <c r="AO181" i="1" l="1"/>
  <c r="BT182" i="1"/>
  <c r="BU180" i="1"/>
  <c r="AM183" i="1"/>
  <c r="BV353" i="1"/>
  <c r="AP353" i="1"/>
  <c r="AJ186" i="1"/>
  <c r="BP186" i="1" s="1"/>
  <c r="BS182" i="1"/>
  <c r="AK185" i="1"/>
  <c r="BV352" i="1"/>
  <c r="AN183" i="1"/>
  <c r="AL190" i="1"/>
  <c r="AK186" i="1" l="1"/>
  <c r="BQ186" i="1" s="1"/>
  <c r="BS184" i="1"/>
  <c r="AM184" i="1"/>
  <c r="AO182" i="1"/>
  <c r="BT184" i="1"/>
  <c r="BQ185" i="1"/>
  <c r="BR190" i="1"/>
  <c r="BS183" i="1"/>
  <c r="BU181" i="1"/>
  <c r="AJ187" i="1"/>
  <c r="AP354" i="1"/>
  <c r="BV354" i="1" s="1"/>
  <c r="BT183" i="1"/>
  <c r="AN184" i="1"/>
  <c r="AL191" i="1"/>
  <c r="AO183" i="1" l="1"/>
  <c r="AJ188" i="1"/>
  <c r="BP188" i="1" s="1"/>
  <c r="BU182" i="1"/>
  <c r="AP355" i="1"/>
  <c r="BT185" i="1"/>
  <c r="AK187" i="1"/>
  <c r="BP187" i="1"/>
  <c r="AM185" i="1"/>
  <c r="BR191" i="1"/>
  <c r="AN185" i="1"/>
  <c r="AL192" i="1"/>
  <c r="AP356" i="1" l="1"/>
  <c r="BQ188" i="1"/>
  <c r="AK188" i="1"/>
  <c r="AO184" i="1"/>
  <c r="BP189" i="1"/>
  <c r="AJ189" i="1"/>
  <c r="BR192" i="1"/>
  <c r="AM186" i="1"/>
  <c r="BS186" i="1" s="1"/>
  <c r="BV355" i="1"/>
  <c r="BS185" i="1"/>
  <c r="BQ187" i="1"/>
  <c r="BU183" i="1"/>
  <c r="AN186" i="1"/>
  <c r="AL193" i="1"/>
  <c r="AO185" i="1" l="1"/>
  <c r="BV357" i="1"/>
  <c r="AP357" i="1"/>
  <c r="BT186" i="1"/>
  <c r="BU184" i="1"/>
  <c r="BV356" i="1"/>
  <c r="AM187" i="1"/>
  <c r="BP190" i="1"/>
  <c r="AJ190" i="1"/>
  <c r="AK189" i="1"/>
  <c r="BQ189" i="1" s="1"/>
  <c r="BR193" i="1"/>
  <c r="AN187" i="1"/>
  <c r="AL194" i="1"/>
  <c r="AO186" i="1" l="1"/>
  <c r="BR194" i="1"/>
  <c r="AM188" i="1"/>
  <c r="BU185" i="1"/>
  <c r="AK190" i="1"/>
  <c r="AJ191" i="1"/>
  <c r="BP191" i="1" s="1"/>
  <c r="BS187" i="1"/>
  <c r="AP358" i="1"/>
  <c r="BV358" i="1" s="1"/>
  <c r="BT187" i="1"/>
  <c r="AN188" i="1"/>
  <c r="AL195" i="1"/>
  <c r="AM189" i="1" l="1"/>
  <c r="BU187" i="1"/>
  <c r="AO187" i="1"/>
  <c r="AJ192" i="1"/>
  <c r="BT189" i="1"/>
  <c r="AK191" i="1"/>
  <c r="BS188" i="1"/>
  <c r="BU186" i="1"/>
  <c r="AP359" i="1"/>
  <c r="BQ190" i="1"/>
  <c r="BT188" i="1"/>
  <c r="BR195" i="1"/>
  <c r="AN189" i="1"/>
  <c r="AL196" i="1"/>
  <c r="AJ193" i="1" l="1"/>
  <c r="AM190" i="1"/>
  <c r="AP360" i="1"/>
  <c r="AK192" i="1"/>
  <c r="BP192" i="1"/>
  <c r="BS189" i="1"/>
  <c r="BR197" i="1"/>
  <c r="BV359" i="1"/>
  <c r="BQ191" i="1"/>
  <c r="AO188" i="1"/>
  <c r="BU188" i="1" s="1"/>
  <c r="BR196" i="1"/>
  <c r="AN190" i="1"/>
  <c r="AL197" i="1"/>
  <c r="AK193" i="1" l="1"/>
  <c r="AM191" i="1"/>
  <c r="BT190" i="1"/>
  <c r="BQ192" i="1"/>
  <c r="BS190" i="1"/>
  <c r="AP361" i="1"/>
  <c r="AJ194" i="1"/>
  <c r="AO189" i="1"/>
  <c r="BR198" i="1"/>
  <c r="BV360" i="1"/>
  <c r="BP193" i="1"/>
  <c r="AN191" i="1"/>
  <c r="AL198" i="1"/>
  <c r="AM192" i="1" l="1"/>
  <c r="AJ195" i="1"/>
  <c r="BP194" i="1"/>
  <c r="BS191" i="1"/>
  <c r="BU190" i="1"/>
  <c r="AO190" i="1"/>
  <c r="AP362" i="1"/>
  <c r="BQ194" i="1"/>
  <c r="AK194" i="1"/>
  <c r="BU189" i="1"/>
  <c r="BV361" i="1"/>
  <c r="BT191" i="1"/>
  <c r="BQ193" i="1"/>
  <c r="AN192" i="1"/>
  <c r="AL199" i="1"/>
  <c r="AJ196" i="1" l="1"/>
  <c r="BV363" i="1"/>
  <c r="AP363" i="1"/>
  <c r="BT192" i="1"/>
  <c r="BP195" i="1"/>
  <c r="BV362" i="1"/>
  <c r="AM193" i="1"/>
  <c r="BR200" i="1"/>
  <c r="BR199" i="1"/>
  <c r="AK195" i="1"/>
  <c r="AO191" i="1"/>
  <c r="BS192" i="1"/>
  <c r="AN193" i="1"/>
  <c r="AL200" i="1"/>
  <c r="AO192" i="1" l="1"/>
  <c r="BU191" i="1"/>
  <c r="BP197" i="1"/>
  <c r="AJ197" i="1"/>
  <c r="AM194" i="1"/>
  <c r="BP196" i="1"/>
  <c r="AK196" i="1"/>
  <c r="BQ196" i="1" s="1"/>
  <c r="BR201" i="1"/>
  <c r="BQ195" i="1"/>
  <c r="BS193" i="1"/>
  <c r="AP364" i="1"/>
  <c r="BT193" i="1"/>
  <c r="AN194" i="1"/>
  <c r="AL201" i="1"/>
  <c r="AM195" i="1" l="1"/>
  <c r="BV365" i="1"/>
  <c r="AP365" i="1"/>
  <c r="BV364" i="1"/>
  <c r="BS194" i="1"/>
  <c r="BU193" i="1"/>
  <c r="AO193" i="1"/>
  <c r="AK197" i="1"/>
  <c r="BT194" i="1"/>
  <c r="AJ198" i="1"/>
  <c r="BP198" i="1" s="1"/>
  <c r="BU192" i="1"/>
  <c r="AN195" i="1"/>
  <c r="AL202" i="1"/>
  <c r="AM196" i="1" l="1"/>
  <c r="AK198" i="1"/>
  <c r="BQ197" i="1"/>
  <c r="BS195" i="1"/>
  <c r="BR202" i="1"/>
  <c r="AJ199" i="1"/>
  <c r="BU194" i="1"/>
  <c r="AO194" i="1"/>
  <c r="AP366" i="1"/>
  <c r="BV366" i="1" s="1"/>
  <c r="BT195" i="1"/>
  <c r="AN196" i="1"/>
  <c r="AL203" i="1"/>
  <c r="AK199" i="1" l="1"/>
  <c r="BQ198" i="1"/>
  <c r="BP200" i="1"/>
  <c r="AJ200" i="1"/>
  <c r="BP199" i="1"/>
  <c r="BS197" i="1"/>
  <c r="AM197" i="1"/>
  <c r="BR203" i="1"/>
  <c r="BV367" i="1"/>
  <c r="AP367" i="1"/>
  <c r="AO195" i="1"/>
  <c r="BU195" i="1" s="1"/>
  <c r="BT196" i="1"/>
  <c r="BS196" i="1"/>
  <c r="AN197" i="1"/>
  <c r="AL204" i="1"/>
  <c r="BR204" i="1" s="1"/>
  <c r="BT197" i="1" l="1"/>
  <c r="AK200" i="1"/>
  <c r="AO196" i="1"/>
  <c r="BV368" i="1"/>
  <c r="AP368" i="1"/>
  <c r="AM198" i="1"/>
  <c r="BP201" i="1"/>
  <c r="AJ201" i="1"/>
  <c r="BQ199" i="1"/>
  <c r="AN198" i="1"/>
  <c r="AL205" i="1"/>
  <c r="BR205" i="1" s="1"/>
  <c r="AK201" i="1" l="1"/>
  <c r="AM199" i="1"/>
  <c r="BQ200" i="1"/>
  <c r="BS198" i="1"/>
  <c r="BU197" i="1"/>
  <c r="AO197" i="1"/>
  <c r="AJ202" i="1"/>
  <c r="BP202" i="1" s="1"/>
  <c r="AP369" i="1"/>
  <c r="BU196" i="1"/>
  <c r="BT198" i="1"/>
  <c r="AN199" i="1"/>
  <c r="AL206" i="1"/>
  <c r="AM200" i="1" l="1"/>
  <c r="BR207" i="1"/>
  <c r="BS199" i="1"/>
  <c r="AP370" i="1"/>
  <c r="BT199" i="1"/>
  <c r="BR206" i="1"/>
  <c r="AK202" i="1"/>
  <c r="BP203" i="1"/>
  <c r="AJ203" i="1"/>
  <c r="BV369" i="1"/>
  <c r="AO198" i="1"/>
  <c r="BQ201" i="1"/>
  <c r="AN200" i="1"/>
  <c r="AL207" i="1"/>
  <c r="AP371" i="1" l="1"/>
  <c r="AO199" i="1"/>
  <c r="BU198" i="1"/>
  <c r="AK203" i="1"/>
  <c r="BQ202" i="1"/>
  <c r="BV370" i="1"/>
  <c r="AM201" i="1"/>
  <c r="AJ204" i="1"/>
  <c r="BT200" i="1"/>
  <c r="BS200" i="1"/>
  <c r="AN201" i="1"/>
  <c r="BT201" i="1" s="1"/>
  <c r="AL208" i="1"/>
  <c r="AO200" i="1" l="1"/>
  <c r="AJ205" i="1"/>
  <c r="AM202" i="1"/>
  <c r="AK204" i="1"/>
  <c r="BU199" i="1"/>
  <c r="BP204" i="1"/>
  <c r="BS201" i="1"/>
  <c r="BQ203" i="1"/>
  <c r="AP372" i="1"/>
  <c r="BR209" i="1"/>
  <c r="BR208" i="1"/>
  <c r="BV371" i="1"/>
  <c r="AN202" i="1"/>
  <c r="BT202" i="1" s="1"/>
  <c r="AL209" i="1"/>
  <c r="AK205" i="1" l="1"/>
  <c r="AJ206" i="1"/>
  <c r="BP205" i="1"/>
  <c r="AP373" i="1"/>
  <c r="BR210" i="1"/>
  <c r="BV372" i="1"/>
  <c r="AM203" i="1"/>
  <c r="BU201" i="1"/>
  <c r="AO201" i="1"/>
  <c r="BQ204" i="1"/>
  <c r="BS202" i="1"/>
  <c r="BU200" i="1"/>
  <c r="AN203" i="1"/>
  <c r="BT203" i="1" s="1"/>
  <c r="AL210" i="1"/>
  <c r="AJ207" i="1" l="1"/>
  <c r="AM204" i="1"/>
  <c r="BV374" i="1"/>
  <c r="AP374" i="1"/>
  <c r="BP206" i="1"/>
  <c r="BS203" i="1"/>
  <c r="BV373" i="1"/>
  <c r="AK206" i="1"/>
  <c r="BT204" i="1"/>
  <c r="AO202" i="1"/>
  <c r="BQ205" i="1"/>
  <c r="AN204" i="1"/>
  <c r="AL211" i="1"/>
  <c r="AM205" i="1" l="1"/>
  <c r="BU203" i="1"/>
  <c r="AO203" i="1"/>
  <c r="BS204" i="1"/>
  <c r="AK207" i="1"/>
  <c r="BQ207" i="1" s="1"/>
  <c r="BU202" i="1"/>
  <c r="BQ206" i="1"/>
  <c r="BV375" i="1"/>
  <c r="AP375" i="1"/>
  <c r="AJ208" i="1"/>
  <c r="BR211" i="1"/>
  <c r="BP207" i="1"/>
  <c r="AN205" i="1"/>
  <c r="AL212" i="1"/>
  <c r="BR212" i="1" s="1"/>
  <c r="AJ209" i="1" l="1"/>
  <c r="BQ208" i="1"/>
  <c r="AK208" i="1"/>
  <c r="AM206" i="1"/>
  <c r="BP208" i="1"/>
  <c r="AP376" i="1"/>
  <c r="BT205" i="1"/>
  <c r="AO204" i="1"/>
  <c r="BS205" i="1"/>
  <c r="AN206" i="1"/>
  <c r="AL213" i="1"/>
  <c r="AP377" i="1" l="1"/>
  <c r="AM207" i="1"/>
  <c r="AJ210" i="1"/>
  <c r="BV376" i="1"/>
  <c r="BP209" i="1"/>
  <c r="AO205" i="1"/>
  <c r="BS206" i="1"/>
  <c r="BU204" i="1"/>
  <c r="BR213" i="1"/>
  <c r="BQ209" i="1"/>
  <c r="AK209" i="1"/>
  <c r="BT206" i="1"/>
  <c r="AN207" i="1"/>
  <c r="AL214" i="1"/>
  <c r="AM208" i="1" l="1"/>
  <c r="BS207" i="1"/>
  <c r="AJ211" i="1"/>
  <c r="BV378" i="1"/>
  <c r="AP378" i="1"/>
  <c r="AO206" i="1"/>
  <c r="BU205" i="1"/>
  <c r="AK210" i="1"/>
  <c r="BT207" i="1"/>
  <c r="BR214" i="1"/>
  <c r="BP210" i="1"/>
  <c r="BV377" i="1"/>
  <c r="AN208" i="1"/>
  <c r="AL215" i="1"/>
  <c r="AO207" i="1" l="1"/>
  <c r="AJ212" i="1"/>
  <c r="AM209" i="1"/>
  <c r="BQ211" i="1"/>
  <c r="AK211" i="1"/>
  <c r="BU206" i="1"/>
  <c r="BP211" i="1"/>
  <c r="BS208" i="1"/>
  <c r="BQ210" i="1"/>
  <c r="BV379" i="1"/>
  <c r="AP379" i="1"/>
  <c r="BR215" i="1"/>
  <c r="BT208" i="1"/>
  <c r="AN209" i="1"/>
  <c r="AL216" i="1"/>
  <c r="AP380" i="1" l="1"/>
  <c r="BT209" i="1"/>
  <c r="AK212" i="1"/>
  <c r="AJ213" i="1"/>
  <c r="BP212" i="1"/>
  <c r="AM210" i="1"/>
  <c r="BS210" i="1" s="1"/>
  <c r="BU208" i="1"/>
  <c r="AO208" i="1"/>
  <c r="BR217" i="1"/>
  <c r="BR216" i="1"/>
  <c r="BS209" i="1"/>
  <c r="BU207" i="1"/>
  <c r="AN210" i="1"/>
  <c r="AL217" i="1"/>
  <c r="AJ214" i="1" l="1"/>
  <c r="BP213" i="1"/>
  <c r="BV381" i="1"/>
  <c r="AP381" i="1"/>
  <c r="AK213" i="1"/>
  <c r="BV380" i="1"/>
  <c r="AM211" i="1"/>
  <c r="BS211" i="1" s="1"/>
  <c r="AO209" i="1"/>
  <c r="BQ212" i="1"/>
  <c r="BT210" i="1"/>
  <c r="AN211" i="1"/>
  <c r="AL218" i="1"/>
  <c r="AK214" i="1" l="1"/>
  <c r="BR218" i="1"/>
  <c r="AO210" i="1"/>
  <c r="BQ213" i="1"/>
  <c r="BP215" i="1"/>
  <c r="AJ215" i="1"/>
  <c r="AM212" i="1"/>
  <c r="BT212" i="1"/>
  <c r="BU209" i="1"/>
  <c r="BT211" i="1"/>
  <c r="AP382" i="1"/>
  <c r="BP214" i="1"/>
  <c r="AN212" i="1"/>
  <c r="AL219" i="1"/>
  <c r="AP383" i="1" l="1"/>
  <c r="BV382" i="1"/>
  <c r="BS213" i="1"/>
  <c r="AM213" i="1"/>
  <c r="AK215" i="1"/>
  <c r="BS212" i="1"/>
  <c r="AO211" i="1"/>
  <c r="BQ214" i="1"/>
  <c r="BT213" i="1"/>
  <c r="AJ216" i="1"/>
  <c r="BP216" i="1" s="1"/>
  <c r="BU210" i="1"/>
  <c r="BR219" i="1"/>
  <c r="AN213" i="1"/>
  <c r="AL220" i="1"/>
  <c r="AK216" i="1" l="1"/>
  <c r="BU212" i="1"/>
  <c r="AO212" i="1"/>
  <c r="BQ215" i="1"/>
  <c r="AP384" i="1"/>
  <c r="AJ217" i="1"/>
  <c r="BR220" i="1"/>
  <c r="BU211" i="1"/>
  <c r="AM214" i="1"/>
  <c r="BV383" i="1"/>
  <c r="AN214" i="1"/>
  <c r="AL221" i="1"/>
  <c r="AP385" i="1" l="1"/>
  <c r="BS215" i="1"/>
  <c r="AM215" i="1"/>
  <c r="BV384" i="1"/>
  <c r="AK217" i="1"/>
  <c r="BR221" i="1"/>
  <c r="BS214" i="1"/>
  <c r="BP218" i="1"/>
  <c r="AJ218" i="1"/>
  <c r="BQ216" i="1"/>
  <c r="BP217" i="1"/>
  <c r="BU213" i="1"/>
  <c r="AO213" i="1"/>
  <c r="BT214" i="1"/>
  <c r="AN215" i="1"/>
  <c r="AL222" i="1"/>
  <c r="BR222" i="1" s="1"/>
  <c r="AK218" i="1" l="1"/>
  <c r="BT216" i="1"/>
  <c r="BQ217" i="1"/>
  <c r="BT215" i="1"/>
  <c r="AP386" i="1"/>
  <c r="BV386" i="1" s="1"/>
  <c r="BR223" i="1"/>
  <c r="AO214" i="1"/>
  <c r="AJ219" i="1"/>
  <c r="AM216" i="1"/>
  <c r="BV385" i="1"/>
  <c r="AN216" i="1"/>
  <c r="AL223" i="1"/>
  <c r="AJ220" i="1" l="1"/>
  <c r="BP219" i="1"/>
  <c r="BQ219" i="1"/>
  <c r="AK219" i="1"/>
  <c r="AP387" i="1"/>
  <c r="AM217" i="1"/>
  <c r="AO215" i="1"/>
  <c r="BS216" i="1"/>
  <c r="BU214" i="1"/>
  <c r="BQ218" i="1"/>
  <c r="AN217" i="1"/>
  <c r="AL224" i="1"/>
  <c r="BR224" i="1" s="1"/>
  <c r="BV388" i="1" l="1"/>
  <c r="AP388" i="1"/>
  <c r="BV387" i="1"/>
  <c r="AM218" i="1"/>
  <c r="BS218" i="1" s="1"/>
  <c r="AJ221" i="1"/>
  <c r="BU216" i="1"/>
  <c r="AO216" i="1"/>
  <c r="BU215" i="1"/>
  <c r="BT217" i="1"/>
  <c r="BS217" i="1"/>
  <c r="BQ220" i="1"/>
  <c r="AK220" i="1"/>
  <c r="BP220" i="1"/>
  <c r="AN218" i="1"/>
  <c r="BT218" i="1" s="1"/>
  <c r="AL225" i="1"/>
  <c r="BR225" i="1" s="1"/>
  <c r="AK221" i="1" l="1"/>
  <c r="BP222" i="1"/>
  <c r="AJ222" i="1"/>
  <c r="AO217" i="1"/>
  <c r="BP221" i="1"/>
  <c r="AP389" i="1"/>
  <c r="BR226" i="1"/>
  <c r="BS219" i="1"/>
  <c r="AM219" i="1"/>
  <c r="AN219" i="1"/>
  <c r="BT219" i="1" s="1"/>
  <c r="AL226" i="1"/>
  <c r="AO218" i="1" l="1"/>
  <c r="AP390" i="1"/>
  <c r="BU217" i="1"/>
  <c r="AK222" i="1"/>
  <c r="BQ222" i="1" s="1"/>
  <c r="BT220" i="1"/>
  <c r="AM220" i="1"/>
  <c r="BV389" i="1"/>
  <c r="AJ223" i="1"/>
  <c r="BQ221" i="1"/>
  <c r="AN220" i="1"/>
  <c r="AL227" i="1"/>
  <c r="AP391" i="1" l="1"/>
  <c r="BV390" i="1"/>
  <c r="BP224" i="1"/>
  <c r="AJ224" i="1"/>
  <c r="AO219" i="1"/>
  <c r="BR228" i="1"/>
  <c r="AM221" i="1"/>
  <c r="AK223" i="1"/>
  <c r="BQ223" i="1" s="1"/>
  <c r="BS220" i="1"/>
  <c r="BP223" i="1"/>
  <c r="BR227" i="1"/>
  <c r="BU218" i="1"/>
  <c r="AN221" i="1"/>
  <c r="AL228" i="1"/>
  <c r="AO220" i="1" l="1"/>
  <c r="BT221" i="1"/>
  <c r="AM222" i="1"/>
  <c r="BU219" i="1"/>
  <c r="BV392" i="1"/>
  <c r="AP392" i="1"/>
  <c r="AK224" i="1"/>
  <c r="BQ224" i="1" s="1"/>
  <c r="BS221" i="1"/>
  <c r="AJ225" i="1"/>
  <c r="BV391" i="1"/>
  <c r="AN222" i="1"/>
  <c r="AL229" i="1"/>
  <c r="BR229" i="1" s="1"/>
  <c r="AJ226" i="1" l="1"/>
  <c r="AO221" i="1"/>
  <c r="BP225" i="1"/>
  <c r="AM223" i="1"/>
  <c r="BU220" i="1"/>
  <c r="AK225" i="1"/>
  <c r="AP393" i="1"/>
  <c r="BS222" i="1"/>
  <c r="BT222" i="1"/>
  <c r="AN223" i="1"/>
  <c r="AL230" i="1"/>
  <c r="AK226" i="1" l="1"/>
  <c r="AM224" i="1"/>
  <c r="AO222" i="1"/>
  <c r="BQ225" i="1"/>
  <c r="BS223" i="1"/>
  <c r="BU221" i="1"/>
  <c r="BT224" i="1"/>
  <c r="BP227" i="1"/>
  <c r="AJ227" i="1"/>
  <c r="AP394" i="1"/>
  <c r="BR230" i="1"/>
  <c r="BV393" i="1"/>
  <c r="BT223" i="1"/>
  <c r="BP226" i="1"/>
  <c r="AN224" i="1"/>
  <c r="AL231" i="1"/>
  <c r="BR231" i="1" s="1"/>
  <c r="AM225" i="1" l="1"/>
  <c r="BS224" i="1"/>
  <c r="AK227" i="1"/>
  <c r="AP395" i="1"/>
  <c r="BV394" i="1"/>
  <c r="AO223" i="1"/>
  <c r="BT225" i="1"/>
  <c r="AJ228" i="1"/>
  <c r="BU222" i="1"/>
  <c r="BQ226" i="1"/>
  <c r="AN225" i="1"/>
  <c r="AL232" i="1"/>
  <c r="BR232" i="1" s="1"/>
  <c r="BV396" i="1" l="1"/>
  <c r="AP396" i="1"/>
  <c r="AO224" i="1"/>
  <c r="BV395" i="1"/>
  <c r="BU223" i="1"/>
  <c r="AK228" i="1"/>
  <c r="BS226" i="1"/>
  <c r="AM226" i="1"/>
  <c r="BP229" i="1"/>
  <c r="AJ229" i="1"/>
  <c r="BP228" i="1"/>
  <c r="BQ227" i="1"/>
  <c r="BS225" i="1"/>
  <c r="AN226" i="1"/>
  <c r="BT226" i="1" s="1"/>
  <c r="AL233" i="1"/>
  <c r="AK229" i="1" l="1"/>
  <c r="AO225" i="1"/>
  <c r="BR233" i="1"/>
  <c r="BQ228" i="1"/>
  <c r="BU224" i="1"/>
  <c r="AJ230" i="1"/>
  <c r="BP230" i="1" s="1"/>
  <c r="BS227" i="1"/>
  <c r="AM227" i="1"/>
  <c r="AP397" i="1"/>
  <c r="AN227" i="1"/>
  <c r="BT227" i="1" s="1"/>
  <c r="AL234" i="1"/>
  <c r="BU226" i="1" l="1"/>
  <c r="AO226" i="1"/>
  <c r="BU225" i="1"/>
  <c r="BV398" i="1"/>
  <c r="AP398" i="1"/>
  <c r="BV397" i="1"/>
  <c r="BQ230" i="1"/>
  <c r="AK230" i="1"/>
  <c r="AJ231" i="1"/>
  <c r="BT228" i="1"/>
  <c r="BS228" i="1"/>
  <c r="AM228" i="1"/>
  <c r="BR234" i="1"/>
  <c r="BQ229" i="1"/>
  <c r="AN228" i="1"/>
  <c r="AL235" i="1"/>
  <c r="BR235" i="1" l="1"/>
  <c r="AJ232" i="1"/>
  <c r="AM229" i="1"/>
  <c r="BS229" i="1" s="1"/>
  <c r="BP231" i="1"/>
  <c r="AP399" i="1"/>
  <c r="AO227" i="1"/>
  <c r="AK231" i="1"/>
  <c r="AN229" i="1"/>
  <c r="AL236" i="1"/>
  <c r="AJ233" i="1" l="1"/>
  <c r="BP232" i="1"/>
  <c r="AO228" i="1"/>
  <c r="BU227" i="1"/>
  <c r="BR237" i="1"/>
  <c r="AK232" i="1"/>
  <c r="AP400" i="1"/>
  <c r="AM230" i="1"/>
  <c r="BQ231" i="1"/>
  <c r="BV399" i="1"/>
  <c r="BT229" i="1"/>
  <c r="BR236" i="1"/>
  <c r="AN230" i="1"/>
  <c r="AL237" i="1"/>
  <c r="AP401" i="1" l="1"/>
  <c r="AJ234" i="1"/>
  <c r="AM231" i="1"/>
  <c r="BU229" i="1"/>
  <c r="AO229" i="1"/>
  <c r="BP233" i="1"/>
  <c r="BV400" i="1"/>
  <c r="AK233" i="1"/>
  <c r="BS230" i="1"/>
  <c r="BQ232" i="1"/>
  <c r="BU228" i="1"/>
  <c r="BT230" i="1"/>
  <c r="AN231" i="1"/>
  <c r="AL238" i="1"/>
  <c r="AJ235" i="1" l="1"/>
  <c r="BS232" i="1"/>
  <c r="AM232" i="1"/>
  <c r="BP234" i="1"/>
  <c r="BS231" i="1"/>
  <c r="AP402" i="1"/>
  <c r="BT231" i="1"/>
  <c r="BQ234" i="1"/>
  <c r="AK234" i="1"/>
  <c r="BQ233" i="1"/>
  <c r="AO230" i="1"/>
  <c r="BR238" i="1"/>
  <c r="BV401" i="1"/>
  <c r="AN232" i="1"/>
  <c r="AL239" i="1"/>
  <c r="BR239" i="1" s="1"/>
  <c r="AO231" i="1" l="1"/>
  <c r="BP236" i="1"/>
  <c r="AJ236" i="1"/>
  <c r="BU230" i="1"/>
  <c r="AP403" i="1"/>
  <c r="BV403" i="1" s="1"/>
  <c r="BP235" i="1"/>
  <c r="AK235" i="1"/>
  <c r="BV402" i="1"/>
  <c r="AM233" i="1"/>
  <c r="BT232" i="1"/>
  <c r="AN233" i="1"/>
  <c r="BT233" i="1" s="1"/>
  <c r="AL240" i="1"/>
  <c r="AK236" i="1" l="1"/>
  <c r="AM234" i="1"/>
  <c r="BQ235" i="1"/>
  <c r="BT234" i="1"/>
  <c r="BS233" i="1"/>
  <c r="BR240" i="1"/>
  <c r="AO232" i="1"/>
  <c r="BV404" i="1"/>
  <c r="AP404" i="1"/>
  <c r="AJ237" i="1"/>
  <c r="BU231" i="1"/>
  <c r="AN234" i="1"/>
  <c r="AL241" i="1"/>
  <c r="BR241" i="1" s="1"/>
  <c r="AM235" i="1" l="1"/>
  <c r="AJ238" i="1"/>
  <c r="AO233" i="1"/>
  <c r="BS234" i="1"/>
  <c r="BT235" i="1"/>
  <c r="BP237" i="1"/>
  <c r="BU232" i="1"/>
  <c r="AK237" i="1"/>
  <c r="AP405" i="1"/>
  <c r="BQ236" i="1"/>
  <c r="AN235" i="1"/>
  <c r="AL242" i="1"/>
  <c r="AK238" i="1" l="1"/>
  <c r="BP239" i="1"/>
  <c r="AJ239" i="1"/>
  <c r="AP406" i="1"/>
  <c r="BQ237" i="1"/>
  <c r="BP238" i="1"/>
  <c r="BV405" i="1"/>
  <c r="BU234" i="1"/>
  <c r="AO234" i="1"/>
  <c r="AM236" i="1"/>
  <c r="BR242" i="1"/>
  <c r="BU233" i="1"/>
  <c r="BS235" i="1"/>
  <c r="AN236" i="1"/>
  <c r="AL243" i="1"/>
  <c r="AP407" i="1" l="1"/>
  <c r="AK239" i="1"/>
  <c r="BQ239" i="1" s="1"/>
  <c r="AM237" i="1"/>
  <c r="BR244" i="1"/>
  <c r="BS236" i="1"/>
  <c r="BT236" i="1"/>
  <c r="BV406" i="1"/>
  <c r="BQ238" i="1"/>
  <c r="AO235" i="1"/>
  <c r="AJ240" i="1"/>
  <c r="BP240" i="1" s="1"/>
  <c r="BR243" i="1"/>
  <c r="AN237" i="1"/>
  <c r="AL244" i="1"/>
  <c r="AK240" i="1" l="1"/>
  <c r="BS238" i="1"/>
  <c r="AM238" i="1"/>
  <c r="AO236" i="1"/>
  <c r="BS237" i="1"/>
  <c r="AP408" i="1"/>
  <c r="AJ241" i="1"/>
  <c r="BP241" i="1" s="1"/>
  <c r="BU235" i="1"/>
  <c r="BT237" i="1"/>
  <c r="BV407" i="1"/>
  <c r="AN238" i="1"/>
  <c r="AL245" i="1"/>
  <c r="AO237" i="1" l="1"/>
  <c r="BQ241" i="1"/>
  <c r="AK241" i="1"/>
  <c r="AP409" i="1"/>
  <c r="BU236" i="1"/>
  <c r="BQ240" i="1"/>
  <c r="AJ242" i="1"/>
  <c r="BP242" i="1" s="1"/>
  <c r="BR245" i="1"/>
  <c r="BV408" i="1"/>
  <c r="AM239" i="1"/>
  <c r="BS239" i="1" s="1"/>
  <c r="BT238" i="1"/>
  <c r="AN239" i="1"/>
  <c r="BT239" i="1" s="1"/>
  <c r="AL246" i="1"/>
  <c r="AP410" i="1" l="1"/>
  <c r="BU238" i="1"/>
  <c r="AO238" i="1"/>
  <c r="BV409" i="1"/>
  <c r="BU237" i="1"/>
  <c r="BS240" i="1"/>
  <c r="AM240" i="1"/>
  <c r="AJ243" i="1"/>
  <c r="BP243" i="1" s="1"/>
  <c r="BR247" i="1"/>
  <c r="AK242" i="1"/>
  <c r="BR246" i="1"/>
  <c r="AN240" i="1"/>
  <c r="AL247" i="1"/>
  <c r="AP411" i="1" l="1"/>
  <c r="BQ243" i="1"/>
  <c r="AK243" i="1"/>
  <c r="BV410" i="1"/>
  <c r="AJ244" i="1"/>
  <c r="BQ242" i="1"/>
  <c r="AM241" i="1"/>
  <c r="BS241" i="1" s="1"/>
  <c r="AO239" i="1"/>
  <c r="BT240" i="1"/>
  <c r="AN241" i="1"/>
  <c r="AL248" i="1"/>
  <c r="AJ245" i="1" l="1"/>
  <c r="BP244" i="1"/>
  <c r="BR248" i="1"/>
  <c r="AM242" i="1"/>
  <c r="BU240" i="1"/>
  <c r="AO240" i="1"/>
  <c r="AP412" i="1"/>
  <c r="BT242" i="1"/>
  <c r="BU239" i="1"/>
  <c r="BT241" i="1"/>
  <c r="AK244" i="1"/>
  <c r="BQ244" i="1" s="1"/>
  <c r="BV411" i="1"/>
  <c r="AN242" i="1"/>
  <c r="AL249" i="1"/>
  <c r="BR249" i="1" s="1"/>
  <c r="BV413" i="1" l="1"/>
  <c r="AP413" i="1"/>
  <c r="AM243" i="1"/>
  <c r="BQ245" i="1"/>
  <c r="AK245" i="1"/>
  <c r="BV412" i="1"/>
  <c r="BS242" i="1"/>
  <c r="BP246" i="1"/>
  <c r="AJ246" i="1"/>
  <c r="BR250" i="1"/>
  <c r="BU241" i="1"/>
  <c r="AO241" i="1"/>
  <c r="BP245" i="1"/>
  <c r="AN243" i="1"/>
  <c r="AL250" i="1"/>
  <c r="AM244" i="1" l="1"/>
  <c r="BR251" i="1"/>
  <c r="BT243" i="1"/>
  <c r="BS243" i="1"/>
  <c r="AO242" i="1"/>
  <c r="AJ247" i="1"/>
  <c r="AK246" i="1"/>
  <c r="BV414" i="1"/>
  <c r="AP414" i="1"/>
  <c r="AN244" i="1"/>
  <c r="AL251" i="1"/>
  <c r="AO243" i="1" l="1"/>
  <c r="BU242" i="1"/>
  <c r="BS245" i="1"/>
  <c r="AM245" i="1"/>
  <c r="AK247" i="1"/>
  <c r="BQ246" i="1"/>
  <c r="AP415" i="1"/>
  <c r="BV415" i="1" s="1"/>
  <c r="BP248" i="1"/>
  <c r="AJ248" i="1"/>
  <c r="BS244" i="1"/>
  <c r="BP247" i="1"/>
  <c r="BT244" i="1"/>
  <c r="AN245" i="1"/>
  <c r="BT245" i="1" s="1"/>
  <c r="AL252" i="1"/>
  <c r="AK248" i="1" l="1"/>
  <c r="BT246" i="1"/>
  <c r="BQ247" i="1"/>
  <c r="AO244" i="1"/>
  <c r="AP416" i="1"/>
  <c r="AJ249" i="1"/>
  <c r="BR252" i="1"/>
  <c r="AM246" i="1"/>
  <c r="BU243" i="1"/>
  <c r="AN246" i="1"/>
  <c r="AL253" i="1"/>
  <c r="AJ250" i="1" l="1"/>
  <c r="BS247" i="1"/>
  <c r="AM247" i="1"/>
  <c r="BP249" i="1"/>
  <c r="AO245" i="1"/>
  <c r="AK249" i="1"/>
  <c r="AP417" i="1"/>
  <c r="BV416" i="1"/>
  <c r="BS246" i="1"/>
  <c r="BR253" i="1"/>
  <c r="BU244" i="1"/>
  <c r="BQ248" i="1"/>
  <c r="AN247" i="1"/>
  <c r="BT247" i="1" s="1"/>
  <c r="AL254" i="1"/>
  <c r="AO246" i="1" l="1"/>
  <c r="BU245" i="1"/>
  <c r="BP251" i="1"/>
  <c r="AJ251" i="1"/>
  <c r="AP418" i="1"/>
  <c r="BR255" i="1"/>
  <c r="AK250" i="1"/>
  <c r="BP250" i="1"/>
  <c r="BT248" i="1"/>
  <c r="BV417" i="1"/>
  <c r="BQ249" i="1"/>
  <c r="AM248" i="1"/>
  <c r="BS248" i="1" s="1"/>
  <c r="BR254" i="1"/>
  <c r="AN248" i="1"/>
  <c r="AL255" i="1"/>
  <c r="AP419" i="1" l="1"/>
  <c r="BQ251" i="1"/>
  <c r="AK251" i="1"/>
  <c r="BV418" i="1"/>
  <c r="AO247" i="1"/>
  <c r="BS249" i="1"/>
  <c r="AM249" i="1"/>
  <c r="BT249" i="1"/>
  <c r="BQ250" i="1"/>
  <c r="AJ252" i="1"/>
  <c r="BU246" i="1"/>
  <c r="AN249" i="1"/>
  <c r="AL256" i="1"/>
  <c r="BR256" i="1" s="1"/>
  <c r="AK252" i="1" l="1"/>
  <c r="BU248" i="1"/>
  <c r="AO248" i="1"/>
  <c r="AJ253" i="1"/>
  <c r="BP253" i="1" s="1"/>
  <c r="BU247" i="1"/>
  <c r="AP420" i="1"/>
  <c r="BT250" i="1"/>
  <c r="BP252" i="1"/>
  <c r="AM250" i="1"/>
  <c r="BV419" i="1"/>
  <c r="AN250" i="1"/>
  <c r="AL257" i="1"/>
  <c r="BR257" i="1" s="1"/>
  <c r="AM251" i="1" l="1"/>
  <c r="BV421" i="1"/>
  <c r="AP421" i="1"/>
  <c r="AK253" i="1"/>
  <c r="BP254" i="1"/>
  <c r="AJ254" i="1"/>
  <c r="BS250" i="1"/>
  <c r="BV420" i="1"/>
  <c r="AO249" i="1"/>
  <c r="BQ252" i="1"/>
  <c r="AN251" i="1"/>
  <c r="BT251" i="1" s="1"/>
  <c r="AL258" i="1"/>
  <c r="AK254" i="1" l="1"/>
  <c r="AM252" i="1"/>
  <c r="AO250" i="1"/>
  <c r="BQ253" i="1"/>
  <c r="BS251" i="1"/>
  <c r="BU249" i="1"/>
  <c r="BP255" i="1"/>
  <c r="AJ255" i="1"/>
  <c r="AP422" i="1"/>
  <c r="BR258" i="1"/>
  <c r="AN252" i="1"/>
  <c r="AL259" i="1"/>
  <c r="AM253" i="1" l="1"/>
  <c r="BV423" i="1"/>
  <c r="AP423" i="1"/>
  <c r="AO251" i="1"/>
  <c r="BS252" i="1"/>
  <c r="BV422" i="1"/>
  <c r="AK255" i="1"/>
  <c r="BT252" i="1"/>
  <c r="BU250" i="1"/>
  <c r="AJ256" i="1"/>
  <c r="BP256" i="1" s="1"/>
  <c r="BR259" i="1"/>
  <c r="BQ254" i="1"/>
  <c r="AN253" i="1"/>
  <c r="AL260" i="1"/>
  <c r="BR260" i="1" s="1"/>
  <c r="AK256" i="1" l="1"/>
  <c r="BU252" i="1"/>
  <c r="AO252" i="1"/>
  <c r="AJ257" i="1"/>
  <c r="BQ255" i="1"/>
  <c r="BU251" i="1"/>
  <c r="AM254" i="1"/>
  <c r="BT253" i="1"/>
  <c r="AP424" i="1"/>
  <c r="BS253" i="1"/>
  <c r="AN254" i="1"/>
  <c r="AL261" i="1"/>
  <c r="AP425" i="1" l="1"/>
  <c r="BS255" i="1"/>
  <c r="AM255" i="1"/>
  <c r="AJ258" i="1"/>
  <c r="BQ257" i="1"/>
  <c r="AK257" i="1"/>
  <c r="BV424" i="1"/>
  <c r="BP257" i="1"/>
  <c r="BQ256" i="1"/>
  <c r="BS254" i="1"/>
  <c r="BR261" i="1"/>
  <c r="BU253" i="1"/>
  <c r="AO253" i="1"/>
  <c r="BT254" i="1"/>
  <c r="AN255" i="1"/>
  <c r="AL262" i="1"/>
  <c r="AJ259" i="1" l="1"/>
  <c r="AP426" i="1"/>
  <c r="BV426" i="1" s="1"/>
  <c r="BV425" i="1"/>
  <c r="BT256" i="1"/>
  <c r="BP258" i="1"/>
  <c r="AO254" i="1"/>
  <c r="BT255" i="1"/>
  <c r="BQ258" i="1"/>
  <c r="AK258" i="1"/>
  <c r="AM256" i="1"/>
  <c r="BR262" i="1"/>
  <c r="AN256" i="1"/>
  <c r="AL263" i="1"/>
  <c r="BS257" i="1" l="1"/>
  <c r="AM257" i="1"/>
  <c r="AP427" i="1"/>
  <c r="BV427" i="1" s="1"/>
  <c r="BS256" i="1"/>
  <c r="AO255" i="1"/>
  <c r="BP260" i="1"/>
  <c r="AJ260" i="1"/>
  <c r="BQ259" i="1"/>
  <c r="AK259" i="1"/>
  <c r="BU254" i="1"/>
  <c r="BR263" i="1"/>
  <c r="BP259" i="1"/>
  <c r="AN257" i="1"/>
  <c r="AL264" i="1"/>
  <c r="AO256" i="1" l="1"/>
  <c r="BU255" i="1"/>
  <c r="BR265" i="1"/>
  <c r="AP428" i="1"/>
  <c r="BR264" i="1"/>
  <c r="BT258" i="1"/>
  <c r="AJ261" i="1"/>
  <c r="AM258" i="1"/>
  <c r="AK260" i="1"/>
  <c r="BT257" i="1"/>
  <c r="AN258" i="1"/>
  <c r="AL265" i="1"/>
  <c r="AJ262" i="1" l="1"/>
  <c r="AP429" i="1"/>
  <c r="BV429" i="1" s="1"/>
  <c r="AO257" i="1"/>
  <c r="AM259" i="1"/>
  <c r="BS258" i="1"/>
  <c r="AK261" i="1"/>
  <c r="BQ260" i="1"/>
  <c r="BP261" i="1"/>
  <c r="BV428" i="1"/>
  <c r="BU256" i="1"/>
  <c r="AN259" i="1"/>
  <c r="AL266" i="1"/>
  <c r="AM260" i="1" l="1"/>
  <c r="BU258" i="1"/>
  <c r="AO258" i="1"/>
  <c r="AJ263" i="1"/>
  <c r="BP263" i="1" s="1"/>
  <c r="BQ262" i="1"/>
  <c r="AK262" i="1"/>
  <c r="AP430" i="1"/>
  <c r="BQ261" i="1"/>
  <c r="BS259" i="1"/>
  <c r="BT259" i="1"/>
  <c r="BR266" i="1"/>
  <c r="BU257" i="1"/>
  <c r="BP262" i="1"/>
  <c r="AN260" i="1"/>
  <c r="AL267" i="1"/>
  <c r="AP431" i="1" l="1"/>
  <c r="AJ264" i="1"/>
  <c r="BT260" i="1"/>
  <c r="BR267" i="1"/>
  <c r="BV430" i="1"/>
  <c r="AM261" i="1"/>
  <c r="BQ263" i="1"/>
  <c r="AK263" i="1"/>
  <c r="AO259" i="1"/>
  <c r="BU259" i="1" s="1"/>
  <c r="BS260" i="1"/>
  <c r="AN261" i="1"/>
  <c r="AL268" i="1"/>
  <c r="BR268" i="1" s="1"/>
  <c r="AP432" i="1" l="1"/>
  <c r="AM262" i="1"/>
  <c r="BV431" i="1"/>
  <c r="AJ265" i="1"/>
  <c r="BP265" i="1" s="1"/>
  <c r="AO260" i="1"/>
  <c r="BT262" i="1"/>
  <c r="BS261" i="1"/>
  <c r="AK264" i="1"/>
  <c r="BP264" i="1"/>
  <c r="BT261" i="1"/>
  <c r="AN262" i="1"/>
  <c r="AL269" i="1"/>
  <c r="AM263" i="1" l="1"/>
  <c r="BS262" i="1"/>
  <c r="AO261" i="1"/>
  <c r="BV433" i="1"/>
  <c r="AP433" i="1"/>
  <c r="BR269" i="1"/>
  <c r="AJ266" i="1"/>
  <c r="AK265" i="1"/>
  <c r="BQ264" i="1"/>
  <c r="BU260" i="1"/>
  <c r="BV432" i="1"/>
  <c r="AN263" i="1"/>
  <c r="BT263" i="1" s="1"/>
  <c r="AL270" i="1"/>
  <c r="AJ267" i="1" l="1"/>
  <c r="AP434" i="1"/>
  <c r="BP266" i="1"/>
  <c r="AK266" i="1"/>
  <c r="AO262" i="1"/>
  <c r="AM264" i="1"/>
  <c r="BS264" i="1" s="1"/>
  <c r="BQ265" i="1"/>
  <c r="BR270" i="1"/>
  <c r="BU261" i="1"/>
  <c r="BS263" i="1"/>
  <c r="AN264" i="1"/>
  <c r="AL271" i="1"/>
  <c r="AK267" i="1" l="1"/>
  <c r="AP435" i="1"/>
  <c r="BQ266" i="1"/>
  <c r="BV434" i="1"/>
  <c r="BS265" i="1"/>
  <c r="AM265" i="1"/>
  <c r="AJ268" i="1"/>
  <c r="BU263" i="1"/>
  <c r="AO263" i="1"/>
  <c r="BR271" i="1"/>
  <c r="BU262" i="1"/>
  <c r="BT264" i="1"/>
  <c r="BP267" i="1"/>
  <c r="AN265" i="1"/>
  <c r="AL272" i="1"/>
  <c r="AP436" i="1" l="1"/>
  <c r="BP269" i="1"/>
  <c r="AJ269" i="1"/>
  <c r="BV435" i="1"/>
  <c r="BP268" i="1"/>
  <c r="BQ268" i="1"/>
  <c r="AK268" i="1"/>
  <c r="BR273" i="1"/>
  <c r="BR272" i="1"/>
  <c r="BU264" i="1"/>
  <c r="AO264" i="1"/>
  <c r="AM266" i="1"/>
  <c r="BT265" i="1"/>
  <c r="BQ267" i="1"/>
  <c r="AN266" i="1"/>
  <c r="BT266" i="1" s="1"/>
  <c r="AL273" i="1"/>
  <c r="AM267" i="1" l="1"/>
  <c r="BS266" i="1"/>
  <c r="AP437" i="1"/>
  <c r="BR274" i="1"/>
  <c r="BU265" i="1"/>
  <c r="AO265" i="1"/>
  <c r="AK269" i="1"/>
  <c r="BQ269" i="1" s="1"/>
  <c r="BP270" i="1"/>
  <c r="AJ270" i="1"/>
  <c r="BV436" i="1"/>
  <c r="AN267" i="1"/>
  <c r="AL274" i="1"/>
  <c r="BT267" i="1" l="1"/>
  <c r="BV438" i="1"/>
  <c r="AP438" i="1"/>
  <c r="AM268" i="1"/>
  <c r="BQ270" i="1"/>
  <c r="AK270" i="1"/>
  <c r="AJ271" i="1"/>
  <c r="BU266" i="1"/>
  <c r="AO266" i="1"/>
  <c r="BV437" i="1"/>
  <c r="BS267" i="1"/>
  <c r="AN268" i="1"/>
  <c r="AL275" i="1"/>
  <c r="BR275" i="1" s="1"/>
  <c r="AJ272" i="1" l="1"/>
  <c r="AM269" i="1"/>
  <c r="BS269" i="1" s="1"/>
  <c r="BP271" i="1"/>
  <c r="BS268" i="1"/>
  <c r="BT269" i="1"/>
  <c r="AO267" i="1"/>
  <c r="AK271" i="1"/>
  <c r="AP439" i="1"/>
  <c r="BT268" i="1"/>
  <c r="AN269" i="1"/>
  <c r="AL276" i="1"/>
  <c r="BR276" i="1" s="1"/>
  <c r="AK272" i="1" l="1"/>
  <c r="AM270" i="1"/>
  <c r="AP440" i="1"/>
  <c r="AO268" i="1"/>
  <c r="AJ273" i="1"/>
  <c r="BQ271" i="1"/>
  <c r="BV439" i="1"/>
  <c r="BU267" i="1"/>
  <c r="BP272" i="1"/>
  <c r="AN270" i="1"/>
  <c r="AL277" i="1"/>
  <c r="BR277" i="1" s="1"/>
  <c r="AO269" i="1" l="1"/>
  <c r="AM271" i="1"/>
  <c r="BU268" i="1"/>
  <c r="BS270" i="1"/>
  <c r="BP274" i="1"/>
  <c r="AJ274" i="1"/>
  <c r="AP441" i="1"/>
  <c r="BQ273" i="1"/>
  <c r="AK273" i="1"/>
  <c r="BT270" i="1"/>
  <c r="BP273" i="1"/>
  <c r="BV440" i="1"/>
  <c r="BQ272" i="1"/>
  <c r="AN271" i="1"/>
  <c r="AL278" i="1"/>
  <c r="BR278" i="1" s="1"/>
  <c r="BS272" i="1" l="1"/>
  <c r="AM272" i="1"/>
  <c r="AP442" i="1"/>
  <c r="BS271" i="1"/>
  <c r="BT271" i="1"/>
  <c r="BV441" i="1"/>
  <c r="AO270" i="1"/>
  <c r="AK274" i="1"/>
  <c r="AJ275" i="1"/>
  <c r="BU269" i="1"/>
  <c r="AN272" i="1"/>
  <c r="AL279" i="1"/>
  <c r="BR279" i="1" s="1"/>
  <c r="AK275" i="1" l="1"/>
  <c r="AP443" i="1"/>
  <c r="BV443" i="1" s="1"/>
  <c r="AJ276" i="1"/>
  <c r="BV442" i="1"/>
  <c r="BR280" i="1"/>
  <c r="BQ274" i="1"/>
  <c r="AO271" i="1"/>
  <c r="BT273" i="1"/>
  <c r="BP275" i="1"/>
  <c r="BU270" i="1"/>
  <c r="BT272" i="1"/>
  <c r="BS273" i="1"/>
  <c r="AM273" i="1"/>
  <c r="AN273" i="1"/>
  <c r="AL280" i="1"/>
  <c r="AO272" i="1" l="1"/>
  <c r="AP444" i="1"/>
  <c r="AJ277" i="1"/>
  <c r="AK276" i="1"/>
  <c r="BU271" i="1"/>
  <c r="BR281" i="1"/>
  <c r="BS274" i="1"/>
  <c r="AM274" i="1"/>
  <c r="BP276" i="1"/>
  <c r="BQ275" i="1"/>
  <c r="AN274" i="1"/>
  <c r="AL281" i="1"/>
  <c r="AK277" i="1" l="1"/>
  <c r="AP445" i="1"/>
  <c r="BQ276" i="1"/>
  <c r="AJ278" i="1"/>
  <c r="BP278" i="1" s="1"/>
  <c r="BU273" i="1"/>
  <c r="AO273" i="1"/>
  <c r="BV444" i="1"/>
  <c r="BT275" i="1"/>
  <c r="AM275" i="1"/>
  <c r="BT274" i="1"/>
  <c r="BP277" i="1"/>
  <c r="BU272" i="1"/>
  <c r="AN275" i="1"/>
  <c r="AL282" i="1"/>
  <c r="BR282" i="1" s="1"/>
  <c r="AP446" i="1" l="1"/>
  <c r="BT276" i="1"/>
  <c r="BV445" i="1"/>
  <c r="AM276" i="1"/>
  <c r="AK278" i="1"/>
  <c r="AJ279" i="1"/>
  <c r="BS275" i="1"/>
  <c r="AO274" i="1"/>
  <c r="BQ277" i="1"/>
  <c r="AN276" i="1"/>
  <c r="AL283" i="1"/>
  <c r="AK279" i="1" l="1"/>
  <c r="BR283" i="1"/>
  <c r="BQ278" i="1"/>
  <c r="AO275" i="1"/>
  <c r="BP280" i="1"/>
  <c r="AJ280" i="1"/>
  <c r="AM277" i="1"/>
  <c r="BV447" i="1"/>
  <c r="AP447" i="1"/>
  <c r="BU274" i="1"/>
  <c r="BP279" i="1"/>
  <c r="BS276" i="1"/>
  <c r="BV446" i="1"/>
  <c r="AN277" i="1"/>
  <c r="AL284" i="1"/>
  <c r="BR284" i="1" s="1"/>
  <c r="AM278" i="1" l="1"/>
  <c r="BU276" i="1"/>
  <c r="AO276" i="1"/>
  <c r="BT277" i="1"/>
  <c r="BS277" i="1"/>
  <c r="BU275" i="1"/>
  <c r="AK280" i="1"/>
  <c r="BV448" i="1"/>
  <c r="AP448" i="1"/>
  <c r="AJ281" i="1"/>
  <c r="BQ279" i="1"/>
  <c r="AN278" i="1"/>
  <c r="AL285" i="1"/>
  <c r="AM279" i="1" l="1"/>
  <c r="BP282" i="1"/>
  <c r="AJ282" i="1"/>
  <c r="AK281" i="1"/>
  <c r="BT279" i="1"/>
  <c r="BP281" i="1"/>
  <c r="BQ280" i="1"/>
  <c r="BR285" i="1"/>
  <c r="BS278" i="1"/>
  <c r="AP449" i="1"/>
  <c r="AO277" i="1"/>
  <c r="BT278" i="1"/>
  <c r="AN279" i="1"/>
  <c r="AL286" i="1"/>
  <c r="AO278" i="1" l="1"/>
  <c r="BQ282" i="1"/>
  <c r="AK282" i="1"/>
  <c r="AM280" i="1"/>
  <c r="BU277" i="1"/>
  <c r="AP450" i="1"/>
  <c r="BQ281" i="1"/>
  <c r="BS279" i="1"/>
  <c r="BV449" i="1"/>
  <c r="AJ283" i="1"/>
  <c r="BR286" i="1"/>
  <c r="AN280" i="1"/>
  <c r="AL287" i="1"/>
  <c r="AM281" i="1" l="1"/>
  <c r="BT280" i="1"/>
  <c r="BV451" i="1"/>
  <c r="AP451" i="1"/>
  <c r="BS280" i="1"/>
  <c r="AO279" i="1"/>
  <c r="BU279" i="1" s="1"/>
  <c r="AJ284" i="1"/>
  <c r="BP283" i="1"/>
  <c r="BR288" i="1"/>
  <c r="BR287" i="1"/>
  <c r="BV450" i="1"/>
  <c r="AK283" i="1"/>
  <c r="BQ283" i="1" s="1"/>
  <c r="BU278" i="1"/>
  <c r="AN281" i="1"/>
  <c r="AL288" i="1"/>
  <c r="AJ285" i="1" l="1"/>
  <c r="AM282" i="1"/>
  <c r="BP284" i="1"/>
  <c r="BV452" i="1"/>
  <c r="AP452" i="1"/>
  <c r="BS281" i="1"/>
  <c r="AK284" i="1"/>
  <c r="AO280" i="1"/>
  <c r="BT281" i="1"/>
  <c r="AN282" i="1"/>
  <c r="AL289" i="1"/>
  <c r="BR289" i="1" s="1"/>
  <c r="AM283" i="1" l="1"/>
  <c r="BS282" i="1"/>
  <c r="BQ285" i="1"/>
  <c r="AK285" i="1"/>
  <c r="AO281" i="1"/>
  <c r="BP286" i="1"/>
  <c r="AJ286" i="1"/>
  <c r="BQ284" i="1"/>
  <c r="BT283" i="1"/>
  <c r="BU280" i="1"/>
  <c r="AP453" i="1"/>
  <c r="BT282" i="1"/>
  <c r="BP285" i="1"/>
  <c r="AN283" i="1"/>
  <c r="AL290" i="1"/>
  <c r="BR290" i="1" s="1"/>
  <c r="AP454" i="1" l="1"/>
  <c r="AO282" i="1"/>
  <c r="BV453" i="1"/>
  <c r="BU281" i="1"/>
  <c r="AM284" i="1"/>
  <c r="AJ287" i="1"/>
  <c r="AK286" i="1"/>
  <c r="BS283" i="1"/>
  <c r="AN284" i="1"/>
  <c r="AL291" i="1"/>
  <c r="AM285" i="1" l="1"/>
  <c r="AO283" i="1"/>
  <c r="BU283" i="1" s="1"/>
  <c r="BS284" i="1"/>
  <c r="BU282" i="1"/>
  <c r="BV455" i="1"/>
  <c r="AP455" i="1"/>
  <c r="AJ288" i="1"/>
  <c r="BP287" i="1"/>
  <c r="AK287" i="1"/>
  <c r="BR291" i="1"/>
  <c r="BT285" i="1"/>
  <c r="BQ286" i="1"/>
  <c r="BT284" i="1"/>
  <c r="BV454" i="1"/>
  <c r="AN285" i="1"/>
  <c r="AL292" i="1"/>
  <c r="AJ289" i="1" l="1"/>
  <c r="AO284" i="1"/>
  <c r="AK288" i="1"/>
  <c r="BP288" i="1"/>
  <c r="AM286" i="1"/>
  <c r="BT286" i="1"/>
  <c r="BQ287" i="1"/>
  <c r="AP456" i="1"/>
  <c r="BR292" i="1"/>
  <c r="BS285" i="1"/>
  <c r="AN286" i="1"/>
  <c r="AL293" i="1"/>
  <c r="AO285" i="1" l="1"/>
  <c r="AK289" i="1"/>
  <c r="BU284" i="1"/>
  <c r="BV457" i="1"/>
  <c r="AP457" i="1"/>
  <c r="AM287" i="1"/>
  <c r="BQ288" i="1"/>
  <c r="AJ290" i="1"/>
  <c r="BV456" i="1"/>
  <c r="BS286" i="1"/>
  <c r="BR293" i="1"/>
  <c r="BP289" i="1"/>
  <c r="AN287" i="1"/>
  <c r="BT287" i="1" s="1"/>
  <c r="AL294" i="1"/>
  <c r="AK290" i="1" l="1"/>
  <c r="AM288" i="1"/>
  <c r="BQ289" i="1"/>
  <c r="BR295" i="1"/>
  <c r="AJ291" i="1"/>
  <c r="BS287" i="1"/>
  <c r="BR294" i="1"/>
  <c r="AO286" i="1"/>
  <c r="BU286" i="1" s="1"/>
  <c r="BP290" i="1"/>
  <c r="AP458" i="1"/>
  <c r="BU285" i="1"/>
  <c r="AN288" i="1"/>
  <c r="AL295" i="1"/>
  <c r="AP459" i="1" l="1"/>
  <c r="AJ292" i="1"/>
  <c r="BP292" i="1" s="1"/>
  <c r="AM289" i="1"/>
  <c r="BV458" i="1"/>
  <c r="BP291" i="1"/>
  <c r="BS288" i="1"/>
  <c r="AK291" i="1"/>
  <c r="AO287" i="1"/>
  <c r="BR296" i="1"/>
  <c r="BT288" i="1"/>
  <c r="BQ290" i="1"/>
  <c r="AN289" i="1"/>
  <c r="AL296" i="1"/>
  <c r="BT289" i="1" l="1"/>
  <c r="AO288" i="1"/>
  <c r="AM290" i="1"/>
  <c r="AP460" i="1"/>
  <c r="BV460" i="1" s="1"/>
  <c r="AK292" i="1"/>
  <c r="AJ293" i="1"/>
  <c r="BQ291" i="1"/>
  <c r="BU287" i="1"/>
  <c r="BS289" i="1"/>
  <c r="BV459" i="1"/>
  <c r="AN290" i="1"/>
  <c r="AL297" i="1"/>
  <c r="BR297" i="1" s="1"/>
  <c r="AJ294" i="1" l="1"/>
  <c r="AO289" i="1"/>
  <c r="AK293" i="1"/>
  <c r="AM291" i="1"/>
  <c r="AP461" i="1"/>
  <c r="BP293" i="1"/>
  <c r="BU288" i="1"/>
  <c r="BQ292" i="1"/>
  <c r="BS290" i="1"/>
  <c r="BT290" i="1"/>
  <c r="AN291" i="1"/>
  <c r="AL298" i="1"/>
  <c r="BR298" i="1" s="1"/>
  <c r="AO290" i="1" l="1"/>
  <c r="BT291" i="1"/>
  <c r="AP462" i="1"/>
  <c r="AK294" i="1"/>
  <c r="BQ294" i="1" s="1"/>
  <c r="AJ295" i="1"/>
  <c r="AM292" i="1"/>
  <c r="BS291" i="1"/>
  <c r="BU289" i="1"/>
  <c r="BR299" i="1"/>
  <c r="BV461" i="1"/>
  <c r="BQ293" i="1"/>
  <c r="BP294" i="1"/>
  <c r="AN292" i="1"/>
  <c r="AL299" i="1"/>
  <c r="AM293" i="1" l="1"/>
  <c r="BU291" i="1"/>
  <c r="AO291" i="1"/>
  <c r="AJ296" i="1"/>
  <c r="BU290" i="1"/>
  <c r="AK295" i="1"/>
  <c r="BS292" i="1"/>
  <c r="BR300" i="1"/>
  <c r="AP463" i="1"/>
  <c r="BP295" i="1"/>
  <c r="BV462" i="1"/>
  <c r="BT292" i="1"/>
  <c r="AN293" i="1"/>
  <c r="AL300" i="1"/>
  <c r="AJ297" i="1" l="1"/>
  <c r="BS294" i="1"/>
  <c r="AM294" i="1"/>
  <c r="AP464" i="1"/>
  <c r="BQ296" i="1"/>
  <c r="AK296" i="1"/>
  <c r="BP296" i="1"/>
  <c r="BS293" i="1"/>
  <c r="BR301" i="1"/>
  <c r="BV463" i="1"/>
  <c r="BQ295" i="1"/>
  <c r="AO292" i="1"/>
  <c r="BT293" i="1"/>
  <c r="AN294" i="1"/>
  <c r="AL301" i="1"/>
  <c r="AP465" i="1" l="1"/>
  <c r="AJ298" i="1"/>
  <c r="AO293" i="1"/>
  <c r="BU292" i="1"/>
  <c r="BV464" i="1"/>
  <c r="BP297" i="1"/>
  <c r="BQ297" i="1"/>
  <c r="AK297" i="1"/>
  <c r="AM295" i="1"/>
  <c r="BS295" i="1" s="1"/>
  <c r="BT294" i="1"/>
  <c r="AN295" i="1"/>
  <c r="AL302" i="1"/>
  <c r="AJ299" i="1" l="1"/>
  <c r="BP298" i="1"/>
  <c r="BR302" i="1"/>
  <c r="BT295" i="1"/>
  <c r="BU294" i="1"/>
  <c r="AO294" i="1"/>
  <c r="AP466" i="1"/>
  <c r="BS296" i="1"/>
  <c r="AM296" i="1"/>
  <c r="AK298" i="1"/>
  <c r="BQ298" i="1" s="1"/>
  <c r="BU293" i="1"/>
  <c r="BV465" i="1"/>
  <c r="AN296" i="1"/>
  <c r="AL303" i="1"/>
  <c r="BR303" i="1" s="1"/>
  <c r="AP467" i="1" l="1"/>
  <c r="BV466" i="1"/>
  <c r="BT296" i="1"/>
  <c r="AJ300" i="1"/>
  <c r="BQ299" i="1"/>
  <c r="AK299" i="1"/>
  <c r="AM297" i="1"/>
  <c r="AO295" i="1"/>
  <c r="BP299" i="1"/>
  <c r="AN297" i="1"/>
  <c r="AL304" i="1"/>
  <c r="AM298" i="1" l="1"/>
  <c r="BP301" i="1"/>
  <c r="AJ301" i="1"/>
  <c r="AP468" i="1"/>
  <c r="BP300" i="1"/>
  <c r="BV467" i="1"/>
  <c r="BS297" i="1"/>
  <c r="AO296" i="1"/>
  <c r="BR304" i="1"/>
  <c r="BU295" i="1"/>
  <c r="BQ300" i="1"/>
  <c r="AK300" i="1"/>
  <c r="BT297" i="1"/>
  <c r="AN298" i="1"/>
  <c r="AL305" i="1"/>
  <c r="BR305" i="1" s="1"/>
  <c r="AO297" i="1" l="1"/>
  <c r="BU296" i="1"/>
  <c r="AP469" i="1"/>
  <c r="BT298" i="1"/>
  <c r="BV468" i="1"/>
  <c r="AM299" i="1"/>
  <c r="BQ301" i="1"/>
  <c r="AK301" i="1"/>
  <c r="AJ302" i="1"/>
  <c r="BS298" i="1"/>
  <c r="AN299" i="1"/>
  <c r="BT299" i="1" s="1"/>
  <c r="AL306" i="1"/>
  <c r="BR306" i="1" s="1"/>
  <c r="AJ303" i="1" l="1"/>
  <c r="BP302" i="1"/>
  <c r="BS300" i="1"/>
  <c r="AM300" i="1"/>
  <c r="AP470" i="1"/>
  <c r="BU298" i="1"/>
  <c r="AO298" i="1"/>
  <c r="BT300" i="1"/>
  <c r="BQ302" i="1"/>
  <c r="AK302" i="1"/>
  <c r="BS299" i="1"/>
  <c r="BV469" i="1"/>
  <c r="BU297" i="1"/>
  <c r="AN300" i="1"/>
  <c r="AL307" i="1"/>
  <c r="AP471" i="1" l="1"/>
  <c r="BT301" i="1"/>
  <c r="BR307" i="1"/>
  <c r="BV470" i="1"/>
  <c r="AJ304" i="1"/>
  <c r="AK303" i="1"/>
  <c r="AO299" i="1"/>
  <c r="AM301" i="1"/>
  <c r="BP303" i="1"/>
  <c r="AN301" i="1"/>
  <c r="AL308" i="1"/>
  <c r="AJ305" i="1" l="1"/>
  <c r="AO300" i="1"/>
  <c r="BU299" i="1"/>
  <c r="BP304" i="1"/>
  <c r="AP472" i="1"/>
  <c r="AM302" i="1"/>
  <c r="BQ304" i="1"/>
  <c r="AK304" i="1"/>
  <c r="BV471" i="1"/>
  <c r="BS301" i="1"/>
  <c r="BQ303" i="1"/>
  <c r="BR308" i="1"/>
  <c r="AN302" i="1"/>
  <c r="BT302" i="1" s="1"/>
  <c r="AL309" i="1"/>
  <c r="AP473" i="1" l="1"/>
  <c r="AO301" i="1"/>
  <c r="AM303" i="1"/>
  <c r="BV472" i="1"/>
  <c r="BU300" i="1"/>
  <c r="BS302" i="1"/>
  <c r="AJ306" i="1"/>
  <c r="BP306" i="1" s="1"/>
  <c r="AK305" i="1"/>
  <c r="BR309" i="1"/>
  <c r="BP305" i="1"/>
  <c r="AN303" i="1"/>
  <c r="AL310" i="1"/>
  <c r="AO302" i="1" l="1"/>
  <c r="AK306" i="1"/>
  <c r="BU301" i="1"/>
  <c r="AJ307" i="1"/>
  <c r="BQ305" i="1"/>
  <c r="AM304" i="1"/>
  <c r="AP474" i="1"/>
  <c r="BR310" i="1"/>
  <c r="BT303" i="1"/>
  <c r="BS303" i="1"/>
  <c r="BV473" i="1"/>
  <c r="AN304" i="1"/>
  <c r="AL311" i="1"/>
  <c r="AP475" i="1" l="1"/>
  <c r="AK307" i="1"/>
  <c r="BQ307" i="1" s="1"/>
  <c r="BV474" i="1"/>
  <c r="AJ308" i="1"/>
  <c r="BQ306" i="1"/>
  <c r="BR311" i="1"/>
  <c r="BS305" i="1"/>
  <c r="AM305" i="1"/>
  <c r="BP307" i="1"/>
  <c r="AO303" i="1"/>
  <c r="BT304" i="1"/>
  <c r="BS304" i="1"/>
  <c r="BU302" i="1"/>
  <c r="AN305" i="1"/>
  <c r="AL312" i="1"/>
  <c r="AO304" i="1" l="1"/>
  <c r="AJ309" i="1"/>
  <c r="BP309" i="1" s="1"/>
  <c r="BU303" i="1"/>
  <c r="BP308" i="1"/>
  <c r="AK308" i="1"/>
  <c r="AP476" i="1"/>
  <c r="BR313" i="1"/>
  <c r="BR312" i="1"/>
  <c r="AM306" i="1"/>
  <c r="BT305" i="1"/>
  <c r="BV475" i="1"/>
  <c r="AN306" i="1"/>
  <c r="AL313" i="1"/>
  <c r="AM307" i="1" l="1"/>
  <c r="AK309" i="1"/>
  <c r="BQ308" i="1"/>
  <c r="BS306" i="1"/>
  <c r="BV477" i="1"/>
  <c r="AP477" i="1"/>
  <c r="AO305" i="1"/>
  <c r="BP310" i="1"/>
  <c r="AJ310" i="1"/>
  <c r="BT306" i="1"/>
  <c r="BV476" i="1"/>
  <c r="BU304" i="1"/>
  <c r="AN307" i="1"/>
  <c r="AL314" i="1"/>
  <c r="BR314" i="1" s="1"/>
  <c r="AO306" i="1" l="1"/>
  <c r="AK310" i="1"/>
  <c r="BQ309" i="1"/>
  <c r="BU305" i="1"/>
  <c r="AM308" i="1"/>
  <c r="AJ311" i="1"/>
  <c r="AP478" i="1"/>
  <c r="BT307" i="1"/>
  <c r="BS307" i="1"/>
  <c r="AN308" i="1"/>
  <c r="AL315" i="1"/>
  <c r="AJ312" i="1" l="1"/>
  <c r="BS309" i="1"/>
  <c r="AM309" i="1"/>
  <c r="BS308" i="1"/>
  <c r="BT309" i="1"/>
  <c r="BR315" i="1"/>
  <c r="AO307" i="1"/>
  <c r="AK311" i="1"/>
  <c r="BP311" i="1"/>
  <c r="BQ310" i="1"/>
  <c r="AP479" i="1"/>
  <c r="BV479" i="1" s="1"/>
  <c r="BV478" i="1"/>
  <c r="BT308" i="1"/>
  <c r="BU306" i="1"/>
  <c r="AN309" i="1"/>
  <c r="AL316" i="1"/>
  <c r="AJ313" i="1" l="1"/>
  <c r="BP313" i="1" s="1"/>
  <c r="BQ312" i="1"/>
  <c r="AK312" i="1"/>
  <c r="AO308" i="1"/>
  <c r="BU308" i="1" s="1"/>
  <c r="BP312" i="1"/>
  <c r="AP480" i="1"/>
  <c r="BQ311" i="1"/>
  <c r="BT310" i="1"/>
  <c r="BU307" i="1"/>
  <c r="AM310" i="1"/>
  <c r="BS310" i="1" s="1"/>
  <c r="BR316" i="1"/>
  <c r="AN310" i="1"/>
  <c r="AL317" i="1"/>
  <c r="AP481" i="1" l="1"/>
  <c r="BV481" i="1" s="1"/>
  <c r="BR318" i="1"/>
  <c r="AM311" i="1"/>
  <c r="AO309" i="1"/>
  <c r="BU309" i="1" s="1"/>
  <c r="AJ314" i="1"/>
  <c r="BV480" i="1"/>
  <c r="BQ313" i="1"/>
  <c r="AK313" i="1"/>
  <c r="BR317" i="1"/>
  <c r="AN311" i="1"/>
  <c r="AL318" i="1"/>
  <c r="AO310" i="1" l="1"/>
  <c r="AP482" i="1"/>
  <c r="AJ315" i="1"/>
  <c r="AM312" i="1"/>
  <c r="AK314" i="1"/>
  <c r="BQ314" i="1" s="1"/>
  <c r="BP314" i="1"/>
  <c r="BS311" i="1"/>
  <c r="BT311" i="1"/>
  <c r="AN312" i="1"/>
  <c r="AL319" i="1"/>
  <c r="AO311" i="1" l="1"/>
  <c r="AJ316" i="1"/>
  <c r="BP315" i="1"/>
  <c r="BU310" i="1"/>
  <c r="BS313" i="1"/>
  <c r="AM313" i="1"/>
  <c r="AP483" i="1"/>
  <c r="BR319" i="1"/>
  <c r="AK315" i="1"/>
  <c r="BS312" i="1"/>
  <c r="BV482" i="1"/>
  <c r="BT312" i="1"/>
  <c r="AN313" i="1"/>
  <c r="BT313" i="1" s="1"/>
  <c r="AL320" i="1"/>
  <c r="BR320" i="1" s="1"/>
  <c r="AJ317" i="1" l="1"/>
  <c r="AP484" i="1"/>
  <c r="BP316" i="1"/>
  <c r="BV483" i="1"/>
  <c r="BU312" i="1"/>
  <c r="AO312" i="1"/>
  <c r="AK316" i="1"/>
  <c r="BQ315" i="1"/>
  <c r="AM314" i="1"/>
  <c r="BU311" i="1"/>
  <c r="AN314" i="1"/>
  <c r="AL321" i="1"/>
  <c r="AK317" i="1" l="1"/>
  <c r="AP485" i="1"/>
  <c r="AM315" i="1"/>
  <c r="BV484" i="1"/>
  <c r="BS314" i="1"/>
  <c r="BR321" i="1"/>
  <c r="BT314" i="1"/>
  <c r="AJ318" i="1"/>
  <c r="BQ316" i="1"/>
  <c r="BU313" i="1"/>
  <c r="AO313" i="1"/>
  <c r="BP317" i="1"/>
  <c r="AN315" i="1"/>
  <c r="AL322" i="1"/>
  <c r="AP486" i="1" l="1"/>
  <c r="BS316" i="1"/>
  <c r="AM316" i="1"/>
  <c r="BV485" i="1"/>
  <c r="AJ319" i="1"/>
  <c r="BS315" i="1"/>
  <c r="AK318" i="1"/>
  <c r="BR323" i="1"/>
  <c r="AO314" i="1"/>
  <c r="BP318" i="1"/>
  <c r="BT315" i="1"/>
  <c r="BR322" i="1"/>
  <c r="BQ317" i="1"/>
  <c r="AN316" i="1"/>
  <c r="AL323" i="1"/>
  <c r="AJ320" i="1" l="1"/>
  <c r="AK319" i="1"/>
  <c r="BP319" i="1"/>
  <c r="AP487" i="1"/>
  <c r="AO315" i="1"/>
  <c r="BQ318" i="1"/>
  <c r="BV486" i="1"/>
  <c r="BU314" i="1"/>
  <c r="AM317" i="1"/>
  <c r="BS317" i="1" s="1"/>
  <c r="BT316" i="1"/>
  <c r="AN317" i="1"/>
  <c r="BT317" i="1" s="1"/>
  <c r="AL324" i="1"/>
  <c r="AK320" i="1" l="1"/>
  <c r="BU316" i="1"/>
  <c r="AO316" i="1"/>
  <c r="AP488" i="1"/>
  <c r="BQ319" i="1"/>
  <c r="BU315" i="1"/>
  <c r="BV487" i="1"/>
  <c r="AJ321" i="1"/>
  <c r="AM318" i="1"/>
  <c r="BR325" i="1"/>
  <c r="BR324" i="1"/>
  <c r="BP320" i="1"/>
  <c r="AN318" i="1"/>
  <c r="AL325" i="1"/>
  <c r="AP489" i="1" l="1"/>
  <c r="AJ322" i="1"/>
  <c r="AM319" i="1"/>
  <c r="BV488" i="1"/>
  <c r="BQ321" i="1"/>
  <c r="AK321" i="1"/>
  <c r="BP321" i="1"/>
  <c r="BT318" i="1"/>
  <c r="BS318" i="1"/>
  <c r="AO317" i="1"/>
  <c r="BQ320" i="1"/>
  <c r="AN319" i="1"/>
  <c r="BT319" i="1" s="1"/>
  <c r="AL326" i="1"/>
  <c r="AO318" i="1" l="1"/>
  <c r="AJ323" i="1"/>
  <c r="BU317" i="1"/>
  <c r="BP322" i="1"/>
  <c r="AP490" i="1"/>
  <c r="AM320" i="1"/>
  <c r="BR327" i="1"/>
  <c r="BR326" i="1"/>
  <c r="AK322" i="1"/>
  <c r="BS319" i="1"/>
  <c r="BV489" i="1"/>
  <c r="AN320" i="1"/>
  <c r="AL327" i="1"/>
  <c r="AP491" i="1" l="1"/>
  <c r="AJ324" i="1"/>
  <c r="AK323" i="1"/>
  <c r="BQ323" i="1" s="1"/>
  <c r="BS321" i="1"/>
  <c r="AM321" i="1"/>
  <c r="BV490" i="1"/>
  <c r="BP323" i="1"/>
  <c r="BQ322" i="1"/>
  <c r="BS320" i="1"/>
  <c r="AO319" i="1"/>
  <c r="BR328" i="1"/>
  <c r="BT320" i="1"/>
  <c r="BU318" i="1"/>
  <c r="AN321" i="1"/>
  <c r="AL328" i="1"/>
  <c r="AO320" i="1" l="1"/>
  <c r="BT322" i="1"/>
  <c r="AJ325" i="1"/>
  <c r="AK324" i="1"/>
  <c r="BQ324" i="1" s="1"/>
  <c r="BP324" i="1"/>
  <c r="BU319" i="1"/>
  <c r="AP492" i="1"/>
  <c r="AM322" i="1"/>
  <c r="BT321" i="1"/>
  <c r="BV491" i="1"/>
  <c r="AN322" i="1"/>
  <c r="AL329" i="1"/>
  <c r="AP493" i="1" l="1"/>
  <c r="BV493" i="1" s="1"/>
  <c r="BP326" i="1"/>
  <c r="AJ326" i="1"/>
  <c r="AO321" i="1"/>
  <c r="BQ325" i="1"/>
  <c r="AK325" i="1"/>
  <c r="BV492" i="1"/>
  <c r="BR329" i="1"/>
  <c r="BT323" i="1"/>
  <c r="AM323" i="1"/>
  <c r="BS322" i="1"/>
  <c r="BP325" i="1"/>
  <c r="BU320" i="1"/>
  <c r="AN323" i="1"/>
  <c r="AL330" i="1"/>
  <c r="AO322" i="1" l="1"/>
  <c r="AM324" i="1"/>
  <c r="AP494" i="1"/>
  <c r="BU321" i="1"/>
  <c r="BS323" i="1"/>
  <c r="AK326" i="1"/>
  <c r="AJ327" i="1"/>
  <c r="BR330" i="1"/>
  <c r="AN324" i="1"/>
  <c r="AL331" i="1"/>
  <c r="AK327" i="1" l="1"/>
  <c r="BV495" i="1"/>
  <c r="AP495" i="1"/>
  <c r="BV494" i="1"/>
  <c r="AM325" i="1"/>
  <c r="BQ326" i="1"/>
  <c r="BS324" i="1"/>
  <c r="AJ328" i="1"/>
  <c r="AO323" i="1"/>
  <c r="BT325" i="1"/>
  <c r="BP327" i="1"/>
  <c r="BR331" i="1"/>
  <c r="BT324" i="1"/>
  <c r="BU322" i="1"/>
  <c r="AN325" i="1"/>
  <c r="AL332" i="1"/>
  <c r="AJ329" i="1" l="1"/>
  <c r="AM326" i="1"/>
  <c r="BS325" i="1"/>
  <c r="AK328" i="1"/>
  <c r="BQ328" i="1" s="1"/>
  <c r="BP328" i="1"/>
  <c r="BR332" i="1"/>
  <c r="AO324" i="1"/>
  <c r="BU323" i="1"/>
  <c r="AP496" i="1"/>
  <c r="BV496" i="1" s="1"/>
  <c r="BQ327" i="1"/>
  <c r="AN326" i="1"/>
  <c r="AL333" i="1"/>
  <c r="AO325" i="1" l="1"/>
  <c r="AM327" i="1"/>
  <c r="BS326" i="1"/>
  <c r="AJ330" i="1"/>
  <c r="BV497" i="1"/>
  <c r="AP497" i="1"/>
  <c r="AK329" i="1"/>
  <c r="BT327" i="1"/>
  <c r="BU324" i="1"/>
  <c r="BR334" i="1"/>
  <c r="BT326" i="1"/>
  <c r="BR333" i="1"/>
  <c r="BP329" i="1"/>
  <c r="AN327" i="1"/>
  <c r="AL334" i="1"/>
  <c r="AM328" i="1" l="1"/>
  <c r="BT328" i="1"/>
  <c r="BQ330" i="1"/>
  <c r="AK330" i="1"/>
  <c r="AJ331" i="1"/>
  <c r="BS327" i="1"/>
  <c r="BQ329" i="1"/>
  <c r="BP330" i="1"/>
  <c r="AO326" i="1"/>
  <c r="AP498" i="1"/>
  <c r="BU325" i="1"/>
  <c r="AN328" i="1"/>
  <c r="AL335" i="1"/>
  <c r="BV499" i="1" l="1"/>
  <c r="AP499" i="1"/>
  <c r="AJ332" i="1"/>
  <c r="BV498" i="1"/>
  <c r="BP331" i="1"/>
  <c r="BS329" i="1"/>
  <c r="AM329" i="1"/>
  <c r="AO327" i="1"/>
  <c r="BU326" i="1"/>
  <c r="BR335" i="1"/>
  <c r="AK331" i="1"/>
  <c r="BQ331" i="1" s="1"/>
  <c r="BS328" i="1"/>
  <c r="AN329" i="1"/>
  <c r="AL336" i="1"/>
  <c r="BR336" i="1" s="1"/>
  <c r="AJ333" i="1" l="1"/>
  <c r="BP332" i="1"/>
  <c r="BV500" i="1"/>
  <c r="AP500" i="1"/>
  <c r="AK332" i="1"/>
  <c r="BU328" i="1"/>
  <c r="AO328" i="1"/>
  <c r="BT330" i="1"/>
  <c r="BU327" i="1"/>
  <c r="BR337" i="1"/>
  <c r="AM330" i="1"/>
  <c r="BT329" i="1"/>
  <c r="AN330" i="1"/>
  <c r="AL337" i="1"/>
  <c r="AM331" i="1" l="1"/>
  <c r="BQ333" i="1"/>
  <c r="AK333" i="1"/>
  <c r="BQ332" i="1"/>
  <c r="AJ334" i="1"/>
  <c r="BS330" i="1"/>
  <c r="AO329" i="1"/>
  <c r="BU329" i="1" s="1"/>
  <c r="AP501" i="1"/>
  <c r="BP333" i="1"/>
  <c r="AN331" i="1"/>
  <c r="AL338" i="1"/>
  <c r="BR338" i="1" l="1"/>
  <c r="AM332" i="1"/>
  <c r="AO330" i="1"/>
  <c r="AJ335" i="1"/>
  <c r="BP334" i="1"/>
  <c r="AP502" i="1"/>
  <c r="BV502" i="1" s="1"/>
  <c r="BT332" i="1"/>
  <c r="BV501" i="1"/>
  <c r="BT331" i="1"/>
  <c r="AK334" i="1"/>
  <c r="BS331" i="1"/>
  <c r="AN332" i="1"/>
  <c r="AL339" i="1"/>
  <c r="AK335" i="1" l="1"/>
  <c r="AJ336" i="1"/>
  <c r="BQ334" i="1"/>
  <c r="BP335" i="1"/>
  <c r="BS333" i="1"/>
  <c r="AM333" i="1"/>
  <c r="AP503" i="1"/>
  <c r="BV507" i="1" s="1"/>
  <c r="BS332" i="1"/>
  <c r="AO331" i="1"/>
  <c r="BR340" i="1"/>
  <c r="BU330" i="1"/>
  <c r="BR339" i="1"/>
  <c r="AN333" i="1"/>
  <c r="AL340" i="1"/>
  <c r="AJ337" i="1" l="1"/>
  <c r="BV503" i="1"/>
  <c r="BV506" i="1" s="1"/>
  <c r="BQ336" i="1"/>
  <c r="AK336" i="1"/>
  <c r="BT334" i="1"/>
  <c r="BP336" i="1"/>
  <c r="BU332" i="1"/>
  <c r="AO332" i="1"/>
  <c r="BU331" i="1"/>
  <c r="BS334" i="1"/>
  <c r="AM334" i="1"/>
  <c r="BT333" i="1"/>
  <c r="BQ335" i="1"/>
  <c r="AN334" i="1"/>
  <c r="AL341" i="1"/>
  <c r="BV508" i="1" l="1"/>
  <c r="BV509" i="1"/>
  <c r="BR341" i="1"/>
  <c r="AJ338" i="1"/>
  <c r="AM335" i="1"/>
  <c r="BS335" i="1" s="1"/>
  <c r="BU333" i="1"/>
  <c r="AO333" i="1"/>
  <c r="AK337" i="1"/>
  <c r="BP337" i="1"/>
  <c r="AN335" i="1"/>
  <c r="AL342" i="1"/>
  <c r="AJ339" i="1" l="1"/>
  <c r="AK338" i="1"/>
  <c r="BP338" i="1"/>
  <c r="BQ337" i="1"/>
  <c r="BR343" i="1"/>
  <c r="BS336" i="1"/>
  <c r="AM336" i="1"/>
  <c r="AO334" i="1"/>
  <c r="BU334" i="1" s="1"/>
  <c r="BT335" i="1"/>
  <c r="BR342" i="1"/>
  <c r="AN336" i="1"/>
  <c r="AL343" i="1"/>
  <c r="BR344" i="1" l="1"/>
  <c r="AO335" i="1"/>
  <c r="AK339" i="1"/>
  <c r="BQ338" i="1"/>
  <c r="BT336" i="1"/>
  <c r="AJ340" i="1"/>
  <c r="AM337" i="1"/>
  <c r="BS337" i="1" s="1"/>
  <c r="BP339" i="1"/>
  <c r="AN337" i="1"/>
  <c r="AL344" i="1"/>
  <c r="AM338" i="1" l="1"/>
  <c r="BU336" i="1"/>
  <c r="AO336" i="1"/>
  <c r="BU335" i="1"/>
  <c r="AJ341" i="1"/>
  <c r="AK340" i="1"/>
  <c r="BR345" i="1"/>
  <c r="BP340" i="1"/>
  <c r="BQ339" i="1"/>
  <c r="BT337" i="1"/>
  <c r="AN338" i="1"/>
  <c r="AL345" i="1"/>
  <c r="AJ342" i="1" l="1"/>
  <c r="BP342" i="1" s="1"/>
  <c r="BP341" i="1"/>
  <c r="AM339" i="1"/>
  <c r="BQ341" i="1"/>
  <c r="AK341" i="1"/>
  <c r="BS338" i="1"/>
  <c r="BQ340" i="1"/>
  <c r="BU337" i="1"/>
  <c r="AO337" i="1"/>
  <c r="BT338" i="1"/>
  <c r="AN339" i="1"/>
  <c r="AL346" i="1"/>
  <c r="AM340" i="1" l="1"/>
  <c r="BP343" i="1"/>
  <c r="AJ343" i="1"/>
  <c r="BR347" i="1"/>
  <c r="BS339" i="1"/>
  <c r="BR346" i="1"/>
  <c r="AO338" i="1"/>
  <c r="AK342" i="1"/>
  <c r="BT339" i="1"/>
  <c r="AN340" i="1"/>
  <c r="AL347" i="1"/>
  <c r="AK343" i="1" l="1"/>
  <c r="BQ342" i="1"/>
  <c r="BU339" i="1"/>
  <c r="AO339" i="1"/>
  <c r="AM341" i="1"/>
  <c r="BS340" i="1"/>
  <c r="BU338" i="1"/>
  <c r="BP344" i="1"/>
  <c r="AJ344" i="1"/>
  <c r="BT340" i="1"/>
  <c r="AN341" i="1"/>
  <c r="AL348" i="1"/>
  <c r="AM342" i="1" l="1"/>
  <c r="BR349" i="1"/>
  <c r="BR348" i="1"/>
  <c r="BS341" i="1"/>
  <c r="BT341" i="1"/>
  <c r="BQ344" i="1"/>
  <c r="AK344" i="1"/>
  <c r="AJ345" i="1"/>
  <c r="BU340" i="1"/>
  <c r="AO340" i="1"/>
  <c r="BQ343" i="1"/>
  <c r="AN342" i="1"/>
  <c r="AL349" i="1"/>
  <c r="AJ346" i="1" l="1"/>
  <c r="BR350" i="1"/>
  <c r="BP345" i="1"/>
  <c r="BS343" i="1"/>
  <c r="AM343" i="1"/>
  <c r="BU341" i="1"/>
  <c r="AO341" i="1"/>
  <c r="AK345" i="1"/>
  <c r="BT342" i="1"/>
  <c r="BS342" i="1"/>
  <c r="AN343" i="1"/>
  <c r="AL350" i="1"/>
  <c r="AK346" i="1" l="1"/>
  <c r="BQ346" i="1" s="1"/>
  <c r="BS344" i="1"/>
  <c r="AM344" i="1"/>
  <c r="AJ347" i="1"/>
  <c r="BQ345" i="1"/>
  <c r="BP346" i="1"/>
  <c r="BR351" i="1"/>
  <c r="AO342" i="1"/>
  <c r="BT343" i="1"/>
  <c r="AN344" i="1"/>
  <c r="AL351" i="1"/>
  <c r="AO343" i="1" l="1"/>
  <c r="BU342" i="1"/>
  <c r="BT345" i="1"/>
  <c r="AJ348" i="1"/>
  <c r="AK347" i="1"/>
  <c r="BP347" i="1"/>
  <c r="BR352" i="1"/>
  <c r="AM345" i="1"/>
  <c r="BS345" i="1" s="1"/>
  <c r="BT344" i="1"/>
  <c r="AN345" i="1"/>
  <c r="AL352" i="1"/>
  <c r="AO344" i="1" l="1"/>
  <c r="AM346" i="1"/>
  <c r="AK348" i="1"/>
  <c r="BQ347" i="1"/>
  <c r="AJ349" i="1"/>
  <c r="BR353" i="1"/>
  <c r="BP348" i="1"/>
  <c r="BU343" i="1"/>
  <c r="AN346" i="1"/>
  <c r="AL353" i="1"/>
  <c r="AJ350" i="1" l="1"/>
  <c r="AO345" i="1"/>
  <c r="AM347" i="1"/>
  <c r="BT347" i="1"/>
  <c r="BT346" i="1"/>
  <c r="BS346" i="1"/>
  <c r="AK349" i="1"/>
  <c r="BR354" i="1"/>
  <c r="BP349" i="1"/>
  <c r="BQ348" i="1"/>
  <c r="BU344" i="1"/>
  <c r="AN347" i="1"/>
  <c r="AL354" i="1"/>
  <c r="AO346" i="1" l="1"/>
  <c r="AK350" i="1"/>
  <c r="BQ350" i="1" s="1"/>
  <c r="BU345" i="1"/>
  <c r="AM348" i="1"/>
  <c r="BR355" i="1"/>
  <c r="BQ349" i="1"/>
  <c r="AJ351" i="1"/>
  <c r="BS347" i="1"/>
  <c r="BP350" i="1"/>
  <c r="AN348" i="1"/>
  <c r="AL355" i="1"/>
  <c r="AJ352" i="1" l="1"/>
  <c r="AO347" i="1"/>
  <c r="BT348" i="1"/>
  <c r="AK351" i="1"/>
  <c r="AM349" i="1"/>
  <c r="BR356" i="1"/>
  <c r="BP351" i="1"/>
  <c r="BS348" i="1"/>
  <c r="BU346" i="1"/>
  <c r="AN349" i="1"/>
  <c r="AL356" i="1"/>
  <c r="AK352" i="1" l="1"/>
  <c r="BU348" i="1"/>
  <c r="AO348" i="1"/>
  <c r="AM350" i="1"/>
  <c r="BQ351" i="1"/>
  <c r="BU347" i="1"/>
  <c r="AJ353" i="1"/>
  <c r="BS349" i="1"/>
  <c r="BT349" i="1"/>
  <c r="BP352" i="1"/>
  <c r="AN350" i="1"/>
  <c r="AL357" i="1"/>
  <c r="BR357" i="1" s="1"/>
  <c r="AK353" i="1" l="1"/>
  <c r="AJ354" i="1"/>
  <c r="BP354" i="1" s="1"/>
  <c r="AM351" i="1"/>
  <c r="BR358" i="1"/>
  <c r="BP353" i="1"/>
  <c r="BS350" i="1"/>
  <c r="BQ352" i="1"/>
  <c r="BU349" i="1"/>
  <c r="AO349" i="1"/>
  <c r="BT350" i="1"/>
  <c r="AN351" i="1"/>
  <c r="AL358" i="1"/>
  <c r="AJ355" i="1" l="1"/>
  <c r="BT351" i="1"/>
  <c r="AM352" i="1"/>
  <c r="BQ354" i="1"/>
  <c r="AK354" i="1"/>
  <c r="AO350" i="1"/>
  <c r="BS351" i="1"/>
  <c r="BQ353" i="1"/>
  <c r="AN352" i="1"/>
  <c r="AL359" i="1"/>
  <c r="AM353" i="1" l="1"/>
  <c r="BS352" i="1"/>
  <c r="BT353" i="1"/>
  <c r="AO351" i="1"/>
  <c r="AJ356" i="1"/>
  <c r="BU350" i="1"/>
  <c r="BP355" i="1"/>
  <c r="BQ355" i="1"/>
  <c r="AK355" i="1"/>
  <c r="BR359" i="1"/>
  <c r="BT352" i="1"/>
  <c r="AN353" i="1"/>
  <c r="AL360" i="1"/>
  <c r="AJ357" i="1" l="1"/>
  <c r="BR361" i="1"/>
  <c r="BR360" i="1"/>
  <c r="BP356" i="1"/>
  <c r="AO352" i="1"/>
  <c r="BS354" i="1"/>
  <c r="AM354" i="1"/>
  <c r="AK356" i="1"/>
  <c r="BU351" i="1"/>
  <c r="BS353" i="1"/>
  <c r="AN354" i="1"/>
  <c r="AL361" i="1"/>
  <c r="AK357" i="1" l="1"/>
  <c r="BQ356" i="1"/>
  <c r="AO353" i="1"/>
  <c r="BU352" i="1"/>
  <c r="BR362" i="1"/>
  <c r="BT354" i="1"/>
  <c r="AJ358" i="1"/>
  <c r="BS355" i="1"/>
  <c r="AM355" i="1"/>
  <c r="BP357" i="1"/>
  <c r="AN355" i="1"/>
  <c r="AL362" i="1"/>
  <c r="AJ359" i="1" l="1"/>
  <c r="BQ358" i="1"/>
  <c r="AK358" i="1"/>
  <c r="BP358" i="1"/>
  <c r="BU354" i="1"/>
  <c r="AO354" i="1"/>
  <c r="BQ357" i="1"/>
  <c r="AM356" i="1"/>
  <c r="BU353" i="1"/>
  <c r="BT355" i="1"/>
  <c r="AN356" i="1"/>
  <c r="AL363" i="1"/>
  <c r="AM357" i="1" l="1"/>
  <c r="BT356" i="1"/>
  <c r="BS356" i="1"/>
  <c r="BR363" i="1"/>
  <c r="BP360" i="1"/>
  <c r="AJ360" i="1"/>
  <c r="AO355" i="1"/>
  <c r="BQ359" i="1"/>
  <c r="AK359" i="1"/>
  <c r="BP359" i="1"/>
  <c r="AN357" i="1"/>
  <c r="AL364" i="1"/>
  <c r="AO356" i="1" l="1"/>
  <c r="BR365" i="1"/>
  <c r="BR364" i="1"/>
  <c r="AM358" i="1"/>
  <c r="BU355" i="1"/>
  <c r="BS357" i="1"/>
  <c r="AK360" i="1"/>
  <c r="BP361" i="1"/>
  <c r="AJ361" i="1"/>
  <c r="BT357" i="1"/>
  <c r="AN358" i="1"/>
  <c r="AL365" i="1"/>
  <c r="AK361" i="1" l="1"/>
  <c r="BS359" i="1"/>
  <c r="AM359" i="1"/>
  <c r="BQ360" i="1"/>
  <c r="BS358" i="1"/>
  <c r="AO357" i="1"/>
  <c r="AJ362" i="1"/>
  <c r="BP362" i="1" s="1"/>
  <c r="BT358" i="1"/>
  <c r="BU356" i="1"/>
  <c r="AN359" i="1"/>
  <c r="AL366" i="1"/>
  <c r="BR366" i="1" l="1"/>
  <c r="BP363" i="1"/>
  <c r="AJ363" i="1"/>
  <c r="AK362" i="1"/>
  <c r="BQ362" i="1" s="1"/>
  <c r="BU358" i="1"/>
  <c r="AO358" i="1"/>
  <c r="BQ361" i="1"/>
  <c r="BU357" i="1"/>
  <c r="BS360" i="1"/>
  <c r="AM360" i="1"/>
  <c r="BT359" i="1"/>
  <c r="AN360" i="1"/>
  <c r="AL367" i="1"/>
  <c r="BT360" i="1" l="1"/>
  <c r="AK363" i="1"/>
  <c r="AM361" i="1"/>
  <c r="BU359" i="1"/>
  <c r="AO359" i="1"/>
  <c r="AJ364" i="1"/>
  <c r="BR367" i="1"/>
  <c r="AN361" i="1"/>
  <c r="AL368" i="1"/>
  <c r="AK364" i="1" l="1"/>
  <c r="AJ365" i="1"/>
  <c r="AM362" i="1"/>
  <c r="BS362" i="1" s="1"/>
  <c r="BQ363" i="1"/>
  <c r="BP364" i="1"/>
  <c r="BS361" i="1"/>
  <c r="BU360" i="1"/>
  <c r="AO360" i="1"/>
  <c r="BR368" i="1"/>
  <c r="BT361" i="1"/>
  <c r="AN362" i="1"/>
  <c r="AL369" i="1"/>
  <c r="AJ366" i="1" l="1"/>
  <c r="BP365" i="1"/>
  <c r="BS363" i="1"/>
  <c r="AM363" i="1"/>
  <c r="BR369" i="1"/>
  <c r="BQ365" i="1"/>
  <c r="AK365" i="1"/>
  <c r="AO361" i="1"/>
  <c r="BT362" i="1"/>
  <c r="BQ364" i="1"/>
  <c r="AN363" i="1"/>
  <c r="BT363" i="1" s="1"/>
  <c r="AL370" i="1"/>
  <c r="AO362" i="1" l="1"/>
  <c r="BU361" i="1"/>
  <c r="BR370" i="1"/>
  <c r="AJ367" i="1"/>
  <c r="AK366" i="1"/>
  <c r="AM364" i="1"/>
  <c r="BP366" i="1"/>
  <c r="AN364" i="1"/>
  <c r="BT364" i="1" s="1"/>
  <c r="AL371" i="1"/>
  <c r="AJ368" i="1" l="1"/>
  <c r="AO363" i="1"/>
  <c r="BU363" i="1" s="1"/>
  <c r="BP367" i="1"/>
  <c r="AK367" i="1"/>
  <c r="BS365" i="1"/>
  <c r="AM365" i="1"/>
  <c r="BT365" i="1"/>
  <c r="BS364" i="1"/>
  <c r="BU362" i="1"/>
  <c r="BQ366" i="1"/>
  <c r="BR371" i="1"/>
  <c r="AN365" i="1"/>
  <c r="AL372" i="1"/>
  <c r="AO364" i="1" l="1"/>
  <c r="AJ369" i="1"/>
  <c r="AK368" i="1"/>
  <c r="BQ367" i="1"/>
  <c r="BR372" i="1"/>
  <c r="AM366" i="1"/>
  <c r="BP368" i="1"/>
  <c r="AN366" i="1"/>
  <c r="AL373" i="1"/>
  <c r="AM367" i="1" l="1"/>
  <c r="BT367" i="1"/>
  <c r="BQ369" i="1"/>
  <c r="AK369" i="1"/>
  <c r="BQ368" i="1"/>
  <c r="AO365" i="1"/>
  <c r="BU365" i="1" s="1"/>
  <c r="AJ370" i="1"/>
  <c r="BS366" i="1"/>
  <c r="BP369" i="1"/>
  <c r="BT366" i="1"/>
  <c r="BR373" i="1"/>
  <c r="BU364" i="1"/>
  <c r="AN367" i="1"/>
  <c r="AL374" i="1"/>
  <c r="AM368" i="1" l="1"/>
  <c r="BU366" i="1"/>
  <c r="AO366" i="1"/>
  <c r="AJ371" i="1"/>
  <c r="BR374" i="1"/>
  <c r="BP370" i="1"/>
  <c r="AK370" i="1"/>
  <c r="BS367" i="1"/>
  <c r="AN368" i="1"/>
  <c r="AL375" i="1"/>
  <c r="AK371" i="1" l="1"/>
  <c r="AJ372" i="1"/>
  <c r="BP372" i="1" s="1"/>
  <c r="BP371" i="1"/>
  <c r="AM369" i="1"/>
  <c r="BT368" i="1"/>
  <c r="BS368" i="1"/>
  <c r="BQ370" i="1"/>
  <c r="BR376" i="1"/>
  <c r="AO367" i="1"/>
  <c r="BR375" i="1"/>
  <c r="AN369" i="1"/>
  <c r="AL376" i="1"/>
  <c r="AM370" i="1" l="1"/>
  <c r="BR377" i="1"/>
  <c r="BP373" i="1"/>
  <c r="AJ373" i="1"/>
  <c r="BS369" i="1"/>
  <c r="AO368" i="1"/>
  <c r="BU368" i="1" s="1"/>
  <c r="AK372" i="1"/>
  <c r="BU367" i="1"/>
  <c r="BT369" i="1"/>
  <c r="BQ371" i="1"/>
  <c r="AN370" i="1"/>
  <c r="AL377" i="1"/>
  <c r="AK373" i="1" l="1"/>
  <c r="BS371" i="1"/>
  <c r="AM371" i="1"/>
  <c r="AO369" i="1"/>
  <c r="BT370" i="1"/>
  <c r="BQ372" i="1"/>
  <c r="AJ374" i="1"/>
  <c r="BS370" i="1"/>
  <c r="AN371" i="1"/>
  <c r="AL378" i="1"/>
  <c r="AO370" i="1" l="1"/>
  <c r="BU369" i="1"/>
  <c r="BP375" i="1"/>
  <c r="AJ375" i="1"/>
  <c r="BT372" i="1"/>
  <c r="BP374" i="1"/>
  <c r="BQ374" i="1"/>
  <c r="AK374" i="1"/>
  <c r="BQ373" i="1"/>
  <c r="BR378" i="1"/>
  <c r="AM372" i="1"/>
  <c r="BT371" i="1"/>
  <c r="AN372" i="1"/>
  <c r="AL379" i="1"/>
  <c r="BR379" i="1" l="1"/>
  <c r="AM373" i="1"/>
  <c r="BS373" i="1" s="1"/>
  <c r="AO371" i="1"/>
  <c r="BS372" i="1"/>
  <c r="AK375" i="1"/>
  <c r="AJ376" i="1"/>
  <c r="BU370" i="1"/>
  <c r="AN373" i="1"/>
  <c r="AL380" i="1"/>
  <c r="AJ377" i="1" l="1"/>
  <c r="BS374" i="1"/>
  <c r="AM374" i="1"/>
  <c r="BP376" i="1"/>
  <c r="BT373" i="1"/>
  <c r="BQ376" i="1"/>
  <c r="AK376" i="1"/>
  <c r="AO372" i="1"/>
  <c r="BR381" i="1"/>
  <c r="BQ375" i="1"/>
  <c r="BU371" i="1"/>
  <c r="BR380" i="1"/>
  <c r="AN374" i="1"/>
  <c r="AL381" i="1"/>
  <c r="AO373" i="1" l="1"/>
  <c r="BU373" i="1" s="1"/>
  <c r="BP378" i="1"/>
  <c r="AJ378" i="1"/>
  <c r="BU372" i="1"/>
  <c r="BP377" i="1"/>
  <c r="BT375" i="1"/>
  <c r="AK377" i="1"/>
  <c r="AM375" i="1"/>
  <c r="BT374" i="1"/>
  <c r="AN375" i="1"/>
  <c r="AL382" i="1"/>
  <c r="AK378" i="1" l="1"/>
  <c r="AM376" i="1"/>
  <c r="BS376" i="1" s="1"/>
  <c r="BS375" i="1"/>
  <c r="AO374" i="1"/>
  <c r="BQ377" i="1"/>
  <c r="AJ379" i="1"/>
  <c r="BP379" i="1" s="1"/>
  <c r="BR382" i="1"/>
  <c r="AN376" i="1"/>
  <c r="AL383" i="1"/>
  <c r="AO375" i="1" l="1"/>
  <c r="BQ379" i="1"/>
  <c r="AK379" i="1"/>
  <c r="AJ380" i="1"/>
  <c r="BS377" i="1"/>
  <c r="AM377" i="1"/>
  <c r="BU374" i="1"/>
  <c r="BR384" i="1"/>
  <c r="BR383" i="1"/>
  <c r="BT376" i="1"/>
  <c r="BQ378" i="1"/>
  <c r="AN377" i="1"/>
  <c r="AL384" i="1"/>
  <c r="AJ381" i="1" l="1"/>
  <c r="AO376" i="1"/>
  <c r="BU376" i="1" s="1"/>
  <c r="BU375" i="1"/>
  <c r="BR385" i="1"/>
  <c r="BP380" i="1"/>
  <c r="AM378" i="1"/>
  <c r="AK380" i="1"/>
  <c r="BQ380" i="1" s="1"/>
  <c r="BT377" i="1"/>
  <c r="AN378" i="1"/>
  <c r="AL385" i="1"/>
  <c r="AK381" i="1" l="1"/>
  <c r="BU377" i="1"/>
  <c r="AO377" i="1"/>
  <c r="AM379" i="1"/>
  <c r="BP382" i="1"/>
  <c r="AJ382" i="1"/>
  <c r="BT378" i="1"/>
  <c r="BR386" i="1"/>
  <c r="BS378" i="1"/>
  <c r="BP381" i="1"/>
  <c r="AN379" i="1"/>
  <c r="AL386" i="1"/>
  <c r="AM380" i="1" l="1"/>
  <c r="AK382" i="1"/>
  <c r="BS379" i="1"/>
  <c r="BQ381" i="1"/>
  <c r="BR387" i="1"/>
  <c r="AJ383" i="1"/>
  <c r="AO378" i="1"/>
  <c r="BU378" i="1" s="1"/>
  <c r="BT379" i="1"/>
  <c r="AN380" i="1"/>
  <c r="AL387" i="1"/>
  <c r="AK383" i="1" l="1"/>
  <c r="AO379" i="1"/>
  <c r="BQ382" i="1"/>
  <c r="AJ384" i="1"/>
  <c r="BP384" i="1" s="1"/>
  <c r="AM381" i="1"/>
  <c r="BR388" i="1"/>
  <c r="BP383" i="1"/>
  <c r="BT380" i="1"/>
  <c r="BS380" i="1"/>
  <c r="AN381" i="1"/>
  <c r="AL388" i="1"/>
  <c r="AO380" i="1" l="1"/>
  <c r="BU379" i="1"/>
  <c r="BS382" i="1"/>
  <c r="AM382" i="1"/>
  <c r="AK384" i="1"/>
  <c r="BQ384" i="1" s="1"/>
  <c r="AJ385" i="1"/>
  <c r="BR389" i="1"/>
  <c r="BS381" i="1"/>
  <c r="BT381" i="1"/>
  <c r="BQ383" i="1"/>
  <c r="AN382" i="1"/>
  <c r="AL389" i="1"/>
  <c r="AJ386" i="1" l="1"/>
  <c r="BU381" i="1"/>
  <c r="AO381" i="1"/>
  <c r="BT382" i="1"/>
  <c r="AK385" i="1"/>
  <c r="BP385" i="1"/>
  <c r="AM383" i="1"/>
  <c r="BU380" i="1"/>
  <c r="AN383" i="1"/>
  <c r="AL390" i="1"/>
  <c r="AK386" i="1" l="1"/>
  <c r="AJ387" i="1"/>
  <c r="BP386" i="1"/>
  <c r="AM384" i="1"/>
  <c r="BS384" i="1" s="1"/>
  <c r="BS383" i="1"/>
  <c r="BQ385" i="1"/>
  <c r="BR390" i="1"/>
  <c r="AO382" i="1"/>
  <c r="BT383" i="1"/>
  <c r="AN384" i="1"/>
  <c r="AL391" i="1"/>
  <c r="AJ388" i="1" l="1"/>
  <c r="AK387" i="1"/>
  <c r="AM385" i="1"/>
  <c r="BR391" i="1"/>
  <c r="BP387" i="1"/>
  <c r="AO383" i="1"/>
  <c r="BT385" i="1"/>
  <c r="BU382" i="1"/>
  <c r="BT384" i="1"/>
  <c r="BQ386" i="1"/>
  <c r="AN385" i="1"/>
  <c r="AL392" i="1"/>
  <c r="AK388" i="1" l="1"/>
  <c r="BQ388" i="1" s="1"/>
  <c r="BU384" i="1"/>
  <c r="AO384" i="1"/>
  <c r="BR392" i="1"/>
  <c r="BQ387" i="1"/>
  <c r="BU383" i="1"/>
  <c r="AM386" i="1"/>
  <c r="AJ389" i="1"/>
  <c r="BS385" i="1"/>
  <c r="BP388" i="1"/>
  <c r="AN386" i="1"/>
  <c r="AL393" i="1"/>
  <c r="AJ390" i="1" l="1"/>
  <c r="BP389" i="1"/>
  <c r="AK389" i="1"/>
  <c r="AM387" i="1"/>
  <c r="BT386" i="1"/>
  <c r="BS386" i="1"/>
  <c r="BU385" i="1"/>
  <c r="AO385" i="1"/>
  <c r="BR393" i="1"/>
  <c r="AN387" i="1"/>
  <c r="AL394" i="1"/>
  <c r="AJ391" i="1" l="1"/>
  <c r="BT388" i="1"/>
  <c r="AM388" i="1"/>
  <c r="BS387" i="1"/>
  <c r="BR394" i="1"/>
  <c r="AK390" i="1"/>
  <c r="AO386" i="1"/>
  <c r="BU386" i="1" s="1"/>
  <c r="BT387" i="1"/>
  <c r="BQ389" i="1"/>
  <c r="BP390" i="1"/>
  <c r="AN388" i="1"/>
  <c r="AL395" i="1"/>
  <c r="BP392" i="1" l="1"/>
  <c r="AJ392" i="1"/>
  <c r="AK391" i="1"/>
  <c r="BQ391" i="1" s="1"/>
  <c r="BS389" i="1"/>
  <c r="AM389" i="1"/>
  <c r="BP391" i="1"/>
  <c r="AO387" i="1"/>
  <c r="BQ390" i="1"/>
  <c r="BS388" i="1"/>
  <c r="BR395" i="1"/>
  <c r="AN389" i="1"/>
  <c r="AL396" i="1"/>
  <c r="AO388" i="1" l="1"/>
  <c r="BU387" i="1"/>
  <c r="BT389" i="1"/>
  <c r="AK392" i="1"/>
  <c r="BR397" i="1"/>
  <c r="BR396" i="1"/>
  <c r="AM390" i="1"/>
  <c r="BS390" i="1" s="1"/>
  <c r="BP393" i="1"/>
  <c r="AJ393" i="1"/>
  <c r="AN390" i="1"/>
  <c r="AL397" i="1"/>
  <c r="BT390" i="1" l="1"/>
  <c r="AK393" i="1"/>
  <c r="BQ392" i="1"/>
  <c r="AO389" i="1"/>
  <c r="BS391" i="1"/>
  <c r="AM391" i="1"/>
  <c r="AJ394" i="1"/>
  <c r="BU388" i="1"/>
  <c r="AN391" i="1"/>
  <c r="AL398" i="1"/>
  <c r="BR398" i="1" s="1"/>
  <c r="AJ395" i="1" l="1"/>
  <c r="AK394" i="1"/>
  <c r="BP394" i="1"/>
  <c r="AO390" i="1"/>
  <c r="BU390" i="1" s="1"/>
  <c r="BQ393" i="1"/>
  <c r="BU389" i="1"/>
  <c r="BS392" i="1"/>
  <c r="AM392" i="1"/>
  <c r="BT391" i="1"/>
  <c r="AN392" i="1"/>
  <c r="AL399" i="1"/>
  <c r="BR399" i="1" s="1"/>
  <c r="BQ395" i="1" l="1"/>
  <c r="AK395" i="1"/>
  <c r="BQ394" i="1"/>
  <c r="AJ396" i="1"/>
  <c r="BU391" i="1"/>
  <c r="AO391" i="1"/>
  <c r="AM393" i="1"/>
  <c r="BT392" i="1"/>
  <c r="BP395" i="1"/>
  <c r="AN393" i="1"/>
  <c r="BT393" i="1" s="1"/>
  <c r="AL400" i="1"/>
  <c r="AM394" i="1" l="1"/>
  <c r="BP397" i="1"/>
  <c r="AJ397" i="1"/>
  <c r="BS393" i="1"/>
  <c r="BP396" i="1"/>
  <c r="BQ396" i="1"/>
  <c r="AK396" i="1"/>
  <c r="AO392" i="1"/>
  <c r="BU392" i="1" s="1"/>
  <c r="BR400" i="1"/>
  <c r="AN394" i="1"/>
  <c r="AL401" i="1"/>
  <c r="BR401" i="1" s="1"/>
  <c r="AM395" i="1" l="1"/>
  <c r="AO393" i="1"/>
  <c r="BS394" i="1"/>
  <c r="BQ397" i="1"/>
  <c r="AK397" i="1"/>
  <c r="AJ398" i="1"/>
  <c r="BT394" i="1"/>
  <c r="AN395" i="1"/>
  <c r="AL402" i="1"/>
  <c r="BR402" i="1" s="1"/>
  <c r="AO394" i="1" l="1"/>
  <c r="AJ399" i="1"/>
  <c r="BU393" i="1"/>
  <c r="BP398" i="1"/>
  <c r="BT395" i="1"/>
  <c r="AM396" i="1"/>
  <c r="BQ398" i="1"/>
  <c r="AK398" i="1"/>
  <c r="BS395" i="1"/>
  <c r="AN396" i="1"/>
  <c r="AL403" i="1"/>
  <c r="AJ400" i="1" l="1"/>
  <c r="BT397" i="1"/>
  <c r="BS397" i="1"/>
  <c r="AM397" i="1"/>
  <c r="BT396" i="1"/>
  <c r="BP399" i="1"/>
  <c r="BS396" i="1"/>
  <c r="BR403" i="1"/>
  <c r="AO395" i="1"/>
  <c r="BU395" i="1" s="1"/>
  <c r="AK399" i="1"/>
  <c r="BU394" i="1"/>
  <c r="AN397" i="1"/>
  <c r="AL404" i="1"/>
  <c r="AO396" i="1" l="1"/>
  <c r="BQ400" i="1"/>
  <c r="AK400" i="1"/>
  <c r="AJ401" i="1"/>
  <c r="BP401" i="1" s="1"/>
  <c r="BR404" i="1"/>
  <c r="BQ399" i="1"/>
  <c r="AM398" i="1"/>
  <c r="BP400" i="1"/>
  <c r="AN398" i="1"/>
  <c r="AL405" i="1"/>
  <c r="AO397" i="1" l="1"/>
  <c r="AM399" i="1"/>
  <c r="BU396" i="1"/>
  <c r="BS398" i="1"/>
  <c r="BP402" i="1"/>
  <c r="AJ402" i="1"/>
  <c r="BT398" i="1"/>
  <c r="BQ401" i="1"/>
  <c r="AK401" i="1"/>
  <c r="BR405" i="1"/>
  <c r="AN399" i="1"/>
  <c r="AL406" i="1"/>
  <c r="AM400" i="1" l="1"/>
  <c r="BS399" i="1"/>
  <c r="BR406" i="1"/>
  <c r="AO398" i="1"/>
  <c r="AK402" i="1"/>
  <c r="AJ403" i="1"/>
  <c r="BP403" i="1" s="1"/>
  <c r="BT399" i="1"/>
  <c r="BU397" i="1"/>
  <c r="AN400" i="1"/>
  <c r="BT400" i="1" s="1"/>
  <c r="AL407" i="1"/>
  <c r="AO399" i="1" l="1"/>
  <c r="BU398" i="1"/>
  <c r="BP404" i="1"/>
  <c r="AJ404" i="1"/>
  <c r="AM401" i="1"/>
  <c r="BS401" i="1" s="1"/>
  <c r="AK403" i="1"/>
  <c r="BQ402" i="1"/>
  <c r="BR407" i="1"/>
  <c r="BS400" i="1"/>
  <c r="AN401" i="1"/>
  <c r="AL408" i="1"/>
  <c r="AK404" i="1" l="1"/>
  <c r="BT401" i="1"/>
  <c r="BQ403" i="1"/>
  <c r="AO400" i="1"/>
  <c r="BU400" i="1" s="1"/>
  <c r="AM402" i="1"/>
  <c r="BR408" i="1"/>
  <c r="BP405" i="1"/>
  <c r="AJ405" i="1"/>
  <c r="BU399" i="1"/>
  <c r="AN402" i="1"/>
  <c r="AL409" i="1"/>
  <c r="AK405" i="1" l="1"/>
  <c r="BU401" i="1"/>
  <c r="AO401" i="1"/>
  <c r="BQ404" i="1"/>
  <c r="BS403" i="1"/>
  <c r="AM403" i="1"/>
  <c r="AJ406" i="1"/>
  <c r="BS402" i="1"/>
  <c r="BR409" i="1"/>
  <c r="BT402" i="1"/>
  <c r="AN403" i="1"/>
  <c r="BT403" i="1" s="1"/>
  <c r="AL410" i="1"/>
  <c r="BR410" i="1" s="1"/>
  <c r="AJ407" i="1" l="1"/>
  <c r="BP406" i="1"/>
  <c r="AK406" i="1"/>
  <c r="BS404" i="1"/>
  <c r="AM404" i="1"/>
  <c r="AO402" i="1"/>
  <c r="BQ405" i="1"/>
  <c r="AN404" i="1"/>
  <c r="BT404" i="1" s="1"/>
  <c r="AL411" i="1"/>
  <c r="BR411" i="1" l="1"/>
  <c r="AO403" i="1"/>
  <c r="AK407" i="1"/>
  <c r="BU402" i="1"/>
  <c r="BQ406" i="1"/>
  <c r="AJ408" i="1"/>
  <c r="BS405" i="1"/>
  <c r="AM405" i="1"/>
  <c r="BP407" i="1"/>
  <c r="AN405" i="1"/>
  <c r="AL412" i="1"/>
  <c r="AO404" i="1" l="1"/>
  <c r="BT406" i="1"/>
  <c r="BP409" i="1"/>
  <c r="AJ409" i="1"/>
  <c r="BT405" i="1"/>
  <c r="BU403" i="1"/>
  <c r="BR413" i="1"/>
  <c r="AK408" i="1"/>
  <c r="BP408" i="1"/>
  <c r="BS406" i="1"/>
  <c r="AM406" i="1"/>
  <c r="BQ407" i="1"/>
  <c r="BR412" i="1"/>
  <c r="AN406" i="1"/>
  <c r="AL413" i="1"/>
  <c r="AK409" i="1" l="1"/>
  <c r="BU405" i="1"/>
  <c r="AO405" i="1"/>
  <c r="AM407" i="1"/>
  <c r="BQ408" i="1"/>
  <c r="AJ410" i="1"/>
  <c r="BP410" i="1" s="1"/>
  <c r="BU404" i="1"/>
  <c r="AN407" i="1"/>
  <c r="AL414" i="1"/>
  <c r="AM408" i="1" l="1"/>
  <c r="BQ410" i="1"/>
  <c r="AK410" i="1"/>
  <c r="BS407" i="1"/>
  <c r="BT407" i="1"/>
  <c r="BQ409" i="1"/>
  <c r="AJ411" i="1"/>
  <c r="BU406" i="1"/>
  <c r="AO406" i="1"/>
  <c r="BR414" i="1"/>
  <c r="AN408" i="1"/>
  <c r="BT408" i="1" s="1"/>
  <c r="AL415" i="1"/>
  <c r="BR415" i="1" s="1"/>
  <c r="AJ412" i="1" l="1"/>
  <c r="BP411" i="1"/>
  <c r="BS409" i="1"/>
  <c r="AM409" i="1"/>
  <c r="BU407" i="1"/>
  <c r="AO407" i="1"/>
  <c r="AK411" i="1"/>
  <c r="BQ411" i="1" s="1"/>
  <c r="BS408" i="1"/>
  <c r="AN409" i="1"/>
  <c r="AL416" i="1"/>
  <c r="BR416" i="1" l="1"/>
  <c r="BT409" i="1"/>
  <c r="AJ413" i="1"/>
  <c r="AK412" i="1"/>
  <c r="AO408" i="1"/>
  <c r="AM410" i="1"/>
  <c r="BP412" i="1"/>
  <c r="AN410" i="1"/>
  <c r="BT410" i="1" s="1"/>
  <c r="AL417" i="1"/>
  <c r="AK413" i="1" l="1"/>
  <c r="AM411" i="1"/>
  <c r="BS410" i="1"/>
  <c r="BQ412" i="1"/>
  <c r="BU409" i="1"/>
  <c r="AO409" i="1"/>
  <c r="AJ414" i="1"/>
  <c r="BR418" i="1"/>
  <c r="BU408" i="1"/>
  <c r="BP413" i="1"/>
  <c r="BR417" i="1"/>
  <c r="AN411" i="1"/>
  <c r="BT411" i="1" s="1"/>
  <c r="AL418" i="1"/>
  <c r="AM412" i="1" l="1"/>
  <c r="AJ415" i="1"/>
  <c r="BS411" i="1"/>
  <c r="BP414" i="1"/>
  <c r="AK414" i="1"/>
  <c r="AO410" i="1"/>
  <c r="BU410" i="1" s="1"/>
  <c r="BQ413" i="1"/>
  <c r="AN412" i="1"/>
  <c r="BT412" i="1" s="1"/>
  <c r="AL419" i="1"/>
  <c r="AJ416" i="1" l="1"/>
  <c r="AK415" i="1"/>
  <c r="BQ415" i="1" s="1"/>
  <c r="BQ414" i="1"/>
  <c r="BP415" i="1"/>
  <c r="AO411" i="1"/>
  <c r="AM413" i="1"/>
  <c r="BR420" i="1"/>
  <c r="BR419" i="1"/>
  <c r="BS412" i="1"/>
  <c r="AN413" i="1"/>
  <c r="AL420" i="1"/>
  <c r="AO412" i="1" l="1"/>
  <c r="BT413" i="1"/>
  <c r="BU411" i="1"/>
  <c r="AK416" i="1"/>
  <c r="BR421" i="1"/>
  <c r="AM414" i="1"/>
  <c r="AJ417" i="1"/>
  <c r="BS413" i="1"/>
  <c r="BP416" i="1"/>
  <c r="AN414" i="1"/>
  <c r="BT414" i="1" s="1"/>
  <c r="AL421" i="1"/>
  <c r="AK417" i="1" l="1"/>
  <c r="BP418" i="1"/>
  <c r="AJ418" i="1"/>
  <c r="AM415" i="1"/>
  <c r="BS415" i="1" s="1"/>
  <c r="BQ416" i="1"/>
  <c r="AO413" i="1"/>
  <c r="BU413" i="1" s="1"/>
  <c r="BP417" i="1"/>
  <c r="BS414" i="1"/>
  <c r="BU412" i="1"/>
  <c r="AN415" i="1"/>
  <c r="BT415" i="1" s="1"/>
  <c r="AL422" i="1"/>
  <c r="BR422" i="1" l="1"/>
  <c r="AK418" i="1"/>
  <c r="AM416" i="1"/>
  <c r="BU414" i="1"/>
  <c r="AO414" i="1"/>
  <c r="AJ419" i="1"/>
  <c r="BQ417" i="1"/>
  <c r="AN416" i="1"/>
  <c r="AL423" i="1"/>
  <c r="AK419" i="1" l="1"/>
  <c r="AM417" i="1"/>
  <c r="BS416" i="1"/>
  <c r="BP420" i="1"/>
  <c r="AJ420" i="1"/>
  <c r="BQ418" i="1"/>
  <c r="BP419" i="1"/>
  <c r="BU415" i="1"/>
  <c r="AO415" i="1"/>
  <c r="BT416" i="1"/>
  <c r="BR423" i="1"/>
  <c r="AN417" i="1"/>
  <c r="AL424" i="1"/>
  <c r="BR424" i="1" s="1"/>
  <c r="AM418" i="1" l="1"/>
  <c r="BS417" i="1"/>
  <c r="BR425" i="1"/>
  <c r="AK420" i="1"/>
  <c r="BU416" i="1"/>
  <c r="AO416" i="1"/>
  <c r="AJ421" i="1"/>
  <c r="BT417" i="1"/>
  <c r="BQ419" i="1"/>
  <c r="AN418" i="1"/>
  <c r="AL425" i="1"/>
  <c r="AJ422" i="1" l="1"/>
  <c r="BP421" i="1"/>
  <c r="AK421" i="1"/>
  <c r="AM419" i="1"/>
  <c r="BS419" i="1" s="1"/>
  <c r="BT418" i="1"/>
  <c r="AO417" i="1"/>
  <c r="BQ420" i="1"/>
  <c r="BS418" i="1"/>
  <c r="AN419" i="1"/>
  <c r="AL426" i="1"/>
  <c r="AO418" i="1" l="1"/>
  <c r="BP423" i="1"/>
  <c r="AJ423" i="1"/>
  <c r="AM420" i="1"/>
  <c r="BR427" i="1"/>
  <c r="BR426" i="1"/>
  <c r="BP422" i="1"/>
  <c r="BU417" i="1"/>
  <c r="BQ422" i="1"/>
  <c r="AK422" i="1"/>
  <c r="BQ421" i="1"/>
  <c r="BT419" i="1"/>
  <c r="AN420" i="1"/>
  <c r="BT420" i="1" s="1"/>
  <c r="AL427" i="1"/>
  <c r="AM421" i="1" l="1"/>
  <c r="BS420" i="1"/>
  <c r="BU419" i="1"/>
  <c r="AO419" i="1"/>
  <c r="BT421" i="1"/>
  <c r="BQ423" i="1"/>
  <c r="AK423" i="1"/>
  <c r="AJ424" i="1"/>
  <c r="BU418" i="1"/>
  <c r="AN421" i="1"/>
  <c r="AL428" i="1"/>
  <c r="AJ425" i="1" l="1"/>
  <c r="BR428" i="1"/>
  <c r="AM422" i="1"/>
  <c r="BP424" i="1"/>
  <c r="AK424" i="1"/>
  <c r="AO420" i="1"/>
  <c r="BS421" i="1"/>
  <c r="AN422" i="1"/>
  <c r="BT422" i="1" s="1"/>
  <c r="AL429" i="1"/>
  <c r="AO421" i="1" l="1"/>
  <c r="BU420" i="1"/>
  <c r="BS423" i="1"/>
  <c r="AM423" i="1"/>
  <c r="AJ426" i="1"/>
  <c r="BT423" i="1"/>
  <c r="AK425" i="1"/>
  <c r="BS422" i="1"/>
  <c r="BP425" i="1"/>
  <c r="BQ424" i="1"/>
  <c r="BR429" i="1"/>
  <c r="AN423" i="1"/>
  <c r="AL430" i="1"/>
  <c r="AO422" i="1" l="1"/>
  <c r="BP427" i="1"/>
  <c r="AJ427" i="1"/>
  <c r="AK426" i="1"/>
  <c r="BP426" i="1"/>
  <c r="BR430" i="1"/>
  <c r="BQ425" i="1"/>
  <c r="BS424" i="1"/>
  <c r="AM424" i="1"/>
  <c r="BU421" i="1"/>
  <c r="AN424" i="1"/>
  <c r="AL431" i="1"/>
  <c r="AO423" i="1" l="1"/>
  <c r="BQ427" i="1"/>
  <c r="AK427" i="1"/>
  <c r="BQ426" i="1"/>
  <c r="BU422" i="1"/>
  <c r="BR432" i="1"/>
  <c r="AM425" i="1"/>
  <c r="BT424" i="1"/>
  <c r="BP428" i="1"/>
  <c r="AJ428" i="1"/>
  <c r="BR431" i="1"/>
  <c r="AN425" i="1"/>
  <c r="AL432" i="1"/>
  <c r="AO424" i="1" l="1"/>
  <c r="BU423" i="1"/>
  <c r="AM426" i="1"/>
  <c r="BP429" i="1"/>
  <c r="AJ429" i="1"/>
  <c r="BS425" i="1"/>
  <c r="AK428" i="1"/>
  <c r="BQ428" i="1" s="1"/>
  <c r="BT425" i="1"/>
  <c r="AN426" i="1"/>
  <c r="BT426" i="1" s="1"/>
  <c r="AL433" i="1"/>
  <c r="AM427" i="1" l="1"/>
  <c r="AK429" i="1"/>
  <c r="BQ429" i="1" s="1"/>
  <c r="AO425" i="1"/>
  <c r="BS426" i="1"/>
  <c r="AJ430" i="1"/>
  <c r="BR433" i="1"/>
  <c r="BU424" i="1"/>
  <c r="AN427" i="1"/>
  <c r="BT427" i="1" s="1"/>
  <c r="AL434" i="1"/>
  <c r="AK430" i="1" l="1"/>
  <c r="AJ431" i="1"/>
  <c r="BP430" i="1"/>
  <c r="BU426" i="1"/>
  <c r="AO426" i="1"/>
  <c r="BS428" i="1"/>
  <c r="AM428" i="1"/>
  <c r="BR434" i="1"/>
  <c r="BU425" i="1"/>
  <c r="BS427" i="1"/>
  <c r="AN428" i="1"/>
  <c r="AL435" i="1"/>
  <c r="BR435" i="1" s="1"/>
  <c r="AJ432" i="1" l="1"/>
  <c r="BU427" i="1"/>
  <c r="AO427" i="1"/>
  <c r="BP431" i="1"/>
  <c r="BR436" i="1"/>
  <c r="BT428" i="1"/>
  <c r="AK431" i="1"/>
  <c r="AM429" i="1"/>
  <c r="BQ430" i="1"/>
  <c r="AN429" i="1"/>
  <c r="BT429" i="1" s="1"/>
  <c r="AL436" i="1"/>
  <c r="AM430" i="1" l="1"/>
  <c r="BQ432" i="1"/>
  <c r="AK432" i="1"/>
  <c r="AJ433" i="1"/>
  <c r="BS429" i="1"/>
  <c r="BQ431" i="1"/>
  <c r="AO428" i="1"/>
  <c r="BP432" i="1"/>
  <c r="AN430" i="1"/>
  <c r="BT430" i="1" s="1"/>
  <c r="AL437" i="1"/>
  <c r="AO429" i="1" l="1"/>
  <c r="AJ434" i="1"/>
  <c r="BP433" i="1"/>
  <c r="AM431" i="1"/>
  <c r="BS431" i="1" s="1"/>
  <c r="BU428" i="1"/>
  <c r="BR437" i="1"/>
  <c r="BQ433" i="1"/>
  <c r="AK433" i="1"/>
  <c r="BS430" i="1"/>
  <c r="AN431" i="1"/>
  <c r="AL438" i="1"/>
  <c r="BR438" i="1" s="1"/>
  <c r="AJ435" i="1" l="1"/>
  <c r="BP434" i="1"/>
  <c r="BT432" i="1"/>
  <c r="AO430" i="1"/>
  <c r="AM432" i="1"/>
  <c r="AK434" i="1"/>
  <c r="BT431" i="1"/>
  <c r="BU429" i="1"/>
  <c r="AN432" i="1"/>
  <c r="AL439" i="1"/>
  <c r="AK435" i="1" l="1"/>
  <c r="BQ434" i="1"/>
  <c r="BU431" i="1"/>
  <c r="AO431" i="1"/>
  <c r="AJ436" i="1"/>
  <c r="BP436" i="1" s="1"/>
  <c r="BS433" i="1"/>
  <c r="AM433" i="1"/>
  <c r="BS432" i="1"/>
  <c r="BR440" i="1"/>
  <c r="BR439" i="1"/>
  <c r="BU430" i="1"/>
  <c r="BP435" i="1"/>
  <c r="AN433" i="1"/>
  <c r="BT433" i="1" s="1"/>
  <c r="AL440" i="1"/>
  <c r="AK436" i="1" l="1"/>
  <c r="BP437" i="1"/>
  <c r="AJ437" i="1"/>
  <c r="AM434" i="1"/>
  <c r="BS434" i="1" s="1"/>
  <c r="AO432" i="1"/>
  <c r="BQ435" i="1"/>
  <c r="AN434" i="1"/>
  <c r="BT434" i="1" s="1"/>
  <c r="AL441" i="1"/>
  <c r="AK437" i="1" l="1"/>
  <c r="BU433" i="1"/>
  <c r="AO433" i="1"/>
  <c r="BQ436" i="1"/>
  <c r="AM435" i="1"/>
  <c r="BU432" i="1"/>
  <c r="AJ438" i="1"/>
  <c r="BP438" i="1" s="1"/>
  <c r="BR441" i="1"/>
  <c r="AN435" i="1"/>
  <c r="AL442" i="1"/>
  <c r="AM436" i="1" l="1"/>
  <c r="AK438" i="1"/>
  <c r="BQ437" i="1"/>
  <c r="AJ439" i="1"/>
  <c r="BS435" i="1"/>
  <c r="BT435" i="1"/>
  <c r="BU434" i="1"/>
  <c r="AO434" i="1"/>
  <c r="BR442" i="1"/>
  <c r="AN436" i="1"/>
  <c r="AL443" i="1"/>
  <c r="BT436" i="1" l="1"/>
  <c r="AK439" i="1"/>
  <c r="AJ440" i="1"/>
  <c r="BQ438" i="1"/>
  <c r="BR443" i="1"/>
  <c r="BP439" i="1"/>
  <c r="AM437" i="1"/>
  <c r="BS437" i="1" s="1"/>
  <c r="AO435" i="1"/>
  <c r="BS436" i="1"/>
  <c r="AN437" i="1"/>
  <c r="AL444" i="1"/>
  <c r="BR444" i="1" s="1"/>
  <c r="AK440" i="1" l="1"/>
  <c r="BQ439" i="1"/>
  <c r="AO436" i="1"/>
  <c r="AM438" i="1"/>
  <c r="BS438" i="1" s="1"/>
  <c r="AJ441" i="1"/>
  <c r="BU435" i="1"/>
  <c r="BP440" i="1"/>
  <c r="BT437" i="1"/>
  <c r="AN438" i="1"/>
  <c r="AL445" i="1"/>
  <c r="BR445" i="1" s="1"/>
  <c r="AM439" i="1" l="1"/>
  <c r="BR446" i="1"/>
  <c r="AJ442" i="1"/>
  <c r="AK441" i="1"/>
  <c r="BT438" i="1"/>
  <c r="AO437" i="1"/>
  <c r="BU437" i="1" s="1"/>
  <c r="BP441" i="1"/>
  <c r="BU436" i="1"/>
  <c r="BQ440" i="1"/>
  <c r="AN439" i="1"/>
  <c r="AL446" i="1"/>
  <c r="AM440" i="1" l="1"/>
  <c r="BR447" i="1"/>
  <c r="BP443" i="1"/>
  <c r="AJ443" i="1"/>
  <c r="BS439" i="1"/>
  <c r="BQ442" i="1"/>
  <c r="AK442" i="1"/>
  <c r="AO438" i="1"/>
  <c r="BQ441" i="1"/>
  <c r="BP442" i="1"/>
  <c r="BT439" i="1"/>
  <c r="AN440" i="1"/>
  <c r="AL447" i="1"/>
  <c r="BT440" i="1" l="1"/>
  <c r="AM441" i="1"/>
  <c r="AO439" i="1"/>
  <c r="BR448" i="1"/>
  <c r="BU438" i="1"/>
  <c r="AK443" i="1"/>
  <c r="AJ444" i="1"/>
  <c r="BS440" i="1"/>
  <c r="AN441" i="1"/>
  <c r="AL448" i="1"/>
  <c r="AM442" i="1" l="1"/>
  <c r="BT442" i="1"/>
  <c r="BS441" i="1"/>
  <c r="AJ445" i="1"/>
  <c r="BP444" i="1"/>
  <c r="BU440" i="1"/>
  <c r="AO440" i="1"/>
  <c r="AK444" i="1"/>
  <c r="BR449" i="1"/>
  <c r="BQ443" i="1"/>
  <c r="BU439" i="1"/>
  <c r="BT441" i="1"/>
  <c r="AN442" i="1"/>
  <c r="AL449" i="1"/>
  <c r="AK445" i="1" l="1"/>
  <c r="BR450" i="1"/>
  <c r="BP446" i="1"/>
  <c r="AJ446" i="1"/>
  <c r="AM443" i="1"/>
  <c r="BQ444" i="1"/>
  <c r="AO441" i="1"/>
  <c r="BP445" i="1"/>
  <c r="BS442" i="1"/>
  <c r="AN443" i="1"/>
  <c r="AL450" i="1"/>
  <c r="AO442" i="1" l="1"/>
  <c r="AM444" i="1"/>
  <c r="BU441" i="1"/>
  <c r="BS443" i="1"/>
  <c r="AK446" i="1"/>
  <c r="BQ446" i="1" s="1"/>
  <c r="BT443" i="1"/>
  <c r="BP447" i="1"/>
  <c r="AJ447" i="1"/>
  <c r="BQ445" i="1"/>
  <c r="AN444" i="1"/>
  <c r="AL451" i="1"/>
  <c r="AM445" i="1" l="1"/>
  <c r="BS444" i="1"/>
  <c r="BR451" i="1"/>
  <c r="AO443" i="1"/>
  <c r="BU443" i="1" s="1"/>
  <c r="AK447" i="1"/>
  <c r="AJ448" i="1"/>
  <c r="BT444" i="1"/>
  <c r="BU442" i="1"/>
  <c r="AN445" i="1"/>
  <c r="AL452" i="1"/>
  <c r="AM446" i="1" l="1"/>
  <c r="BT446" i="1"/>
  <c r="BU444" i="1"/>
  <c r="AO444" i="1"/>
  <c r="AK448" i="1"/>
  <c r="BQ448" i="1" s="1"/>
  <c r="BS445" i="1"/>
  <c r="AJ449" i="1"/>
  <c r="BP448" i="1"/>
  <c r="BR453" i="1"/>
  <c r="BQ447" i="1"/>
  <c r="BR452" i="1"/>
  <c r="BT445" i="1"/>
  <c r="AN446" i="1"/>
  <c r="AL453" i="1"/>
  <c r="AJ450" i="1" l="1"/>
  <c r="AM447" i="1"/>
  <c r="BS447" i="1" s="1"/>
  <c r="AK449" i="1"/>
  <c r="BQ449" i="1" s="1"/>
  <c r="BT447" i="1"/>
  <c r="BP449" i="1"/>
  <c r="AO445" i="1"/>
  <c r="BS446" i="1"/>
  <c r="AN447" i="1"/>
  <c r="AL454" i="1"/>
  <c r="AO446" i="1" l="1"/>
  <c r="BS448" i="1"/>
  <c r="AM448" i="1"/>
  <c r="AJ451" i="1"/>
  <c r="AK450" i="1"/>
  <c r="BU445" i="1"/>
  <c r="BR454" i="1"/>
  <c r="BP450" i="1"/>
  <c r="AN448" i="1"/>
  <c r="AL455" i="1"/>
  <c r="BR455" i="1" s="1"/>
  <c r="AJ452" i="1" l="1"/>
  <c r="BP451" i="1"/>
  <c r="AK451" i="1"/>
  <c r="BT448" i="1"/>
  <c r="BU447" i="1"/>
  <c r="AO447" i="1"/>
  <c r="BQ450" i="1"/>
  <c r="BS449" i="1"/>
  <c r="AM449" i="1"/>
  <c r="BU446" i="1"/>
  <c r="AN449" i="1"/>
  <c r="AL456" i="1"/>
  <c r="BR456" i="1" s="1"/>
  <c r="BT449" i="1" l="1"/>
  <c r="AK452" i="1"/>
  <c r="AJ453" i="1"/>
  <c r="BR457" i="1"/>
  <c r="BS450" i="1"/>
  <c r="AM450" i="1"/>
  <c r="AO448" i="1"/>
  <c r="BQ451" i="1"/>
  <c r="BP452" i="1"/>
  <c r="AN450" i="1"/>
  <c r="AL457" i="1"/>
  <c r="AK453" i="1" l="1"/>
  <c r="BU449" i="1"/>
  <c r="AO449" i="1"/>
  <c r="BQ452" i="1"/>
  <c r="BU448" i="1"/>
  <c r="BP454" i="1"/>
  <c r="AJ454" i="1"/>
  <c r="AM451" i="1"/>
  <c r="BP453" i="1"/>
  <c r="BT450" i="1"/>
  <c r="AN451" i="1"/>
  <c r="AL458" i="1"/>
  <c r="BR458" i="1" s="1"/>
  <c r="AM452" i="1" l="1"/>
  <c r="BU450" i="1"/>
  <c r="AO450" i="1"/>
  <c r="BS451" i="1"/>
  <c r="BT451" i="1"/>
  <c r="BQ454" i="1"/>
  <c r="AK454" i="1"/>
  <c r="BR459" i="1"/>
  <c r="AJ455" i="1"/>
  <c r="BP455" i="1" s="1"/>
  <c r="BQ453" i="1"/>
  <c r="AN452" i="1"/>
  <c r="AL459" i="1"/>
  <c r="AM453" i="1" l="1"/>
  <c r="AJ456" i="1"/>
  <c r="BS452" i="1"/>
  <c r="BQ455" i="1"/>
  <c r="AK455" i="1"/>
  <c r="AO451" i="1"/>
  <c r="BT452" i="1"/>
  <c r="AN453" i="1"/>
  <c r="AL460" i="1"/>
  <c r="AJ457" i="1" l="1"/>
  <c r="BU452" i="1"/>
  <c r="AO452" i="1"/>
  <c r="BP456" i="1"/>
  <c r="BR460" i="1"/>
  <c r="BU451" i="1"/>
  <c r="AM454" i="1"/>
  <c r="BT454" i="1"/>
  <c r="BQ456" i="1"/>
  <c r="AK456" i="1"/>
  <c r="BT453" i="1"/>
  <c r="BS453" i="1"/>
  <c r="AN454" i="1"/>
  <c r="AL461" i="1"/>
  <c r="AM455" i="1" l="1"/>
  <c r="BP458" i="1"/>
  <c r="AJ458" i="1"/>
  <c r="BR461" i="1"/>
  <c r="BQ457" i="1"/>
  <c r="AK457" i="1"/>
  <c r="BS454" i="1"/>
  <c r="AO453" i="1"/>
  <c r="BU453" i="1" s="1"/>
  <c r="BP457" i="1"/>
  <c r="AN455" i="1"/>
  <c r="AL462" i="1"/>
  <c r="AM456" i="1" l="1"/>
  <c r="BS455" i="1"/>
  <c r="BU454" i="1"/>
  <c r="AO454" i="1"/>
  <c r="BT455" i="1"/>
  <c r="BR463" i="1"/>
  <c r="AK458" i="1"/>
  <c r="AJ459" i="1"/>
  <c r="BR462" i="1"/>
  <c r="AN456" i="1"/>
  <c r="BT456" i="1" s="1"/>
  <c r="AL463" i="1"/>
  <c r="AM457" i="1" l="1"/>
  <c r="AJ460" i="1"/>
  <c r="BP459" i="1"/>
  <c r="AK459" i="1"/>
  <c r="BQ458" i="1"/>
  <c r="AO455" i="1"/>
  <c r="BS456" i="1"/>
  <c r="AN457" i="1"/>
  <c r="AL464" i="1"/>
  <c r="AK460" i="1" l="1"/>
  <c r="AJ461" i="1"/>
  <c r="BQ459" i="1"/>
  <c r="BP460" i="1"/>
  <c r="BT458" i="1"/>
  <c r="BS458" i="1"/>
  <c r="AM458" i="1"/>
  <c r="AO456" i="1"/>
  <c r="BU455" i="1"/>
  <c r="BR464" i="1"/>
  <c r="BT457" i="1"/>
  <c r="BS457" i="1"/>
  <c r="AN458" i="1"/>
  <c r="AL465" i="1"/>
  <c r="AJ462" i="1" l="1"/>
  <c r="BP461" i="1"/>
  <c r="BU457" i="1"/>
  <c r="AO457" i="1"/>
  <c r="BU456" i="1"/>
  <c r="AK461" i="1"/>
  <c r="BR465" i="1"/>
  <c r="BS459" i="1"/>
  <c r="AM459" i="1"/>
  <c r="BQ460" i="1"/>
  <c r="AN459" i="1"/>
  <c r="AL466" i="1"/>
  <c r="BT459" i="1" l="1"/>
  <c r="BP463" i="1"/>
  <c r="AJ463" i="1"/>
  <c r="AK462" i="1"/>
  <c r="BQ461" i="1"/>
  <c r="AM460" i="1"/>
  <c r="BR466" i="1"/>
  <c r="BU458" i="1"/>
  <c r="AO458" i="1"/>
  <c r="BP462" i="1"/>
  <c r="AN460" i="1"/>
  <c r="AL467" i="1"/>
  <c r="AM461" i="1" l="1"/>
  <c r="BR467" i="1"/>
  <c r="AK463" i="1"/>
  <c r="BQ462" i="1"/>
  <c r="BU459" i="1"/>
  <c r="AO459" i="1"/>
  <c r="BS460" i="1"/>
  <c r="BP464" i="1"/>
  <c r="AJ464" i="1"/>
  <c r="BT460" i="1"/>
  <c r="AN461" i="1"/>
  <c r="AL468" i="1"/>
  <c r="AM462" i="1" l="1"/>
  <c r="AK464" i="1"/>
  <c r="BS461" i="1"/>
  <c r="AO460" i="1"/>
  <c r="BQ463" i="1"/>
  <c r="BR468" i="1"/>
  <c r="BP465" i="1"/>
  <c r="AJ465" i="1"/>
  <c r="BT461" i="1"/>
  <c r="AN462" i="1"/>
  <c r="AL469" i="1"/>
  <c r="BR469" i="1" s="1"/>
  <c r="AO461" i="1" l="1"/>
  <c r="AK465" i="1"/>
  <c r="BT462" i="1"/>
  <c r="BU460" i="1"/>
  <c r="BQ464" i="1"/>
  <c r="AM463" i="1"/>
  <c r="BR470" i="1"/>
  <c r="BP466" i="1"/>
  <c r="AJ466" i="1"/>
  <c r="BS462" i="1"/>
  <c r="AN463" i="1"/>
  <c r="AL470" i="1"/>
  <c r="AK466" i="1" l="1"/>
  <c r="BQ465" i="1"/>
  <c r="AM464" i="1"/>
  <c r="BU462" i="1"/>
  <c r="AO462" i="1"/>
  <c r="AJ467" i="1"/>
  <c r="BS463" i="1"/>
  <c r="BT463" i="1"/>
  <c r="BU461" i="1"/>
  <c r="AN464" i="1"/>
  <c r="AL471" i="1"/>
  <c r="AM465" i="1" l="1"/>
  <c r="AK467" i="1"/>
  <c r="AJ468" i="1"/>
  <c r="BP467" i="1"/>
  <c r="BS464" i="1"/>
  <c r="BQ466" i="1"/>
  <c r="BU463" i="1"/>
  <c r="AO463" i="1"/>
  <c r="BR471" i="1"/>
  <c r="BT464" i="1"/>
  <c r="AN465" i="1"/>
  <c r="AL472" i="1"/>
  <c r="AK468" i="1" l="1"/>
  <c r="BQ467" i="1"/>
  <c r="BT465" i="1"/>
  <c r="AM466" i="1"/>
  <c r="BS466" i="1" s="1"/>
  <c r="BR472" i="1"/>
  <c r="AJ469" i="1"/>
  <c r="BU464" i="1"/>
  <c r="AO464" i="1"/>
  <c r="BP468" i="1"/>
  <c r="BS465" i="1"/>
  <c r="AN466" i="1"/>
  <c r="AL473" i="1"/>
  <c r="BT466" i="1" l="1"/>
  <c r="AM467" i="1"/>
  <c r="BS467" i="1" s="1"/>
  <c r="AK469" i="1"/>
  <c r="AJ470" i="1"/>
  <c r="BP470" i="1" s="1"/>
  <c r="BP469" i="1"/>
  <c r="AO465" i="1"/>
  <c r="BR473" i="1"/>
  <c r="BQ468" i="1"/>
  <c r="AN467" i="1"/>
  <c r="AL474" i="1"/>
  <c r="AO466" i="1" l="1"/>
  <c r="BS468" i="1"/>
  <c r="AM468" i="1"/>
  <c r="AK470" i="1"/>
  <c r="BP471" i="1"/>
  <c r="AJ471" i="1"/>
  <c r="BU465" i="1"/>
  <c r="BR475" i="1"/>
  <c r="BR474" i="1"/>
  <c r="BQ469" i="1"/>
  <c r="BT467" i="1"/>
  <c r="AN468" i="1"/>
  <c r="AL475" i="1"/>
  <c r="AO467" i="1" l="1"/>
  <c r="BT469" i="1"/>
  <c r="BQ471" i="1"/>
  <c r="AK471" i="1"/>
  <c r="BQ470" i="1"/>
  <c r="BU466" i="1"/>
  <c r="AJ472" i="1"/>
  <c r="AM469" i="1"/>
  <c r="BT468" i="1"/>
  <c r="AN469" i="1"/>
  <c r="AL476" i="1"/>
  <c r="AM470" i="1" l="1"/>
  <c r="BR476" i="1"/>
  <c r="AO468" i="1"/>
  <c r="BS469" i="1"/>
  <c r="AJ473" i="1"/>
  <c r="BP472" i="1"/>
  <c r="BQ472" i="1"/>
  <c r="AK472" i="1"/>
  <c r="BU467" i="1"/>
  <c r="AN470" i="1"/>
  <c r="AL477" i="1"/>
  <c r="AO469" i="1" l="1"/>
  <c r="AM471" i="1"/>
  <c r="AJ474" i="1"/>
  <c r="BS470" i="1"/>
  <c r="BU468" i="1"/>
  <c r="BR478" i="1"/>
  <c r="AK473" i="1"/>
  <c r="BP473" i="1"/>
  <c r="BT470" i="1"/>
  <c r="BR477" i="1"/>
  <c r="AN471" i="1"/>
  <c r="AL478" i="1"/>
  <c r="AM472" i="1" l="1"/>
  <c r="BQ474" i="1"/>
  <c r="AK474" i="1"/>
  <c r="BS471" i="1"/>
  <c r="AO470" i="1"/>
  <c r="BU470" i="1" s="1"/>
  <c r="BT471" i="1"/>
  <c r="BQ473" i="1"/>
  <c r="AJ475" i="1"/>
  <c r="BP474" i="1"/>
  <c r="BU469" i="1"/>
  <c r="AN472" i="1"/>
  <c r="AL479" i="1"/>
  <c r="AJ476" i="1" l="1"/>
  <c r="BU471" i="1"/>
  <c r="AO471" i="1"/>
  <c r="BP475" i="1"/>
  <c r="AM473" i="1"/>
  <c r="BS472" i="1"/>
  <c r="BR479" i="1"/>
  <c r="BQ475" i="1"/>
  <c r="AK475" i="1"/>
  <c r="BT472" i="1"/>
  <c r="AN473" i="1"/>
  <c r="AL480" i="1"/>
  <c r="AJ477" i="1" l="1"/>
  <c r="AM474" i="1"/>
  <c r="BP476" i="1"/>
  <c r="BS473" i="1"/>
  <c r="BR480" i="1"/>
  <c r="AK476" i="1"/>
  <c r="BU472" i="1"/>
  <c r="AO472" i="1"/>
  <c r="BT473" i="1"/>
  <c r="AN474" i="1"/>
  <c r="AL481" i="1"/>
  <c r="BP478" i="1" l="1"/>
  <c r="AJ478" i="1"/>
  <c r="BQ477" i="1"/>
  <c r="AK477" i="1"/>
  <c r="BP477" i="1"/>
  <c r="BQ476" i="1"/>
  <c r="BS475" i="1"/>
  <c r="AM475" i="1"/>
  <c r="BT474" i="1"/>
  <c r="AO473" i="1"/>
  <c r="BS474" i="1"/>
  <c r="BR481" i="1"/>
  <c r="AN475" i="1"/>
  <c r="BT475" i="1" s="1"/>
  <c r="AL482" i="1"/>
  <c r="AO474" i="1" l="1"/>
  <c r="BU473" i="1"/>
  <c r="BR482" i="1"/>
  <c r="AM476" i="1"/>
  <c r="AK478" i="1"/>
  <c r="AJ479" i="1"/>
  <c r="BP479" i="1" s="1"/>
  <c r="AN476" i="1"/>
  <c r="AL483" i="1"/>
  <c r="BR483" i="1" s="1"/>
  <c r="AO475" i="1" l="1"/>
  <c r="BU474" i="1"/>
  <c r="BS477" i="1"/>
  <c r="AM477" i="1"/>
  <c r="BS476" i="1"/>
  <c r="AK479" i="1"/>
  <c r="BQ479" i="1" s="1"/>
  <c r="AJ480" i="1"/>
  <c r="BT477" i="1"/>
  <c r="BQ478" i="1"/>
  <c r="BT476" i="1"/>
  <c r="AN477" i="1"/>
  <c r="AL484" i="1"/>
  <c r="BR484" i="1" l="1"/>
  <c r="BP481" i="1"/>
  <c r="AJ481" i="1"/>
  <c r="AO476" i="1"/>
  <c r="BQ480" i="1"/>
  <c r="AK480" i="1"/>
  <c r="BP480" i="1"/>
  <c r="AM478" i="1"/>
  <c r="BU475" i="1"/>
  <c r="AN478" i="1"/>
  <c r="AL485" i="1"/>
  <c r="AM479" i="1" l="1"/>
  <c r="BU477" i="1"/>
  <c r="AO477" i="1"/>
  <c r="BS478" i="1"/>
  <c r="BU476" i="1"/>
  <c r="BT478" i="1"/>
  <c r="AK481" i="1"/>
  <c r="BQ481" i="1" s="1"/>
  <c r="BP482" i="1"/>
  <c r="AJ482" i="1"/>
  <c r="BR485" i="1"/>
  <c r="AN479" i="1"/>
  <c r="BT479" i="1" s="1"/>
  <c r="AL486" i="1"/>
  <c r="BT480" i="1" l="1"/>
  <c r="AM480" i="1"/>
  <c r="AK482" i="1"/>
  <c r="BR486" i="1"/>
  <c r="BP483" i="1"/>
  <c r="AJ483" i="1"/>
  <c r="AO478" i="1"/>
  <c r="BS479" i="1"/>
  <c r="AN480" i="1"/>
  <c r="AL487" i="1"/>
  <c r="AM481" i="1" l="1"/>
  <c r="BS480" i="1"/>
  <c r="BQ483" i="1"/>
  <c r="AK483" i="1"/>
  <c r="AO479" i="1"/>
  <c r="BU478" i="1"/>
  <c r="AJ484" i="1"/>
  <c r="BQ482" i="1"/>
  <c r="BR487" i="1"/>
  <c r="AN481" i="1"/>
  <c r="AL488" i="1"/>
  <c r="AJ485" i="1" l="1"/>
  <c r="BR489" i="1"/>
  <c r="BR488" i="1"/>
  <c r="AM482" i="1"/>
  <c r="BP484" i="1"/>
  <c r="AO480" i="1"/>
  <c r="BT481" i="1"/>
  <c r="BU479" i="1"/>
  <c r="AK484" i="1"/>
  <c r="BS481" i="1"/>
  <c r="AN482" i="1"/>
  <c r="AL489" i="1"/>
  <c r="AM483" i="1" l="1"/>
  <c r="BT482" i="1"/>
  <c r="AK485" i="1"/>
  <c r="AO481" i="1"/>
  <c r="BS482" i="1"/>
  <c r="AJ486" i="1"/>
  <c r="BR490" i="1"/>
  <c r="BQ484" i="1"/>
  <c r="BU480" i="1"/>
  <c r="BP485" i="1"/>
  <c r="AN483" i="1"/>
  <c r="AL490" i="1"/>
  <c r="AO482" i="1" l="1"/>
  <c r="BS484" i="1"/>
  <c r="AM484" i="1"/>
  <c r="AJ487" i="1"/>
  <c r="BP487" i="1" s="1"/>
  <c r="BP486" i="1"/>
  <c r="BS483" i="1"/>
  <c r="BU481" i="1"/>
  <c r="AK486" i="1"/>
  <c r="BQ485" i="1"/>
  <c r="BT483" i="1"/>
  <c r="AN484" i="1"/>
  <c r="AL491" i="1"/>
  <c r="AK487" i="1" l="1"/>
  <c r="BQ486" i="1"/>
  <c r="BU483" i="1"/>
  <c r="AO483" i="1"/>
  <c r="BU482" i="1"/>
  <c r="BP488" i="1"/>
  <c r="AJ488" i="1"/>
  <c r="BR491" i="1"/>
  <c r="BS485" i="1"/>
  <c r="AM485" i="1"/>
  <c r="BT484" i="1"/>
  <c r="AN485" i="1"/>
  <c r="AL492" i="1"/>
  <c r="BR492" i="1" l="1"/>
  <c r="BQ488" i="1"/>
  <c r="AK488" i="1"/>
  <c r="BT485" i="1"/>
  <c r="AM486" i="1"/>
  <c r="AJ489" i="1"/>
  <c r="AO484" i="1"/>
  <c r="BU484" i="1" s="1"/>
  <c r="BQ487" i="1"/>
  <c r="AN486" i="1"/>
  <c r="AL493" i="1"/>
  <c r="AM487" i="1" l="1"/>
  <c r="BT486" i="1"/>
  <c r="AO485" i="1"/>
  <c r="BS486" i="1"/>
  <c r="AJ490" i="1"/>
  <c r="BP489" i="1"/>
  <c r="BQ489" i="1"/>
  <c r="AK489" i="1"/>
  <c r="BR493" i="1"/>
  <c r="AN487" i="1"/>
  <c r="BT487" i="1" s="1"/>
  <c r="AL494" i="1"/>
  <c r="BR494" i="1" s="1"/>
  <c r="AJ491" i="1" l="1"/>
  <c r="BP491" i="1" s="1"/>
  <c r="BS488" i="1"/>
  <c r="AM488" i="1"/>
  <c r="AO486" i="1"/>
  <c r="BU486" i="1" s="1"/>
  <c r="AK490" i="1"/>
  <c r="BP490" i="1"/>
  <c r="BU485" i="1"/>
  <c r="BS487" i="1"/>
  <c r="AN488" i="1"/>
  <c r="AL495" i="1"/>
  <c r="AO487" i="1" l="1"/>
  <c r="BT489" i="1"/>
  <c r="AJ492" i="1"/>
  <c r="AK491" i="1"/>
  <c r="BT488" i="1"/>
  <c r="BQ490" i="1"/>
  <c r="AM489" i="1"/>
  <c r="BR495" i="1"/>
  <c r="AN489" i="1"/>
  <c r="AL496" i="1"/>
  <c r="AK492" i="1" l="1"/>
  <c r="BR497" i="1"/>
  <c r="BR496" i="1"/>
  <c r="BQ491" i="1"/>
  <c r="AJ493" i="1"/>
  <c r="BU488" i="1"/>
  <c r="AO488" i="1"/>
  <c r="AM490" i="1"/>
  <c r="BS489" i="1"/>
  <c r="BP492" i="1"/>
  <c r="BU487" i="1"/>
  <c r="AN490" i="1"/>
  <c r="AL497" i="1"/>
  <c r="AM491" i="1" l="1"/>
  <c r="BS490" i="1"/>
  <c r="BT491" i="1"/>
  <c r="AJ494" i="1"/>
  <c r="BP493" i="1"/>
  <c r="BQ493" i="1"/>
  <c r="AK493" i="1"/>
  <c r="BT490" i="1"/>
  <c r="BU489" i="1"/>
  <c r="AO489" i="1"/>
  <c r="BQ492" i="1"/>
  <c r="AN491" i="1"/>
  <c r="AL498" i="1"/>
  <c r="AJ495" i="1" l="1"/>
  <c r="BP495" i="1" s="1"/>
  <c r="BT492" i="1"/>
  <c r="BR498" i="1"/>
  <c r="AM492" i="1"/>
  <c r="BS492" i="1" s="1"/>
  <c r="BU490" i="1"/>
  <c r="AO490" i="1"/>
  <c r="AK494" i="1"/>
  <c r="BP494" i="1"/>
  <c r="BS491" i="1"/>
  <c r="AN492" i="1"/>
  <c r="AL499" i="1"/>
  <c r="AK495" i="1" l="1"/>
  <c r="BT493" i="1"/>
  <c r="BQ494" i="1"/>
  <c r="AM493" i="1"/>
  <c r="BP496" i="1"/>
  <c r="AJ496" i="1"/>
  <c r="AO491" i="1"/>
  <c r="BR499" i="1"/>
  <c r="AN493" i="1"/>
  <c r="AL500" i="1"/>
  <c r="AK496" i="1" l="1"/>
  <c r="AO492" i="1"/>
  <c r="AM494" i="1"/>
  <c r="BU491" i="1"/>
  <c r="BS493" i="1"/>
  <c r="BQ495" i="1"/>
  <c r="BP497" i="1"/>
  <c r="AJ497" i="1"/>
  <c r="BR500" i="1"/>
  <c r="AN494" i="1"/>
  <c r="AL501" i="1"/>
  <c r="AO493" i="1" l="1"/>
  <c r="BT494" i="1"/>
  <c r="BR501" i="1"/>
  <c r="BU492" i="1"/>
  <c r="BS495" i="1"/>
  <c r="AM495" i="1"/>
  <c r="AK497" i="1"/>
  <c r="BQ497" i="1" s="1"/>
  <c r="BP498" i="1"/>
  <c r="AJ498" i="1"/>
  <c r="BS494" i="1"/>
  <c r="BQ496" i="1"/>
  <c r="AN495" i="1"/>
  <c r="BT495" i="1" s="1"/>
  <c r="AL502" i="1"/>
  <c r="AO494" i="1" l="1"/>
  <c r="BU493" i="1"/>
  <c r="BT496" i="1"/>
  <c r="AK498" i="1"/>
  <c r="BP499" i="1"/>
  <c r="AJ499" i="1"/>
  <c r="AM496" i="1"/>
  <c r="BR502" i="1"/>
  <c r="AN496" i="1"/>
  <c r="AL503" i="1"/>
  <c r="BR507" i="1" s="1"/>
  <c r="AO495" i="1" l="1"/>
  <c r="AM497" i="1"/>
  <c r="BR503" i="1"/>
  <c r="BR506" i="1" s="1"/>
  <c r="BR508" i="1" s="1"/>
  <c r="BS496" i="1"/>
  <c r="AK499" i="1"/>
  <c r="BT497" i="1"/>
  <c r="AJ500" i="1"/>
  <c r="BQ498" i="1"/>
  <c r="BU494" i="1"/>
  <c r="AN497" i="1"/>
  <c r="AK500" i="1" l="1"/>
  <c r="AM498" i="1"/>
  <c r="BS498" i="1" s="1"/>
  <c r="AJ501" i="1"/>
  <c r="BQ499" i="1"/>
  <c r="BS497" i="1"/>
  <c r="BP500" i="1"/>
  <c r="AO496" i="1"/>
  <c r="BU496" i="1" s="1"/>
  <c r="BU495" i="1"/>
  <c r="AN498" i="1"/>
  <c r="AJ502" i="1" l="1"/>
  <c r="AK501" i="1"/>
  <c r="AO497" i="1"/>
  <c r="AM499" i="1"/>
  <c r="BS499" i="1" s="1"/>
  <c r="BT498" i="1"/>
  <c r="BP501" i="1"/>
  <c r="BQ500" i="1"/>
  <c r="AN499" i="1"/>
  <c r="AJ503" i="1" l="1"/>
  <c r="BP507" i="1" s="1"/>
  <c r="AM500" i="1"/>
  <c r="AK502" i="1"/>
  <c r="BQ501" i="1"/>
  <c r="BU498" i="1"/>
  <c r="AO498" i="1"/>
  <c r="BT499" i="1"/>
  <c r="BU497" i="1"/>
  <c r="BP502" i="1"/>
  <c r="AN500" i="1"/>
  <c r="AM501" i="1" l="1"/>
  <c r="BS500" i="1"/>
  <c r="AK503" i="1"/>
  <c r="BQ507" i="1" s="1"/>
  <c r="BT500" i="1"/>
  <c r="BU499" i="1"/>
  <c r="AO499" i="1"/>
  <c r="BQ502" i="1"/>
  <c r="BP503" i="1"/>
  <c r="BP506" i="1" s="1"/>
  <c r="BP508" i="1" s="1"/>
  <c r="AN501" i="1"/>
  <c r="AM502" i="1" l="1"/>
  <c r="BT501" i="1"/>
  <c r="AO500" i="1"/>
  <c r="BQ503" i="1"/>
  <c r="BQ506" i="1" s="1"/>
  <c r="BQ508" i="1" s="1"/>
  <c r="BS501" i="1"/>
  <c r="AN502" i="1"/>
  <c r="AM503" i="1" l="1"/>
  <c r="BS507" i="1" s="1"/>
  <c r="AO501" i="1"/>
  <c r="BS502" i="1"/>
  <c r="BT503" i="1"/>
  <c r="BT506" i="1" s="1"/>
  <c r="BT508" i="1" s="1"/>
  <c r="BU500" i="1"/>
  <c r="BT502" i="1"/>
  <c r="AN503" i="1"/>
  <c r="BT507" i="1" s="1"/>
  <c r="AO502" i="1" l="1"/>
  <c r="BU501" i="1"/>
  <c r="BS503" i="1"/>
  <c r="BS506" i="1" s="1"/>
  <c r="BS508" i="1" s="1"/>
  <c r="AO503" i="1" l="1"/>
  <c r="BU507" i="1" s="1"/>
  <c r="BU502" i="1"/>
  <c r="BU503" i="1" l="1"/>
  <c r="BU506" i="1" s="1"/>
  <c r="BU508" i="1" s="1"/>
</calcChain>
</file>

<file path=xl/sharedStrings.xml><?xml version="1.0" encoding="utf-8"?>
<sst xmlns="http://schemas.openxmlformats.org/spreadsheetml/2006/main" count="13852" uniqueCount="2027">
  <si>
    <t>Date</t>
  </si>
  <si>
    <t>AAPL</t>
  </si>
  <si>
    <t>AXP</t>
  </si>
  <si>
    <t>BA</t>
  </si>
  <si>
    <t>CAT</t>
  </si>
  <si>
    <t>CSCO</t>
  </si>
  <si>
    <t>CVX</t>
  </si>
  <si>
    <t>DIS</t>
  </si>
  <si>
    <t>DWDP</t>
  </si>
  <si>
    <t>GS</t>
  </si>
  <si>
    <t>HD</t>
  </si>
  <si>
    <t>IBM</t>
  </si>
  <si>
    <t>INTC</t>
  </si>
  <si>
    <t>JNJ</t>
  </si>
  <si>
    <t>JPM</t>
  </si>
  <si>
    <t>KO</t>
  </si>
  <si>
    <t>MCD</t>
  </si>
  <si>
    <t>MMM</t>
  </si>
  <si>
    <t>MRK</t>
  </si>
  <si>
    <t>MSFT</t>
  </si>
  <si>
    <t>NKE</t>
  </si>
  <si>
    <t>PFE</t>
  </si>
  <si>
    <t>PG</t>
  </si>
  <si>
    <t>TRV</t>
  </si>
  <si>
    <t>UNH</t>
  </si>
  <si>
    <t>UTX</t>
  </si>
  <si>
    <t>V</t>
  </si>
  <si>
    <t>VZ</t>
  </si>
  <si>
    <t>WBA</t>
  </si>
  <si>
    <t>WMT</t>
  </si>
  <si>
    <t>XOM</t>
  </si>
  <si>
    <t>position:</t>
  </si>
  <si>
    <t>cost</t>
  </si>
  <si>
    <t>churn</t>
  </si>
  <si>
    <t>month</t>
  </si>
  <si>
    <t>gradual</t>
  </si>
  <si>
    <t>add</t>
  </si>
  <si>
    <t>no trades</t>
  </si>
  <si>
    <t>exit at</t>
  </si>
  <si>
    <t xml:space="preserve">certain </t>
  </si>
  <si>
    <t>date</t>
  </si>
  <si>
    <t>trading</t>
  </si>
  <si>
    <t>noise</t>
  </si>
  <si>
    <t>short</t>
  </si>
  <si>
    <t xml:space="preserve">core </t>
  </si>
  <si>
    <t>core</t>
  </si>
  <si>
    <t>long</t>
  </si>
  <si>
    <t>bad</t>
  </si>
  <si>
    <t>intra</t>
  </si>
  <si>
    <t>punting</t>
  </si>
  <si>
    <t>p&amp;l</t>
  </si>
  <si>
    <t>+core</t>
  </si>
  <si>
    <t>sum</t>
  </si>
  <si>
    <t>trade area</t>
  </si>
  <si>
    <t>portfolio_name</t>
  </si>
  <si>
    <t>transaction_id</t>
  </si>
  <si>
    <t>instrument_name</t>
  </si>
  <si>
    <t>transaction_description</t>
  </si>
  <si>
    <t>transaction_type</t>
  </si>
  <si>
    <t>transaction_units</t>
  </si>
  <si>
    <t>transaction_price</t>
  </si>
  <si>
    <t>transaction_currency</t>
  </si>
  <si>
    <t>transaction_strategy</t>
  </si>
  <si>
    <t>transaction_cost</t>
  </si>
  <si>
    <t>PortName</t>
  </si>
  <si>
    <t>Purchase</t>
  </si>
  <si>
    <t>Buy</t>
  </si>
  <si>
    <t>Sale</t>
  </si>
  <si>
    <t>Sell</t>
  </si>
  <si>
    <t>USD</t>
  </si>
  <si>
    <t>none</t>
  </si>
  <si>
    <t>transaction_date</t>
  </si>
  <si>
    <t>1line sum</t>
  </si>
  <si>
    <t>BBG00BN961G4</t>
  </si>
  <si>
    <t>had to remove for daily vals, or put in 1s??</t>
  </si>
  <si>
    <t>TrdID7055475117</t>
  </si>
  <si>
    <t>TrdID7055475118</t>
  </si>
  <si>
    <t>TrdID7055475119</t>
  </si>
  <si>
    <t>TrdID7055475120</t>
  </si>
  <si>
    <t>TrdID7055475121</t>
  </si>
  <si>
    <t>TrdID7055475122</t>
  </si>
  <si>
    <t>TrdID7055475123</t>
  </si>
  <si>
    <t>TrdID7055475124</t>
  </si>
  <si>
    <t>TrdID7055475125</t>
  </si>
  <si>
    <t>TrdID7055475126</t>
  </si>
  <si>
    <t>TrdID7055475127</t>
  </si>
  <si>
    <t>TrdID7055475128</t>
  </si>
  <si>
    <t>TrdID7055475129</t>
  </si>
  <si>
    <t>TrdID7055475130</t>
  </si>
  <si>
    <t>TrdID7055475131</t>
  </si>
  <si>
    <t>TrdID7055475132</t>
  </si>
  <si>
    <t>TrdID7055475133</t>
  </si>
  <si>
    <t>TrdID7055475134</t>
  </si>
  <si>
    <t>TrdID7055475135</t>
  </si>
  <si>
    <t>TrdID7055475136</t>
  </si>
  <si>
    <t>TrdID7055475137</t>
  </si>
  <si>
    <t>TrdID7055475138</t>
  </si>
  <si>
    <t>TrdID7055475139</t>
  </si>
  <si>
    <t>TrdID7055475140</t>
  </si>
  <si>
    <t>TrdID7055475141</t>
  </si>
  <si>
    <t>TrdID7055475142</t>
  </si>
  <si>
    <t>TrdID7055475143</t>
  </si>
  <si>
    <t>TrdID7055475144</t>
  </si>
  <si>
    <t>TrdID7055475145</t>
  </si>
  <si>
    <t>TrdID7055475146</t>
  </si>
  <si>
    <t>TrdID7055475147</t>
  </si>
  <si>
    <t>TrdID7055475148</t>
  </si>
  <si>
    <t>TrdID7055475149</t>
  </si>
  <si>
    <t>TrdID7055475150</t>
  </si>
  <si>
    <t>TrdID7055475151</t>
  </si>
  <si>
    <t>TrdID7055475152</t>
  </si>
  <si>
    <t>TrdID7055475153</t>
  </si>
  <si>
    <t>TrdID7055475154</t>
  </si>
  <si>
    <t>TrdID7055475155</t>
  </si>
  <si>
    <t>TrdID7055475156</t>
  </si>
  <si>
    <t>TrdID7055475157</t>
  </si>
  <si>
    <t>TrdID7055475158</t>
  </si>
  <si>
    <t>TrdID7055475159</t>
  </si>
  <si>
    <t>TrdID7055475160</t>
  </si>
  <si>
    <t>TrdID7055475161</t>
  </si>
  <si>
    <t>TrdID7055475162</t>
  </si>
  <si>
    <t>TrdID7055475163</t>
  </si>
  <si>
    <t>TrdID7055475164</t>
  </si>
  <si>
    <t>TrdID7055475165</t>
  </si>
  <si>
    <t>TrdID7055475166</t>
  </si>
  <si>
    <t>TrdID7055475167</t>
  </si>
  <si>
    <t>TrdID7055475168</t>
  </si>
  <si>
    <t>TrdID7055475169</t>
  </si>
  <si>
    <t>TrdID7055475170</t>
  </si>
  <si>
    <t>TrdID7055475171</t>
  </si>
  <si>
    <t>TrdID7055475172</t>
  </si>
  <si>
    <t>TrdID7055475173</t>
  </si>
  <si>
    <t>TrdID7055475174</t>
  </si>
  <si>
    <t>TrdID7055475175</t>
  </si>
  <si>
    <t>TrdID7055475176</t>
  </si>
  <si>
    <t>TrdID7055475177</t>
  </si>
  <si>
    <t>TrdID7055475178</t>
  </si>
  <si>
    <t>TrdID7055475179</t>
  </si>
  <si>
    <t>TrdID7055475180</t>
  </si>
  <si>
    <t>TrdID7055475181</t>
  </si>
  <si>
    <t>TrdID7055475182</t>
  </si>
  <si>
    <t>TrdID7055475183</t>
  </si>
  <si>
    <t>TrdID7055475184</t>
  </si>
  <si>
    <t>TrdID7055475185</t>
  </si>
  <si>
    <t>TrdID7055475186</t>
  </si>
  <si>
    <t>TrdID7055475187</t>
  </si>
  <si>
    <t>TrdID7055475188</t>
  </si>
  <si>
    <t>TrdID7055475189</t>
  </si>
  <si>
    <t>TrdID7055475190</t>
  </si>
  <si>
    <t>TrdID7055475191</t>
  </si>
  <si>
    <t>TrdID7055475192</t>
  </si>
  <si>
    <t>TrdID7055475193</t>
  </si>
  <si>
    <t>TrdID7055475194</t>
  </si>
  <si>
    <t>TrdID7055475195</t>
  </si>
  <si>
    <t>TrdID7055475196</t>
  </si>
  <si>
    <t>TrdID7055475197</t>
  </si>
  <si>
    <t>TrdID7055475198</t>
  </si>
  <si>
    <t>TrdID7055475199</t>
  </si>
  <si>
    <t>TrdID7055475200</t>
  </si>
  <si>
    <t>TrdID7055475201</t>
  </si>
  <si>
    <t>TrdID7055475202</t>
  </si>
  <si>
    <t>TrdID7055475203</t>
  </si>
  <si>
    <t>TrdID7055475204</t>
  </si>
  <si>
    <t>TrdID7055475205</t>
  </si>
  <si>
    <t>TrdID7055475206</t>
  </si>
  <si>
    <t>TrdID7055475207</t>
  </si>
  <si>
    <t>TrdID7055475208</t>
  </si>
  <si>
    <t>TrdID7055475209</t>
  </si>
  <si>
    <t>TrdID7055475210</t>
  </si>
  <si>
    <t>TrdID7055475211</t>
  </si>
  <si>
    <t>TrdID7055475212</t>
  </si>
  <si>
    <t>TrdID7055475213</t>
  </si>
  <si>
    <t>TrdID7055475214</t>
  </si>
  <si>
    <t>TrdID7055475215</t>
  </si>
  <si>
    <t>TrdID7055475216</t>
  </si>
  <si>
    <t>TrdID7055475217</t>
  </si>
  <si>
    <t>TrdID7055475218</t>
  </si>
  <si>
    <t>TrdID7055475219</t>
  </si>
  <si>
    <t>TrdID7055475220</t>
  </si>
  <si>
    <t>TrdID7055475221</t>
  </si>
  <si>
    <t>TrdID7055475222</t>
  </si>
  <si>
    <t>TrdID7055475223</t>
  </si>
  <si>
    <t>TrdID7055475224</t>
  </si>
  <si>
    <t>TrdID7055475225</t>
  </si>
  <si>
    <t>TrdID7055475226</t>
  </si>
  <si>
    <t>TrdID7055475227</t>
  </si>
  <si>
    <t>TrdID7055475228</t>
  </si>
  <si>
    <t>TrdID7055475229</t>
  </si>
  <si>
    <t>TrdID7055475230</t>
  </si>
  <si>
    <t>TrdID7055475231</t>
  </si>
  <si>
    <t>TrdID7055475232</t>
  </si>
  <si>
    <t>TrdID7055475233</t>
  </si>
  <si>
    <t>TrdID7055475234</t>
  </si>
  <si>
    <t>TrdID7055475235</t>
  </si>
  <si>
    <t>TrdID7055475236</t>
  </si>
  <si>
    <t>TrdID7055475237</t>
  </si>
  <si>
    <t>TrdID7055475238</t>
  </si>
  <si>
    <t>TrdID7055475239</t>
  </si>
  <si>
    <t>TrdID7055475240</t>
  </si>
  <si>
    <t>TrdID7055475241</t>
  </si>
  <si>
    <t>TrdID7055475242</t>
  </si>
  <si>
    <t>TrdID7055475243</t>
  </si>
  <si>
    <t>TrdID7055475244</t>
  </si>
  <si>
    <t>TrdID7055475245</t>
  </si>
  <si>
    <t>TrdID7055475246</t>
  </si>
  <si>
    <t>TrdID7055475247</t>
  </si>
  <si>
    <t>TrdID7055475248</t>
  </si>
  <si>
    <t>TrdID7055475249</t>
  </si>
  <si>
    <t>TrdID7055475250</t>
  </si>
  <si>
    <t>TrdID7055475251</t>
  </si>
  <si>
    <t>TrdID7055475252</t>
  </si>
  <si>
    <t>TrdID7055475253</t>
  </si>
  <si>
    <t>TrdID7055475254</t>
  </si>
  <si>
    <t>TrdID7055475255</t>
  </si>
  <si>
    <t>TrdID7055475256</t>
  </si>
  <si>
    <t>TrdID7055475257</t>
  </si>
  <si>
    <t>TrdID7055475258</t>
  </si>
  <si>
    <t>TrdID7055475259</t>
  </si>
  <si>
    <t>TrdID7055475260</t>
  </si>
  <si>
    <t>TrdID7055475261</t>
  </si>
  <si>
    <t>TrdID7055475262</t>
  </si>
  <si>
    <t>TrdID7055475263</t>
  </si>
  <si>
    <t>TrdID7055475264</t>
  </si>
  <si>
    <t>TrdID7055475265</t>
  </si>
  <si>
    <t>TrdID7055475266</t>
  </si>
  <si>
    <t>TrdID7055475267</t>
  </si>
  <si>
    <t>TrdID7055475268</t>
  </si>
  <si>
    <t>TrdID7055475269</t>
  </si>
  <si>
    <t>TrdID7055475270</t>
  </si>
  <si>
    <t>TrdID7055475271</t>
  </si>
  <si>
    <t>TrdID7055475272</t>
  </si>
  <si>
    <t>TrdID7055475273</t>
  </si>
  <si>
    <t>TrdID7055475274</t>
  </si>
  <si>
    <t>TrdID7055475275</t>
  </si>
  <si>
    <t>TrdID7055475276</t>
  </si>
  <si>
    <t>TrdID7055475277</t>
  </si>
  <si>
    <t>TrdID7055475278</t>
  </si>
  <si>
    <t>TrdID7055475279</t>
  </si>
  <si>
    <t>TrdID7055475280</t>
  </si>
  <si>
    <t>TrdID7055475281</t>
  </si>
  <si>
    <t>TrdID7055475282</t>
  </si>
  <si>
    <t>TrdID7055475283</t>
  </si>
  <si>
    <t>TrdID7055475284</t>
  </si>
  <si>
    <t>TrdID7055475285</t>
  </si>
  <si>
    <t>TrdID7055475286</t>
  </si>
  <si>
    <t>TrdID7055475287</t>
  </si>
  <si>
    <t>TrdID7055475288</t>
  </si>
  <si>
    <t>TrdID7055475289</t>
  </si>
  <si>
    <t>TrdID7055475290</t>
  </si>
  <si>
    <t>TrdID7055475291</t>
  </si>
  <si>
    <t>TrdID7055475292</t>
  </si>
  <si>
    <t>TrdID7055475293</t>
  </si>
  <si>
    <t>TrdID7055475294</t>
  </si>
  <si>
    <t>TrdID7055475295</t>
  </si>
  <si>
    <t>TrdID7055475296</t>
  </si>
  <si>
    <t>TrdID7055475297</t>
  </si>
  <si>
    <t>TrdID7055475298</t>
  </si>
  <si>
    <t>TrdID7055475299</t>
  </si>
  <si>
    <t>TrdID7055475300</t>
  </si>
  <si>
    <t>TrdID7055475301</t>
  </si>
  <si>
    <t>TrdID7055475302</t>
  </si>
  <si>
    <t>TrdID7055475303</t>
  </si>
  <si>
    <t>TrdID7055475304</t>
  </si>
  <si>
    <t>TrdID7055475305</t>
  </si>
  <si>
    <t>TrdID7055475306</t>
  </si>
  <si>
    <t>TrdID7055475307</t>
  </si>
  <si>
    <t>TrdID7055475308</t>
  </si>
  <si>
    <t>TrdID7055475309</t>
  </si>
  <si>
    <t>TrdID7055475310</t>
  </si>
  <si>
    <t>TrdID7055475311</t>
  </si>
  <si>
    <t>TrdID7055475312</t>
  </si>
  <si>
    <t>TrdID7055475313</t>
  </si>
  <si>
    <t>TrdID7055475314</t>
  </si>
  <si>
    <t>TrdID7055475315</t>
  </si>
  <si>
    <t>TrdID7055475316</t>
  </si>
  <si>
    <t>TrdID7055475317</t>
  </si>
  <si>
    <t>TrdID7055475318</t>
  </si>
  <si>
    <t>TrdID7055475319</t>
  </si>
  <si>
    <t>TrdID7055475320</t>
  </si>
  <si>
    <t>TrdID7055475321</t>
  </si>
  <si>
    <t>TrdID7055475322</t>
  </si>
  <si>
    <t>TrdID7055475323</t>
  </si>
  <si>
    <t>TrdID7055475324</t>
  </si>
  <si>
    <t>TrdID7055475325</t>
  </si>
  <si>
    <t>TrdID7055475326</t>
  </si>
  <si>
    <t>TrdID7055475327</t>
  </si>
  <si>
    <t>TrdID7055475328</t>
  </si>
  <si>
    <t>TrdID7055475329</t>
  </si>
  <si>
    <t>TrdID7055475330</t>
  </si>
  <si>
    <t>TrdID7055475331</t>
  </si>
  <si>
    <t>TrdID7055475332</t>
  </si>
  <si>
    <t>TrdID7055475333</t>
  </si>
  <si>
    <t>TrdID7055475334</t>
  </si>
  <si>
    <t>TrdID7055475335</t>
  </si>
  <si>
    <t>TrdID7055475336</t>
  </si>
  <si>
    <t>TrdID7055475337</t>
  </si>
  <si>
    <t>TrdID7055475338</t>
  </si>
  <si>
    <t>TrdID7055475339</t>
  </si>
  <si>
    <t>TrdID7055475340</t>
  </si>
  <si>
    <t>TrdID7055475341</t>
  </si>
  <si>
    <t>TrdID7055475342</t>
  </si>
  <si>
    <t>TrdID7055475343</t>
  </si>
  <si>
    <t>TrdID7055475344</t>
  </si>
  <si>
    <t>TrdID7055475345</t>
  </si>
  <si>
    <t>TrdID7055475346</t>
  </si>
  <si>
    <t>TrdID7055475347</t>
  </si>
  <si>
    <t>TrdID7055475348</t>
  </si>
  <si>
    <t>TrdID7055475349</t>
  </si>
  <si>
    <t>TrdID7055475350</t>
  </si>
  <si>
    <t>TrdID7055475351</t>
  </si>
  <si>
    <t>TrdID7055475352</t>
  </si>
  <si>
    <t>TrdID7055475353</t>
  </si>
  <si>
    <t>TrdID7055475354</t>
  </si>
  <si>
    <t>TrdID7055475355</t>
  </si>
  <si>
    <t>TrdID7055475356</t>
  </si>
  <si>
    <t>TrdID7055475357</t>
  </si>
  <si>
    <t>TrdID7055475358</t>
  </si>
  <si>
    <t>TrdID7055475359</t>
  </si>
  <si>
    <t>TrdID7055475360</t>
  </si>
  <si>
    <t>TrdID7055475361</t>
  </si>
  <si>
    <t>TrdID7055475362</t>
  </si>
  <si>
    <t>TrdID7055475363</t>
  </si>
  <si>
    <t>TrdID7055475364</t>
  </si>
  <si>
    <t>TrdID7055475365</t>
  </si>
  <si>
    <t>TrdID7055475366</t>
  </si>
  <si>
    <t>TrdID7055475367</t>
  </si>
  <si>
    <t>TrdID7055475368</t>
  </si>
  <si>
    <t>TrdID7055475369</t>
  </si>
  <si>
    <t>TrdID7055475370</t>
  </si>
  <si>
    <t>TrdID7055475371</t>
  </si>
  <si>
    <t>TrdID7055475372</t>
  </si>
  <si>
    <t>TrdID7055475373</t>
  </si>
  <si>
    <t>TrdID7055475374</t>
  </si>
  <si>
    <t>TrdID7055475375</t>
  </si>
  <si>
    <t>TrdID7055475376</t>
  </si>
  <si>
    <t>TrdID7055475377</t>
  </si>
  <si>
    <t>TrdID7055475378</t>
  </si>
  <si>
    <t>TrdID7055475379</t>
  </si>
  <si>
    <t>TrdID7055475380</t>
  </si>
  <si>
    <t>TrdID7055475381</t>
  </si>
  <si>
    <t>TrdID7055475382</t>
  </si>
  <si>
    <t>TrdID7055475383</t>
  </si>
  <si>
    <t>TrdID7055475384</t>
  </si>
  <si>
    <t>TrdID7055475385</t>
  </si>
  <si>
    <t>TrdID7055475386</t>
  </si>
  <si>
    <t>TrdID7055475387</t>
  </si>
  <si>
    <t>TrdID7055475388</t>
  </si>
  <si>
    <t>TrdID7055475389</t>
  </si>
  <si>
    <t>TrdID7055475390</t>
  </si>
  <si>
    <t>TrdID7055475391</t>
  </si>
  <si>
    <t>TrdID7055475392</t>
  </si>
  <si>
    <t>TrdID7055475393</t>
  </si>
  <si>
    <t>TrdID7055475394</t>
  </si>
  <si>
    <t>TrdID7055475395</t>
  </si>
  <si>
    <t>TrdID7055475396</t>
  </si>
  <si>
    <t>TrdID7055475397</t>
  </si>
  <si>
    <t>TrdID7055475398</t>
  </si>
  <si>
    <t>TrdID7055475399</t>
  </si>
  <si>
    <t>TrdID7055475400</t>
  </si>
  <si>
    <t>TrdID7055475401</t>
  </si>
  <si>
    <t>TrdID7055475402</t>
  </si>
  <si>
    <t>TrdID7055475403</t>
  </si>
  <si>
    <t>TrdID7055475404</t>
  </si>
  <si>
    <t>TrdID7055475405</t>
  </si>
  <si>
    <t>TrdID7055475406</t>
  </si>
  <si>
    <t>TrdID7055475407</t>
  </si>
  <si>
    <t>TrdID7055475408</t>
  </si>
  <si>
    <t>TrdID7055475409</t>
  </si>
  <si>
    <t>TrdID7055475410</t>
  </si>
  <si>
    <t>TrdID7055475411</t>
  </si>
  <si>
    <t>TrdID7055475412</t>
  </si>
  <si>
    <t>TrdID7055475413</t>
  </si>
  <si>
    <t>TrdID7055475414</t>
  </si>
  <si>
    <t>TrdID7055475415</t>
  </si>
  <si>
    <t>TrdID7055475416</t>
  </si>
  <si>
    <t>TrdID7055475417</t>
  </si>
  <si>
    <t>TrdID7055475418</t>
  </si>
  <si>
    <t>TrdID7055475419</t>
  </si>
  <si>
    <t>TrdID7055475420</t>
  </si>
  <si>
    <t>TrdID7055475421</t>
  </si>
  <si>
    <t>TrdID7055475422</t>
  </si>
  <si>
    <t>TrdID7055475423</t>
  </si>
  <si>
    <t>TrdID7055475424</t>
  </si>
  <si>
    <t>TrdID7055475425</t>
  </si>
  <si>
    <t>TrdID7055475426</t>
  </si>
  <si>
    <t>TrdID7055475427</t>
  </si>
  <si>
    <t>TrdID7055475428</t>
  </si>
  <si>
    <t>TrdID7055475429</t>
  </si>
  <si>
    <t>TrdID7055475430</t>
  </si>
  <si>
    <t>TrdID7055475431</t>
  </si>
  <si>
    <t>TrdID7055475432</t>
  </si>
  <si>
    <t>TrdID7055475433</t>
  </si>
  <si>
    <t>TrdID7055475434</t>
  </si>
  <si>
    <t>TrdID7055475435</t>
  </si>
  <si>
    <t>TrdID7055475436</t>
  </si>
  <si>
    <t>TrdID7055475437</t>
  </si>
  <si>
    <t>TrdID7055475438</t>
  </si>
  <si>
    <t>TrdID7055475439</t>
  </si>
  <si>
    <t>TrdID7055475440</t>
  </si>
  <si>
    <t>TrdID7055475441</t>
  </si>
  <si>
    <t>TrdID7055475442</t>
  </si>
  <si>
    <t>TrdID7055475443</t>
  </si>
  <si>
    <t>TrdID7055475444</t>
  </si>
  <si>
    <t>TrdID7055475445</t>
  </si>
  <si>
    <t>TrdID7055475446</t>
  </si>
  <si>
    <t>TrdID7055475447</t>
  </si>
  <si>
    <t>TrdID7055475448</t>
  </si>
  <si>
    <t>TrdID7055475449</t>
  </si>
  <si>
    <t>TrdID7055475450</t>
  </si>
  <si>
    <t>TrdID7055475451</t>
  </si>
  <si>
    <t>TrdID7055475452</t>
  </si>
  <si>
    <t>TrdID7055475453</t>
  </si>
  <si>
    <t>TrdID7055475454</t>
  </si>
  <si>
    <t>TrdID7055475455</t>
  </si>
  <si>
    <t>TrdID7055475456</t>
  </si>
  <si>
    <t>TrdID7055475457</t>
  </si>
  <si>
    <t>TrdID7055475458</t>
  </si>
  <si>
    <t>TrdID7055475459</t>
  </si>
  <si>
    <t>TrdID7055475460</t>
  </si>
  <si>
    <t>TrdID7055475461</t>
  </si>
  <si>
    <t>TrdID7055475462</t>
  </si>
  <si>
    <t>TrdID7055475463</t>
  </si>
  <si>
    <t>TrdID7055475464</t>
  </si>
  <si>
    <t>TrdID7055475465</t>
  </si>
  <si>
    <t>TrdID7055475466</t>
  </si>
  <si>
    <t>TrdID7055475467</t>
  </si>
  <si>
    <t>TrdID7055475468</t>
  </si>
  <si>
    <t>TrdID7055475469</t>
  </si>
  <si>
    <t>TrdID7055475470</t>
  </si>
  <si>
    <t>TrdID7055475471</t>
  </si>
  <si>
    <t>TrdID7055475472</t>
  </si>
  <si>
    <t>TrdID7055475473</t>
  </si>
  <si>
    <t>TrdID7055475474</t>
  </si>
  <si>
    <t>TrdID7055475475</t>
  </si>
  <si>
    <t>TrdID7055475476</t>
  </si>
  <si>
    <t>TrdID7055475477</t>
  </si>
  <si>
    <t>TrdID7055475478</t>
  </si>
  <si>
    <t>TrdID7055475479</t>
  </si>
  <si>
    <t>TrdID7055475480</t>
  </si>
  <si>
    <t>TrdID7055475481</t>
  </si>
  <si>
    <t>TrdID7055475482</t>
  </si>
  <si>
    <t>TrdID7055475483</t>
  </si>
  <si>
    <t>TrdID7055475484</t>
  </si>
  <si>
    <t>TrdID7055475485</t>
  </si>
  <si>
    <t>TrdID7055475486</t>
  </si>
  <si>
    <t>TrdID7055475487</t>
  </si>
  <si>
    <t>TrdID7055475488</t>
  </si>
  <si>
    <t>TrdID7055475489</t>
  </si>
  <si>
    <t>TrdID7055475490</t>
  </si>
  <si>
    <t>TrdID7055475491</t>
  </si>
  <si>
    <t>TrdID7055475492</t>
  </si>
  <si>
    <t>TrdID7055475493</t>
  </si>
  <si>
    <t>TrdID7055475494</t>
  </si>
  <si>
    <t>TrdID7055475495</t>
  </si>
  <si>
    <t>TrdID7055475496</t>
  </si>
  <si>
    <t>TrdID7055475497</t>
  </si>
  <si>
    <t>TrdID7055475498</t>
  </si>
  <si>
    <t>TrdID7055475499</t>
  </si>
  <si>
    <t>TrdID7055475500</t>
  </si>
  <si>
    <t>TrdID7055475501</t>
  </si>
  <si>
    <t>TrdID7055475502</t>
  </si>
  <si>
    <t>TrdID7055475503</t>
  </si>
  <si>
    <t>TrdID7055475504</t>
  </si>
  <si>
    <t>TrdID7055475505</t>
  </si>
  <si>
    <t>TrdID7055475506</t>
  </si>
  <si>
    <t>TrdID7055475507</t>
  </si>
  <si>
    <t>TrdID7055475508</t>
  </si>
  <si>
    <t>TrdID7055475509</t>
  </si>
  <si>
    <t>TrdID7055475510</t>
  </si>
  <si>
    <t>TrdID7055475511</t>
  </si>
  <si>
    <t>TrdID7055475512</t>
  </si>
  <si>
    <t>TrdID7055475513</t>
  </si>
  <si>
    <t>TrdID7055475514</t>
  </si>
  <si>
    <t>TrdID7055475515</t>
  </si>
  <si>
    <t>TrdID7055475516</t>
  </si>
  <si>
    <t>TrdID7055475517</t>
  </si>
  <si>
    <t>TrdID7055475518</t>
  </si>
  <si>
    <t>TrdID7055475519</t>
  </si>
  <si>
    <t>TrdID7055475520</t>
  </si>
  <si>
    <t>TrdID7055475521</t>
  </si>
  <si>
    <t>TrdID7055475522</t>
  </si>
  <si>
    <t>TrdID7055475523</t>
  </si>
  <si>
    <t>TrdID7055475524</t>
  </si>
  <si>
    <t>TrdID7055475525</t>
  </si>
  <si>
    <t>TrdID7055475526</t>
  </si>
  <si>
    <t>TrdID7055475527</t>
  </si>
  <si>
    <t>TrdID7055475528</t>
  </si>
  <si>
    <t>TrdID7055475529</t>
  </si>
  <si>
    <t>TrdID7055475530</t>
  </si>
  <si>
    <t>TrdID7055475531</t>
  </si>
  <si>
    <t>TrdID7055475532</t>
  </si>
  <si>
    <t>TrdID7055475533</t>
  </si>
  <si>
    <t>TrdID7055475534</t>
  </si>
  <si>
    <t>TrdID7055475535</t>
  </si>
  <si>
    <t>TrdID7055475536</t>
  </si>
  <si>
    <t>TrdID7055475537</t>
  </si>
  <si>
    <t>TrdID7055475538</t>
  </si>
  <si>
    <t>TrdID7055475539</t>
  </si>
  <si>
    <t>TrdID7055475540</t>
  </si>
  <si>
    <t>TrdID7055475541</t>
  </si>
  <si>
    <t>TrdID7055475542</t>
  </si>
  <si>
    <t>TrdID7055475543</t>
  </si>
  <si>
    <t>TrdID7055475544</t>
  </si>
  <si>
    <t>TrdID7055475545</t>
  </si>
  <si>
    <t>TrdID7055475546</t>
  </si>
  <si>
    <t>TrdID7055475547</t>
  </si>
  <si>
    <t>TrdID7055475548</t>
  </si>
  <si>
    <t>TrdID7055475549</t>
  </si>
  <si>
    <t>TrdID7055475550</t>
  </si>
  <si>
    <t>TrdID7055475551</t>
  </si>
  <si>
    <t>TrdID7055475552</t>
  </si>
  <si>
    <t>TrdID7055475553</t>
  </si>
  <si>
    <t>TrdID7055475554</t>
  </si>
  <si>
    <t>TrdID7055475555</t>
  </si>
  <si>
    <t>TrdID7055475556</t>
  </si>
  <si>
    <t>TrdID7055475557</t>
  </si>
  <si>
    <t>TrdID7055475558</t>
  </si>
  <si>
    <t>TrdID7055475559</t>
  </si>
  <si>
    <t>TrdID7055475560</t>
  </si>
  <si>
    <t>TrdID7055475561</t>
  </si>
  <si>
    <t>TrdID7055475562</t>
  </si>
  <si>
    <t>TrdID7055475563</t>
  </si>
  <si>
    <t>TrdID7055475564</t>
  </si>
  <si>
    <t>TrdID7055475565</t>
  </si>
  <si>
    <t>TrdID7055475566</t>
  </si>
  <si>
    <t>TrdID7055475567</t>
  </si>
  <si>
    <t>TrdID7055475568</t>
  </si>
  <si>
    <t>TrdID7055475569</t>
  </si>
  <si>
    <t>TrdID7055475570</t>
  </si>
  <si>
    <t>TrdID7055475571</t>
  </si>
  <si>
    <t>TrdID7055475572</t>
  </si>
  <si>
    <t>TrdID7055475573</t>
  </si>
  <si>
    <t>TrdID7055475574</t>
  </si>
  <si>
    <t>TrdID7055475575</t>
  </si>
  <si>
    <t>TrdID7055475576</t>
  </si>
  <si>
    <t>TrdID7055475577</t>
  </si>
  <si>
    <t>TrdID7055475578</t>
  </si>
  <si>
    <t>TrdID7055475579</t>
  </si>
  <si>
    <t>TrdID7055475580</t>
  </si>
  <si>
    <t>TrdID7055475581</t>
  </si>
  <si>
    <t>TrdID7055475582</t>
  </si>
  <si>
    <t>TrdID7055475583</t>
  </si>
  <si>
    <t>TrdID7055475584</t>
  </si>
  <si>
    <t>TrdID7055475585</t>
  </si>
  <si>
    <t>TrdID7055475586</t>
  </si>
  <si>
    <t>TrdID7055475587</t>
  </si>
  <si>
    <t>TrdID7055475588</t>
  </si>
  <si>
    <t>TrdID7055475589</t>
  </si>
  <si>
    <t>TrdID7055475590</t>
  </si>
  <si>
    <t>TrdID7055475591</t>
  </si>
  <si>
    <t>TrdID7055475592</t>
  </si>
  <si>
    <t>TrdID7055475593</t>
  </si>
  <si>
    <t>TrdID7055475594</t>
  </si>
  <si>
    <t>TrdID7055475595</t>
  </si>
  <si>
    <t>TrdID7055475596</t>
  </si>
  <si>
    <t>TrdID7055475597</t>
  </si>
  <si>
    <t>TrdID7055475598</t>
  </si>
  <si>
    <t>TrdID7055475599</t>
  </si>
  <si>
    <t>TrdID7055475600</t>
  </si>
  <si>
    <t>TrdID7055475601</t>
  </si>
  <si>
    <t>TrdID7055475602</t>
  </si>
  <si>
    <t>TrdID7055475603</t>
  </si>
  <si>
    <t>TrdID7055475604</t>
  </si>
  <si>
    <t>TrdID7055475605</t>
  </si>
  <si>
    <t>TrdID7055475606</t>
  </si>
  <si>
    <t>TrdID7055475607</t>
  </si>
  <si>
    <t>TrdID7055475608</t>
  </si>
  <si>
    <t>TrdID7055475609</t>
  </si>
  <si>
    <t>TrdID7055475610</t>
  </si>
  <si>
    <t>TrdID7055475611</t>
  </si>
  <si>
    <t>TrdID7055475612</t>
  </si>
  <si>
    <t>TrdID7055475613</t>
  </si>
  <si>
    <t>TrdID7055475614</t>
  </si>
  <si>
    <t>TrdID7055475615</t>
  </si>
  <si>
    <t>TrdID7055475616</t>
  </si>
  <si>
    <t>TrdID7055475617</t>
  </si>
  <si>
    <t>TrdID7055475618</t>
  </si>
  <si>
    <t>TrdID7055475619</t>
  </si>
  <si>
    <t>TrdID7055475620</t>
  </si>
  <si>
    <t>TrdID7055475621</t>
  </si>
  <si>
    <t>TrdID7055475622</t>
  </si>
  <si>
    <t>TrdID7055475623</t>
  </si>
  <si>
    <t>TrdID7055475624</t>
  </si>
  <si>
    <t>TrdID7055475625</t>
  </si>
  <si>
    <t>TrdID7055475626</t>
  </si>
  <si>
    <t>TrdID7055475627</t>
  </si>
  <si>
    <t>TrdID7055475628</t>
  </si>
  <si>
    <t>TrdID7055475629</t>
  </si>
  <si>
    <t>TrdID7055475630</t>
  </si>
  <si>
    <t>TrdID7055475631</t>
  </si>
  <si>
    <t>TrdID7055475632</t>
  </si>
  <si>
    <t>TrdID7055475633</t>
  </si>
  <si>
    <t>TrdID7055475634</t>
  </si>
  <si>
    <t>TrdID7055475635</t>
  </si>
  <si>
    <t>TrdID7055475636</t>
  </si>
  <si>
    <t>TrdID7055475637</t>
  </si>
  <si>
    <t>TrdID7055475638</t>
  </si>
  <si>
    <t>TrdID7055475639</t>
  </si>
  <si>
    <t>TrdID7055475640</t>
  </si>
  <si>
    <t>TrdID7055475641</t>
  </si>
  <si>
    <t>TrdID7055475642</t>
  </si>
  <si>
    <t>TrdID7055475643</t>
  </si>
  <si>
    <t>TrdID7055475644</t>
  </si>
  <si>
    <t>TrdID7055475645</t>
  </si>
  <si>
    <t>TrdID7055475646</t>
  </si>
  <si>
    <t>TrdID7055475647</t>
  </si>
  <si>
    <t>TrdID7055475648</t>
  </si>
  <si>
    <t>TrdID7055475649</t>
  </si>
  <si>
    <t>TrdID7055475650</t>
  </si>
  <si>
    <t>TrdID7055475651</t>
  </si>
  <si>
    <t>TrdID7055475652</t>
  </si>
  <si>
    <t>TrdID7055475653</t>
  </si>
  <si>
    <t>TrdID7055475654</t>
  </si>
  <si>
    <t>TrdID7055475655</t>
  </si>
  <si>
    <t>TrdID7055475656</t>
  </si>
  <si>
    <t>TrdID7055475657</t>
  </si>
  <si>
    <t>TrdID7055475658</t>
  </si>
  <si>
    <t>TrdID7055475659</t>
  </si>
  <si>
    <t>TrdID7055475660</t>
  </si>
  <si>
    <t>TrdID7055475661</t>
  </si>
  <si>
    <t>TrdID7055475662</t>
  </si>
  <si>
    <t>TrdID7055475663</t>
  </si>
  <si>
    <t>TrdID7055475664</t>
  </si>
  <si>
    <t>TrdID7055475665</t>
  </si>
  <si>
    <t>TrdID7055475666</t>
  </si>
  <si>
    <t>TrdID7055475667</t>
  </si>
  <si>
    <t>TrdID7055475668</t>
  </si>
  <si>
    <t>TrdID7055475669</t>
  </si>
  <si>
    <t>TrdID7055475670</t>
  </si>
  <si>
    <t>TrdID7055475671</t>
  </si>
  <si>
    <t>TrdID7055475672</t>
  </si>
  <si>
    <t>TrdID7055475673</t>
  </si>
  <si>
    <t>TrdID7055475674</t>
  </si>
  <si>
    <t>TrdID7055475675</t>
  </si>
  <si>
    <t>TrdID7055475676</t>
  </si>
  <si>
    <t>TrdID7055475677</t>
  </si>
  <si>
    <t>TrdID7055475678</t>
  </si>
  <si>
    <t>TrdID7055475679</t>
  </si>
  <si>
    <t>TrdID7055475680</t>
  </si>
  <si>
    <t>TrdID7055475681</t>
  </si>
  <si>
    <t>TrdID7055475682</t>
  </si>
  <si>
    <t>TrdID7055475683</t>
  </si>
  <si>
    <t>TrdID7055475684</t>
  </si>
  <si>
    <t>TrdID7055475685</t>
  </si>
  <si>
    <t>TrdID7055475686</t>
  </si>
  <si>
    <t>TrdID7055475687</t>
  </si>
  <si>
    <t>TrdID7055475688</t>
  </si>
  <si>
    <t>TrdID7055475689</t>
  </si>
  <si>
    <t>TrdID7055475690</t>
  </si>
  <si>
    <t>TrdID7055475691</t>
  </si>
  <si>
    <t>TrdID7055475692</t>
  </si>
  <si>
    <t>TrdID7055475693</t>
  </si>
  <si>
    <t>TrdID7055475694</t>
  </si>
  <si>
    <t>TrdID7055475695</t>
  </si>
  <si>
    <t>TrdID7055475696</t>
  </si>
  <si>
    <t>TrdID7055475697</t>
  </si>
  <si>
    <t>TrdID7055475698</t>
  </si>
  <si>
    <t>TrdID7055475699</t>
  </si>
  <si>
    <t>TrdID7055475700</t>
  </si>
  <si>
    <t>TrdID7055475701</t>
  </si>
  <si>
    <t>TrdID7055475702</t>
  </si>
  <si>
    <t>TrdID7055475703</t>
  </si>
  <si>
    <t>TrdID7055475704</t>
  </si>
  <si>
    <t>TrdID7055475705</t>
  </si>
  <si>
    <t>TrdID7055475706</t>
  </si>
  <si>
    <t>TrdID7055475707</t>
  </si>
  <si>
    <t>TrdID7055475708</t>
  </si>
  <si>
    <t>TrdID7055475709</t>
  </si>
  <si>
    <t>TrdID7055475710</t>
  </si>
  <si>
    <t>TrdID7055475711</t>
  </si>
  <si>
    <t>TrdID7055475712</t>
  </si>
  <si>
    <t>TrdID7055475713</t>
  </si>
  <si>
    <t>TrdID7055475714</t>
  </si>
  <si>
    <t>TrdID7055475715</t>
  </si>
  <si>
    <t>TrdID7055475716</t>
  </si>
  <si>
    <t>TrdID7055475717</t>
  </si>
  <si>
    <t>TrdID7055475718</t>
  </si>
  <si>
    <t>TrdID7055475719</t>
  </si>
  <si>
    <t>TrdID7055475720</t>
  </si>
  <si>
    <t>TrdID7055475721</t>
  </si>
  <si>
    <t>TrdID7055475722</t>
  </si>
  <si>
    <t>TrdID7055475723</t>
  </si>
  <si>
    <t>TrdID7055475724</t>
  </si>
  <si>
    <t>TrdID7055475725</t>
  </si>
  <si>
    <t>TrdID7055475726</t>
  </si>
  <si>
    <t>TrdID7055475727</t>
  </si>
  <si>
    <t>TrdID7055475728</t>
  </si>
  <si>
    <t>TrdID7055475729</t>
  </si>
  <si>
    <t>TrdID7055475730</t>
  </si>
  <si>
    <t>TrdID7055475731</t>
  </si>
  <si>
    <t>TrdID7055475732</t>
  </si>
  <si>
    <t>TrdID7055475733</t>
  </si>
  <si>
    <t>TrdID7055475734</t>
  </si>
  <si>
    <t>TrdID7055475735</t>
  </si>
  <si>
    <t>TrdID7055475736</t>
  </si>
  <si>
    <t>TrdID7055475737</t>
  </si>
  <si>
    <t>TrdID7055475738</t>
  </si>
  <si>
    <t>TrdID7055475739</t>
  </si>
  <si>
    <t>TrdID7055475740</t>
  </si>
  <si>
    <t>TrdID7055475741</t>
  </si>
  <si>
    <t>TrdID7055475742</t>
  </si>
  <si>
    <t>TrdID7055475743</t>
  </si>
  <si>
    <t>TrdID7055475744</t>
  </si>
  <si>
    <t>TrdID7055475745</t>
  </si>
  <si>
    <t>TrdID7055475746</t>
  </si>
  <si>
    <t>TrdID7055475747</t>
  </si>
  <si>
    <t>TrdID7055475748</t>
  </si>
  <si>
    <t>TrdID7055475749</t>
  </si>
  <si>
    <t>TrdID7055475750</t>
  </si>
  <si>
    <t>TrdID7055475751</t>
  </si>
  <si>
    <t>TrdID7055475752</t>
  </si>
  <si>
    <t>TrdID7055475753</t>
  </si>
  <si>
    <t>TrdID7055475754</t>
  </si>
  <si>
    <t>TrdID7055475755</t>
  </si>
  <si>
    <t>TrdID7055475756</t>
  </si>
  <si>
    <t>TrdID7055475757</t>
  </si>
  <si>
    <t>TrdID7055475758</t>
  </si>
  <si>
    <t>TrdID7055475759</t>
  </si>
  <si>
    <t>TrdID7055475760</t>
  </si>
  <si>
    <t>TrdID7055475761</t>
  </si>
  <si>
    <t>TrdID7055475762</t>
  </si>
  <si>
    <t>TrdID7055475763</t>
  </si>
  <si>
    <t>TrdID7055475764</t>
  </si>
  <si>
    <t>TrdID7055475765</t>
  </si>
  <si>
    <t>TrdID7055475766</t>
  </si>
  <si>
    <t>TrdID7055475767</t>
  </si>
  <si>
    <t>TrdID7055475768</t>
  </si>
  <si>
    <t>TrdID7055475769</t>
  </si>
  <si>
    <t>TrdID7055475770</t>
  </si>
  <si>
    <t>TrdID7055475771</t>
  </si>
  <si>
    <t>TrdID7055475772</t>
  </si>
  <si>
    <t>TrdID7055475773</t>
  </si>
  <si>
    <t>TrdID7055475774</t>
  </si>
  <si>
    <t>TrdID7055475775</t>
  </si>
  <si>
    <t>TrdID7055475776</t>
  </si>
  <si>
    <t>TrdID7055475777</t>
  </si>
  <si>
    <t>TrdID7055475778</t>
  </si>
  <si>
    <t>TrdID7055475779</t>
  </si>
  <si>
    <t>TrdID7055475780</t>
  </si>
  <si>
    <t>TrdID7055475781</t>
  </si>
  <si>
    <t>TrdID7055475782</t>
  </si>
  <si>
    <t>TrdID7055475783</t>
  </si>
  <si>
    <t>TrdID7055475784</t>
  </si>
  <si>
    <t>TrdID7055475785</t>
  </si>
  <si>
    <t>TrdID7055475786</t>
  </si>
  <si>
    <t>TrdID7055475787</t>
  </si>
  <si>
    <t>TrdID7055475788</t>
  </si>
  <si>
    <t>TrdID7055475789</t>
  </si>
  <si>
    <t>TrdID7055475790</t>
  </si>
  <si>
    <t>TrdID7055475791</t>
  </si>
  <si>
    <t>TrdID7055475792</t>
  </si>
  <si>
    <t>TrdID7055475793</t>
  </si>
  <si>
    <t>TrdID7055475794</t>
  </si>
  <si>
    <t>TrdID7055475795</t>
  </si>
  <si>
    <t>TrdID7055475796</t>
  </si>
  <si>
    <t>TrdID7055475797</t>
  </si>
  <si>
    <t>TrdID7055475798</t>
  </si>
  <si>
    <t>TrdID7055475799</t>
  </si>
  <si>
    <t>TrdID7055475800</t>
  </si>
  <si>
    <t>TrdID7055475801</t>
  </si>
  <si>
    <t>TrdID7055475802</t>
  </si>
  <si>
    <t>TrdID7055475803</t>
  </si>
  <si>
    <t>TrdID7055475804</t>
  </si>
  <si>
    <t>TrdID7055475805</t>
  </si>
  <si>
    <t>TrdID7055475806</t>
  </si>
  <si>
    <t>TrdID7055475807</t>
  </si>
  <si>
    <t>TrdID7055475808</t>
  </si>
  <si>
    <t>TrdID7055475809</t>
  </si>
  <si>
    <t>TrdID7055475810</t>
  </si>
  <si>
    <t>TrdID7055475811</t>
  </si>
  <si>
    <t>TrdID7055475812</t>
  </si>
  <si>
    <t>TrdID7055475813</t>
  </si>
  <si>
    <t>TrdID7055475814</t>
  </si>
  <si>
    <t>TrdID7055475815</t>
  </si>
  <si>
    <t>TrdID7055475816</t>
  </si>
  <si>
    <t>TrdID7055475817</t>
  </si>
  <si>
    <t>TrdID7055475818</t>
  </si>
  <si>
    <t>TrdID7055475819</t>
  </si>
  <si>
    <t>TrdID7055475820</t>
  </si>
  <si>
    <t>TrdID7055475821</t>
  </si>
  <si>
    <t>TrdID7055475822</t>
  </si>
  <si>
    <t>TrdID7055475823</t>
  </si>
  <si>
    <t>TrdID7055475824</t>
  </si>
  <si>
    <t>TrdID7055475825</t>
  </si>
  <si>
    <t>TrdID7055475826</t>
  </si>
  <si>
    <t>TrdID7055475827</t>
  </si>
  <si>
    <t>TrdID7055475828</t>
  </si>
  <si>
    <t>TrdID7055475829</t>
  </si>
  <si>
    <t>TrdID7055475830</t>
  </si>
  <si>
    <t>TrdID7055475831</t>
  </si>
  <si>
    <t>TrdID7055475832</t>
  </si>
  <si>
    <t>TrdID7055475833</t>
  </si>
  <si>
    <t>TrdID7055475834</t>
  </si>
  <si>
    <t>TrdID7055475835</t>
  </si>
  <si>
    <t>TrdID7055475836</t>
  </si>
  <si>
    <t>TrdID7055475837</t>
  </si>
  <si>
    <t>TrdID7055475838</t>
  </si>
  <si>
    <t>TrdID7055475839</t>
  </si>
  <si>
    <t>TrdID7055475840</t>
  </si>
  <si>
    <t>TrdID7055475841</t>
  </si>
  <si>
    <t>TrdID7055475842</t>
  </si>
  <si>
    <t>TrdID7055475843</t>
  </si>
  <si>
    <t>TrdID7055475844</t>
  </si>
  <si>
    <t>TrdID7055475845</t>
  </si>
  <si>
    <t>TrdID7055475846</t>
  </si>
  <si>
    <t>TrdID7055475847</t>
  </si>
  <si>
    <t>TrdID7055475848</t>
  </si>
  <si>
    <t>TrdID7055475849</t>
  </si>
  <si>
    <t>TrdID7055475850</t>
  </si>
  <si>
    <t>TrdID7055475851</t>
  </si>
  <si>
    <t>TrdID7055475852</t>
  </si>
  <si>
    <t>TrdID7055475853</t>
  </si>
  <si>
    <t>TrdID7055475854</t>
  </si>
  <si>
    <t>TrdID7055475855</t>
  </si>
  <si>
    <t>TrdID7055475856</t>
  </si>
  <si>
    <t>TrdID7055475857</t>
  </si>
  <si>
    <t>TrdID7055475858</t>
  </si>
  <si>
    <t>TrdID7055475859</t>
  </si>
  <si>
    <t>TrdID7055475860</t>
  </si>
  <si>
    <t>TrdID7055475861</t>
  </si>
  <si>
    <t>TrdID7055475862</t>
  </si>
  <si>
    <t>TrdID7055475863</t>
  </si>
  <si>
    <t>TrdID7055475864</t>
  </si>
  <si>
    <t>TrdID7055475865</t>
  </si>
  <si>
    <t>TrdID7055475866</t>
  </si>
  <si>
    <t>TrdID7055475867</t>
  </si>
  <si>
    <t>TrdID7055475868</t>
  </si>
  <si>
    <t>TrdID7055475869</t>
  </si>
  <si>
    <t>TrdID7055475870</t>
  </si>
  <si>
    <t>TrdID7055475871</t>
  </si>
  <si>
    <t>TrdID7055475872</t>
  </si>
  <si>
    <t>TrdID7055475873</t>
  </si>
  <si>
    <t>TrdID7055475874</t>
  </si>
  <si>
    <t>TrdID7055475875</t>
  </si>
  <si>
    <t>TrdID7055475876</t>
  </si>
  <si>
    <t>TrdID7055475877</t>
  </si>
  <si>
    <t>TrdID7055475878</t>
  </si>
  <si>
    <t>TrdID7055475879</t>
  </si>
  <si>
    <t>TrdID7055475880</t>
  </si>
  <si>
    <t>TrdID7055475881</t>
  </si>
  <si>
    <t>TrdID7055475882</t>
  </si>
  <si>
    <t>TrdID7055475883</t>
  </si>
  <si>
    <t>TrdID7055475884</t>
  </si>
  <si>
    <t>TrdID7055475885</t>
  </si>
  <si>
    <t>TrdID7055475886</t>
  </si>
  <si>
    <t>TrdID7055475887</t>
  </si>
  <si>
    <t>TrdID7055475888</t>
  </si>
  <si>
    <t>TrdID7055475889</t>
  </si>
  <si>
    <t>TrdID7055475890</t>
  </si>
  <si>
    <t>TrdID7055475891</t>
  </si>
  <si>
    <t>TrdID7055475892</t>
  </si>
  <si>
    <t>TrdID7055475893</t>
  </si>
  <si>
    <t>TrdID7055475894</t>
  </si>
  <si>
    <t>TrdID7055475895</t>
  </si>
  <si>
    <t>TrdID7055475896</t>
  </si>
  <si>
    <t>TrdID7055475897</t>
  </si>
  <si>
    <t>TrdID7055475898</t>
  </si>
  <si>
    <t>TrdID7055475899</t>
  </si>
  <si>
    <t>TrdID7055475900</t>
  </si>
  <si>
    <t>TrdID7055475901</t>
  </si>
  <si>
    <t>TrdID7055475902</t>
  </si>
  <si>
    <t>TrdID7055475903</t>
  </si>
  <si>
    <t>TrdID7055475904</t>
  </si>
  <si>
    <t>TrdID7055475905</t>
  </si>
  <si>
    <t>TrdID7055475906</t>
  </si>
  <si>
    <t>TrdID7055475907</t>
  </si>
  <si>
    <t>TrdID7055475908</t>
  </si>
  <si>
    <t>TrdID7055475909</t>
  </si>
  <si>
    <t>TrdID7055475910</t>
  </si>
  <si>
    <t>TrdID7055475911</t>
  </si>
  <si>
    <t>TrdID7055475912</t>
  </si>
  <si>
    <t>TrdID7055475913</t>
  </si>
  <si>
    <t>TrdID7055475914</t>
  </si>
  <si>
    <t>TrdID7055475915</t>
  </si>
  <si>
    <t>TrdID7055475916</t>
  </si>
  <si>
    <t>TrdID7055475917</t>
  </si>
  <si>
    <t>TrdID7055475918</t>
  </si>
  <si>
    <t>TrdID7055475919</t>
  </si>
  <si>
    <t>TrdID7055475920</t>
  </si>
  <si>
    <t>TrdID7055475921</t>
  </si>
  <si>
    <t>TrdID7055475922</t>
  </si>
  <si>
    <t>TrdID7055475923</t>
  </si>
  <si>
    <t>TrdID7055475924</t>
  </si>
  <si>
    <t>TrdID7055475925</t>
  </si>
  <si>
    <t>TrdID7055475926</t>
  </si>
  <si>
    <t>TrdID7055475927</t>
  </si>
  <si>
    <t>TrdID7055475928</t>
  </si>
  <si>
    <t>TrdID7055475929</t>
  </si>
  <si>
    <t>TrdID7055475930</t>
  </si>
  <si>
    <t>TrdID7055475931</t>
  </si>
  <si>
    <t>TrdID7055475932</t>
  </si>
  <si>
    <t>TrdID7055475933</t>
  </si>
  <si>
    <t>TrdID7055475934</t>
  </si>
  <si>
    <t>TrdID7055475935</t>
  </si>
  <si>
    <t>TrdID7055475936</t>
  </si>
  <si>
    <t>TrdID7055475937</t>
  </si>
  <si>
    <t>TrdID7055475938</t>
  </si>
  <si>
    <t>TrdID7055475939</t>
  </si>
  <si>
    <t>TrdID7055475940</t>
  </si>
  <si>
    <t>TrdID7055475941</t>
  </si>
  <si>
    <t>TrdID7055475942</t>
  </si>
  <si>
    <t>TrdID7055475943</t>
  </si>
  <si>
    <t>TrdID7055475944</t>
  </si>
  <si>
    <t>TrdID7055475945</t>
  </si>
  <si>
    <t>TrdID7055475946</t>
  </si>
  <si>
    <t>TrdID7055475947</t>
  </si>
  <si>
    <t>TrdID7055475948</t>
  </si>
  <si>
    <t>TrdID7055475949</t>
  </si>
  <si>
    <t>TrdID7055475950</t>
  </si>
  <si>
    <t>TrdID7055475951</t>
  </si>
  <si>
    <t>TrdID7055475952</t>
  </si>
  <si>
    <t>TrdID7055475953</t>
  </si>
  <si>
    <t>TrdID7055475954</t>
  </si>
  <si>
    <t>TrdID7055475955</t>
  </si>
  <si>
    <t>TrdID7055475956</t>
  </si>
  <si>
    <t>TrdID7055475957</t>
  </si>
  <si>
    <t>TrdID7055475958</t>
  </si>
  <si>
    <t>TrdID7055475959</t>
  </si>
  <si>
    <t>TrdID7055475960</t>
  </si>
  <si>
    <t>TrdID7055475961</t>
  </si>
  <si>
    <t>TrdID7055475962</t>
  </si>
  <si>
    <t>TrdID7055475963</t>
  </si>
  <si>
    <t>TrdID7055475964</t>
  </si>
  <si>
    <t>TrdID7055475965</t>
  </si>
  <si>
    <t>TrdID7055475966</t>
  </si>
  <si>
    <t>TrdID7055475967</t>
  </si>
  <si>
    <t>TrdID7055475968</t>
  </si>
  <si>
    <t>TrdID7055475969</t>
  </si>
  <si>
    <t>TrdID7055475970</t>
  </si>
  <si>
    <t>TrdID7055475971</t>
  </si>
  <si>
    <t>TrdID7055475972</t>
  </si>
  <si>
    <t>TrdID7055475973</t>
  </si>
  <si>
    <t>TrdID7055475974</t>
  </si>
  <si>
    <t>TrdID7055475975</t>
  </si>
  <si>
    <t>TrdID7055475976</t>
  </si>
  <si>
    <t>TrdID7055475977</t>
  </si>
  <si>
    <t>TrdID7055475978</t>
  </si>
  <si>
    <t>TrdID7055475979</t>
  </si>
  <si>
    <t>TrdID7055475980</t>
  </si>
  <si>
    <t>TrdID7055475981</t>
  </si>
  <si>
    <t>TrdID7055475982</t>
  </si>
  <si>
    <t>TrdID7055475983</t>
  </si>
  <si>
    <t>TrdID7055475984</t>
  </si>
  <si>
    <t>TrdID7055475985</t>
  </si>
  <si>
    <t>TrdID7055475986</t>
  </si>
  <si>
    <t>TrdID7055475987</t>
  </si>
  <si>
    <t>TrdID7055475988</t>
  </si>
  <si>
    <t>TrdID7055475989</t>
  </si>
  <si>
    <t>TrdID7055475990</t>
  </si>
  <si>
    <t>TrdID7055475991</t>
  </si>
  <si>
    <t>TrdID7055475992</t>
  </si>
  <si>
    <t>TrdID7055475993</t>
  </si>
  <si>
    <t>TrdID7055475994</t>
  </si>
  <si>
    <t>TrdID7055475995</t>
  </si>
  <si>
    <t>TrdID7055475996</t>
  </si>
  <si>
    <t>TrdID7055475997</t>
  </si>
  <si>
    <t>TrdID7055475998</t>
  </si>
  <si>
    <t>TrdID7055475999</t>
  </si>
  <si>
    <t>TrdID7055476000</t>
  </si>
  <si>
    <t>TrdID7055476001</t>
  </si>
  <si>
    <t>TrdID7055476002</t>
  </si>
  <si>
    <t>TrdID7055476003</t>
  </si>
  <si>
    <t>TrdID7055476004</t>
  </si>
  <si>
    <t>TrdID7055476005</t>
  </si>
  <si>
    <t>TrdID7055476006</t>
  </si>
  <si>
    <t>TrdID7055476007</t>
  </si>
  <si>
    <t>TrdID7055476008</t>
  </si>
  <si>
    <t>TrdID7055476009</t>
  </si>
  <si>
    <t>TrdID7055476010</t>
  </si>
  <si>
    <t>TrdID7055476011</t>
  </si>
  <si>
    <t>TrdID7055476012</t>
  </si>
  <si>
    <t>TrdID7055476013</t>
  </si>
  <si>
    <t>TrdID7055476014</t>
  </si>
  <si>
    <t>TrdID7055476015</t>
  </si>
  <si>
    <t>TrdID7055476016</t>
  </si>
  <si>
    <t>TrdID7055476017</t>
  </si>
  <si>
    <t>TrdID7055476018</t>
  </si>
  <si>
    <t>TrdID7055476019</t>
  </si>
  <si>
    <t>TrdID7055476020</t>
  </si>
  <si>
    <t>TrdID7055476021</t>
  </si>
  <si>
    <t>TrdID7055476022</t>
  </si>
  <si>
    <t>TrdID7055476023</t>
  </si>
  <si>
    <t>TrdID7055476024</t>
  </si>
  <si>
    <t>TrdID7055476025</t>
  </si>
  <si>
    <t>TrdID7055476026</t>
  </si>
  <si>
    <t>TrdID7055476027</t>
  </si>
  <si>
    <t>TrdID7055476028</t>
  </si>
  <si>
    <t>TrdID7055476029</t>
  </si>
  <si>
    <t>TrdID7055476030</t>
  </si>
  <si>
    <t>TrdID7055476031</t>
  </si>
  <si>
    <t>TrdID7055476032</t>
  </si>
  <si>
    <t>TrdID7055476033</t>
  </si>
  <si>
    <t>TrdID7055476034</t>
  </si>
  <si>
    <t>TrdID7055476035</t>
  </si>
  <si>
    <t>TrdID7055476036</t>
  </si>
  <si>
    <t>TrdID7055476037</t>
  </si>
  <si>
    <t>TrdID7055476038</t>
  </si>
  <si>
    <t>TrdID7055476039</t>
  </si>
  <si>
    <t>TrdID7055476040</t>
  </si>
  <si>
    <t>TrdID7055476041</t>
  </si>
  <si>
    <t>TrdID7055476042</t>
  </si>
  <si>
    <t>TrdID7055476043</t>
  </si>
  <si>
    <t>TrdID7055476044</t>
  </si>
  <si>
    <t>TrdID7055476045</t>
  </si>
  <si>
    <t>TrdID7055476046</t>
  </si>
  <si>
    <t>TrdID7055476047</t>
  </si>
  <si>
    <t>TrdID7055476048</t>
  </si>
  <si>
    <t>TrdID7055476049</t>
  </si>
  <si>
    <t>TrdID7055476050</t>
  </si>
  <si>
    <t>TrdID7055476051</t>
  </si>
  <si>
    <t>TrdID7055476052</t>
  </si>
  <si>
    <t>TrdID7055476053</t>
  </si>
  <si>
    <t>TrdID7055476054</t>
  </si>
  <si>
    <t>TrdID7055476055</t>
  </si>
  <si>
    <t>TrdID7055476056</t>
  </si>
  <si>
    <t>TrdID7055476057</t>
  </si>
  <si>
    <t>TrdID7055476058</t>
  </si>
  <si>
    <t>TrdID7055476059</t>
  </si>
  <si>
    <t>TrdID7055476060</t>
  </si>
  <si>
    <t>TrdID7055476061</t>
  </si>
  <si>
    <t>TrdID7055476062</t>
  </si>
  <si>
    <t>TrdID7055476063</t>
  </si>
  <si>
    <t>TrdID7055476064</t>
  </si>
  <si>
    <t>TrdID7055476065</t>
  </si>
  <si>
    <t>TrdID7055476066</t>
  </si>
  <si>
    <t>TrdID7055476067</t>
  </si>
  <si>
    <t>TrdID7055476068</t>
  </si>
  <si>
    <t>TrdID7055476069</t>
  </si>
  <si>
    <t>TrdID7055476070</t>
  </si>
  <si>
    <t>TrdID7055476071</t>
  </si>
  <si>
    <t>TrdID7055476072</t>
  </si>
  <si>
    <t>TrdID7055476073</t>
  </si>
  <si>
    <t>TrdID7055476074</t>
  </si>
  <si>
    <t>TrdID7055476075</t>
  </si>
  <si>
    <t>TrdID7055476076</t>
  </si>
  <si>
    <t>TrdID7055476077</t>
  </si>
  <si>
    <t>TrdID7055476078</t>
  </si>
  <si>
    <t>TrdID7055476079</t>
  </si>
  <si>
    <t>TrdID7055476080</t>
  </si>
  <si>
    <t>TrdID7055476081</t>
  </si>
  <si>
    <t>TrdID7055476082</t>
  </si>
  <si>
    <t>TrdID7055476083</t>
  </si>
  <si>
    <t>TrdID7055476084</t>
  </si>
  <si>
    <t>TrdID7055476085</t>
  </si>
  <si>
    <t>TrdID7055476086</t>
  </si>
  <si>
    <t>TrdID7055476087</t>
  </si>
  <si>
    <t>TrdID7055476088</t>
  </si>
  <si>
    <t>TrdID7055476089</t>
  </si>
  <si>
    <t>TrdID7055476090</t>
  </si>
  <si>
    <t>TrdID7055476091</t>
  </si>
  <si>
    <t>TrdID7055476092</t>
  </si>
  <si>
    <t>TrdID7055476093</t>
  </si>
  <si>
    <t>TrdID7055476094</t>
  </si>
  <si>
    <t>TrdID7055476095</t>
  </si>
  <si>
    <t>TrdID7055476096</t>
  </si>
  <si>
    <t>TrdID7055476097</t>
  </si>
  <si>
    <t>TrdID7055476098</t>
  </si>
  <si>
    <t>TrdID7055476099</t>
  </si>
  <si>
    <t>TrdID7055476100</t>
  </si>
  <si>
    <t>TrdID7055476101</t>
  </si>
  <si>
    <t>TrdID7055476102</t>
  </si>
  <si>
    <t>TrdID7055476103</t>
  </si>
  <si>
    <t>TrdID7055476104</t>
  </si>
  <si>
    <t>TrdID7055476105</t>
  </si>
  <si>
    <t>TrdID7055476106</t>
  </si>
  <si>
    <t>TrdID7055476107</t>
  </si>
  <si>
    <t>TrdID7055476108</t>
  </si>
  <si>
    <t>TrdID7055476109</t>
  </si>
  <si>
    <t>TrdID7055476110</t>
  </si>
  <si>
    <t>TrdID7055476111</t>
  </si>
  <si>
    <t>TrdID7055476112</t>
  </si>
  <si>
    <t>TrdID7055476113</t>
  </si>
  <si>
    <t>TrdID7055476114</t>
  </si>
  <si>
    <t>TrdID7055476115</t>
  </si>
  <si>
    <t>TrdID7055476116</t>
  </si>
  <si>
    <t>TrdID7055476117</t>
  </si>
  <si>
    <t>TrdID7055476118</t>
  </si>
  <si>
    <t>TrdID7055476119</t>
  </si>
  <si>
    <t>TrdID7055476120</t>
  </si>
  <si>
    <t>TrdID7055476121</t>
  </si>
  <si>
    <t>TrdID7055476122</t>
  </si>
  <si>
    <t>TrdID7055476123</t>
  </si>
  <si>
    <t>TrdID7055476124</t>
  </si>
  <si>
    <t>TrdID7055476125</t>
  </si>
  <si>
    <t>TrdID7055476126</t>
  </si>
  <si>
    <t>TrdID7055476127</t>
  </si>
  <si>
    <t>TrdID7055476128</t>
  </si>
  <si>
    <t>TrdID7055476129</t>
  </si>
  <si>
    <t>TrdID7055476130</t>
  </si>
  <si>
    <t>TrdID7055476131</t>
  </si>
  <si>
    <t>TrdID7055476132</t>
  </si>
  <si>
    <t>TrdID7055476133</t>
  </si>
  <si>
    <t>TrdID7055476134</t>
  </si>
  <si>
    <t>TrdID7055476135</t>
  </si>
  <si>
    <t>TrdID7055476136</t>
  </si>
  <si>
    <t>TrdID7055476137</t>
  </si>
  <si>
    <t>TrdID7055476138</t>
  </si>
  <si>
    <t>TrdID7055476139</t>
  </si>
  <si>
    <t>TrdID7055476140</t>
  </si>
  <si>
    <t>TrdID7055476141</t>
  </si>
  <si>
    <t>TrdID7055476142</t>
  </si>
  <si>
    <t>TrdID7055476143</t>
  </si>
  <si>
    <t>TrdID7055476144</t>
  </si>
  <si>
    <t>TrdID7055476145</t>
  </si>
  <si>
    <t>TrdID7055476146</t>
  </si>
  <si>
    <t>TrdID7055476147</t>
  </si>
  <si>
    <t>TrdID7055476148</t>
  </si>
  <si>
    <t>TrdID7055476149</t>
  </si>
  <si>
    <t>TrdID7055476150</t>
  </si>
  <si>
    <t>TrdID7055476151</t>
  </si>
  <si>
    <t>TrdID7055476152</t>
  </si>
  <si>
    <t>TrdID7055476153</t>
  </si>
  <si>
    <t>TrdID7055476154</t>
  </si>
  <si>
    <t>TrdID7055476155</t>
  </si>
  <si>
    <t>TrdID7055476156</t>
  </si>
  <si>
    <t>TrdID7055476157</t>
  </si>
  <si>
    <t>TrdID7055476158</t>
  </si>
  <si>
    <t>TrdID7055476159</t>
  </si>
  <si>
    <t>TrdID7055476160</t>
  </si>
  <si>
    <t>TrdID7055476161</t>
  </si>
  <si>
    <t>TrdID7055476162</t>
  </si>
  <si>
    <t>TrdID7055476163</t>
  </si>
  <si>
    <t>TrdID7055476164</t>
  </si>
  <si>
    <t>TrdID7055476165</t>
  </si>
  <si>
    <t>TrdID7055476166</t>
  </si>
  <si>
    <t>TrdID7055476167</t>
  </si>
  <si>
    <t>TrdID7055476168</t>
  </si>
  <si>
    <t>TrdID7055476169</t>
  </si>
  <si>
    <t>TrdID7055476170</t>
  </si>
  <si>
    <t>TrdID7055476171</t>
  </si>
  <si>
    <t>TrdID7055476172</t>
  </si>
  <si>
    <t>TrdID7055476173</t>
  </si>
  <si>
    <t>TrdID7055476174</t>
  </si>
  <si>
    <t>TrdID7055476175</t>
  </si>
  <si>
    <t>TrdID7055476176</t>
  </si>
  <si>
    <t>TrdID7055476177</t>
  </si>
  <si>
    <t>TrdID7055476178</t>
  </si>
  <si>
    <t>TrdID7055476179</t>
  </si>
  <si>
    <t>TrdID7055476180</t>
  </si>
  <si>
    <t>TrdID7055476181</t>
  </si>
  <si>
    <t>TrdID7055476182</t>
  </si>
  <si>
    <t>TrdID7055476183</t>
  </si>
  <si>
    <t>TrdID7055476184</t>
  </si>
  <si>
    <t>TrdID7055476185</t>
  </si>
  <si>
    <t>TrdID7055476186</t>
  </si>
  <si>
    <t>TrdID7055476187</t>
  </si>
  <si>
    <t>TrdID7055476188</t>
  </si>
  <si>
    <t>TrdID7055476189</t>
  </si>
  <si>
    <t>TrdID7055476190</t>
  </si>
  <si>
    <t>TrdID7055476191</t>
  </si>
  <si>
    <t>TrdID7055476192</t>
  </si>
  <si>
    <t>TrdID7055476193</t>
  </si>
  <si>
    <t>TrdID7055476194</t>
  </si>
  <si>
    <t>TrdID7055476195</t>
  </si>
  <si>
    <t>TrdID7055476196</t>
  </si>
  <si>
    <t>TrdID7055476197</t>
  </si>
  <si>
    <t>TrdID7055476198</t>
  </si>
  <si>
    <t>TrdID7055476199</t>
  </si>
  <si>
    <t>TrdID7055476200</t>
  </si>
  <si>
    <t>TrdID7055476201</t>
  </si>
  <si>
    <t>TrdID7055476202</t>
  </si>
  <si>
    <t>TrdID7055476203</t>
  </si>
  <si>
    <t>TrdID7055476204</t>
  </si>
  <si>
    <t>TrdID7055476205</t>
  </si>
  <si>
    <t>TrdID7055476206</t>
  </si>
  <si>
    <t>TrdID7055476207</t>
  </si>
  <si>
    <t>TrdID7055476208</t>
  </si>
  <si>
    <t>TrdID7055476209</t>
  </si>
  <si>
    <t>TrdID7055476210</t>
  </si>
  <si>
    <t>TrdID7055476211</t>
  </si>
  <si>
    <t>TrdID7055476212</t>
  </si>
  <si>
    <t>TrdID7055476213</t>
  </si>
  <si>
    <t>TrdID7055476214</t>
  </si>
  <si>
    <t>TrdID7055476215</t>
  </si>
  <si>
    <t>TrdID7055476216</t>
  </si>
  <si>
    <t>TrdID7055476217</t>
  </si>
  <si>
    <t>TrdID7055476218</t>
  </si>
  <si>
    <t>TrdID7055476219</t>
  </si>
  <si>
    <t>TrdID7055476220</t>
  </si>
  <si>
    <t>TrdID7055476221</t>
  </si>
  <si>
    <t>TrdID7055476222</t>
  </si>
  <si>
    <t>TrdID7055476223</t>
  </si>
  <si>
    <t>TrdID7055476224</t>
  </si>
  <si>
    <t>TrdID7055476225</t>
  </si>
  <si>
    <t>TrdID7055476226</t>
  </si>
  <si>
    <t>TrdID7055476227</t>
  </si>
  <si>
    <t>TrdID7055476228</t>
  </si>
  <si>
    <t>TrdID7055476229</t>
  </si>
  <si>
    <t>TrdID7055476230</t>
  </si>
  <si>
    <t>TrdID7055476231</t>
  </si>
  <si>
    <t>TrdID7055476232</t>
  </si>
  <si>
    <t>TrdID7055476233</t>
  </si>
  <si>
    <t>TrdID7055476234</t>
  </si>
  <si>
    <t>TrdID7055476235</t>
  </si>
  <si>
    <t>TrdID7055476236</t>
  </si>
  <si>
    <t>TrdID7055476237</t>
  </si>
  <si>
    <t>TrdID7055476238</t>
  </si>
  <si>
    <t>TrdID7055476239</t>
  </si>
  <si>
    <t>TrdID7055476240</t>
  </si>
  <si>
    <t>TrdID7055476241</t>
  </si>
  <si>
    <t>TrdID7055476242</t>
  </si>
  <si>
    <t>TrdID7055476243</t>
  </si>
  <si>
    <t>TrdID7055476244</t>
  </si>
  <si>
    <t>TrdID7055476245</t>
  </si>
  <si>
    <t>TrdID7055476246</t>
  </si>
  <si>
    <t>TrdID7055476247</t>
  </si>
  <si>
    <t>TrdID7055476248</t>
  </si>
  <si>
    <t>TrdID7055476249</t>
  </si>
  <si>
    <t>TrdID7055476250</t>
  </si>
  <si>
    <t>TrdID7055476251</t>
  </si>
  <si>
    <t>TrdID7055476252</t>
  </si>
  <si>
    <t>TrdID7055476253</t>
  </si>
  <si>
    <t>TrdID7055476254</t>
  </si>
  <si>
    <t>TrdID7055476255</t>
  </si>
  <si>
    <t>TrdID7055476256</t>
  </si>
  <si>
    <t>TrdID7055476257</t>
  </si>
  <si>
    <t>TrdID7055476258</t>
  </si>
  <si>
    <t>TrdID7055476259</t>
  </si>
  <si>
    <t>TrdID7055476260</t>
  </si>
  <si>
    <t>TrdID7055476261</t>
  </si>
  <si>
    <t>TrdID7055476262</t>
  </si>
  <si>
    <t>TrdID7055476263</t>
  </si>
  <si>
    <t>TrdID7055476264</t>
  </si>
  <si>
    <t>TrdID7055476265</t>
  </si>
  <si>
    <t>TrdID7055476266</t>
  </si>
  <si>
    <t>TrdID7055476267</t>
  </si>
  <si>
    <t>TrdID7055476268</t>
  </si>
  <si>
    <t>TrdID7055476269</t>
  </si>
  <si>
    <t>TrdID7055476270</t>
  </si>
  <si>
    <t>TrdID7055476271</t>
  </si>
  <si>
    <t>TrdID7055476272</t>
  </si>
  <si>
    <t>TrdID7055476273</t>
  </si>
  <si>
    <t>TrdID7055476274</t>
  </si>
  <si>
    <t>TrdID7055476275</t>
  </si>
  <si>
    <t>TrdID7055476276</t>
  </si>
  <si>
    <t>TrdID7055476277</t>
  </si>
  <si>
    <t>TrdID7055476278</t>
  </si>
  <si>
    <t>TrdID7055476279</t>
  </si>
  <si>
    <t>TrdID7055476280</t>
  </si>
  <si>
    <t>TrdID7055476281</t>
  </si>
  <si>
    <t>TrdID7055476282</t>
  </si>
  <si>
    <t>TrdID7055476283</t>
  </si>
  <si>
    <t>TrdID7055476284</t>
  </si>
  <si>
    <t>TrdID7055476285</t>
  </si>
  <si>
    <t>TrdID7055476286</t>
  </si>
  <si>
    <t>TrdID7055476287</t>
  </si>
  <si>
    <t>TrdID7055476288</t>
  </si>
  <si>
    <t>TrdID7055476289</t>
  </si>
  <si>
    <t>TrdID7055476290</t>
  </si>
  <si>
    <t>TrdID7055476291</t>
  </si>
  <si>
    <t>TrdID7055476292</t>
  </si>
  <si>
    <t>TrdID7055476293</t>
  </si>
  <si>
    <t>TrdID7055476294</t>
  </si>
  <si>
    <t>TrdID7055476295</t>
  </si>
  <si>
    <t>TrdID7055476296</t>
  </si>
  <si>
    <t>TrdID7055476297</t>
  </si>
  <si>
    <t>TrdID7055476298</t>
  </si>
  <si>
    <t>TrdID7055476299</t>
  </si>
  <si>
    <t>TrdID7055476300</t>
  </si>
  <si>
    <t>TrdID7055476301</t>
  </si>
  <si>
    <t>TrdID7055476302</t>
  </si>
  <si>
    <t>TrdID7055476303</t>
  </si>
  <si>
    <t>TrdID7055476304</t>
  </si>
  <si>
    <t>TrdID7055476305</t>
  </si>
  <si>
    <t>TrdID7055476306</t>
  </si>
  <si>
    <t>TrdID7055476307</t>
  </si>
  <si>
    <t>TrdID7055476308</t>
  </si>
  <si>
    <t>TrdID7055476309</t>
  </si>
  <si>
    <t>TrdID7055476310</t>
  </si>
  <si>
    <t>TrdID7055476311</t>
  </si>
  <si>
    <t>TrdID7055476312</t>
  </si>
  <si>
    <t>TrdID7055476313</t>
  </si>
  <si>
    <t>TrdID7055476314</t>
  </si>
  <si>
    <t>TrdID7055476315</t>
  </si>
  <si>
    <t>TrdID7055476316</t>
  </si>
  <si>
    <t>TrdID7055476317</t>
  </si>
  <si>
    <t>TrdID7055476318</t>
  </si>
  <si>
    <t>TrdID7055476319</t>
  </si>
  <si>
    <t>TrdID7055476320</t>
  </si>
  <si>
    <t>TrdID7055476321</t>
  </si>
  <si>
    <t>TrdID7055476322</t>
  </si>
  <si>
    <t>TrdID7055476323</t>
  </si>
  <si>
    <t>TrdID7055476324</t>
  </si>
  <si>
    <t>TrdID7055476325</t>
  </si>
  <si>
    <t>TrdID7055476326</t>
  </si>
  <si>
    <t>TrdID7055476327</t>
  </si>
  <si>
    <t>TrdID7055476328</t>
  </si>
  <si>
    <t>TrdID7055476329</t>
  </si>
  <si>
    <t>TrdID7055476330</t>
  </si>
  <si>
    <t>TrdID7055476331</t>
  </si>
  <si>
    <t>TrdID7055476332</t>
  </si>
  <si>
    <t>TrdID7055476333</t>
  </si>
  <si>
    <t>TrdID7055476334</t>
  </si>
  <si>
    <t>TrdID7055476335</t>
  </si>
  <si>
    <t>TrdID7055476336</t>
  </si>
  <si>
    <t>TrdID7055476337</t>
  </si>
  <si>
    <t>TrdID7055476338</t>
  </si>
  <si>
    <t>TrdID7055476339</t>
  </si>
  <si>
    <t>TrdID7055476340</t>
  </si>
  <si>
    <t>TrdID7055476341</t>
  </si>
  <si>
    <t>TrdID7055476342</t>
  </si>
  <si>
    <t>TrdID7055476343</t>
  </si>
  <si>
    <t>TrdID7055476344</t>
  </si>
  <si>
    <t>TrdID7055476345</t>
  </si>
  <si>
    <t>TrdID7055476346</t>
  </si>
  <si>
    <t>TrdID7055476347</t>
  </si>
  <si>
    <t>TrdID7055476348</t>
  </si>
  <si>
    <t>TrdID7055476349</t>
  </si>
  <si>
    <t>TrdID7055476350</t>
  </si>
  <si>
    <t>TrdID7055476351</t>
  </si>
  <si>
    <t>TrdID7055476352</t>
  </si>
  <si>
    <t>TrdID7055476353</t>
  </si>
  <si>
    <t>TrdID7055476354</t>
  </si>
  <si>
    <t>TrdID7055476355</t>
  </si>
  <si>
    <t>TrdID7055476356</t>
  </si>
  <si>
    <t>TrdID7055476357</t>
  </si>
  <si>
    <t>TrdID7055476358</t>
  </si>
  <si>
    <t>TrdID7055476359</t>
  </si>
  <si>
    <t>TrdID7055476360</t>
  </si>
  <si>
    <t>TrdID7055476361</t>
  </si>
  <si>
    <t>TrdID7055476362</t>
  </si>
  <si>
    <t>TrdID7055476363</t>
  </si>
  <si>
    <t>TrdID7055476364</t>
  </si>
  <si>
    <t>TrdID7055476365</t>
  </si>
  <si>
    <t>TrdID7055476366</t>
  </si>
  <si>
    <t>TrdID7055476367</t>
  </si>
  <si>
    <t>TrdID7055476368</t>
  </si>
  <si>
    <t>TrdID7055476369</t>
  </si>
  <si>
    <t>TrdID7055476370</t>
  </si>
  <si>
    <t>TrdID7055476371</t>
  </si>
  <si>
    <t>TrdID7055476372</t>
  </si>
  <si>
    <t>TrdID7055476373</t>
  </si>
  <si>
    <t>TrdID7055476374</t>
  </si>
  <si>
    <t>TrdID7055476375</t>
  </si>
  <si>
    <t>TrdID7055476376</t>
  </si>
  <si>
    <t>TrdID7055476377</t>
  </si>
  <si>
    <t>TrdID7055476378</t>
  </si>
  <si>
    <t>TrdID7055476379</t>
  </si>
  <si>
    <t>TrdID7055476380</t>
  </si>
  <si>
    <t>TrdID7055476381</t>
  </si>
  <si>
    <t>TrdID7055476382</t>
  </si>
  <si>
    <t>TrdID7055476383</t>
  </si>
  <si>
    <t>TrdID7055476384</t>
  </si>
  <si>
    <t>TrdID7055476385</t>
  </si>
  <si>
    <t>TrdID7055476386</t>
  </si>
  <si>
    <t>TrdID7055476387</t>
  </si>
  <si>
    <t>TrdID7055476388</t>
  </si>
  <si>
    <t>TrdID7055476389</t>
  </si>
  <si>
    <t>TrdID7055476390</t>
  </si>
  <si>
    <t>TrdID7055476391</t>
  </si>
  <si>
    <t>TrdID7055476392</t>
  </si>
  <si>
    <t>TrdID7055476393</t>
  </si>
  <si>
    <t>TrdID7055476394</t>
  </si>
  <si>
    <t>TrdID7055476395</t>
  </si>
  <si>
    <t>TrdID7055476396</t>
  </si>
  <si>
    <t>TrdID7055476397</t>
  </si>
  <si>
    <t>TrdID7055476398</t>
  </si>
  <si>
    <t>TrdID7055476399</t>
  </si>
  <si>
    <t>TrdID7055476400</t>
  </si>
  <si>
    <t>TrdID7055476401</t>
  </si>
  <si>
    <t>TrdID7055476402</t>
  </si>
  <si>
    <t>TrdID7055476403</t>
  </si>
  <si>
    <t>TrdID7055476404</t>
  </si>
  <si>
    <t>TrdID7055476405</t>
  </si>
  <si>
    <t>TrdID7055476406</t>
  </si>
  <si>
    <t>TrdID7055476407</t>
  </si>
  <si>
    <t>TrdID7055476408</t>
  </si>
  <si>
    <t>TrdID7055476409</t>
  </si>
  <si>
    <t>TrdID7055476410</t>
  </si>
  <si>
    <t>TrdID7055476411</t>
  </si>
  <si>
    <t>TrdID7055476412</t>
  </si>
  <si>
    <t>TrdID7055476413</t>
  </si>
  <si>
    <t>TrdID7055476414</t>
  </si>
  <si>
    <t>TrdID7055476415</t>
  </si>
  <si>
    <t>TrdID7055476416</t>
  </si>
  <si>
    <t>TrdID7055476417</t>
  </si>
  <si>
    <t>TrdID7055476418</t>
  </si>
  <si>
    <t>TrdID7055476419</t>
  </si>
  <si>
    <t>TrdID7055476420</t>
  </si>
  <si>
    <t>TrdID7055476421</t>
  </si>
  <si>
    <t>TrdID7055476422</t>
  </si>
  <si>
    <t>TrdID7055476423</t>
  </si>
  <si>
    <t>TrdID7055476424</t>
  </si>
  <si>
    <t>TrdID7055476425</t>
  </si>
  <si>
    <t>TrdID7055476426</t>
  </si>
  <si>
    <t>TrdID7055476427</t>
  </si>
  <si>
    <t>TrdID7055476428</t>
  </si>
  <si>
    <t>TrdID7055476429</t>
  </si>
  <si>
    <t>TrdID7055476430</t>
  </si>
  <si>
    <t>TrdID7055476431</t>
  </si>
  <si>
    <t>TrdID7055476432</t>
  </si>
  <si>
    <t>TrdID7055476433</t>
  </si>
  <si>
    <t>TrdID7055476434</t>
  </si>
  <si>
    <t>TrdID7055476435</t>
  </si>
  <si>
    <t>TrdID7055476436</t>
  </si>
  <si>
    <t>TrdID7055476437</t>
  </si>
  <si>
    <t>TrdID7055476438</t>
  </si>
  <si>
    <t>TrdID7055476439</t>
  </si>
  <si>
    <t>TrdID7055476440</t>
  </si>
  <si>
    <t>TrdID7055476441</t>
  </si>
  <si>
    <t>TrdID7055476442</t>
  </si>
  <si>
    <t>TrdID7055476443</t>
  </si>
  <si>
    <t>TrdID7055476444</t>
  </si>
  <si>
    <t>TrdID7055476445</t>
  </si>
  <si>
    <t>TrdID7055476446</t>
  </si>
  <si>
    <t>TrdID7055476447</t>
  </si>
  <si>
    <t>TrdID7055476448</t>
  </si>
  <si>
    <t>TrdID7055476449</t>
  </si>
  <si>
    <t>TrdID7055476450</t>
  </si>
  <si>
    <t>TrdID7055476451</t>
  </si>
  <si>
    <t>TrdID7055476452</t>
  </si>
  <si>
    <t>TrdID7055476453</t>
  </si>
  <si>
    <t>TrdID7055476454</t>
  </si>
  <si>
    <t>TrdID7055476455</t>
  </si>
  <si>
    <t>TrdID7055476456</t>
  </si>
  <si>
    <t>TrdID7055476457</t>
  </si>
  <si>
    <t>TrdID7055476458</t>
  </si>
  <si>
    <t>TrdID7055476459</t>
  </si>
  <si>
    <t>TrdID7055476460</t>
  </si>
  <si>
    <t>TrdID7055476461</t>
  </si>
  <si>
    <t>TrdID7055476462</t>
  </si>
  <si>
    <t>TrdID7055476463</t>
  </si>
  <si>
    <t>TrdID7055476464</t>
  </si>
  <si>
    <t>TrdID7055476465</t>
  </si>
  <si>
    <t>TrdID7055476466</t>
  </si>
  <si>
    <t>TrdID7055476467</t>
  </si>
  <si>
    <t>TrdID7055476468</t>
  </si>
  <si>
    <t>TrdID7055476469</t>
  </si>
  <si>
    <t>TrdID7055476470</t>
  </si>
  <si>
    <t>TrdID7055476471</t>
  </si>
  <si>
    <t>TrdID7055476472</t>
  </si>
  <si>
    <t>TrdID7055476473</t>
  </si>
  <si>
    <t>TrdID7055476474</t>
  </si>
  <si>
    <t>TrdID7055476475</t>
  </si>
  <si>
    <t>TrdID7055476476</t>
  </si>
  <si>
    <t>TrdID7055476477</t>
  </si>
  <si>
    <t>TrdID7055476478</t>
  </si>
  <si>
    <t>TrdID7055476479</t>
  </si>
  <si>
    <t>TrdID7055476480</t>
  </si>
  <si>
    <t>TrdID7055476481</t>
  </si>
  <si>
    <t>TrdID7055476482</t>
  </si>
  <si>
    <t>TrdID7055476483</t>
  </si>
  <si>
    <t>TrdID7055476484</t>
  </si>
  <si>
    <t>TrdID7055476485</t>
  </si>
  <si>
    <t>TrdID7055476486</t>
  </si>
  <si>
    <t>TrdID7055476487</t>
  </si>
  <si>
    <t>TrdID7055476488</t>
  </si>
  <si>
    <t>TrdID7055476489</t>
  </si>
  <si>
    <t>TrdID7055476490</t>
  </si>
  <si>
    <t>TrdID7055476491</t>
  </si>
  <si>
    <t>TrdID7055476492</t>
  </si>
  <si>
    <t>TrdID7055476493</t>
  </si>
  <si>
    <t>TrdID7055476494</t>
  </si>
  <si>
    <t>TrdID7055476495</t>
  </si>
  <si>
    <t>TrdID7055476496</t>
  </si>
  <si>
    <t>TrdID7055476497</t>
  </si>
  <si>
    <t>TrdID7055476498</t>
  </si>
  <si>
    <t>TrdID7055476499</t>
  </si>
  <si>
    <t>TrdID7055476500</t>
  </si>
  <si>
    <t>TrdID7055476501</t>
  </si>
  <si>
    <t>TrdID7055476502</t>
  </si>
  <si>
    <t>TrdID7055476503</t>
  </si>
  <si>
    <t>TrdID7055476504</t>
  </si>
  <si>
    <t>TrdID7055476505</t>
  </si>
  <si>
    <t>TrdID7055476506</t>
  </si>
  <si>
    <t>TrdID7055476507</t>
  </si>
  <si>
    <t>TrdID7055476508</t>
  </si>
  <si>
    <t>TrdID7055476509</t>
  </si>
  <si>
    <t>TrdID7055476510</t>
  </si>
  <si>
    <t>TrdID7055476511</t>
  </si>
  <si>
    <t>TrdID7055476512</t>
  </si>
  <si>
    <t>TrdID7055476513</t>
  </si>
  <si>
    <t>TrdID7055476514</t>
  </si>
  <si>
    <t>TrdID7055476515</t>
  </si>
  <si>
    <t>TrdID7055476516</t>
  </si>
  <si>
    <t>TrdID7055476517</t>
  </si>
  <si>
    <t>TrdID7055476518</t>
  </si>
  <si>
    <t>TrdID7055476519</t>
  </si>
  <si>
    <t>TrdID7055476520</t>
  </si>
  <si>
    <t>TrdID7055476521</t>
  </si>
  <si>
    <t>TrdID7055476522</t>
  </si>
  <si>
    <t>TrdID7055476523</t>
  </si>
  <si>
    <t>TrdID7055476524</t>
  </si>
  <si>
    <t>TrdID7055476525</t>
  </si>
  <si>
    <t>TrdID7055476526</t>
  </si>
  <si>
    <t>TrdID7055476527</t>
  </si>
  <si>
    <t>TrdID7055476528</t>
  </si>
  <si>
    <t>TrdID7055476529</t>
  </si>
  <si>
    <t>TrdID7055476530</t>
  </si>
  <si>
    <t>TrdID7055476531</t>
  </si>
  <si>
    <t>TrdID7055476532</t>
  </si>
  <si>
    <t>TrdID7055476533</t>
  </si>
  <si>
    <t>TrdID7055476534</t>
  </si>
  <si>
    <t>TrdID7055476535</t>
  </si>
  <si>
    <t>TrdID7055476536</t>
  </si>
  <si>
    <t>TrdID7055476537</t>
  </si>
  <si>
    <t>TrdID7055476538</t>
  </si>
  <si>
    <t>TrdID7055476539</t>
  </si>
  <si>
    <t>TrdID7055476540</t>
  </si>
  <si>
    <t>TrdID7055476541</t>
  </si>
  <si>
    <t>TrdID7055476542</t>
  </si>
  <si>
    <t>TrdID7055476543</t>
  </si>
  <si>
    <t>TrdID7055476544</t>
  </si>
  <si>
    <t>TrdID7055476545</t>
  </si>
  <si>
    <t>TrdID7055476546</t>
  </si>
  <si>
    <t>TrdID7055476547</t>
  </si>
  <si>
    <t>TrdID7055476548</t>
  </si>
  <si>
    <t>TrdID7055476549</t>
  </si>
  <si>
    <t>TrdID7055476550</t>
  </si>
  <si>
    <t>TrdID7055476551</t>
  </si>
  <si>
    <t>TrdID7055476552</t>
  </si>
  <si>
    <t>TrdID7055476553</t>
  </si>
  <si>
    <t>TrdID7055476554</t>
  </si>
  <si>
    <t>TrdID7055476555</t>
  </si>
  <si>
    <t>TrdID7055476556</t>
  </si>
  <si>
    <t>TrdID7055476557</t>
  </si>
  <si>
    <t>TrdID7055476558</t>
  </si>
  <si>
    <t>TrdID7055476559</t>
  </si>
  <si>
    <t>TrdID7055476560</t>
  </si>
  <si>
    <t>TrdID7055476561</t>
  </si>
  <si>
    <t>TrdID7055476562</t>
  </si>
  <si>
    <t>TrdID7055476563</t>
  </si>
  <si>
    <t>TrdID7055476564</t>
  </si>
  <si>
    <t>TrdID7055476565</t>
  </si>
  <si>
    <t>TrdID7055476566</t>
  </si>
  <si>
    <t>TrdID7055476567</t>
  </si>
  <si>
    <t>TrdID7055476568</t>
  </si>
  <si>
    <t>TrdID7055476569</t>
  </si>
  <si>
    <t>TrdID7055476570</t>
  </si>
  <si>
    <t>TrdID7055476571</t>
  </si>
  <si>
    <t>TrdID7055476572</t>
  </si>
  <si>
    <t>TrdID7055476573</t>
  </si>
  <si>
    <t>TrdID7055476574</t>
  </si>
  <si>
    <t>TrdID7055476575</t>
  </si>
  <si>
    <t>TrdID7055476576</t>
  </si>
  <si>
    <t>TrdID7055476577</t>
  </si>
  <si>
    <t>TrdID7055476578</t>
  </si>
  <si>
    <t>TrdID7055476579</t>
  </si>
  <si>
    <t>TrdID7055476580</t>
  </si>
  <si>
    <t>TrdID7055476581</t>
  </si>
  <si>
    <t>TrdID7055476582</t>
  </si>
  <si>
    <t>TrdID7055476583</t>
  </si>
  <si>
    <t>TrdID7055476584</t>
  </si>
  <si>
    <t>TrdID7055476585</t>
  </si>
  <si>
    <t>TrdID7055476586</t>
  </si>
  <si>
    <t>TrdID7055476587</t>
  </si>
  <si>
    <t>TrdID7055476588</t>
  </si>
  <si>
    <t>TrdID7055476589</t>
  </si>
  <si>
    <t>TrdID7055476590</t>
  </si>
  <si>
    <t>TrdID7055476591</t>
  </si>
  <si>
    <t>TrdID7055476592</t>
  </si>
  <si>
    <t>TrdID7055476593</t>
  </si>
  <si>
    <t>TrdID7055476594</t>
  </si>
  <si>
    <t>TrdID7055476595</t>
  </si>
  <si>
    <t>TrdID7055476596</t>
  </si>
  <si>
    <t>TrdID7055476597</t>
  </si>
  <si>
    <t>TrdID7055476598</t>
  </si>
  <si>
    <t>TrdID7055476599</t>
  </si>
  <si>
    <t>TrdID7055476600</t>
  </si>
  <si>
    <t>TrdID7055476601</t>
  </si>
  <si>
    <t>TrdID7055476602</t>
  </si>
  <si>
    <t>TrdID7055476603</t>
  </si>
  <si>
    <t>TrdID7055476604</t>
  </si>
  <si>
    <t>TrdID7055476605</t>
  </si>
  <si>
    <t>TrdID7055476606</t>
  </si>
  <si>
    <t>TrdID7055476607</t>
  </si>
  <si>
    <t>TrdID7055476608</t>
  </si>
  <si>
    <t>TrdID7055476609</t>
  </si>
  <si>
    <t>TrdID7055476610</t>
  </si>
  <si>
    <t>TrdID7055476611</t>
  </si>
  <si>
    <t>TrdID7055476612</t>
  </si>
  <si>
    <t>TrdID7055476613</t>
  </si>
  <si>
    <t>TrdID7055476614</t>
  </si>
  <si>
    <t>TrdID7055476615</t>
  </si>
  <si>
    <t>TrdID7055476616</t>
  </si>
  <si>
    <t>TrdID7055476617</t>
  </si>
  <si>
    <t>TrdID7055476618</t>
  </si>
  <si>
    <t>TrdID7055476619</t>
  </si>
  <si>
    <t>TrdID7055476620</t>
  </si>
  <si>
    <t>TrdID7055476621</t>
  </si>
  <si>
    <t>TrdID7055476622</t>
  </si>
  <si>
    <t>TrdID7055476623</t>
  </si>
  <si>
    <t>TrdID7055476624</t>
  </si>
  <si>
    <t>TrdID7055476625</t>
  </si>
  <si>
    <t>TrdID7055476626</t>
  </si>
  <si>
    <t>TrdID7055476627</t>
  </si>
  <si>
    <t>TrdID7055476628</t>
  </si>
  <si>
    <t>TrdID7055476629</t>
  </si>
  <si>
    <t>TrdID7055476630</t>
  </si>
  <si>
    <t>TrdID7055476631</t>
  </si>
  <si>
    <t>TrdID7055476632</t>
  </si>
  <si>
    <t>TrdID7055476633</t>
  </si>
  <si>
    <t>TrdID7055476634</t>
  </si>
  <si>
    <t>TrdID7055476635</t>
  </si>
  <si>
    <t>TrdID7055476636</t>
  </si>
  <si>
    <t>TrdID7055476637</t>
  </si>
  <si>
    <t>TrdID7055476638</t>
  </si>
  <si>
    <t>TrdID7055476639</t>
  </si>
  <si>
    <t>TrdID7055476640</t>
  </si>
  <si>
    <t>TrdID7055476641</t>
  </si>
  <si>
    <t>TrdID7055476642</t>
  </si>
  <si>
    <t>TrdID7055476643</t>
  </si>
  <si>
    <t>TrdID7055476644</t>
  </si>
  <si>
    <t>TrdID7055476645</t>
  </si>
  <si>
    <t>TrdID7055476646</t>
  </si>
  <si>
    <t>TrdID7055476647</t>
  </si>
  <si>
    <t>TrdID7055476648</t>
  </si>
  <si>
    <t>TrdID7055476649</t>
  </si>
  <si>
    <t>TrdID7055476650</t>
  </si>
  <si>
    <t>TrdID7055476651</t>
  </si>
  <si>
    <t>TrdID7055476652</t>
  </si>
  <si>
    <t>TrdID7055476653</t>
  </si>
  <si>
    <t>TrdID7055476654</t>
  </si>
  <si>
    <t>TrdID7055476655</t>
  </si>
  <si>
    <t>TrdID7055476656</t>
  </si>
  <si>
    <t>TrdID7055476657</t>
  </si>
  <si>
    <t>TrdID7055476658</t>
  </si>
  <si>
    <t>TrdID7055476659</t>
  </si>
  <si>
    <t>TrdID7055476660</t>
  </si>
  <si>
    <t>TrdID7055476661</t>
  </si>
  <si>
    <t>TrdID7055476662</t>
  </si>
  <si>
    <t>TrdID7055476663</t>
  </si>
  <si>
    <t>TrdID7055476664</t>
  </si>
  <si>
    <t>TrdID7055476665</t>
  </si>
  <si>
    <t>TrdID7055476666</t>
  </si>
  <si>
    <t>TrdID7055476667</t>
  </si>
  <si>
    <t>TrdID7055476668</t>
  </si>
  <si>
    <t>TrdID7055476669</t>
  </si>
  <si>
    <t>TrdID7055476670</t>
  </si>
  <si>
    <t>TrdID7055476671</t>
  </si>
  <si>
    <t>TrdID7055476672</t>
  </si>
  <si>
    <t>TrdID7055476673</t>
  </si>
  <si>
    <t>TrdID7055476674</t>
  </si>
  <si>
    <t>TrdID7055476675</t>
  </si>
  <si>
    <t>TrdID7055476676</t>
  </si>
  <si>
    <t>TrdID7055476677</t>
  </si>
  <si>
    <t>TrdID7055476678</t>
  </si>
  <si>
    <t>TrdID7055476679</t>
  </si>
  <si>
    <t>TrdID7055476680</t>
  </si>
  <si>
    <t>TrdID7055476681</t>
  </si>
  <si>
    <t>TrdID7055476682</t>
  </si>
  <si>
    <t>TrdID7055476683</t>
  </si>
  <si>
    <t>TrdID7055476684</t>
  </si>
  <si>
    <t>TrdID7055476685</t>
  </si>
  <si>
    <t>TrdID7055476686</t>
  </si>
  <si>
    <t>TrdID7055476687</t>
  </si>
  <si>
    <t>TrdID7055476688</t>
  </si>
  <si>
    <t>TrdID7055476689</t>
  </si>
  <si>
    <t>TrdID7055476690</t>
  </si>
  <si>
    <t>TrdID7055476691</t>
  </si>
  <si>
    <t>TrdID7055476692</t>
  </si>
  <si>
    <t>TrdID7055476693</t>
  </si>
  <si>
    <t>TrdID7055476694</t>
  </si>
  <si>
    <t>TrdID7055476695</t>
  </si>
  <si>
    <t>TrdID7055476696</t>
  </si>
  <si>
    <t>TrdID7055476697</t>
  </si>
  <si>
    <t>TrdID7055476698</t>
  </si>
  <si>
    <t>TrdID7055476699</t>
  </si>
  <si>
    <t>TrdID7055476700</t>
  </si>
  <si>
    <t>TrdID7055476701</t>
  </si>
  <si>
    <t>TrdID7055476702</t>
  </si>
  <si>
    <t>TrdID7055476703</t>
  </si>
  <si>
    <t>TrdID7055476704</t>
  </si>
  <si>
    <t>TrdID7055476705</t>
  </si>
  <si>
    <t>TrdID7055476706</t>
  </si>
  <si>
    <t>TrdID7055476707</t>
  </si>
  <si>
    <t>TrdID7055476708</t>
  </si>
  <si>
    <t>TrdID7055476709</t>
  </si>
  <si>
    <t>TrdID7055476710</t>
  </si>
  <si>
    <t>TrdID7055476711</t>
  </si>
  <si>
    <t>TrdID7055476712</t>
  </si>
  <si>
    <t>TrdID7055476713</t>
  </si>
  <si>
    <t>TrdID7055476714</t>
  </si>
  <si>
    <t>TrdID7055476715</t>
  </si>
  <si>
    <t>TrdID7055476716</t>
  </si>
  <si>
    <t>TrdID7055476717</t>
  </si>
  <si>
    <t>TrdID7055476718</t>
  </si>
  <si>
    <t>TrdID7055476719</t>
  </si>
  <si>
    <t>TrdID7055476720</t>
  </si>
  <si>
    <t>TrdID7055476721</t>
  </si>
  <si>
    <t>TrdID7055476722</t>
  </si>
  <si>
    <t>TrdID7055476723</t>
  </si>
  <si>
    <t>TrdID7055476724</t>
  </si>
  <si>
    <t>TrdID7055476725</t>
  </si>
  <si>
    <t>TrdID7055476726</t>
  </si>
  <si>
    <t>TrdID7055476727</t>
  </si>
  <si>
    <t>TrdID7055476728</t>
  </si>
  <si>
    <t>TrdID7055476729</t>
  </si>
  <si>
    <t>TrdID7055476730</t>
  </si>
  <si>
    <t>TrdID7055476731</t>
  </si>
  <si>
    <t>TrdID7055476732</t>
  </si>
  <si>
    <t>TrdID7055476733</t>
  </si>
  <si>
    <t>TrdID7055476734</t>
  </si>
  <si>
    <t>TrdID7055476735</t>
  </si>
  <si>
    <t>TrdID7055476736</t>
  </si>
  <si>
    <t>TrdID7055476737</t>
  </si>
  <si>
    <t>TrdID7055476738</t>
  </si>
  <si>
    <t>TrdID7055476739</t>
  </si>
  <si>
    <t>TrdID7055476740</t>
  </si>
  <si>
    <t>TrdID7055476741</t>
  </si>
  <si>
    <t>TrdID7055476742</t>
  </si>
  <si>
    <t>TrdID7055476743</t>
  </si>
  <si>
    <t>TrdID7055476744</t>
  </si>
  <si>
    <t>TrdID7055476745</t>
  </si>
  <si>
    <t>TrdID7055476746</t>
  </si>
  <si>
    <t>TrdID7055476747</t>
  </si>
  <si>
    <t>TrdID7055476748</t>
  </si>
  <si>
    <t>TrdID7055476749</t>
  </si>
  <si>
    <t>TrdID7055476750</t>
  </si>
  <si>
    <t>TrdID7055476751</t>
  </si>
  <si>
    <t>TrdID7055476752</t>
  </si>
  <si>
    <t>TrdID7055476753</t>
  </si>
  <si>
    <t>TrdID7055476754</t>
  </si>
  <si>
    <t>TrdID7055476755</t>
  </si>
  <si>
    <t>TrdID7055476756</t>
  </si>
  <si>
    <t>TrdID7055476757</t>
  </si>
  <si>
    <t>TrdID7055476758</t>
  </si>
  <si>
    <t>TrdID7055476759</t>
  </si>
  <si>
    <t>TrdID7055476760</t>
  </si>
  <si>
    <t>TrdID7055476761</t>
  </si>
  <si>
    <t>TrdID7055476762</t>
  </si>
  <si>
    <t>TrdID7055476763</t>
  </si>
  <si>
    <t>TrdID7055476764</t>
  </si>
  <si>
    <t>TrdID7055476765</t>
  </si>
  <si>
    <t>TrdID7055476766</t>
  </si>
  <si>
    <t>TrdID7055476767</t>
  </si>
  <si>
    <t>TrdID7055476768</t>
  </si>
  <si>
    <t>TrdID7055476769</t>
  </si>
  <si>
    <t>TrdID7055476770</t>
  </si>
  <si>
    <t>TrdID7055476771</t>
  </si>
  <si>
    <t>TrdID7055476772</t>
  </si>
  <si>
    <t>TrdID7055476773</t>
  </si>
  <si>
    <t>TrdID7055476774</t>
  </si>
  <si>
    <t>TrdID7055476775</t>
  </si>
  <si>
    <t>TrdID7055476776</t>
  </si>
  <si>
    <t>TrdID7055476777</t>
  </si>
  <si>
    <t>TrdID7055476778</t>
  </si>
  <si>
    <t>TrdID7055476779</t>
  </si>
  <si>
    <t>TrdID7055476780</t>
  </si>
  <si>
    <t>TrdID7055476781</t>
  </si>
  <si>
    <t>TrdID7055476782</t>
  </si>
  <si>
    <t>TrdID7055476783</t>
  </si>
  <si>
    <t>TrdID7055476784</t>
  </si>
  <si>
    <t>TrdID7055476785</t>
  </si>
  <si>
    <t>TrdID7055476786</t>
  </si>
  <si>
    <t>TrdID7055476787</t>
  </si>
  <si>
    <t>TrdID7055476788</t>
  </si>
  <si>
    <t>TrdID7055476789</t>
  </si>
  <si>
    <t>TrdID7055476790</t>
  </si>
  <si>
    <t>TrdID7055476791</t>
  </si>
  <si>
    <t>TrdID7055476792</t>
  </si>
  <si>
    <t>TrdID7055476793</t>
  </si>
  <si>
    <t>TrdID7055476794</t>
  </si>
  <si>
    <t>TrdID7055476795</t>
  </si>
  <si>
    <t>TrdID7055476796</t>
  </si>
  <si>
    <t>TrdID7055476797</t>
  </si>
  <si>
    <t>TrdID7055476798</t>
  </si>
  <si>
    <t>TrdID7055476799</t>
  </si>
  <si>
    <t>TrdID7055476800</t>
  </si>
  <si>
    <t>TrdID7055476801</t>
  </si>
  <si>
    <t>TrdID7055476802</t>
  </si>
  <si>
    <t>TrdID7055476803</t>
  </si>
  <si>
    <t>TrdID7055476804</t>
  </si>
  <si>
    <t>TrdID7055476805</t>
  </si>
  <si>
    <t>TrdID7055476806</t>
  </si>
  <si>
    <t>TrdID7055476807</t>
  </si>
  <si>
    <t>TrdID7055476808</t>
  </si>
  <si>
    <t>TrdID7055476809</t>
  </si>
  <si>
    <t>TrdID7055476810</t>
  </si>
  <si>
    <t>TrdID7055476811</t>
  </si>
  <si>
    <t>TrdID7055476812</t>
  </si>
  <si>
    <t>TrdID7055476813</t>
  </si>
  <si>
    <t>TrdID7055476814</t>
  </si>
  <si>
    <t>TrdID7055476815</t>
  </si>
  <si>
    <t>TrdID7055476816</t>
  </si>
  <si>
    <t>TrdID7055476817</t>
  </si>
  <si>
    <t>TrdID7055476818</t>
  </si>
  <si>
    <t>TrdID7055476819</t>
  </si>
  <si>
    <t>TrdID7055476820</t>
  </si>
  <si>
    <t>TrdID7055476821</t>
  </si>
  <si>
    <t>TrdID7055476822</t>
  </si>
  <si>
    <t>TrdID7055476823</t>
  </si>
  <si>
    <t>TrdID7055476824</t>
  </si>
  <si>
    <t>TrdID7055476825</t>
  </si>
  <si>
    <t>TrdID7055476826</t>
  </si>
  <si>
    <t>TrdID7055476827</t>
  </si>
  <si>
    <t>TrdID7055476828</t>
  </si>
  <si>
    <t>TrdID7055476829</t>
  </si>
  <si>
    <t>TrdID7055476830</t>
  </si>
  <si>
    <t>TrdID7055476831</t>
  </si>
  <si>
    <t>TrdID7055476832</t>
  </si>
  <si>
    <t>TrdID7055476833</t>
  </si>
  <si>
    <t>TrdID7055476834</t>
  </si>
  <si>
    <t>TrdID7055476835</t>
  </si>
  <si>
    <t>TrdID7055476836</t>
  </si>
  <si>
    <t>TrdID7055476837</t>
  </si>
  <si>
    <t>TrdID7055476838</t>
  </si>
  <si>
    <t>TrdID7055476839</t>
  </si>
  <si>
    <t>TrdID7055476840</t>
  </si>
  <si>
    <t>TrdID7055476841</t>
  </si>
  <si>
    <t>TrdID7055476842</t>
  </si>
  <si>
    <t>TrdID7055476843</t>
  </si>
  <si>
    <t>TrdID7055476844</t>
  </si>
  <si>
    <t>TrdID7055476845</t>
  </si>
  <si>
    <t>TrdID7055476846</t>
  </si>
  <si>
    <t>TrdID7055476847</t>
  </si>
  <si>
    <t>TrdID7055476848</t>
  </si>
  <si>
    <t>TrdID7055476849</t>
  </si>
  <si>
    <t>TrdID7055476850</t>
  </si>
  <si>
    <t>TrdID7055476851</t>
  </si>
  <si>
    <t>TrdID7055476852</t>
  </si>
  <si>
    <t>TrdID7055476853</t>
  </si>
  <si>
    <t>TrdID7055476854</t>
  </si>
  <si>
    <t>TrdID7055476855</t>
  </si>
  <si>
    <t>TrdID7055476856</t>
  </si>
  <si>
    <t>TrdID7055476857</t>
  </si>
  <si>
    <t>TrdID7055476858</t>
  </si>
  <si>
    <t>TrdID7055476859</t>
  </si>
  <si>
    <t>TrdID7055476860</t>
  </si>
  <si>
    <t>TrdID7055476861</t>
  </si>
  <si>
    <t>TrdID7055476862</t>
  </si>
  <si>
    <t>TrdID7055476863</t>
  </si>
  <si>
    <t>TrdID7055476864</t>
  </si>
  <si>
    <t>TrdID7055476865</t>
  </si>
  <si>
    <t>TrdID7055476866</t>
  </si>
  <si>
    <t>TrdID7055476867</t>
  </si>
  <si>
    <t>TrdID7055476868</t>
  </si>
  <si>
    <t>TrdID7055476869</t>
  </si>
  <si>
    <t>TrdID7055476870</t>
  </si>
  <si>
    <t>TrdID7055476871</t>
  </si>
  <si>
    <t>TrdID7055476872</t>
  </si>
  <si>
    <t>TrdID7055476873</t>
  </si>
  <si>
    <t>TrdID7055476874</t>
  </si>
  <si>
    <t>TrdID7055476875</t>
  </si>
  <si>
    <t>TrdID7055476876</t>
  </si>
  <si>
    <t>TrdID7055476877</t>
  </si>
  <si>
    <t>TrdID7055476878</t>
  </si>
  <si>
    <t>TrdID7055476879</t>
  </si>
  <si>
    <t>TrdID7055476880</t>
  </si>
  <si>
    <t>TrdID7055476881</t>
  </si>
  <si>
    <t>TrdID7055476882</t>
  </si>
  <si>
    <t>TrdID7055476883</t>
  </si>
  <si>
    <t>TrdID7055476884</t>
  </si>
  <si>
    <t>TrdID7055476885</t>
  </si>
  <si>
    <t>TrdID7055476886</t>
  </si>
  <si>
    <t>TrdID7055476887</t>
  </si>
  <si>
    <t>TrdID7055476888</t>
  </si>
  <si>
    <t>TrdID7055476889</t>
  </si>
  <si>
    <t>TrdID7055476890</t>
  </si>
  <si>
    <t>TrdID7055476891</t>
  </si>
  <si>
    <t>TrdID7055476892</t>
  </si>
  <si>
    <t>TrdID7055476893</t>
  </si>
  <si>
    <t>TrdID7055476894</t>
  </si>
  <si>
    <t>TrdID7055476895</t>
  </si>
  <si>
    <t>TrdID7055476896</t>
  </si>
  <si>
    <t>TrdID7055476897</t>
  </si>
  <si>
    <t>TrdID7055476898</t>
  </si>
  <si>
    <t>TrdID7055476899</t>
  </si>
  <si>
    <t>TrdID7055476900</t>
  </si>
  <si>
    <t>TrdID7055476901</t>
  </si>
  <si>
    <t>TrdID7055476902</t>
  </si>
  <si>
    <t>TrdID7055476903</t>
  </si>
  <si>
    <t>TrdID7055476904</t>
  </si>
  <si>
    <t>TrdID7055476905</t>
  </si>
  <si>
    <t>TrdID7055476906</t>
  </si>
  <si>
    <t>TrdID7055476907</t>
  </si>
  <si>
    <t>TrdID7055476908</t>
  </si>
  <si>
    <t>TrdID7055476909</t>
  </si>
  <si>
    <t>TrdID7055476910</t>
  </si>
  <si>
    <t>TrdID7055476911</t>
  </si>
  <si>
    <t>TrdID7055476912</t>
  </si>
  <si>
    <t>TrdID7055476913</t>
  </si>
  <si>
    <t>TrdID7055476914</t>
  </si>
  <si>
    <t>TrdID7055476915</t>
  </si>
  <si>
    <t>TrdID7055476916</t>
  </si>
  <si>
    <t>TrdID7055476917</t>
  </si>
  <si>
    <t>TrdID7055476918</t>
  </si>
  <si>
    <t>TrdID7055476919</t>
  </si>
  <si>
    <t>TrdID7055476920</t>
  </si>
  <si>
    <t>TrdID7055476921</t>
  </si>
  <si>
    <t>TrdID7055476922</t>
  </si>
  <si>
    <t>TrdID7055476923</t>
  </si>
  <si>
    <t>TrdID7055476924</t>
  </si>
  <si>
    <t>TrdID7055476925</t>
  </si>
  <si>
    <t>TrdID7055476926</t>
  </si>
  <si>
    <t>TrdID7055476927</t>
  </si>
  <si>
    <t>TrdID7055476928</t>
  </si>
  <si>
    <t>TrdID7055476929</t>
  </si>
  <si>
    <t>TrdID7055476930</t>
  </si>
  <si>
    <t>TrdID7055476931</t>
  </si>
  <si>
    <t>TrdID7055476932</t>
  </si>
  <si>
    <t>TrdID7055476933</t>
  </si>
  <si>
    <t>TrdID7055476934</t>
  </si>
  <si>
    <t>TrdID7055476935</t>
  </si>
  <si>
    <t>TrdID7055476936</t>
  </si>
  <si>
    <t>TrdID7055476937</t>
  </si>
  <si>
    <t>TrdID7055476938</t>
  </si>
  <si>
    <t>TrdID7055476939</t>
  </si>
  <si>
    <t>TrdID7055476940</t>
  </si>
  <si>
    <t>TrdID7055476941</t>
  </si>
  <si>
    <t>TrdID7055476942</t>
  </si>
  <si>
    <t>TrdID7055476943</t>
  </si>
  <si>
    <t>TrdID7055476944</t>
  </si>
  <si>
    <t>TrdID7055476945</t>
  </si>
  <si>
    <t>TrdID7055476946</t>
  </si>
  <si>
    <t>TrdID7055476947</t>
  </si>
  <si>
    <t>TrdID7055476948</t>
  </si>
  <si>
    <t>TrdID7055476949</t>
  </si>
  <si>
    <t>TrdID7055476950</t>
  </si>
  <si>
    <t>TrdID7055476951</t>
  </si>
  <si>
    <t>TrdID7055476952</t>
  </si>
  <si>
    <t>TrdID7055476953</t>
  </si>
  <si>
    <t>TrdID7055476954</t>
  </si>
  <si>
    <t>TrdID7055476955</t>
  </si>
  <si>
    <t>TrdID7055476956</t>
  </si>
  <si>
    <t>TrdID7055476957</t>
  </si>
  <si>
    <t>TrdID7055476958</t>
  </si>
  <si>
    <t>TrdID7055476959</t>
  </si>
  <si>
    <t>TrdID7055476960</t>
  </si>
  <si>
    <t>TrdID7055476961</t>
  </si>
  <si>
    <t>TrdID7055476962</t>
  </si>
  <si>
    <t>TrdID7055476963</t>
  </si>
  <si>
    <t>TrdID7055476964</t>
  </si>
  <si>
    <t>TrdID7055476965</t>
  </si>
  <si>
    <t>TrdID7055476966</t>
  </si>
  <si>
    <t>TrdID7055476967</t>
  </si>
  <si>
    <t>TrdID7055476968</t>
  </si>
  <si>
    <t>TrdID7055476969</t>
  </si>
  <si>
    <t>TrdID7055476970</t>
  </si>
  <si>
    <t>TrdID7055476971</t>
  </si>
  <si>
    <t>TrdID7055476972</t>
  </si>
  <si>
    <t>TrdID7055476973</t>
  </si>
  <si>
    <t>TrdID7055476974</t>
  </si>
  <si>
    <t>TrdID7055476975</t>
  </si>
  <si>
    <t>TrdID7055476976</t>
  </si>
  <si>
    <t>TrdID7055476977</t>
  </si>
  <si>
    <t>TrdID7055476978</t>
  </si>
  <si>
    <t>TrdID7055476979</t>
  </si>
  <si>
    <t>TrdID7055476980</t>
  </si>
  <si>
    <t>TrdID7055476981</t>
  </si>
  <si>
    <t>TrdID7055476982</t>
  </si>
  <si>
    <t>TrdID7055476983</t>
  </si>
  <si>
    <t>TrdID7055476984</t>
  </si>
  <si>
    <t>TrdID7055476985</t>
  </si>
  <si>
    <t>TrdID7055476986</t>
  </si>
  <si>
    <t>TrdID7055476987</t>
  </si>
  <si>
    <t>TrdID7055476988</t>
  </si>
  <si>
    <t>TrdID7055476989</t>
  </si>
  <si>
    <t>TrdID7055476990</t>
  </si>
  <si>
    <t>TrdID7055476991</t>
  </si>
  <si>
    <t>TrdID7055476992</t>
  </si>
  <si>
    <t>TrdID7055476993</t>
  </si>
  <si>
    <t>TrdID7055476994</t>
  </si>
  <si>
    <t>TrdID7055476995</t>
  </si>
  <si>
    <t>TrdID7055476996</t>
  </si>
  <si>
    <t>TrdID7055476997</t>
  </si>
  <si>
    <t>TrdID7055476998</t>
  </si>
  <si>
    <t>TrdID7055476999</t>
  </si>
  <si>
    <t>TrdID7055477000</t>
  </si>
  <si>
    <t>TrdID7055477001</t>
  </si>
  <si>
    <t>TrdID7055477002</t>
  </si>
  <si>
    <t>TrdID7055477003</t>
  </si>
  <si>
    <t>TrdID7055477004</t>
  </si>
  <si>
    <t>TrdID7055477005</t>
  </si>
  <si>
    <t>TrdID7055477006</t>
  </si>
  <si>
    <t>TrdID7055477007</t>
  </si>
  <si>
    <t>TrdID7055477008</t>
  </si>
  <si>
    <t>TrdID7055477009</t>
  </si>
  <si>
    <t>TrdID7055477010</t>
  </si>
  <si>
    <t>TrdID7055477011</t>
  </si>
  <si>
    <t>TrdID7055477012</t>
  </si>
  <si>
    <t>TrdID7055477013</t>
  </si>
  <si>
    <t>TrdID7055477014</t>
  </si>
  <si>
    <t>TrdID7055477015</t>
  </si>
  <si>
    <t>TrdID7055477016</t>
  </si>
  <si>
    <t>TrdID7055477017</t>
  </si>
  <si>
    <t>TrdID7055477018</t>
  </si>
  <si>
    <t>TrdID7055477019</t>
  </si>
  <si>
    <t>TrdID7055477020</t>
  </si>
  <si>
    <t>TrdID7055477021</t>
  </si>
  <si>
    <t>TrdID7055477022</t>
  </si>
  <si>
    <t>TrdID7055477023</t>
  </si>
  <si>
    <t>TrdID7055477024</t>
  </si>
  <si>
    <t>TrdID7055477025</t>
  </si>
  <si>
    <t>TrdID7055477026</t>
  </si>
  <si>
    <t>TrdID7055477027</t>
  </si>
  <si>
    <t>TrdID7055477028</t>
  </si>
  <si>
    <t>TrdID7055477029</t>
  </si>
  <si>
    <t>TrdID7055477030</t>
  </si>
  <si>
    <t>TrdID7055477031</t>
  </si>
  <si>
    <t>TrdID7055477032</t>
  </si>
  <si>
    <t>TrdID7055477033</t>
  </si>
  <si>
    <t>TrdID7055477034</t>
  </si>
  <si>
    <t>TrdID7055477035</t>
  </si>
  <si>
    <t>TrdID7055477036</t>
  </si>
  <si>
    <t>TrdID7055477037</t>
  </si>
  <si>
    <t>TrdID7055477038</t>
  </si>
  <si>
    <t>TrdID7055477039</t>
  </si>
  <si>
    <t>TrdID7055477040</t>
  </si>
  <si>
    <t>TrdID7055477041</t>
  </si>
  <si>
    <t>TrdID7055477042</t>
  </si>
  <si>
    <t>TrdID7055477043</t>
  </si>
  <si>
    <t>TrdID7055477044</t>
  </si>
  <si>
    <t>TrdID7055477045</t>
  </si>
  <si>
    <t>TrdID7055477046</t>
  </si>
  <si>
    <t>TrdID7055477047</t>
  </si>
  <si>
    <t>TrdID7055477048</t>
  </si>
  <si>
    <t>TrdID7055477049</t>
  </si>
  <si>
    <t>TrdID7055477050</t>
  </si>
  <si>
    <t>TrdID7055477051</t>
  </si>
  <si>
    <t>TrdID7055477052</t>
  </si>
  <si>
    <t>TrdID7055477053</t>
  </si>
  <si>
    <t>TrdID7055477054</t>
  </si>
  <si>
    <t>TrdID7055477055</t>
  </si>
  <si>
    <t>TrdID7055477056</t>
  </si>
  <si>
    <t>TrdID7055477057</t>
  </si>
  <si>
    <t>TrdID7055477058</t>
  </si>
  <si>
    <t>TrdID7055477059</t>
  </si>
  <si>
    <t>TrdID7055477060</t>
  </si>
  <si>
    <t>TrdID7055477061</t>
  </si>
  <si>
    <t>TrdID7055477062</t>
  </si>
  <si>
    <t>TrdID7055477063</t>
  </si>
  <si>
    <t>TrdID7055477064</t>
  </si>
  <si>
    <t>TrdID7055477065</t>
  </si>
  <si>
    <t>TrdID7055477066</t>
  </si>
  <si>
    <t>TrdID7055477067</t>
  </si>
  <si>
    <t>TrdID7055477068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</si>
</sst>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15" fontId="0" fillId="0" borderId="0" xfId="0" applyNumberFormat="1"/>
    <xf numFmtId="165" fontId="0" fillId="0" borderId="0" xfId="0" applyNumberFormat="1"/>
    <xf numFmtId="164" fontId="0" fillId="33" borderId="0" xfId="0" applyNumberFormat="1" applyFill="1"/>
    <xf numFmtId="165" fontId="0" fillId="33" borderId="0" xfId="0" applyNumberFormat="1" applyFill="1"/>
    <xf numFmtId="0" fontId="0" fillId="33" borderId="0" xfId="0" applyFill="1"/>
    <xf numFmtId="10" fontId="0" fillId="0" borderId="0" xfId="0" applyNumberFormat="1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39927656418938E-2"/>
          <c:y val="2.2312641541816839E-2"/>
          <c:w val="0.94339033645237191"/>
          <c:h val="0.73199211342601311"/>
        </c:manualLayout>
      </c:layout>
      <c:lineChart>
        <c:grouping val="standard"/>
        <c:varyColors val="0"/>
        <c:ser>
          <c:idx val="0"/>
          <c:order val="0"/>
          <c:tx>
            <c:strRef>
              <c:f>wide_company_closes_reorder!$B$1</c:f>
              <c:strCache>
                <c:ptCount val="1"/>
                <c:pt idx="0">
                  <c:v>AAPL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wide_company_closes_reorder!$B$2:$B$503</c:f>
              <c:numCache>
                <c:formatCode>General</c:formatCode>
                <c:ptCount val="502"/>
                <c:pt idx="0">
                  <c:v>112.14</c:v>
                </c:pt>
                <c:pt idx="1">
                  <c:v>112.01</c:v>
                </c:pt>
                <c:pt idx="2">
                  <c:v>112.58</c:v>
                </c:pt>
                <c:pt idx="3">
                  <c:v>113.84</c:v>
                </c:pt>
                <c:pt idx="4">
                  <c:v>114.88</c:v>
                </c:pt>
                <c:pt idx="5">
                  <c:v>115</c:v>
                </c:pt>
                <c:pt idx="6">
                  <c:v>115.62</c:v>
                </c:pt>
                <c:pt idx="7">
                  <c:v>115.13</c:v>
                </c:pt>
                <c:pt idx="8">
                  <c:v>114.93</c:v>
                </c:pt>
                <c:pt idx="9">
                  <c:v>115.86</c:v>
                </c:pt>
                <c:pt idx="10">
                  <c:v>115.85</c:v>
                </c:pt>
                <c:pt idx="11">
                  <c:v>115.64</c:v>
                </c:pt>
                <c:pt idx="12">
                  <c:v>115.86</c:v>
                </c:pt>
                <c:pt idx="13">
                  <c:v>115.93</c:v>
                </c:pt>
                <c:pt idx="14">
                  <c:v>115.83</c:v>
                </c:pt>
                <c:pt idx="15">
                  <c:v>117.67</c:v>
                </c:pt>
                <c:pt idx="16">
                  <c:v>117.73</c:v>
                </c:pt>
                <c:pt idx="17">
                  <c:v>117.74</c:v>
                </c:pt>
                <c:pt idx="18">
                  <c:v>117.43</c:v>
                </c:pt>
                <c:pt idx="19">
                  <c:v>117.16</c:v>
                </c:pt>
                <c:pt idx="20">
                  <c:v>124.31</c:v>
                </c:pt>
                <c:pt idx="21">
                  <c:v>124.09</c:v>
                </c:pt>
                <c:pt idx="22">
                  <c:v>124.62</c:v>
                </c:pt>
                <c:pt idx="23">
                  <c:v>125.79</c:v>
                </c:pt>
                <c:pt idx="24">
                  <c:v>126.99</c:v>
                </c:pt>
                <c:pt idx="25">
                  <c:v>127.48</c:v>
                </c:pt>
                <c:pt idx="26">
                  <c:v>128.4</c:v>
                </c:pt>
                <c:pt idx="27">
                  <c:v>128.11000000000001</c:v>
                </c:pt>
                <c:pt idx="28">
                  <c:v>129.25</c:v>
                </c:pt>
                <c:pt idx="29">
                  <c:v>130.91999999999999</c:v>
                </c:pt>
                <c:pt idx="30">
                  <c:v>131.4</c:v>
                </c:pt>
                <c:pt idx="31">
                  <c:v>131.24</c:v>
                </c:pt>
                <c:pt idx="32">
                  <c:v>131.6</c:v>
                </c:pt>
                <c:pt idx="33">
                  <c:v>132.55000000000001</c:v>
                </c:pt>
                <c:pt idx="34">
                  <c:v>132.94999999999999</c:v>
                </c:pt>
                <c:pt idx="35">
                  <c:v>132.38999999999999</c:v>
                </c:pt>
                <c:pt idx="36">
                  <c:v>132.51</c:v>
                </c:pt>
                <c:pt idx="37">
                  <c:v>132.78</c:v>
                </c:pt>
                <c:pt idx="38">
                  <c:v>132.83000000000001</c:v>
                </c:pt>
                <c:pt idx="39">
                  <c:v>135.55000000000001</c:v>
                </c:pt>
                <c:pt idx="40">
                  <c:v>134.74</c:v>
                </c:pt>
                <c:pt idx="41">
                  <c:v>135.54</c:v>
                </c:pt>
                <c:pt idx="42">
                  <c:v>135.11000000000001</c:v>
                </c:pt>
                <c:pt idx="43">
                  <c:v>135.29</c:v>
                </c:pt>
                <c:pt idx="44">
                  <c:v>134.78</c:v>
                </c:pt>
                <c:pt idx="45">
                  <c:v>134.47</c:v>
                </c:pt>
                <c:pt idx="46">
                  <c:v>134.91999999999999</c:v>
                </c:pt>
                <c:pt idx="47">
                  <c:v>134.97999999999999</c:v>
                </c:pt>
                <c:pt idx="48">
                  <c:v>134.77000000000001</c:v>
                </c:pt>
                <c:pt idx="49">
                  <c:v>136.19999999999999</c:v>
                </c:pt>
                <c:pt idx="50">
                  <c:v>136.41999999999999</c:v>
                </c:pt>
                <c:pt idx="51">
                  <c:v>135.74</c:v>
                </c:pt>
                <c:pt idx="52">
                  <c:v>137.16999999999999</c:v>
                </c:pt>
                <c:pt idx="53">
                  <c:v>135.6</c:v>
                </c:pt>
                <c:pt idx="54">
                  <c:v>137.13</c:v>
                </c:pt>
                <c:pt idx="55">
                  <c:v>136.63999999999999</c:v>
                </c:pt>
                <c:pt idx="56">
                  <c:v>136.37</c:v>
                </c:pt>
                <c:pt idx="57">
                  <c:v>136.61000000000001</c:v>
                </c:pt>
                <c:pt idx="58">
                  <c:v>139.44</c:v>
                </c:pt>
                <c:pt idx="59">
                  <c:v>139.75</c:v>
                </c:pt>
                <c:pt idx="60">
                  <c:v>139.56</c:v>
                </c:pt>
                <c:pt idx="61">
                  <c:v>139.30000000000001</c:v>
                </c:pt>
                <c:pt idx="62">
                  <c:v>139.34</c:v>
                </c:pt>
                <c:pt idx="63">
                  <c:v>140.38</c:v>
                </c:pt>
                <c:pt idx="64">
                  <c:v>139.65</c:v>
                </c:pt>
                <c:pt idx="65">
                  <c:v>139.30000000000001</c:v>
                </c:pt>
                <c:pt idx="66">
                  <c:v>138.99</c:v>
                </c:pt>
                <c:pt idx="67">
                  <c:v>138.83000000000001</c:v>
                </c:pt>
                <c:pt idx="68">
                  <c:v>137.33000000000001</c:v>
                </c:pt>
                <c:pt idx="69">
                  <c:v>137.5</c:v>
                </c:pt>
                <c:pt idx="70">
                  <c:v>136.77000000000001</c:v>
                </c:pt>
                <c:pt idx="71">
                  <c:v>137.53</c:v>
                </c:pt>
                <c:pt idx="72">
                  <c:v>136.91999999999999</c:v>
                </c:pt>
                <c:pt idx="73">
                  <c:v>136.41</c:v>
                </c:pt>
                <c:pt idx="74">
                  <c:v>138.12</c:v>
                </c:pt>
                <c:pt idx="75">
                  <c:v>137.94999999999999</c:v>
                </c:pt>
                <c:pt idx="76">
                  <c:v>139.28</c:v>
                </c:pt>
                <c:pt idx="77">
                  <c:v>140.15</c:v>
                </c:pt>
                <c:pt idx="78">
                  <c:v>139.32</c:v>
                </c:pt>
                <c:pt idx="79">
                  <c:v>139.43</c:v>
                </c:pt>
                <c:pt idx="80">
                  <c:v>139.29</c:v>
                </c:pt>
                <c:pt idx="81">
                  <c:v>142.13</c:v>
                </c:pt>
                <c:pt idx="82">
                  <c:v>143.03</c:v>
                </c:pt>
                <c:pt idx="83">
                  <c:v>142.6</c:v>
                </c:pt>
                <c:pt idx="84">
                  <c:v>142.08000000000001</c:v>
                </c:pt>
                <c:pt idx="85">
                  <c:v>144.44</c:v>
                </c:pt>
                <c:pt idx="86">
                  <c:v>148.37</c:v>
                </c:pt>
                <c:pt idx="87">
                  <c:v>149.32</c:v>
                </c:pt>
                <c:pt idx="88">
                  <c:v>148.61000000000001</c:v>
                </c:pt>
                <c:pt idx="89">
                  <c:v>149.9</c:v>
                </c:pt>
                <c:pt idx="90">
                  <c:v>151.99</c:v>
                </c:pt>
                <c:pt idx="91">
                  <c:v>151.6</c:v>
                </c:pt>
                <c:pt idx="92">
                  <c:v>151.38</c:v>
                </c:pt>
                <c:pt idx="93">
                  <c:v>146.29</c:v>
                </c:pt>
                <c:pt idx="94">
                  <c:v>148.52000000000001</c:v>
                </c:pt>
                <c:pt idx="95">
                  <c:v>149.03</c:v>
                </c:pt>
                <c:pt idx="96">
                  <c:v>149.93</c:v>
                </c:pt>
                <c:pt idx="97">
                  <c:v>149.75</c:v>
                </c:pt>
                <c:pt idx="98">
                  <c:v>149.30000000000001</c:v>
                </c:pt>
                <c:pt idx="99">
                  <c:v>149.82</c:v>
                </c:pt>
                <c:pt idx="100">
                  <c:v>149.56</c:v>
                </c:pt>
                <c:pt idx="101">
                  <c:v>149.62</c:v>
                </c:pt>
                <c:pt idx="102">
                  <c:v>148.74</c:v>
                </c:pt>
                <c:pt idx="103">
                  <c:v>149.15</c:v>
                </c:pt>
                <c:pt idx="104">
                  <c:v>151.36000000000001</c:v>
                </c:pt>
                <c:pt idx="105">
                  <c:v>149.88</c:v>
                </c:pt>
                <c:pt idx="106">
                  <c:v>150.38</c:v>
                </c:pt>
                <c:pt idx="107">
                  <c:v>151.28</c:v>
                </c:pt>
                <c:pt idx="108">
                  <c:v>150.91</c:v>
                </c:pt>
                <c:pt idx="109">
                  <c:v>145.06</c:v>
                </c:pt>
                <c:pt idx="110">
                  <c:v>141.59</c:v>
                </c:pt>
                <c:pt idx="111">
                  <c:v>142.72999999999999</c:v>
                </c:pt>
                <c:pt idx="112">
                  <c:v>141.34</c:v>
                </c:pt>
                <c:pt idx="113">
                  <c:v>140.49</c:v>
                </c:pt>
                <c:pt idx="114">
                  <c:v>138.52000000000001</c:v>
                </c:pt>
                <c:pt idx="115">
                  <c:v>142.49</c:v>
                </c:pt>
                <c:pt idx="116">
                  <c:v>141.19</c:v>
                </c:pt>
                <c:pt idx="117">
                  <c:v>142.03</c:v>
                </c:pt>
                <c:pt idx="118">
                  <c:v>141.79</c:v>
                </c:pt>
                <c:pt idx="119">
                  <c:v>142.43</c:v>
                </c:pt>
                <c:pt idx="120">
                  <c:v>141.97999999999999</c:v>
                </c:pt>
                <c:pt idx="121">
                  <c:v>139.94</c:v>
                </c:pt>
                <c:pt idx="122">
                  <c:v>141.99</c:v>
                </c:pt>
                <c:pt idx="123">
                  <c:v>139.9</c:v>
                </c:pt>
                <c:pt idx="124">
                  <c:v>140.22999999999999</c:v>
                </c:pt>
                <c:pt idx="125">
                  <c:v>139.72</c:v>
                </c:pt>
                <c:pt idx="126">
                  <c:v>140.30000000000001</c:v>
                </c:pt>
                <c:pt idx="127">
                  <c:v>138.97</c:v>
                </c:pt>
                <c:pt idx="128">
                  <c:v>140.38</c:v>
                </c:pt>
                <c:pt idx="129">
                  <c:v>141.24</c:v>
                </c:pt>
                <c:pt idx="130">
                  <c:v>141.69999999999999</c:v>
                </c:pt>
                <c:pt idx="131">
                  <c:v>141.9</c:v>
                </c:pt>
                <c:pt idx="132">
                  <c:v>143.88</c:v>
                </c:pt>
                <c:pt idx="133">
                  <c:v>145.11000000000001</c:v>
                </c:pt>
                <c:pt idx="134">
                  <c:v>145.62</c:v>
                </c:pt>
                <c:pt idx="135">
                  <c:v>146.13</c:v>
                </c:pt>
                <c:pt idx="136">
                  <c:v>147.04</c:v>
                </c:pt>
                <c:pt idx="137">
                  <c:v>146.38</c:v>
                </c:pt>
                <c:pt idx="138">
                  <c:v>146.31</c:v>
                </c:pt>
                <c:pt idx="139">
                  <c:v>148.08000000000001</c:v>
                </c:pt>
                <c:pt idx="140">
                  <c:v>148.72</c:v>
                </c:pt>
                <c:pt idx="141">
                  <c:v>149.41999999999999</c:v>
                </c:pt>
                <c:pt idx="142">
                  <c:v>146.59</c:v>
                </c:pt>
                <c:pt idx="143">
                  <c:v>145.56</c:v>
                </c:pt>
                <c:pt idx="144">
                  <c:v>144.81</c:v>
                </c:pt>
                <c:pt idx="145">
                  <c:v>146.1</c:v>
                </c:pt>
                <c:pt idx="146">
                  <c:v>153</c:v>
                </c:pt>
                <c:pt idx="147">
                  <c:v>151.47</c:v>
                </c:pt>
                <c:pt idx="148">
                  <c:v>152.27000000000001</c:v>
                </c:pt>
                <c:pt idx="149">
                  <c:v>154.63</c:v>
                </c:pt>
                <c:pt idx="150">
                  <c:v>155.86000000000001</c:v>
                </c:pt>
                <c:pt idx="151">
                  <c:v>156.82</c:v>
                </c:pt>
                <c:pt idx="152">
                  <c:v>151.82</c:v>
                </c:pt>
                <c:pt idx="153">
                  <c:v>153.93</c:v>
                </c:pt>
                <c:pt idx="154">
                  <c:v>156.25</c:v>
                </c:pt>
                <c:pt idx="155">
                  <c:v>157.96</c:v>
                </c:pt>
                <c:pt idx="156">
                  <c:v>157.33000000000001</c:v>
                </c:pt>
                <c:pt idx="157">
                  <c:v>154.31</c:v>
                </c:pt>
                <c:pt idx="158">
                  <c:v>153.94999999999999</c:v>
                </c:pt>
                <c:pt idx="159">
                  <c:v>153.66999999999999</c:v>
                </c:pt>
                <c:pt idx="160">
                  <c:v>156.18</c:v>
                </c:pt>
                <c:pt idx="161">
                  <c:v>156.38</c:v>
                </c:pt>
                <c:pt idx="162">
                  <c:v>155.68</c:v>
                </c:pt>
                <c:pt idx="163">
                  <c:v>156.26</c:v>
                </c:pt>
                <c:pt idx="164">
                  <c:v>157.83000000000001</c:v>
                </c:pt>
                <c:pt idx="165">
                  <c:v>159.24</c:v>
                </c:pt>
                <c:pt idx="166">
                  <c:v>159.66999999999999</c:v>
                </c:pt>
                <c:pt idx="167">
                  <c:v>160.31</c:v>
                </c:pt>
                <c:pt idx="168">
                  <c:v>160.36000000000001</c:v>
                </c:pt>
                <c:pt idx="169">
                  <c:v>158.43</c:v>
                </c:pt>
                <c:pt idx="170">
                  <c:v>158.27000000000001</c:v>
                </c:pt>
                <c:pt idx="171">
                  <c:v>157.63</c:v>
                </c:pt>
                <c:pt idx="172">
                  <c:v>155.06</c:v>
                </c:pt>
                <c:pt idx="173">
                  <c:v>157.86000000000001</c:v>
                </c:pt>
                <c:pt idx="174">
                  <c:v>157.24</c:v>
                </c:pt>
                <c:pt idx="175">
                  <c:v>156.06</c:v>
                </c:pt>
                <c:pt idx="176">
                  <c:v>154.72</c:v>
                </c:pt>
                <c:pt idx="177">
                  <c:v>156.28</c:v>
                </c:pt>
                <c:pt idx="178">
                  <c:v>155.1</c:v>
                </c:pt>
                <c:pt idx="179">
                  <c:v>155.16</c:v>
                </c:pt>
                <c:pt idx="180">
                  <c:v>152.56</c:v>
                </c:pt>
                <c:pt idx="181">
                  <c:v>149.94</c:v>
                </c:pt>
                <c:pt idx="182">
                  <c:v>148.47</c:v>
                </c:pt>
                <c:pt idx="183">
                  <c:v>147.16</c:v>
                </c:pt>
                <c:pt idx="184">
                  <c:v>149.69</c:v>
                </c:pt>
                <c:pt idx="185">
                  <c:v>150.76</c:v>
                </c:pt>
                <c:pt idx="186">
                  <c:v>149.83000000000001</c:v>
                </c:pt>
                <c:pt idx="187">
                  <c:v>150.65</c:v>
                </c:pt>
                <c:pt idx="188">
                  <c:v>150.35</c:v>
                </c:pt>
                <c:pt idx="189">
                  <c:v>151</c:v>
                </c:pt>
                <c:pt idx="190">
                  <c:v>150.02000000000001</c:v>
                </c:pt>
                <c:pt idx="191">
                  <c:v>151.88999999999999</c:v>
                </c:pt>
                <c:pt idx="192">
                  <c:v>151.80000000000001</c:v>
                </c:pt>
                <c:pt idx="193">
                  <c:v>152.33000000000001</c:v>
                </c:pt>
                <c:pt idx="194">
                  <c:v>152.38999999999999</c:v>
                </c:pt>
                <c:pt idx="195">
                  <c:v>153.03</c:v>
                </c:pt>
                <c:pt idx="196">
                  <c:v>152.49</c:v>
                </c:pt>
                <c:pt idx="197">
                  <c:v>153.46</c:v>
                </c:pt>
                <c:pt idx="198">
                  <c:v>156.28</c:v>
                </c:pt>
                <c:pt idx="199">
                  <c:v>156.86000000000001</c:v>
                </c:pt>
                <c:pt idx="200">
                  <c:v>156.16</c:v>
                </c:pt>
                <c:pt idx="201">
                  <c:v>152.47</c:v>
                </c:pt>
                <c:pt idx="202">
                  <c:v>152.72999999999999</c:v>
                </c:pt>
                <c:pt idx="203">
                  <c:v>152.65</c:v>
                </c:pt>
                <c:pt idx="204">
                  <c:v>153.56</c:v>
                </c:pt>
                <c:pt idx="205">
                  <c:v>152.88999999999999</c:v>
                </c:pt>
                <c:pt idx="206">
                  <c:v>153.87</c:v>
                </c:pt>
                <c:pt idx="207">
                  <c:v>159.38</c:v>
                </c:pt>
                <c:pt idx="208">
                  <c:v>162.97</c:v>
                </c:pt>
                <c:pt idx="209">
                  <c:v>165.23</c:v>
                </c:pt>
                <c:pt idx="210">
                  <c:v>163.13</c:v>
                </c:pt>
                <c:pt idx="211">
                  <c:v>164.33</c:v>
                </c:pt>
                <c:pt idx="212">
                  <c:v>168.62</c:v>
                </c:pt>
                <c:pt idx="213">
                  <c:v>170.33</c:v>
                </c:pt>
                <c:pt idx="214">
                  <c:v>170.87</c:v>
                </c:pt>
                <c:pt idx="215">
                  <c:v>172.27</c:v>
                </c:pt>
                <c:pt idx="216">
                  <c:v>171.92</c:v>
                </c:pt>
                <c:pt idx="217">
                  <c:v>171.35</c:v>
                </c:pt>
                <c:pt idx="218">
                  <c:v>170.66</c:v>
                </c:pt>
                <c:pt idx="219">
                  <c:v>168.08</c:v>
                </c:pt>
                <c:pt idx="220">
                  <c:v>165.87</c:v>
                </c:pt>
                <c:pt idx="221">
                  <c:v>167.85</c:v>
                </c:pt>
                <c:pt idx="222">
                  <c:v>166.92</c:v>
                </c:pt>
                <c:pt idx="223">
                  <c:v>166.75</c:v>
                </c:pt>
                <c:pt idx="224">
                  <c:v>169.85</c:v>
                </c:pt>
                <c:pt idx="225">
                  <c:v>171.64</c:v>
                </c:pt>
                <c:pt idx="226">
                  <c:v>171.65</c:v>
                </c:pt>
                <c:pt idx="227">
                  <c:v>170.78</c:v>
                </c:pt>
                <c:pt idx="228">
                  <c:v>169.78</c:v>
                </c:pt>
                <c:pt idx="229">
                  <c:v>166.26</c:v>
                </c:pt>
                <c:pt idx="230">
                  <c:v>168.59</c:v>
                </c:pt>
                <c:pt idx="231">
                  <c:v>167.8</c:v>
                </c:pt>
                <c:pt idx="232">
                  <c:v>166.57</c:v>
                </c:pt>
                <c:pt idx="233">
                  <c:v>166.42</c:v>
                </c:pt>
                <c:pt idx="234">
                  <c:v>165.8</c:v>
                </c:pt>
                <c:pt idx="235">
                  <c:v>166.1</c:v>
                </c:pt>
                <c:pt idx="236">
                  <c:v>166.15</c:v>
                </c:pt>
                <c:pt idx="237">
                  <c:v>169.39</c:v>
                </c:pt>
                <c:pt idx="238">
                  <c:v>168.44</c:v>
                </c:pt>
                <c:pt idx="239">
                  <c:v>169</c:v>
                </c:pt>
                <c:pt idx="240">
                  <c:v>168.95</c:v>
                </c:pt>
                <c:pt idx="241">
                  <c:v>170.66</c:v>
                </c:pt>
                <c:pt idx="242">
                  <c:v>173.07</c:v>
                </c:pt>
                <c:pt idx="243">
                  <c:v>171.22</c:v>
                </c:pt>
                <c:pt idx="244">
                  <c:v>171.04</c:v>
                </c:pt>
                <c:pt idx="245">
                  <c:v>171.69</c:v>
                </c:pt>
                <c:pt idx="246">
                  <c:v>171.69</c:v>
                </c:pt>
                <c:pt idx="247">
                  <c:v>167.33</c:v>
                </c:pt>
                <c:pt idx="248">
                  <c:v>167.36</c:v>
                </c:pt>
                <c:pt idx="249">
                  <c:v>167.83</c:v>
                </c:pt>
                <c:pt idx="250">
                  <c:v>166.01</c:v>
                </c:pt>
                <c:pt idx="251">
                  <c:v>168.99</c:v>
                </c:pt>
                <c:pt idx="252">
                  <c:v>168.96</c:v>
                </c:pt>
                <c:pt idx="253">
                  <c:v>169.74</c:v>
                </c:pt>
                <c:pt idx="254">
                  <c:v>171.68</c:v>
                </c:pt>
                <c:pt idx="255">
                  <c:v>171.04</c:v>
                </c:pt>
                <c:pt idx="256">
                  <c:v>171.02</c:v>
                </c:pt>
                <c:pt idx="257">
                  <c:v>170.98</c:v>
                </c:pt>
                <c:pt idx="258">
                  <c:v>171.95</c:v>
                </c:pt>
                <c:pt idx="259">
                  <c:v>173.73</c:v>
                </c:pt>
                <c:pt idx="260">
                  <c:v>172.84</c:v>
                </c:pt>
                <c:pt idx="261">
                  <c:v>175.7</c:v>
                </c:pt>
                <c:pt idx="262">
                  <c:v>175.85</c:v>
                </c:pt>
                <c:pt idx="263">
                  <c:v>175.07</c:v>
                </c:pt>
                <c:pt idx="264">
                  <c:v>173.64</c:v>
                </c:pt>
                <c:pt idx="265">
                  <c:v>173.68</c:v>
                </c:pt>
                <c:pt idx="266">
                  <c:v>170.91</c:v>
                </c:pt>
                <c:pt idx="267">
                  <c:v>167.86</c:v>
                </c:pt>
                <c:pt idx="268">
                  <c:v>168.25</c:v>
                </c:pt>
                <c:pt idx="269">
                  <c:v>164.77</c:v>
                </c:pt>
                <c:pt idx="270">
                  <c:v>163.80000000000001</c:v>
                </c:pt>
                <c:pt idx="271">
                  <c:v>164.25</c:v>
                </c:pt>
                <c:pt idx="272">
                  <c:v>164.59</c:v>
                </c:pt>
                <c:pt idx="273">
                  <c:v>157.44999999999999</c:v>
                </c:pt>
                <c:pt idx="274">
                  <c:v>153.52000000000001</c:v>
                </c:pt>
                <c:pt idx="275">
                  <c:v>159.93</c:v>
                </c:pt>
                <c:pt idx="276">
                  <c:v>156.51</c:v>
                </c:pt>
                <c:pt idx="277">
                  <c:v>152.19999999999999</c:v>
                </c:pt>
                <c:pt idx="278">
                  <c:v>154.06</c:v>
                </c:pt>
                <c:pt idx="279">
                  <c:v>160.27000000000001</c:v>
                </c:pt>
                <c:pt idx="280">
                  <c:v>161.88</c:v>
                </c:pt>
                <c:pt idx="281">
                  <c:v>164.86</c:v>
                </c:pt>
                <c:pt idx="282">
                  <c:v>170.4</c:v>
                </c:pt>
                <c:pt idx="283">
                  <c:v>169.84</c:v>
                </c:pt>
                <c:pt idx="284">
                  <c:v>169.27</c:v>
                </c:pt>
                <c:pt idx="285">
                  <c:v>168.5</c:v>
                </c:pt>
                <c:pt idx="286">
                  <c:v>169.91</c:v>
                </c:pt>
                <c:pt idx="287">
                  <c:v>172.87</c:v>
                </c:pt>
                <c:pt idx="288">
                  <c:v>176.29</c:v>
                </c:pt>
                <c:pt idx="289">
                  <c:v>175.71</c:v>
                </c:pt>
                <c:pt idx="290">
                  <c:v>175.45</c:v>
                </c:pt>
                <c:pt idx="291">
                  <c:v>172.38</c:v>
                </c:pt>
                <c:pt idx="292">
                  <c:v>173.57</c:v>
                </c:pt>
                <c:pt idx="293">
                  <c:v>174.17</c:v>
                </c:pt>
                <c:pt idx="294">
                  <c:v>174.02</c:v>
                </c:pt>
                <c:pt idx="295">
                  <c:v>172.4</c:v>
                </c:pt>
                <c:pt idx="296">
                  <c:v>174.29</c:v>
                </c:pt>
                <c:pt idx="297">
                  <c:v>177.28</c:v>
                </c:pt>
                <c:pt idx="298">
                  <c:v>178.99</c:v>
                </c:pt>
                <c:pt idx="299">
                  <c:v>177.27</c:v>
                </c:pt>
                <c:pt idx="300">
                  <c:v>175.76</c:v>
                </c:pt>
                <c:pt idx="301">
                  <c:v>175.97</c:v>
                </c:pt>
                <c:pt idx="302">
                  <c:v>175.35</c:v>
                </c:pt>
                <c:pt idx="303">
                  <c:v>172.67</c:v>
                </c:pt>
                <c:pt idx="304">
                  <c:v>172.61</c:v>
                </c:pt>
                <c:pt idx="305">
                  <c:v>168.7</c:v>
                </c:pt>
                <c:pt idx="306">
                  <c:v>166.32</c:v>
                </c:pt>
                <c:pt idx="307">
                  <c:v>162.47</c:v>
                </c:pt>
                <c:pt idx="308">
                  <c:v>170.18</c:v>
                </c:pt>
                <c:pt idx="309">
                  <c:v>165.82</c:v>
                </c:pt>
                <c:pt idx="310">
                  <c:v>163.98</c:v>
                </c:pt>
                <c:pt idx="311">
                  <c:v>165.26</c:v>
                </c:pt>
                <c:pt idx="312">
                  <c:v>164.18</c:v>
                </c:pt>
                <c:pt idx="313">
                  <c:v>165.86</c:v>
                </c:pt>
                <c:pt idx="314">
                  <c:v>169.04</c:v>
                </c:pt>
                <c:pt idx="315">
                  <c:v>170.21</c:v>
                </c:pt>
                <c:pt idx="316">
                  <c:v>165.85</c:v>
                </c:pt>
                <c:pt idx="317">
                  <c:v>167.5</c:v>
                </c:pt>
                <c:pt idx="318">
                  <c:v>170.65</c:v>
                </c:pt>
                <c:pt idx="319">
                  <c:v>169.85</c:v>
                </c:pt>
                <c:pt idx="320">
                  <c:v>171.53</c:v>
                </c:pt>
                <c:pt idx="321">
                  <c:v>172.11</c:v>
                </c:pt>
                <c:pt idx="322">
                  <c:v>173.18</c:v>
                </c:pt>
                <c:pt idx="323">
                  <c:v>175.57</c:v>
                </c:pt>
                <c:pt idx="324">
                  <c:v>175.17</c:v>
                </c:pt>
                <c:pt idx="325">
                  <c:v>170.21</c:v>
                </c:pt>
                <c:pt idx="326">
                  <c:v>163.22999999999999</c:v>
                </c:pt>
                <c:pt idx="327">
                  <c:v>162.76</c:v>
                </c:pt>
                <c:pt idx="328">
                  <c:v>160.5</c:v>
                </c:pt>
                <c:pt idx="329">
                  <c:v>161.19999999999999</c:v>
                </c:pt>
                <c:pt idx="330">
                  <c:v>161.76</c:v>
                </c:pt>
                <c:pt idx="331">
                  <c:v>159.88999999999999</c:v>
                </c:pt>
                <c:pt idx="332">
                  <c:v>162.78</c:v>
                </c:pt>
                <c:pt idx="333">
                  <c:v>166.56</c:v>
                </c:pt>
                <c:pt idx="334">
                  <c:v>173.92</c:v>
                </c:pt>
                <c:pt idx="335">
                  <c:v>174.24</c:v>
                </c:pt>
                <c:pt idx="336">
                  <c:v>181.07</c:v>
                </c:pt>
                <c:pt idx="337">
                  <c:v>182.38</c:v>
                </c:pt>
                <c:pt idx="338">
                  <c:v>183.26</c:v>
                </c:pt>
                <c:pt idx="339">
                  <c:v>184.55</c:v>
                </c:pt>
                <c:pt idx="340">
                  <c:v>187.19</c:v>
                </c:pt>
                <c:pt idx="341">
                  <c:v>186.48</c:v>
                </c:pt>
                <c:pt idx="342">
                  <c:v>186.04</c:v>
                </c:pt>
                <c:pt idx="343">
                  <c:v>184.35</c:v>
                </c:pt>
                <c:pt idx="344">
                  <c:v>186.07</c:v>
                </c:pt>
                <c:pt idx="345">
                  <c:v>184.9</c:v>
                </c:pt>
                <c:pt idx="346">
                  <c:v>184.22</c:v>
                </c:pt>
                <c:pt idx="347">
                  <c:v>185.53</c:v>
                </c:pt>
                <c:pt idx="348">
                  <c:v>185.06</c:v>
                </c:pt>
                <c:pt idx="349">
                  <c:v>186.25</c:v>
                </c:pt>
                <c:pt idx="350">
                  <c:v>186.04</c:v>
                </c:pt>
                <c:pt idx="351">
                  <c:v>186.47</c:v>
                </c:pt>
                <c:pt idx="352">
                  <c:v>185.8</c:v>
                </c:pt>
                <c:pt idx="353">
                  <c:v>185.4</c:v>
                </c:pt>
                <c:pt idx="354">
                  <c:v>184.78</c:v>
                </c:pt>
                <c:pt idx="355">
                  <c:v>188.11</c:v>
                </c:pt>
                <c:pt idx="356">
                  <c:v>189.68</c:v>
                </c:pt>
                <c:pt idx="357">
                  <c:v>191.14</c:v>
                </c:pt>
                <c:pt idx="358">
                  <c:v>191.81</c:v>
                </c:pt>
                <c:pt idx="359">
                  <c:v>191.29</c:v>
                </c:pt>
                <c:pt idx="360">
                  <c:v>189.55</c:v>
                </c:pt>
                <c:pt idx="361">
                  <c:v>189.09</c:v>
                </c:pt>
                <c:pt idx="362">
                  <c:v>190.13</c:v>
                </c:pt>
                <c:pt idx="363">
                  <c:v>188.56</c:v>
                </c:pt>
                <c:pt idx="364">
                  <c:v>188.66</c:v>
                </c:pt>
                <c:pt idx="365">
                  <c:v>186.72</c:v>
                </c:pt>
                <c:pt idx="366">
                  <c:v>186.63</c:v>
                </c:pt>
                <c:pt idx="367">
                  <c:v>183.61</c:v>
                </c:pt>
                <c:pt idx="368">
                  <c:v>184.41</c:v>
                </c:pt>
                <c:pt idx="369">
                  <c:v>183.38</c:v>
                </c:pt>
                <c:pt idx="370">
                  <c:v>182.85</c:v>
                </c:pt>
                <c:pt idx="371">
                  <c:v>180.13</c:v>
                </c:pt>
                <c:pt idx="372">
                  <c:v>182.36</c:v>
                </c:pt>
                <c:pt idx="373">
                  <c:v>182.1</c:v>
                </c:pt>
                <c:pt idx="374">
                  <c:v>183.42</c:v>
                </c:pt>
                <c:pt idx="375">
                  <c:v>183.04</c:v>
                </c:pt>
                <c:pt idx="376">
                  <c:v>185.08</c:v>
                </c:pt>
                <c:pt idx="377">
                  <c:v>181.86</c:v>
                </c:pt>
                <c:pt idx="378">
                  <c:v>183.32</c:v>
                </c:pt>
                <c:pt idx="379">
                  <c:v>185.86</c:v>
                </c:pt>
                <c:pt idx="380">
                  <c:v>188.45</c:v>
                </c:pt>
                <c:pt idx="381">
                  <c:v>188.22</c:v>
                </c:pt>
                <c:pt idx="382">
                  <c:v>185.78</c:v>
                </c:pt>
                <c:pt idx="383">
                  <c:v>188.89</c:v>
                </c:pt>
                <c:pt idx="384">
                  <c:v>189.19</c:v>
                </c:pt>
                <c:pt idx="385">
                  <c:v>188.77</c:v>
                </c:pt>
                <c:pt idx="386">
                  <c:v>189.31</c:v>
                </c:pt>
                <c:pt idx="387">
                  <c:v>188.27</c:v>
                </c:pt>
                <c:pt idx="388">
                  <c:v>189.73</c:v>
                </c:pt>
                <c:pt idx="389">
                  <c:v>189.3</c:v>
                </c:pt>
                <c:pt idx="390">
                  <c:v>189.46</c:v>
                </c:pt>
                <c:pt idx="391">
                  <c:v>190.84</c:v>
                </c:pt>
                <c:pt idx="392">
                  <c:v>192.64</c:v>
                </c:pt>
                <c:pt idx="393">
                  <c:v>192.03</c:v>
                </c:pt>
                <c:pt idx="394">
                  <c:v>188.84</c:v>
                </c:pt>
                <c:pt idx="395">
                  <c:v>187.78</c:v>
                </c:pt>
                <c:pt idx="396">
                  <c:v>188.16</c:v>
                </c:pt>
                <c:pt idx="397">
                  <c:v>199.24</c:v>
                </c:pt>
                <c:pt idx="398">
                  <c:v>205.07</c:v>
                </c:pt>
                <c:pt idx="399">
                  <c:v>205.66</c:v>
                </c:pt>
                <c:pt idx="400">
                  <c:v>206.73</c:v>
                </c:pt>
                <c:pt idx="401">
                  <c:v>204.79</c:v>
                </c:pt>
                <c:pt idx="402">
                  <c:v>204.93</c:v>
                </c:pt>
                <c:pt idx="403">
                  <c:v>206.54</c:v>
                </c:pt>
                <c:pt idx="404">
                  <c:v>205.93</c:v>
                </c:pt>
                <c:pt idx="405">
                  <c:v>207.25</c:v>
                </c:pt>
                <c:pt idx="406">
                  <c:v>208.13</c:v>
                </c:pt>
                <c:pt idx="407">
                  <c:v>208.61</c:v>
                </c:pt>
                <c:pt idx="408">
                  <c:v>211.67</c:v>
                </c:pt>
                <c:pt idx="409">
                  <c:v>215.9</c:v>
                </c:pt>
                <c:pt idx="410">
                  <c:v>213.79</c:v>
                </c:pt>
                <c:pt idx="411">
                  <c:v>213.38</c:v>
                </c:pt>
                <c:pt idx="412">
                  <c:v>213.39</c:v>
                </c:pt>
                <c:pt idx="413">
                  <c:v>213.82</c:v>
                </c:pt>
                <c:pt idx="414">
                  <c:v>214.49</c:v>
                </c:pt>
                <c:pt idx="415">
                  <c:v>216.25</c:v>
                </c:pt>
                <c:pt idx="416">
                  <c:v>218</c:v>
                </c:pt>
                <c:pt idx="417">
                  <c:v>221.26</c:v>
                </c:pt>
                <c:pt idx="418">
                  <c:v>223.29</c:v>
                </c:pt>
                <c:pt idx="419">
                  <c:v>225.87</c:v>
                </c:pt>
                <c:pt idx="420">
                  <c:v>226.59</c:v>
                </c:pt>
                <c:pt idx="421">
                  <c:v>225.12</c:v>
                </c:pt>
                <c:pt idx="422">
                  <c:v>221.37</c:v>
                </c:pt>
                <c:pt idx="423">
                  <c:v>219.59</c:v>
                </c:pt>
                <c:pt idx="424">
                  <c:v>216.64</c:v>
                </c:pt>
                <c:pt idx="425">
                  <c:v>222.12</c:v>
                </c:pt>
                <c:pt idx="426">
                  <c:v>219.36</c:v>
                </c:pt>
                <c:pt idx="427">
                  <c:v>224.66</c:v>
                </c:pt>
                <c:pt idx="428">
                  <c:v>222.11</c:v>
                </c:pt>
                <c:pt idx="429">
                  <c:v>216.2</c:v>
                </c:pt>
                <c:pt idx="430">
                  <c:v>216.55</c:v>
                </c:pt>
                <c:pt idx="431">
                  <c:v>216.68</c:v>
                </c:pt>
                <c:pt idx="432">
                  <c:v>218.33</c:v>
                </c:pt>
                <c:pt idx="433">
                  <c:v>215.98</c:v>
                </c:pt>
                <c:pt idx="434">
                  <c:v>219.08</c:v>
                </c:pt>
                <c:pt idx="435">
                  <c:v>220.47</c:v>
                </c:pt>
                <c:pt idx="436">
                  <c:v>218.72</c:v>
                </c:pt>
                <c:pt idx="437">
                  <c:v>223.21</c:v>
                </c:pt>
                <c:pt idx="438">
                  <c:v>223.99</c:v>
                </c:pt>
                <c:pt idx="439">
                  <c:v>225.5</c:v>
                </c:pt>
                <c:pt idx="440">
                  <c:v>227.51</c:v>
                </c:pt>
                <c:pt idx="441">
                  <c:v>230.28</c:v>
                </c:pt>
                <c:pt idx="442">
                  <c:v>226.23</c:v>
                </c:pt>
                <c:pt idx="443">
                  <c:v>222.56</c:v>
                </c:pt>
                <c:pt idx="444">
                  <c:v>222.04</c:v>
                </c:pt>
                <c:pt idx="445">
                  <c:v>225.12</c:v>
                </c:pt>
                <c:pt idx="446">
                  <c:v>214.69</c:v>
                </c:pt>
                <c:pt idx="447">
                  <c:v>212.79</c:v>
                </c:pt>
                <c:pt idx="448">
                  <c:v>220.39</c:v>
                </c:pt>
                <c:pt idx="449">
                  <c:v>215.68</c:v>
                </c:pt>
                <c:pt idx="450">
                  <c:v>220.43</c:v>
                </c:pt>
                <c:pt idx="451">
                  <c:v>219.48</c:v>
                </c:pt>
                <c:pt idx="452">
                  <c:v>214.35</c:v>
                </c:pt>
                <c:pt idx="453">
                  <c:v>217.61</c:v>
                </c:pt>
                <c:pt idx="454">
                  <c:v>218.94</c:v>
                </c:pt>
                <c:pt idx="455">
                  <c:v>221.01</c:v>
                </c:pt>
                <c:pt idx="456">
                  <c:v>213.43</c:v>
                </c:pt>
                <c:pt idx="457">
                  <c:v>218.1</c:v>
                </c:pt>
                <c:pt idx="458">
                  <c:v>214.63</c:v>
                </c:pt>
                <c:pt idx="459">
                  <c:v>210.6</c:v>
                </c:pt>
                <c:pt idx="460">
                  <c:v>211.65</c:v>
                </c:pt>
                <c:pt idx="461">
                  <c:v>217.17</c:v>
                </c:pt>
                <c:pt idx="462">
                  <c:v>220.5</c:v>
                </c:pt>
                <c:pt idx="463">
                  <c:v>205.88</c:v>
                </c:pt>
                <c:pt idx="464">
                  <c:v>200.03</c:v>
                </c:pt>
                <c:pt idx="465">
                  <c:v>202.19</c:v>
                </c:pt>
                <c:pt idx="466">
                  <c:v>208.33</c:v>
                </c:pt>
                <c:pt idx="467">
                  <c:v>207.6</c:v>
                </c:pt>
                <c:pt idx="468">
                  <c:v>203.6</c:v>
                </c:pt>
                <c:pt idx="469">
                  <c:v>193.34</c:v>
                </c:pt>
                <c:pt idx="470">
                  <c:v>191.41</c:v>
                </c:pt>
                <c:pt idx="471">
                  <c:v>186</c:v>
                </c:pt>
                <c:pt idx="472">
                  <c:v>190.59</c:v>
                </c:pt>
                <c:pt idx="473">
                  <c:v>192.7</c:v>
                </c:pt>
                <c:pt idx="474">
                  <c:v>185.07</c:v>
                </c:pt>
                <c:pt idx="475">
                  <c:v>176.22</c:v>
                </c:pt>
                <c:pt idx="476">
                  <c:v>176.03</c:v>
                </c:pt>
                <c:pt idx="477">
                  <c:v>171.55</c:v>
                </c:pt>
                <c:pt idx="478">
                  <c:v>173.87</c:v>
                </c:pt>
                <c:pt idx="479">
                  <c:v>173.5</c:v>
                </c:pt>
                <c:pt idx="480">
                  <c:v>180.17</c:v>
                </c:pt>
                <c:pt idx="481">
                  <c:v>178.78</c:v>
                </c:pt>
                <c:pt idx="482">
                  <c:v>177.82</c:v>
                </c:pt>
                <c:pt idx="483">
                  <c:v>184.03</c:v>
                </c:pt>
                <c:pt idx="484">
                  <c:v>175.94</c:v>
                </c:pt>
                <c:pt idx="485">
                  <c:v>173.97</c:v>
                </c:pt>
                <c:pt idx="486">
                  <c:v>167.77</c:v>
                </c:pt>
                <c:pt idx="487">
                  <c:v>168.88</c:v>
                </c:pt>
                <c:pt idx="488">
                  <c:v>167.91</c:v>
                </c:pt>
                <c:pt idx="489">
                  <c:v>168.38</c:v>
                </c:pt>
                <c:pt idx="490">
                  <c:v>170.22</c:v>
                </c:pt>
                <c:pt idx="491">
                  <c:v>164.77</c:v>
                </c:pt>
                <c:pt idx="492">
                  <c:v>163.24</c:v>
                </c:pt>
                <c:pt idx="493">
                  <c:v>165.36</c:v>
                </c:pt>
                <c:pt idx="494">
                  <c:v>160.19999999999999</c:v>
                </c:pt>
                <c:pt idx="495">
                  <c:v>156.16</c:v>
                </c:pt>
                <c:pt idx="496">
                  <c:v>150.09</c:v>
                </c:pt>
                <c:pt idx="497">
                  <c:v>146.19999999999999</c:v>
                </c:pt>
                <c:pt idx="498">
                  <c:v>156.5</c:v>
                </c:pt>
                <c:pt idx="499">
                  <c:v>155.47999999999999</c:v>
                </c:pt>
                <c:pt idx="500">
                  <c:v>155.56</c:v>
                </c:pt>
                <c:pt idx="501">
                  <c:v>157.07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8-4627-A9B5-13E947E20CD9}"/>
            </c:ext>
          </c:extLst>
        </c:ser>
        <c:ser>
          <c:idx val="1"/>
          <c:order val="1"/>
          <c:tx>
            <c:strRef>
              <c:f>wide_company_closes_reorder!$C$1</c:f>
              <c:strCache>
                <c:ptCount val="1"/>
                <c:pt idx="0">
                  <c:v>AXP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wide_company_closes_reorder!$C$2:$C$503</c:f>
              <c:numCache>
                <c:formatCode>General</c:formatCode>
                <c:ptCount val="502"/>
                <c:pt idx="0">
                  <c:v>73.06</c:v>
                </c:pt>
                <c:pt idx="1">
                  <c:v>74.25</c:v>
                </c:pt>
                <c:pt idx="2">
                  <c:v>73.34</c:v>
                </c:pt>
                <c:pt idx="3">
                  <c:v>73.48</c:v>
                </c:pt>
                <c:pt idx="4">
                  <c:v>73.86</c:v>
                </c:pt>
                <c:pt idx="5">
                  <c:v>74.63</c:v>
                </c:pt>
                <c:pt idx="6">
                  <c:v>74.89</c:v>
                </c:pt>
                <c:pt idx="7">
                  <c:v>74.86</c:v>
                </c:pt>
                <c:pt idx="8">
                  <c:v>74.599999999999994</c:v>
                </c:pt>
                <c:pt idx="9">
                  <c:v>74.59</c:v>
                </c:pt>
                <c:pt idx="10">
                  <c:v>75.45</c:v>
                </c:pt>
                <c:pt idx="11">
                  <c:v>74.67</c:v>
                </c:pt>
                <c:pt idx="12">
                  <c:v>74.2</c:v>
                </c:pt>
                <c:pt idx="13">
                  <c:v>73.97</c:v>
                </c:pt>
                <c:pt idx="14">
                  <c:v>75.39</c:v>
                </c:pt>
                <c:pt idx="15">
                  <c:v>74.87</c:v>
                </c:pt>
                <c:pt idx="16">
                  <c:v>74.91</c:v>
                </c:pt>
                <c:pt idx="17">
                  <c:v>74.83</c:v>
                </c:pt>
                <c:pt idx="18">
                  <c:v>75.25</c:v>
                </c:pt>
                <c:pt idx="19">
                  <c:v>74.37</c:v>
                </c:pt>
                <c:pt idx="20">
                  <c:v>74.739999999999995</c:v>
                </c:pt>
                <c:pt idx="21">
                  <c:v>74.5</c:v>
                </c:pt>
                <c:pt idx="22">
                  <c:v>75.989999999999995</c:v>
                </c:pt>
                <c:pt idx="23">
                  <c:v>75.77</c:v>
                </c:pt>
                <c:pt idx="24">
                  <c:v>75.680000000000007</c:v>
                </c:pt>
                <c:pt idx="25">
                  <c:v>75.75</c:v>
                </c:pt>
                <c:pt idx="26">
                  <c:v>76.12</c:v>
                </c:pt>
                <c:pt idx="27">
                  <c:v>76.42</c:v>
                </c:pt>
                <c:pt idx="28">
                  <c:v>76.83</c:v>
                </c:pt>
                <c:pt idx="29">
                  <c:v>77.319999999999993</c:v>
                </c:pt>
                <c:pt idx="30">
                  <c:v>77.510000000000005</c:v>
                </c:pt>
                <c:pt idx="31">
                  <c:v>77.42</c:v>
                </c:pt>
                <c:pt idx="32">
                  <c:v>77.61</c:v>
                </c:pt>
                <c:pt idx="33">
                  <c:v>77.87</c:v>
                </c:pt>
                <c:pt idx="34">
                  <c:v>77.760000000000005</c:v>
                </c:pt>
                <c:pt idx="35">
                  <c:v>77.94</c:v>
                </c:pt>
                <c:pt idx="36">
                  <c:v>77.66</c:v>
                </c:pt>
                <c:pt idx="37">
                  <c:v>78.06</c:v>
                </c:pt>
                <c:pt idx="38">
                  <c:v>77.95</c:v>
                </c:pt>
                <c:pt idx="39">
                  <c:v>79.77</c:v>
                </c:pt>
                <c:pt idx="40">
                  <c:v>77.989999999999995</c:v>
                </c:pt>
                <c:pt idx="41">
                  <c:v>77.78</c:v>
                </c:pt>
                <c:pt idx="42">
                  <c:v>77.41</c:v>
                </c:pt>
                <c:pt idx="43">
                  <c:v>77.489999999999995</c:v>
                </c:pt>
                <c:pt idx="44">
                  <c:v>76.959999999999994</c:v>
                </c:pt>
                <c:pt idx="45">
                  <c:v>77.209999999999994</c:v>
                </c:pt>
                <c:pt idx="46">
                  <c:v>77.290000000000006</c:v>
                </c:pt>
                <c:pt idx="47">
                  <c:v>77.13</c:v>
                </c:pt>
                <c:pt idx="48">
                  <c:v>77.59</c:v>
                </c:pt>
                <c:pt idx="49">
                  <c:v>77.150000000000006</c:v>
                </c:pt>
                <c:pt idx="50">
                  <c:v>77.67</c:v>
                </c:pt>
                <c:pt idx="51">
                  <c:v>77.17</c:v>
                </c:pt>
                <c:pt idx="52">
                  <c:v>76.78</c:v>
                </c:pt>
                <c:pt idx="53">
                  <c:v>75.489999999999995</c:v>
                </c:pt>
                <c:pt idx="54">
                  <c:v>75.63</c:v>
                </c:pt>
                <c:pt idx="55">
                  <c:v>75.790000000000006</c:v>
                </c:pt>
                <c:pt idx="56">
                  <c:v>76.14</c:v>
                </c:pt>
                <c:pt idx="57">
                  <c:v>75.56</c:v>
                </c:pt>
                <c:pt idx="58">
                  <c:v>76.569999999999993</c:v>
                </c:pt>
                <c:pt idx="59">
                  <c:v>76.19</c:v>
                </c:pt>
                <c:pt idx="60">
                  <c:v>77.13</c:v>
                </c:pt>
                <c:pt idx="61">
                  <c:v>77.03</c:v>
                </c:pt>
                <c:pt idx="62">
                  <c:v>76.52</c:v>
                </c:pt>
                <c:pt idx="63">
                  <c:v>76.2</c:v>
                </c:pt>
                <c:pt idx="64">
                  <c:v>76.03</c:v>
                </c:pt>
                <c:pt idx="65">
                  <c:v>76.180000000000007</c:v>
                </c:pt>
                <c:pt idx="66">
                  <c:v>76.040000000000006</c:v>
                </c:pt>
                <c:pt idx="67">
                  <c:v>75.760000000000005</c:v>
                </c:pt>
                <c:pt idx="68">
                  <c:v>75.540000000000006</c:v>
                </c:pt>
                <c:pt idx="69">
                  <c:v>74.97</c:v>
                </c:pt>
                <c:pt idx="70">
                  <c:v>74.11</c:v>
                </c:pt>
                <c:pt idx="71">
                  <c:v>74.959999999999994</c:v>
                </c:pt>
                <c:pt idx="72">
                  <c:v>74.099999999999994</c:v>
                </c:pt>
                <c:pt idx="73">
                  <c:v>73.86</c:v>
                </c:pt>
                <c:pt idx="74">
                  <c:v>78.239999999999995</c:v>
                </c:pt>
                <c:pt idx="75">
                  <c:v>77.81</c:v>
                </c:pt>
                <c:pt idx="76">
                  <c:v>78.66</c:v>
                </c:pt>
                <c:pt idx="77">
                  <c:v>78.83</c:v>
                </c:pt>
                <c:pt idx="78">
                  <c:v>78.72</c:v>
                </c:pt>
                <c:pt idx="79">
                  <c:v>78.540000000000006</c:v>
                </c:pt>
                <c:pt idx="80">
                  <c:v>77.48</c:v>
                </c:pt>
                <c:pt idx="81">
                  <c:v>77.459999999999994</c:v>
                </c:pt>
                <c:pt idx="82">
                  <c:v>77.77</c:v>
                </c:pt>
                <c:pt idx="83">
                  <c:v>77.069999999999993</c:v>
                </c:pt>
                <c:pt idx="84">
                  <c:v>76.58</c:v>
                </c:pt>
                <c:pt idx="85">
                  <c:v>76.569999999999993</c:v>
                </c:pt>
                <c:pt idx="86">
                  <c:v>76.42</c:v>
                </c:pt>
                <c:pt idx="87">
                  <c:v>76.69</c:v>
                </c:pt>
                <c:pt idx="88">
                  <c:v>76.900000000000006</c:v>
                </c:pt>
                <c:pt idx="89">
                  <c:v>76.180000000000007</c:v>
                </c:pt>
                <c:pt idx="90">
                  <c:v>75.760000000000005</c:v>
                </c:pt>
                <c:pt idx="91">
                  <c:v>76.58</c:v>
                </c:pt>
                <c:pt idx="92">
                  <c:v>76.39</c:v>
                </c:pt>
                <c:pt idx="93">
                  <c:v>74.67</c:v>
                </c:pt>
                <c:pt idx="94">
                  <c:v>74.680000000000007</c:v>
                </c:pt>
                <c:pt idx="95">
                  <c:v>75.09</c:v>
                </c:pt>
                <c:pt idx="96">
                  <c:v>75.260000000000005</c:v>
                </c:pt>
                <c:pt idx="97">
                  <c:v>75.48</c:v>
                </c:pt>
                <c:pt idx="98">
                  <c:v>75.400000000000006</c:v>
                </c:pt>
                <c:pt idx="99">
                  <c:v>75.709999999999994</c:v>
                </c:pt>
                <c:pt idx="100">
                  <c:v>75.73</c:v>
                </c:pt>
                <c:pt idx="101">
                  <c:v>75.37</c:v>
                </c:pt>
                <c:pt idx="102">
                  <c:v>75.22</c:v>
                </c:pt>
                <c:pt idx="103">
                  <c:v>76.53</c:v>
                </c:pt>
                <c:pt idx="104">
                  <c:v>76.739999999999995</c:v>
                </c:pt>
                <c:pt idx="105">
                  <c:v>77.209999999999994</c:v>
                </c:pt>
                <c:pt idx="106">
                  <c:v>77.09</c:v>
                </c:pt>
                <c:pt idx="107">
                  <c:v>78.03</c:v>
                </c:pt>
                <c:pt idx="108">
                  <c:v>78.17</c:v>
                </c:pt>
                <c:pt idx="109">
                  <c:v>78.52</c:v>
                </c:pt>
                <c:pt idx="110">
                  <c:v>78.38</c:v>
                </c:pt>
                <c:pt idx="111">
                  <c:v>78.790000000000006</c:v>
                </c:pt>
                <c:pt idx="112">
                  <c:v>79.040000000000006</c:v>
                </c:pt>
                <c:pt idx="113">
                  <c:v>78.900000000000006</c:v>
                </c:pt>
                <c:pt idx="114">
                  <c:v>79.63</c:v>
                </c:pt>
                <c:pt idx="115">
                  <c:v>80.05</c:v>
                </c:pt>
                <c:pt idx="116">
                  <c:v>80.67</c:v>
                </c:pt>
                <c:pt idx="117">
                  <c:v>80.38</c:v>
                </c:pt>
                <c:pt idx="118">
                  <c:v>80.42</c:v>
                </c:pt>
                <c:pt idx="119">
                  <c:v>80.39</c:v>
                </c:pt>
                <c:pt idx="120">
                  <c:v>81.11</c:v>
                </c:pt>
                <c:pt idx="121">
                  <c:v>81.23</c:v>
                </c:pt>
                <c:pt idx="122">
                  <c:v>82.1</c:v>
                </c:pt>
                <c:pt idx="123">
                  <c:v>81.760000000000005</c:v>
                </c:pt>
                <c:pt idx="124">
                  <c:v>82.36</c:v>
                </c:pt>
                <c:pt idx="125">
                  <c:v>83.2</c:v>
                </c:pt>
                <c:pt idx="126">
                  <c:v>83.31</c:v>
                </c:pt>
                <c:pt idx="127">
                  <c:v>82.18</c:v>
                </c:pt>
                <c:pt idx="128">
                  <c:v>82.76</c:v>
                </c:pt>
                <c:pt idx="129">
                  <c:v>82.73</c:v>
                </c:pt>
                <c:pt idx="130">
                  <c:v>82.59</c:v>
                </c:pt>
                <c:pt idx="131">
                  <c:v>83.24</c:v>
                </c:pt>
                <c:pt idx="132">
                  <c:v>83.78</c:v>
                </c:pt>
                <c:pt idx="133">
                  <c:v>83.69</c:v>
                </c:pt>
                <c:pt idx="134">
                  <c:v>83.63</c:v>
                </c:pt>
                <c:pt idx="135">
                  <c:v>83.93</c:v>
                </c:pt>
                <c:pt idx="136">
                  <c:v>84.33</c:v>
                </c:pt>
                <c:pt idx="137">
                  <c:v>83.76</c:v>
                </c:pt>
                <c:pt idx="138">
                  <c:v>84</c:v>
                </c:pt>
                <c:pt idx="139">
                  <c:v>83.42</c:v>
                </c:pt>
                <c:pt idx="140">
                  <c:v>83.82</c:v>
                </c:pt>
                <c:pt idx="141">
                  <c:v>83.71</c:v>
                </c:pt>
                <c:pt idx="142">
                  <c:v>82.29</c:v>
                </c:pt>
                <c:pt idx="143">
                  <c:v>83.22</c:v>
                </c:pt>
                <c:pt idx="144">
                  <c:v>83.64</c:v>
                </c:pt>
                <c:pt idx="145">
                  <c:v>83.65</c:v>
                </c:pt>
                <c:pt idx="146">
                  <c:v>83.71</c:v>
                </c:pt>
                <c:pt idx="147">
                  <c:v>83.95</c:v>
                </c:pt>
                <c:pt idx="148">
                  <c:v>84.37</c:v>
                </c:pt>
                <c:pt idx="149">
                  <c:v>84.25</c:v>
                </c:pt>
                <c:pt idx="150">
                  <c:v>84.34</c:v>
                </c:pt>
                <c:pt idx="151">
                  <c:v>84.09</c:v>
                </c:pt>
                <c:pt idx="152">
                  <c:v>82.99</c:v>
                </c:pt>
                <c:pt idx="153">
                  <c:v>82.72</c:v>
                </c:pt>
                <c:pt idx="154">
                  <c:v>83.88</c:v>
                </c:pt>
                <c:pt idx="155">
                  <c:v>85.17</c:v>
                </c:pt>
                <c:pt idx="156">
                  <c:v>85.76</c:v>
                </c:pt>
                <c:pt idx="157">
                  <c:v>84.49</c:v>
                </c:pt>
                <c:pt idx="158">
                  <c:v>83.79</c:v>
                </c:pt>
                <c:pt idx="159">
                  <c:v>83.71</c:v>
                </c:pt>
                <c:pt idx="160">
                  <c:v>83.71</c:v>
                </c:pt>
                <c:pt idx="161">
                  <c:v>83.69</c:v>
                </c:pt>
                <c:pt idx="162">
                  <c:v>83.77</c:v>
                </c:pt>
                <c:pt idx="163">
                  <c:v>83.88</c:v>
                </c:pt>
                <c:pt idx="164">
                  <c:v>83.82</c:v>
                </c:pt>
                <c:pt idx="165">
                  <c:v>83.83</c:v>
                </c:pt>
                <c:pt idx="166">
                  <c:v>84.09</c:v>
                </c:pt>
                <c:pt idx="167">
                  <c:v>84.5</c:v>
                </c:pt>
                <c:pt idx="168">
                  <c:v>84.54</c:v>
                </c:pt>
                <c:pt idx="169">
                  <c:v>83.72</c:v>
                </c:pt>
                <c:pt idx="170">
                  <c:v>83.64</c:v>
                </c:pt>
                <c:pt idx="171">
                  <c:v>82.84</c:v>
                </c:pt>
                <c:pt idx="172">
                  <c:v>82.68</c:v>
                </c:pt>
                <c:pt idx="173">
                  <c:v>84.09</c:v>
                </c:pt>
                <c:pt idx="174">
                  <c:v>84.94</c:v>
                </c:pt>
                <c:pt idx="175">
                  <c:v>85.03</c:v>
                </c:pt>
                <c:pt idx="176">
                  <c:v>84.59</c:v>
                </c:pt>
                <c:pt idx="177">
                  <c:v>85.37</c:v>
                </c:pt>
                <c:pt idx="178">
                  <c:v>86.23</c:v>
                </c:pt>
                <c:pt idx="179">
                  <c:v>87.34</c:v>
                </c:pt>
                <c:pt idx="180">
                  <c:v>86.78</c:v>
                </c:pt>
                <c:pt idx="181">
                  <c:v>86.77</c:v>
                </c:pt>
                <c:pt idx="182">
                  <c:v>86.75</c:v>
                </c:pt>
                <c:pt idx="183">
                  <c:v>86.57</c:v>
                </c:pt>
                <c:pt idx="184">
                  <c:v>87.04</c:v>
                </c:pt>
                <c:pt idx="185">
                  <c:v>87.82</c:v>
                </c:pt>
                <c:pt idx="186">
                  <c:v>88.46</c:v>
                </c:pt>
                <c:pt idx="187">
                  <c:v>88.78</c:v>
                </c:pt>
                <c:pt idx="188">
                  <c:v>88.85</c:v>
                </c:pt>
                <c:pt idx="189">
                  <c:v>89.73</c:v>
                </c:pt>
                <c:pt idx="190">
                  <c:v>89.32</c:v>
                </c:pt>
                <c:pt idx="191">
                  <c:v>89.81</c:v>
                </c:pt>
                <c:pt idx="192">
                  <c:v>90.19</c:v>
                </c:pt>
                <c:pt idx="193">
                  <c:v>90.33</c:v>
                </c:pt>
                <c:pt idx="194">
                  <c:v>90.53</c:v>
                </c:pt>
                <c:pt idx="195">
                  <c:v>90.6</c:v>
                </c:pt>
                <c:pt idx="196">
                  <c:v>90.25</c:v>
                </c:pt>
                <c:pt idx="197">
                  <c:v>91.48</c:v>
                </c:pt>
                <c:pt idx="198">
                  <c:v>90.6</c:v>
                </c:pt>
                <c:pt idx="199">
                  <c:v>90.33</c:v>
                </c:pt>
                <c:pt idx="200">
                  <c:v>90.71</c:v>
                </c:pt>
                <c:pt idx="201">
                  <c:v>90.54</c:v>
                </c:pt>
                <c:pt idx="202">
                  <c:v>90.72</c:v>
                </c:pt>
                <c:pt idx="203">
                  <c:v>91.01</c:v>
                </c:pt>
                <c:pt idx="204">
                  <c:v>92.47</c:v>
                </c:pt>
                <c:pt idx="205">
                  <c:v>92.14</c:v>
                </c:pt>
                <c:pt idx="206">
                  <c:v>94.27</c:v>
                </c:pt>
                <c:pt idx="207">
                  <c:v>94.37</c:v>
                </c:pt>
                <c:pt idx="208">
                  <c:v>93.66</c:v>
                </c:pt>
                <c:pt idx="209">
                  <c:v>94.1</c:v>
                </c:pt>
                <c:pt idx="210">
                  <c:v>94.37</c:v>
                </c:pt>
                <c:pt idx="211">
                  <c:v>94.56</c:v>
                </c:pt>
                <c:pt idx="212">
                  <c:v>95</c:v>
                </c:pt>
                <c:pt idx="213">
                  <c:v>94.86</c:v>
                </c:pt>
                <c:pt idx="214">
                  <c:v>93.96</c:v>
                </c:pt>
                <c:pt idx="215">
                  <c:v>93.72</c:v>
                </c:pt>
                <c:pt idx="216">
                  <c:v>92.36</c:v>
                </c:pt>
                <c:pt idx="217">
                  <c:v>92.13</c:v>
                </c:pt>
                <c:pt idx="218">
                  <c:v>92.51</c:v>
                </c:pt>
                <c:pt idx="219">
                  <c:v>92.37</c:v>
                </c:pt>
                <c:pt idx="220">
                  <c:v>91.88</c:v>
                </c:pt>
                <c:pt idx="221">
                  <c:v>92.17</c:v>
                </c:pt>
                <c:pt idx="222">
                  <c:v>92.3</c:v>
                </c:pt>
                <c:pt idx="223">
                  <c:v>92.56</c:v>
                </c:pt>
                <c:pt idx="224">
                  <c:v>93.01</c:v>
                </c:pt>
                <c:pt idx="225">
                  <c:v>92.43</c:v>
                </c:pt>
                <c:pt idx="226">
                  <c:v>92.09</c:v>
                </c:pt>
                <c:pt idx="227">
                  <c:v>92.08</c:v>
                </c:pt>
                <c:pt idx="228">
                  <c:v>93.87</c:v>
                </c:pt>
                <c:pt idx="229">
                  <c:v>95.17</c:v>
                </c:pt>
                <c:pt idx="230">
                  <c:v>96.26</c:v>
                </c:pt>
                <c:pt idx="231">
                  <c:v>96.41</c:v>
                </c:pt>
                <c:pt idx="232">
                  <c:v>97.13</c:v>
                </c:pt>
                <c:pt idx="233">
                  <c:v>97.25</c:v>
                </c:pt>
                <c:pt idx="234">
                  <c:v>96.75</c:v>
                </c:pt>
                <c:pt idx="235">
                  <c:v>97.12</c:v>
                </c:pt>
                <c:pt idx="236">
                  <c:v>97.09</c:v>
                </c:pt>
                <c:pt idx="237">
                  <c:v>97.53</c:v>
                </c:pt>
                <c:pt idx="238">
                  <c:v>97.9</c:v>
                </c:pt>
                <c:pt idx="239">
                  <c:v>96.33</c:v>
                </c:pt>
                <c:pt idx="240">
                  <c:v>95.71</c:v>
                </c:pt>
                <c:pt idx="241">
                  <c:v>97.06</c:v>
                </c:pt>
                <c:pt idx="242">
                  <c:v>98.2</c:v>
                </c:pt>
                <c:pt idx="243">
                  <c:v>97.68</c:v>
                </c:pt>
                <c:pt idx="244">
                  <c:v>97.05</c:v>
                </c:pt>
                <c:pt idx="245">
                  <c:v>97.04</c:v>
                </c:pt>
                <c:pt idx="246">
                  <c:v>97.28</c:v>
                </c:pt>
                <c:pt idx="247">
                  <c:v>97.11</c:v>
                </c:pt>
                <c:pt idx="248">
                  <c:v>97.66</c:v>
                </c:pt>
                <c:pt idx="249">
                  <c:v>98.22</c:v>
                </c:pt>
                <c:pt idx="250">
                  <c:v>97.84</c:v>
                </c:pt>
                <c:pt idx="251">
                  <c:v>97.47</c:v>
                </c:pt>
                <c:pt idx="252">
                  <c:v>98.07</c:v>
                </c:pt>
                <c:pt idx="253">
                  <c:v>99.71</c:v>
                </c:pt>
                <c:pt idx="254">
                  <c:v>99.93</c:v>
                </c:pt>
                <c:pt idx="255">
                  <c:v>99.01</c:v>
                </c:pt>
                <c:pt idx="256">
                  <c:v>99.38</c:v>
                </c:pt>
                <c:pt idx="257">
                  <c:v>100.07</c:v>
                </c:pt>
                <c:pt idx="258">
                  <c:v>99.59</c:v>
                </c:pt>
                <c:pt idx="259">
                  <c:v>99.82</c:v>
                </c:pt>
                <c:pt idx="260">
                  <c:v>99.2</c:v>
                </c:pt>
                <c:pt idx="261">
                  <c:v>99.62</c:v>
                </c:pt>
                <c:pt idx="262">
                  <c:v>98.73</c:v>
                </c:pt>
                <c:pt idx="263">
                  <c:v>96.92</c:v>
                </c:pt>
                <c:pt idx="264">
                  <c:v>97.2</c:v>
                </c:pt>
                <c:pt idx="265">
                  <c:v>96.87</c:v>
                </c:pt>
                <c:pt idx="266">
                  <c:v>98.17</c:v>
                </c:pt>
                <c:pt idx="267">
                  <c:v>98.56</c:v>
                </c:pt>
                <c:pt idx="268">
                  <c:v>98.5</c:v>
                </c:pt>
                <c:pt idx="269">
                  <c:v>98.28</c:v>
                </c:pt>
                <c:pt idx="270">
                  <c:v>97.59</c:v>
                </c:pt>
                <c:pt idx="271">
                  <c:v>98.27</c:v>
                </c:pt>
                <c:pt idx="272">
                  <c:v>98.87</c:v>
                </c:pt>
                <c:pt idx="273">
                  <c:v>95.58</c:v>
                </c:pt>
                <c:pt idx="274">
                  <c:v>90.97</c:v>
                </c:pt>
                <c:pt idx="275">
                  <c:v>93.11</c:v>
                </c:pt>
                <c:pt idx="276">
                  <c:v>92.55</c:v>
                </c:pt>
                <c:pt idx="277">
                  <c:v>87.34</c:v>
                </c:pt>
                <c:pt idx="278">
                  <c:v>90.68</c:v>
                </c:pt>
                <c:pt idx="279">
                  <c:v>93.63</c:v>
                </c:pt>
                <c:pt idx="280">
                  <c:v>93.49</c:v>
                </c:pt>
                <c:pt idx="281">
                  <c:v>95.14</c:v>
                </c:pt>
                <c:pt idx="282">
                  <c:v>95.46</c:v>
                </c:pt>
                <c:pt idx="283">
                  <c:v>95.69</c:v>
                </c:pt>
                <c:pt idx="284">
                  <c:v>96.09</c:v>
                </c:pt>
                <c:pt idx="285">
                  <c:v>96.39</c:v>
                </c:pt>
                <c:pt idx="286">
                  <c:v>96.25</c:v>
                </c:pt>
                <c:pt idx="287">
                  <c:v>97.68</c:v>
                </c:pt>
                <c:pt idx="288">
                  <c:v>100.49</c:v>
                </c:pt>
                <c:pt idx="289">
                  <c:v>98.45</c:v>
                </c:pt>
                <c:pt idx="290">
                  <c:v>96.4</c:v>
                </c:pt>
                <c:pt idx="291">
                  <c:v>94.06</c:v>
                </c:pt>
                <c:pt idx="292">
                  <c:v>94.51</c:v>
                </c:pt>
                <c:pt idx="293">
                  <c:v>95.56</c:v>
                </c:pt>
                <c:pt idx="294">
                  <c:v>94.98</c:v>
                </c:pt>
                <c:pt idx="295">
                  <c:v>94.55</c:v>
                </c:pt>
                <c:pt idx="296">
                  <c:v>95.49</c:v>
                </c:pt>
                <c:pt idx="297">
                  <c:v>97.93</c:v>
                </c:pt>
                <c:pt idx="298">
                  <c:v>96.56</c:v>
                </c:pt>
                <c:pt idx="299">
                  <c:v>94.29</c:v>
                </c:pt>
                <c:pt idx="300">
                  <c:v>93.46</c:v>
                </c:pt>
                <c:pt idx="301">
                  <c:v>93.32</c:v>
                </c:pt>
                <c:pt idx="302">
                  <c:v>94.52</c:v>
                </c:pt>
                <c:pt idx="303">
                  <c:v>93.76</c:v>
                </c:pt>
                <c:pt idx="304">
                  <c:v>93.87</c:v>
                </c:pt>
                <c:pt idx="305">
                  <c:v>93.66</c:v>
                </c:pt>
                <c:pt idx="306">
                  <c:v>90.37</c:v>
                </c:pt>
                <c:pt idx="307">
                  <c:v>89.42</c:v>
                </c:pt>
                <c:pt idx="308">
                  <c:v>91.57</c:v>
                </c:pt>
                <c:pt idx="309">
                  <c:v>90.38</c:v>
                </c:pt>
                <c:pt idx="310">
                  <c:v>91.16</c:v>
                </c:pt>
                <c:pt idx="311">
                  <c:v>92.22</c:v>
                </c:pt>
                <c:pt idx="312">
                  <c:v>89.97</c:v>
                </c:pt>
                <c:pt idx="313">
                  <c:v>91.69</c:v>
                </c:pt>
                <c:pt idx="314">
                  <c:v>92.52</c:v>
                </c:pt>
                <c:pt idx="315">
                  <c:v>93.48</c:v>
                </c:pt>
                <c:pt idx="316">
                  <c:v>91.21</c:v>
                </c:pt>
                <c:pt idx="317">
                  <c:v>91.44</c:v>
                </c:pt>
                <c:pt idx="318">
                  <c:v>92.29</c:v>
                </c:pt>
                <c:pt idx="319">
                  <c:v>90.9</c:v>
                </c:pt>
                <c:pt idx="320">
                  <c:v>92.64</c:v>
                </c:pt>
                <c:pt idx="321">
                  <c:v>92.32</c:v>
                </c:pt>
                <c:pt idx="322">
                  <c:v>92.89</c:v>
                </c:pt>
                <c:pt idx="323">
                  <c:v>93.14</c:v>
                </c:pt>
                <c:pt idx="324">
                  <c:v>94.42</c:v>
                </c:pt>
                <c:pt idx="325">
                  <c:v>101.59</c:v>
                </c:pt>
                <c:pt idx="326">
                  <c:v>100.02</c:v>
                </c:pt>
                <c:pt idx="327">
                  <c:v>99.84</c:v>
                </c:pt>
                <c:pt idx="328">
                  <c:v>99.67</c:v>
                </c:pt>
                <c:pt idx="329">
                  <c:v>98.03</c:v>
                </c:pt>
                <c:pt idx="330">
                  <c:v>99.46</c:v>
                </c:pt>
                <c:pt idx="331">
                  <c:v>98.85</c:v>
                </c:pt>
                <c:pt idx="332">
                  <c:v>98</c:v>
                </c:pt>
                <c:pt idx="333">
                  <c:v>97.83</c:v>
                </c:pt>
                <c:pt idx="334">
                  <c:v>96.88</c:v>
                </c:pt>
                <c:pt idx="335">
                  <c:v>96.4</c:v>
                </c:pt>
                <c:pt idx="336">
                  <c:v>97.6</c:v>
                </c:pt>
                <c:pt idx="337">
                  <c:v>97.83</c:v>
                </c:pt>
                <c:pt idx="338">
                  <c:v>98.98</c:v>
                </c:pt>
                <c:pt idx="339">
                  <c:v>99.73</c:v>
                </c:pt>
                <c:pt idx="340">
                  <c:v>100.61</c:v>
                </c:pt>
                <c:pt idx="341">
                  <c:v>100.65</c:v>
                </c:pt>
                <c:pt idx="342">
                  <c:v>100.52</c:v>
                </c:pt>
                <c:pt idx="343">
                  <c:v>99.97</c:v>
                </c:pt>
                <c:pt idx="344">
                  <c:v>99.82</c:v>
                </c:pt>
                <c:pt idx="345">
                  <c:v>100.45</c:v>
                </c:pt>
                <c:pt idx="346">
                  <c:v>100.22</c:v>
                </c:pt>
                <c:pt idx="347">
                  <c:v>101.26</c:v>
                </c:pt>
                <c:pt idx="348">
                  <c:v>101.92</c:v>
                </c:pt>
                <c:pt idx="349">
                  <c:v>101.15</c:v>
                </c:pt>
                <c:pt idx="350">
                  <c:v>101.23</c:v>
                </c:pt>
                <c:pt idx="351">
                  <c:v>100.33</c:v>
                </c:pt>
                <c:pt idx="352">
                  <c:v>96.97</c:v>
                </c:pt>
                <c:pt idx="353">
                  <c:v>98.23</c:v>
                </c:pt>
                <c:pt idx="354">
                  <c:v>97.55</c:v>
                </c:pt>
                <c:pt idx="355">
                  <c:v>97.5</c:v>
                </c:pt>
                <c:pt idx="356">
                  <c:v>98.69</c:v>
                </c:pt>
                <c:pt idx="357">
                  <c:v>98.55</c:v>
                </c:pt>
                <c:pt idx="358">
                  <c:v>100.2</c:v>
                </c:pt>
                <c:pt idx="359">
                  <c:v>100.7</c:v>
                </c:pt>
                <c:pt idx="360">
                  <c:v>100.23</c:v>
                </c:pt>
                <c:pt idx="361">
                  <c:v>100.43</c:v>
                </c:pt>
                <c:pt idx="362">
                  <c:v>99.96</c:v>
                </c:pt>
                <c:pt idx="363">
                  <c:v>99.26</c:v>
                </c:pt>
                <c:pt idx="364">
                  <c:v>99</c:v>
                </c:pt>
                <c:pt idx="365">
                  <c:v>97.77</c:v>
                </c:pt>
                <c:pt idx="366">
                  <c:v>97.72</c:v>
                </c:pt>
                <c:pt idx="367">
                  <c:v>96.4</c:v>
                </c:pt>
                <c:pt idx="368">
                  <c:v>95.68</c:v>
                </c:pt>
                <c:pt idx="369">
                  <c:v>95.89</c:v>
                </c:pt>
                <c:pt idx="370">
                  <c:v>96.49</c:v>
                </c:pt>
                <c:pt idx="371">
                  <c:v>97.79</c:v>
                </c:pt>
                <c:pt idx="372">
                  <c:v>97.46</c:v>
                </c:pt>
                <c:pt idx="373">
                  <c:v>96.22</c:v>
                </c:pt>
                <c:pt idx="374">
                  <c:v>96.23</c:v>
                </c:pt>
                <c:pt idx="375">
                  <c:v>97.25</c:v>
                </c:pt>
                <c:pt idx="376">
                  <c:v>98.24</c:v>
                </c:pt>
                <c:pt idx="377">
                  <c:v>97.09</c:v>
                </c:pt>
                <c:pt idx="378">
                  <c:v>98.13</c:v>
                </c:pt>
                <c:pt idx="379">
                  <c:v>98.12</c:v>
                </c:pt>
                <c:pt idx="380">
                  <c:v>99.5</c:v>
                </c:pt>
                <c:pt idx="381">
                  <c:v>99.5</c:v>
                </c:pt>
                <c:pt idx="382">
                  <c:v>99.89</c:v>
                </c:pt>
                <c:pt idx="383">
                  <c:v>100.74</c:v>
                </c:pt>
                <c:pt idx="384">
                  <c:v>100.09</c:v>
                </c:pt>
                <c:pt idx="385">
                  <c:v>100.28</c:v>
                </c:pt>
                <c:pt idx="386">
                  <c:v>100.74</c:v>
                </c:pt>
                <c:pt idx="387">
                  <c:v>102.56</c:v>
                </c:pt>
                <c:pt idx="388">
                  <c:v>99.76</c:v>
                </c:pt>
                <c:pt idx="389">
                  <c:v>99.74</c:v>
                </c:pt>
                <c:pt idx="390">
                  <c:v>100.81</c:v>
                </c:pt>
                <c:pt idx="391">
                  <c:v>101.3</c:v>
                </c:pt>
                <c:pt idx="392">
                  <c:v>102.21</c:v>
                </c:pt>
                <c:pt idx="393">
                  <c:v>102.08</c:v>
                </c:pt>
                <c:pt idx="394">
                  <c:v>103.43</c:v>
                </c:pt>
                <c:pt idx="395">
                  <c:v>100.44</c:v>
                </c:pt>
                <c:pt idx="396">
                  <c:v>99.11</c:v>
                </c:pt>
                <c:pt idx="397">
                  <c:v>99.04</c:v>
                </c:pt>
                <c:pt idx="398">
                  <c:v>99.32</c:v>
                </c:pt>
                <c:pt idx="399">
                  <c:v>100.38</c:v>
                </c:pt>
                <c:pt idx="400">
                  <c:v>100.51</c:v>
                </c:pt>
                <c:pt idx="401">
                  <c:v>101.55</c:v>
                </c:pt>
                <c:pt idx="402">
                  <c:v>102.36</c:v>
                </c:pt>
                <c:pt idx="403">
                  <c:v>102.57</c:v>
                </c:pt>
                <c:pt idx="404">
                  <c:v>101.17</c:v>
                </c:pt>
                <c:pt idx="405">
                  <c:v>101.4</c:v>
                </c:pt>
                <c:pt idx="406">
                  <c:v>101.76</c:v>
                </c:pt>
                <c:pt idx="407">
                  <c:v>101.1</c:v>
                </c:pt>
                <c:pt idx="408">
                  <c:v>102.23</c:v>
                </c:pt>
                <c:pt idx="409">
                  <c:v>102.61</c:v>
                </c:pt>
                <c:pt idx="410">
                  <c:v>103.41</c:v>
                </c:pt>
                <c:pt idx="411">
                  <c:v>104.38</c:v>
                </c:pt>
                <c:pt idx="412">
                  <c:v>105.4</c:v>
                </c:pt>
                <c:pt idx="413">
                  <c:v>104.94</c:v>
                </c:pt>
                <c:pt idx="414">
                  <c:v>105.33</c:v>
                </c:pt>
                <c:pt idx="415">
                  <c:v>106.61</c:v>
                </c:pt>
                <c:pt idx="416">
                  <c:v>106.84</c:v>
                </c:pt>
                <c:pt idx="417">
                  <c:v>106.28</c:v>
                </c:pt>
                <c:pt idx="418">
                  <c:v>105.8</c:v>
                </c:pt>
                <c:pt idx="419">
                  <c:v>105.55</c:v>
                </c:pt>
                <c:pt idx="420">
                  <c:v>106.57</c:v>
                </c:pt>
                <c:pt idx="421">
                  <c:v>105.25</c:v>
                </c:pt>
                <c:pt idx="422">
                  <c:v>104.97</c:v>
                </c:pt>
                <c:pt idx="423">
                  <c:v>105.65</c:v>
                </c:pt>
                <c:pt idx="424">
                  <c:v>106.85</c:v>
                </c:pt>
                <c:pt idx="425">
                  <c:v>107.87</c:v>
                </c:pt>
                <c:pt idx="426">
                  <c:v>107.44</c:v>
                </c:pt>
                <c:pt idx="427">
                  <c:v>108.22</c:v>
                </c:pt>
                <c:pt idx="428">
                  <c:v>109.11</c:v>
                </c:pt>
                <c:pt idx="429">
                  <c:v>108.75</c:v>
                </c:pt>
                <c:pt idx="430">
                  <c:v>109.19</c:v>
                </c:pt>
                <c:pt idx="431">
                  <c:v>109.65</c:v>
                </c:pt>
                <c:pt idx="432">
                  <c:v>110.66</c:v>
                </c:pt>
                <c:pt idx="433">
                  <c:v>110.45</c:v>
                </c:pt>
                <c:pt idx="434">
                  <c:v>109.4</c:v>
                </c:pt>
                <c:pt idx="435">
                  <c:v>109.42</c:v>
                </c:pt>
                <c:pt idx="436">
                  <c:v>107.57</c:v>
                </c:pt>
                <c:pt idx="437">
                  <c:v>107.41</c:v>
                </c:pt>
                <c:pt idx="438">
                  <c:v>106.06</c:v>
                </c:pt>
                <c:pt idx="439">
                  <c:v>107.46</c:v>
                </c:pt>
                <c:pt idx="440">
                  <c:v>107.95</c:v>
                </c:pt>
                <c:pt idx="441">
                  <c:v>108.01</c:v>
                </c:pt>
                <c:pt idx="442">
                  <c:v>107.3</c:v>
                </c:pt>
                <c:pt idx="443">
                  <c:v>106.79</c:v>
                </c:pt>
                <c:pt idx="444">
                  <c:v>106.55</c:v>
                </c:pt>
                <c:pt idx="445">
                  <c:v>106.23</c:v>
                </c:pt>
                <c:pt idx="446">
                  <c:v>103.15</c:v>
                </c:pt>
                <c:pt idx="447">
                  <c:v>101.17</c:v>
                </c:pt>
                <c:pt idx="448">
                  <c:v>102.58</c:v>
                </c:pt>
                <c:pt idx="449">
                  <c:v>102.2</c:v>
                </c:pt>
                <c:pt idx="450">
                  <c:v>103.85</c:v>
                </c:pt>
                <c:pt idx="451">
                  <c:v>103.91</c:v>
                </c:pt>
                <c:pt idx="452">
                  <c:v>102.42</c:v>
                </c:pt>
                <c:pt idx="453">
                  <c:v>106.3</c:v>
                </c:pt>
                <c:pt idx="454">
                  <c:v>104.08</c:v>
                </c:pt>
                <c:pt idx="455">
                  <c:v>103.95</c:v>
                </c:pt>
                <c:pt idx="456">
                  <c:v>101.42</c:v>
                </c:pt>
                <c:pt idx="457">
                  <c:v>103.18</c:v>
                </c:pt>
                <c:pt idx="458">
                  <c:v>100.84</c:v>
                </c:pt>
                <c:pt idx="459">
                  <c:v>100.78</c:v>
                </c:pt>
                <c:pt idx="460">
                  <c:v>101.66</c:v>
                </c:pt>
                <c:pt idx="461">
                  <c:v>102.31</c:v>
                </c:pt>
                <c:pt idx="462">
                  <c:v>103.62</c:v>
                </c:pt>
                <c:pt idx="463">
                  <c:v>103.29</c:v>
                </c:pt>
                <c:pt idx="464">
                  <c:v>104.78</c:v>
                </c:pt>
                <c:pt idx="465">
                  <c:v>104.55</c:v>
                </c:pt>
                <c:pt idx="466">
                  <c:v>106.87</c:v>
                </c:pt>
                <c:pt idx="467">
                  <c:v>108.06</c:v>
                </c:pt>
                <c:pt idx="468">
                  <c:v>107.84</c:v>
                </c:pt>
                <c:pt idx="469">
                  <c:v>106.06</c:v>
                </c:pt>
                <c:pt idx="470">
                  <c:v>107.42</c:v>
                </c:pt>
                <c:pt idx="471">
                  <c:v>107.33</c:v>
                </c:pt>
                <c:pt idx="472">
                  <c:v>109.15</c:v>
                </c:pt>
                <c:pt idx="473">
                  <c:v>109.01</c:v>
                </c:pt>
                <c:pt idx="474">
                  <c:v>107.81</c:v>
                </c:pt>
                <c:pt idx="475">
                  <c:v>105.66</c:v>
                </c:pt>
                <c:pt idx="476">
                  <c:v>106.07</c:v>
                </c:pt>
                <c:pt idx="477">
                  <c:v>105.31</c:v>
                </c:pt>
                <c:pt idx="478">
                  <c:v>109.23</c:v>
                </c:pt>
                <c:pt idx="479">
                  <c:v>109.66</c:v>
                </c:pt>
                <c:pt idx="480">
                  <c:v>112.43</c:v>
                </c:pt>
                <c:pt idx="481">
                  <c:v>110.86</c:v>
                </c:pt>
                <c:pt idx="482">
                  <c:v>111.81</c:v>
                </c:pt>
                <c:pt idx="483">
                  <c:v>111.9</c:v>
                </c:pt>
                <c:pt idx="484">
                  <c:v>107.2</c:v>
                </c:pt>
                <c:pt idx="485">
                  <c:v>107.81</c:v>
                </c:pt>
                <c:pt idx="486">
                  <c:v>106.25</c:v>
                </c:pt>
                <c:pt idx="487">
                  <c:v>105.36</c:v>
                </c:pt>
                <c:pt idx="488">
                  <c:v>104.97</c:v>
                </c:pt>
                <c:pt idx="489">
                  <c:v>107.04</c:v>
                </c:pt>
                <c:pt idx="490">
                  <c:v>106.27</c:v>
                </c:pt>
                <c:pt idx="491">
                  <c:v>105.27</c:v>
                </c:pt>
                <c:pt idx="492">
                  <c:v>100.77</c:v>
                </c:pt>
                <c:pt idx="493">
                  <c:v>100.61</c:v>
                </c:pt>
                <c:pt idx="494">
                  <c:v>98.37</c:v>
                </c:pt>
                <c:pt idx="495">
                  <c:v>95.38</c:v>
                </c:pt>
                <c:pt idx="496">
                  <c:v>90.96</c:v>
                </c:pt>
                <c:pt idx="497">
                  <c:v>89.14</c:v>
                </c:pt>
                <c:pt idx="498">
                  <c:v>93.46</c:v>
                </c:pt>
                <c:pt idx="499">
                  <c:v>94.29</c:v>
                </c:pt>
                <c:pt idx="500">
                  <c:v>94.04</c:v>
                </c:pt>
                <c:pt idx="501">
                  <c:v>94.93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8-4627-A9B5-13E947E20CD9}"/>
            </c:ext>
          </c:extLst>
        </c:ser>
        <c:ser>
          <c:idx val="2"/>
          <c:order val="2"/>
          <c:tx>
            <c:strRef>
              <c:f>wide_company_closes_reorder!$D$1</c:f>
              <c:strCache>
                <c:ptCount val="1"/>
                <c:pt idx="0">
                  <c:v>BA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wide_company_closes_reorder!$D$2:$D$503</c:f>
              <c:numCache>
                <c:formatCode>General</c:formatCode>
                <c:ptCount val="502"/>
                <c:pt idx="0">
                  <c:v>149.02000000000001</c:v>
                </c:pt>
                <c:pt idx="1">
                  <c:v>150.59</c:v>
                </c:pt>
                <c:pt idx="2">
                  <c:v>150.68</c:v>
                </c:pt>
                <c:pt idx="3">
                  <c:v>151.05000000000001</c:v>
                </c:pt>
                <c:pt idx="4">
                  <c:v>150.31</c:v>
                </c:pt>
                <c:pt idx="5">
                  <c:v>151.02000000000001</c:v>
                </c:pt>
                <c:pt idx="6">
                  <c:v>151.33000000000001</c:v>
                </c:pt>
                <c:pt idx="7">
                  <c:v>150.28</c:v>
                </c:pt>
                <c:pt idx="8">
                  <c:v>150.79</c:v>
                </c:pt>
                <c:pt idx="9">
                  <c:v>149.69</c:v>
                </c:pt>
                <c:pt idx="10">
                  <c:v>150.31</c:v>
                </c:pt>
                <c:pt idx="11">
                  <c:v>150.94999999999999</c:v>
                </c:pt>
                <c:pt idx="12">
                  <c:v>151.44999999999999</c:v>
                </c:pt>
                <c:pt idx="13">
                  <c:v>149.85</c:v>
                </c:pt>
                <c:pt idx="14">
                  <c:v>152.41999999999999</c:v>
                </c:pt>
                <c:pt idx="15">
                  <c:v>158.88999999999999</c:v>
                </c:pt>
                <c:pt idx="16">
                  <c:v>160.56</c:v>
                </c:pt>
                <c:pt idx="17">
                  <c:v>159.21</c:v>
                </c:pt>
                <c:pt idx="18">
                  <c:v>157.19</c:v>
                </c:pt>
                <c:pt idx="19">
                  <c:v>155.15</c:v>
                </c:pt>
                <c:pt idx="20">
                  <c:v>155.66999999999999</c:v>
                </c:pt>
                <c:pt idx="21">
                  <c:v>154.05000000000001</c:v>
                </c:pt>
                <c:pt idx="22">
                  <c:v>154.18</c:v>
                </c:pt>
                <c:pt idx="23">
                  <c:v>155.68</c:v>
                </c:pt>
                <c:pt idx="24">
                  <c:v>158.07</c:v>
                </c:pt>
                <c:pt idx="25">
                  <c:v>156.86000000000001</c:v>
                </c:pt>
                <c:pt idx="26">
                  <c:v>157.31</c:v>
                </c:pt>
                <c:pt idx="27">
                  <c:v>159.16999999999999</c:v>
                </c:pt>
                <c:pt idx="28">
                  <c:v>160.9</c:v>
                </c:pt>
                <c:pt idx="29">
                  <c:v>161.35</c:v>
                </c:pt>
                <c:pt idx="30">
                  <c:v>162.11000000000001</c:v>
                </c:pt>
                <c:pt idx="31">
                  <c:v>163.56</c:v>
                </c:pt>
                <c:pt idx="32">
                  <c:v>165.38</c:v>
                </c:pt>
                <c:pt idx="33">
                  <c:v>168.11</c:v>
                </c:pt>
                <c:pt idx="34">
                  <c:v>167.92</c:v>
                </c:pt>
                <c:pt idx="35">
                  <c:v>169.35</c:v>
                </c:pt>
                <c:pt idx="36">
                  <c:v>169.91</c:v>
                </c:pt>
                <c:pt idx="37">
                  <c:v>171.81</c:v>
                </c:pt>
                <c:pt idx="38">
                  <c:v>172.58</c:v>
                </c:pt>
                <c:pt idx="39">
                  <c:v>176.1</c:v>
                </c:pt>
                <c:pt idx="40">
                  <c:v>175.22</c:v>
                </c:pt>
                <c:pt idx="41">
                  <c:v>174.45</c:v>
                </c:pt>
                <c:pt idx="42">
                  <c:v>173.25</c:v>
                </c:pt>
                <c:pt idx="43">
                  <c:v>174.29</c:v>
                </c:pt>
                <c:pt idx="44">
                  <c:v>174.02</c:v>
                </c:pt>
                <c:pt idx="45">
                  <c:v>172.9</c:v>
                </c:pt>
                <c:pt idx="46">
                  <c:v>171.11</c:v>
                </c:pt>
                <c:pt idx="47">
                  <c:v>171.45</c:v>
                </c:pt>
                <c:pt idx="48">
                  <c:v>171.14</c:v>
                </c:pt>
                <c:pt idx="49">
                  <c:v>171.12</c:v>
                </c:pt>
                <c:pt idx="50">
                  <c:v>170.63</c:v>
                </c:pt>
                <c:pt idx="51">
                  <c:v>172.45</c:v>
                </c:pt>
                <c:pt idx="52">
                  <c:v>171.77</c:v>
                </c:pt>
                <c:pt idx="53">
                  <c:v>168.49</c:v>
                </c:pt>
                <c:pt idx="54">
                  <c:v>169.47</c:v>
                </c:pt>
                <c:pt idx="55">
                  <c:v>169.73</c:v>
                </c:pt>
                <c:pt idx="56">
                  <c:v>168.36</c:v>
                </c:pt>
                <c:pt idx="57">
                  <c:v>168.62</c:v>
                </c:pt>
                <c:pt idx="58">
                  <c:v>169.83</c:v>
                </c:pt>
                <c:pt idx="59">
                  <c:v>170.09</c:v>
                </c:pt>
                <c:pt idx="60">
                  <c:v>170.42</c:v>
                </c:pt>
                <c:pt idx="61">
                  <c:v>169.35</c:v>
                </c:pt>
                <c:pt idx="62">
                  <c:v>169.15</c:v>
                </c:pt>
                <c:pt idx="63">
                  <c:v>171.11</c:v>
                </c:pt>
                <c:pt idx="64">
                  <c:v>169.56</c:v>
                </c:pt>
                <c:pt idx="65">
                  <c:v>169.84</c:v>
                </c:pt>
                <c:pt idx="66">
                  <c:v>171.26</c:v>
                </c:pt>
                <c:pt idx="67">
                  <c:v>170.02</c:v>
                </c:pt>
                <c:pt idx="68">
                  <c:v>170.99</c:v>
                </c:pt>
                <c:pt idx="69">
                  <c:v>168.58</c:v>
                </c:pt>
                <c:pt idx="70">
                  <c:v>168.16</c:v>
                </c:pt>
                <c:pt idx="71">
                  <c:v>171.42</c:v>
                </c:pt>
                <c:pt idx="72">
                  <c:v>170.3</c:v>
                </c:pt>
                <c:pt idx="73">
                  <c:v>170.83</c:v>
                </c:pt>
                <c:pt idx="74">
                  <c:v>171.69</c:v>
                </c:pt>
                <c:pt idx="75">
                  <c:v>172.72</c:v>
                </c:pt>
                <c:pt idx="76">
                  <c:v>174.33</c:v>
                </c:pt>
                <c:pt idx="77">
                  <c:v>175.72</c:v>
                </c:pt>
                <c:pt idx="78">
                  <c:v>174</c:v>
                </c:pt>
                <c:pt idx="79">
                  <c:v>175.44</c:v>
                </c:pt>
                <c:pt idx="80">
                  <c:v>176.98</c:v>
                </c:pt>
                <c:pt idx="81">
                  <c:v>174.65</c:v>
                </c:pt>
                <c:pt idx="82">
                  <c:v>175.65</c:v>
                </c:pt>
                <c:pt idx="83">
                  <c:v>175.6</c:v>
                </c:pt>
                <c:pt idx="84">
                  <c:v>175.3</c:v>
                </c:pt>
                <c:pt idx="85">
                  <c:v>177.16</c:v>
                </c:pt>
                <c:pt idx="86">
                  <c:v>178.12</c:v>
                </c:pt>
                <c:pt idx="87">
                  <c:v>178.97</c:v>
                </c:pt>
                <c:pt idx="88">
                  <c:v>176.75</c:v>
                </c:pt>
                <c:pt idx="89">
                  <c:v>177.48</c:v>
                </c:pt>
                <c:pt idx="90">
                  <c:v>176.81</c:v>
                </c:pt>
                <c:pt idx="91">
                  <c:v>175.98</c:v>
                </c:pt>
                <c:pt idx="92">
                  <c:v>176.28</c:v>
                </c:pt>
                <c:pt idx="93">
                  <c:v>172.5</c:v>
                </c:pt>
                <c:pt idx="94">
                  <c:v>171.17</c:v>
                </c:pt>
                <c:pt idx="95">
                  <c:v>174.41</c:v>
                </c:pt>
                <c:pt idx="96">
                  <c:v>177.22</c:v>
                </c:pt>
                <c:pt idx="97">
                  <c:v>177.05</c:v>
                </c:pt>
                <c:pt idx="98">
                  <c:v>178.74</c:v>
                </c:pt>
                <c:pt idx="99">
                  <c:v>180.5</c:v>
                </c:pt>
                <c:pt idx="100">
                  <c:v>180.04</c:v>
                </c:pt>
                <c:pt idx="101">
                  <c:v>180.32</c:v>
                </c:pt>
                <c:pt idx="102">
                  <c:v>181.04</c:v>
                </c:pt>
                <c:pt idx="103">
                  <c:v>180.74</c:v>
                </c:pt>
                <c:pt idx="104">
                  <c:v>183.55</c:v>
                </c:pt>
                <c:pt idx="105">
                  <c:v>182.31</c:v>
                </c:pt>
                <c:pt idx="106">
                  <c:v>180.19</c:v>
                </c:pt>
                <c:pt idx="107">
                  <c:v>181.49</c:v>
                </c:pt>
                <c:pt idx="108">
                  <c:v>183.26</c:v>
                </c:pt>
                <c:pt idx="109">
                  <c:v>183.36</c:v>
                </c:pt>
                <c:pt idx="110">
                  <c:v>183.33</c:v>
                </c:pt>
                <c:pt idx="111">
                  <c:v>184.38</c:v>
                </c:pt>
                <c:pt idx="112">
                  <c:v>185.62</c:v>
                </c:pt>
                <c:pt idx="113">
                  <c:v>188.59</c:v>
                </c:pt>
                <c:pt idx="114">
                  <c:v>189.54</c:v>
                </c:pt>
                <c:pt idx="115">
                  <c:v>192.09</c:v>
                </c:pt>
                <c:pt idx="116">
                  <c:v>191.36</c:v>
                </c:pt>
                <c:pt idx="117">
                  <c:v>192.17</c:v>
                </c:pt>
                <c:pt idx="118">
                  <c:v>192.43</c:v>
                </c:pt>
                <c:pt idx="119">
                  <c:v>195.13</c:v>
                </c:pt>
                <c:pt idx="120">
                  <c:v>192.96</c:v>
                </c:pt>
                <c:pt idx="121">
                  <c:v>191.9</c:v>
                </c:pt>
                <c:pt idx="122">
                  <c:v>192.61</c:v>
                </c:pt>
                <c:pt idx="123">
                  <c:v>190.52</c:v>
                </c:pt>
                <c:pt idx="124">
                  <c:v>190.8</c:v>
                </c:pt>
                <c:pt idx="125">
                  <c:v>191.61</c:v>
                </c:pt>
                <c:pt idx="126">
                  <c:v>194.72</c:v>
                </c:pt>
                <c:pt idx="127">
                  <c:v>194.4</c:v>
                </c:pt>
                <c:pt idx="128">
                  <c:v>195.26</c:v>
                </c:pt>
                <c:pt idx="129">
                  <c:v>196.8</c:v>
                </c:pt>
                <c:pt idx="130">
                  <c:v>199.03</c:v>
                </c:pt>
                <c:pt idx="131">
                  <c:v>199.19</c:v>
                </c:pt>
                <c:pt idx="132">
                  <c:v>198.99</c:v>
                </c:pt>
                <c:pt idx="133">
                  <c:v>201.19</c:v>
                </c:pt>
                <c:pt idx="134">
                  <c:v>201.66</c:v>
                </c:pt>
                <c:pt idx="135">
                  <c:v>200.93</c:v>
                </c:pt>
                <c:pt idx="136">
                  <c:v>203.47</c:v>
                </c:pt>
                <c:pt idx="137">
                  <c:v>202.89</c:v>
                </c:pt>
                <c:pt idx="138">
                  <c:v>204.69</c:v>
                </c:pt>
                <c:pt idx="139">
                  <c:v>204.73</c:v>
                </c:pt>
                <c:pt idx="140">
                  <c:v>205</c:v>
                </c:pt>
                <c:pt idx="141">
                  <c:v>225.25</c:v>
                </c:pt>
                <c:pt idx="142">
                  <c:v>232.54</c:v>
                </c:pt>
                <c:pt idx="143">
                  <c:v>232.8</c:v>
                </c:pt>
                <c:pt idx="144">
                  <c:v>233.94</c:v>
                </c:pt>
                <c:pt idx="145">
                  <c:v>231.03</c:v>
                </c:pt>
                <c:pt idx="146">
                  <c:v>229.59</c:v>
                </c:pt>
                <c:pt idx="147">
                  <c:v>229.88</c:v>
                </c:pt>
                <c:pt idx="148">
                  <c:v>229.36</c:v>
                </c:pt>
                <c:pt idx="149">
                  <c:v>231.79</c:v>
                </c:pt>
                <c:pt idx="150">
                  <c:v>231.09</c:v>
                </c:pt>
                <c:pt idx="151">
                  <c:v>227.43</c:v>
                </c:pt>
                <c:pt idx="152">
                  <c:v>226.04</c:v>
                </c:pt>
                <c:pt idx="153">
                  <c:v>227.98</c:v>
                </c:pt>
                <c:pt idx="154">
                  <c:v>230.19</c:v>
                </c:pt>
                <c:pt idx="155">
                  <c:v>232.15</c:v>
                </c:pt>
                <c:pt idx="156">
                  <c:v>230.61</c:v>
                </c:pt>
                <c:pt idx="157">
                  <c:v>228.67</c:v>
                </c:pt>
                <c:pt idx="158">
                  <c:v>228.85</c:v>
                </c:pt>
                <c:pt idx="159">
                  <c:v>228.76</c:v>
                </c:pt>
                <c:pt idx="160">
                  <c:v>232.71</c:v>
                </c:pt>
                <c:pt idx="161">
                  <c:v>231.1</c:v>
                </c:pt>
                <c:pt idx="162">
                  <c:v>231.73</c:v>
                </c:pt>
                <c:pt idx="163">
                  <c:v>228.96</c:v>
                </c:pt>
                <c:pt idx="164">
                  <c:v>230.21</c:v>
                </c:pt>
                <c:pt idx="165">
                  <c:v>233.43</c:v>
                </c:pt>
                <c:pt idx="166">
                  <c:v>233.4</c:v>
                </c:pt>
                <c:pt idx="167">
                  <c:v>232.62</c:v>
                </c:pt>
                <c:pt idx="168">
                  <c:v>233.27</c:v>
                </c:pt>
                <c:pt idx="169">
                  <c:v>230.04</c:v>
                </c:pt>
                <c:pt idx="170">
                  <c:v>227.73</c:v>
                </c:pt>
                <c:pt idx="171">
                  <c:v>229.37</c:v>
                </c:pt>
                <c:pt idx="172">
                  <c:v>231.77</c:v>
                </c:pt>
                <c:pt idx="173">
                  <c:v>233.52</c:v>
                </c:pt>
                <c:pt idx="174">
                  <c:v>233.51</c:v>
                </c:pt>
                <c:pt idx="175">
                  <c:v>234.82</c:v>
                </c:pt>
                <c:pt idx="176">
                  <c:v>238.03</c:v>
                </c:pt>
                <c:pt idx="177">
                  <c:v>241.69</c:v>
                </c:pt>
                <c:pt idx="178">
                  <c:v>245.65</c:v>
                </c:pt>
                <c:pt idx="179">
                  <c:v>245.05</c:v>
                </c:pt>
                <c:pt idx="180">
                  <c:v>247.96</c:v>
                </c:pt>
                <c:pt idx="181">
                  <c:v>248.52</c:v>
                </c:pt>
                <c:pt idx="182">
                  <c:v>248.92</c:v>
                </c:pt>
                <c:pt idx="183">
                  <c:v>246.85</c:v>
                </c:pt>
                <c:pt idx="184">
                  <c:v>246.25</c:v>
                </c:pt>
                <c:pt idx="185">
                  <c:v>247.78</c:v>
                </c:pt>
                <c:pt idx="186">
                  <c:v>246.8</c:v>
                </c:pt>
                <c:pt idx="187">
                  <c:v>246.74</c:v>
                </c:pt>
                <c:pt idx="188">
                  <c:v>248.47</c:v>
                </c:pt>
                <c:pt idx="189">
                  <c:v>247.96</c:v>
                </c:pt>
                <c:pt idx="190">
                  <c:v>248.25</c:v>
                </c:pt>
                <c:pt idx="191">
                  <c:v>251.29</c:v>
                </c:pt>
                <c:pt idx="192">
                  <c:v>250.99</c:v>
                </c:pt>
                <c:pt idx="193">
                  <c:v>250.8</c:v>
                </c:pt>
                <c:pt idx="194">
                  <c:v>253.27</c:v>
                </c:pt>
                <c:pt idx="195">
                  <c:v>253.76</c:v>
                </c:pt>
                <c:pt idx="196">
                  <c:v>254.22</c:v>
                </c:pt>
                <c:pt idx="197">
                  <c:v>253.08</c:v>
                </c:pt>
                <c:pt idx="198">
                  <c:v>252.12</c:v>
                </c:pt>
                <c:pt idx="199">
                  <c:v>251.02</c:v>
                </c:pt>
                <c:pt idx="200">
                  <c:v>252.4</c:v>
                </c:pt>
                <c:pt idx="201">
                  <c:v>251.43</c:v>
                </c:pt>
                <c:pt idx="202">
                  <c:v>256.97000000000003</c:v>
                </c:pt>
                <c:pt idx="203">
                  <c:v>254.62</c:v>
                </c:pt>
                <c:pt idx="204">
                  <c:v>258.19</c:v>
                </c:pt>
                <c:pt idx="205">
                  <c:v>250.83</c:v>
                </c:pt>
                <c:pt idx="206">
                  <c:v>251.66</c:v>
                </c:pt>
                <c:pt idx="207">
                  <c:v>248.93</c:v>
                </c:pt>
                <c:pt idx="208">
                  <c:v>251.64</c:v>
                </c:pt>
                <c:pt idx="209">
                  <c:v>250.4</c:v>
                </c:pt>
                <c:pt idx="210">
                  <c:v>250.91</c:v>
                </c:pt>
                <c:pt idx="211">
                  <c:v>254.92</c:v>
                </c:pt>
                <c:pt idx="212">
                  <c:v>254.06</c:v>
                </c:pt>
                <c:pt idx="213">
                  <c:v>256.31</c:v>
                </c:pt>
                <c:pt idx="214">
                  <c:v>258.31</c:v>
                </c:pt>
                <c:pt idx="215">
                  <c:v>257.77</c:v>
                </c:pt>
                <c:pt idx="216">
                  <c:v>256.36</c:v>
                </c:pt>
                <c:pt idx="217">
                  <c:v>254.55</c:v>
                </c:pt>
                <c:pt idx="218">
                  <c:v>256.08</c:v>
                </c:pt>
                <c:pt idx="219">
                  <c:v>255.44</c:v>
                </c:pt>
                <c:pt idx="220">
                  <c:v>256.51</c:v>
                </c:pt>
                <c:pt idx="221">
                  <c:v>257.33</c:v>
                </c:pt>
                <c:pt idx="222">
                  <c:v>255.93</c:v>
                </c:pt>
                <c:pt idx="223">
                  <c:v>258.24</c:v>
                </c:pt>
                <c:pt idx="224">
                  <c:v>260.54000000000002</c:v>
                </c:pt>
                <c:pt idx="225">
                  <c:v>258.75</c:v>
                </c:pt>
                <c:pt idx="226">
                  <c:v>259.45999999999998</c:v>
                </c:pt>
                <c:pt idx="227">
                  <c:v>259.17</c:v>
                </c:pt>
                <c:pt idx="228">
                  <c:v>261.52</c:v>
                </c:pt>
                <c:pt idx="229">
                  <c:v>262.8</c:v>
                </c:pt>
                <c:pt idx="230">
                  <c:v>270.11</c:v>
                </c:pt>
                <c:pt idx="231">
                  <c:v>264.83</c:v>
                </c:pt>
                <c:pt idx="232">
                  <c:v>271.26</c:v>
                </c:pt>
                <c:pt idx="233">
                  <c:v>268.89</c:v>
                </c:pt>
                <c:pt idx="234">
                  <c:v>271.55</c:v>
                </c:pt>
                <c:pt idx="235">
                  <c:v>275.16000000000003</c:v>
                </c:pt>
                <c:pt idx="236">
                  <c:v>279</c:v>
                </c:pt>
                <c:pt idx="237">
                  <c:v>276.32</c:v>
                </c:pt>
                <c:pt idx="238">
                  <c:v>282.94</c:v>
                </c:pt>
                <c:pt idx="239">
                  <c:v>284.79000000000002</c:v>
                </c:pt>
                <c:pt idx="240">
                  <c:v>286.77999999999997</c:v>
                </c:pt>
                <c:pt idx="241">
                  <c:v>286.83999999999997</c:v>
                </c:pt>
                <c:pt idx="242">
                  <c:v>288.99</c:v>
                </c:pt>
                <c:pt idx="243">
                  <c:v>290.07</c:v>
                </c:pt>
                <c:pt idx="244">
                  <c:v>290.70999999999998</c:v>
                </c:pt>
                <c:pt idx="245">
                  <c:v>287.89999999999998</c:v>
                </c:pt>
                <c:pt idx="246">
                  <c:v>287.97000000000003</c:v>
                </c:pt>
                <c:pt idx="247">
                  <c:v>288.23</c:v>
                </c:pt>
                <c:pt idx="248">
                  <c:v>288.48</c:v>
                </c:pt>
                <c:pt idx="249">
                  <c:v>289.19</c:v>
                </c:pt>
                <c:pt idx="250">
                  <c:v>287.79000000000002</c:v>
                </c:pt>
                <c:pt idx="251">
                  <c:v>289.67</c:v>
                </c:pt>
                <c:pt idx="252">
                  <c:v>290.61</c:v>
                </c:pt>
                <c:pt idx="253">
                  <c:v>289.51</c:v>
                </c:pt>
                <c:pt idx="254">
                  <c:v>301.38</c:v>
                </c:pt>
                <c:pt idx="255">
                  <c:v>302.66000000000003</c:v>
                </c:pt>
                <c:pt idx="256">
                  <c:v>310.74</c:v>
                </c:pt>
                <c:pt idx="257">
                  <c:v>312.52999999999997</c:v>
                </c:pt>
                <c:pt idx="258">
                  <c:v>320.2</c:v>
                </c:pt>
                <c:pt idx="259">
                  <c:v>328.09</c:v>
                </c:pt>
                <c:pt idx="260">
                  <c:v>327.07</c:v>
                </c:pt>
                <c:pt idx="261">
                  <c:v>342.53</c:v>
                </c:pt>
                <c:pt idx="262">
                  <c:v>331.94</c:v>
                </c:pt>
                <c:pt idx="263">
                  <c:v>329.57</c:v>
                </c:pt>
                <c:pt idx="264">
                  <c:v>329.84</c:v>
                </c:pt>
                <c:pt idx="265">
                  <c:v>327.49</c:v>
                </c:pt>
                <c:pt idx="266">
                  <c:v>326.61</c:v>
                </c:pt>
                <c:pt idx="267">
                  <c:v>334.82</c:v>
                </c:pt>
                <c:pt idx="268">
                  <c:v>334.93</c:v>
                </c:pt>
                <c:pt idx="269">
                  <c:v>332.59</c:v>
                </c:pt>
                <c:pt idx="270">
                  <c:v>329.55</c:v>
                </c:pt>
                <c:pt idx="271">
                  <c:v>345.81</c:v>
                </c:pt>
                <c:pt idx="272">
                  <c:v>348.32</c:v>
                </c:pt>
                <c:pt idx="273">
                  <c:v>340.48</c:v>
                </c:pt>
                <c:pt idx="274">
                  <c:v>320.94</c:v>
                </c:pt>
                <c:pt idx="275">
                  <c:v>332.68</c:v>
                </c:pt>
                <c:pt idx="276">
                  <c:v>339.71</c:v>
                </c:pt>
                <c:pt idx="277">
                  <c:v>323.29000000000002</c:v>
                </c:pt>
                <c:pt idx="278">
                  <c:v>326.39999999999998</c:v>
                </c:pt>
                <c:pt idx="279">
                  <c:v>337.15</c:v>
                </c:pt>
                <c:pt idx="280">
                  <c:v>336.53</c:v>
                </c:pt>
                <c:pt idx="281">
                  <c:v>338.18</c:v>
                </c:pt>
                <c:pt idx="282">
                  <c:v>349.57</c:v>
                </c:pt>
                <c:pt idx="283">
                  <c:v>348.18</c:v>
                </c:pt>
                <c:pt idx="284">
                  <c:v>346.52</c:v>
                </c:pt>
                <c:pt idx="285">
                  <c:v>345.56</c:v>
                </c:pt>
                <c:pt idx="286">
                  <c:v>349.04</c:v>
                </c:pt>
                <c:pt idx="287">
                  <c:v>349.76</c:v>
                </c:pt>
                <c:pt idx="288">
                  <c:v>356.45</c:v>
                </c:pt>
                <c:pt idx="289">
                  <c:v>357.59</c:v>
                </c:pt>
                <c:pt idx="290">
                  <c:v>355.21</c:v>
                </c:pt>
                <c:pt idx="291">
                  <c:v>342.93</c:v>
                </c:pt>
                <c:pt idx="292">
                  <c:v>338.01</c:v>
                </c:pt>
                <c:pt idx="293">
                  <c:v>345.93</c:v>
                </c:pt>
                <c:pt idx="294">
                  <c:v>342.17</c:v>
                </c:pt>
                <c:pt idx="295">
                  <c:v>340.33</c:v>
                </c:pt>
                <c:pt idx="296">
                  <c:v>341.99</c:v>
                </c:pt>
                <c:pt idx="297">
                  <c:v>347.67</c:v>
                </c:pt>
                <c:pt idx="298">
                  <c:v>337.54</c:v>
                </c:pt>
                <c:pt idx="299">
                  <c:v>332.12</c:v>
                </c:pt>
                <c:pt idx="300">
                  <c:v>323.87</c:v>
                </c:pt>
                <c:pt idx="301">
                  <c:v>323.60000000000002</c:v>
                </c:pt>
                <c:pt idx="302">
                  <c:v>324.08</c:v>
                </c:pt>
                <c:pt idx="303">
                  <c:v>325.35000000000002</c:v>
                </c:pt>
                <c:pt idx="304">
                  <c:v>331.1</c:v>
                </c:pt>
                <c:pt idx="305">
                  <c:v>330.58</c:v>
                </c:pt>
                <c:pt idx="306">
                  <c:v>313.43</c:v>
                </c:pt>
                <c:pt idx="307">
                  <c:v>314.79000000000002</c:v>
                </c:pt>
                <c:pt idx="308">
                  <c:v>322.61</c:v>
                </c:pt>
                <c:pt idx="309">
                  <c:v>314.91000000000003</c:v>
                </c:pt>
                <c:pt idx="310">
                  <c:v>313.83</c:v>
                </c:pt>
                <c:pt idx="311">
                  <c:v>321.54000000000002</c:v>
                </c:pt>
                <c:pt idx="312">
                  <c:v>316.20999999999998</c:v>
                </c:pt>
                <c:pt idx="313">
                  <c:v>324.42</c:v>
                </c:pt>
                <c:pt idx="314">
                  <c:v>321.11</c:v>
                </c:pt>
                <c:pt idx="315">
                  <c:v>329.9</c:v>
                </c:pt>
                <c:pt idx="316">
                  <c:v>319.81</c:v>
                </c:pt>
                <c:pt idx="317">
                  <c:v>316.25</c:v>
                </c:pt>
                <c:pt idx="318">
                  <c:v>328.36</c:v>
                </c:pt>
                <c:pt idx="319">
                  <c:v>321.02999999999997</c:v>
                </c:pt>
                <c:pt idx="320">
                  <c:v>330.96</c:v>
                </c:pt>
                <c:pt idx="321">
                  <c:v>322.91000000000003</c:v>
                </c:pt>
                <c:pt idx="322">
                  <c:v>325.36</c:v>
                </c:pt>
                <c:pt idx="323">
                  <c:v>330.21</c:v>
                </c:pt>
                <c:pt idx="324">
                  <c:v>334.41</c:v>
                </c:pt>
                <c:pt idx="325">
                  <c:v>334.05</c:v>
                </c:pt>
                <c:pt idx="326">
                  <c:v>332.12</c:v>
                </c:pt>
                <c:pt idx="327">
                  <c:v>332.29</c:v>
                </c:pt>
                <c:pt idx="328">
                  <c:v>322.7</c:v>
                </c:pt>
                <c:pt idx="329">
                  <c:v>336.23</c:v>
                </c:pt>
                <c:pt idx="330">
                  <c:v>336.16</c:v>
                </c:pt>
                <c:pt idx="331">
                  <c:v>334.29</c:v>
                </c:pt>
                <c:pt idx="332">
                  <c:v>327.11</c:v>
                </c:pt>
                <c:pt idx="333">
                  <c:v>323.17</c:v>
                </c:pt>
                <c:pt idx="334">
                  <c:v>317.92</c:v>
                </c:pt>
                <c:pt idx="335">
                  <c:v>324.3</c:v>
                </c:pt>
                <c:pt idx="336">
                  <c:v>327.96</c:v>
                </c:pt>
                <c:pt idx="337">
                  <c:v>333.85</c:v>
                </c:pt>
                <c:pt idx="338">
                  <c:v>331.83</c:v>
                </c:pt>
                <c:pt idx="339">
                  <c:v>337.84</c:v>
                </c:pt>
                <c:pt idx="340">
                  <c:v>339.1</c:v>
                </c:pt>
                <c:pt idx="341">
                  <c:v>337.51</c:v>
                </c:pt>
                <c:pt idx="342">
                  <c:v>339.61</c:v>
                </c:pt>
                <c:pt idx="343">
                  <c:v>337.18</c:v>
                </c:pt>
                <c:pt idx="344">
                  <c:v>336.05</c:v>
                </c:pt>
                <c:pt idx="345">
                  <c:v>339.17</c:v>
                </c:pt>
                <c:pt idx="346">
                  <c:v>346.16</c:v>
                </c:pt>
                <c:pt idx="347">
                  <c:v>358.66</c:v>
                </c:pt>
                <c:pt idx="348">
                  <c:v>349.89</c:v>
                </c:pt>
                <c:pt idx="349">
                  <c:v>354.02</c:v>
                </c:pt>
                <c:pt idx="350">
                  <c:v>353.82</c:v>
                </c:pt>
                <c:pt idx="351">
                  <c:v>354.89</c:v>
                </c:pt>
                <c:pt idx="352">
                  <c:v>347.39</c:v>
                </c:pt>
                <c:pt idx="353">
                  <c:v>353.02</c:v>
                </c:pt>
                <c:pt idx="354">
                  <c:v>347.07</c:v>
                </c:pt>
                <c:pt idx="355">
                  <c:v>351.57</c:v>
                </c:pt>
                <c:pt idx="356">
                  <c:v>355.52</c:v>
                </c:pt>
                <c:pt idx="357">
                  <c:v>354.9</c:v>
                </c:pt>
                <c:pt idx="358">
                  <c:v>366.19</c:v>
                </c:pt>
                <c:pt idx="359">
                  <c:v>363.21</c:v>
                </c:pt>
                <c:pt idx="360">
                  <c:v>364.16</c:v>
                </c:pt>
                <c:pt idx="361">
                  <c:v>365.58</c:v>
                </c:pt>
                <c:pt idx="362">
                  <c:v>365.27</c:v>
                </c:pt>
                <c:pt idx="363">
                  <c:v>358.6</c:v>
                </c:pt>
                <c:pt idx="364">
                  <c:v>357.19</c:v>
                </c:pt>
                <c:pt idx="365">
                  <c:v>352.71</c:v>
                </c:pt>
                <c:pt idx="366">
                  <c:v>349.62</c:v>
                </c:pt>
                <c:pt idx="367">
                  <c:v>336.19</c:v>
                </c:pt>
                <c:pt idx="368">
                  <c:v>337.74</c:v>
                </c:pt>
                <c:pt idx="369">
                  <c:v>332.78</c:v>
                </c:pt>
                <c:pt idx="370">
                  <c:v>334.02</c:v>
                </c:pt>
                <c:pt idx="371">
                  <c:v>326.42</c:v>
                </c:pt>
                <c:pt idx="372">
                  <c:v>326.52</c:v>
                </c:pt>
                <c:pt idx="373">
                  <c:v>325.06</c:v>
                </c:pt>
                <c:pt idx="374">
                  <c:v>329.82</c:v>
                </c:pt>
                <c:pt idx="375">
                  <c:v>330.66</c:v>
                </c:pt>
                <c:pt idx="376">
                  <c:v>331.23</c:v>
                </c:pt>
                <c:pt idx="377">
                  <c:v>328.12</c:v>
                </c:pt>
                <c:pt idx="378">
                  <c:v>328.37</c:v>
                </c:pt>
                <c:pt idx="379">
                  <c:v>329.81</c:v>
                </c:pt>
                <c:pt idx="380">
                  <c:v>336.98</c:v>
                </c:pt>
                <c:pt idx="381">
                  <c:v>342.15</c:v>
                </c:pt>
                <c:pt idx="382">
                  <c:v>335.68</c:v>
                </c:pt>
                <c:pt idx="383">
                  <c:v>341.03</c:v>
                </c:pt>
                <c:pt idx="384">
                  <c:v>345.72</c:v>
                </c:pt>
                <c:pt idx="385">
                  <c:v>350.96</c:v>
                </c:pt>
                <c:pt idx="386">
                  <c:v>351.73</c:v>
                </c:pt>
                <c:pt idx="387">
                  <c:v>355.03</c:v>
                </c:pt>
                <c:pt idx="388">
                  <c:v>350.2</c:v>
                </c:pt>
                <c:pt idx="389">
                  <c:v>349.77</c:v>
                </c:pt>
                <c:pt idx="390">
                  <c:v>348.17</c:v>
                </c:pt>
                <c:pt idx="391">
                  <c:v>353.1</c:v>
                </c:pt>
                <c:pt idx="392">
                  <c:v>350.78</c:v>
                </c:pt>
                <c:pt idx="393">
                  <c:v>354.13</c:v>
                </c:pt>
                <c:pt idx="394">
                  <c:v>355.44</c:v>
                </c:pt>
                <c:pt idx="395">
                  <c:v>345.99</c:v>
                </c:pt>
                <c:pt idx="396">
                  <c:v>351.15</c:v>
                </c:pt>
                <c:pt idx="397">
                  <c:v>347.67</c:v>
                </c:pt>
                <c:pt idx="398">
                  <c:v>344.68</c:v>
                </c:pt>
                <c:pt idx="399">
                  <c:v>343.41</c:v>
                </c:pt>
                <c:pt idx="400">
                  <c:v>341.56</c:v>
                </c:pt>
                <c:pt idx="401">
                  <c:v>345.69</c:v>
                </c:pt>
                <c:pt idx="402">
                  <c:v>342.76</c:v>
                </c:pt>
                <c:pt idx="403">
                  <c:v>340.43</c:v>
                </c:pt>
                <c:pt idx="404">
                  <c:v>336.16</c:v>
                </c:pt>
                <c:pt idx="405">
                  <c:v>335.12</c:v>
                </c:pt>
                <c:pt idx="406">
                  <c:v>335.89</c:v>
                </c:pt>
                <c:pt idx="407">
                  <c:v>328.58</c:v>
                </c:pt>
                <c:pt idx="408">
                  <c:v>342.67</c:v>
                </c:pt>
                <c:pt idx="409">
                  <c:v>343.08</c:v>
                </c:pt>
                <c:pt idx="410">
                  <c:v>347.38</c:v>
                </c:pt>
                <c:pt idx="411">
                  <c:v>350.38</c:v>
                </c:pt>
                <c:pt idx="412">
                  <c:v>346.68</c:v>
                </c:pt>
                <c:pt idx="413">
                  <c:v>344.15</c:v>
                </c:pt>
                <c:pt idx="414">
                  <c:v>346.04</c:v>
                </c:pt>
                <c:pt idx="415">
                  <c:v>350.35</c:v>
                </c:pt>
                <c:pt idx="416">
                  <c:v>347.85</c:v>
                </c:pt>
                <c:pt idx="417">
                  <c:v>346.84</c:v>
                </c:pt>
                <c:pt idx="418">
                  <c:v>343.58</c:v>
                </c:pt>
                <c:pt idx="419">
                  <c:v>339.51</c:v>
                </c:pt>
                <c:pt idx="420">
                  <c:v>342.94</c:v>
                </c:pt>
                <c:pt idx="421">
                  <c:v>343.36</c:v>
                </c:pt>
                <c:pt idx="422">
                  <c:v>347.91</c:v>
                </c:pt>
                <c:pt idx="423">
                  <c:v>345.94</c:v>
                </c:pt>
                <c:pt idx="424">
                  <c:v>338.59</c:v>
                </c:pt>
                <c:pt idx="425">
                  <c:v>341.95</c:v>
                </c:pt>
                <c:pt idx="426">
                  <c:v>350.03</c:v>
                </c:pt>
                <c:pt idx="427">
                  <c:v>352.06</c:v>
                </c:pt>
                <c:pt idx="428">
                  <c:v>356.36</c:v>
                </c:pt>
                <c:pt idx="429">
                  <c:v>352.55</c:v>
                </c:pt>
                <c:pt idx="430">
                  <c:v>360.1</c:v>
                </c:pt>
                <c:pt idx="431">
                  <c:v>361.72</c:v>
                </c:pt>
                <c:pt idx="432">
                  <c:v>363.94</c:v>
                </c:pt>
                <c:pt idx="433">
                  <c:v>368.67</c:v>
                </c:pt>
                <c:pt idx="434">
                  <c:v>364.47</c:v>
                </c:pt>
                <c:pt idx="435">
                  <c:v>363.71</c:v>
                </c:pt>
                <c:pt idx="436">
                  <c:v>361.54</c:v>
                </c:pt>
                <c:pt idx="437">
                  <c:v>363.87</c:v>
                </c:pt>
                <c:pt idx="438">
                  <c:v>368.34</c:v>
                </c:pt>
                <c:pt idx="439">
                  <c:v>378.63</c:v>
                </c:pt>
                <c:pt idx="440">
                  <c:v>382.67</c:v>
                </c:pt>
                <c:pt idx="441">
                  <c:v>388.54</c:v>
                </c:pt>
                <c:pt idx="442">
                  <c:v>386.26</c:v>
                </c:pt>
                <c:pt idx="443">
                  <c:v>382.77</c:v>
                </c:pt>
                <c:pt idx="444">
                  <c:v>382.08</c:v>
                </c:pt>
                <c:pt idx="445">
                  <c:v>381.75</c:v>
                </c:pt>
                <c:pt idx="446">
                  <c:v>363.95</c:v>
                </c:pt>
                <c:pt idx="447">
                  <c:v>354.68</c:v>
                </c:pt>
                <c:pt idx="448">
                  <c:v>356.66</c:v>
                </c:pt>
                <c:pt idx="449">
                  <c:v>355.44</c:v>
                </c:pt>
                <c:pt idx="450">
                  <c:v>364.73</c:v>
                </c:pt>
                <c:pt idx="451">
                  <c:v>362</c:v>
                </c:pt>
                <c:pt idx="452">
                  <c:v>355.91</c:v>
                </c:pt>
                <c:pt idx="453">
                  <c:v>352.85</c:v>
                </c:pt>
                <c:pt idx="454">
                  <c:v>352.57</c:v>
                </c:pt>
                <c:pt idx="455">
                  <c:v>346.7</c:v>
                </c:pt>
                <c:pt idx="456">
                  <c:v>351.26</c:v>
                </c:pt>
                <c:pt idx="457">
                  <c:v>360.29</c:v>
                </c:pt>
                <c:pt idx="458">
                  <c:v>355.83</c:v>
                </c:pt>
                <c:pt idx="459">
                  <c:v>332.38</c:v>
                </c:pt>
                <c:pt idx="460">
                  <c:v>346.56</c:v>
                </c:pt>
                <c:pt idx="461">
                  <c:v>351.46</c:v>
                </c:pt>
                <c:pt idx="462">
                  <c:v>359.59</c:v>
                </c:pt>
                <c:pt idx="463">
                  <c:v>354.33</c:v>
                </c:pt>
                <c:pt idx="464">
                  <c:v>358.52</c:v>
                </c:pt>
                <c:pt idx="465">
                  <c:v>362.96</c:v>
                </c:pt>
                <c:pt idx="466">
                  <c:v>368.46</c:v>
                </c:pt>
                <c:pt idx="467">
                  <c:v>368.92</c:v>
                </c:pt>
                <c:pt idx="468">
                  <c:v>367.49</c:v>
                </c:pt>
                <c:pt idx="469">
                  <c:v>355.25</c:v>
                </c:pt>
                <c:pt idx="470">
                  <c:v>347.76</c:v>
                </c:pt>
                <c:pt idx="471">
                  <c:v>343</c:v>
                </c:pt>
                <c:pt idx="472">
                  <c:v>339.86</c:v>
                </c:pt>
                <c:pt idx="473">
                  <c:v>334.27</c:v>
                </c:pt>
                <c:pt idx="474">
                  <c:v>319.33999999999997</c:v>
                </c:pt>
                <c:pt idx="475">
                  <c:v>316.11</c:v>
                </c:pt>
                <c:pt idx="476">
                  <c:v>315.73</c:v>
                </c:pt>
                <c:pt idx="477">
                  <c:v>310.76</c:v>
                </c:pt>
                <c:pt idx="478">
                  <c:v>314.77999999999997</c:v>
                </c:pt>
                <c:pt idx="479">
                  <c:v>316.44</c:v>
                </c:pt>
                <c:pt idx="480">
                  <c:v>331.83</c:v>
                </c:pt>
                <c:pt idx="481">
                  <c:v>340.85</c:v>
                </c:pt>
                <c:pt idx="482">
                  <c:v>345.03</c:v>
                </c:pt>
                <c:pt idx="483">
                  <c:v>358.16</c:v>
                </c:pt>
                <c:pt idx="484">
                  <c:v>340.79</c:v>
                </c:pt>
                <c:pt idx="485">
                  <c:v>330.24</c:v>
                </c:pt>
                <c:pt idx="486">
                  <c:v>321.60000000000002</c:v>
                </c:pt>
                <c:pt idx="487">
                  <c:v>324.72000000000003</c:v>
                </c:pt>
                <c:pt idx="488">
                  <c:v>320.42</c:v>
                </c:pt>
                <c:pt idx="489">
                  <c:v>325.06</c:v>
                </c:pt>
                <c:pt idx="490">
                  <c:v>323.83999999999997</c:v>
                </c:pt>
                <c:pt idx="491">
                  <c:v>317.16000000000003</c:v>
                </c:pt>
                <c:pt idx="492">
                  <c:v>314.55</c:v>
                </c:pt>
                <c:pt idx="493">
                  <c:v>326.42</c:v>
                </c:pt>
                <c:pt idx="494">
                  <c:v>317.95</c:v>
                </c:pt>
                <c:pt idx="495">
                  <c:v>311.49</c:v>
                </c:pt>
                <c:pt idx="496">
                  <c:v>303.02999999999997</c:v>
                </c:pt>
                <c:pt idx="497">
                  <c:v>292.69</c:v>
                </c:pt>
                <c:pt idx="498">
                  <c:v>312.36</c:v>
                </c:pt>
                <c:pt idx="499">
                  <c:v>315.55</c:v>
                </c:pt>
                <c:pt idx="500">
                  <c:v>314.8</c:v>
                </c:pt>
                <c:pt idx="501">
                  <c:v>320.89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88-4627-A9B5-13E947E20CD9}"/>
            </c:ext>
          </c:extLst>
        </c:ser>
        <c:ser>
          <c:idx val="3"/>
          <c:order val="3"/>
          <c:tx>
            <c:strRef>
              <c:f>wide_company_closes_reorder!$E$1</c:f>
              <c:strCache>
                <c:ptCount val="1"/>
                <c:pt idx="0">
                  <c:v>CAT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wide_company_closes_reorder!$E$2:$E$503</c:f>
              <c:numCache>
                <c:formatCode>General</c:formatCode>
                <c:ptCount val="502"/>
                <c:pt idx="0">
                  <c:v>88.68</c:v>
                </c:pt>
                <c:pt idx="1">
                  <c:v>88.28</c:v>
                </c:pt>
                <c:pt idx="2">
                  <c:v>87.74</c:v>
                </c:pt>
                <c:pt idx="3">
                  <c:v>87.78</c:v>
                </c:pt>
                <c:pt idx="4">
                  <c:v>87.15</c:v>
                </c:pt>
                <c:pt idx="5">
                  <c:v>88.52</c:v>
                </c:pt>
                <c:pt idx="6">
                  <c:v>89.3</c:v>
                </c:pt>
                <c:pt idx="7">
                  <c:v>88.68</c:v>
                </c:pt>
                <c:pt idx="8">
                  <c:v>89.14</c:v>
                </c:pt>
                <c:pt idx="9">
                  <c:v>88.28</c:v>
                </c:pt>
                <c:pt idx="10">
                  <c:v>88.78</c:v>
                </c:pt>
                <c:pt idx="11">
                  <c:v>88.83</c:v>
                </c:pt>
                <c:pt idx="12">
                  <c:v>89.97</c:v>
                </c:pt>
                <c:pt idx="13">
                  <c:v>89.86</c:v>
                </c:pt>
                <c:pt idx="14">
                  <c:v>91.55</c:v>
                </c:pt>
                <c:pt idx="15">
                  <c:v>93.37</c:v>
                </c:pt>
                <c:pt idx="16">
                  <c:v>92.48</c:v>
                </c:pt>
                <c:pt idx="17">
                  <c:v>94.17</c:v>
                </c:pt>
                <c:pt idx="18">
                  <c:v>92.07</c:v>
                </c:pt>
                <c:pt idx="19">
                  <c:v>91</c:v>
                </c:pt>
                <c:pt idx="20">
                  <c:v>90.48</c:v>
                </c:pt>
                <c:pt idx="21">
                  <c:v>89.2</c:v>
                </c:pt>
                <c:pt idx="22">
                  <c:v>88.74</c:v>
                </c:pt>
                <c:pt idx="23">
                  <c:v>88.35</c:v>
                </c:pt>
                <c:pt idx="24">
                  <c:v>88.76</c:v>
                </c:pt>
                <c:pt idx="25">
                  <c:v>88.38</c:v>
                </c:pt>
                <c:pt idx="26">
                  <c:v>89.38</c:v>
                </c:pt>
                <c:pt idx="27">
                  <c:v>91.62</c:v>
                </c:pt>
                <c:pt idx="28">
                  <c:v>93.7</c:v>
                </c:pt>
                <c:pt idx="29">
                  <c:v>93.31</c:v>
                </c:pt>
                <c:pt idx="30">
                  <c:v>94.2</c:v>
                </c:pt>
                <c:pt idx="31">
                  <c:v>93.47</c:v>
                </c:pt>
                <c:pt idx="32">
                  <c:v>94.03</c:v>
                </c:pt>
                <c:pt idx="33">
                  <c:v>93.32</c:v>
                </c:pt>
                <c:pt idx="34">
                  <c:v>93.42</c:v>
                </c:pt>
                <c:pt idx="35">
                  <c:v>90.9</c:v>
                </c:pt>
                <c:pt idx="36">
                  <c:v>90.83</c:v>
                </c:pt>
                <c:pt idx="37">
                  <c:v>92.69</c:v>
                </c:pt>
                <c:pt idx="38">
                  <c:v>91.95</c:v>
                </c:pt>
                <c:pt idx="39">
                  <c:v>93.78</c:v>
                </c:pt>
                <c:pt idx="40">
                  <c:v>89.76</c:v>
                </c:pt>
                <c:pt idx="41">
                  <c:v>90.49</c:v>
                </c:pt>
                <c:pt idx="42">
                  <c:v>91</c:v>
                </c:pt>
                <c:pt idx="43">
                  <c:v>91.26</c:v>
                </c:pt>
                <c:pt idx="44">
                  <c:v>88.69</c:v>
                </c:pt>
                <c:pt idx="45">
                  <c:v>86.94</c:v>
                </c:pt>
                <c:pt idx="46">
                  <c:v>87.81</c:v>
                </c:pt>
                <c:pt idx="47">
                  <c:v>88.13</c:v>
                </c:pt>
                <c:pt idx="48">
                  <c:v>87.38</c:v>
                </c:pt>
                <c:pt idx="49">
                  <c:v>88.81</c:v>
                </c:pt>
                <c:pt idx="50">
                  <c:v>88.33</c:v>
                </c:pt>
                <c:pt idx="51">
                  <c:v>88.38</c:v>
                </c:pt>
                <c:pt idx="52">
                  <c:v>90.75</c:v>
                </c:pt>
                <c:pt idx="53">
                  <c:v>87.93</c:v>
                </c:pt>
                <c:pt idx="54">
                  <c:v>87.93</c:v>
                </c:pt>
                <c:pt idx="55">
                  <c:v>87.74</c:v>
                </c:pt>
                <c:pt idx="56">
                  <c:v>87.66</c:v>
                </c:pt>
                <c:pt idx="57">
                  <c:v>87.05</c:v>
                </c:pt>
                <c:pt idx="58">
                  <c:v>88.42</c:v>
                </c:pt>
                <c:pt idx="59">
                  <c:v>88.34</c:v>
                </c:pt>
                <c:pt idx="60">
                  <c:v>88.68</c:v>
                </c:pt>
                <c:pt idx="61">
                  <c:v>88.24</c:v>
                </c:pt>
                <c:pt idx="62">
                  <c:v>87.78</c:v>
                </c:pt>
                <c:pt idx="63">
                  <c:v>89.54</c:v>
                </c:pt>
                <c:pt idx="64">
                  <c:v>89.65</c:v>
                </c:pt>
                <c:pt idx="65">
                  <c:v>91.15</c:v>
                </c:pt>
                <c:pt idx="66">
                  <c:v>90.87</c:v>
                </c:pt>
                <c:pt idx="67">
                  <c:v>92.41</c:v>
                </c:pt>
                <c:pt idx="68">
                  <c:v>92.37</c:v>
                </c:pt>
                <c:pt idx="69">
                  <c:v>90.24</c:v>
                </c:pt>
                <c:pt idx="70">
                  <c:v>88.56</c:v>
                </c:pt>
                <c:pt idx="71">
                  <c:v>89.55</c:v>
                </c:pt>
                <c:pt idx="72">
                  <c:v>89.79</c:v>
                </c:pt>
                <c:pt idx="73">
                  <c:v>88.92</c:v>
                </c:pt>
                <c:pt idx="74">
                  <c:v>90.8</c:v>
                </c:pt>
                <c:pt idx="75">
                  <c:v>90.47</c:v>
                </c:pt>
                <c:pt idx="76">
                  <c:v>92.86</c:v>
                </c:pt>
                <c:pt idx="77">
                  <c:v>100.16</c:v>
                </c:pt>
                <c:pt idx="78">
                  <c:v>100.39</c:v>
                </c:pt>
                <c:pt idx="79">
                  <c:v>98.49</c:v>
                </c:pt>
                <c:pt idx="80">
                  <c:v>98.09</c:v>
                </c:pt>
                <c:pt idx="81">
                  <c:v>97.84</c:v>
                </c:pt>
                <c:pt idx="82">
                  <c:v>97.37</c:v>
                </c:pt>
                <c:pt idx="83">
                  <c:v>97.4</c:v>
                </c:pt>
                <c:pt idx="84">
                  <c:v>95.33</c:v>
                </c:pt>
                <c:pt idx="85">
                  <c:v>95.57</c:v>
                </c:pt>
                <c:pt idx="86">
                  <c:v>95.31</c:v>
                </c:pt>
                <c:pt idx="87">
                  <c:v>95.24</c:v>
                </c:pt>
                <c:pt idx="88">
                  <c:v>96.26</c:v>
                </c:pt>
                <c:pt idx="89">
                  <c:v>96.87</c:v>
                </c:pt>
                <c:pt idx="90">
                  <c:v>96.6</c:v>
                </c:pt>
                <c:pt idx="91">
                  <c:v>98.24</c:v>
                </c:pt>
                <c:pt idx="92">
                  <c:v>98.16</c:v>
                </c:pt>
                <c:pt idx="93">
                  <c:v>96.05</c:v>
                </c:pt>
                <c:pt idx="94">
                  <c:v>96.13</c:v>
                </c:pt>
                <c:pt idx="95">
                  <c:v>98.25</c:v>
                </c:pt>
                <c:pt idx="96">
                  <c:v>98.12</c:v>
                </c:pt>
                <c:pt idx="97">
                  <c:v>99.4</c:v>
                </c:pt>
                <c:pt idx="98">
                  <c:v>99.71</c:v>
                </c:pt>
                <c:pt idx="99">
                  <c:v>100.73</c:v>
                </c:pt>
                <c:pt idx="100">
                  <c:v>101.35</c:v>
                </c:pt>
                <c:pt idx="101">
                  <c:v>101.17</c:v>
                </c:pt>
                <c:pt idx="102">
                  <c:v>101.13</c:v>
                </c:pt>
                <c:pt idx="103">
                  <c:v>101.34</c:v>
                </c:pt>
                <c:pt idx="104">
                  <c:v>101.63</c:v>
                </c:pt>
                <c:pt idx="105">
                  <c:v>100.91</c:v>
                </c:pt>
                <c:pt idx="106">
                  <c:v>100.28</c:v>
                </c:pt>
                <c:pt idx="107">
                  <c:v>99.29</c:v>
                </c:pt>
                <c:pt idx="108">
                  <c:v>100.72</c:v>
                </c:pt>
                <c:pt idx="109">
                  <c:v>101.6</c:v>
                </c:pt>
                <c:pt idx="110">
                  <c:v>101.74</c:v>
                </c:pt>
                <c:pt idx="111">
                  <c:v>101.43</c:v>
                </c:pt>
                <c:pt idx="112">
                  <c:v>100.44</c:v>
                </c:pt>
                <c:pt idx="113">
                  <c:v>102.06</c:v>
                </c:pt>
                <c:pt idx="114">
                  <c:v>103.21</c:v>
                </c:pt>
                <c:pt idx="115">
                  <c:v>103.1</c:v>
                </c:pt>
                <c:pt idx="116">
                  <c:v>102.67</c:v>
                </c:pt>
                <c:pt idx="117">
                  <c:v>99.25</c:v>
                </c:pt>
                <c:pt idx="118">
                  <c:v>99.6</c:v>
                </c:pt>
                <c:pt idx="119">
                  <c:v>99.86</c:v>
                </c:pt>
                <c:pt idx="120">
                  <c:v>100</c:v>
                </c:pt>
                <c:pt idx="121">
                  <c:v>99.69</c:v>
                </c:pt>
                <c:pt idx="122">
                  <c:v>102.11</c:v>
                </c:pt>
                <c:pt idx="123">
                  <c:v>101.33</c:v>
                </c:pt>
                <c:pt idx="124">
                  <c:v>103.07</c:v>
                </c:pt>
                <c:pt idx="125">
                  <c:v>102.6</c:v>
                </c:pt>
                <c:pt idx="126">
                  <c:v>103.1</c:v>
                </c:pt>
                <c:pt idx="127">
                  <c:v>102.16</c:v>
                </c:pt>
                <c:pt idx="128">
                  <c:v>102.56</c:v>
                </c:pt>
                <c:pt idx="129">
                  <c:v>103.44</c:v>
                </c:pt>
                <c:pt idx="130">
                  <c:v>103.82</c:v>
                </c:pt>
                <c:pt idx="131">
                  <c:v>104.51</c:v>
                </c:pt>
                <c:pt idx="132">
                  <c:v>104.04</c:v>
                </c:pt>
                <c:pt idx="133">
                  <c:v>104.33</c:v>
                </c:pt>
                <c:pt idx="134">
                  <c:v>104.4</c:v>
                </c:pt>
                <c:pt idx="135">
                  <c:v>103.44</c:v>
                </c:pt>
                <c:pt idx="136">
                  <c:v>104.19</c:v>
                </c:pt>
                <c:pt idx="137">
                  <c:v>103.68</c:v>
                </c:pt>
                <c:pt idx="138">
                  <c:v>102.98</c:v>
                </c:pt>
                <c:pt idx="139">
                  <c:v>104.51</c:v>
                </c:pt>
                <c:pt idx="140">
                  <c:v>110.66</c:v>
                </c:pt>
                <c:pt idx="141">
                  <c:v>109.67</c:v>
                </c:pt>
                <c:pt idx="142">
                  <c:v>110.49</c:v>
                </c:pt>
                <c:pt idx="143">
                  <c:v>110.23</c:v>
                </c:pt>
                <c:pt idx="144">
                  <c:v>110.09</c:v>
                </c:pt>
                <c:pt idx="145">
                  <c:v>109.27</c:v>
                </c:pt>
                <c:pt idx="146">
                  <c:v>109.26</c:v>
                </c:pt>
                <c:pt idx="147">
                  <c:v>109.71</c:v>
                </c:pt>
                <c:pt idx="148">
                  <c:v>110.47</c:v>
                </c:pt>
                <c:pt idx="149">
                  <c:v>110.82</c:v>
                </c:pt>
                <c:pt idx="150">
                  <c:v>110.53</c:v>
                </c:pt>
                <c:pt idx="151">
                  <c:v>110.46</c:v>
                </c:pt>
                <c:pt idx="152">
                  <c:v>109.32</c:v>
                </c:pt>
                <c:pt idx="153">
                  <c:v>109.03</c:v>
                </c:pt>
                <c:pt idx="154">
                  <c:v>109.86</c:v>
                </c:pt>
                <c:pt idx="155">
                  <c:v>109.8</c:v>
                </c:pt>
                <c:pt idx="156">
                  <c:v>110.25</c:v>
                </c:pt>
                <c:pt idx="157">
                  <c:v>109.31</c:v>
                </c:pt>
                <c:pt idx="158">
                  <c:v>110.06</c:v>
                </c:pt>
                <c:pt idx="159">
                  <c:v>109.75</c:v>
                </c:pt>
                <c:pt idx="160">
                  <c:v>111.89</c:v>
                </c:pt>
                <c:pt idx="161">
                  <c:v>110.86</c:v>
                </c:pt>
                <c:pt idx="162">
                  <c:v>110.89</c:v>
                </c:pt>
                <c:pt idx="163">
                  <c:v>111.44</c:v>
                </c:pt>
                <c:pt idx="164">
                  <c:v>111.17</c:v>
                </c:pt>
                <c:pt idx="165">
                  <c:v>112.08</c:v>
                </c:pt>
                <c:pt idx="166">
                  <c:v>113.57</c:v>
                </c:pt>
                <c:pt idx="167">
                  <c:v>113.51</c:v>
                </c:pt>
                <c:pt idx="168">
                  <c:v>114.27</c:v>
                </c:pt>
                <c:pt idx="169">
                  <c:v>114.29</c:v>
                </c:pt>
                <c:pt idx="170">
                  <c:v>113.02</c:v>
                </c:pt>
                <c:pt idx="171">
                  <c:v>113.78</c:v>
                </c:pt>
                <c:pt idx="172">
                  <c:v>113.83</c:v>
                </c:pt>
                <c:pt idx="173">
                  <c:v>114.84</c:v>
                </c:pt>
                <c:pt idx="174">
                  <c:v>116.84</c:v>
                </c:pt>
                <c:pt idx="175">
                  <c:v>115.58</c:v>
                </c:pt>
                <c:pt idx="176">
                  <c:v>116.4</c:v>
                </c:pt>
                <c:pt idx="177">
                  <c:v>117.26</c:v>
                </c:pt>
                <c:pt idx="178">
                  <c:v>119.63</c:v>
                </c:pt>
                <c:pt idx="179">
                  <c:v>120.51</c:v>
                </c:pt>
                <c:pt idx="180">
                  <c:v>120.62</c:v>
                </c:pt>
                <c:pt idx="181">
                  <c:v>120.56</c:v>
                </c:pt>
                <c:pt idx="182">
                  <c:v>120.21</c:v>
                </c:pt>
                <c:pt idx="183">
                  <c:v>120.11</c:v>
                </c:pt>
                <c:pt idx="184">
                  <c:v>120.29</c:v>
                </c:pt>
                <c:pt idx="185">
                  <c:v>120.3</c:v>
                </c:pt>
                <c:pt idx="186">
                  <c:v>120.99</c:v>
                </c:pt>
                <c:pt idx="187">
                  <c:v>120.48</c:v>
                </c:pt>
                <c:pt idx="188">
                  <c:v>120.49</c:v>
                </c:pt>
                <c:pt idx="189">
                  <c:v>121.26</c:v>
                </c:pt>
                <c:pt idx="190">
                  <c:v>122.44</c:v>
                </c:pt>
                <c:pt idx="191">
                  <c:v>122.12</c:v>
                </c:pt>
                <c:pt idx="192">
                  <c:v>122.63</c:v>
                </c:pt>
                <c:pt idx="193">
                  <c:v>122.58</c:v>
                </c:pt>
                <c:pt idx="194">
                  <c:v>123.85</c:v>
                </c:pt>
                <c:pt idx="195">
                  <c:v>124.24</c:v>
                </c:pt>
                <c:pt idx="196">
                  <c:v>125.58</c:v>
                </c:pt>
                <c:pt idx="197">
                  <c:v>126.28</c:v>
                </c:pt>
                <c:pt idx="198">
                  <c:v>127.01</c:v>
                </c:pt>
                <c:pt idx="199">
                  <c:v>126.12</c:v>
                </c:pt>
                <c:pt idx="200">
                  <c:v>126.84</c:v>
                </c:pt>
                <c:pt idx="201">
                  <c:v>127.09</c:v>
                </c:pt>
                <c:pt idx="202">
                  <c:v>127.67</c:v>
                </c:pt>
                <c:pt idx="203">
                  <c:v>127.98</c:v>
                </c:pt>
                <c:pt idx="204">
                  <c:v>134.35</c:v>
                </c:pt>
                <c:pt idx="205">
                  <c:v>132.99</c:v>
                </c:pt>
                <c:pt idx="206">
                  <c:v>133.09</c:v>
                </c:pt>
                <c:pt idx="207">
                  <c:v>133.93</c:v>
                </c:pt>
                <c:pt idx="208">
                  <c:v>132.65</c:v>
                </c:pt>
                <c:pt idx="209">
                  <c:v>131.97999999999999</c:v>
                </c:pt>
                <c:pt idx="210">
                  <c:v>132.46</c:v>
                </c:pt>
                <c:pt idx="211">
                  <c:v>132.63</c:v>
                </c:pt>
                <c:pt idx="212">
                  <c:v>132.79</c:v>
                </c:pt>
                <c:pt idx="213">
                  <c:v>133.84</c:v>
                </c:pt>
                <c:pt idx="214">
                  <c:v>134.91</c:v>
                </c:pt>
                <c:pt idx="215">
                  <c:v>133.43</c:v>
                </c:pt>
                <c:pt idx="216">
                  <c:v>131.53</c:v>
                </c:pt>
                <c:pt idx="217">
                  <c:v>132.63999999999999</c:v>
                </c:pt>
                <c:pt idx="218">
                  <c:v>132.69</c:v>
                </c:pt>
                <c:pt idx="219">
                  <c:v>133.66999999999999</c:v>
                </c:pt>
                <c:pt idx="220">
                  <c:v>130.33000000000001</c:v>
                </c:pt>
                <c:pt idx="221">
                  <c:v>132.52000000000001</c:v>
                </c:pt>
                <c:pt idx="222">
                  <c:v>132.30000000000001</c:v>
                </c:pt>
                <c:pt idx="223">
                  <c:v>133.06</c:v>
                </c:pt>
                <c:pt idx="224">
                  <c:v>133.72999999999999</c:v>
                </c:pt>
                <c:pt idx="225">
                  <c:v>134.13</c:v>
                </c:pt>
                <c:pt idx="226">
                  <c:v>133.53</c:v>
                </c:pt>
                <c:pt idx="227">
                  <c:v>133.33000000000001</c:v>
                </c:pt>
                <c:pt idx="228">
                  <c:v>135.08000000000001</c:v>
                </c:pt>
                <c:pt idx="229">
                  <c:v>134.18</c:v>
                </c:pt>
                <c:pt idx="230">
                  <c:v>137.18</c:v>
                </c:pt>
                <c:pt idx="231">
                  <c:v>137.54</c:v>
                </c:pt>
                <c:pt idx="232">
                  <c:v>137.52000000000001</c:v>
                </c:pt>
                <c:pt idx="233">
                  <c:v>136.19999999999999</c:v>
                </c:pt>
                <c:pt idx="234">
                  <c:v>136.38999999999999</c:v>
                </c:pt>
                <c:pt idx="235">
                  <c:v>138.87</c:v>
                </c:pt>
                <c:pt idx="236">
                  <c:v>139.81</c:v>
                </c:pt>
                <c:pt idx="237">
                  <c:v>139.72999999999999</c:v>
                </c:pt>
                <c:pt idx="238">
                  <c:v>139.38999999999999</c:v>
                </c:pt>
                <c:pt idx="239">
                  <c:v>144.38999999999999</c:v>
                </c:pt>
                <c:pt idx="240">
                  <c:v>142.16999999999999</c:v>
                </c:pt>
                <c:pt idx="241">
                  <c:v>142.56</c:v>
                </c:pt>
                <c:pt idx="242">
                  <c:v>145.56</c:v>
                </c:pt>
                <c:pt idx="243">
                  <c:v>146.66999999999999</c:v>
                </c:pt>
                <c:pt idx="244">
                  <c:v>148.22999999999999</c:v>
                </c:pt>
                <c:pt idx="245">
                  <c:v>150.29</c:v>
                </c:pt>
                <c:pt idx="246">
                  <c:v>151.37</c:v>
                </c:pt>
                <c:pt idx="247">
                  <c:v>152.04</c:v>
                </c:pt>
                <c:pt idx="248">
                  <c:v>153.09</c:v>
                </c:pt>
                <c:pt idx="249">
                  <c:v>153.96</c:v>
                </c:pt>
                <c:pt idx="250">
                  <c:v>153.15</c:v>
                </c:pt>
                <c:pt idx="251">
                  <c:v>152.62</c:v>
                </c:pt>
                <c:pt idx="252">
                  <c:v>152.86000000000001</c:v>
                </c:pt>
                <c:pt idx="253">
                  <c:v>154.96</c:v>
                </c:pt>
                <c:pt idx="254">
                  <c:v>157.4</c:v>
                </c:pt>
                <c:pt idx="255">
                  <c:v>161.36000000000001</c:v>
                </c:pt>
                <c:pt idx="256">
                  <c:v>161.75</c:v>
                </c:pt>
                <c:pt idx="257">
                  <c:v>161.19999999999999</c:v>
                </c:pt>
                <c:pt idx="258">
                  <c:v>164.44</c:v>
                </c:pt>
                <c:pt idx="259">
                  <c:v>165.51</c:v>
                </c:pt>
                <c:pt idx="260">
                  <c:v>164.55</c:v>
                </c:pt>
                <c:pt idx="261">
                  <c:v>163.76</c:v>
                </c:pt>
                <c:pt idx="262">
                  <c:v>164.08</c:v>
                </c:pt>
                <c:pt idx="263">
                  <c:v>166.39</c:v>
                </c:pt>
                <c:pt idx="264">
                  <c:v>166.85</c:v>
                </c:pt>
                <c:pt idx="265">
                  <c:v>165.43</c:v>
                </c:pt>
                <c:pt idx="266">
                  <c:v>164.36</c:v>
                </c:pt>
                <c:pt idx="267">
                  <c:v>165.37</c:v>
                </c:pt>
                <c:pt idx="268">
                  <c:v>163.11000000000001</c:v>
                </c:pt>
                <c:pt idx="269">
                  <c:v>158.74</c:v>
                </c:pt>
                <c:pt idx="270">
                  <c:v>159.88999999999999</c:v>
                </c:pt>
                <c:pt idx="271">
                  <c:v>158.94</c:v>
                </c:pt>
                <c:pt idx="272">
                  <c:v>158.41</c:v>
                </c:pt>
                <c:pt idx="273">
                  <c:v>153.77000000000001</c:v>
                </c:pt>
                <c:pt idx="274">
                  <c:v>147.51</c:v>
                </c:pt>
                <c:pt idx="275">
                  <c:v>152.72</c:v>
                </c:pt>
                <c:pt idx="276">
                  <c:v>150.69</c:v>
                </c:pt>
                <c:pt idx="277">
                  <c:v>142.54</c:v>
                </c:pt>
                <c:pt idx="278">
                  <c:v>145.69</c:v>
                </c:pt>
                <c:pt idx="279">
                  <c:v>148.69</c:v>
                </c:pt>
                <c:pt idx="280">
                  <c:v>150.33000000000001</c:v>
                </c:pt>
                <c:pt idx="281">
                  <c:v>154.33000000000001</c:v>
                </c:pt>
                <c:pt idx="282">
                  <c:v>156.19999999999999</c:v>
                </c:pt>
                <c:pt idx="283">
                  <c:v>152.6</c:v>
                </c:pt>
                <c:pt idx="284">
                  <c:v>151.88999999999999</c:v>
                </c:pt>
                <c:pt idx="285">
                  <c:v>151.56</c:v>
                </c:pt>
                <c:pt idx="286">
                  <c:v>155.11000000000001</c:v>
                </c:pt>
                <c:pt idx="287">
                  <c:v>158.57</c:v>
                </c:pt>
                <c:pt idx="288">
                  <c:v>159.82</c:v>
                </c:pt>
                <c:pt idx="289">
                  <c:v>157.44999999999999</c:v>
                </c:pt>
                <c:pt idx="290">
                  <c:v>150.97999999999999</c:v>
                </c:pt>
                <c:pt idx="291">
                  <c:v>146.68</c:v>
                </c:pt>
                <c:pt idx="292">
                  <c:v>142.91999999999999</c:v>
                </c:pt>
                <c:pt idx="293">
                  <c:v>147.55000000000001</c:v>
                </c:pt>
                <c:pt idx="294">
                  <c:v>150.12</c:v>
                </c:pt>
                <c:pt idx="295">
                  <c:v>147.93</c:v>
                </c:pt>
                <c:pt idx="296">
                  <c:v>149.96</c:v>
                </c:pt>
                <c:pt idx="297">
                  <c:v>154.51</c:v>
                </c:pt>
                <c:pt idx="298">
                  <c:v>150.85</c:v>
                </c:pt>
                <c:pt idx="299">
                  <c:v>150.06</c:v>
                </c:pt>
                <c:pt idx="300">
                  <c:v>148.94</c:v>
                </c:pt>
                <c:pt idx="301">
                  <c:v>150.91999999999999</c:v>
                </c:pt>
                <c:pt idx="302">
                  <c:v>152.76</c:v>
                </c:pt>
                <c:pt idx="303">
                  <c:v>148.56</c:v>
                </c:pt>
                <c:pt idx="304">
                  <c:v>150.41999999999999</c:v>
                </c:pt>
                <c:pt idx="305">
                  <c:v>152.12</c:v>
                </c:pt>
                <c:pt idx="306">
                  <c:v>143.43</c:v>
                </c:pt>
                <c:pt idx="307">
                  <c:v>140.88</c:v>
                </c:pt>
                <c:pt idx="308">
                  <c:v>145.66999999999999</c:v>
                </c:pt>
                <c:pt idx="309">
                  <c:v>143.52000000000001</c:v>
                </c:pt>
                <c:pt idx="310">
                  <c:v>141.72999999999999</c:v>
                </c:pt>
                <c:pt idx="311">
                  <c:v>143.9</c:v>
                </c:pt>
                <c:pt idx="312">
                  <c:v>140.49</c:v>
                </c:pt>
                <c:pt idx="313">
                  <c:v>141.63</c:v>
                </c:pt>
                <c:pt idx="314">
                  <c:v>141.75</c:v>
                </c:pt>
                <c:pt idx="315">
                  <c:v>144.63</c:v>
                </c:pt>
                <c:pt idx="316">
                  <c:v>139.61000000000001</c:v>
                </c:pt>
                <c:pt idx="317">
                  <c:v>139.69999999999999</c:v>
                </c:pt>
                <c:pt idx="318">
                  <c:v>144.59</c:v>
                </c:pt>
                <c:pt idx="319">
                  <c:v>143.32</c:v>
                </c:pt>
                <c:pt idx="320">
                  <c:v>146.59</c:v>
                </c:pt>
                <c:pt idx="321">
                  <c:v>146.68</c:v>
                </c:pt>
                <c:pt idx="322">
                  <c:v>148.55000000000001</c:v>
                </c:pt>
                <c:pt idx="323">
                  <c:v>149.69</c:v>
                </c:pt>
                <c:pt idx="324">
                  <c:v>152.27000000000001</c:v>
                </c:pt>
                <c:pt idx="325">
                  <c:v>152.02000000000001</c:v>
                </c:pt>
                <c:pt idx="326">
                  <c:v>150.38</c:v>
                </c:pt>
                <c:pt idx="327">
                  <c:v>151.11000000000001</c:v>
                </c:pt>
                <c:pt idx="328">
                  <c:v>141.74</c:v>
                </c:pt>
                <c:pt idx="329">
                  <c:v>142.47</c:v>
                </c:pt>
                <c:pt idx="330">
                  <c:v>143.57</c:v>
                </c:pt>
                <c:pt idx="331">
                  <c:v>142.01</c:v>
                </c:pt>
                <c:pt idx="332">
                  <c:v>141.66</c:v>
                </c:pt>
                <c:pt idx="333">
                  <c:v>141.72</c:v>
                </c:pt>
                <c:pt idx="334">
                  <c:v>141.16999999999999</c:v>
                </c:pt>
                <c:pt idx="335">
                  <c:v>141.09</c:v>
                </c:pt>
                <c:pt idx="336">
                  <c:v>143.63</c:v>
                </c:pt>
                <c:pt idx="337">
                  <c:v>147.02000000000001</c:v>
                </c:pt>
                <c:pt idx="338">
                  <c:v>147.13</c:v>
                </c:pt>
                <c:pt idx="339">
                  <c:v>149.76</c:v>
                </c:pt>
                <c:pt idx="340">
                  <c:v>151.09</c:v>
                </c:pt>
                <c:pt idx="341">
                  <c:v>151.96</c:v>
                </c:pt>
                <c:pt idx="342">
                  <c:v>152.38</c:v>
                </c:pt>
                <c:pt idx="343">
                  <c:v>149.74</c:v>
                </c:pt>
                <c:pt idx="344">
                  <c:v>150.91999999999999</c:v>
                </c:pt>
                <c:pt idx="345">
                  <c:v>150.82</c:v>
                </c:pt>
                <c:pt idx="346">
                  <c:v>152.80000000000001</c:v>
                </c:pt>
                <c:pt idx="347">
                  <c:v>155.94999999999999</c:v>
                </c:pt>
                <c:pt idx="348">
                  <c:v>153.28</c:v>
                </c:pt>
                <c:pt idx="349">
                  <c:v>154.79</c:v>
                </c:pt>
                <c:pt idx="350">
                  <c:v>154.75</c:v>
                </c:pt>
                <c:pt idx="351">
                  <c:v>152.94</c:v>
                </c:pt>
                <c:pt idx="352">
                  <c:v>150.75</c:v>
                </c:pt>
                <c:pt idx="353">
                  <c:v>152.55000000000001</c:v>
                </c:pt>
                <c:pt idx="354">
                  <c:v>149.07</c:v>
                </c:pt>
                <c:pt idx="355">
                  <c:v>150.65</c:v>
                </c:pt>
                <c:pt idx="356">
                  <c:v>149.65</c:v>
                </c:pt>
                <c:pt idx="357">
                  <c:v>150.15</c:v>
                </c:pt>
                <c:pt idx="358">
                  <c:v>153.58000000000001</c:v>
                </c:pt>
                <c:pt idx="359">
                  <c:v>153.37</c:v>
                </c:pt>
                <c:pt idx="360">
                  <c:v>152.41999999999999</c:v>
                </c:pt>
                <c:pt idx="361">
                  <c:v>153.38</c:v>
                </c:pt>
                <c:pt idx="362">
                  <c:v>154.54</c:v>
                </c:pt>
                <c:pt idx="363">
                  <c:v>151.82</c:v>
                </c:pt>
                <c:pt idx="364">
                  <c:v>150.28</c:v>
                </c:pt>
                <c:pt idx="365">
                  <c:v>147.21</c:v>
                </c:pt>
                <c:pt idx="366">
                  <c:v>145.9</c:v>
                </c:pt>
                <c:pt idx="367">
                  <c:v>140.62</c:v>
                </c:pt>
                <c:pt idx="368">
                  <c:v>140.44999999999999</c:v>
                </c:pt>
                <c:pt idx="369">
                  <c:v>136.91999999999999</c:v>
                </c:pt>
                <c:pt idx="370">
                  <c:v>137.32</c:v>
                </c:pt>
                <c:pt idx="371">
                  <c:v>134.03</c:v>
                </c:pt>
                <c:pt idx="372">
                  <c:v>133.01</c:v>
                </c:pt>
                <c:pt idx="373">
                  <c:v>132.09</c:v>
                </c:pt>
                <c:pt idx="374">
                  <c:v>133.49</c:v>
                </c:pt>
                <c:pt idx="375">
                  <c:v>133.13</c:v>
                </c:pt>
                <c:pt idx="376">
                  <c:v>133.74</c:v>
                </c:pt>
                <c:pt idx="377">
                  <c:v>131.33000000000001</c:v>
                </c:pt>
                <c:pt idx="378">
                  <c:v>133.27000000000001</c:v>
                </c:pt>
                <c:pt idx="379">
                  <c:v>132.88</c:v>
                </c:pt>
                <c:pt idx="380">
                  <c:v>138.33000000000001</c:v>
                </c:pt>
                <c:pt idx="381">
                  <c:v>138.61000000000001</c:v>
                </c:pt>
                <c:pt idx="382">
                  <c:v>134.19999999999999</c:v>
                </c:pt>
                <c:pt idx="383">
                  <c:v>136.81</c:v>
                </c:pt>
                <c:pt idx="384">
                  <c:v>138.12</c:v>
                </c:pt>
                <c:pt idx="385">
                  <c:v>135.5</c:v>
                </c:pt>
                <c:pt idx="386">
                  <c:v>136.35</c:v>
                </c:pt>
                <c:pt idx="387">
                  <c:v>138.47999999999999</c:v>
                </c:pt>
                <c:pt idx="388">
                  <c:v>137.65</c:v>
                </c:pt>
                <c:pt idx="389">
                  <c:v>135.08000000000001</c:v>
                </c:pt>
                <c:pt idx="390">
                  <c:v>134.55000000000001</c:v>
                </c:pt>
                <c:pt idx="391">
                  <c:v>136.22</c:v>
                </c:pt>
                <c:pt idx="392">
                  <c:v>138.69999999999999</c:v>
                </c:pt>
                <c:pt idx="393">
                  <c:v>140.77000000000001</c:v>
                </c:pt>
                <c:pt idx="394">
                  <c:v>140.75</c:v>
                </c:pt>
                <c:pt idx="395">
                  <c:v>137.97999999999999</c:v>
                </c:pt>
                <c:pt idx="396">
                  <c:v>141.97999999999999</c:v>
                </c:pt>
                <c:pt idx="397">
                  <c:v>136.78</c:v>
                </c:pt>
                <c:pt idx="398">
                  <c:v>136.26</c:v>
                </c:pt>
                <c:pt idx="399">
                  <c:v>136.75</c:v>
                </c:pt>
                <c:pt idx="400">
                  <c:v>137.71</c:v>
                </c:pt>
                <c:pt idx="401">
                  <c:v>140.57</c:v>
                </c:pt>
                <c:pt idx="402">
                  <c:v>137.94</c:v>
                </c:pt>
                <c:pt idx="403">
                  <c:v>136.76</c:v>
                </c:pt>
                <c:pt idx="404">
                  <c:v>134.19999999999999</c:v>
                </c:pt>
                <c:pt idx="405">
                  <c:v>133.31</c:v>
                </c:pt>
                <c:pt idx="406">
                  <c:v>133.21</c:v>
                </c:pt>
                <c:pt idx="407">
                  <c:v>130.35</c:v>
                </c:pt>
                <c:pt idx="408">
                  <c:v>134.53</c:v>
                </c:pt>
                <c:pt idx="409">
                  <c:v>137.57</c:v>
                </c:pt>
                <c:pt idx="410">
                  <c:v>136.91</c:v>
                </c:pt>
                <c:pt idx="411">
                  <c:v>138.21</c:v>
                </c:pt>
                <c:pt idx="412">
                  <c:v>137.86000000000001</c:v>
                </c:pt>
                <c:pt idx="413">
                  <c:v>135.05000000000001</c:v>
                </c:pt>
                <c:pt idx="414">
                  <c:v>136.46</c:v>
                </c:pt>
                <c:pt idx="415">
                  <c:v>140.24</c:v>
                </c:pt>
                <c:pt idx="416">
                  <c:v>140.19999999999999</c:v>
                </c:pt>
                <c:pt idx="417">
                  <c:v>140.06</c:v>
                </c:pt>
                <c:pt idx="418">
                  <c:v>137.30000000000001</c:v>
                </c:pt>
                <c:pt idx="419">
                  <c:v>137.09</c:v>
                </c:pt>
                <c:pt idx="420">
                  <c:v>136.49</c:v>
                </c:pt>
                <c:pt idx="421">
                  <c:v>138.81</c:v>
                </c:pt>
                <c:pt idx="422">
                  <c:v>139.77000000000001</c:v>
                </c:pt>
                <c:pt idx="423">
                  <c:v>139.53</c:v>
                </c:pt>
                <c:pt idx="424">
                  <c:v>140.25</c:v>
                </c:pt>
                <c:pt idx="425">
                  <c:v>140.22999999999999</c:v>
                </c:pt>
                <c:pt idx="426">
                  <c:v>142.44999999999999</c:v>
                </c:pt>
                <c:pt idx="427">
                  <c:v>143.69</c:v>
                </c:pt>
                <c:pt idx="428">
                  <c:v>143.06</c:v>
                </c:pt>
                <c:pt idx="429">
                  <c:v>144.37</c:v>
                </c:pt>
                <c:pt idx="430">
                  <c:v>147.18</c:v>
                </c:pt>
                <c:pt idx="431">
                  <c:v>150.82</c:v>
                </c:pt>
                <c:pt idx="432">
                  <c:v>154.02000000000001</c:v>
                </c:pt>
                <c:pt idx="433">
                  <c:v>154.4</c:v>
                </c:pt>
                <c:pt idx="434">
                  <c:v>152.05000000000001</c:v>
                </c:pt>
                <c:pt idx="435">
                  <c:v>152.13999999999999</c:v>
                </c:pt>
                <c:pt idx="436">
                  <c:v>151.22999999999999</c:v>
                </c:pt>
                <c:pt idx="437">
                  <c:v>150.54</c:v>
                </c:pt>
                <c:pt idx="438">
                  <c:v>150.56</c:v>
                </c:pt>
                <c:pt idx="439">
                  <c:v>150.35</c:v>
                </c:pt>
                <c:pt idx="440">
                  <c:v>152.86000000000001</c:v>
                </c:pt>
                <c:pt idx="441">
                  <c:v>156.21</c:v>
                </c:pt>
                <c:pt idx="442">
                  <c:v>154.76</c:v>
                </c:pt>
                <c:pt idx="443">
                  <c:v>151.37</c:v>
                </c:pt>
                <c:pt idx="444">
                  <c:v>151.4</c:v>
                </c:pt>
                <c:pt idx="445">
                  <c:v>147.56</c:v>
                </c:pt>
                <c:pt idx="446">
                  <c:v>141.9</c:v>
                </c:pt>
                <c:pt idx="447">
                  <c:v>139.18</c:v>
                </c:pt>
                <c:pt idx="448">
                  <c:v>140.27000000000001</c:v>
                </c:pt>
                <c:pt idx="449">
                  <c:v>140</c:v>
                </c:pt>
                <c:pt idx="450">
                  <c:v>141.88999999999999</c:v>
                </c:pt>
                <c:pt idx="451">
                  <c:v>139.55000000000001</c:v>
                </c:pt>
                <c:pt idx="452">
                  <c:v>134.08000000000001</c:v>
                </c:pt>
                <c:pt idx="453">
                  <c:v>130.47999999999999</c:v>
                </c:pt>
                <c:pt idx="454">
                  <c:v>127.89</c:v>
                </c:pt>
                <c:pt idx="455">
                  <c:v>118.22</c:v>
                </c:pt>
                <c:pt idx="456">
                  <c:v>111.62</c:v>
                </c:pt>
                <c:pt idx="457">
                  <c:v>114.89</c:v>
                </c:pt>
                <c:pt idx="458">
                  <c:v>114.31</c:v>
                </c:pt>
                <c:pt idx="459">
                  <c:v>113.25</c:v>
                </c:pt>
                <c:pt idx="460">
                  <c:v>116.71</c:v>
                </c:pt>
                <c:pt idx="461">
                  <c:v>120.54</c:v>
                </c:pt>
                <c:pt idx="462">
                  <c:v>123.9</c:v>
                </c:pt>
                <c:pt idx="463">
                  <c:v>124.99</c:v>
                </c:pt>
                <c:pt idx="464">
                  <c:v>125.6</c:v>
                </c:pt>
                <c:pt idx="465">
                  <c:v>128.5</c:v>
                </c:pt>
                <c:pt idx="466">
                  <c:v>134.24</c:v>
                </c:pt>
                <c:pt idx="467">
                  <c:v>130.55000000000001</c:v>
                </c:pt>
                <c:pt idx="468">
                  <c:v>126.1</c:v>
                </c:pt>
                <c:pt idx="469">
                  <c:v>124.2</c:v>
                </c:pt>
                <c:pt idx="470">
                  <c:v>125.15</c:v>
                </c:pt>
                <c:pt idx="471">
                  <c:v>124.3</c:v>
                </c:pt>
                <c:pt idx="472">
                  <c:v>128.59</c:v>
                </c:pt>
                <c:pt idx="473">
                  <c:v>129.13</c:v>
                </c:pt>
                <c:pt idx="474">
                  <c:v>125.17</c:v>
                </c:pt>
                <c:pt idx="475">
                  <c:v>121.49</c:v>
                </c:pt>
                <c:pt idx="476">
                  <c:v>123.08</c:v>
                </c:pt>
                <c:pt idx="477">
                  <c:v>121.54</c:v>
                </c:pt>
                <c:pt idx="478">
                  <c:v>124</c:v>
                </c:pt>
                <c:pt idx="479">
                  <c:v>123.8</c:v>
                </c:pt>
                <c:pt idx="480">
                  <c:v>129.93</c:v>
                </c:pt>
                <c:pt idx="481">
                  <c:v>129.4</c:v>
                </c:pt>
                <c:pt idx="482">
                  <c:v>134.80000000000001</c:v>
                </c:pt>
                <c:pt idx="483">
                  <c:v>138.06</c:v>
                </c:pt>
                <c:pt idx="484">
                  <c:v>128.49</c:v>
                </c:pt>
                <c:pt idx="485">
                  <c:v>127.55</c:v>
                </c:pt>
                <c:pt idx="486">
                  <c:v>122.76</c:v>
                </c:pt>
                <c:pt idx="487">
                  <c:v>122.6</c:v>
                </c:pt>
                <c:pt idx="488">
                  <c:v>122.45</c:v>
                </c:pt>
                <c:pt idx="489">
                  <c:v>124.57</c:v>
                </c:pt>
                <c:pt idx="490">
                  <c:v>125.1</c:v>
                </c:pt>
                <c:pt idx="491">
                  <c:v>125.96</c:v>
                </c:pt>
                <c:pt idx="492">
                  <c:v>123.67</c:v>
                </c:pt>
                <c:pt idx="493">
                  <c:v>123.48</c:v>
                </c:pt>
                <c:pt idx="494">
                  <c:v>121.55</c:v>
                </c:pt>
                <c:pt idx="495">
                  <c:v>120.77</c:v>
                </c:pt>
                <c:pt idx="496">
                  <c:v>119.3</c:v>
                </c:pt>
                <c:pt idx="497">
                  <c:v>116.2</c:v>
                </c:pt>
                <c:pt idx="498">
                  <c:v>123.96</c:v>
                </c:pt>
                <c:pt idx="499">
                  <c:v>125.86</c:v>
                </c:pt>
                <c:pt idx="500">
                  <c:v>124.81</c:v>
                </c:pt>
                <c:pt idx="501">
                  <c:v>126.26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88-4627-A9B5-13E947E20CD9}"/>
            </c:ext>
          </c:extLst>
        </c:ser>
        <c:ser>
          <c:idx val="4"/>
          <c:order val="4"/>
          <c:tx>
            <c:strRef>
              <c:f>wide_company_closes_reorder!$F$1</c:f>
              <c:strCache>
                <c:ptCount val="1"/>
                <c:pt idx="0">
                  <c:v>CSCO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wide_company_closes_reorder!$F$2:$F$503</c:f>
              <c:numCache>
                <c:formatCode>General</c:formatCode>
                <c:ptCount val="502"/>
                <c:pt idx="0">
                  <c:v>28.4</c:v>
                </c:pt>
                <c:pt idx="1">
                  <c:v>28.23</c:v>
                </c:pt>
                <c:pt idx="2">
                  <c:v>28.29</c:v>
                </c:pt>
                <c:pt idx="3">
                  <c:v>28.35</c:v>
                </c:pt>
                <c:pt idx="4">
                  <c:v>28.3</c:v>
                </c:pt>
                <c:pt idx="5">
                  <c:v>28.49</c:v>
                </c:pt>
                <c:pt idx="6">
                  <c:v>28.27</c:v>
                </c:pt>
                <c:pt idx="7">
                  <c:v>28.17</c:v>
                </c:pt>
                <c:pt idx="8">
                  <c:v>28.2</c:v>
                </c:pt>
                <c:pt idx="9">
                  <c:v>28.12</c:v>
                </c:pt>
                <c:pt idx="10">
                  <c:v>28.16</c:v>
                </c:pt>
                <c:pt idx="11">
                  <c:v>28.11</c:v>
                </c:pt>
                <c:pt idx="12">
                  <c:v>28.23</c:v>
                </c:pt>
                <c:pt idx="13">
                  <c:v>28.39</c:v>
                </c:pt>
                <c:pt idx="14">
                  <c:v>28.7</c:v>
                </c:pt>
                <c:pt idx="15">
                  <c:v>28.79</c:v>
                </c:pt>
                <c:pt idx="16">
                  <c:v>28.83</c:v>
                </c:pt>
                <c:pt idx="17">
                  <c:v>29.05</c:v>
                </c:pt>
                <c:pt idx="18">
                  <c:v>28.91</c:v>
                </c:pt>
                <c:pt idx="19">
                  <c:v>28.81</c:v>
                </c:pt>
                <c:pt idx="20">
                  <c:v>28.6</c:v>
                </c:pt>
                <c:pt idx="21">
                  <c:v>29.24</c:v>
                </c:pt>
                <c:pt idx="22">
                  <c:v>29.37</c:v>
                </c:pt>
                <c:pt idx="23">
                  <c:v>29.35</c:v>
                </c:pt>
                <c:pt idx="24">
                  <c:v>29.49</c:v>
                </c:pt>
                <c:pt idx="25">
                  <c:v>29.32</c:v>
                </c:pt>
                <c:pt idx="26">
                  <c:v>29.54</c:v>
                </c:pt>
                <c:pt idx="27">
                  <c:v>29.55</c:v>
                </c:pt>
                <c:pt idx="28">
                  <c:v>29.98</c:v>
                </c:pt>
                <c:pt idx="29">
                  <c:v>30.3</c:v>
                </c:pt>
                <c:pt idx="30">
                  <c:v>30.78</c:v>
                </c:pt>
                <c:pt idx="31">
                  <c:v>31.51</c:v>
                </c:pt>
                <c:pt idx="32">
                  <c:v>31.64</c:v>
                </c:pt>
                <c:pt idx="33">
                  <c:v>32.01</c:v>
                </c:pt>
                <c:pt idx="34">
                  <c:v>31.97</c:v>
                </c:pt>
                <c:pt idx="35">
                  <c:v>31.92</c:v>
                </c:pt>
                <c:pt idx="36">
                  <c:v>32.18</c:v>
                </c:pt>
                <c:pt idx="37">
                  <c:v>32.130000000000003</c:v>
                </c:pt>
                <c:pt idx="38">
                  <c:v>32.049999999999997</c:v>
                </c:pt>
                <c:pt idx="39">
                  <c:v>32.299999999999997</c:v>
                </c:pt>
                <c:pt idx="40">
                  <c:v>32.25</c:v>
                </c:pt>
                <c:pt idx="41">
                  <c:v>32.159999999999997</c:v>
                </c:pt>
                <c:pt idx="42">
                  <c:v>32.06</c:v>
                </c:pt>
                <c:pt idx="43">
                  <c:v>32.07</c:v>
                </c:pt>
                <c:pt idx="44">
                  <c:v>31.9</c:v>
                </c:pt>
                <c:pt idx="45">
                  <c:v>31.95</c:v>
                </c:pt>
                <c:pt idx="46">
                  <c:v>32.130000000000003</c:v>
                </c:pt>
                <c:pt idx="47">
                  <c:v>31.98</c:v>
                </c:pt>
                <c:pt idx="48">
                  <c:v>32</c:v>
                </c:pt>
                <c:pt idx="49">
                  <c:v>32.11</c:v>
                </c:pt>
                <c:pt idx="50">
                  <c:v>32.1</c:v>
                </c:pt>
                <c:pt idx="51">
                  <c:v>32.1</c:v>
                </c:pt>
                <c:pt idx="52">
                  <c:v>32.15</c:v>
                </c:pt>
                <c:pt idx="53">
                  <c:v>31.77</c:v>
                </c:pt>
                <c:pt idx="54">
                  <c:v>31.98</c:v>
                </c:pt>
                <c:pt idx="55">
                  <c:v>31.85</c:v>
                </c:pt>
                <c:pt idx="56">
                  <c:v>31.96</c:v>
                </c:pt>
                <c:pt idx="57">
                  <c:v>31.88</c:v>
                </c:pt>
                <c:pt idx="58">
                  <c:v>31.9</c:v>
                </c:pt>
                <c:pt idx="59">
                  <c:v>31.64</c:v>
                </c:pt>
                <c:pt idx="60">
                  <c:v>31.64</c:v>
                </c:pt>
                <c:pt idx="61">
                  <c:v>31.7</c:v>
                </c:pt>
                <c:pt idx="62">
                  <c:v>31.49</c:v>
                </c:pt>
                <c:pt idx="63">
                  <c:v>31.6</c:v>
                </c:pt>
                <c:pt idx="64">
                  <c:v>31.22</c:v>
                </c:pt>
                <c:pt idx="65">
                  <c:v>31.29</c:v>
                </c:pt>
                <c:pt idx="66">
                  <c:v>31.18</c:v>
                </c:pt>
                <c:pt idx="67">
                  <c:v>31.23</c:v>
                </c:pt>
                <c:pt idx="68">
                  <c:v>31.14</c:v>
                </c:pt>
                <c:pt idx="69">
                  <c:v>30.86</c:v>
                </c:pt>
                <c:pt idx="70">
                  <c:v>30.67</c:v>
                </c:pt>
                <c:pt idx="71">
                  <c:v>30.85</c:v>
                </c:pt>
                <c:pt idx="72">
                  <c:v>30.9</c:v>
                </c:pt>
                <c:pt idx="73">
                  <c:v>30.89</c:v>
                </c:pt>
                <c:pt idx="74">
                  <c:v>31.06</c:v>
                </c:pt>
                <c:pt idx="75">
                  <c:v>31.05</c:v>
                </c:pt>
                <c:pt idx="76">
                  <c:v>31.48</c:v>
                </c:pt>
                <c:pt idx="77">
                  <c:v>31.61</c:v>
                </c:pt>
                <c:pt idx="78">
                  <c:v>31.6</c:v>
                </c:pt>
                <c:pt idx="79">
                  <c:v>31.93</c:v>
                </c:pt>
                <c:pt idx="80">
                  <c:v>32.229999999999997</c:v>
                </c:pt>
                <c:pt idx="81">
                  <c:v>32.130000000000003</c:v>
                </c:pt>
                <c:pt idx="82">
                  <c:v>32.39</c:v>
                </c:pt>
                <c:pt idx="83">
                  <c:v>32.4</c:v>
                </c:pt>
                <c:pt idx="84">
                  <c:v>32.33</c:v>
                </c:pt>
                <c:pt idx="85">
                  <c:v>32.53</c:v>
                </c:pt>
                <c:pt idx="86">
                  <c:v>32.44</c:v>
                </c:pt>
                <c:pt idx="87">
                  <c:v>32.07</c:v>
                </c:pt>
                <c:pt idx="88">
                  <c:v>31.92</c:v>
                </c:pt>
                <c:pt idx="89">
                  <c:v>31.81</c:v>
                </c:pt>
                <c:pt idx="90">
                  <c:v>31.64</c:v>
                </c:pt>
                <c:pt idx="91">
                  <c:v>32.380000000000003</c:v>
                </c:pt>
                <c:pt idx="92">
                  <c:v>32.450000000000003</c:v>
                </c:pt>
                <c:pt idx="93">
                  <c:v>31.99</c:v>
                </c:pt>
                <c:pt idx="94">
                  <c:v>29.68</c:v>
                </c:pt>
                <c:pt idx="95">
                  <c:v>29.52</c:v>
                </c:pt>
                <c:pt idx="96">
                  <c:v>29.88</c:v>
                </c:pt>
                <c:pt idx="97">
                  <c:v>30.04</c:v>
                </c:pt>
                <c:pt idx="98">
                  <c:v>29.79</c:v>
                </c:pt>
                <c:pt idx="99">
                  <c:v>29.74</c:v>
                </c:pt>
                <c:pt idx="100">
                  <c:v>29.8</c:v>
                </c:pt>
                <c:pt idx="101">
                  <c:v>29.97</c:v>
                </c:pt>
                <c:pt idx="102">
                  <c:v>29.83</c:v>
                </c:pt>
                <c:pt idx="103">
                  <c:v>30.1</c:v>
                </c:pt>
                <c:pt idx="104">
                  <c:v>30.25</c:v>
                </c:pt>
                <c:pt idx="105">
                  <c:v>30.04</c:v>
                </c:pt>
                <c:pt idx="106">
                  <c:v>29.85</c:v>
                </c:pt>
                <c:pt idx="107">
                  <c:v>29.9</c:v>
                </c:pt>
                <c:pt idx="108">
                  <c:v>29.9</c:v>
                </c:pt>
                <c:pt idx="109">
                  <c:v>29.67</c:v>
                </c:pt>
                <c:pt idx="110">
                  <c:v>29.56</c:v>
                </c:pt>
                <c:pt idx="111">
                  <c:v>29.99</c:v>
                </c:pt>
                <c:pt idx="112">
                  <c:v>29.89</c:v>
                </c:pt>
                <c:pt idx="113">
                  <c:v>29.87</c:v>
                </c:pt>
                <c:pt idx="114">
                  <c:v>29.92</c:v>
                </c:pt>
                <c:pt idx="115">
                  <c:v>30.26</c:v>
                </c:pt>
                <c:pt idx="116">
                  <c:v>30.13</c:v>
                </c:pt>
                <c:pt idx="117">
                  <c:v>30.12</c:v>
                </c:pt>
                <c:pt idx="118">
                  <c:v>30.13</c:v>
                </c:pt>
                <c:pt idx="119">
                  <c:v>30.36</c:v>
                </c:pt>
                <c:pt idx="120">
                  <c:v>30.5</c:v>
                </c:pt>
                <c:pt idx="121">
                  <c:v>30.04</c:v>
                </c:pt>
                <c:pt idx="122">
                  <c:v>30.35</c:v>
                </c:pt>
                <c:pt idx="123">
                  <c:v>29.71</c:v>
                </c:pt>
                <c:pt idx="124">
                  <c:v>29.61</c:v>
                </c:pt>
                <c:pt idx="125">
                  <c:v>29.64</c:v>
                </c:pt>
                <c:pt idx="126">
                  <c:v>29.7</c:v>
                </c:pt>
                <c:pt idx="127">
                  <c:v>29.33</c:v>
                </c:pt>
                <c:pt idx="128">
                  <c:v>29.5</c:v>
                </c:pt>
                <c:pt idx="129">
                  <c:v>29.58</c:v>
                </c:pt>
                <c:pt idx="130">
                  <c:v>29.68</c:v>
                </c:pt>
                <c:pt idx="131">
                  <c:v>29.75</c:v>
                </c:pt>
                <c:pt idx="132">
                  <c:v>29.86</c:v>
                </c:pt>
                <c:pt idx="133">
                  <c:v>30</c:v>
                </c:pt>
                <c:pt idx="134">
                  <c:v>30.08</c:v>
                </c:pt>
                <c:pt idx="135">
                  <c:v>30.09</c:v>
                </c:pt>
                <c:pt idx="136">
                  <c:v>30.46</c:v>
                </c:pt>
                <c:pt idx="137">
                  <c:v>30.42</c:v>
                </c:pt>
                <c:pt idx="138">
                  <c:v>30.4</c:v>
                </c:pt>
                <c:pt idx="139">
                  <c:v>30.42</c:v>
                </c:pt>
                <c:pt idx="140">
                  <c:v>30.67</c:v>
                </c:pt>
                <c:pt idx="141">
                  <c:v>30.23</c:v>
                </c:pt>
                <c:pt idx="142">
                  <c:v>30.14</c:v>
                </c:pt>
                <c:pt idx="143">
                  <c:v>30.1</c:v>
                </c:pt>
                <c:pt idx="144">
                  <c:v>30.03</c:v>
                </c:pt>
                <c:pt idx="145">
                  <c:v>30.22</c:v>
                </c:pt>
                <c:pt idx="146">
                  <c:v>30.1</c:v>
                </c:pt>
                <c:pt idx="147">
                  <c:v>30.13</c:v>
                </c:pt>
                <c:pt idx="148">
                  <c:v>30.36</c:v>
                </c:pt>
                <c:pt idx="149">
                  <c:v>30.4</c:v>
                </c:pt>
                <c:pt idx="150">
                  <c:v>30.24</c:v>
                </c:pt>
                <c:pt idx="151">
                  <c:v>30.19</c:v>
                </c:pt>
                <c:pt idx="152">
                  <c:v>29.6</c:v>
                </c:pt>
                <c:pt idx="153">
                  <c:v>30.05</c:v>
                </c:pt>
                <c:pt idx="154">
                  <c:v>30.4</c:v>
                </c:pt>
                <c:pt idx="155">
                  <c:v>30.64</c:v>
                </c:pt>
                <c:pt idx="156">
                  <c:v>30.88</c:v>
                </c:pt>
                <c:pt idx="157">
                  <c:v>29.64</c:v>
                </c:pt>
                <c:pt idx="158">
                  <c:v>29</c:v>
                </c:pt>
                <c:pt idx="159">
                  <c:v>29.29</c:v>
                </c:pt>
                <c:pt idx="160">
                  <c:v>29.86</c:v>
                </c:pt>
                <c:pt idx="161">
                  <c:v>29.52</c:v>
                </c:pt>
                <c:pt idx="162">
                  <c:v>29.83</c:v>
                </c:pt>
                <c:pt idx="163">
                  <c:v>30.02</c:v>
                </c:pt>
                <c:pt idx="164">
                  <c:v>30.11</c:v>
                </c:pt>
                <c:pt idx="165">
                  <c:v>30.06</c:v>
                </c:pt>
                <c:pt idx="166">
                  <c:v>30.54</c:v>
                </c:pt>
                <c:pt idx="167">
                  <c:v>30.75</c:v>
                </c:pt>
                <c:pt idx="168">
                  <c:v>30.84</c:v>
                </c:pt>
                <c:pt idx="169">
                  <c:v>30.19</c:v>
                </c:pt>
                <c:pt idx="170">
                  <c:v>30.43</c:v>
                </c:pt>
                <c:pt idx="171">
                  <c:v>30.32</c:v>
                </c:pt>
                <c:pt idx="172">
                  <c:v>30.06</c:v>
                </c:pt>
                <c:pt idx="173">
                  <c:v>30.73</c:v>
                </c:pt>
                <c:pt idx="174">
                  <c:v>30.95</c:v>
                </c:pt>
                <c:pt idx="175">
                  <c:v>30.73</c:v>
                </c:pt>
                <c:pt idx="176">
                  <c:v>30.73</c:v>
                </c:pt>
                <c:pt idx="177">
                  <c:v>30.97</c:v>
                </c:pt>
                <c:pt idx="178">
                  <c:v>31.05</c:v>
                </c:pt>
                <c:pt idx="179">
                  <c:v>31.02</c:v>
                </c:pt>
                <c:pt idx="180">
                  <c:v>31.13</c:v>
                </c:pt>
                <c:pt idx="181">
                  <c:v>31.22</c:v>
                </c:pt>
                <c:pt idx="182">
                  <c:v>31.86</c:v>
                </c:pt>
                <c:pt idx="183">
                  <c:v>32.200000000000003</c:v>
                </c:pt>
                <c:pt idx="184">
                  <c:v>32.229999999999997</c:v>
                </c:pt>
                <c:pt idx="185">
                  <c:v>31.97</c:v>
                </c:pt>
                <c:pt idx="186">
                  <c:v>31.84</c:v>
                </c:pt>
                <c:pt idx="187">
                  <c:v>32.11</c:v>
                </c:pt>
                <c:pt idx="188">
                  <c:v>32.22</c:v>
                </c:pt>
                <c:pt idx="189">
                  <c:v>32.32</c:v>
                </c:pt>
                <c:pt idx="190">
                  <c:v>32.200000000000003</c:v>
                </c:pt>
                <c:pt idx="191">
                  <c:v>32.35</c:v>
                </c:pt>
                <c:pt idx="192">
                  <c:v>32.5</c:v>
                </c:pt>
                <c:pt idx="193">
                  <c:v>32.51</c:v>
                </c:pt>
                <c:pt idx="194">
                  <c:v>32.31</c:v>
                </c:pt>
                <c:pt idx="195">
                  <c:v>32.35</c:v>
                </c:pt>
                <c:pt idx="196">
                  <c:v>32.03</c:v>
                </c:pt>
                <c:pt idx="197">
                  <c:v>32.229999999999997</c:v>
                </c:pt>
                <c:pt idx="198">
                  <c:v>32.299999999999997</c:v>
                </c:pt>
                <c:pt idx="199">
                  <c:v>32.36</c:v>
                </c:pt>
                <c:pt idx="200">
                  <c:v>32.31</c:v>
                </c:pt>
                <c:pt idx="201">
                  <c:v>32.5</c:v>
                </c:pt>
                <c:pt idx="202">
                  <c:v>32.979999999999997</c:v>
                </c:pt>
                <c:pt idx="203">
                  <c:v>33.08</c:v>
                </c:pt>
                <c:pt idx="204">
                  <c:v>33.299999999999997</c:v>
                </c:pt>
                <c:pt idx="205">
                  <c:v>33.03</c:v>
                </c:pt>
                <c:pt idx="206">
                  <c:v>33</c:v>
                </c:pt>
                <c:pt idx="207">
                  <c:v>33.159999999999997</c:v>
                </c:pt>
                <c:pt idx="208">
                  <c:v>32.78</c:v>
                </c:pt>
                <c:pt idx="209">
                  <c:v>32.89</c:v>
                </c:pt>
                <c:pt idx="210">
                  <c:v>33.340000000000003</c:v>
                </c:pt>
                <c:pt idx="211">
                  <c:v>32.950000000000003</c:v>
                </c:pt>
                <c:pt idx="212">
                  <c:v>33.200000000000003</c:v>
                </c:pt>
                <c:pt idx="213">
                  <c:v>33.14</c:v>
                </c:pt>
                <c:pt idx="214">
                  <c:v>33.130000000000003</c:v>
                </c:pt>
                <c:pt idx="215">
                  <c:v>33.229999999999997</c:v>
                </c:pt>
                <c:pt idx="216">
                  <c:v>32.79</c:v>
                </c:pt>
                <c:pt idx="217">
                  <c:v>32.729999999999997</c:v>
                </c:pt>
                <c:pt idx="218">
                  <c:v>32.700000000000003</c:v>
                </c:pt>
                <c:pt idx="219">
                  <c:v>32.78</c:v>
                </c:pt>
                <c:pt idx="220">
                  <c:v>32.85</c:v>
                </c:pt>
                <c:pt idx="221">
                  <c:v>34.549999999999997</c:v>
                </c:pt>
                <c:pt idx="222">
                  <c:v>34.57</c:v>
                </c:pt>
                <c:pt idx="223">
                  <c:v>35.15</c:v>
                </c:pt>
                <c:pt idx="224">
                  <c:v>35.299999999999997</c:v>
                </c:pt>
                <c:pt idx="225">
                  <c:v>35.1</c:v>
                </c:pt>
                <c:pt idx="226">
                  <c:v>35.14</c:v>
                </c:pt>
                <c:pt idx="227">
                  <c:v>35.51</c:v>
                </c:pt>
                <c:pt idx="228">
                  <c:v>36.340000000000003</c:v>
                </c:pt>
                <c:pt idx="229">
                  <c:v>36.1</c:v>
                </c:pt>
                <c:pt idx="230">
                  <c:v>35.92</c:v>
                </c:pt>
                <c:pt idx="231">
                  <c:v>36.21</c:v>
                </c:pt>
                <c:pt idx="232">
                  <c:v>36.33</c:v>
                </c:pt>
                <c:pt idx="233">
                  <c:v>35.93</c:v>
                </c:pt>
                <c:pt idx="234">
                  <c:v>36.03</c:v>
                </c:pt>
                <c:pt idx="235">
                  <c:v>36.020000000000003</c:v>
                </c:pt>
                <c:pt idx="236">
                  <c:v>36.22</c:v>
                </c:pt>
                <c:pt idx="237">
                  <c:v>36.56</c:v>
                </c:pt>
                <c:pt idx="238">
                  <c:v>36.51</c:v>
                </c:pt>
                <c:pt idx="239">
                  <c:v>36.74</c:v>
                </c:pt>
                <c:pt idx="240">
                  <c:v>36.5</c:v>
                </c:pt>
                <c:pt idx="241">
                  <c:v>36.78</c:v>
                </c:pt>
                <c:pt idx="242">
                  <c:v>37.06</c:v>
                </c:pt>
                <c:pt idx="243">
                  <c:v>36.880000000000003</c:v>
                </c:pt>
                <c:pt idx="244">
                  <c:v>37.31</c:v>
                </c:pt>
                <c:pt idx="245">
                  <c:v>37.11</c:v>
                </c:pt>
                <c:pt idx="246">
                  <c:v>37.130000000000003</c:v>
                </c:pt>
                <c:pt idx="247">
                  <c:v>37.06</c:v>
                </c:pt>
                <c:pt idx="248">
                  <c:v>37.14</c:v>
                </c:pt>
                <c:pt idx="249">
                  <c:v>37.159999999999997</c:v>
                </c:pt>
                <c:pt idx="250">
                  <c:v>36.880000000000003</c:v>
                </c:pt>
                <c:pt idx="251">
                  <c:v>37.42</c:v>
                </c:pt>
                <c:pt idx="252">
                  <c:v>37.72</c:v>
                </c:pt>
                <c:pt idx="253">
                  <c:v>37.83</c:v>
                </c:pt>
                <c:pt idx="254">
                  <c:v>38.35</c:v>
                </c:pt>
                <c:pt idx="255">
                  <c:v>38.75</c:v>
                </c:pt>
                <c:pt idx="256">
                  <c:v>38.51</c:v>
                </c:pt>
                <c:pt idx="257">
                  <c:v>38.72</c:v>
                </c:pt>
                <c:pt idx="258">
                  <c:v>38.909999999999997</c:v>
                </c:pt>
                <c:pt idx="259">
                  <c:v>39.65</c:v>
                </c:pt>
                <c:pt idx="260">
                  <c:v>39.33</c:v>
                </c:pt>
                <c:pt idx="261">
                  <c:v>39.97</c:v>
                </c:pt>
                <c:pt idx="262">
                  <c:v>40.07</c:v>
                </c:pt>
                <c:pt idx="263">
                  <c:v>40.06</c:v>
                </c:pt>
                <c:pt idx="264">
                  <c:v>40.42</c:v>
                </c:pt>
                <c:pt idx="265">
                  <c:v>40.85</c:v>
                </c:pt>
                <c:pt idx="266">
                  <c:v>40.909999999999997</c:v>
                </c:pt>
                <c:pt idx="267">
                  <c:v>40.65</c:v>
                </c:pt>
                <c:pt idx="268">
                  <c:v>41.29</c:v>
                </c:pt>
                <c:pt idx="269">
                  <c:v>41.57</c:v>
                </c:pt>
                <c:pt idx="270">
                  <c:v>40.99</c:v>
                </c:pt>
                <c:pt idx="271">
                  <c:v>40.299999999999997</c:v>
                </c:pt>
                <c:pt idx="272">
                  <c:v>40.46</c:v>
                </c:pt>
                <c:pt idx="273">
                  <c:v>39.71</c:v>
                </c:pt>
                <c:pt idx="274">
                  <c:v>37.630000000000003</c:v>
                </c:pt>
                <c:pt idx="275">
                  <c:v>38.97</c:v>
                </c:pt>
                <c:pt idx="276">
                  <c:v>39.14</c:v>
                </c:pt>
                <c:pt idx="277">
                  <c:v>37.619999999999997</c:v>
                </c:pt>
                <c:pt idx="278">
                  <c:v>38.35</c:v>
                </c:pt>
                <c:pt idx="279">
                  <c:v>39.39</c:v>
                </c:pt>
                <c:pt idx="280">
                  <c:v>40</c:v>
                </c:pt>
                <c:pt idx="281">
                  <c:v>40.840000000000003</c:v>
                </c:pt>
                <c:pt idx="282">
                  <c:v>42.77</c:v>
                </c:pt>
                <c:pt idx="283">
                  <c:v>43.01</c:v>
                </c:pt>
                <c:pt idx="284">
                  <c:v>42.75</c:v>
                </c:pt>
                <c:pt idx="285">
                  <c:v>42.02</c:v>
                </c:pt>
                <c:pt idx="286">
                  <c:v>41.66</c:v>
                </c:pt>
                <c:pt idx="287">
                  <c:v>42.69</c:v>
                </c:pt>
                <c:pt idx="288">
                  <c:v>44.01</c:v>
                </c:pt>
                <c:pt idx="289">
                  <c:v>43.7</c:v>
                </c:pt>
                <c:pt idx="290">
                  <c:v>43.45</c:v>
                </c:pt>
                <c:pt idx="291">
                  <c:v>42.5</c:v>
                </c:pt>
                <c:pt idx="292">
                  <c:v>42.75</c:v>
                </c:pt>
                <c:pt idx="293">
                  <c:v>43.19</c:v>
                </c:pt>
                <c:pt idx="294">
                  <c:v>42.97</c:v>
                </c:pt>
                <c:pt idx="295">
                  <c:v>42.88</c:v>
                </c:pt>
                <c:pt idx="296">
                  <c:v>43.02</c:v>
                </c:pt>
                <c:pt idx="297">
                  <c:v>44.02</c:v>
                </c:pt>
                <c:pt idx="298">
                  <c:v>44.19</c:v>
                </c:pt>
                <c:pt idx="299">
                  <c:v>43.82</c:v>
                </c:pt>
                <c:pt idx="300">
                  <c:v>43.93</c:v>
                </c:pt>
                <c:pt idx="301">
                  <c:v>43.98</c:v>
                </c:pt>
                <c:pt idx="302">
                  <c:v>43.67</c:v>
                </c:pt>
                <c:pt idx="303">
                  <c:v>42.95</c:v>
                </c:pt>
                <c:pt idx="304">
                  <c:v>43.05</c:v>
                </c:pt>
                <c:pt idx="305">
                  <c:v>42.99</c:v>
                </c:pt>
                <c:pt idx="306">
                  <c:v>41.79</c:v>
                </c:pt>
                <c:pt idx="307">
                  <c:v>41.16</c:v>
                </c:pt>
                <c:pt idx="308">
                  <c:v>42.75</c:v>
                </c:pt>
                <c:pt idx="309">
                  <c:v>41.41</c:v>
                </c:pt>
                <c:pt idx="310">
                  <c:v>40.42</c:v>
                </c:pt>
                <c:pt idx="311">
                  <c:v>41.61</c:v>
                </c:pt>
                <c:pt idx="312">
                  <c:v>39.79</c:v>
                </c:pt>
                <c:pt idx="313">
                  <c:v>40.15</c:v>
                </c:pt>
                <c:pt idx="314">
                  <c:v>40.29</c:v>
                </c:pt>
                <c:pt idx="315">
                  <c:v>40.9</c:v>
                </c:pt>
                <c:pt idx="316">
                  <c:v>39.840000000000003</c:v>
                </c:pt>
                <c:pt idx="317">
                  <c:v>40.270000000000003</c:v>
                </c:pt>
                <c:pt idx="318">
                  <c:v>41.58</c:v>
                </c:pt>
                <c:pt idx="319">
                  <c:v>41.5</c:v>
                </c:pt>
                <c:pt idx="320">
                  <c:v>42.39</c:v>
                </c:pt>
                <c:pt idx="321">
                  <c:v>42.06</c:v>
                </c:pt>
                <c:pt idx="322">
                  <c:v>42.35</c:v>
                </c:pt>
                <c:pt idx="323">
                  <c:v>43.61</c:v>
                </c:pt>
                <c:pt idx="324">
                  <c:v>43.65</c:v>
                </c:pt>
                <c:pt idx="325">
                  <c:v>43.58</c:v>
                </c:pt>
                <c:pt idx="326">
                  <c:v>43.12</c:v>
                </c:pt>
                <c:pt idx="327">
                  <c:v>43.28</c:v>
                </c:pt>
                <c:pt idx="328">
                  <c:v>42.78</c:v>
                </c:pt>
                <c:pt idx="329">
                  <c:v>42.75</c:v>
                </c:pt>
                <c:pt idx="330">
                  <c:v>43.24</c:v>
                </c:pt>
                <c:pt idx="331">
                  <c:v>43.73</c:v>
                </c:pt>
                <c:pt idx="332">
                  <c:v>43.32</c:v>
                </c:pt>
                <c:pt idx="333">
                  <c:v>43.85</c:v>
                </c:pt>
                <c:pt idx="334">
                  <c:v>42.9</c:v>
                </c:pt>
                <c:pt idx="335">
                  <c:v>43.46</c:v>
                </c:pt>
                <c:pt idx="336">
                  <c:v>44.3</c:v>
                </c:pt>
                <c:pt idx="337">
                  <c:v>44.73</c:v>
                </c:pt>
                <c:pt idx="338">
                  <c:v>44.71</c:v>
                </c:pt>
                <c:pt idx="339">
                  <c:v>45.03</c:v>
                </c:pt>
                <c:pt idx="340">
                  <c:v>45.28</c:v>
                </c:pt>
                <c:pt idx="341">
                  <c:v>44.92</c:v>
                </c:pt>
                <c:pt idx="342">
                  <c:v>44.7</c:v>
                </c:pt>
                <c:pt idx="343">
                  <c:v>44.48</c:v>
                </c:pt>
                <c:pt idx="344">
                  <c:v>44.17</c:v>
                </c:pt>
                <c:pt idx="345">
                  <c:v>42.51</c:v>
                </c:pt>
                <c:pt idx="346">
                  <c:v>42.26</c:v>
                </c:pt>
                <c:pt idx="347">
                  <c:v>42.79</c:v>
                </c:pt>
                <c:pt idx="348">
                  <c:v>42.69</c:v>
                </c:pt>
                <c:pt idx="349">
                  <c:v>42.72</c:v>
                </c:pt>
                <c:pt idx="350">
                  <c:v>42.61</c:v>
                </c:pt>
                <c:pt idx="351">
                  <c:v>42.31</c:v>
                </c:pt>
                <c:pt idx="352">
                  <c:v>42.03</c:v>
                </c:pt>
                <c:pt idx="353">
                  <c:v>41.91</c:v>
                </c:pt>
                <c:pt idx="354">
                  <c:v>41.77</c:v>
                </c:pt>
                <c:pt idx="355">
                  <c:v>42.7</c:v>
                </c:pt>
                <c:pt idx="356">
                  <c:v>42.62</c:v>
                </c:pt>
                <c:pt idx="357">
                  <c:v>42.71</c:v>
                </c:pt>
                <c:pt idx="358">
                  <c:v>43.29</c:v>
                </c:pt>
                <c:pt idx="359">
                  <c:v>42.69</c:v>
                </c:pt>
                <c:pt idx="360">
                  <c:v>42.52</c:v>
                </c:pt>
                <c:pt idx="361">
                  <c:v>42.73</c:v>
                </c:pt>
                <c:pt idx="362">
                  <c:v>42.97</c:v>
                </c:pt>
                <c:pt idx="363">
                  <c:v>43.04</c:v>
                </c:pt>
                <c:pt idx="364">
                  <c:v>43.71</c:v>
                </c:pt>
                <c:pt idx="365">
                  <c:v>43.28</c:v>
                </c:pt>
                <c:pt idx="366">
                  <c:v>43.24</c:v>
                </c:pt>
                <c:pt idx="367">
                  <c:v>42.86</c:v>
                </c:pt>
                <c:pt idx="368">
                  <c:v>42.78</c:v>
                </c:pt>
                <c:pt idx="369">
                  <c:v>42.21</c:v>
                </c:pt>
                <c:pt idx="370">
                  <c:v>42.25</c:v>
                </c:pt>
                <c:pt idx="371">
                  <c:v>41.36</c:v>
                </c:pt>
                <c:pt idx="372">
                  <c:v>41.62</c:v>
                </c:pt>
                <c:pt idx="373">
                  <c:v>41.4</c:v>
                </c:pt>
                <c:pt idx="374">
                  <c:v>42</c:v>
                </c:pt>
                <c:pt idx="375">
                  <c:v>42.08</c:v>
                </c:pt>
                <c:pt idx="376">
                  <c:v>41.87</c:v>
                </c:pt>
                <c:pt idx="377">
                  <c:v>41.73</c:v>
                </c:pt>
                <c:pt idx="378">
                  <c:v>41.95</c:v>
                </c:pt>
                <c:pt idx="379">
                  <c:v>42.1</c:v>
                </c:pt>
                <c:pt idx="380">
                  <c:v>42.06</c:v>
                </c:pt>
                <c:pt idx="381">
                  <c:v>42.25</c:v>
                </c:pt>
                <c:pt idx="382">
                  <c:v>41.96</c:v>
                </c:pt>
                <c:pt idx="383">
                  <c:v>42.95</c:v>
                </c:pt>
                <c:pt idx="384">
                  <c:v>41.18</c:v>
                </c:pt>
                <c:pt idx="385">
                  <c:v>41.89</c:v>
                </c:pt>
                <c:pt idx="386">
                  <c:v>41.73</c:v>
                </c:pt>
                <c:pt idx="387">
                  <c:v>41.6</c:v>
                </c:pt>
                <c:pt idx="388">
                  <c:v>41.79</c:v>
                </c:pt>
                <c:pt idx="389">
                  <c:v>41.41</c:v>
                </c:pt>
                <c:pt idx="390">
                  <c:v>41.46</c:v>
                </c:pt>
                <c:pt idx="391">
                  <c:v>41.78</c:v>
                </c:pt>
                <c:pt idx="392">
                  <c:v>42.54</c:v>
                </c:pt>
                <c:pt idx="393">
                  <c:v>42.91</c:v>
                </c:pt>
                <c:pt idx="394">
                  <c:v>41.96</c:v>
                </c:pt>
                <c:pt idx="395">
                  <c:v>41.57</c:v>
                </c:pt>
                <c:pt idx="396">
                  <c:v>41.68</c:v>
                </c:pt>
                <c:pt idx="397">
                  <c:v>41.26</c:v>
                </c:pt>
                <c:pt idx="398">
                  <c:v>41.92</c:v>
                </c:pt>
                <c:pt idx="399">
                  <c:v>42.22</c:v>
                </c:pt>
                <c:pt idx="400">
                  <c:v>42.68</c:v>
                </c:pt>
                <c:pt idx="401">
                  <c:v>42.95</c:v>
                </c:pt>
                <c:pt idx="402">
                  <c:v>43.21</c:v>
                </c:pt>
                <c:pt idx="403">
                  <c:v>43.15</c:v>
                </c:pt>
                <c:pt idx="404">
                  <c:v>43.15</c:v>
                </c:pt>
                <c:pt idx="405">
                  <c:v>43.12</c:v>
                </c:pt>
                <c:pt idx="406">
                  <c:v>43.37</c:v>
                </c:pt>
                <c:pt idx="407">
                  <c:v>43.23</c:v>
                </c:pt>
                <c:pt idx="408">
                  <c:v>44.51</c:v>
                </c:pt>
                <c:pt idx="409">
                  <c:v>45.21</c:v>
                </c:pt>
                <c:pt idx="410">
                  <c:v>45.56</c:v>
                </c:pt>
                <c:pt idx="411">
                  <c:v>45.12</c:v>
                </c:pt>
                <c:pt idx="412">
                  <c:v>45.33</c:v>
                </c:pt>
                <c:pt idx="413">
                  <c:v>45.36</c:v>
                </c:pt>
                <c:pt idx="414">
                  <c:v>45.66</c:v>
                </c:pt>
                <c:pt idx="415">
                  <c:v>45.92</c:v>
                </c:pt>
                <c:pt idx="416">
                  <c:v>46.28</c:v>
                </c:pt>
                <c:pt idx="417">
                  <c:v>46.8</c:v>
                </c:pt>
                <c:pt idx="418">
                  <c:v>46.47</c:v>
                </c:pt>
                <c:pt idx="419">
                  <c:v>47.08</c:v>
                </c:pt>
                <c:pt idx="420">
                  <c:v>47.05</c:v>
                </c:pt>
                <c:pt idx="421">
                  <c:v>46.59</c:v>
                </c:pt>
                <c:pt idx="422">
                  <c:v>46.6</c:v>
                </c:pt>
                <c:pt idx="423">
                  <c:v>46.38</c:v>
                </c:pt>
                <c:pt idx="424">
                  <c:v>46.39</c:v>
                </c:pt>
                <c:pt idx="425">
                  <c:v>46.36</c:v>
                </c:pt>
                <c:pt idx="426">
                  <c:v>46.22</c:v>
                </c:pt>
                <c:pt idx="427">
                  <c:v>46.56</c:v>
                </c:pt>
                <c:pt idx="428">
                  <c:v>46.72</c:v>
                </c:pt>
                <c:pt idx="429">
                  <c:v>46.43</c:v>
                </c:pt>
                <c:pt idx="430">
                  <c:v>46.78</c:v>
                </c:pt>
                <c:pt idx="431">
                  <c:v>46.6</c:v>
                </c:pt>
                <c:pt idx="432">
                  <c:v>47.05</c:v>
                </c:pt>
                <c:pt idx="433">
                  <c:v>47.86</c:v>
                </c:pt>
                <c:pt idx="434">
                  <c:v>47.75</c:v>
                </c:pt>
                <c:pt idx="435">
                  <c:v>47.77</c:v>
                </c:pt>
                <c:pt idx="436">
                  <c:v>47.72</c:v>
                </c:pt>
                <c:pt idx="437">
                  <c:v>47.64</c:v>
                </c:pt>
                <c:pt idx="438">
                  <c:v>47.95</c:v>
                </c:pt>
                <c:pt idx="439">
                  <c:v>48.17</c:v>
                </c:pt>
                <c:pt idx="440">
                  <c:v>48.31</c:v>
                </c:pt>
                <c:pt idx="441">
                  <c:v>48.44</c:v>
                </c:pt>
                <c:pt idx="442">
                  <c:v>48.01</c:v>
                </c:pt>
                <c:pt idx="443">
                  <c:v>47.76</c:v>
                </c:pt>
                <c:pt idx="444">
                  <c:v>47.15</c:v>
                </c:pt>
                <c:pt idx="445">
                  <c:v>47.13</c:v>
                </c:pt>
                <c:pt idx="446">
                  <c:v>45.28</c:v>
                </c:pt>
                <c:pt idx="447">
                  <c:v>43.78</c:v>
                </c:pt>
                <c:pt idx="448">
                  <c:v>45.36</c:v>
                </c:pt>
                <c:pt idx="449">
                  <c:v>44.33</c:v>
                </c:pt>
                <c:pt idx="450">
                  <c:v>45.47</c:v>
                </c:pt>
                <c:pt idx="451">
                  <c:v>45.59</c:v>
                </c:pt>
                <c:pt idx="452">
                  <c:v>45.11</c:v>
                </c:pt>
                <c:pt idx="453">
                  <c:v>44.99</c:v>
                </c:pt>
                <c:pt idx="454">
                  <c:v>45.41</c:v>
                </c:pt>
                <c:pt idx="455">
                  <c:v>45.07</c:v>
                </c:pt>
                <c:pt idx="456">
                  <c:v>43.73</c:v>
                </c:pt>
                <c:pt idx="457">
                  <c:v>45.12</c:v>
                </c:pt>
                <c:pt idx="458">
                  <c:v>43.91</c:v>
                </c:pt>
                <c:pt idx="459">
                  <c:v>43.5</c:v>
                </c:pt>
                <c:pt idx="460">
                  <c:v>44.24</c:v>
                </c:pt>
                <c:pt idx="461">
                  <c:v>45.4</c:v>
                </c:pt>
                <c:pt idx="462">
                  <c:v>45.3</c:v>
                </c:pt>
                <c:pt idx="463">
                  <c:v>45.13</c:v>
                </c:pt>
                <c:pt idx="464">
                  <c:v>45.79</c:v>
                </c:pt>
                <c:pt idx="465">
                  <c:v>46.14</c:v>
                </c:pt>
                <c:pt idx="466">
                  <c:v>47.53</c:v>
                </c:pt>
                <c:pt idx="467">
                  <c:v>48.07</c:v>
                </c:pt>
                <c:pt idx="468">
                  <c:v>46.75</c:v>
                </c:pt>
                <c:pt idx="469">
                  <c:v>45.27</c:v>
                </c:pt>
                <c:pt idx="470">
                  <c:v>44.77</c:v>
                </c:pt>
                <c:pt idx="471">
                  <c:v>43.99</c:v>
                </c:pt>
                <c:pt idx="472">
                  <c:v>46.41</c:v>
                </c:pt>
                <c:pt idx="473">
                  <c:v>45.99</c:v>
                </c:pt>
                <c:pt idx="474">
                  <c:v>45.4</c:v>
                </c:pt>
                <c:pt idx="475">
                  <c:v>44.15</c:v>
                </c:pt>
                <c:pt idx="476">
                  <c:v>44.55</c:v>
                </c:pt>
                <c:pt idx="477">
                  <c:v>44.2</c:v>
                </c:pt>
                <c:pt idx="478">
                  <c:v>45.22</c:v>
                </c:pt>
                <c:pt idx="479">
                  <c:v>45.77</c:v>
                </c:pt>
                <c:pt idx="480">
                  <c:v>46.93</c:v>
                </c:pt>
                <c:pt idx="481">
                  <c:v>46.98</c:v>
                </c:pt>
                <c:pt idx="482">
                  <c:v>47.5</c:v>
                </c:pt>
                <c:pt idx="483">
                  <c:v>48.37</c:v>
                </c:pt>
                <c:pt idx="484">
                  <c:v>46.99</c:v>
                </c:pt>
                <c:pt idx="485">
                  <c:v>48.02</c:v>
                </c:pt>
                <c:pt idx="486">
                  <c:v>46.08</c:v>
                </c:pt>
                <c:pt idx="487">
                  <c:v>46.5</c:v>
                </c:pt>
                <c:pt idx="488">
                  <c:v>46.73</c:v>
                </c:pt>
                <c:pt idx="489">
                  <c:v>47.06</c:v>
                </c:pt>
                <c:pt idx="490">
                  <c:v>47.11</c:v>
                </c:pt>
                <c:pt idx="491">
                  <c:v>45.47</c:v>
                </c:pt>
                <c:pt idx="492">
                  <c:v>43.86</c:v>
                </c:pt>
                <c:pt idx="493">
                  <c:v>43.72</c:v>
                </c:pt>
                <c:pt idx="494">
                  <c:v>42.81</c:v>
                </c:pt>
                <c:pt idx="495">
                  <c:v>42.16</c:v>
                </c:pt>
                <c:pt idx="496">
                  <c:v>41.53</c:v>
                </c:pt>
                <c:pt idx="497">
                  <c:v>39.97</c:v>
                </c:pt>
                <c:pt idx="498">
                  <c:v>42.14</c:v>
                </c:pt>
                <c:pt idx="499">
                  <c:v>42.58</c:v>
                </c:pt>
                <c:pt idx="500">
                  <c:v>42.44</c:v>
                </c:pt>
                <c:pt idx="501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88-4627-A9B5-13E947E20CD9}"/>
            </c:ext>
          </c:extLst>
        </c:ser>
        <c:ser>
          <c:idx val="5"/>
          <c:order val="5"/>
          <c:tx>
            <c:strRef>
              <c:f>wide_company_closes_reorder!$G$1</c:f>
              <c:strCache>
                <c:ptCount val="1"/>
                <c:pt idx="0">
                  <c:v>CVX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wide_company_closes_reorder!$G$2:$G$503</c:f>
              <c:numCache>
                <c:formatCode>General</c:formatCode>
                <c:ptCount val="502"/>
                <c:pt idx="0">
                  <c:v>108.05</c:v>
                </c:pt>
                <c:pt idx="1">
                  <c:v>108.02</c:v>
                </c:pt>
                <c:pt idx="2">
                  <c:v>107.55</c:v>
                </c:pt>
                <c:pt idx="3">
                  <c:v>107.12</c:v>
                </c:pt>
                <c:pt idx="4">
                  <c:v>106.21</c:v>
                </c:pt>
                <c:pt idx="5">
                  <c:v>105.4</c:v>
                </c:pt>
                <c:pt idx="6">
                  <c:v>106.29</c:v>
                </c:pt>
                <c:pt idx="7">
                  <c:v>106.5</c:v>
                </c:pt>
                <c:pt idx="8">
                  <c:v>106.7</c:v>
                </c:pt>
                <c:pt idx="9">
                  <c:v>106.61</c:v>
                </c:pt>
                <c:pt idx="10">
                  <c:v>106.3</c:v>
                </c:pt>
                <c:pt idx="11">
                  <c:v>105.97</c:v>
                </c:pt>
                <c:pt idx="12">
                  <c:v>105.99</c:v>
                </c:pt>
                <c:pt idx="13">
                  <c:v>105.79</c:v>
                </c:pt>
                <c:pt idx="14">
                  <c:v>106.69</c:v>
                </c:pt>
                <c:pt idx="15">
                  <c:v>107.49</c:v>
                </c:pt>
                <c:pt idx="16">
                  <c:v>106.86</c:v>
                </c:pt>
                <c:pt idx="17">
                  <c:v>104.33</c:v>
                </c:pt>
                <c:pt idx="18">
                  <c:v>102.52</c:v>
                </c:pt>
                <c:pt idx="19">
                  <c:v>102.09</c:v>
                </c:pt>
                <c:pt idx="20">
                  <c:v>101.77</c:v>
                </c:pt>
                <c:pt idx="21">
                  <c:v>102.88</c:v>
                </c:pt>
                <c:pt idx="22">
                  <c:v>104.13</c:v>
                </c:pt>
                <c:pt idx="23">
                  <c:v>103.58</c:v>
                </c:pt>
                <c:pt idx="24">
                  <c:v>102.13</c:v>
                </c:pt>
                <c:pt idx="25">
                  <c:v>102.3</c:v>
                </c:pt>
                <c:pt idx="26">
                  <c:v>102.92</c:v>
                </c:pt>
                <c:pt idx="27">
                  <c:v>103.65</c:v>
                </c:pt>
                <c:pt idx="28">
                  <c:v>104.44</c:v>
                </c:pt>
                <c:pt idx="29">
                  <c:v>104.15</c:v>
                </c:pt>
                <c:pt idx="30">
                  <c:v>104.2</c:v>
                </c:pt>
                <c:pt idx="31">
                  <c:v>102.45</c:v>
                </c:pt>
                <c:pt idx="32">
                  <c:v>102.12</c:v>
                </c:pt>
                <c:pt idx="33">
                  <c:v>103.41</c:v>
                </c:pt>
                <c:pt idx="34">
                  <c:v>102.17</c:v>
                </c:pt>
                <c:pt idx="35">
                  <c:v>102.76</c:v>
                </c:pt>
                <c:pt idx="36">
                  <c:v>101.93</c:v>
                </c:pt>
                <c:pt idx="37">
                  <c:v>103.44</c:v>
                </c:pt>
                <c:pt idx="38">
                  <c:v>104.13</c:v>
                </c:pt>
                <c:pt idx="39">
                  <c:v>105.41</c:v>
                </c:pt>
                <c:pt idx="40">
                  <c:v>104.93</c:v>
                </c:pt>
                <c:pt idx="41">
                  <c:v>105.1</c:v>
                </c:pt>
                <c:pt idx="42">
                  <c:v>104.75</c:v>
                </c:pt>
                <c:pt idx="43">
                  <c:v>103.49</c:v>
                </c:pt>
                <c:pt idx="44">
                  <c:v>101.46</c:v>
                </c:pt>
                <c:pt idx="45">
                  <c:v>101.86</c:v>
                </c:pt>
                <c:pt idx="46">
                  <c:v>102.38</c:v>
                </c:pt>
                <c:pt idx="47">
                  <c:v>101.22</c:v>
                </c:pt>
                <c:pt idx="48">
                  <c:v>99.37</c:v>
                </c:pt>
                <c:pt idx="49">
                  <c:v>100.78</c:v>
                </c:pt>
                <c:pt idx="50">
                  <c:v>99.84</c:v>
                </c:pt>
                <c:pt idx="51">
                  <c:v>99.67</c:v>
                </c:pt>
                <c:pt idx="52">
                  <c:v>99.65</c:v>
                </c:pt>
                <c:pt idx="53">
                  <c:v>100</c:v>
                </c:pt>
                <c:pt idx="54">
                  <c:v>100.33</c:v>
                </c:pt>
                <c:pt idx="55">
                  <c:v>99.85</c:v>
                </c:pt>
                <c:pt idx="56">
                  <c:v>99.96</c:v>
                </c:pt>
                <c:pt idx="57">
                  <c:v>98.37</c:v>
                </c:pt>
                <c:pt idx="58">
                  <c:v>99.2</c:v>
                </c:pt>
                <c:pt idx="59">
                  <c:v>100.03</c:v>
                </c:pt>
                <c:pt idx="60">
                  <c:v>99.76</c:v>
                </c:pt>
                <c:pt idx="61">
                  <c:v>99.38</c:v>
                </c:pt>
                <c:pt idx="62">
                  <c:v>99.78</c:v>
                </c:pt>
                <c:pt idx="63">
                  <c:v>100.58</c:v>
                </c:pt>
                <c:pt idx="64">
                  <c:v>100.56</c:v>
                </c:pt>
                <c:pt idx="65">
                  <c:v>101.16</c:v>
                </c:pt>
                <c:pt idx="66">
                  <c:v>100.76</c:v>
                </c:pt>
                <c:pt idx="67">
                  <c:v>101.29</c:v>
                </c:pt>
                <c:pt idx="68">
                  <c:v>100.86</c:v>
                </c:pt>
                <c:pt idx="69">
                  <c:v>100.86</c:v>
                </c:pt>
                <c:pt idx="70">
                  <c:v>98.21</c:v>
                </c:pt>
                <c:pt idx="71">
                  <c:v>98.27</c:v>
                </c:pt>
                <c:pt idx="72">
                  <c:v>97.82</c:v>
                </c:pt>
                <c:pt idx="73">
                  <c:v>96.48</c:v>
                </c:pt>
                <c:pt idx="74">
                  <c:v>97.08</c:v>
                </c:pt>
                <c:pt idx="75">
                  <c:v>97.09</c:v>
                </c:pt>
                <c:pt idx="76">
                  <c:v>98.05</c:v>
                </c:pt>
                <c:pt idx="77">
                  <c:v>98.79</c:v>
                </c:pt>
                <c:pt idx="78">
                  <c:v>98.19</c:v>
                </c:pt>
                <c:pt idx="79">
                  <c:v>97.63</c:v>
                </c:pt>
                <c:pt idx="80">
                  <c:v>98.76</c:v>
                </c:pt>
                <c:pt idx="81">
                  <c:v>98.04</c:v>
                </c:pt>
                <c:pt idx="82">
                  <c:v>97.52</c:v>
                </c:pt>
                <c:pt idx="83">
                  <c:v>98.78</c:v>
                </c:pt>
                <c:pt idx="84">
                  <c:v>97.01</c:v>
                </c:pt>
                <c:pt idx="85">
                  <c:v>97.92</c:v>
                </c:pt>
                <c:pt idx="86">
                  <c:v>98.75</c:v>
                </c:pt>
                <c:pt idx="87">
                  <c:v>97.26</c:v>
                </c:pt>
                <c:pt idx="88">
                  <c:v>98.58</c:v>
                </c:pt>
                <c:pt idx="89">
                  <c:v>98.31</c:v>
                </c:pt>
                <c:pt idx="90">
                  <c:v>98.08</c:v>
                </c:pt>
                <c:pt idx="91">
                  <c:v>98.9</c:v>
                </c:pt>
                <c:pt idx="92">
                  <c:v>99.27</c:v>
                </c:pt>
                <c:pt idx="93">
                  <c:v>97.9</c:v>
                </c:pt>
                <c:pt idx="94">
                  <c:v>98.34</c:v>
                </c:pt>
                <c:pt idx="95">
                  <c:v>99.6</c:v>
                </c:pt>
                <c:pt idx="96">
                  <c:v>99.23</c:v>
                </c:pt>
                <c:pt idx="97">
                  <c:v>99.37</c:v>
                </c:pt>
                <c:pt idx="98">
                  <c:v>99.32</c:v>
                </c:pt>
                <c:pt idx="99">
                  <c:v>98.28</c:v>
                </c:pt>
                <c:pt idx="100">
                  <c:v>97.92</c:v>
                </c:pt>
                <c:pt idx="101">
                  <c:v>97.3</c:v>
                </c:pt>
                <c:pt idx="102">
                  <c:v>96.76</c:v>
                </c:pt>
                <c:pt idx="103">
                  <c:v>97.5</c:v>
                </c:pt>
                <c:pt idx="104">
                  <c:v>96.41</c:v>
                </c:pt>
                <c:pt idx="105">
                  <c:v>96.49</c:v>
                </c:pt>
                <c:pt idx="106">
                  <c:v>97.4</c:v>
                </c:pt>
                <c:pt idx="107">
                  <c:v>97.03</c:v>
                </c:pt>
                <c:pt idx="108">
                  <c:v>97.24</c:v>
                </c:pt>
                <c:pt idx="109">
                  <c:v>99.49</c:v>
                </c:pt>
                <c:pt idx="110">
                  <c:v>101.02</c:v>
                </c:pt>
                <c:pt idx="111">
                  <c:v>101.11</c:v>
                </c:pt>
                <c:pt idx="112">
                  <c:v>99.67</c:v>
                </c:pt>
                <c:pt idx="113">
                  <c:v>99.42</c:v>
                </c:pt>
                <c:pt idx="114">
                  <c:v>101.31</c:v>
                </c:pt>
                <c:pt idx="115">
                  <c:v>100.48</c:v>
                </c:pt>
                <c:pt idx="116">
                  <c:v>99.56</c:v>
                </c:pt>
                <c:pt idx="117">
                  <c:v>97.7</c:v>
                </c:pt>
                <c:pt idx="118">
                  <c:v>97.66</c:v>
                </c:pt>
                <c:pt idx="119">
                  <c:v>98.18</c:v>
                </c:pt>
                <c:pt idx="120">
                  <c:v>97.37</c:v>
                </c:pt>
                <c:pt idx="121">
                  <c:v>97.31</c:v>
                </c:pt>
                <c:pt idx="122">
                  <c:v>97.51</c:v>
                </c:pt>
                <c:pt idx="123">
                  <c:v>97.36</c:v>
                </c:pt>
                <c:pt idx="124">
                  <c:v>97.55</c:v>
                </c:pt>
                <c:pt idx="125">
                  <c:v>99.39</c:v>
                </c:pt>
                <c:pt idx="126">
                  <c:v>97.82</c:v>
                </c:pt>
                <c:pt idx="127">
                  <c:v>97.08</c:v>
                </c:pt>
                <c:pt idx="128">
                  <c:v>96.77</c:v>
                </c:pt>
                <c:pt idx="129">
                  <c:v>96.35</c:v>
                </c:pt>
                <c:pt idx="130">
                  <c:v>96.42</c:v>
                </c:pt>
                <c:pt idx="131">
                  <c:v>97.14</c:v>
                </c:pt>
                <c:pt idx="132">
                  <c:v>97.37</c:v>
                </c:pt>
                <c:pt idx="133">
                  <c:v>97.66</c:v>
                </c:pt>
                <c:pt idx="134">
                  <c:v>97.44</c:v>
                </c:pt>
                <c:pt idx="135">
                  <c:v>96.98</c:v>
                </c:pt>
                <c:pt idx="136">
                  <c:v>97.67</c:v>
                </c:pt>
                <c:pt idx="137">
                  <c:v>97.83</c:v>
                </c:pt>
                <c:pt idx="138">
                  <c:v>96.54</c:v>
                </c:pt>
                <c:pt idx="139">
                  <c:v>96.5</c:v>
                </c:pt>
                <c:pt idx="140">
                  <c:v>97.61</c:v>
                </c:pt>
                <c:pt idx="141">
                  <c:v>98.29</c:v>
                </c:pt>
                <c:pt idx="142">
                  <c:v>99.22</c:v>
                </c:pt>
                <c:pt idx="143">
                  <c:v>101.1</c:v>
                </c:pt>
                <c:pt idx="144">
                  <c:v>102.1</c:v>
                </c:pt>
                <c:pt idx="145">
                  <c:v>103.58</c:v>
                </c:pt>
                <c:pt idx="146">
                  <c:v>103.28</c:v>
                </c:pt>
                <c:pt idx="147">
                  <c:v>102.32</c:v>
                </c:pt>
                <c:pt idx="148">
                  <c:v>102.96</c:v>
                </c:pt>
                <c:pt idx="149">
                  <c:v>102.65</c:v>
                </c:pt>
                <c:pt idx="150">
                  <c:v>103.18</c:v>
                </c:pt>
                <c:pt idx="151">
                  <c:v>103.69</c:v>
                </c:pt>
                <c:pt idx="152">
                  <c:v>102.96</c:v>
                </c:pt>
                <c:pt idx="153">
                  <c:v>102.13</c:v>
                </c:pt>
                <c:pt idx="154">
                  <c:v>101.65</c:v>
                </c:pt>
                <c:pt idx="155">
                  <c:v>101.52</c:v>
                </c:pt>
                <c:pt idx="156">
                  <c:v>100.9</c:v>
                </c:pt>
                <c:pt idx="157">
                  <c:v>100.03</c:v>
                </c:pt>
                <c:pt idx="158">
                  <c:v>100.56</c:v>
                </c:pt>
                <c:pt idx="159">
                  <c:v>99.9</c:v>
                </c:pt>
                <c:pt idx="160">
                  <c:v>100.45</c:v>
                </c:pt>
                <c:pt idx="161">
                  <c:v>100.69</c:v>
                </c:pt>
                <c:pt idx="162">
                  <c:v>101.47</c:v>
                </c:pt>
                <c:pt idx="163">
                  <c:v>102.22</c:v>
                </c:pt>
                <c:pt idx="164">
                  <c:v>101.77</c:v>
                </c:pt>
                <c:pt idx="165">
                  <c:v>101.87</c:v>
                </c:pt>
                <c:pt idx="166">
                  <c:v>101.74</c:v>
                </c:pt>
                <c:pt idx="167">
                  <c:v>101.64</c:v>
                </c:pt>
                <c:pt idx="168">
                  <c:v>102.72</c:v>
                </c:pt>
                <c:pt idx="169">
                  <c:v>103.36</c:v>
                </c:pt>
                <c:pt idx="170">
                  <c:v>105.58</c:v>
                </c:pt>
                <c:pt idx="171">
                  <c:v>105.59</c:v>
                </c:pt>
                <c:pt idx="172">
                  <c:v>104.62</c:v>
                </c:pt>
                <c:pt idx="173">
                  <c:v>106.27</c:v>
                </c:pt>
                <c:pt idx="174">
                  <c:v>106.24</c:v>
                </c:pt>
                <c:pt idx="175">
                  <c:v>107.83</c:v>
                </c:pt>
                <c:pt idx="176">
                  <c:v>108.09</c:v>
                </c:pt>
                <c:pt idx="177">
                  <c:v>108.26</c:v>
                </c:pt>
                <c:pt idx="178">
                  <c:v>108.79</c:v>
                </c:pt>
                <c:pt idx="179">
                  <c:v>109.87</c:v>
                </c:pt>
                <c:pt idx="180">
                  <c:v>109.9</c:v>
                </c:pt>
                <c:pt idx="181">
                  <c:v>110</c:v>
                </c:pt>
                <c:pt idx="182">
                  <c:v>110.77</c:v>
                </c:pt>
                <c:pt idx="183">
                  <c:v>111.43</c:v>
                </c:pt>
                <c:pt idx="184">
                  <c:v>110.99</c:v>
                </c:pt>
                <c:pt idx="185">
                  <c:v>110.92</c:v>
                </c:pt>
                <c:pt idx="186">
                  <c:v>111.08</c:v>
                </c:pt>
                <c:pt idx="187">
                  <c:v>110.97</c:v>
                </c:pt>
                <c:pt idx="188">
                  <c:v>110.9</c:v>
                </c:pt>
                <c:pt idx="189">
                  <c:v>111.27</c:v>
                </c:pt>
                <c:pt idx="190">
                  <c:v>111.05</c:v>
                </c:pt>
                <c:pt idx="191">
                  <c:v>111.99</c:v>
                </c:pt>
                <c:pt idx="192">
                  <c:v>110.53</c:v>
                </c:pt>
                <c:pt idx="193">
                  <c:v>111.17</c:v>
                </c:pt>
                <c:pt idx="194">
                  <c:v>112.2</c:v>
                </c:pt>
                <c:pt idx="195">
                  <c:v>112.7</c:v>
                </c:pt>
                <c:pt idx="196">
                  <c:v>112.52</c:v>
                </c:pt>
                <c:pt idx="197">
                  <c:v>112.54</c:v>
                </c:pt>
                <c:pt idx="198">
                  <c:v>113.45</c:v>
                </c:pt>
                <c:pt idx="199">
                  <c:v>113.54</c:v>
                </c:pt>
                <c:pt idx="200">
                  <c:v>111.58</c:v>
                </c:pt>
                <c:pt idx="201">
                  <c:v>111.63</c:v>
                </c:pt>
                <c:pt idx="202">
                  <c:v>112.05</c:v>
                </c:pt>
                <c:pt idx="203">
                  <c:v>112.32</c:v>
                </c:pt>
                <c:pt idx="204">
                  <c:v>112.6</c:v>
                </c:pt>
                <c:pt idx="205">
                  <c:v>111.86</c:v>
                </c:pt>
                <c:pt idx="206">
                  <c:v>111.86</c:v>
                </c:pt>
                <c:pt idx="207">
                  <c:v>107.23</c:v>
                </c:pt>
                <c:pt idx="208">
                  <c:v>108.03</c:v>
                </c:pt>
                <c:pt idx="209">
                  <c:v>109.45</c:v>
                </c:pt>
                <c:pt idx="210">
                  <c:v>109.46</c:v>
                </c:pt>
                <c:pt idx="211">
                  <c:v>108.92</c:v>
                </c:pt>
                <c:pt idx="212">
                  <c:v>108.6</c:v>
                </c:pt>
                <c:pt idx="213">
                  <c:v>110.54</c:v>
                </c:pt>
                <c:pt idx="214">
                  <c:v>110.72</c:v>
                </c:pt>
                <c:pt idx="215">
                  <c:v>110.19</c:v>
                </c:pt>
                <c:pt idx="216">
                  <c:v>110.72</c:v>
                </c:pt>
                <c:pt idx="217">
                  <c:v>110.67</c:v>
                </c:pt>
                <c:pt idx="218">
                  <c:v>110.72</c:v>
                </c:pt>
                <c:pt idx="219">
                  <c:v>110.42</c:v>
                </c:pt>
                <c:pt idx="220">
                  <c:v>109.98</c:v>
                </c:pt>
                <c:pt idx="221">
                  <c:v>109.22</c:v>
                </c:pt>
                <c:pt idx="222">
                  <c:v>109.35</c:v>
                </c:pt>
                <c:pt idx="223">
                  <c:v>109.36</c:v>
                </c:pt>
                <c:pt idx="224">
                  <c:v>109.79</c:v>
                </c:pt>
                <c:pt idx="225">
                  <c:v>110.49</c:v>
                </c:pt>
                <c:pt idx="226">
                  <c:v>111.07</c:v>
                </c:pt>
                <c:pt idx="227">
                  <c:v>110.19</c:v>
                </c:pt>
                <c:pt idx="228">
                  <c:v>111.01</c:v>
                </c:pt>
                <c:pt idx="229">
                  <c:v>111.7</c:v>
                </c:pt>
                <c:pt idx="230">
                  <c:v>113.43</c:v>
                </c:pt>
                <c:pt idx="231">
                  <c:v>113.93</c:v>
                </c:pt>
                <c:pt idx="232">
                  <c:v>115.19</c:v>
                </c:pt>
                <c:pt idx="233">
                  <c:v>114.76</c:v>
                </c:pt>
                <c:pt idx="234">
                  <c:v>114.02</c:v>
                </c:pt>
                <c:pt idx="235">
                  <c:v>114.04</c:v>
                </c:pt>
                <c:pt idx="236">
                  <c:v>114.32</c:v>
                </c:pt>
                <c:pt idx="237">
                  <c:v>114.79</c:v>
                </c:pt>
                <c:pt idx="238">
                  <c:v>114.09</c:v>
                </c:pt>
                <c:pt idx="239">
                  <c:v>114.33</c:v>
                </c:pt>
                <c:pt idx="240">
                  <c:v>113.94</c:v>
                </c:pt>
                <c:pt idx="241">
                  <c:v>114.14</c:v>
                </c:pt>
                <c:pt idx="242">
                  <c:v>114.11</c:v>
                </c:pt>
                <c:pt idx="243">
                  <c:v>114.24</c:v>
                </c:pt>
                <c:pt idx="244">
                  <c:v>115.24</c:v>
                </c:pt>
                <c:pt idx="245">
                  <c:v>118.99</c:v>
                </c:pt>
                <c:pt idx="246">
                  <c:v>119.14</c:v>
                </c:pt>
                <c:pt idx="247">
                  <c:v>120.09</c:v>
                </c:pt>
                <c:pt idx="248">
                  <c:v>119.68</c:v>
                </c:pt>
                <c:pt idx="249">
                  <c:v>119.71</c:v>
                </c:pt>
                <c:pt idx="250">
                  <c:v>119.34</c:v>
                </c:pt>
                <c:pt idx="251">
                  <c:v>121.62</c:v>
                </c:pt>
                <c:pt idx="252">
                  <c:v>122.5</c:v>
                </c:pt>
                <c:pt idx="253">
                  <c:v>122.12</c:v>
                </c:pt>
                <c:pt idx="254">
                  <c:v>121.92</c:v>
                </c:pt>
                <c:pt idx="255">
                  <c:v>122.52</c:v>
                </c:pt>
                <c:pt idx="256">
                  <c:v>121.87</c:v>
                </c:pt>
                <c:pt idx="257">
                  <c:v>122.65</c:v>
                </c:pt>
                <c:pt idx="258">
                  <c:v>126.38</c:v>
                </c:pt>
                <c:pt idx="259">
                  <c:v>127.36</c:v>
                </c:pt>
                <c:pt idx="260">
                  <c:v>125.84</c:v>
                </c:pt>
                <c:pt idx="261">
                  <c:v>126.17</c:v>
                </c:pt>
                <c:pt idx="262">
                  <c:v>125.44</c:v>
                </c:pt>
                <c:pt idx="263">
                  <c:v>125.16</c:v>
                </c:pt>
                <c:pt idx="264">
                  <c:v>126.37</c:v>
                </c:pt>
                <c:pt idx="265">
                  <c:v>124.9</c:v>
                </c:pt>
                <c:pt idx="266">
                  <c:v>125.25</c:v>
                </c:pt>
                <c:pt idx="267">
                  <c:v>124.54</c:v>
                </c:pt>
                <c:pt idx="268">
                  <c:v>125.06</c:v>
                </c:pt>
                <c:pt idx="269">
                  <c:v>122.48</c:v>
                </c:pt>
                <c:pt idx="270">
                  <c:v>119.38</c:v>
                </c:pt>
                <c:pt idx="271">
                  <c:v>119.49</c:v>
                </c:pt>
                <c:pt idx="272">
                  <c:v>119.7</c:v>
                </c:pt>
                <c:pt idx="273">
                  <c:v>113.04</c:v>
                </c:pt>
                <c:pt idx="274">
                  <c:v>107.36</c:v>
                </c:pt>
                <c:pt idx="275">
                  <c:v>111.7</c:v>
                </c:pt>
                <c:pt idx="276">
                  <c:v>109.9</c:v>
                </c:pt>
                <c:pt idx="277">
                  <c:v>107.05</c:v>
                </c:pt>
                <c:pt idx="278">
                  <c:v>108.2</c:v>
                </c:pt>
                <c:pt idx="279">
                  <c:v>108.65</c:v>
                </c:pt>
                <c:pt idx="280">
                  <c:v>108</c:v>
                </c:pt>
                <c:pt idx="281">
                  <c:v>108.32</c:v>
                </c:pt>
                <c:pt idx="282">
                  <c:v>108.34</c:v>
                </c:pt>
                <c:pt idx="283">
                  <c:v>107.96</c:v>
                </c:pt>
                <c:pt idx="284">
                  <c:v>106.85</c:v>
                </c:pt>
                <c:pt idx="285">
                  <c:v>105</c:v>
                </c:pt>
                <c:pt idx="286">
                  <c:v>105.8</c:v>
                </c:pt>
                <c:pt idx="287">
                  <c:v>108.4</c:v>
                </c:pt>
                <c:pt idx="288">
                  <c:v>110.33</c:v>
                </c:pt>
                <c:pt idx="289">
                  <c:v>109.38</c:v>
                </c:pt>
                <c:pt idx="290">
                  <c:v>107.75</c:v>
                </c:pt>
                <c:pt idx="291">
                  <c:v>107.87</c:v>
                </c:pt>
                <c:pt idx="292">
                  <c:v>107.48</c:v>
                </c:pt>
                <c:pt idx="293">
                  <c:v>108.94</c:v>
                </c:pt>
                <c:pt idx="294">
                  <c:v>109.42</c:v>
                </c:pt>
                <c:pt idx="295">
                  <c:v>109.6</c:v>
                </c:pt>
                <c:pt idx="296">
                  <c:v>109.13</c:v>
                </c:pt>
                <c:pt idx="297">
                  <c:v>112.85</c:v>
                </c:pt>
                <c:pt idx="298">
                  <c:v>112.44</c:v>
                </c:pt>
                <c:pt idx="299">
                  <c:v>112.12</c:v>
                </c:pt>
                <c:pt idx="300">
                  <c:v>110.84</c:v>
                </c:pt>
                <c:pt idx="301">
                  <c:v>111.28</c:v>
                </c:pt>
                <c:pt idx="302">
                  <c:v>111.1</c:v>
                </c:pt>
                <c:pt idx="303">
                  <c:v>109.65</c:v>
                </c:pt>
                <c:pt idx="304">
                  <c:v>110.24</c:v>
                </c:pt>
                <c:pt idx="305">
                  <c:v>112.68</c:v>
                </c:pt>
                <c:pt idx="306">
                  <c:v>109.47</c:v>
                </c:pt>
                <c:pt idx="307">
                  <c:v>108.77</c:v>
                </c:pt>
                <c:pt idx="308">
                  <c:v>111.05</c:v>
                </c:pt>
                <c:pt idx="309">
                  <c:v>110.39</c:v>
                </c:pt>
                <c:pt idx="310">
                  <c:v>107.93</c:v>
                </c:pt>
                <c:pt idx="311">
                  <c:v>109.79</c:v>
                </c:pt>
                <c:pt idx="312">
                  <c:v>108.06</c:v>
                </c:pt>
                <c:pt idx="313">
                  <c:v>110.55</c:v>
                </c:pt>
                <c:pt idx="314">
                  <c:v>110.22</c:v>
                </c:pt>
                <c:pt idx="315">
                  <c:v>112.92</c:v>
                </c:pt>
                <c:pt idx="316">
                  <c:v>110.49</c:v>
                </c:pt>
                <c:pt idx="317">
                  <c:v>111.66</c:v>
                </c:pt>
                <c:pt idx="318">
                  <c:v>114.42</c:v>
                </c:pt>
                <c:pt idx="319">
                  <c:v>114.81</c:v>
                </c:pt>
                <c:pt idx="320">
                  <c:v>114.79</c:v>
                </c:pt>
                <c:pt idx="321">
                  <c:v>115.45</c:v>
                </c:pt>
                <c:pt idx="322">
                  <c:v>116.21</c:v>
                </c:pt>
                <c:pt idx="323">
                  <c:v>116.94</c:v>
                </c:pt>
                <c:pt idx="324">
                  <c:v>119.21</c:v>
                </c:pt>
                <c:pt idx="325">
                  <c:v>119.1</c:v>
                </c:pt>
                <c:pt idx="326">
                  <c:v>117.76</c:v>
                </c:pt>
                <c:pt idx="327">
                  <c:v>118.98</c:v>
                </c:pt>
                <c:pt idx="328">
                  <c:v>117.98</c:v>
                </c:pt>
                <c:pt idx="329">
                  <c:v>118.15</c:v>
                </c:pt>
                <c:pt idx="330">
                  <c:v>119.59</c:v>
                </c:pt>
                <c:pt idx="331">
                  <c:v>121.9</c:v>
                </c:pt>
                <c:pt idx="332">
                  <c:v>120.45</c:v>
                </c:pt>
                <c:pt idx="333">
                  <c:v>120.21</c:v>
                </c:pt>
                <c:pt idx="334">
                  <c:v>120.82</c:v>
                </c:pt>
                <c:pt idx="335">
                  <c:v>121.32</c:v>
                </c:pt>
                <c:pt idx="336">
                  <c:v>120.86</c:v>
                </c:pt>
                <c:pt idx="337">
                  <c:v>120.29</c:v>
                </c:pt>
                <c:pt idx="338">
                  <c:v>121.86</c:v>
                </c:pt>
                <c:pt idx="339">
                  <c:v>123.93</c:v>
                </c:pt>
                <c:pt idx="340">
                  <c:v>124.02</c:v>
                </c:pt>
                <c:pt idx="341">
                  <c:v>125</c:v>
                </c:pt>
                <c:pt idx="342">
                  <c:v>125.53</c:v>
                </c:pt>
                <c:pt idx="343">
                  <c:v>124.91</c:v>
                </c:pt>
                <c:pt idx="344">
                  <c:v>124.74</c:v>
                </c:pt>
                <c:pt idx="345">
                  <c:v>125.73</c:v>
                </c:pt>
                <c:pt idx="346">
                  <c:v>124.17</c:v>
                </c:pt>
                <c:pt idx="347">
                  <c:v>125.64</c:v>
                </c:pt>
                <c:pt idx="348">
                  <c:v>124.53</c:v>
                </c:pt>
                <c:pt idx="349">
                  <c:v>124.99</c:v>
                </c:pt>
                <c:pt idx="350">
                  <c:v>122.96</c:v>
                </c:pt>
                <c:pt idx="351">
                  <c:v>118.67</c:v>
                </c:pt>
                <c:pt idx="352">
                  <c:v>117.89</c:v>
                </c:pt>
                <c:pt idx="353">
                  <c:v>121.55</c:v>
                </c:pt>
                <c:pt idx="354">
                  <c:v>120.71</c:v>
                </c:pt>
                <c:pt idx="355">
                  <c:v>120.28</c:v>
                </c:pt>
                <c:pt idx="356">
                  <c:v>118.73</c:v>
                </c:pt>
                <c:pt idx="357">
                  <c:v>119.19</c:v>
                </c:pt>
                <c:pt idx="358">
                  <c:v>119.82</c:v>
                </c:pt>
                <c:pt idx="359">
                  <c:v>123.3</c:v>
                </c:pt>
                <c:pt idx="360">
                  <c:v>122.79</c:v>
                </c:pt>
                <c:pt idx="361">
                  <c:v>123.88</c:v>
                </c:pt>
                <c:pt idx="362">
                  <c:v>123.41</c:v>
                </c:pt>
                <c:pt idx="363">
                  <c:v>123.4</c:v>
                </c:pt>
                <c:pt idx="364">
                  <c:v>122.86</c:v>
                </c:pt>
                <c:pt idx="365">
                  <c:v>120.46</c:v>
                </c:pt>
                <c:pt idx="366">
                  <c:v>122.34</c:v>
                </c:pt>
                <c:pt idx="367">
                  <c:v>121.92</c:v>
                </c:pt>
                <c:pt idx="368">
                  <c:v>121.68</c:v>
                </c:pt>
                <c:pt idx="369">
                  <c:v>119.05</c:v>
                </c:pt>
                <c:pt idx="370">
                  <c:v>121.49</c:v>
                </c:pt>
                <c:pt idx="371">
                  <c:v>119.07</c:v>
                </c:pt>
                <c:pt idx="372">
                  <c:v>120.58</c:v>
                </c:pt>
                <c:pt idx="373">
                  <c:v>122.37</c:v>
                </c:pt>
                <c:pt idx="374">
                  <c:v>122.04</c:v>
                </c:pt>
                <c:pt idx="375">
                  <c:v>122.78</c:v>
                </c:pt>
                <c:pt idx="376">
                  <c:v>120.67</c:v>
                </c:pt>
                <c:pt idx="377">
                  <c:v>121.13</c:v>
                </c:pt>
                <c:pt idx="378">
                  <c:v>120.4</c:v>
                </c:pt>
                <c:pt idx="379">
                  <c:v>120.56</c:v>
                </c:pt>
                <c:pt idx="380">
                  <c:v>122.36</c:v>
                </c:pt>
                <c:pt idx="381">
                  <c:v>123.91</c:v>
                </c:pt>
                <c:pt idx="382">
                  <c:v>119.96</c:v>
                </c:pt>
                <c:pt idx="383">
                  <c:v>120.68</c:v>
                </c:pt>
                <c:pt idx="384">
                  <c:v>120.46</c:v>
                </c:pt>
                <c:pt idx="385">
                  <c:v>119.43</c:v>
                </c:pt>
                <c:pt idx="386">
                  <c:v>118.39</c:v>
                </c:pt>
                <c:pt idx="387">
                  <c:v>118.02</c:v>
                </c:pt>
                <c:pt idx="388">
                  <c:v>118.16</c:v>
                </c:pt>
                <c:pt idx="389">
                  <c:v>118.74</c:v>
                </c:pt>
                <c:pt idx="390">
                  <c:v>117.83</c:v>
                </c:pt>
                <c:pt idx="391">
                  <c:v>120.28</c:v>
                </c:pt>
                <c:pt idx="392">
                  <c:v>121.3</c:v>
                </c:pt>
                <c:pt idx="393">
                  <c:v>120.37</c:v>
                </c:pt>
                <c:pt idx="394">
                  <c:v>122.34</c:v>
                </c:pt>
                <c:pt idx="395">
                  <c:v>124.14</c:v>
                </c:pt>
                <c:pt idx="396">
                  <c:v>122.63</c:v>
                </c:pt>
                <c:pt idx="397">
                  <c:v>121.77</c:v>
                </c:pt>
                <c:pt idx="398">
                  <c:v>120.19</c:v>
                </c:pt>
                <c:pt idx="399">
                  <c:v>120.47</c:v>
                </c:pt>
                <c:pt idx="400">
                  <c:v>120.71</c:v>
                </c:pt>
                <c:pt idx="401">
                  <c:v>121.57</c:v>
                </c:pt>
                <c:pt idx="402">
                  <c:v>120.31</c:v>
                </c:pt>
                <c:pt idx="403">
                  <c:v>119</c:v>
                </c:pt>
                <c:pt idx="404">
                  <c:v>119.78</c:v>
                </c:pt>
                <c:pt idx="405">
                  <c:v>118.91</c:v>
                </c:pt>
                <c:pt idx="406">
                  <c:v>119.04</c:v>
                </c:pt>
                <c:pt idx="407">
                  <c:v>114.54</c:v>
                </c:pt>
                <c:pt idx="408">
                  <c:v>115.36</c:v>
                </c:pt>
                <c:pt idx="409">
                  <c:v>115.5</c:v>
                </c:pt>
                <c:pt idx="410">
                  <c:v>115.45</c:v>
                </c:pt>
                <c:pt idx="411">
                  <c:v>115.64</c:v>
                </c:pt>
                <c:pt idx="412">
                  <c:v>116.6</c:v>
                </c:pt>
                <c:pt idx="413">
                  <c:v>115.79</c:v>
                </c:pt>
                <c:pt idx="414">
                  <c:v>116.69</c:v>
                </c:pt>
                <c:pt idx="415">
                  <c:v>118</c:v>
                </c:pt>
                <c:pt idx="416">
                  <c:v>117.52</c:v>
                </c:pt>
                <c:pt idx="417">
                  <c:v>117.87</c:v>
                </c:pt>
                <c:pt idx="418">
                  <c:v>117.47</c:v>
                </c:pt>
                <c:pt idx="419">
                  <c:v>116.15</c:v>
                </c:pt>
                <c:pt idx="420">
                  <c:v>116.55</c:v>
                </c:pt>
                <c:pt idx="421">
                  <c:v>116.6</c:v>
                </c:pt>
                <c:pt idx="422">
                  <c:v>112.98</c:v>
                </c:pt>
                <c:pt idx="423">
                  <c:v>112.36</c:v>
                </c:pt>
                <c:pt idx="424">
                  <c:v>112.24</c:v>
                </c:pt>
                <c:pt idx="425">
                  <c:v>112.77</c:v>
                </c:pt>
                <c:pt idx="426">
                  <c:v>113.53</c:v>
                </c:pt>
                <c:pt idx="427">
                  <c:v>114.03</c:v>
                </c:pt>
                <c:pt idx="428">
                  <c:v>115.09</c:v>
                </c:pt>
                <c:pt idx="429">
                  <c:v>115.21</c:v>
                </c:pt>
                <c:pt idx="430">
                  <c:v>115.82</c:v>
                </c:pt>
                <c:pt idx="431">
                  <c:v>117.18</c:v>
                </c:pt>
                <c:pt idx="432">
                  <c:v>117.09</c:v>
                </c:pt>
                <c:pt idx="433">
                  <c:v>118.76</c:v>
                </c:pt>
                <c:pt idx="434">
                  <c:v>120.22</c:v>
                </c:pt>
                <c:pt idx="435">
                  <c:v>120.96</c:v>
                </c:pt>
                <c:pt idx="436">
                  <c:v>119.57</c:v>
                </c:pt>
                <c:pt idx="437">
                  <c:v>120.08</c:v>
                </c:pt>
                <c:pt idx="438">
                  <c:v>119.89</c:v>
                </c:pt>
                <c:pt idx="439">
                  <c:v>121.96</c:v>
                </c:pt>
                <c:pt idx="440">
                  <c:v>122.3</c:v>
                </c:pt>
                <c:pt idx="441">
                  <c:v>122.86</c:v>
                </c:pt>
                <c:pt idx="442">
                  <c:v>122.51</c:v>
                </c:pt>
                <c:pt idx="443">
                  <c:v>122.88</c:v>
                </c:pt>
                <c:pt idx="444">
                  <c:v>122.4</c:v>
                </c:pt>
                <c:pt idx="445">
                  <c:v>124.34</c:v>
                </c:pt>
                <c:pt idx="446">
                  <c:v>120.21</c:v>
                </c:pt>
                <c:pt idx="447">
                  <c:v>116.12</c:v>
                </c:pt>
                <c:pt idx="448">
                  <c:v>115.47</c:v>
                </c:pt>
                <c:pt idx="449">
                  <c:v>114.66</c:v>
                </c:pt>
                <c:pt idx="450">
                  <c:v>115.21</c:v>
                </c:pt>
                <c:pt idx="451">
                  <c:v>115</c:v>
                </c:pt>
                <c:pt idx="452">
                  <c:v>115.18</c:v>
                </c:pt>
                <c:pt idx="453">
                  <c:v>115.83</c:v>
                </c:pt>
                <c:pt idx="454">
                  <c:v>114.92</c:v>
                </c:pt>
                <c:pt idx="455">
                  <c:v>111.18</c:v>
                </c:pt>
                <c:pt idx="456">
                  <c:v>108.06</c:v>
                </c:pt>
                <c:pt idx="457">
                  <c:v>109.4</c:v>
                </c:pt>
                <c:pt idx="458">
                  <c:v>109.35</c:v>
                </c:pt>
                <c:pt idx="459">
                  <c:v>106.8</c:v>
                </c:pt>
                <c:pt idx="460">
                  <c:v>108.68</c:v>
                </c:pt>
                <c:pt idx="461">
                  <c:v>109.47</c:v>
                </c:pt>
                <c:pt idx="462">
                  <c:v>109</c:v>
                </c:pt>
                <c:pt idx="463">
                  <c:v>112.49</c:v>
                </c:pt>
                <c:pt idx="464">
                  <c:v>116.62</c:v>
                </c:pt>
                <c:pt idx="465">
                  <c:v>116.58</c:v>
                </c:pt>
                <c:pt idx="466">
                  <c:v>118.51</c:v>
                </c:pt>
                <c:pt idx="467">
                  <c:v>117.03</c:v>
                </c:pt>
                <c:pt idx="468">
                  <c:v>117.18</c:v>
                </c:pt>
                <c:pt idx="469">
                  <c:v>115.1</c:v>
                </c:pt>
                <c:pt idx="470">
                  <c:v>113.1</c:v>
                </c:pt>
                <c:pt idx="471">
                  <c:v>113.46</c:v>
                </c:pt>
                <c:pt idx="472">
                  <c:v>115.79</c:v>
                </c:pt>
                <c:pt idx="473">
                  <c:v>117.88</c:v>
                </c:pt>
                <c:pt idx="474">
                  <c:v>118.23</c:v>
                </c:pt>
                <c:pt idx="475">
                  <c:v>114.94</c:v>
                </c:pt>
                <c:pt idx="476">
                  <c:v>116.4</c:v>
                </c:pt>
                <c:pt idx="477">
                  <c:v>112.47</c:v>
                </c:pt>
                <c:pt idx="478">
                  <c:v>113.84</c:v>
                </c:pt>
                <c:pt idx="479">
                  <c:v>114.06</c:v>
                </c:pt>
                <c:pt idx="480">
                  <c:v>116.96</c:v>
                </c:pt>
                <c:pt idx="481">
                  <c:v>117.67</c:v>
                </c:pt>
                <c:pt idx="482">
                  <c:v>117.76</c:v>
                </c:pt>
                <c:pt idx="483">
                  <c:v>119.47</c:v>
                </c:pt>
                <c:pt idx="484">
                  <c:v>116.07</c:v>
                </c:pt>
                <c:pt idx="485">
                  <c:v>114.76</c:v>
                </c:pt>
                <c:pt idx="486">
                  <c:v>114.34</c:v>
                </c:pt>
                <c:pt idx="487">
                  <c:v>113.8</c:v>
                </c:pt>
                <c:pt idx="488">
                  <c:v>114.32</c:v>
                </c:pt>
                <c:pt idx="489">
                  <c:v>114.47</c:v>
                </c:pt>
                <c:pt idx="490">
                  <c:v>114.79</c:v>
                </c:pt>
                <c:pt idx="491">
                  <c:v>112.7</c:v>
                </c:pt>
                <c:pt idx="492">
                  <c:v>111.33</c:v>
                </c:pt>
                <c:pt idx="493">
                  <c:v>108.65</c:v>
                </c:pt>
                <c:pt idx="494">
                  <c:v>106.76</c:v>
                </c:pt>
                <c:pt idx="495">
                  <c:v>103.94</c:v>
                </c:pt>
                <c:pt idx="496">
                  <c:v>103.17</c:v>
                </c:pt>
                <c:pt idx="497">
                  <c:v>99.98</c:v>
                </c:pt>
                <c:pt idx="498">
                  <c:v>106.32</c:v>
                </c:pt>
                <c:pt idx="499">
                  <c:v>108.23</c:v>
                </c:pt>
                <c:pt idx="500">
                  <c:v>107.57</c:v>
                </c:pt>
                <c:pt idx="501">
                  <c:v>107.71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88-4627-A9B5-13E947E20CD9}"/>
            </c:ext>
          </c:extLst>
        </c:ser>
        <c:ser>
          <c:idx val="6"/>
          <c:order val="6"/>
          <c:tx>
            <c:strRef>
              <c:f>wide_company_closes_reorder!$H$1</c:f>
              <c:strCache>
                <c:ptCount val="1"/>
                <c:pt idx="0">
                  <c:v>DIS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wide_company_closes_reorder!$H$2:$H$503</c:f>
              <c:numCache>
                <c:formatCode>General</c:formatCode>
                <c:ptCount val="502"/>
                <c:pt idx="0">
                  <c:v>102.83</c:v>
                </c:pt>
                <c:pt idx="1">
                  <c:v>104.14</c:v>
                </c:pt>
                <c:pt idx="2">
                  <c:v>104.09</c:v>
                </c:pt>
                <c:pt idx="3">
                  <c:v>105.64</c:v>
                </c:pt>
                <c:pt idx="4">
                  <c:v>105.04</c:v>
                </c:pt>
                <c:pt idx="5">
                  <c:v>105.06</c:v>
                </c:pt>
                <c:pt idx="6">
                  <c:v>106.08</c:v>
                </c:pt>
                <c:pt idx="7">
                  <c:v>104.23</c:v>
                </c:pt>
                <c:pt idx="8">
                  <c:v>104.75</c:v>
                </c:pt>
                <c:pt idx="9">
                  <c:v>104.66</c:v>
                </c:pt>
                <c:pt idx="10">
                  <c:v>104.84</c:v>
                </c:pt>
                <c:pt idx="11">
                  <c:v>103.99</c:v>
                </c:pt>
                <c:pt idx="12">
                  <c:v>104.36</c:v>
                </c:pt>
                <c:pt idx="13">
                  <c:v>103.83</c:v>
                </c:pt>
                <c:pt idx="14">
                  <c:v>104.59</c:v>
                </c:pt>
                <c:pt idx="15">
                  <c:v>104.73</c:v>
                </c:pt>
                <c:pt idx="16">
                  <c:v>104.75</c:v>
                </c:pt>
                <c:pt idx="17">
                  <c:v>105.95</c:v>
                </c:pt>
                <c:pt idx="18">
                  <c:v>107.54</c:v>
                </c:pt>
                <c:pt idx="19">
                  <c:v>107.26</c:v>
                </c:pt>
                <c:pt idx="20">
                  <c:v>107.89</c:v>
                </c:pt>
                <c:pt idx="21">
                  <c:v>107.22</c:v>
                </c:pt>
                <c:pt idx="22">
                  <c:v>106.92</c:v>
                </c:pt>
                <c:pt idx="23">
                  <c:v>106.21</c:v>
                </c:pt>
                <c:pt idx="24">
                  <c:v>105.66</c:v>
                </c:pt>
                <c:pt idx="25">
                  <c:v>105.66</c:v>
                </c:pt>
                <c:pt idx="26">
                  <c:v>106.13</c:v>
                </c:pt>
                <c:pt idx="27">
                  <c:v>105.91</c:v>
                </c:pt>
                <c:pt idx="28">
                  <c:v>106.29</c:v>
                </c:pt>
                <c:pt idx="29">
                  <c:v>106.95</c:v>
                </c:pt>
                <c:pt idx="30">
                  <c:v>106.8</c:v>
                </c:pt>
                <c:pt idx="31">
                  <c:v>107.31</c:v>
                </c:pt>
                <c:pt idx="32">
                  <c:v>106.68</c:v>
                </c:pt>
                <c:pt idx="33">
                  <c:v>106.64</c:v>
                </c:pt>
                <c:pt idx="34">
                  <c:v>106.74</c:v>
                </c:pt>
                <c:pt idx="35">
                  <c:v>106.36</c:v>
                </c:pt>
                <c:pt idx="36">
                  <c:v>106.94</c:v>
                </c:pt>
                <c:pt idx="37">
                  <c:v>106.85</c:v>
                </c:pt>
                <c:pt idx="38">
                  <c:v>106.71</c:v>
                </c:pt>
                <c:pt idx="39">
                  <c:v>107.63</c:v>
                </c:pt>
                <c:pt idx="40">
                  <c:v>107.2</c:v>
                </c:pt>
                <c:pt idx="41">
                  <c:v>107.83</c:v>
                </c:pt>
                <c:pt idx="42">
                  <c:v>107.28</c:v>
                </c:pt>
                <c:pt idx="43">
                  <c:v>107.46</c:v>
                </c:pt>
                <c:pt idx="44">
                  <c:v>107.44</c:v>
                </c:pt>
                <c:pt idx="45">
                  <c:v>107.62</c:v>
                </c:pt>
                <c:pt idx="46">
                  <c:v>107.52</c:v>
                </c:pt>
                <c:pt idx="47">
                  <c:v>108.1</c:v>
                </c:pt>
                <c:pt idx="48">
                  <c:v>108.86</c:v>
                </c:pt>
                <c:pt idx="49">
                  <c:v>108.44</c:v>
                </c:pt>
                <c:pt idx="50">
                  <c:v>108.28</c:v>
                </c:pt>
                <c:pt idx="51">
                  <c:v>108.33</c:v>
                </c:pt>
                <c:pt idx="52">
                  <c:v>109.25</c:v>
                </c:pt>
                <c:pt idx="53">
                  <c:v>108.32</c:v>
                </c:pt>
                <c:pt idx="54">
                  <c:v>108.64</c:v>
                </c:pt>
                <c:pt idx="55">
                  <c:v>108.8</c:v>
                </c:pt>
                <c:pt idx="56">
                  <c:v>108.7</c:v>
                </c:pt>
                <c:pt idx="57">
                  <c:v>108.93</c:v>
                </c:pt>
                <c:pt idx="58">
                  <c:v>109.58</c:v>
                </c:pt>
                <c:pt idx="59">
                  <c:v>109.08</c:v>
                </c:pt>
                <c:pt idx="60">
                  <c:v>109.71</c:v>
                </c:pt>
                <c:pt idx="61">
                  <c:v>109.91</c:v>
                </c:pt>
                <c:pt idx="62">
                  <c:v>109.73</c:v>
                </c:pt>
                <c:pt idx="63">
                  <c:v>109.57</c:v>
                </c:pt>
                <c:pt idx="64">
                  <c:v>109.53</c:v>
                </c:pt>
                <c:pt idx="65">
                  <c:v>109.58</c:v>
                </c:pt>
                <c:pt idx="66">
                  <c:v>109.13</c:v>
                </c:pt>
                <c:pt idx="67">
                  <c:v>108.98</c:v>
                </c:pt>
                <c:pt idx="68">
                  <c:v>109.6</c:v>
                </c:pt>
                <c:pt idx="69">
                  <c:v>109.57</c:v>
                </c:pt>
                <c:pt idx="70">
                  <c:v>109.73</c:v>
                </c:pt>
                <c:pt idx="71">
                  <c:v>110.29</c:v>
                </c:pt>
                <c:pt idx="72">
                  <c:v>110.69</c:v>
                </c:pt>
                <c:pt idx="73">
                  <c:v>110.24</c:v>
                </c:pt>
                <c:pt idx="74">
                  <c:v>111.27</c:v>
                </c:pt>
                <c:pt idx="75">
                  <c:v>110.93</c:v>
                </c:pt>
                <c:pt idx="76">
                  <c:v>110.21</c:v>
                </c:pt>
                <c:pt idx="77">
                  <c:v>111.65</c:v>
                </c:pt>
                <c:pt idx="78">
                  <c:v>112.03</c:v>
                </c:pt>
                <c:pt idx="79">
                  <c:v>112.29</c:v>
                </c:pt>
                <c:pt idx="80">
                  <c:v>112.05</c:v>
                </c:pt>
                <c:pt idx="81">
                  <c:v>111.21</c:v>
                </c:pt>
                <c:pt idx="82">
                  <c:v>110.86</c:v>
                </c:pt>
                <c:pt idx="83">
                  <c:v>108.2</c:v>
                </c:pt>
                <c:pt idx="84">
                  <c:v>107.76</c:v>
                </c:pt>
                <c:pt idx="85">
                  <c:v>108.55</c:v>
                </c:pt>
                <c:pt idx="86">
                  <c:v>108</c:v>
                </c:pt>
                <c:pt idx="87">
                  <c:v>108.63</c:v>
                </c:pt>
                <c:pt idx="88">
                  <c:v>106.3</c:v>
                </c:pt>
                <c:pt idx="89">
                  <c:v>106.22</c:v>
                </c:pt>
                <c:pt idx="90">
                  <c:v>106.33</c:v>
                </c:pt>
                <c:pt idx="91">
                  <c:v>105.78</c:v>
                </c:pt>
                <c:pt idx="92">
                  <c:v>104.67</c:v>
                </c:pt>
                <c:pt idx="93">
                  <c:v>103.05</c:v>
                </c:pt>
                <c:pt idx="94">
                  <c:v>103.41</c:v>
                </c:pt>
                <c:pt idx="95">
                  <c:v>104.22</c:v>
                </c:pt>
                <c:pt idx="96">
                  <c:v>104.33</c:v>
                </c:pt>
                <c:pt idx="97">
                  <c:v>103.74</c:v>
                </c:pt>
                <c:pt idx="98">
                  <c:v>104.41</c:v>
                </c:pt>
                <c:pt idx="99">
                  <c:v>103.98</c:v>
                </c:pt>
                <c:pt idx="100">
                  <c:v>105.08</c:v>
                </c:pt>
                <c:pt idx="101">
                  <c:v>105.02</c:v>
                </c:pt>
                <c:pt idx="102">
                  <c:v>104.63</c:v>
                </c:pt>
                <c:pt idx="103">
                  <c:v>104.89</c:v>
                </c:pt>
                <c:pt idx="104">
                  <c:v>103.89</c:v>
                </c:pt>
                <c:pt idx="105">
                  <c:v>103.25</c:v>
                </c:pt>
                <c:pt idx="106">
                  <c:v>102.26</c:v>
                </c:pt>
                <c:pt idx="107">
                  <c:v>102.67</c:v>
                </c:pt>
                <c:pt idx="108">
                  <c:v>101.12</c:v>
                </c:pt>
                <c:pt idx="109">
                  <c:v>102.38</c:v>
                </c:pt>
                <c:pt idx="110">
                  <c:v>103.76</c:v>
                </c:pt>
                <c:pt idx="111">
                  <c:v>103.29</c:v>
                </c:pt>
                <c:pt idx="112">
                  <c:v>102.88</c:v>
                </c:pt>
                <c:pt idx="113">
                  <c:v>102.73</c:v>
                </c:pt>
                <c:pt idx="114">
                  <c:v>102.27</c:v>
                </c:pt>
                <c:pt idx="115">
                  <c:v>102.14</c:v>
                </c:pt>
                <c:pt idx="116">
                  <c:v>100.75</c:v>
                </c:pt>
                <c:pt idx="117">
                  <c:v>101.59</c:v>
                </c:pt>
                <c:pt idx="118">
                  <c:v>101.02</c:v>
                </c:pt>
                <c:pt idx="119">
                  <c:v>101.16</c:v>
                </c:pt>
                <c:pt idx="120">
                  <c:v>102.33</c:v>
                </c:pt>
                <c:pt idx="121">
                  <c:v>102.18</c:v>
                </c:pt>
                <c:pt idx="122">
                  <c:v>103.58</c:v>
                </c:pt>
                <c:pt idx="123">
                  <c:v>102.47</c:v>
                </c:pt>
                <c:pt idx="124">
                  <c:v>102.99</c:v>
                </c:pt>
                <c:pt idx="125">
                  <c:v>104.16</c:v>
                </c:pt>
                <c:pt idx="126">
                  <c:v>102.39</c:v>
                </c:pt>
                <c:pt idx="127">
                  <c:v>100.92</c:v>
                </c:pt>
                <c:pt idx="128">
                  <c:v>100.9</c:v>
                </c:pt>
                <c:pt idx="129">
                  <c:v>101.16</c:v>
                </c:pt>
                <c:pt idx="130">
                  <c:v>101.4</c:v>
                </c:pt>
                <c:pt idx="131">
                  <c:v>101.93</c:v>
                </c:pt>
                <c:pt idx="132">
                  <c:v>101.84</c:v>
                </c:pt>
                <c:pt idx="133">
                  <c:v>102.62</c:v>
                </c:pt>
                <c:pt idx="134">
                  <c:v>102.33</c:v>
                </c:pt>
                <c:pt idx="135">
                  <c:v>103.27</c:v>
                </c:pt>
                <c:pt idx="136">
                  <c:v>104.31</c:v>
                </c:pt>
                <c:pt idx="137">
                  <c:v>104.84</c:v>
                </c:pt>
                <c:pt idx="138">
                  <c:v>104.58</c:v>
                </c:pt>
                <c:pt idx="139">
                  <c:v>104.49</c:v>
                </c:pt>
                <c:pt idx="140">
                  <c:v>103.92</c:v>
                </c:pt>
                <c:pt idx="141">
                  <c:v>104.43</c:v>
                </c:pt>
                <c:pt idx="142">
                  <c:v>107.42</c:v>
                </c:pt>
                <c:pt idx="143">
                  <c:v>107.38</c:v>
                </c:pt>
                <c:pt idx="144">
                  <c:v>107.35</c:v>
                </c:pt>
                <c:pt idx="145">
                  <c:v>108.01</c:v>
                </c:pt>
                <c:pt idx="146">
                  <c:v>106.12</c:v>
                </c:pt>
                <c:pt idx="147">
                  <c:v>106.56</c:v>
                </c:pt>
                <c:pt idx="148">
                  <c:v>105.16</c:v>
                </c:pt>
                <c:pt idx="149">
                  <c:v>103.85</c:v>
                </c:pt>
                <c:pt idx="150">
                  <c:v>104.47</c:v>
                </c:pt>
                <c:pt idx="151">
                  <c:v>100.42</c:v>
                </c:pt>
                <c:pt idx="152">
                  <c:v>98.97</c:v>
                </c:pt>
                <c:pt idx="153">
                  <c:v>99.6</c:v>
                </c:pt>
                <c:pt idx="154">
                  <c:v>99.02</c:v>
                </c:pt>
                <c:pt idx="155">
                  <c:v>99.13</c:v>
                </c:pt>
                <c:pt idx="156">
                  <c:v>99.8</c:v>
                </c:pt>
                <c:pt idx="157">
                  <c:v>99</c:v>
                </c:pt>
                <c:pt idx="158">
                  <c:v>98.34</c:v>
                </c:pt>
                <c:pt idx="159">
                  <c:v>98.8</c:v>
                </c:pt>
                <c:pt idx="160">
                  <c:v>100.36</c:v>
                </c:pt>
                <c:pt idx="161">
                  <c:v>99.12</c:v>
                </c:pt>
                <c:pt idx="162">
                  <c:v>99.14</c:v>
                </c:pt>
                <c:pt idx="163">
                  <c:v>100.01</c:v>
                </c:pt>
                <c:pt idx="164">
                  <c:v>100.15</c:v>
                </c:pt>
                <c:pt idx="165">
                  <c:v>100.16</c:v>
                </c:pt>
                <c:pt idx="166">
                  <c:v>100.46</c:v>
                </c:pt>
                <c:pt idx="167">
                  <c:v>98.83</c:v>
                </c:pt>
                <c:pt idx="168">
                  <c:v>99.12</c:v>
                </c:pt>
                <c:pt idx="169">
                  <c:v>99.22</c:v>
                </c:pt>
                <c:pt idx="170">
                  <c:v>99.12</c:v>
                </c:pt>
                <c:pt idx="171">
                  <c:v>94.78</c:v>
                </c:pt>
                <c:pt idx="172">
                  <c:v>94.79</c:v>
                </c:pt>
                <c:pt idx="173">
                  <c:v>94.81</c:v>
                </c:pt>
                <c:pt idx="174">
                  <c:v>95.59</c:v>
                </c:pt>
                <c:pt idx="175">
                  <c:v>96.5</c:v>
                </c:pt>
                <c:pt idx="176">
                  <c:v>95.6</c:v>
                </c:pt>
                <c:pt idx="177">
                  <c:v>96.21</c:v>
                </c:pt>
                <c:pt idx="178">
                  <c:v>95.8</c:v>
                </c:pt>
                <c:pt idx="179">
                  <c:v>96.12</c:v>
                </c:pt>
                <c:pt idx="180">
                  <c:v>96.88</c:v>
                </c:pt>
                <c:pt idx="181">
                  <c:v>96.57</c:v>
                </c:pt>
                <c:pt idx="182">
                  <c:v>96.29</c:v>
                </c:pt>
                <c:pt idx="183">
                  <c:v>97.23</c:v>
                </c:pt>
                <c:pt idx="184">
                  <c:v>96.32</c:v>
                </c:pt>
                <c:pt idx="185">
                  <c:v>96.91</c:v>
                </c:pt>
                <c:pt idx="186">
                  <c:v>95.75</c:v>
                </c:pt>
                <c:pt idx="187">
                  <c:v>96.26</c:v>
                </c:pt>
                <c:pt idx="188">
                  <c:v>97.52</c:v>
                </c:pt>
                <c:pt idx="189">
                  <c:v>98.42</c:v>
                </c:pt>
                <c:pt idx="190">
                  <c:v>98.19</c:v>
                </c:pt>
                <c:pt idx="191">
                  <c:v>97.76</c:v>
                </c:pt>
                <c:pt idx="192">
                  <c:v>97.72</c:v>
                </c:pt>
                <c:pt idx="193">
                  <c:v>97.23</c:v>
                </c:pt>
                <c:pt idx="194">
                  <c:v>97.24</c:v>
                </c:pt>
                <c:pt idx="195">
                  <c:v>96.24</c:v>
                </c:pt>
                <c:pt idx="196">
                  <c:v>94.66</c:v>
                </c:pt>
                <c:pt idx="197">
                  <c:v>95.09</c:v>
                </c:pt>
                <c:pt idx="198">
                  <c:v>95.83</c:v>
                </c:pt>
                <c:pt idx="199">
                  <c:v>96.05</c:v>
                </c:pt>
                <c:pt idx="200">
                  <c:v>95.94</c:v>
                </c:pt>
                <c:pt idx="201">
                  <c:v>96.69</c:v>
                </c:pt>
                <c:pt idx="202">
                  <c:v>97.07</c:v>
                </c:pt>
                <c:pt idx="203">
                  <c:v>96.38</c:v>
                </c:pt>
                <c:pt idx="204">
                  <c:v>95.98</c:v>
                </c:pt>
                <c:pt idx="205">
                  <c:v>95.51</c:v>
                </c:pt>
                <c:pt idx="206">
                  <c:v>96.25</c:v>
                </c:pt>
                <c:pt idx="207">
                  <c:v>96</c:v>
                </c:pt>
                <c:pt idx="208">
                  <c:v>95.74</c:v>
                </c:pt>
                <c:pt idx="209">
                  <c:v>95.51</c:v>
                </c:pt>
                <c:pt idx="210">
                  <c:v>96.71</c:v>
                </c:pt>
                <c:pt idx="211">
                  <c:v>96.04</c:v>
                </c:pt>
                <c:pt idx="212">
                  <c:v>96.33</c:v>
                </c:pt>
                <c:pt idx="213">
                  <c:v>98.28</c:v>
                </c:pt>
                <c:pt idx="214">
                  <c:v>99.23</c:v>
                </c:pt>
                <c:pt idx="215">
                  <c:v>98.81</c:v>
                </c:pt>
                <c:pt idx="216">
                  <c:v>100.27</c:v>
                </c:pt>
                <c:pt idx="217">
                  <c:v>102.32</c:v>
                </c:pt>
                <c:pt idx="218">
                  <c:v>102.28</c:v>
                </c:pt>
                <c:pt idx="219">
                  <c:v>100.75</c:v>
                </c:pt>
                <c:pt idx="220">
                  <c:v>101.26</c:v>
                </c:pt>
                <c:pt idx="221">
                  <c:v>101.17</c:v>
                </c:pt>
                <c:pt idx="222">
                  <c:v>101.01</c:v>
                </c:pt>
                <c:pt idx="223">
                  <c:v>100.34</c:v>
                </c:pt>
                <c:pt idx="224">
                  <c:v>100.58</c:v>
                </c:pt>
                <c:pt idx="225">
                  <c:v>100.33</c:v>
                </c:pt>
                <c:pt idx="226">
                  <c:v>100.23</c:v>
                </c:pt>
                <c:pt idx="227">
                  <c:v>100.38</c:v>
                </c:pt>
                <c:pt idx="228">
                  <c:v>100.98</c:v>
                </c:pt>
                <c:pt idx="229">
                  <c:v>102.77</c:v>
                </c:pt>
                <c:pt idx="230">
                  <c:v>102.36</c:v>
                </c:pt>
                <c:pt idx="231">
                  <c:v>102.78</c:v>
                </c:pt>
                <c:pt idx="232">
                  <c:v>107.63</c:v>
                </c:pt>
                <c:pt idx="233">
                  <c:v>104.7</c:v>
                </c:pt>
                <c:pt idx="234">
                  <c:v>102.99</c:v>
                </c:pt>
                <c:pt idx="235">
                  <c:v>102.79</c:v>
                </c:pt>
                <c:pt idx="236">
                  <c:v>102.6</c:v>
                </c:pt>
                <c:pt idx="237">
                  <c:v>105.16</c:v>
                </c:pt>
                <c:pt idx="238">
                  <c:v>105.75</c:v>
                </c:pt>
                <c:pt idx="239">
                  <c:v>105.93</c:v>
                </c:pt>
                <c:pt idx="240">
                  <c:v>108.84</c:v>
                </c:pt>
                <c:pt idx="241">
                  <c:v>109.53</c:v>
                </c:pt>
                <c:pt idx="242">
                  <c:v>109.3</c:v>
                </c:pt>
                <c:pt idx="243">
                  <c:v>110.06</c:v>
                </c:pt>
                <c:pt idx="244">
                  <c:v>107.98</c:v>
                </c:pt>
                <c:pt idx="245">
                  <c:v>107.86</c:v>
                </c:pt>
                <c:pt idx="246">
                  <c:v>106.97</c:v>
                </c:pt>
                <c:pt idx="247">
                  <c:v>106.43</c:v>
                </c:pt>
                <c:pt idx="248">
                  <c:v>105.96</c:v>
                </c:pt>
                <c:pt idx="249">
                  <c:v>106.09</c:v>
                </c:pt>
                <c:pt idx="250">
                  <c:v>105.83</c:v>
                </c:pt>
                <c:pt idx="251">
                  <c:v>110.05</c:v>
                </c:pt>
                <c:pt idx="252">
                  <c:v>110.53</c:v>
                </c:pt>
                <c:pt idx="253">
                  <c:v>110.48</c:v>
                </c:pt>
                <c:pt idx="254">
                  <c:v>109.88</c:v>
                </c:pt>
                <c:pt idx="255">
                  <c:v>108.3</c:v>
                </c:pt>
                <c:pt idx="256">
                  <c:v>108.22</c:v>
                </c:pt>
                <c:pt idx="257">
                  <c:v>107.76</c:v>
                </c:pt>
                <c:pt idx="258">
                  <c:v>109.26</c:v>
                </c:pt>
                <c:pt idx="259">
                  <c:v>110.71</c:v>
                </c:pt>
                <c:pt idx="260">
                  <c:v>108.96</c:v>
                </c:pt>
                <c:pt idx="261">
                  <c:v>110.22</c:v>
                </c:pt>
                <c:pt idx="262">
                  <c:v>108.7</c:v>
                </c:pt>
                <c:pt idx="263">
                  <c:v>108.86</c:v>
                </c:pt>
                <c:pt idx="264">
                  <c:v>109.37</c:v>
                </c:pt>
                <c:pt idx="265">
                  <c:v>108.69</c:v>
                </c:pt>
                <c:pt idx="266">
                  <c:v>108.78</c:v>
                </c:pt>
                <c:pt idx="267">
                  <c:v>108.82</c:v>
                </c:pt>
                <c:pt idx="268">
                  <c:v>110.44</c:v>
                </c:pt>
                <c:pt idx="269">
                  <c:v>109.8</c:v>
                </c:pt>
                <c:pt idx="270">
                  <c:v>108.39</c:v>
                </c:pt>
                <c:pt idx="271">
                  <c:v>106.97</c:v>
                </c:pt>
                <c:pt idx="272">
                  <c:v>108.77</c:v>
                </c:pt>
                <c:pt idx="273">
                  <c:v>107</c:v>
                </c:pt>
                <c:pt idx="274">
                  <c:v>103.07</c:v>
                </c:pt>
                <c:pt idx="275">
                  <c:v>104.51</c:v>
                </c:pt>
                <c:pt idx="276">
                  <c:v>103.12</c:v>
                </c:pt>
                <c:pt idx="277">
                  <c:v>99.77</c:v>
                </c:pt>
                <c:pt idx="278">
                  <c:v>101.48</c:v>
                </c:pt>
                <c:pt idx="279">
                  <c:v>101.78</c:v>
                </c:pt>
                <c:pt idx="280">
                  <c:v>102.49</c:v>
                </c:pt>
                <c:pt idx="281">
                  <c:v>102.97</c:v>
                </c:pt>
                <c:pt idx="282">
                  <c:v>103.54</c:v>
                </c:pt>
                <c:pt idx="283">
                  <c:v>104.87</c:v>
                </c:pt>
                <c:pt idx="284">
                  <c:v>104.33</c:v>
                </c:pt>
                <c:pt idx="285">
                  <c:v>103.41</c:v>
                </c:pt>
                <c:pt idx="286">
                  <c:v>103.6</c:v>
                </c:pt>
                <c:pt idx="287">
                  <c:v>105.58</c:v>
                </c:pt>
                <c:pt idx="288">
                  <c:v>108.1</c:v>
                </c:pt>
                <c:pt idx="289">
                  <c:v>103.23</c:v>
                </c:pt>
                <c:pt idx="290">
                  <c:v>101.55</c:v>
                </c:pt>
                <c:pt idx="291">
                  <c:v>100.97</c:v>
                </c:pt>
                <c:pt idx="292">
                  <c:v>101.38</c:v>
                </c:pt>
                <c:pt idx="293">
                  <c:v>101.8</c:v>
                </c:pt>
                <c:pt idx="294">
                  <c:v>103.3</c:v>
                </c:pt>
                <c:pt idx="295">
                  <c:v>101.97</c:v>
                </c:pt>
                <c:pt idx="296">
                  <c:v>102.41</c:v>
                </c:pt>
                <c:pt idx="297">
                  <c:v>103.1</c:v>
                </c:pt>
                <c:pt idx="298">
                  <c:v>103.53</c:v>
                </c:pt>
                <c:pt idx="299">
                  <c:v>102.11</c:v>
                </c:pt>
                <c:pt idx="300">
                  <c:v>102.28</c:v>
                </c:pt>
                <c:pt idx="301">
                  <c:v>101.63</c:v>
                </c:pt>
                <c:pt idx="302">
                  <c:v>101.26</c:v>
                </c:pt>
                <c:pt idx="303">
                  <c:v>99.9</c:v>
                </c:pt>
                <c:pt idx="304">
                  <c:v>99.77</c:v>
                </c:pt>
                <c:pt idx="305">
                  <c:v>100.23</c:v>
                </c:pt>
                <c:pt idx="306">
                  <c:v>99.03</c:v>
                </c:pt>
                <c:pt idx="307">
                  <c:v>97</c:v>
                </c:pt>
                <c:pt idx="308">
                  <c:v>99.08</c:v>
                </c:pt>
                <c:pt idx="309">
                  <c:v>97.81</c:v>
                </c:pt>
                <c:pt idx="310">
                  <c:v>97</c:v>
                </c:pt>
                <c:pt idx="311">
                  <c:v>98.87</c:v>
                </c:pt>
                <c:pt idx="312">
                  <c:v>97.12</c:v>
                </c:pt>
                <c:pt idx="313">
                  <c:v>97.87</c:v>
                </c:pt>
                <c:pt idx="314">
                  <c:v>99.37</c:v>
                </c:pt>
                <c:pt idx="315">
                  <c:v>100.52</c:v>
                </c:pt>
                <c:pt idx="316">
                  <c:v>98.78</c:v>
                </c:pt>
                <c:pt idx="317">
                  <c:v>98.14</c:v>
                </c:pt>
                <c:pt idx="318">
                  <c:v>99.79</c:v>
                </c:pt>
                <c:pt idx="319">
                  <c:v>99.23</c:v>
                </c:pt>
                <c:pt idx="320">
                  <c:v>98.82</c:v>
                </c:pt>
                <c:pt idx="321">
                  <c:v>98.78</c:v>
                </c:pt>
                <c:pt idx="322">
                  <c:v>98.68</c:v>
                </c:pt>
                <c:pt idx="323">
                  <c:v>100.58</c:v>
                </c:pt>
                <c:pt idx="324">
                  <c:v>99.63</c:v>
                </c:pt>
                <c:pt idx="325">
                  <c:v>99.32</c:v>
                </c:pt>
                <c:pt idx="326">
                  <c:v>98.68</c:v>
                </c:pt>
                <c:pt idx="327">
                  <c:v>98.59</c:v>
                </c:pt>
                <c:pt idx="328">
                  <c:v>97.91</c:v>
                </c:pt>
                <c:pt idx="329">
                  <c:v>99.57</c:v>
                </c:pt>
                <c:pt idx="330">
                  <c:v>98.28</c:v>
                </c:pt>
                <c:pt idx="331">
                  <c:v>97.68</c:v>
                </c:pt>
                <c:pt idx="332">
                  <c:v>98.76</c:v>
                </c:pt>
                <c:pt idx="333">
                  <c:v>98.5</c:v>
                </c:pt>
                <c:pt idx="334">
                  <c:v>98.06</c:v>
                </c:pt>
                <c:pt idx="335">
                  <c:v>97.22</c:v>
                </c:pt>
                <c:pt idx="336">
                  <c:v>99.57</c:v>
                </c:pt>
                <c:pt idx="337">
                  <c:v>100.88</c:v>
                </c:pt>
                <c:pt idx="338">
                  <c:v>100.2</c:v>
                </c:pt>
                <c:pt idx="339">
                  <c:v>98.41</c:v>
                </c:pt>
                <c:pt idx="340">
                  <c:v>100.09</c:v>
                </c:pt>
                <c:pt idx="341">
                  <c:v>100.48</c:v>
                </c:pt>
                <c:pt idx="342">
                  <c:v>100.84</c:v>
                </c:pt>
                <c:pt idx="343">
                  <c:v>101.31</c:v>
                </c:pt>
                <c:pt idx="344">
                  <c:v>103.4</c:v>
                </c:pt>
                <c:pt idx="345">
                  <c:v>102.71</c:v>
                </c:pt>
                <c:pt idx="346">
                  <c:v>102.31</c:v>
                </c:pt>
                <c:pt idx="347">
                  <c:v>102.44</c:v>
                </c:pt>
                <c:pt idx="348">
                  <c:v>102.45</c:v>
                </c:pt>
                <c:pt idx="349">
                  <c:v>101.28</c:v>
                </c:pt>
                <c:pt idx="350">
                  <c:v>100.52</c:v>
                </c:pt>
                <c:pt idx="351">
                  <c:v>100.6</c:v>
                </c:pt>
                <c:pt idx="352">
                  <c:v>98.13</c:v>
                </c:pt>
                <c:pt idx="353">
                  <c:v>98.42</c:v>
                </c:pt>
                <c:pt idx="354">
                  <c:v>97.92</c:v>
                </c:pt>
                <c:pt idx="355">
                  <c:v>97.81</c:v>
                </c:pt>
                <c:pt idx="356">
                  <c:v>98.68</c:v>
                </c:pt>
                <c:pt idx="357">
                  <c:v>98.38</c:v>
                </c:pt>
                <c:pt idx="358">
                  <c:v>100.32</c:v>
                </c:pt>
                <c:pt idx="359">
                  <c:v>100.87</c:v>
                </c:pt>
                <c:pt idx="360">
                  <c:v>102.36</c:v>
                </c:pt>
                <c:pt idx="361">
                  <c:v>102.72</c:v>
                </c:pt>
                <c:pt idx="362">
                  <c:v>102.7</c:v>
                </c:pt>
                <c:pt idx="363">
                  <c:v>104.65</c:v>
                </c:pt>
                <c:pt idx="364">
                  <c:v>107.05</c:v>
                </c:pt>
                <c:pt idx="365">
                  <c:v>107.15</c:v>
                </c:pt>
                <c:pt idx="366">
                  <c:v>105.39</c:v>
                </c:pt>
                <c:pt idx="367">
                  <c:v>104.44</c:v>
                </c:pt>
                <c:pt idx="368">
                  <c:v>105.48</c:v>
                </c:pt>
                <c:pt idx="369">
                  <c:v>104.24</c:v>
                </c:pt>
                <c:pt idx="370">
                  <c:v>104.68</c:v>
                </c:pt>
                <c:pt idx="371">
                  <c:v>102.82</c:v>
                </c:pt>
                <c:pt idx="372">
                  <c:v>102.63</c:v>
                </c:pt>
                <c:pt idx="373">
                  <c:v>102.34</c:v>
                </c:pt>
                <c:pt idx="374">
                  <c:v>103.13</c:v>
                </c:pt>
                <c:pt idx="375">
                  <c:v>103.17</c:v>
                </c:pt>
                <c:pt idx="376">
                  <c:v>103.69</c:v>
                </c:pt>
                <c:pt idx="377">
                  <c:v>102.42</c:v>
                </c:pt>
                <c:pt idx="378">
                  <c:v>103.7</c:v>
                </c:pt>
                <c:pt idx="379">
                  <c:v>103.97</c:v>
                </c:pt>
                <c:pt idx="380">
                  <c:v>105.2</c:v>
                </c:pt>
                <c:pt idx="381">
                  <c:v>105.21</c:v>
                </c:pt>
                <c:pt idx="382">
                  <c:v>107.21</c:v>
                </c:pt>
                <c:pt idx="383">
                  <c:v>107.42</c:v>
                </c:pt>
                <c:pt idx="384">
                  <c:v>109.15</c:v>
                </c:pt>
                <c:pt idx="385">
                  <c:v>109.35</c:v>
                </c:pt>
                <c:pt idx="386">
                  <c:v>109.45</c:v>
                </c:pt>
                <c:pt idx="387">
                  <c:v>109.84</c:v>
                </c:pt>
                <c:pt idx="388">
                  <c:v>111.27</c:v>
                </c:pt>
                <c:pt idx="389">
                  <c:v>110.62</c:v>
                </c:pt>
                <c:pt idx="390">
                  <c:v>110.23</c:v>
                </c:pt>
                <c:pt idx="391">
                  <c:v>109.85</c:v>
                </c:pt>
                <c:pt idx="392">
                  <c:v>110.32</c:v>
                </c:pt>
                <c:pt idx="393">
                  <c:v>112.64</c:v>
                </c:pt>
                <c:pt idx="394">
                  <c:v>111.75</c:v>
                </c:pt>
                <c:pt idx="395">
                  <c:v>111.76</c:v>
                </c:pt>
                <c:pt idx="396">
                  <c:v>112.69</c:v>
                </c:pt>
                <c:pt idx="397">
                  <c:v>112.1</c:v>
                </c:pt>
                <c:pt idx="398">
                  <c:v>111.88</c:v>
                </c:pt>
                <c:pt idx="399">
                  <c:v>113.21</c:v>
                </c:pt>
                <c:pt idx="400">
                  <c:v>115.05</c:v>
                </c:pt>
                <c:pt idx="401">
                  <c:v>115.66</c:v>
                </c:pt>
                <c:pt idx="402">
                  <c:v>113.1</c:v>
                </c:pt>
                <c:pt idx="403">
                  <c:v>113.28</c:v>
                </c:pt>
                <c:pt idx="404">
                  <c:v>111.81</c:v>
                </c:pt>
                <c:pt idx="405">
                  <c:v>111.26</c:v>
                </c:pt>
                <c:pt idx="406">
                  <c:v>111.88</c:v>
                </c:pt>
                <c:pt idx="407">
                  <c:v>111.98</c:v>
                </c:pt>
                <c:pt idx="408">
                  <c:v>111.61</c:v>
                </c:pt>
                <c:pt idx="409">
                  <c:v>111.61</c:v>
                </c:pt>
                <c:pt idx="410">
                  <c:v>111.13</c:v>
                </c:pt>
                <c:pt idx="411">
                  <c:v>111.52</c:v>
                </c:pt>
                <c:pt idx="412">
                  <c:v>111.08</c:v>
                </c:pt>
                <c:pt idx="413">
                  <c:v>111.14</c:v>
                </c:pt>
                <c:pt idx="414">
                  <c:v>111.07</c:v>
                </c:pt>
                <c:pt idx="415">
                  <c:v>111.47</c:v>
                </c:pt>
                <c:pt idx="416">
                  <c:v>111.71</c:v>
                </c:pt>
                <c:pt idx="417">
                  <c:v>111.58</c:v>
                </c:pt>
                <c:pt idx="418">
                  <c:v>111.06</c:v>
                </c:pt>
                <c:pt idx="419">
                  <c:v>111.16</c:v>
                </c:pt>
                <c:pt idx="420">
                  <c:v>110</c:v>
                </c:pt>
                <c:pt idx="421">
                  <c:v>109.02</c:v>
                </c:pt>
                <c:pt idx="422">
                  <c:v>109.41</c:v>
                </c:pt>
                <c:pt idx="423">
                  <c:v>110.12</c:v>
                </c:pt>
                <c:pt idx="424">
                  <c:v>109.83</c:v>
                </c:pt>
                <c:pt idx="425">
                  <c:v>108.76</c:v>
                </c:pt>
                <c:pt idx="426">
                  <c:v>108.62</c:v>
                </c:pt>
                <c:pt idx="427">
                  <c:v>109.82</c:v>
                </c:pt>
                <c:pt idx="428">
                  <c:v>108.42</c:v>
                </c:pt>
                <c:pt idx="429">
                  <c:v>108.52</c:v>
                </c:pt>
                <c:pt idx="430">
                  <c:v>108.69</c:v>
                </c:pt>
                <c:pt idx="431">
                  <c:v>108.94</c:v>
                </c:pt>
                <c:pt idx="432">
                  <c:v>110.76</c:v>
                </c:pt>
                <c:pt idx="433">
                  <c:v>109.55</c:v>
                </c:pt>
                <c:pt idx="434">
                  <c:v>111.9</c:v>
                </c:pt>
                <c:pt idx="435">
                  <c:v>112.76</c:v>
                </c:pt>
                <c:pt idx="436">
                  <c:v>114.32</c:v>
                </c:pt>
                <c:pt idx="437">
                  <c:v>115.15</c:v>
                </c:pt>
                <c:pt idx="438">
                  <c:v>116.04</c:v>
                </c:pt>
                <c:pt idx="439">
                  <c:v>115.35</c:v>
                </c:pt>
                <c:pt idx="440">
                  <c:v>116.75</c:v>
                </c:pt>
                <c:pt idx="441">
                  <c:v>116.01</c:v>
                </c:pt>
                <c:pt idx="442">
                  <c:v>115.24</c:v>
                </c:pt>
                <c:pt idx="443">
                  <c:v>113.9</c:v>
                </c:pt>
                <c:pt idx="444">
                  <c:v>115.13</c:v>
                </c:pt>
                <c:pt idx="445">
                  <c:v>115.99</c:v>
                </c:pt>
                <c:pt idx="446">
                  <c:v>111.99</c:v>
                </c:pt>
                <c:pt idx="447">
                  <c:v>110.29</c:v>
                </c:pt>
                <c:pt idx="448">
                  <c:v>111.74</c:v>
                </c:pt>
                <c:pt idx="449">
                  <c:v>112.57</c:v>
                </c:pt>
                <c:pt idx="450">
                  <c:v>115.3</c:v>
                </c:pt>
                <c:pt idx="451">
                  <c:v>116.23</c:v>
                </c:pt>
                <c:pt idx="452">
                  <c:v>115.29</c:v>
                </c:pt>
                <c:pt idx="453">
                  <c:v>117.98</c:v>
                </c:pt>
                <c:pt idx="454">
                  <c:v>117.36</c:v>
                </c:pt>
                <c:pt idx="455">
                  <c:v>116.94</c:v>
                </c:pt>
                <c:pt idx="456">
                  <c:v>110.75</c:v>
                </c:pt>
                <c:pt idx="457">
                  <c:v>113.28</c:v>
                </c:pt>
                <c:pt idx="458">
                  <c:v>112.32</c:v>
                </c:pt>
                <c:pt idx="459">
                  <c:v>112.17</c:v>
                </c:pt>
                <c:pt idx="460">
                  <c:v>113.88</c:v>
                </c:pt>
                <c:pt idx="461">
                  <c:v>113.95</c:v>
                </c:pt>
                <c:pt idx="462">
                  <c:v>115.21</c:v>
                </c:pt>
                <c:pt idx="463">
                  <c:v>114.29</c:v>
                </c:pt>
                <c:pt idx="464">
                  <c:v>114.56</c:v>
                </c:pt>
                <c:pt idx="465">
                  <c:v>115.81</c:v>
                </c:pt>
                <c:pt idx="466">
                  <c:v>116.15</c:v>
                </c:pt>
                <c:pt idx="467">
                  <c:v>115.11</c:v>
                </c:pt>
                <c:pt idx="468">
                  <c:v>117.09</c:v>
                </c:pt>
                <c:pt idx="469">
                  <c:v>115.8</c:v>
                </c:pt>
                <c:pt idx="470">
                  <c:v>115.95</c:v>
                </c:pt>
                <c:pt idx="471">
                  <c:v>116.22</c:v>
                </c:pt>
                <c:pt idx="472">
                  <c:v>116.21</c:v>
                </c:pt>
                <c:pt idx="473">
                  <c:v>115.3</c:v>
                </c:pt>
                <c:pt idx="474">
                  <c:v>114.53</c:v>
                </c:pt>
                <c:pt idx="475">
                  <c:v>111.01</c:v>
                </c:pt>
                <c:pt idx="476">
                  <c:v>112.16</c:v>
                </c:pt>
                <c:pt idx="477">
                  <c:v>111.22</c:v>
                </c:pt>
                <c:pt idx="478">
                  <c:v>111.68</c:v>
                </c:pt>
                <c:pt idx="479">
                  <c:v>113.02</c:v>
                </c:pt>
                <c:pt idx="480">
                  <c:v>115.21</c:v>
                </c:pt>
                <c:pt idx="481">
                  <c:v>115.71</c:v>
                </c:pt>
                <c:pt idx="482">
                  <c:v>114.6</c:v>
                </c:pt>
                <c:pt idx="483">
                  <c:v>114.85</c:v>
                </c:pt>
                <c:pt idx="484">
                  <c:v>112</c:v>
                </c:pt>
                <c:pt idx="485">
                  <c:v>113.45</c:v>
                </c:pt>
                <c:pt idx="486">
                  <c:v>111.98</c:v>
                </c:pt>
                <c:pt idx="487">
                  <c:v>111.86</c:v>
                </c:pt>
                <c:pt idx="488">
                  <c:v>111.97</c:v>
                </c:pt>
                <c:pt idx="489">
                  <c:v>112.21</c:v>
                </c:pt>
                <c:pt idx="490">
                  <c:v>113.39</c:v>
                </c:pt>
                <c:pt idx="491">
                  <c:v>112.2</c:v>
                </c:pt>
                <c:pt idx="492">
                  <c:v>110.62</c:v>
                </c:pt>
                <c:pt idx="493">
                  <c:v>109.45</c:v>
                </c:pt>
                <c:pt idx="494">
                  <c:v>109.22</c:v>
                </c:pt>
                <c:pt idx="495">
                  <c:v>107</c:v>
                </c:pt>
                <c:pt idx="496">
                  <c:v>104.22</c:v>
                </c:pt>
                <c:pt idx="497">
                  <c:v>100.35</c:v>
                </c:pt>
                <c:pt idx="498">
                  <c:v>105.83</c:v>
                </c:pt>
                <c:pt idx="499">
                  <c:v>106.52</c:v>
                </c:pt>
                <c:pt idx="500">
                  <c:v>107.3</c:v>
                </c:pt>
                <c:pt idx="501">
                  <c:v>109.65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88-4627-A9B5-13E947E20CD9}"/>
            </c:ext>
          </c:extLst>
        </c:ser>
        <c:ser>
          <c:idx val="7"/>
          <c:order val="7"/>
          <c:tx>
            <c:strRef>
              <c:f>wide_company_closes_reorder!$I$1</c:f>
              <c:strCache>
                <c:ptCount val="1"/>
                <c:pt idx="0">
                  <c:v>DWDP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wide_company_closes_reorder!$I$2:$I$503</c:f>
              <c:numCache>
                <c:formatCode>General</c:formatCode>
                <c:ptCount val="50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65.290000000000006</c:v>
                </c:pt>
                <c:pt idx="169">
                  <c:v>63.15</c:v>
                </c:pt>
                <c:pt idx="170">
                  <c:v>63.05</c:v>
                </c:pt>
                <c:pt idx="171">
                  <c:v>62.86</c:v>
                </c:pt>
                <c:pt idx="172">
                  <c:v>63.03</c:v>
                </c:pt>
                <c:pt idx="173">
                  <c:v>64.97</c:v>
                </c:pt>
                <c:pt idx="174">
                  <c:v>66.59</c:v>
                </c:pt>
                <c:pt idx="175">
                  <c:v>67.55</c:v>
                </c:pt>
                <c:pt idx="176">
                  <c:v>68.05</c:v>
                </c:pt>
                <c:pt idx="177">
                  <c:v>67.900000000000006</c:v>
                </c:pt>
                <c:pt idx="178">
                  <c:v>67.81</c:v>
                </c:pt>
                <c:pt idx="179">
                  <c:v>68.08</c:v>
                </c:pt>
                <c:pt idx="180">
                  <c:v>68.430000000000007</c:v>
                </c:pt>
                <c:pt idx="181">
                  <c:v>68.34</c:v>
                </c:pt>
                <c:pt idx="182">
                  <c:v>67.989999999999995</c:v>
                </c:pt>
                <c:pt idx="183">
                  <c:v>68.36</c:v>
                </c:pt>
                <c:pt idx="184">
                  <c:v>67.400000000000006</c:v>
                </c:pt>
                <c:pt idx="185">
                  <c:v>66.87</c:v>
                </c:pt>
                <c:pt idx="186">
                  <c:v>67.12</c:v>
                </c:pt>
                <c:pt idx="187">
                  <c:v>67.28</c:v>
                </c:pt>
                <c:pt idx="188">
                  <c:v>68.44</c:v>
                </c:pt>
                <c:pt idx="189">
                  <c:v>68.38</c:v>
                </c:pt>
                <c:pt idx="190">
                  <c:v>68.47</c:v>
                </c:pt>
                <c:pt idx="191">
                  <c:v>68.98</c:v>
                </c:pt>
                <c:pt idx="192">
                  <c:v>69.22</c:v>
                </c:pt>
                <c:pt idx="193">
                  <c:v>69.67</c:v>
                </c:pt>
                <c:pt idx="194">
                  <c:v>69.56</c:v>
                </c:pt>
                <c:pt idx="195">
                  <c:v>69.61</c:v>
                </c:pt>
                <c:pt idx="196">
                  <c:v>69.39</c:v>
                </c:pt>
                <c:pt idx="197">
                  <c:v>69.42</c:v>
                </c:pt>
                <c:pt idx="198">
                  <c:v>68.94</c:v>
                </c:pt>
                <c:pt idx="199">
                  <c:v>68.89</c:v>
                </c:pt>
                <c:pt idx="200">
                  <c:v>68.790000000000006</c:v>
                </c:pt>
                <c:pt idx="201">
                  <c:v>68.900000000000006</c:v>
                </c:pt>
                <c:pt idx="202">
                  <c:v>69.180000000000007</c:v>
                </c:pt>
                <c:pt idx="203">
                  <c:v>69.540000000000006</c:v>
                </c:pt>
                <c:pt idx="204">
                  <c:v>69.84</c:v>
                </c:pt>
                <c:pt idx="205">
                  <c:v>69.09</c:v>
                </c:pt>
                <c:pt idx="206">
                  <c:v>71</c:v>
                </c:pt>
                <c:pt idx="207">
                  <c:v>70.5</c:v>
                </c:pt>
                <c:pt idx="208">
                  <c:v>69.67</c:v>
                </c:pt>
                <c:pt idx="209">
                  <c:v>70.28</c:v>
                </c:pt>
                <c:pt idx="210">
                  <c:v>71.260000000000005</c:v>
                </c:pt>
                <c:pt idx="211">
                  <c:v>70.02</c:v>
                </c:pt>
                <c:pt idx="212">
                  <c:v>69.16</c:v>
                </c:pt>
                <c:pt idx="213">
                  <c:v>68.27</c:v>
                </c:pt>
                <c:pt idx="214">
                  <c:v>69.14</c:v>
                </c:pt>
                <c:pt idx="215">
                  <c:v>68.819999999999993</c:v>
                </c:pt>
                <c:pt idx="216">
                  <c:v>68.260000000000005</c:v>
                </c:pt>
                <c:pt idx="217">
                  <c:v>68</c:v>
                </c:pt>
                <c:pt idx="218">
                  <c:v>68.48</c:v>
                </c:pt>
                <c:pt idx="219">
                  <c:v>67</c:v>
                </c:pt>
                <c:pt idx="220">
                  <c:v>67.400000000000006</c:v>
                </c:pt>
                <c:pt idx="221">
                  <c:v>69.069999999999993</c:v>
                </c:pt>
                <c:pt idx="222">
                  <c:v>69.12</c:v>
                </c:pt>
                <c:pt idx="223">
                  <c:v>69.23</c:v>
                </c:pt>
                <c:pt idx="224">
                  <c:v>69.63</c:v>
                </c:pt>
                <c:pt idx="225">
                  <c:v>68.989999999999995</c:v>
                </c:pt>
                <c:pt idx="226">
                  <c:v>69.53</c:v>
                </c:pt>
                <c:pt idx="227">
                  <c:v>68.53</c:v>
                </c:pt>
                <c:pt idx="228">
                  <c:v>69.47</c:v>
                </c:pt>
                <c:pt idx="229">
                  <c:v>70.14</c:v>
                </c:pt>
                <c:pt idx="230">
                  <c:v>70.319999999999993</c:v>
                </c:pt>
                <c:pt idx="231">
                  <c:v>69.39</c:v>
                </c:pt>
                <c:pt idx="232">
                  <c:v>70.48</c:v>
                </c:pt>
                <c:pt idx="233">
                  <c:v>69.91</c:v>
                </c:pt>
                <c:pt idx="234">
                  <c:v>69.459999999999994</c:v>
                </c:pt>
                <c:pt idx="235">
                  <c:v>69.739999999999995</c:v>
                </c:pt>
                <c:pt idx="236">
                  <c:v>69.11</c:v>
                </c:pt>
                <c:pt idx="237">
                  <c:v>69.19</c:v>
                </c:pt>
                <c:pt idx="238">
                  <c:v>69.17</c:v>
                </c:pt>
                <c:pt idx="239">
                  <c:v>68.95</c:v>
                </c:pt>
                <c:pt idx="240">
                  <c:v>68.709999999999994</c:v>
                </c:pt>
                <c:pt idx="241">
                  <c:v>68.400000000000006</c:v>
                </c:pt>
                <c:pt idx="242">
                  <c:v>69.760000000000005</c:v>
                </c:pt>
                <c:pt idx="243">
                  <c:v>69.790000000000006</c:v>
                </c:pt>
                <c:pt idx="244">
                  <c:v>69.64</c:v>
                </c:pt>
                <c:pt idx="245">
                  <c:v>70</c:v>
                </c:pt>
                <c:pt idx="246">
                  <c:v>70.459999999999994</c:v>
                </c:pt>
                <c:pt idx="247">
                  <c:v>69.81</c:v>
                </c:pt>
                <c:pt idx="248">
                  <c:v>69.81</c:v>
                </c:pt>
                <c:pt idx="249">
                  <c:v>69.88</c:v>
                </c:pt>
                <c:pt idx="250">
                  <c:v>69.59</c:v>
                </c:pt>
                <c:pt idx="251">
                  <c:v>70.260000000000005</c:v>
                </c:pt>
                <c:pt idx="252">
                  <c:v>71.38</c:v>
                </c:pt>
                <c:pt idx="253">
                  <c:v>72.75</c:v>
                </c:pt>
                <c:pt idx="254">
                  <c:v>73.7</c:v>
                </c:pt>
                <c:pt idx="255">
                  <c:v>73.44</c:v>
                </c:pt>
                <c:pt idx="256">
                  <c:v>73.62</c:v>
                </c:pt>
                <c:pt idx="257">
                  <c:v>72.510000000000005</c:v>
                </c:pt>
                <c:pt idx="258">
                  <c:v>73.5</c:v>
                </c:pt>
                <c:pt idx="259">
                  <c:v>73.69</c:v>
                </c:pt>
                <c:pt idx="260">
                  <c:v>73.239999999999995</c:v>
                </c:pt>
                <c:pt idx="261">
                  <c:v>74.040000000000006</c:v>
                </c:pt>
                <c:pt idx="262">
                  <c:v>74.290000000000006</c:v>
                </c:pt>
                <c:pt idx="263">
                  <c:v>74.27</c:v>
                </c:pt>
                <c:pt idx="264">
                  <c:v>74.44</c:v>
                </c:pt>
                <c:pt idx="265">
                  <c:v>74.400000000000006</c:v>
                </c:pt>
                <c:pt idx="266">
                  <c:v>74.27</c:v>
                </c:pt>
                <c:pt idx="267">
                  <c:v>74.900000000000006</c:v>
                </c:pt>
                <c:pt idx="268">
                  <c:v>75.260000000000005</c:v>
                </c:pt>
                <c:pt idx="269">
                  <c:v>74.14</c:v>
                </c:pt>
                <c:pt idx="270">
                  <c:v>73.41</c:v>
                </c:pt>
                <c:pt idx="271">
                  <c:v>73.849999999999994</c:v>
                </c:pt>
                <c:pt idx="272">
                  <c:v>71.819999999999993</c:v>
                </c:pt>
                <c:pt idx="273">
                  <c:v>69.27</c:v>
                </c:pt>
                <c:pt idx="274">
                  <c:v>66.290000000000006</c:v>
                </c:pt>
                <c:pt idx="275">
                  <c:v>70.25</c:v>
                </c:pt>
                <c:pt idx="276">
                  <c:v>68.989999999999995</c:v>
                </c:pt>
                <c:pt idx="277">
                  <c:v>66.650000000000006</c:v>
                </c:pt>
                <c:pt idx="278">
                  <c:v>67.89</c:v>
                </c:pt>
                <c:pt idx="279">
                  <c:v>70.2</c:v>
                </c:pt>
                <c:pt idx="280">
                  <c:v>69.13</c:v>
                </c:pt>
                <c:pt idx="281">
                  <c:v>69.7</c:v>
                </c:pt>
                <c:pt idx="282">
                  <c:v>70.209999999999994</c:v>
                </c:pt>
                <c:pt idx="283">
                  <c:v>70.31</c:v>
                </c:pt>
                <c:pt idx="284">
                  <c:v>69.98</c:v>
                </c:pt>
                <c:pt idx="285">
                  <c:v>69.34</c:v>
                </c:pt>
                <c:pt idx="286">
                  <c:v>70.290000000000006</c:v>
                </c:pt>
                <c:pt idx="287">
                  <c:v>71.59</c:v>
                </c:pt>
                <c:pt idx="288">
                  <c:v>72.37</c:v>
                </c:pt>
                <c:pt idx="289">
                  <c:v>71.069999999999993</c:v>
                </c:pt>
                <c:pt idx="290">
                  <c:v>69.05</c:v>
                </c:pt>
                <c:pt idx="291">
                  <c:v>67.540000000000006</c:v>
                </c:pt>
                <c:pt idx="292">
                  <c:v>67.209999999999994</c:v>
                </c:pt>
                <c:pt idx="293">
                  <c:v>68.42</c:v>
                </c:pt>
                <c:pt idx="294">
                  <c:v>69.53</c:v>
                </c:pt>
                <c:pt idx="295">
                  <c:v>68.92</c:v>
                </c:pt>
                <c:pt idx="296">
                  <c:v>69.319999999999993</c:v>
                </c:pt>
                <c:pt idx="297">
                  <c:v>70.94</c:v>
                </c:pt>
                <c:pt idx="298">
                  <c:v>70.069999999999993</c:v>
                </c:pt>
                <c:pt idx="299">
                  <c:v>69.31</c:v>
                </c:pt>
                <c:pt idx="300">
                  <c:v>67.760000000000005</c:v>
                </c:pt>
                <c:pt idx="301">
                  <c:v>66.67</c:v>
                </c:pt>
                <c:pt idx="302">
                  <c:v>66.75</c:v>
                </c:pt>
                <c:pt idx="303">
                  <c:v>65.38</c:v>
                </c:pt>
                <c:pt idx="304">
                  <c:v>65.209999999999994</c:v>
                </c:pt>
                <c:pt idx="305">
                  <c:v>66.23</c:v>
                </c:pt>
                <c:pt idx="306">
                  <c:v>64.45</c:v>
                </c:pt>
                <c:pt idx="307">
                  <c:v>61.94</c:v>
                </c:pt>
                <c:pt idx="308">
                  <c:v>63.33</c:v>
                </c:pt>
                <c:pt idx="309">
                  <c:v>62.51</c:v>
                </c:pt>
                <c:pt idx="310">
                  <c:v>61.3</c:v>
                </c:pt>
                <c:pt idx="311">
                  <c:v>62.58</c:v>
                </c:pt>
                <c:pt idx="312">
                  <c:v>60.94</c:v>
                </c:pt>
                <c:pt idx="313">
                  <c:v>62.19</c:v>
                </c:pt>
                <c:pt idx="314">
                  <c:v>62.56</c:v>
                </c:pt>
                <c:pt idx="315">
                  <c:v>64.28</c:v>
                </c:pt>
                <c:pt idx="316">
                  <c:v>62.58</c:v>
                </c:pt>
                <c:pt idx="317">
                  <c:v>62.56</c:v>
                </c:pt>
                <c:pt idx="318">
                  <c:v>64.72</c:v>
                </c:pt>
                <c:pt idx="319">
                  <c:v>63.58</c:v>
                </c:pt>
                <c:pt idx="320">
                  <c:v>65.290000000000006</c:v>
                </c:pt>
                <c:pt idx="321">
                  <c:v>64.989999999999995</c:v>
                </c:pt>
                <c:pt idx="322">
                  <c:v>65.819999999999993</c:v>
                </c:pt>
                <c:pt idx="323">
                  <c:v>66.349999999999994</c:v>
                </c:pt>
                <c:pt idx="324">
                  <c:v>66.849999999999994</c:v>
                </c:pt>
                <c:pt idx="325">
                  <c:v>65.349999999999994</c:v>
                </c:pt>
                <c:pt idx="326">
                  <c:v>64.86</c:v>
                </c:pt>
                <c:pt idx="327">
                  <c:v>64.430000000000007</c:v>
                </c:pt>
                <c:pt idx="328">
                  <c:v>62.06</c:v>
                </c:pt>
                <c:pt idx="329">
                  <c:v>62.51</c:v>
                </c:pt>
                <c:pt idx="330">
                  <c:v>62.9</c:v>
                </c:pt>
                <c:pt idx="331">
                  <c:v>63.18</c:v>
                </c:pt>
                <c:pt idx="332">
                  <c:v>62.11</c:v>
                </c:pt>
                <c:pt idx="333">
                  <c:v>61.94</c:v>
                </c:pt>
                <c:pt idx="334">
                  <c:v>62.36</c:v>
                </c:pt>
                <c:pt idx="335">
                  <c:v>62.34</c:v>
                </c:pt>
                <c:pt idx="336">
                  <c:v>63.32</c:v>
                </c:pt>
                <c:pt idx="337">
                  <c:v>63.76</c:v>
                </c:pt>
                <c:pt idx="338">
                  <c:v>63.09</c:v>
                </c:pt>
                <c:pt idx="339">
                  <c:v>64.849999999999994</c:v>
                </c:pt>
                <c:pt idx="340">
                  <c:v>65.760000000000005</c:v>
                </c:pt>
                <c:pt idx="341">
                  <c:v>65.739999999999995</c:v>
                </c:pt>
                <c:pt idx="342">
                  <c:v>66.33</c:v>
                </c:pt>
                <c:pt idx="343">
                  <c:v>65.95</c:v>
                </c:pt>
                <c:pt idx="344">
                  <c:v>66.819999999999993</c:v>
                </c:pt>
                <c:pt idx="345">
                  <c:v>66.95</c:v>
                </c:pt>
                <c:pt idx="346">
                  <c:v>66.37</c:v>
                </c:pt>
                <c:pt idx="347">
                  <c:v>67.41</c:v>
                </c:pt>
                <c:pt idx="348">
                  <c:v>66.27</c:v>
                </c:pt>
                <c:pt idx="349">
                  <c:v>65.849999999999994</c:v>
                </c:pt>
                <c:pt idx="350">
                  <c:v>65.2</c:v>
                </c:pt>
                <c:pt idx="351">
                  <c:v>64.540000000000006</c:v>
                </c:pt>
                <c:pt idx="352">
                  <c:v>62.8</c:v>
                </c:pt>
                <c:pt idx="353">
                  <c:v>64.02</c:v>
                </c:pt>
                <c:pt idx="354">
                  <c:v>63.35</c:v>
                </c:pt>
                <c:pt idx="355">
                  <c:v>65.38</c:v>
                </c:pt>
                <c:pt idx="356">
                  <c:v>66.33</c:v>
                </c:pt>
                <c:pt idx="357">
                  <c:v>67.08</c:v>
                </c:pt>
                <c:pt idx="358">
                  <c:v>69.2</c:v>
                </c:pt>
                <c:pt idx="359">
                  <c:v>68.59</c:v>
                </c:pt>
                <c:pt idx="360">
                  <c:v>68.66</c:v>
                </c:pt>
                <c:pt idx="361">
                  <c:v>68.66</c:v>
                </c:pt>
                <c:pt idx="362">
                  <c:v>68.95</c:v>
                </c:pt>
                <c:pt idx="363">
                  <c:v>67.75</c:v>
                </c:pt>
                <c:pt idx="364">
                  <c:v>67.56</c:v>
                </c:pt>
                <c:pt idx="365">
                  <c:v>66.94</c:v>
                </c:pt>
                <c:pt idx="366">
                  <c:v>66.98</c:v>
                </c:pt>
                <c:pt idx="367">
                  <c:v>65.569999999999993</c:v>
                </c:pt>
                <c:pt idx="368">
                  <c:v>65.099999999999994</c:v>
                </c:pt>
                <c:pt idx="369">
                  <c:v>64.5</c:v>
                </c:pt>
                <c:pt idx="370">
                  <c:v>66.2</c:v>
                </c:pt>
                <c:pt idx="371">
                  <c:v>65.19</c:v>
                </c:pt>
                <c:pt idx="372">
                  <c:v>65.52</c:v>
                </c:pt>
                <c:pt idx="373">
                  <c:v>64.83</c:v>
                </c:pt>
                <c:pt idx="374">
                  <c:v>65.36</c:v>
                </c:pt>
                <c:pt idx="375">
                  <c:v>65.13</c:v>
                </c:pt>
                <c:pt idx="376">
                  <c:v>64.989999999999995</c:v>
                </c:pt>
                <c:pt idx="377">
                  <c:v>64.37</c:v>
                </c:pt>
                <c:pt idx="378">
                  <c:v>65.28</c:v>
                </c:pt>
                <c:pt idx="379">
                  <c:v>65.14</c:v>
                </c:pt>
                <c:pt idx="380">
                  <c:v>65.95</c:v>
                </c:pt>
                <c:pt idx="381">
                  <c:v>67</c:v>
                </c:pt>
                <c:pt idx="382">
                  <c:v>65.510000000000005</c:v>
                </c:pt>
                <c:pt idx="383">
                  <c:v>65.459999999999994</c:v>
                </c:pt>
                <c:pt idx="384">
                  <c:v>65.569999999999993</c:v>
                </c:pt>
                <c:pt idx="385">
                  <c:v>64.94</c:v>
                </c:pt>
                <c:pt idx="386">
                  <c:v>66.260000000000005</c:v>
                </c:pt>
                <c:pt idx="387">
                  <c:v>65.8</c:v>
                </c:pt>
                <c:pt idx="388">
                  <c:v>65.349999999999994</c:v>
                </c:pt>
                <c:pt idx="389">
                  <c:v>65.040000000000006</c:v>
                </c:pt>
                <c:pt idx="390">
                  <c:v>64.92</c:v>
                </c:pt>
                <c:pt idx="391">
                  <c:v>66.12</c:v>
                </c:pt>
                <c:pt idx="392">
                  <c:v>66.72</c:v>
                </c:pt>
                <c:pt idx="393">
                  <c:v>67.44</c:v>
                </c:pt>
                <c:pt idx="394">
                  <c:v>67.55</c:v>
                </c:pt>
                <c:pt idx="395">
                  <c:v>67.239999999999995</c:v>
                </c:pt>
                <c:pt idx="396">
                  <c:v>67.95</c:v>
                </c:pt>
                <c:pt idx="397">
                  <c:v>67.150000000000006</c:v>
                </c:pt>
                <c:pt idx="398">
                  <c:v>65.650000000000006</c:v>
                </c:pt>
                <c:pt idx="399">
                  <c:v>66.02</c:v>
                </c:pt>
                <c:pt idx="400">
                  <c:v>66.95</c:v>
                </c:pt>
                <c:pt idx="401">
                  <c:v>67.33</c:v>
                </c:pt>
                <c:pt idx="402">
                  <c:v>66.849999999999994</c:v>
                </c:pt>
                <c:pt idx="403">
                  <c:v>68.2</c:v>
                </c:pt>
                <c:pt idx="404">
                  <c:v>66.930000000000007</c:v>
                </c:pt>
                <c:pt idx="405">
                  <c:v>65.8</c:v>
                </c:pt>
                <c:pt idx="406">
                  <c:v>66.75</c:v>
                </c:pt>
                <c:pt idx="407">
                  <c:v>65.67</c:v>
                </c:pt>
                <c:pt idx="408">
                  <c:v>66.28</c:v>
                </c:pt>
                <c:pt idx="409">
                  <c:v>66.98</c:v>
                </c:pt>
                <c:pt idx="410">
                  <c:v>67.66</c:v>
                </c:pt>
                <c:pt idx="411">
                  <c:v>68.010000000000005</c:v>
                </c:pt>
                <c:pt idx="412">
                  <c:v>67.94</c:v>
                </c:pt>
                <c:pt idx="413">
                  <c:v>67.3</c:v>
                </c:pt>
                <c:pt idx="414">
                  <c:v>68.38</c:v>
                </c:pt>
                <c:pt idx="415">
                  <c:v>69.97</c:v>
                </c:pt>
                <c:pt idx="416">
                  <c:v>69.900000000000006</c:v>
                </c:pt>
                <c:pt idx="417">
                  <c:v>70.59</c:v>
                </c:pt>
                <c:pt idx="418">
                  <c:v>69.73</c:v>
                </c:pt>
                <c:pt idx="419">
                  <c:v>69.66</c:v>
                </c:pt>
                <c:pt idx="420">
                  <c:v>69.260000000000005</c:v>
                </c:pt>
                <c:pt idx="421">
                  <c:v>69.58</c:v>
                </c:pt>
                <c:pt idx="422">
                  <c:v>69.61</c:v>
                </c:pt>
                <c:pt idx="423">
                  <c:v>69.540000000000006</c:v>
                </c:pt>
                <c:pt idx="424">
                  <c:v>69.59</c:v>
                </c:pt>
                <c:pt idx="425">
                  <c:v>69.61</c:v>
                </c:pt>
                <c:pt idx="426">
                  <c:v>68.78</c:v>
                </c:pt>
                <c:pt idx="427">
                  <c:v>68.459999999999994</c:v>
                </c:pt>
                <c:pt idx="428">
                  <c:v>68.12</c:v>
                </c:pt>
                <c:pt idx="429">
                  <c:v>68.36</c:v>
                </c:pt>
                <c:pt idx="430">
                  <c:v>67.58</c:v>
                </c:pt>
                <c:pt idx="431">
                  <c:v>68.27</c:v>
                </c:pt>
                <c:pt idx="432">
                  <c:v>69.56</c:v>
                </c:pt>
                <c:pt idx="433">
                  <c:v>69.23</c:v>
                </c:pt>
                <c:pt idx="434">
                  <c:v>67.75</c:v>
                </c:pt>
                <c:pt idx="435">
                  <c:v>67.5</c:v>
                </c:pt>
                <c:pt idx="436">
                  <c:v>66.45</c:v>
                </c:pt>
                <c:pt idx="437">
                  <c:v>64.900000000000006</c:v>
                </c:pt>
                <c:pt idx="438">
                  <c:v>63.88</c:v>
                </c:pt>
                <c:pt idx="439">
                  <c:v>64.39</c:v>
                </c:pt>
                <c:pt idx="440">
                  <c:v>64.39</c:v>
                </c:pt>
                <c:pt idx="441">
                  <c:v>63.96</c:v>
                </c:pt>
                <c:pt idx="442">
                  <c:v>63.58</c:v>
                </c:pt>
                <c:pt idx="443">
                  <c:v>62.77</c:v>
                </c:pt>
                <c:pt idx="444">
                  <c:v>62.74</c:v>
                </c:pt>
                <c:pt idx="445">
                  <c:v>60.44</c:v>
                </c:pt>
                <c:pt idx="446">
                  <c:v>58.93</c:v>
                </c:pt>
                <c:pt idx="447">
                  <c:v>58.59</c:v>
                </c:pt>
                <c:pt idx="448">
                  <c:v>59.26</c:v>
                </c:pt>
                <c:pt idx="449">
                  <c:v>58.55</c:v>
                </c:pt>
                <c:pt idx="450">
                  <c:v>59.86</c:v>
                </c:pt>
                <c:pt idx="451">
                  <c:v>59.17</c:v>
                </c:pt>
                <c:pt idx="452">
                  <c:v>58.19</c:v>
                </c:pt>
                <c:pt idx="453">
                  <c:v>57.11</c:v>
                </c:pt>
                <c:pt idx="454">
                  <c:v>55.7</c:v>
                </c:pt>
                <c:pt idx="455">
                  <c:v>54.32</c:v>
                </c:pt>
                <c:pt idx="456">
                  <c:v>52.33</c:v>
                </c:pt>
                <c:pt idx="457">
                  <c:v>52.57</c:v>
                </c:pt>
                <c:pt idx="458">
                  <c:v>51.65</c:v>
                </c:pt>
                <c:pt idx="459">
                  <c:v>51.72</c:v>
                </c:pt>
                <c:pt idx="460">
                  <c:v>52.28</c:v>
                </c:pt>
                <c:pt idx="461">
                  <c:v>53.56</c:v>
                </c:pt>
                <c:pt idx="462">
                  <c:v>57.88</c:v>
                </c:pt>
                <c:pt idx="463">
                  <c:v>57.35</c:v>
                </c:pt>
                <c:pt idx="464">
                  <c:v>57.25</c:v>
                </c:pt>
                <c:pt idx="465">
                  <c:v>57.63</c:v>
                </c:pt>
                <c:pt idx="466">
                  <c:v>59.43</c:v>
                </c:pt>
                <c:pt idx="467">
                  <c:v>59.05</c:v>
                </c:pt>
                <c:pt idx="468">
                  <c:v>58.29</c:v>
                </c:pt>
                <c:pt idx="469">
                  <c:v>57.32</c:v>
                </c:pt>
                <c:pt idx="470">
                  <c:v>57.09</c:v>
                </c:pt>
                <c:pt idx="471">
                  <c:v>57.6</c:v>
                </c:pt>
                <c:pt idx="472">
                  <c:v>58.34</c:v>
                </c:pt>
                <c:pt idx="473">
                  <c:v>58.8</c:v>
                </c:pt>
                <c:pt idx="474">
                  <c:v>57.42</c:v>
                </c:pt>
                <c:pt idx="475">
                  <c:v>56</c:v>
                </c:pt>
                <c:pt idx="476">
                  <c:v>56.59</c:v>
                </c:pt>
                <c:pt idx="477">
                  <c:v>56.06</c:v>
                </c:pt>
                <c:pt idx="478">
                  <c:v>57.28</c:v>
                </c:pt>
                <c:pt idx="479">
                  <c:v>56.8</c:v>
                </c:pt>
                <c:pt idx="480">
                  <c:v>56.84</c:v>
                </c:pt>
                <c:pt idx="481">
                  <c:v>57.24</c:v>
                </c:pt>
                <c:pt idx="482">
                  <c:v>57.85</c:v>
                </c:pt>
                <c:pt idx="483">
                  <c:v>59.16</c:v>
                </c:pt>
                <c:pt idx="484">
                  <c:v>56.49</c:v>
                </c:pt>
                <c:pt idx="485">
                  <c:v>55.92</c:v>
                </c:pt>
                <c:pt idx="486">
                  <c:v>53.75</c:v>
                </c:pt>
                <c:pt idx="487">
                  <c:v>53.8</c:v>
                </c:pt>
                <c:pt idx="488">
                  <c:v>53.26</c:v>
                </c:pt>
                <c:pt idx="489">
                  <c:v>54.35</c:v>
                </c:pt>
                <c:pt idx="490">
                  <c:v>53.78</c:v>
                </c:pt>
                <c:pt idx="491">
                  <c:v>52.78</c:v>
                </c:pt>
                <c:pt idx="492">
                  <c:v>51.68</c:v>
                </c:pt>
                <c:pt idx="493">
                  <c:v>52.29</c:v>
                </c:pt>
                <c:pt idx="494">
                  <c:v>52.16</c:v>
                </c:pt>
                <c:pt idx="495">
                  <c:v>51.04</c:v>
                </c:pt>
                <c:pt idx="496">
                  <c:v>50.59</c:v>
                </c:pt>
                <c:pt idx="497">
                  <c:v>49.09</c:v>
                </c:pt>
                <c:pt idx="498">
                  <c:v>52.23</c:v>
                </c:pt>
                <c:pt idx="499">
                  <c:v>53.33</c:v>
                </c:pt>
                <c:pt idx="500">
                  <c:v>53.02</c:v>
                </c:pt>
                <c:pt idx="501">
                  <c:v>53.48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A88-4627-A9B5-13E947E20CD9}"/>
            </c:ext>
          </c:extLst>
        </c:ser>
        <c:ser>
          <c:idx val="8"/>
          <c:order val="8"/>
          <c:tx>
            <c:strRef>
              <c:f>wide_company_closes_reorder!$J$1</c:f>
              <c:strCache>
                <c:ptCount val="1"/>
                <c:pt idx="0">
                  <c:v>GS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wide_company_closes_reorder!$J$2:$J$503</c:f>
              <c:numCache>
                <c:formatCode>General</c:formatCode>
                <c:ptCount val="502"/>
                <c:pt idx="0">
                  <c:v>235.32</c:v>
                </c:pt>
                <c:pt idx="1">
                  <c:v>236.84</c:v>
                </c:pt>
                <c:pt idx="2">
                  <c:v>235.08</c:v>
                </c:pt>
                <c:pt idx="3">
                  <c:v>238.57</c:v>
                </c:pt>
                <c:pt idx="4">
                  <c:v>236.61</c:v>
                </c:pt>
                <c:pt idx="5">
                  <c:v>236.3</c:v>
                </c:pt>
                <c:pt idx="6">
                  <c:v>239.4</c:v>
                </c:pt>
                <c:pt idx="7">
                  <c:v>237.53</c:v>
                </c:pt>
                <c:pt idx="8">
                  <c:v>237.98</c:v>
                </c:pt>
                <c:pt idx="9">
                  <c:v>229.64</c:v>
                </c:pt>
                <c:pt idx="10">
                  <c:v>228.23</c:v>
                </c:pt>
                <c:pt idx="11">
                  <c:v>225.43</c:v>
                </c:pt>
                <c:pt idx="12">
                  <c:v>226.2</c:v>
                </c:pt>
                <c:pt idx="13">
                  <c:v>226.65</c:v>
                </c:pt>
                <c:pt idx="14">
                  <c:v>227.64</c:v>
                </c:pt>
                <c:pt idx="15">
                  <c:v>231.12</c:v>
                </c:pt>
                <c:pt idx="16">
                  <c:v>233.38</c:v>
                </c:pt>
                <c:pt idx="17">
                  <c:v>230.82</c:v>
                </c:pt>
                <c:pt idx="18">
                  <c:v>227.85</c:v>
                </c:pt>
                <c:pt idx="19">
                  <c:v>223.39</c:v>
                </c:pt>
                <c:pt idx="20">
                  <c:v>224.71</c:v>
                </c:pt>
                <c:pt idx="21">
                  <c:v>224.45</c:v>
                </c:pt>
                <c:pt idx="22">
                  <c:v>234.72</c:v>
                </c:pt>
                <c:pt idx="23">
                  <c:v>233.77</c:v>
                </c:pt>
                <c:pt idx="24">
                  <c:v>233.42</c:v>
                </c:pt>
                <c:pt idx="25">
                  <c:v>231.58</c:v>
                </c:pt>
                <c:pt idx="26">
                  <c:v>235.3</c:v>
                </c:pt>
                <c:pt idx="27">
                  <c:v>236.44</c:v>
                </c:pt>
                <c:pt idx="28">
                  <c:v>239.9</c:v>
                </c:pt>
                <c:pt idx="29">
                  <c:v>243.01</c:v>
                </c:pt>
                <c:pt idx="30">
                  <c:v>244.06</c:v>
                </c:pt>
                <c:pt idx="31">
                  <c:v>242.99</c:v>
                </c:pt>
                <c:pt idx="32">
                  <c:v>243.91</c:v>
                </c:pt>
                <c:pt idx="33">
                  <c:v>245.25</c:v>
                </c:pt>
                <c:pt idx="34">
                  <c:v>245.22</c:v>
                </c:pt>
                <c:pt idx="35">
                  <c:v>244.69</c:v>
                </c:pt>
                <c:pt idx="36">
                  <c:v>240.95</c:v>
                </c:pt>
                <c:pt idx="37">
                  <c:v>242.88</c:v>
                </c:pt>
                <c:pt idx="38">
                  <c:v>242.28</c:v>
                </c:pt>
                <c:pt idx="39">
                  <c:v>246.82</c:v>
                </c:pt>
                <c:pt idx="40">
                  <c:v>245.21</c:v>
                </c:pt>
                <c:pt idx="41">
                  <c:v>246.99</c:v>
                </c:pt>
                <c:pt idx="42">
                  <c:v>246.14</c:v>
                </c:pt>
                <c:pt idx="43">
                  <c:v>245.05</c:v>
                </c:pt>
                <c:pt idx="44">
                  <c:v>244.41</c:v>
                </c:pt>
                <c:pt idx="45">
                  <c:v>244.35</c:v>
                </c:pt>
                <c:pt idx="46">
                  <c:v>242.59</c:v>
                </c:pt>
                <c:pt idx="47">
                  <c:v>242.37</c:v>
                </c:pt>
                <c:pt idx="48">
                  <c:v>241.95</c:v>
                </c:pt>
                <c:pt idx="49">
                  <c:v>241.03</c:v>
                </c:pt>
                <c:pt idx="50">
                  <c:v>242.43</c:v>
                </c:pt>
                <c:pt idx="51">
                  <c:v>238.25</c:v>
                </c:pt>
                <c:pt idx="52">
                  <c:v>236.5</c:v>
                </c:pt>
                <c:pt idx="53">
                  <c:v>227.57</c:v>
                </c:pt>
                <c:pt idx="54">
                  <c:v>225.68</c:v>
                </c:pt>
                <c:pt idx="55">
                  <c:v>226.49</c:v>
                </c:pt>
                <c:pt idx="56">
                  <c:v>223.09</c:v>
                </c:pt>
                <c:pt idx="57">
                  <c:v>220.22</c:v>
                </c:pt>
                <c:pt idx="58">
                  <c:v>223.98</c:v>
                </c:pt>
                <c:pt idx="59">
                  <c:v>223.12</c:v>
                </c:pt>
                <c:pt idx="60">
                  <c:v>225.83</c:v>
                </c:pt>
                <c:pt idx="61">
                  <c:v>224.36</c:v>
                </c:pt>
                <c:pt idx="62">
                  <c:v>223.62</c:v>
                </c:pt>
                <c:pt idx="63">
                  <c:v>223.92</c:v>
                </c:pt>
                <c:pt idx="64">
                  <c:v>222.35</c:v>
                </c:pt>
                <c:pt idx="65">
                  <c:v>223.31</c:v>
                </c:pt>
                <c:pt idx="66">
                  <c:v>222.57</c:v>
                </c:pt>
                <c:pt idx="67">
                  <c:v>223.55</c:v>
                </c:pt>
                <c:pt idx="68">
                  <c:v>222.43</c:v>
                </c:pt>
                <c:pt idx="69">
                  <c:v>220.49</c:v>
                </c:pt>
                <c:pt idx="70">
                  <c:v>218.11</c:v>
                </c:pt>
                <c:pt idx="71">
                  <c:v>220.99</c:v>
                </c:pt>
                <c:pt idx="72">
                  <c:v>210.56</c:v>
                </c:pt>
                <c:pt idx="73">
                  <c:v>209.1</c:v>
                </c:pt>
                <c:pt idx="74">
                  <c:v>212.98</c:v>
                </c:pt>
                <c:pt idx="75">
                  <c:v>211.8</c:v>
                </c:pt>
                <c:pt idx="76">
                  <c:v>218.02</c:v>
                </c:pt>
                <c:pt idx="77">
                  <c:v>221.35</c:v>
                </c:pt>
                <c:pt idx="78">
                  <c:v>220.93</c:v>
                </c:pt>
                <c:pt idx="79">
                  <c:v>220.55</c:v>
                </c:pt>
                <c:pt idx="80">
                  <c:v>218.58</c:v>
                </c:pt>
                <c:pt idx="81">
                  <c:v>219.61</c:v>
                </c:pt>
                <c:pt idx="82">
                  <c:v>219.87</c:v>
                </c:pt>
                <c:pt idx="83">
                  <c:v>221.03</c:v>
                </c:pt>
                <c:pt idx="84">
                  <c:v>221.31</c:v>
                </c:pt>
                <c:pt idx="85">
                  <c:v>221.58</c:v>
                </c:pt>
                <c:pt idx="86">
                  <c:v>219.78</c:v>
                </c:pt>
                <c:pt idx="87">
                  <c:v>218.54</c:v>
                </c:pt>
                <c:pt idx="88">
                  <c:v>219.64</c:v>
                </c:pt>
                <c:pt idx="89">
                  <c:v>219.52</c:v>
                </c:pt>
                <c:pt idx="90">
                  <c:v>217.63</c:v>
                </c:pt>
                <c:pt idx="91">
                  <c:v>219.87</c:v>
                </c:pt>
                <c:pt idx="92">
                  <c:v>220.34</c:v>
                </c:pt>
                <c:pt idx="93">
                  <c:v>208.74</c:v>
                </c:pt>
                <c:pt idx="94">
                  <c:v>210.14</c:v>
                </c:pt>
                <c:pt idx="95">
                  <c:v>210.37</c:v>
                </c:pt>
                <c:pt idx="96">
                  <c:v>210.98</c:v>
                </c:pt>
                <c:pt idx="97">
                  <c:v>214.52</c:v>
                </c:pt>
                <c:pt idx="98">
                  <c:v>218.61</c:v>
                </c:pt>
                <c:pt idx="99">
                  <c:v>217.28</c:v>
                </c:pt>
                <c:pt idx="100">
                  <c:v>218.32</c:v>
                </c:pt>
                <c:pt idx="101">
                  <c:v>214.05</c:v>
                </c:pt>
                <c:pt idx="102">
                  <c:v>207.03</c:v>
                </c:pt>
                <c:pt idx="103">
                  <c:v>210.7</c:v>
                </c:pt>
                <c:pt idx="104">
                  <c:v>209.04</c:v>
                </c:pt>
                <c:pt idx="105">
                  <c:v>209.7</c:v>
                </c:pt>
                <c:pt idx="106">
                  <c:v>210.23</c:v>
                </c:pt>
                <c:pt idx="107">
                  <c:v>211.46</c:v>
                </c:pt>
                <c:pt idx="108">
                  <c:v>214.38</c:v>
                </c:pt>
                <c:pt idx="109">
                  <c:v>217.99</c:v>
                </c:pt>
                <c:pt idx="110">
                  <c:v>217.47</c:v>
                </c:pt>
                <c:pt idx="111">
                  <c:v>219.71</c:v>
                </c:pt>
                <c:pt idx="112">
                  <c:v>221.97</c:v>
                </c:pt>
                <c:pt idx="113">
                  <c:v>218.76</c:v>
                </c:pt>
                <c:pt idx="114">
                  <c:v>217.37</c:v>
                </c:pt>
                <c:pt idx="115">
                  <c:v>221.6</c:v>
                </c:pt>
                <c:pt idx="116">
                  <c:v>220.59</c:v>
                </c:pt>
                <c:pt idx="117">
                  <c:v>218.03</c:v>
                </c:pt>
                <c:pt idx="118">
                  <c:v>215.37</c:v>
                </c:pt>
                <c:pt idx="119">
                  <c:v>212.84</c:v>
                </c:pt>
                <c:pt idx="120">
                  <c:v>216.03</c:v>
                </c:pt>
                <c:pt idx="121">
                  <c:v>215.87</c:v>
                </c:pt>
                <c:pt idx="122">
                  <c:v>218.75</c:v>
                </c:pt>
                <c:pt idx="123">
                  <c:v>219.92</c:v>
                </c:pt>
                <c:pt idx="124">
                  <c:v>217.46</c:v>
                </c:pt>
                <c:pt idx="125">
                  <c:v>222.73</c:v>
                </c:pt>
                <c:pt idx="126">
                  <c:v>223.47</c:v>
                </c:pt>
                <c:pt idx="127">
                  <c:v>222.15</c:v>
                </c:pt>
                <c:pt idx="128">
                  <c:v>220.77</c:v>
                </c:pt>
                <c:pt idx="129">
                  <c:v>221.32</c:v>
                </c:pt>
                <c:pt idx="130">
                  <c:v>222.41</c:v>
                </c:pt>
                <c:pt idx="131">
                  <c:v>222.84</c:v>
                </c:pt>
                <c:pt idx="132">
                  <c:v>225.79</c:v>
                </c:pt>
                <c:pt idx="133">
                  <c:v>224.02</c:v>
                </c:pt>
                <c:pt idx="134">
                  <c:v>224.67</c:v>
                </c:pt>
                <c:pt idx="135">
                  <c:v>218.84</c:v>
                </c:pt>
                <c:pt idx="136">
                  <c:v>218.41</c:v>
                </c:pt>
                <c:pt idx="137">
                  <c:v>217.85</c:v>
                </c:pt>
                <c:pt idx="138">
                  <c:v>215.77</c:v>
                </c:pt>
                <c:pt idx="139">
                  <c:v>213.81</c:v>
                </c:pt>
                <c:pt idx="140">
                  <c:v>217.14</c:v>
                </c:pt>
                <c:pt idx="141">
                  <c:v>217.8</c:v>
                </c:pt>
                <c:pt idx="142">
                  <c:v>217.04</c:v>
                </c:pt>
                <c:pt idx="143">
                  <c:v>219.13</c:v>
                </c:pt>
                <c:pt idx="144">
                  <c:v>220.82</c:v>
                </c:pt>
                <c:pt idx="145">
                  <c:v>222.45</c:v>
                </c:pt>
                <c:pt idx="146">
                  <c:v>221.74</c:v>
                </c:pt>
                <c:pt idx="147">
                  <c:v>219.5</c:v>
                </c:pt>
                <c:pt idx="148">
                  <c:v>225.19</c:v>
                </c:pt>
                <c:pt idx="149">
                  <c:v>228.26</c:v>
                </c:pt>
                <c:pt idx="150">
                  <c:v>227.4</c:v>
                </c:pt>
                <c:pt idx="151">
                  <c:v>226.38</c:v>
                </c:pt>
                <c:pt idx="152">
                  <c:v>220.98</c:v>
                </c:pt>
                <c:pt idx="153">
                  <c:v>219.66</c:v>
                </c:pt>
                <c:pt idx="154">
                  <c:v>222.81</c:v>
                </c:pt>
                <c:pt idx="155">
                  <c:v>223.03</c:v>
                </c:pt>
                <c:pt idx="156">
                  <c:v>221.09</c:v>
                </c:pt>
                <c:pt idx="157">
                  <c:v>216.99</c:v>
                </c:pt>
                <c:pt idx="158">
                  <c:v>217.7</c:v>
                </c:pt>
                <c:pt idx="159">
                  <c:v>216.37</c:v>
                </c:pt>
                <c:pt idx="160">
                  <c:v>219.1</c:v>
                </c:pt>
                <c:pt idx="161">
                  <c:v>218.28</c:v>
                </c:pt>
                <c:pt idx="162">
                  <c:v>218.52</c:v>
                </c:pt>
                <c:pt idx="163">
                  <c:v>218.02</c:v>
                </c:pt>
                <c:pt idx="164">
                  <c:v>215.94</c:v>
                </c:pt>
                <c:pt idx="165">
                  <c:v>216.29</c:v>
                </c:pt>
                <c:pt idx="166">
                  <c:v>218.71</c:v>
                </c:pt>
                <c:pt idx="167">
                  <c:v>220.01</c:v>
                </c:pt>
                <c:pt idx="168">
                  <c:v>222.11</c:v>
                </c:pt>
                <c:pt idx="169">
                  <c:v>214.15</c:v>
                </c:pt>
                <c:pt idx="170">
                  <c:v>215.18</c:v>
                </c:pt>
                <c:pt idx="171">
                  <c:v>212.24</c:v>
                </c:pt>
                <c:pt idx="172">
                  <c:v>213.59</c:v>
                </c:pt>
                <c:pt idx="173">
                  <c:v>217.37</c:v>
                </c:pt>
                <c:pt idx="174">
                  <c:v>222.18</c:v>
                </c:pt>
                <c:pt idx="175">
                  <c:v>222.78</c:v>
                </c:pt>
                <c:pt idx="176">
                  <c:v>223.07</c:v>
                </c:pt>
                <c:pt idx="177">
                  <c:v>221.46</c:v>
                </c:pt>
                <c:pt idx="178">
                  <c:v>223.74</c:v>
                </c:pt>
                <c:pt idx="179">
                  <c:v>225.09</c:v>
                </c:pt>
                <c:pt idx="180">
                  <c:v>225.96</c:v>
                </c:pt>
                <c:pt idx="181">
                  <c:v>227.43</c:v>
                </c:pt>
                <c:pt idx="182">
                  <c:v>227.18</c:v>
                </c:pt>
                <c:pt idx="183">
                  <c:v>226.42</c:v>
                </c:pt>
                <c:pt idx="184">
                  <c:v>226.11</c:v>
                </c:pt>
                <c:pt idx="185">
                  <c:v>230.84</c:v>
                </c:pt>
                <c:pt idx="186">
                  <c:v>231.54</c:v>
                </c:pt>
                <c:pt idx="187">
                  <c:v>233.23</c:v>
                </c:pt>
                <c:pt idx="188">
                  <c:v>236.64</c:v>
                </c:pt>
                <c:pt idx="189">
                  <c:v>237.59</c:v>
                </c:pt>
                <c:pt idx="190">
                  <c:v>236.3</c:v>
                </c:pt>
                <c:pt idx="191">
                  <c:v>241.96</c:v>
                </c:pt>
                <c:pt idx="192">
                  <c:v>241.92</c:v>
                </c:pt>
                <c:pt idx="193">
                  <c:v>238.75</c:v>
                </c:pt>
                <c:pt idx="194">
                  <c:v>238.55</c:v>
                </c:pt>
                <c:pt idx="195">
                  <c:v>238.36</c:v>
                </c:pt>
                <c:pt idx="196">
                  <c:v>235.8</c:v>
                </c:pt>
                <c:pt idx="197">
                  <c:v>234.55</c:v>
                </c:pt>
                <c:pt idx="198">
                  <c:v>238.37</c:v>
                </c:pt>
                <c:pt idx="199">
                  <c:v>232.15</c:v>
                </c:pt>
                <c:pt idx="200">
                  <c:v>237.99</c:v>
                </c:pt>
                <c:pt idx="201">
                  <c:v>235.99</c:v>
                </c:pt>
                <c:pt idx="202">
                  <c:v>240.65</c:v>
                </c:pt>
                <c:pt idx="203">
                  <c:v>238.09</c:v>
                </c:pt>
                <c:pt idx="204">
                  <c:v>240.76</c:v>
                </c:pt>
                <c:pt idx="205">
                  <c:v>237.68</c:v>
                </c:pt>
                <c:pt idx="206">
                  <c:v>237.69</c:v>
                </c:pt>
                <c:pt idx="207">
                  <c:v>237.68</c:v>
                </c:pt>
                <c:pt idx="208">
                  <c:v>236.87</c:v>
                </c:pt>
                <c:pt idx="209">
                  <c:v>238.44</c:v>
                </c:pt>
                <c:pt idx="210">
                  <c:v>240.19</c:v>
                </c:pt>
                <c:pt idx="211">
                  <c:v>242.76</c:v>
                </c:pt>
                <c:pt idx="212">
                  <c:v>240.32</c:v>
                </c:pt>
                <c:pt idx="213">
                  <c:v>239.43</c:v>
                </c:pt>
                <c:pt idx="214">
                  <c:v>235.81</c:v>
                </c:pt>
                <c:pt idx="215">
                  <c:v>237.23</c:v>
                </c:pt>
                <c:pt idx="216">
                  <c:v>236.77</c:v>
                </c:pt>
                <c:pt idx="217">
                  <c:v>236.14</c:v>
                </c:pt>
                <c:pt idx="218">
                  <c:v>236.26</c:v>
                </c:pt>
                <c:pt idx="219">
                  <c:v>233.28</c:v>
                </c:pt>
                <c:pt idx="220">
                  <c:v>233.65</c:v>
                </c:pt>
                <c:pt idx="221">
                  <c:v>235.38</c:v>
                </c:pt>
                <c:pt idx="222">
                  <c:v>234.05</c:v>
                </c:pt>
                <c:pt idx="223">
                  <c:v>234.16</c:v>
                </c:pt>
                <c:pt idx="224">
                  <c:v>234.05</c:v>
                </c:pt>
                <c:pt idx="225">
                  <c:v>232.49</c:v>
                </c:pt>
                <c:pt idx="226">
                  <c:v>232.01</c:v>
                </c:pt>
                <c:pt idx="227">
                  <c:v>231.19</c:v>
                </c:pt>
                <c:pt idx="228">
                  <c:v>235.42</c:v>
                </c:pt>
                <c:pt idx="229">
                  <c:v>238.08</c:v>
                </c:pt>
                <c:pt idx="230">
                  <c:v>244.28</c:v>
                </c:pt>
                <c:pt idx="231">
                  <c:v>245.57</c:v>
                </c:pt>
                <c:pt idx="232">
                  <c:v>247.24</c:v>
                </c:pt>
                <c:pt idx="233">
                  <c:v>244.96</c:v>
                </c:pt>
                <c:pt idx="234">
                  <c:v>242.61</c:v>
                </c:pt>
                <c:pt idx="235">
                  <c:v>245.18</c:v>
                </c:pt>
                <c:pt idx="236">
                  <c:v>246.95</c:v>
                </c:pt>
                <c:pt idx="237">
                  <c:v>246.73</c:v>
                </c:pt>
                <c:pt idx="238">
                  <c:v>254.18</c:v>
                </c:pt>
                <c:pt idx="239">
                  <c:v>252.09</c:v>
                </c:pt>
                <c:pt idx="240">
                  <c:v>252.01</c:v>
                </c:pt>
                <c:pt idx="241">
                  <c:v>253.68</c:v>
                </c:pt>
                <c:pt idx="242">
                  <c:v>256.49</c:v>
                </c:pt>
                <c:pt idx="243">
                  <c:v>253</c:v>
                </c:pt>
                <c:pt idx="244">
                  <c:v>251.71</c:v>
                </c:pt>
                <c:pt idx="245">
                  <c:v>257.45999999999998</c:v>
                </c:pt>
                <c:pt idx="246">
                  <c:v>255.45</c:v>
                </c:pt>
                <c:pt idx="247">
                  <c:v>254.22</c:v>
                </c:pt>
                <c:pt idx="248">
                  <c:v>252.47</c:v>
                </c:pt>
                <c:pt idx="249">
                  <c:v>253.01</c:v>
                </c:pt>
                <c:pt idx="250">
                  <c:v>251.3</c:v>
                </c:pt>
                <c:pt idx="251">
                  <c:v>252.2</c:v>
                </c:pt>
                <c:pt idx="252">
                  <c:v>249.85</c:v>
                </c:pt>
                <c:pt idx="253">
                  <c:v>253.34</c:v>
                </c:pt>
                <c:pt idx="254">
                  <c:v>252.05</c:v>
                </c:pt>
                <c:pt idx="255">
                  <c:v>248.39</c:v>
                </c:pt>
                <c:pt idx="256">
                  <c:v>250.49</c:v>
                </c:pt>
                <c:pt idx="257">
                  <c:v>250.87</c:v>
                </c:pt>
                <c:pt idx="258">
                  <c:v>251.66</c:v>
                </c:pt>
                <c:pt idx="259">
                  <c:v>253.54</c:v>
                </c:pt>
                <c:pt idx="260">
                  <c:v>254.95</c:v>
                </c:pt>
                <c:pt idx="261">
                  <c:v>250.2</c:v>
                </c:pt>
                <c:pt idx="262">
                  <c:v>247.56</c:v>
                </c:pt>
                <c:pt idx="263">
                  <c:v>252.64</c:v>
                </c:pt>
                <c:pt idx="264">
                  <c:v>257.97000000000003</c:v>
                </c:pt>
                <c:pt idx="265">
                  <c:v>256.56</c:v>
                </c:pt>
                <c:pt idx="266">
                  <c:v>262.07</c:v>
                </c:pt>
                <c:pt idx="267">
                  <c:v>265.37</c:v>
                </c:pt>
                <c:pt idx="268">
                  <c:v>264.5</c:v>
                </c:pt>
                <c:pt idx="269">
                  <c:v>268.77999999999997</c:v>
                </c:pt>
                <c:pt idx="270">
                  <c:v>265.29000000000002</c:v>
                </c:pt>
                <c:pt idx="271">
                  <c:v>264.25</c:v>
                </c:pt>
                <c:pt idx="272">
                  <c:v>268.52999999999997</c:v>
                </c:pt>
                <c:pt idx="273">
                  <c:v>256.51</c:v>
                </c:pt>
                <c:pt idx="274">
                  <c:v>245.73</c:v>
                </c:pt>
                <c:pt idx="275">
                  <c:v>255.18</c:v>
                </c:pt>
                <c:pt idx="276">
                  <c:v>253.61</c:v>
                </c:pt>
                <c:pt idx="277">
                  <c:v>243</c:v>
                </c:pt>
                <c:pt idx="278">
                  <c:v>245.91</c:v>
                </c:pt>
                <c:pt idx="279">
                  <c:v>249.72</c:v>
                </c:pt>
                <c:pt idx="280">
                  <c:v>252.06</c:v>
                </c:pt>
                <c:pt idx="281">
                  <c:v>259.01</c:v>
                </c:pt>
                <c:pt idx="282">
                  <c:v>264.04000000000002</c:v>
                </c:pt>
                <c:pt idx="283">
                  <c:v>263.98</c:v>
                </c:pt>
                <c:pt idx="284">
                  <c:v>261.29000000000002</c:v>
                </c:pt>
                <c:pt idx="285">
                  <c:v>259.82</c:v>
                </c:pt>
                <c:pt idx="286">
                  <c:v>257.88</c:v>
                </c:pt>
                <c:pt idx="287">
                  <c:v>263.14999999999998</c:v>
                </c:pt>
                <c:pt idx="288">
                  <c:v>267.57</c:v>
                </c:pt>
                <c:pt idx="289">
                  <c:v>264.29000000000002</c:v>
                </c:pt>
                <c:pt idx="290">
                  <c:v>260.08999999999997</c:v>
                </c:pt>
                <c:pt idx="291">
                  <c:v>254</c:v>
                </c:pt>
                <c:pt idx="292">
                  <c:v>255.33</c:v>
                </c:pt>
                <c:pt idx="293">
                  <c:v>260.27</c:v>
                </c:pt>
                <c:pt idx="294">
                  <c:v>264.04000000000002</c:v>
                </c:pt>
                <c:pt idx="295">
                  <c:v>262.48</c:v>
                </c:pt>
                <c:pt idx="296">
                  <c:v>263.45999999999998</c:v>
                </c:pt>
                <c:pt idx="297">
                  <c:v>267.83999999999997</c:v>
                </c:pt>
                <c:pt idx="298">
                  <c:v>270.42</c:v>
                </c:pt>
                <c:pt idx="299">
                  <c:v>265.62</c:v>
                </c:pt>
                <c:pt idx="300">
                  <c:v>261.57</c:v>
                </c:pt>
                <c:pt idx="301">
                  <c:v>263.73</c:v>
                </c:pt>
                <c:pt idx="302">
                  <c:v>264.7</c:v>
                </c:pt>
                <c:pt idx="303">
                  <c:v>259.69</c:v>
                </c:pt>
                <c:pt idx="304">
                  <c:v>260.33999999999997</c:v>
                </c:pt>
                <c:pt idx="305">
                  <c:v>259.02</c:v>
                </c:pt>
                <c:pt idx="306">
                  <c:v>249.87</c:v>
                </c:pt>
                <c:pt idx="307">
                  <c:v>242.61</c:v>
                </c:pt>
                <c:pt idx="308">
                  <c:v>252.12</c:v>
                </c:pt>
                <c:pt idx="309">
                  <c:v>244.59</c:v>
                </c:pt>
                <c:pt idx="310">
                  <c:v>246.67</c:v>
                </c:pt>
                <c:pt idx="311">
                  <c:v>249.14</c:v>
                </c:pt>
                <c:pt idx="312">
                  <c:v>244.67</c:v>
                </c:pt>
                <c:pt idx="313">
                  <c:v>247.87</c:v>
                </c:pt>
                <c:pt idx="314">
                  <c:v>249.89</c:v>
                </c:pt>
                <c:pt idx="315">
                  <c:v>253.04</c:v>
                </c:pt>
                <c:pt idx="316">
                  <c:v>247.27</c:v>
                </c:pt>
                <c:pt idx="317">
                  <c:v>249.46</c:v>
                </c:pt>
                <c:pt idx="318">
                  <c:v>253.79</c:v>
                </c:pt>
                <c:pt idx="319">
                  <c:v>250.2</c:v>
                </c:pt>
                <c:pt idx="320">
                  <c:v>256.77999999999997</c:v>
                </c:pt>
                <c:pt idx="321">
                  <c:v>253.15</c:v>
                </c:pt>
                <c:pt idx="322">
                  <c:v>255.09</c:v>
                </c:pt>
                <c:pt idx="323">
                  <c:v>250.89</c:v>
                </c:pt>
                <c:pt idx="324">
                  <c:v>251.25</c:v>
                </c:pt>
                <c:pt idx="325">
                  <c:v>251.42</c:v>
                </c:pt>
                <c:pt idx="326">
                  <c:v>249.23</c:v>
                </c:pt>
                <c:pt idx="327">
                  <c:v>244</c:v>
                </c:pt>
                <c:pt idx="328">
                  <c:v>239.87</c:v>
                </c:pt>
                <c:pt idx="329">
                  <c:v>236.64</c:v>
                </c:pt>
                <c:pt idx="330">
                  <c:v>237.49</c:v>
                </c:pt>
                <c:pt idx="331">
                  <c:v>237.21</c:v>
                </c:pt>
                <c:pt idx="332">
                  <c:v>235.75</c:v>
                </c:pt>
                <c:pt idx="333">
                  <c:v>234.11</c:v>
                </c:pt>
                <c:pt idx="334">
                  <c:v>231.52</c:v>
                </c:pt>
                <c:pt idx="335">
                  <c:v>230.88</c:v>
                </c:pt>
                <c:pt idx="336">
                  <c:v>232.4</c:v>
                </c:pt>
                <c:pt idx="337">
                  <c:v>234.63</c:v>
                </c:pt>
                <c:pt idx="338">
                  <c:v>234.44</c:v>
                </c:pt>
                <c:pt idx="339">
                  <c:v>239.11</c:v>
                </c:pt>
                <c:pt idx="340">
                  <c:v>240.81</c:v>
                </c:pt>
                <c:pt idx="341">
                  <c:v>240.29</c:v>
                </c:pt>
                <c:pt idx="342">
                  <c:v>241.27</c:v>
                </c:pt>
                <c:pt idx="343">
                  <c:v>238.95</c:v>
                </c:pt>
                <c:pt idx="344">
                  <c:v>238.35</c:v>
                </c:pt>
                <c:pt idx="345">
                  <c:v>236.51</c:v>
                </c:pt>
                <c:pt idx="346">
                  <c:v>234.44</c:v>
                </c:pt>
                <c:pt idx="347">
                  <c:v>235.13</c:v>
                </c:pt>
                <c:pt idx="348">
                  <c:v>235.43</c:v>
                </c:pt>
                <c:pt idx="349">
                  <c:v>235.24</c:v>
                </c:pt>
                <c:pt idx="350">
                  <c:v>233.55</c:v>
                </c:pt>
                <c:pt idx="351">
                  <c:v>232.47</c:v>
                </c:pt>
                <c:pt idx="352">
                  <c:v>224.57</c:v>
                </c:pt>
                <c:pt idx="353">
                  <c:v>227.48</c:v>
                </c:pt>
                <c:pt idx="354">
                  <c:v>224.23</c:v>
                </c:pt>
                <c:pt idx="355">
                  <c:v>226.68</c:v>
                </c:pt>
                <c:pt idx="356">
                  <c:v>228.21</c:v>
                </c:pt>
                <c:pt idx="357">
                  <c:v>226.67</c:v>
                </c:pt>
                <c:pt idx="358">
                  <c:v>230.53</c:v>
                </c:pt>
                <c:pt idx="359">
                  <c:v>231.74</c:v>
                </c:pt>
                <c:pt idx="360">
                  <c:v>231.68</c:v>
                </c:pt>
                <c:pt idx="361">
                  <c:v>232.38</c:v>
                </c:pt>
                <c:pt idx="362">
                  <c:v>230.93</c:v>
                </c:pt>
                <c:pt idx="363">
                  <c:v>232.12</c:v>
                </c:pt>
                <c:pt idx="364">
                  <c:v>231.94</c:v>
                </c:pt>
                <c:pt idx="365">
                  <c:v>230.22</c:v>
                </c:pt>
                <c:pt idx="366">
                  <c:v>229.7</c:v>
                </c:pt>
                <c:pt idx="367">
                  <c:v>226.65</c:v>
                </c:pt>
                <c:pt idx="368">
                  <c:v>226.15</c:v>
                </c:pt>
                <c:pt idx="369">
                  <c:v>225.32</c:v>
                </c:pt>
                <c:pt idx="370">
                  <c:v>224.37</c:v>
                </c:pt>
                <c:pt idx="371">
                  <c:v>219.92</c:v>
                </c:pt>
                <c:pt idx="372">
                  <c:v>219.96</c:v>
                </c:pt>
                <c:pt idx="373">
                  <c:v>218.57</c:v>
                </c:pt>
                <c:pt idx="374">
                  <c:v>221.78</c:v>
                </c:pt>
                <c:pt idx="375">
                  <c:v>218.96</c:v>
                </c:pt>
                <c:pt idx="376">
                  <c:v>221.63</c:v>
                </c:pt>
                <c:pt idx="377">
                  <c:v>218.77</c:v>
                </c:pt>
                <c:pt idx="378">
                  <c:v>219.12</c:v>
                </c:pt>
                <c:pt idx="379">
                  <c:v>220.17</c:v>
                </c:pt>
                <c:pt idx="380">
                  <c:v>226.32</c:v>
                </c:pt>
                <c:pt idx="381">
                  <c:v>225.19</c:v>
                </c:pt>
                <c:pt idx="382">
                  <c:v>224.01</c:v>
                </c:pt>
                <c:pt idx="383">
                  <c:v>225.56</c:v>
                </c:pt>
                <c:pt idx="384">
                  <c:v>224.75</c:v>
                </c:pt>
                <c:pt idx="385">
                  <c:v>229.75</c:v>
                </c:pt>
                <c:pt idx="386">
                  <c:v>229.33</c:v>
                </c:pt>
                <c:pt idx="387">
                  <c:v>229.55</c:v>
                </c:pt>
                <c:pt idx="388">
                  <c:v>227.95</c:v>
                </c:pt>
                <c:pt idx="389">
                  <c:v>229.99</c:v>
                </c:pt>
                <c:pt idx="390">
                  <c:v>232.05</c:v>
                </c:pt>
                <c:pt idx="391">
                  <c:v>234.15</c:v>
                </c:pt>
                <c:pt idx="392">
                  <c:v>234.96</c:v>
                </c:pt>
                <c:pt idx="393">
                  <c:v>235.37</c:v>
                </c:pt>
                <c:pt idx="394">
                  <c:v>235.9</c:v>
                </c:pt>
                <c:pt idx="395">
                  <c:v>237.2</c:v>
                </c:pt>
                <c:pt idx="396">
                  <c:v>235.69</c:v>
                </c:pt>
                <c:pt idx="397">
                  <c:v>234.31</c:v>
                </c:pt>
                <c:pt idx="398">
                  <c:v>232.28</c:v>
                </c:pt>
                <c:pt idx="399">
                  <c:v>232.38</c:v>
                </c:pt>
                <c:pt idx="400">
                  <c:v>234.2</c:v>
                </c:pt>
                <c:pt idx="401">
                  <c:v>236.09</c:v>
                </c:pt>
                <c:pt idx="402">
                  <c:v>234.64</c:v>
                </c:pt>
                <c:pt idx="403">
                  <c:v>232.07</c:v>
                </c:pt>
                <c:pt idx="404">
                  <c:v>227.93</c:v>
                </c:pt>
                <c:pt idx="405">
                  <c:v>225.2</c:v>
                </c:pt>
                <c:pt idx="406">
                  <c:v>227.88</c:v>
                </c:pt>
                <c:pt idx="407">
                  <c:v>227.57</c:v>
                </c:pt>
                <c:pt idx="408">
                  <c:v>231.29</c:v>
                </c:pt>
                <c:pt idx="409">
                  <c:v>231.67</c:v>
                </c:pt>
                <c:pt idx="410">
                  <c:v>234.05</c:v>
                </c:pt>
                <c:pt idx="411">
                  <c:v>236.9</c:v>
                </c:pt>
                <c:pt idx="412">
                  <c:v>237.59</c:v>
                </c:pt>
                <c:pt idx="413">
                  <c:v>234.61</c:v>
                </c:pt>
                <c:pt idx="414">
                  <c:v>233.39</c:v>
                </c:pt>
                <c:pt idx="415">
                  <c:v>240.82</c:v>
                </c:pt>
                <c:pt idx="416">
                  <c:v>240.6</c:v>
                </c:pt>
                <c:pt idx="417">
                  <c:v>240.43</c:v>
                </c:pt>
                <c:pt idx="418">
                  <c:v>238.43</c:v>
                </c:pt>
                <c:pt idx="419">
                  <c:v>236.85</c:v>
                </c:pt>
                <c:pt idx="420">
                  <c:v>236.7</c:v>
                </c:pt>
                <c:pt idx="421">
                  <c:v>236.6</c:v>
                </c:pt>
                <c:pt idx="422">
                  <c:v>233.57</c:v>
                </c:pt>
                <c:pt idx="423">
                  <c:v>232.97</c:v>
                </c:pt>
                <c:pt idx="424">
                  <c:v>230.97</c:v>
                </c:pt>
                <c:pt idx="425">
                  <c:v>229.28</c:v>
                </c:pt>
                <c:pt idx="426">
                  <c:v>227.23</c:v>
                </c:pt>
                <c:pt idx="427">
                  <c:v>227.41</c:v>
                </c:pt>
                <c:pt idx="428">
                  <c:v>228.32</c:v>
                </c:pt>
                <c:pt idx="429">
                  <c:v>226.97</c:v>
                </c:pt>
                <c:pt idx="430">
                  <c:v>227.97</c:v>
                </c:pt>
                <c:pt idx="431">
                  <c:v>234.63</c:v>
                </c:pt>
                <c:pt idx="432">
                  <c:v>236.44</c:v>
                </c:pt>
                <c:pt idx="433">
                  <c:v>234.39</c:v>
                </c:pt>
                <c:pt idx="434">
                  <c:v>231.96</c:v>
                </c:pt>
                <c:pt idx="435">
                  <c:v>231.56</c:v>
                </c:pt>
                <c:pt idx="436">
                  <c:v>227.96</c:v>
                </c:pt>
                <c:pt idx="437">
                  <c:v>226.82</c:v>
                </c:pt>
                <c:pt idx="438">
                  <c:v>223.34</c:v>
                </c:pt>
                <c:pt idx="439">
                  <c:v>224.42</c:v>
                </c:pt>
                <c:pt idx="440">
                  <c:v>225.16</c:v>
                </c:pt>
                <c:pt idx="441">
                  <c:v>226.86</c:v>
                </c:pt>
                <c:pt idx="442">
                  <c:v>226.56</c:v>
                </c:pt>
                <c:pt idx="443">
                  <c:v>224.8</c:v>
                </c:pt>
                <c:pt idx="444">
                  <c:v>224.44</c:v>
                </c:pt>
                <c:pt idx="445">
                  <c:v>222.01</c:v>
                </c:pt>
                <c:pt idx="446">
                  <c:v>214.02</c:v>
                </c:pt>
                <c:pt idx="447">
                  <c:v>212.11</c:v>
                </c:pt>
                <c:pt idx="448">
                  <c:v>213.01</c:v>
                </c:pt>
                <c:pt idx="449">
                  <c:v>214.35</c:v>
                </c:pt>
                <c:pt idx="450">
                  <c:v>220.81</c:v>
                </c:pt>
                <c:pt idx="451">
                  <c:v>227.36</c:v>
                </c:pt>
                <c:pt idx="452">
                  <c:v>224.04</c:v>
                </c:pt>
                <c:pt idx="453">
                  <c:v>226.04</c:v>
                </c:pt>
                <c:pt idx="454">
                  <c:v>220.71</c:v>
                </c:pt>
                <c:pt idx="455">
                  <c:v>217.68</c:v>
                </c:pt>
                <c:pt idx="456">
                  <c:v>208.34</c:v>
                </c:pt>
                <c:pt idx="457">
                  <c:v>213.15</c:v>
                </c:pt>
                <c:pt idx="458">
                  <c:v>211.5</c:v>
                </c:pt>
                <c:pt idx="459">
                  <c:v>213.62</c:v>
                </c:pt>
                <c:pt idx="460">
                  <c:v>218.4</c:v>
                </c:pt>
                <c:pt idx="461">
                  <c:v>224.46</c:v>
                </c:pt>
                <c:pt idx="462">
                  <c:v>226.05</c:v>
                </c:pt>
                <c:pt idx="463">
                  <c:v>228.76</c:v>
                </c:pt>
                <c:pt idx="464">
                  <c:v>227.8</c:v>
                </c:pt>
                <c:pt idx="465">
                  <c:v>227.28</c:v>
                </c:pt>
                <c:pt idx="466">
                  <c:v>230.35</c:v>
                </c:pt>
                <c:pt idx="467">
                  <c:v>230.72</c:v>
                </c:pt>
                <c:pt idx="468">
                  <c:v>221.75</c:v>
                </c:pt>
                <c:pt idx="469">
                  <c:v>205.22</c:v>
                </c:pt>
                <c:pt idx="470">
                  <c:v>204.22</c:v>
                </c:pt>
                <c:pt idx="471">
                  <c:v>201.67</c:v>
                </c:pt>
                <c:pt idx="472">
                  <c:v>202.92</c:v>
                </c:pt>
                <c:pt idx="473">
                  <c:v>201.3</c:v>
                </c:pt>
                <c:pt idx="474">
                  <c:v>197.42</c:v>
                </c:pt>
                <c:pt idx="475">
                  <c:v>190.57</c:v>
                </c:pt>
                <c:pt idx="476">
                  <c:v>191.82</c:v>
                </c:pt>
                <c:pt idx="477">
                  <c:v>188.34</c:v>
                </c:pt>
                <c:pt idx="478">
                  <c:v>193.56</c:v>
                </c:pt>
                <c:pt idx="479">
                  <c:v>192.87</c:v>
                </c:pt>
                <c:pt idx="480">
                  <c:v>197.55</c:v>
                </c:pt>
                <c:pt idx="481">
                  <c:v>194.85</c:v>
                </c:pt>
                <c:pt idx="482">
                  <c:v>190.69</c:v>
                </c:pt>
                <c:pt idx="483">
                  <c:v>191.63</c:v>
                </c:pt>
                <c:pt idx="484">
                  <c:v>184.31</c:v>
                </c:pt>
                <c:pt idx="485">
                  <c:v>184.09</c:v>
                </c:pt>
                <c:pt idx="486">
                  <c:v>179.67</c:v>
                </c:pt>
                <c:pt idx="487">
                  <c:v>178.83</c:v>
                </c:pt>
                <c:pt idx="488">
                  <c:v>176.8</c:v>
                </c:pt>
                <c:pt idx="489">
                  <c:v>176.7</c:v>
                </c:pt>
                <c:pt idx="490">
                  <c:v>175.92</c:v>
                </c:pt>
                <c:pt idx="491">
                  <c:v>172.77</c:v>
                </c:pt>
                <c:pt idx="492">
                  <c:v>168.01</c:v>
                </c:pt>
                <c:pt idx="493">
                  <c:v>171.5</c:v>
                </c:pt>
                <c:pt idx="494">
                  <c:v>169.25</c:v>
                </c:pt>
                <c:pt idx="495">
                  <c:v>168.41</c:v>
                </c:pt>
                <c:pt idx="496">
                  <c:v>160.05000000000001</c:v>
                </c:pt>
                <c:pt idx="497">
                  <c:v>156.35</c:v>
                </c:pt>
                <c:pt idx="498">
                  <c:v>162.93</c:v>
                </c:pt>
                <c:pt idx="499">
                  <c:v>165.41</c:v>
                </c:pt>
                <c:pt idx="500">
                  <c:v>163.03</c:v>
                </c:pt>
                <c:pt idx="501">
                  <c:v>167.05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88-4627-A9B5-13E947E20CD9}"/>
            </c:ext>
          </c:extLst>
        </c:ser>
        <c:ser>
          <c:idx val="9"/>
          <c:order val="9"/>
          <c:tx>
            <c:strRef>
              <c:f>wide_company_closes_reorder!$K$1</c:f>
              <c:strCache>
                <c:ptCount val="1"/>
                <c:pt idx="0">
                  <c:v>HD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wide_company_closes_reorder!$K$2:$K$503</c:f>
              <c:numCache>
                <c:formatCode>General</c:formatCode>
                <c:ptCount val="502"/>
                <c:pt idx="0">
                  <c:v>128.38</c:v>
                </c:pt>
                <c:pt idx="1">
                  <c:v>129.52000000000001</c:v>
                </c:pt>
                <c:pt idx="2">
                  <c:v>127.99</c:v>
                </c:pt>
                <c:pt idx="3">
                  <c:v>127.64</c:v>
                </c:pt>
                <c:pt idx="4">
                  <c:v>128.38</c:v>
                </c:pt>
                <c:pt idx="5">
                  <c:v>130.09</c:v>
                </c:pt>
                <c:pt idx="6">
                  <c:v>129.71</c:v>
                </c:pt>
                <c:pt idx="7">
                  <c:v>129.11000000000001</c:v>
                </c:pt>
                <c:pt idx="8">
                  <c:v>129.08000000000001</c:v>
                </c:pt>
                <c:pt idx="9">
                  <c:v>129.93</c:v>
                </c:pt>
                <c:pt idx="10">
                  <c:v>130.15</c:v>
                </c:pt>
                <c:pt idx="11">
                  <c:v>129.41999999999999</c:v>
                </c:pt>
                <c:pt idx="12">
                  <c:v>129.62</c:v>
                </c:pt>
                <c:pt idx="13">
                  <c:v>131.97999999999999</c:v>
                </c:pt>
                <c:pt idx="14">
                  <c:v>131.97</c:v>
                </c:pt>
                <c:pt idx="15">
                  <c:v>131.41</c:v>
                </c:pt>
                <c:pt idx="16">
                  <c:v>132.35</c:v>
                </c:pt>
                <c:pt idx="17">
                  <c:v>132.22999999999999</c:v>
                </c:pt>
                <c:pt idx="18">
                  <c:v>132.36000000000001</c:v>
                </c:pt>
                <c:pt idx="19">
                  <c:v>131.51</c:v>
                </c:pt>
                <c:pt idx="20">
                  <c:v>131.38</c:v>
                </c:pt>
                <c:pt idx="21">
                  <c:v>130.91</c:v>
                </c:pt>
                <c:pt idx="22">
                  <c:v>131.88999999999999</c:v>
                </c:pt>
                <c:pt idx="23">
                  <c:v>130.47</c:v>
                </c:pt>
                <c:pt idx="24">
                  <c:v>130.62</c:v>
                </c:pt>
                <c:pt idx="25">
                  <c:v>131.80000000000001</c:v>
                </c:pt>
                <c:pt idx="26">
                  <c:v>132.59</c:v>
                </c:pt>
                <c:pt idx="27">
                  <c:v>133.68</c:v>
                </c:pt>
                <c:pt idx="28">
                  <c:v>133.69999999999999</c:v>
                </c:pt>
                <c:pt idx="29">
                  <c:v>135.12</c:v>
                </c:pt>
                <c:pt idx="30">
                  <c:v>135.91999999999999</c:v>
                </c:pt>
                <c:pt idx="31">
                  <c:v>135.29</c:v>
                </c:pt>
                <c:pt idx="32">
                  <c:v>136.69</c:v>
                </c:pt>
                <c:pt idx="33">
                  <c:v>138.62</c:v>
                </c:pt>
                <c:pt idx="34">
                  <c:v>138.84</c:v>
                </c:pt>
                <c:pt idx="35">
                  <c:v>138.33000000000001</c:v>
                </c:pt>
                <c:pt idx="36">
                  <c:v>139.51</c:v>
                </c:pt>
                <c:pt idx="37">
                  <c:v>138.88999999999999</c:v>
                </c:pt>
                <c:pt idx="38">
                  <c:v>138.52000000000001</c:v>
                </c:pt>
                <c:pt idx="39">
                  <c:v>140.21</c:v>
                </c:pt>
                <c:pt idx="40">
                  <c:v>141.41999999999999</c:v>
                </c:pt>
                <c:pt idx="41">
                  <c:v>141.29</c:v>
                </c:pt>
                <c:pt idx="42">
                  <c:v>140.63999999999999</c:v>
                </c:pt>
                <c:pt idx="43">
                  <c:v>140.43</c:v>
                </c:pt>
                <c:pt idx="44">
                  <c:v>141.29</c:v>
                </c:pt>
                <c:pt idx="45">
                  <c:v>141</c:v>
                </c:pt>
                <c:pt idx="46">
                  <c:v>141.22</c:v>
                </c:pt>
                <c:pt idx="47">
                  <c:v>141.78</c:v>
                </c:pt>
                <c:pt idx="48">
                  <c:v>141.52000000000001</c:v>
                </c:pt>
                <c:pt idx="49">
                  <c:v>142.28</c:v>
                </c:pt>
                <c:pt idx="50">
                  <c:v>143.03</c:v>
                </c:pt>
                <c:pt idx="51">
                  <c:v>143.87</c:v>
                </c:pt>
                <c:pt idx="52">
                  <c:v>142.13999999999999</c:v>
                </c:pt>
                <c:pt idx="53">
                  <c:v>140.99</c:v>
                </c:pt>
                <c:pt idx="54">
                  <c:v>141.72</c:v>
                </c:pt>
                <c:pt idx="55">
                  <c:v>142.32</c:v>
                </c:pt>
                <c:pt idx="56">
                  <c:v>142.05000000000001</c:v>
                </c:pt>
                <c:pt idx="57">
                  <c:v>141.24</c:v>
                </c:pt>
                <c:pt idx="58">
                  <c:v>141.56</c:v>
                </c:pt>
                <c:pt idx="59">
                  <c:v>141.41</c:v>
                </c:pt>
                <c:pt idx="60">
                  <c:v>141.32</c:v>
                </c:pt>
                <c:pt idx="61">
                  <c:v>141.21</c:v>
                </c:pt>
                <c:pt idx="62">
                  <c:v>141</c:v>
                </c:pt>
                <c:pt idx="63">
                  <c:v>140.72999999999999</c:v>
                </c:pt>
                <c:pt idx="64">
                  <c:v>141.02000000000001</c:v>
                </c:pt>
                <c:pt idx="65">
                  <c:v>141.6</c:v>
                </c:pt>
                <c:pt idx="66">
                  <c:v>141.49</c:v>
                </c:pt>
                <c:pt idx="67">
                  <c:v>142.53</c:v>
                </c:pt>
                <c:pt idx="68">
                  <c:v>142.52000000000001</c:v>
                </c:pt>
                <c:pt idx="69">
                  <c:v>140.93</c:v>
                </c:pt>
                <c:pt idx="70">
                  <c:v>140.32</c:v>
                </c:pt>
                <c:pt idx="71">
                  <c:v>141.66999999999999</c:v>
                </c:pt>
                <c:pt idx="72">
                  <c:v>142.1</c:v>
                </c:pt>
                <c:pt idx="73">
                  <c:v>141.58000000000001</c:v>
                </c:pt>
                <c:pt idx="74">
                  <c:v>143.02000000000001</c:v>
                </c:pt>
                <c:pt idx="75">
                  <c:v>144.25</c:v>
                </c:pt>
                <c:pt idx="76">
                  <c:v>146.07</c:v>
                </c:pt>
                <c:pt idx="77">
                  <c:v>147.16999999999999</c:v>
                </c:pt>
                <c:pt idx="78">
                  <c:v>148.31</c:v>
                </c:pt>
                <c:pt idx="79">
                  <c:v>150.13999999999999</c:v>
                </c:pt>
                <c:pt idx="80">
                  <c:v>150.12</c:v>
                </c:pt>
                <c:pt idx="81">
                  <c:v>148.30000000000001</c:v>
                </c:pt>
                <c:pt idx="82">
                  <c:v>149.01</c:v>
                </c:pt>
                <c:pt idx="83">
                  <c:v>149.06</c:v>
                </c:pt>
                <c:pt idx="84">
                  <c:v>148.93</c:v>
                </c:pt>
                <c:pt idx="85">
                  <c:v>149.76</c:v>
                </c:pt>
                <c:pt idx="86">
                  <c:v>150.88</c:v>
                </c:pt>
                <c:pt idx="87">
                  <c:v>151.63999999999999</c:v>
                </c:pt>
                <c:pt idx="88">
                  <c:v>152.07</c:v>
                </c:pt>
                <c:pt idx="89">
                  <c:v>150.22</c:v>
                </c:pt>
                <c:pt idx="90">
                  <c:v>150.91</c:v>
                </c:pt>
                <c:pt idx="91">
                  <c:v>151.30000000000001</c:v>
                </c:pt>
                <c:pt idx="92">
                  <c:v>152.19999999999999</c:v>
                </c:pt>
                <c:pt idx="93">
                  <c:v>150.11000000000001</c:v>
                </c:pt>
                <c:pt idx="94">
                  <c:v>149.74</c:v>
                </c:pt>
                <c:pt idx="95">
                  <c:v>150.31</c:v>
                </c:pt>
                <c:pt idx="96">
                  <c:v>149.99</c:v>
                </c:pt>
                <c:pt idx="97">
                  <c:v>148.9</c:v>
                </c:pt>
                <c:pt idx="98">
                  <c:v>149.06</c:v>
                </c:pt>
                <c:pt idx="99">
                  <c:v>150.47</c:v>
                </c:pt>
                <c:pt idx="100">
                  <c:v>148.97</c:v>
                </c:pt>
                <c:pt idx="101">
                  <c:v>148.84</c:v>
                </c:pt>
                <c:pt idx="102">
                  <c:v>148.47999999999999</c:v>
                </c:pt>
                <c:pt idx="103">
                  <c:v>150.07</c:v>
                </c:pt>
                <c:pt idx="104">
                  <c:v>150.26</c:v>
                </c:pt>
                <c:pt idx="105">
                  <c:v>149.72</c:v>
                </c:pt>
                <c:pt idx="106">
                  <c:v>149.15</c:v>
                </c:pt>
                <c:pt idx="107">
                  <c:v>149.88999999999999</c:v>
                </c:pt>
                <c:pt idx="108">
                  <c:v>148.47</c:v>
                </c:pt>
                <c:pt idx="109">
                  <c:v>147.94999999999999</c:v>
                </c:pt>
                <c:pt idx="110">
                  <c:v>147.19999999999999</c:v>
                </c:pt>
                <c:pt idx="111">
                  <c:v>148.94999999999999</c:v>
                </c:pt>
                <c:pt idx="112">
                  <c:v>151.63</c:v>
                </c:pt>
                <c:pt idx="113">
                  <c:v>151.63999999999999</c:v>
                </c:pt>
                <c:pt idx="114">
                  <c:v>151.51</c:v>
                </c:pt>
                <c:pt idx="115">
                  <c:v>153.61000000000001</c:v>
                </c:pt>
                <c:pt idx="116">
                  <c:v>152.51</c:v>
                </c:pt>
                <c:pt idx="117">
                  <c:v>151.46</c:v>
                </c:pt>
                <c:pt idx="118">
                  <c:v>150.38999999999999</c:v>
                </c:pt>
                <c:pt idx="119">
                  <c:v>146.35</c:v>
                </c:pt>
                <c:pt idx="120">
                  <c:v>146.46</c:v>
                </c:pt>
                <c:pt idx="121">
                  <c:v>147.25</c:v>
                </c:pt>
                <c:pt idx="122">
                  <c:v>148.21</c:v>
                </c:pt>
                <c:pt idx="123">
                  <c:v>147.18</c:v>
                </c:pt>
                <c:pt idx="124">
                  <c:v>148.38</c:v>
                </c:pt>
                <c:pt idx="125">
                  <c:v>148.97</c:v>
                </c:pt>
                <c:pt idx="126">
                  <c:v>147.69</c:v>
                </c:pt>
                <c:pt idx="127">
                  <c:v>147.07</c:v>
                </c:pt>
                <c:pt idx="128">
                  <c:v>147.24</c:v>
                </c:pt>
                <c:pt idx="129">
                  <c:v>146.22999999999999</c:v>
                </c:pt>
                <c:pt idx="130">
                  <c:v>145.66999999999999</c:v>
                </c:pt>
                <c:pt idx="131">
                  <c:v>147.59</c:v>
                </c:pt>
                <c:pt idx="132">
                  <c:v>148.27000000000001</c:v>
                </c:pt>
                <c:pt idx="133">
                  <c:v>147.87</c:v>
                </c:pt>
                <c:pt idx="134">
                  <c:v>148.85</c:v>
                </c:pt>
                <c:pt idx="135">
                  <c:v>147.19</c:v>
                </c:pt>
                <c:pt idx="136">
                  <c:v>148.28</c:v>
                </c:pt>
                <c:pt idx="137">
                  <c:v>142.22</c:v>
                </c:pt>
                <c:pt idx="138">
                  <c:v>141.85</c:v>
                </c:pt>
                <c:pt idx="139">
                  <c:v>139.85</c:v>
                </c:pt>
                <c:pt idx="140">
                  <c:v>142.16</c:v>
                </c:pt>
                <c:pt idx="141">
                  <c:v>141.88999999999999</c:v>
                </c:pt>
                <c:pt idx="142">
                  <c:v>142.88999999999999</c:v>
                </c:pt>
                <c:pt idx="143">
                  <c:v>143.22999999999999</c:v>
                </c:pt>
                <c:pt idx="144">
                  <c:v>144.69999999999999</c:v>
                </c:pt>
                <c:pt idx="145">
                  <c:v>144.94</c:v>
                </c:pt>
                <c:pt idx="146">
                  <c:v>145.57</c:v>
                </c:pt>
                <c:pt idx="147">
                  <c:v>145.85</c:v>
                </c:pt>
                <c:pt idx="148">
                  <c:v>147.75</c:v>
                </c:pt>
                <c:pt idx="149">
                  <c:v>148.33000000000001</c:v>
                </c:pt>
                <c:pt idx="150">
                  <c:v>148.33000000000001</c:v>
                </c:pt>
                <c:pt idx="151">
                  <c:v>150.18</c:v>
                </c:pt>
                <c:pt idx="152">
                  <c:v>148.84</c:v>
                </c:pt>
                <c:pt idx="153">
                  <c:v>149.81</c:v>
                </c:pt>
                <c:pt idx="154">
                  <c:v>149.21</c:v>
                </c:pt>
                <c:pt idx="155">
                  <c:v>145.25</c:v>
                </c:pt>
                <c:pt idx="156">
                  <c:v>147.26</c:v>
                </c:pt>
                <c:pt idx="157">
                  <c:v>144.77000000000001</c:v>
                </c:pt>
                <c:pt idx="158">
                  <c:v>142.66</c:v>
                </c:pt>
                <c:pt idx="159">
                  <c:v>144.31</c:v>
                </c:pt>
                <c:pt idx="160">
                  <c:v>145</c:v>
                </c:pt>
                <c:pt idx="161">
                  <c:v>144.22</c:v>
                </c:pt>
                <c:pt idx="162">
                  <c:v>143.4</c:v>
                </c:pt>
                <c:pt idx="163">
                  <c:v>144.75</c:v>
                </c:pt>
                <c:pt idx="164">
                  <c:v>146.43</c:v>
                </c:pt>
                <c:pt idx="165">
                  <c:v>145.79</c:v>
                </c:pt>
                <c:pt idx="166">
                  <c:v>145.94999999999999</c:v>
                </c:pt>
                <c:pt idx="167">
                  <c:v>145.82</c:v>
                </c:pt>
                <c:pt idx="168">
                  <c:v>146.69999999999999</c:v>
                </c:pt>
                <c:pt idx="169">
                  <c:v>148.80000000000001</c:v>
                </c:pt>
                <c:pt idx="170">
                  <c:v>152.33000000000001</c:v>
                </c:pt>
                <c:pt idx="171">
                  <c:v>153.66</c:v>
                </c:pt>
                <c:pt idx="172">
                  <c:v>155.34</c:v>
                </c:pt>
                <c:pt idx="173">
                  <c:v>154.09</c:v>
                </c:pt>
                <c:pt idx="174">
                  <c:v>155.59</c:v>
                </c:pt>
                <c:pt idx="175">
                  <c:v>155.69999999999999</c:v>
                </c:pt>
                <c:pt idx="176">
                  <c:v>155.07</c:v>
                </c:pt>
                <c:pt idx="177">
                  <c:v>154.12</c:v>
                </c:pt>
                <c:pt idx="178">
                  <c:v>153.54</c:v>
                </c:pt>
                <c:pt idx="179">
                  <c:v>153.4</c:v>
                </c:pt>
                <c:pt idx="180">
                  <c:v>154.38999999999999</c:v>
                </c:pt>
                <c:pt idx="181">
                  <c:v>154.88999999999999</c:v>
                </c:pt>
                <c:pt idx="182">
                  <c:v>155.65</c:v>
                </c:pt>
                <c:pt idx="183">
                  <c:v>156.75</c:v>
                </c:pt>
                <c:pt idx="184">
                  <c:v>156.9</c:v>
                </c:pt>
                <c:pt idx="185">
                  <c:v>156.57</c:v>
                </c:pt>
                <c:pt idx="186">
                  <c:v>157.97</c:v>
                </c:pt>
                <c:pt idx="187">
                  <c:v>159.13999999999999</c:v>
                </c:pt>
                <c:pt idx="188">
                  <c:v>159.59</c:v>
                </c:pt>
                <c:pt idx="189">
                  <c:v>160.71</c:v>
                </c:pt>
                <c:pt idx="190">
                  <c:v>160.82</c:v>
                </c:pt>
                <c:pt idx="191">
                  <c:v>161.63</c:v>
                </c:pt>
                <c:pt idx="192">
                  <c:v>161.37</c:v>
                </c:pt>
                <c:pt idx="193">
                  <c:v>161.22999999999999</c:v>
                </c:pt>
                <c:pt idx="194">
                  <c:v>160.69999999999999</c:v>
                </c:pt>
                <c:pt idx="195">
                  <c:v>160.78</c:v>
                </c:pt>
                <c:pt idx="196">
                  <c:v>160.13999999999999</c:v>
                </c:pt>
                <c:pt idx="197">
                  <c:v>160.02000000000001</c:v>
                </c:pt>
                <c:pt idx="198">
                  <c:v>159.78</c:v>
                </c:pt>
                <c:pt idx="199">
                  <c:v>158.94</c:v>
                </c:pt>
                <c:pt idx="200">
                  <c:v>159.03</c:v>
                </c:pt>
                <c:pt idx="201">
                  <c:v>158.83000000000001</c:v>
                </c:pt>
                <c:pt idx="202">
                  <c:v>159.01</c:v>
                </c:pt>
                <c:pt idx="203">
                  <c:v>160.29</c:v>
                </c:pt>
                <c:pt idx="204">
                  <c:v>161.54</c:v>
                </c:pt>
                <c:pt idx="205">
                  <c:v>161.58000000000001</c:v>
                </c:pt>
                <c:pt idx="206">
                  <c:v>163.12</c:v>
                </c:pt>
                <c:pt idx="207">
                  <c:v>162.82</c:v>
                </c:pt>
                <c:pt idx="208">
                  <c:v>160.84</c:v>
                </c:pt>
                <c:pt idx="209">
                  <c:v>161.30000000000001</c:v>
                </c:pt>
                <c:pt idx="210">
                  <c:v>160.91</c:v>
                </c:pt>
                <c:pt idx="211">
                  <c:v>158.31</c:v>
                </c:pt>
                <c:pt idx="212">
                  <c:v>159.94999999999999</c:v>
                </c:pt>
                <c:pt idx="213">
                  <c:v>159.78</c:v>
                </c:pt>
                <c:pt idx="214">
                  <c:v>159.24</c:v>
                </c:pt>
                <c:pt idx="215">
                  <c:v>159.62</c:v>
                </c:pt>
                <c:pt idx="216">
                  <c:v>158.86000000000001</c:v>
                </c:pt>
                <c:pt idx="217">
                  <c:v>159.66999999999999</c:v>
                </c:pt>
                <c:pt idx="218">
                  <c:v>160.88</c:v>
                </c:pt>
                <c:pt idx="219">
                  <c:v>163.52000000000001</c:v>
                </c:pt>
                <c:pt idx="220">
                  <c:v>161</c:v>
                </c:pt>
                <c:pt idx="221">
                  <c:v>162.97</c:v>
                </c:pt>
                <c:pt idx="222">
                  <c:v>163.21</c:v>
                </c:pt>
                <c:pt idx="223">
                  <c:v>165.84</c:v>
                </c:pt>
                <c:pt idx="224">
                  <c:v>168.19</c:v>
                </c:pt>
                <c:pt idx="225">
                  <c:v>167.41</c:v>
                </c:pt>
                <c:pt idx="226">
                  <c:v>167.67</c:v>
                </c:pt>
                <c:pt idx="227">
                  <c:v>169.45</c:v>
                </c:pt>
                <c:pt idx="228">
                  <c:v>171.8</c:v>
                </c:pt>
                <c:pt idx="229">
                  <c:v>173.33</c:v>
                </c:pt>
                <c:pt idx="230">
                  <c:v>175.85</c:v>
                </c:pt>
                <c:pt idx="231">
                  <c:v>176.43</c:v>
                </c:pt>
                <c:pt idx="232">
                  <c:v>180.81</c:v>
                </c:pt>
                <c:pt idx="233">
                  <c:v>178.81</c:v>
                </c:pt>
                <c:pt idx="234">
                  <c:v>176.8</c:v>
                </c:pt>
                <c:pt idx="235">
                  <c:v>177.98</c:v>
                </c:pt>
                <c:pt idx="236">
                  <c:v>179.36</c:v>
                </c:pt>
                <c:pt idx="237">
                  <c:v>178.22</c:v>
                </c:pt>
                <c:pt idx="238">
                  <c:v>177.78</c:v>
                </c:pt>
                <c:pt idx="239">
                  <c:v>178.99</c:v>
                </c:pt>
                <c:pt idx="240">
                  <c:v>178.11</c:v>
                </c:pt>
                <c:pt idx="241">
                  <c:v>178.55</c:v>
                </c:pt>
                <c:pt idx="242">
                  <c:v>180.65</c:v>
                </c:pt>
                <c:pt idx="243">
                  <c:v>181.87</c:v>
                </c:pt>
                <c:pt idx="244">
                  <c:v>183.17</c:v>
                </c:pt>
                <c:pt idx="245">
                  <c:v>183.92</c:v>
                </c:pt>
                <c:pt idx="246">
                  <c:v>183.97</c:v>
                </c:pt>
                <c:pt idx="247">
                  <c:v>186.15</c:v>
                </c:pt>
                <c:pt idx="248">
                  <c:v>185.99</c:v>
                </c:pt>
                <c:pt idx="249">
                  <c:v>185.59</c:v>
                </c:pt>
                <c:pt idx="250">
                  <c:v>185.34</c:v>
                </c:pt>
                <c:pt idx="251">
                  <c:v>183.87</c:v>
                </c:pt>
                <c:pt idx="252">
                  <c:v>184.83</c:v>
                </c:pt>
                <c:pt idx="253">
                  <c:v>186.3</c:v>
                </c:pt>
                <c:pt idx="254">
                  <c:v>188.25</c:v>
                </c:pt>
                <c:pt idx="255">
                  <c:v>187.8</c:v>
                </c:pt>
                <c:pt idx="256">
                  <c:v>188.83</c:v>
                </c:pt>
                <c:pt idx="257">
                  <c:v>187.56</c:v>
                </c:pt>
                <c:pt idx="258">
                  <c:v>190.38</c:v>
                </c:pt>
                <c:pt idx="259">
                  <c:v>192.08</c:v>
                </c:pt>
                <c:pt idx="260">
                  <c:v>191.97</c:v>
                </c:pt>
                <c:pt idx="261">
                  <c:v>195.4</c:v>
                </c:pt>
                <c:pt idx="262">
                  <c:v>193.95</c:v>
                </c:pt>
                <c:pt idx="263">
                  <c:v>196.88</c:v>
                </c:pt>
                <c:pt idx="264">
                  <c:v>199.94</c:v>
                </c:pt>
                <c:pt idx="265">
                  <c:v>200.37</c:v>
                </c:pt>
                <c:pt idx="266">
                  <c:v>201.66</c:v>
                </c:pt>
                <c:pt idx="267">
                  <c:v>200.83</c:v>
                </c:pt>
                <c:pt idx="268">
                  <c:v>202.65</c:v>
                </c:pt>
                <c:pt idx="269">
                  <c:v>200.39</c:v>
                </c:pt>
                <c:pt idx="270">
                  <c:v>197.35</c:v>
                </c:pt>
                <c:pt idx="271">
                  <c:v>196.46</c:v>
                </c:pt>
                <c:pt idx="272">
                  <c:v>195.48</c:v>
                </c:pt>
                <c:pt idx="273">
                  <c:v>189.68</c:v>
                </c:pt>
                <c:pt idx="274">
                  <c:v>179.06</c:v>
                </c:pt>
                <c:pt idx="275">
                  <c:v>186.82</c:v>
                </c:pt>
                <c:pt idx="276">
                  <c:v>187.06</c:v>
                </c:pt>
                <c:pt idx="277">
                  <c:v>177.22</c:v>
                </c:pt>
                <c:pt idx="278">
                  <c:v>180.05</c:v>
                </c:pt>
                <c:pt idx="279">
                  <c:v>179.99</c:v>
                </c:pt>
                <c:pt idx="280">
                  <c:v>179.66</c:v>
                </c:pt>
                <c:pt idx="281">
                  <c:v>180.61</c:v>
                </c:pt>
                <c:pt idx="282">
                  <c:v>181.18</c:v>
                </c:pt>
                <c:pt idx="283">
                  <c:v>182.84</c:v>
                </c:pt>
                <c:pt idx="284">
                  <c:v>182.58</c:v>
                </c:pt>
                <c:pt idx="285">
                  <c:v>179.01</c:v>
                </c:pt>
                <c:pt idx="286">
                  <c:v>181.37</c:v>
                </c:pt>
                <c:pt idx="287">
                  <c:v>184.19</c:v>
                </c:pt>
                <c:pt idx="288">
                  <c:v>184.3</c:v>
                </c:pt>
                <c:pt idx="289">
                  <c:v>180.89</c:v>
                </c:pt>
                <c:pt idx="290">
                  <c:v>178.24</c:v>
                </c:pt>
                <c:pt idx="291">
                  <c:v>175.67</c:v>
                </c:pt>
                <c:pt idx="292">
                  <c:v>174.52</c:v>
                </c:pt>
                <c:pt idx="293">
                  <c:v>177.72</c:v>
                </c:pt>
                <c:pt idx="294">
                  <c:v>177.63</c:v>
                </c:pt>
                <c:pt idx="295">
                  <c:v>175.63</c:v>
                </c:pt>
                <c:pt idx="296">
                  <c:v>175</c:v>
                </c:pt>
                <c:pt idx="297">
                  <c:v>179.15</c:v>
                </c:pt>
                <c:pt idx="298">
                  <c:v>176.74</c:v>
                </c:pt>
                <c:pt idx="299">
                  <c:v>175.4</c:v>
                </c:pt>
                <c:pt idx="300">
                  <c:v>174.48</c:v>
                </c:pt>
                <c:pt idx="301">
                  <c:v>175.13</c:v>
                </c:pt>
                <c:pt idx="302">
                  <c:v>176</c:v>
                </c:pt>
                <c:pt idx="303">
                  <c:v>174.17</c:v>
                </c:pt>
                <c:pt idx="304">
                  <c:v>175.22</c:v>
                </c:pt>
                <c:pt idx="305">
                  <c:v>175.08</c:v>
                </c:pt>
                <c:pt idx="306">
                  <c:v>172.39</c:v>
                </c:pt>
                <c:pt idx="307">
                  <c:v>168.96</c:v>
                </c:pt>
                <c:pt idx="308">
                  <c:v>173.47</c:v>
                </c:pt>
                <c:pt idx="309">
                  <c:v>171.79</c:v>
                </c:pt>
                <c:pt idx="310">
                  <c:v>171.87</c:v>
                </c:pt>
                <c:pt idx="311">
                  <c:v>175.3</c:v>
                </c:pt>
                <c:pt idx="312">
                  <c:v>170.04</c:v>
                </c:pt>
                <c:pt idx="313">
                  <c:v>170.89</c:v>
                </c:pt>
                <c:pt idx="314">
                  <c:v>174.51</c:v>
                </c:pt>
                <c:pt idx="315">
                  <c:v>176.17</c:v>
                </c:pt>
                <c:pt idx="316">
                  <c:v>171.57</c:v>
                </c:pt>
                <c:pt idx="317">
                  <c:v>169.66</c:v>
                </c:pt>
                <c:pt idx="318">
                  <c:v>170.62</c:v>
                </c:pt>
                <c:pt idx="319">
                  <c:v>170</c:v>
                </c:pt>
                <c:pt idx="320">
                  <c:v>170.5</c:v>
                </c:pt>
                <c:pt idx="321">
                  <c:v>169.95</c:v>
                </c:pt>
                <c:pt idx="322">
                  <c:v>171.55</c:v>
                </c:pt>
                <c:pt idx="323">
                  <c:v>172.02</c:v>
                </c:pt>
                <c:pt idx="324">
                  <c:v>176.88</c:v>
                </c:pt>
                <c:pt idx="325">
                  <c:v>174.15</c:v>
                </c:pt>
                <c:pt idx="326">
                  <c:v>174.09</c:v>
                </c:pt>
                <c:pt idx="327">
                  <c:v>174.72</c:v>
                </c:pt>
                <c:pt idx="328">
                  <c:v>173.35</c:v>
                </c:pt>
                <c:pt idx="329">
                  <c:v>174.46</c:v>
                </c:pt>
                <c:pt idx="330">
                  <c:v>182.65</c:v>
                </c:pt>
                <c:pt idx="331">
                  <c:v>183.38</c:v>
                </c:pt>
                <c:pt idx="332">
                  <c:v>181.75</c:v>
                </c:pt>
                <c:pt idx="333">
                  <c:v>181.58</c:v>
                </c:pt>
                <c:pt idx="334">
                  <c:v>182.84</c:v>
                </c:pt>
                <c:pt idx="335">
                  <c:v>180.16</c:v>
                </c:pt>
                <c:pt idx="336">
                  <c:v>181.97</c:v>
                </c:pt>
                <c:pt idx="337">
                  <c:v>180.53</c:v>
                </c:pt>
                <c:pt idx="338">
                  <c:v>181.98</c:v>
                </c:pt>
                <c:pt idx="339">
                  <c:v>183.28</c:v>
                </c:pt>
                <c:pt idx="340">
                  <c:v>184.07</c:v>
                </c:pt>
                <c:pt idx="341">
                  <c:v>187.17</c:v>
                </c:pt>
                <c:pt idx="342">
                  <c:v>187.92</c:v>
                </c:pt>
                <c:pt idx="343">
                  <c:v>184.87</c:v>
                </c:pt>
                <c:pt idx="344">
                  <c:v>183.3</c:v>
                </c:pt>
                <c:pt idx="345">
                  <c:v>182.27</c:v>
                </c:pt>
                <c:pt idx="346">
                  <c:v>184.32</c:v>
                </c:pt>
                <c:pt idx="347">
                  <c:v>186.65</c:v>
                </c:pt>
                <c:pt idx="348">
                  <c:v>183.78</c:v>
                </c:pt>
                <c:pt idx="349">
                  <c:v>183.59</c:v>
                </c:pt>
                <c:pt idx="350">
                  <c:v>184.06</c:v>
                </c:pt>
                <c:pt idx="351">
                  <c:v>183.76</c:v>
                </c:pt>
                <c:pt idx="352">
                  <c:v>181.94</c:v>
                </c:pt>
                <c:pt idx="353">
                  <c:v>185.03</c:v>
                </c:pt>
                <c:pt idx="354">
                  <c:v>184.5</c:v>
                </c:pt>
                <c:pt idx="355">
                  <c:v>185.29</c:v>
                </c:pt>
                <c:pt idx="356">
                  <c:v>189.25</c:v>
                </c:pt>
                <c:pt idx="357">
                  <c:v>189.83</c:v>
                </c:pt>
                <c:pt idx="358">
                  <c:v>191.46</c:v>
                </c:pt>
                <c:pt idx="359">
                  <c:v>194.01</c:v>
                </c:pt>
                <c:pt idx="360">
                  <c:v>196.15</c:v>
                </c:pt>
                <c:pt idx="361">
                  <c:v>197.44</c:v>
                </c:pt>
                <c:pt idx="362">
                  <c:v>199.09</c:v>
                </c:pt>
                <c:pt idx="363">
                  <c:v>198.1</c:v>
                </c:pt>
                <c:pt idx="364">
                  <c:v>197.47</c:v>
                </c:pt>
                <c:pt idx="365">
                  <c:v>198.33</c:v>
                </c:pt>
                <c:pt idx="366">
                  <c:v>198.48</c:v>
                </c:pt>
                <c:pt idx="367">
                  <c:v>197.02</c:v>
                </c:pt>
                <c:pt idx="368">
                  <c:v>196.89</c:v>
                </c:pt>
                <c:pt idx="369">
                  <c:v>198.1</c:v>
                </c:pt>
                <c:pt idx="370">
                  <c:v>195.24</c:v>
                </c:pt>
                <c:pt idx="371">
                  <c:v>194.22</c:v>
                </c:pt>
                <c:pt idx="372">
                  <c:v>194.2</c:v>
                </c:pt>
                <c:pt idx="373">
                  <c:v>192.87</c:v>
                </c:pt>
                <c:pt idx="374">
                  <c:v>193.06</c:v>
                </c:pt>
                <c:pt idx="375">
                  <c:v>192.95</c:v>
                </c:pt>
                <c:pt idx="376">
                  <c:v>191.88</c:v>
                </c:pt>
                <c:pt idx="377">
                  <c:v>191.49</c:v>
                </c:pt>
                <c:pt idx="378">
                  <c:v>192.27</c:v>
                </c:pt>
                <c:pt idx="379">
                  <c:v>192.34</c:v>
                </c:pt>
                <c:pt idx="380">
                  <c:v>193.92</c:v>
                </c:pt>
                <c:pt idx="381">
                  <c:v>195.43</c:v>
                </c:pt>
                <c:pt idx="382">
                  <c:v>194.78</c:v>
                </c:pt>
                <c:pt idx="383">
                  <c:v>195.77</c:v>
                </c:pt>
                <c:pt idx="384">
                  <c:v>196.5</c:v>
                </c:pt>
                <c:pt idx="385">
                  <c:v>196.69</c:v>
                </c:pt>
                <c:pt idx="386">
                  <c:v>198.88</c:v>
                </c:pt>
                <c:pt idx="387">
                  <c:v>198.76</c:v>
                </c:pt>
                <c:pt idx="388">
                  <c:v>200.4</c:v>
                </c:pt>
                <c:pt idx="389">
                  <c:v>200.22</c:v>
                </c:pt>
                <c:pt idx="390">
                  <c:v>200</c:v>
                </c:pt>
                <c:pt idx="391">
                  <c:v>199.77</c:v>
                </c:pt>
                <c:pt idx="392">
                  <c:v>198.79</c:v>
                </c:pt>
                <c:pt idx="393">
                  <c:v>197.2</c:v>
                </c:pt>
                <c:pt idx="394">
                  <c:v>194.97</c:v>
                </c:pt>
                <c:pt idx="395">
                  <c:v>195.11</c:v>
                </c:pt>
                <c:pt idx="396">
                  <c:v>195.34</c:v>
                </c:pt>
                <c:pt idx="397">
                  <c:v>194.14</c:v>
                </c:pt>
                <c:pt idx="398">
                  <c:v>193.5</c:v>
                </c:pt>
                <c:pt idx="399">
                  <c:v>193.48</c:v>
                </c:pt>
                <c:pt idx="400">
                  <c:v>193.53</c:v>
                </c:pt>
                <c:pt idx="401">
                  <c:v>194.88</c:v>
                </c:pt>
                <c:pt idx="402">
                  <c:v>195.84</c:v>
                </c:pt>
                <c:pt idx="403">
                  <c:v>195.9</c:v>
                </c:pt>
                <c:pt idx="404">
                  <c:v>194.14</c:v>
                </c:pt>
                <c:pt idx="405">
                  <c:v>192</c:v>
                </c:pt>
                <c:pt idx="406">
                  <c:v>190.97</c:v>
                </c:pt>
                <c:pt idx="407">
                  <c:v>191.85</c:v>
                </c:pt>
                <c:pt idx="408">
                  <c:v>193.24</c:v>
                </c:pt>
                <c:pt idx="409">
                  <c:v>193.41</c:v>
                </c:pt>
                <c:pt idx="410">
                  <c:v>195.75</c:v>
                </c:pt>
                <c:pt idx="411">
                  <c:v>198.02</c:v>
                </c:pt>
                <c:pt idx="412">
                  <c:v>196.78</c:v>
                </c:pt>
                <c:pt idx="413">
                  <c:v>197.96</c:v>
                </c:pt>
                <c:pt idx="414">
                  <c:v>199.08</c:v>
                </c:pt>
                <c:pt idx="415">
                  <c:v>199.76</c:v>
                </c:pt>
                <c:pt idx="416">
                  <c:v>199.75</c:v>
                </c:pt>
                <c:pt idx="417">
                  <c:v>200.48</c:v>
                </c:pt>
                <c:pt idx="418">
                  <c:v>198.08</c:v>
                </c:pt>
                <c:pt idx="419">
                  <c:v>199.58</c:v>
                </c:pt>
                <c:pt idx="420">
                  <c:v>203.86</c:v>
                </c:pt>
                <c:pt idx="421">
                  <c:v>202.94</c:v>
                </c:pt>
                <c:pt idx="422">
                  <c:v>204.67</c:v>
                </c:pt>
                <c:pt idx="423">
                  <c:v>205</c:v>
                </c:pt>
                <c:pt idx="424">
                  <c:v>209.44</c:v>
                </c:pt>
                <c:pt idx="425">
                  <c:v>212.58</c:v>
                </c:pt>
                <c:pt idx="426">
                  <c:v>210.72</c:v>
                </c:pt>
                <c:pt idx="427">
                  <c:v>208.2</c:v>
                </c:pt>
                <c:pt idx="428">
                  <c:v>207.83</c:v>
                </c:pt>
                <c:pt idx="429">
                  <c:v>207.16</c:v>
                </c:pt>
                <c:pt idx="430">
                  <c:v>209.77</c:v>
                </c:pt>
                <c:pt idx="431">
                  <c:v>210.42</c:v>
                </c:pt>
                <c:pt idx="432">
                  <c:v>209.81</c:v>
                </c:pt>
                <c:pt idx="433">
                  <c:v>211.13</c:v>
                </c:pt>
                <c:pt idx="434">
                  <c:v>206.75</c:v>
                </c:pt>
                <c:pt idx="435">
                  <c:v>206.23</c:v>
                </c:pt>
                <c:pt idx="436">
                  <c:v>206.29</c:v>
                </c:pt>
                <c:pt idx="437">
                  <c:v>205.61</c:v>
                </c:pt>
                <c:pt idx="438">
                  <c:v>205.92</c:v>
                </c:pt>
                <c:pt idx="439">
                  <c:v>206.37</c:v>
                </c:pt>
                <c:pt idx="440">
                  <c:v>203.53</c:v>
                </c:pt>
                <c:pt idx="441">
                  <c:v>202.53</c:v>
                </c:pt>
                <c:pt idx="442">
                  <c:v>197.67</c:v>
                </c:pt>
                <c:pt idx="443">
                  <c:v>195.21</c:v>
                </c:pt>
                <c:pt idx="444">
                  <c:v>197.23</c:v>
                </c:pt>
                <c:pt idx="445">
                  <c:v>194.59</c:v>
                </c:pt>
                <c:pt idx="446">
                  <c:v>192.55</c:v>
                </c:pt>
                <c:pt idx="447">
                  <c:v>188.61</c:v>
                </c:pt>
                <c:pt idx="448">
                  <c:v>191.33</c:v>
                </c:pt>
                <c:pt idx="449">
                  <c:v>190.03</c:v>
                </c:pt>
                <c:pt idx="450">
                  <c:v>192.43</c:v>
                </c:pt>
                <c:pt idx="451">
                  <c:v>184.07</c:v>
                </c:pt>
                <c:pt idx="452">
                  <c:v>179.37</c:v>
                </c:pt>
                <c:pt idx="453">
                  <c:v>178.78</c:v>
                </c:pt>
                <c:pt idx="454">
                  <c:v>177.69</c:v>
                </c:pt>
                <c:pt idx="455">
                  <c:v>177.47</c:v>
                </c:pt>
                <c:pt idx="456">
                  <c:v>175.92</c:v>
                </c:pt>
                <c:pt idx="457">
                  <c:v>178.01</c:v>
                </c:pt>
                <c:pt idx="458">
                  <c:v>171.21</c:v>
                </c:pt>
                <c:pt idx="459">
                  <c:v>172.17</c:v>
                </c:pt>
                <c:pt idx="460">
                  <c:v>175.19</c:v>
                </c:pt>
                <c:pt idx="461">
                  <c:v>174.83</c:v>
                </c:pt>
                <c:pt idx="462">
                  <c:v>179.39</c:v>
                </c:pt>
                <c:pt idx="463">
                  <c:v>178.86</c:v>
                </c:pt>
                <c:pt idx="464">
                  <c:v>181.11</c:v>
                </c:pt>
                <c:pt idx="465">
                  <c:v>180.93</c:v>
                </c:pt>
                <c:pt idx="466">
                  <c:v>186.12</c:v>
                </c:pt>
                <c:pt idx="467">
                  <c:v>186.88</c:v>
                </c:pt>
                <c:pt idx="468">
                  <c:v>184.88</c:v>
                </c:pt>
                <c:pt idx="469">
                  <c:v>178.36</c:v>
                </c:pt>
                <c:pt idx="470">
                  <c:v>177.94</c:v>
                </c:pt>
                <c:pt idx="471">
                  <c:v>178.83</c:v>
                </c:pt>
                <c:pt idx="472">
                  <c:v>176.31</c:v>
                </c:pt>
                <c:pt idx="473">
                  <c:v>175.97</c:v>
                </c:pt>
                <c:pt idx="474">
                  <c:v>172.56</c:v>
                </c:pt>
                <c:pt idx="475">
                  <c:v>168.04</c:v>
                </c:pt>
                <c:pt idx="476">
                  <c:v>168.29</c:v>
                </c:pt>
                <c:pt idx="477">
                  <c:v>167.85</c:v>
                </c:pt>
                <c:pt idx="478">
                  <c:v>168.81</c:v>
                </c:pt>
                <c:pt idx="479">
                  <c:v>172.19</c:v>
                </c:pt>
                <c:pt idx="480">
                  <c:v>177.43</c:v>
                </c:pt>
                <c:pt idx="481">
                  <c:v>175.66</c:v>
                </c:pt>
                <c:pt idx="482">
                  <c:v>180.32</c:v>
                </c:pt>
                <c:pt idx="483">
                  <c:v>181.74</c:v>
                </c:pt>
                <c:pt idx="484">
                  <c:v>175.3</c:v>
                </c:pt>
                <c:pt idx="485">
                  <c:v>175.96</c:v>
                </c:pt>
                <c:pt idx="486">
                  <c:v>172.79</c:v>
                </c:pt>
                <c:pt idx="487">
                  <c:v>171.69</c:v>
                </c:pt>
                <c:pt idx="488">
                  <c:v>172.21</c:v>
                </c:pt>
                <c:pt idx="489">
                  <c:v>174.21</c:v>
                </c:pt>
                <c:pt idx="490">
                  <c:v>173.87</c:v>
                </c:pt>
                <c:pt idx="491">
                  <c:v>172.29</c:v>
                </c:pt>
                <c:pt idx="492">
                  <c:v>167.97</c:v>
                </c:pt>
                <c:pt idx="493">
                  <c:v>170.04</c:v>
                </c:pt>
                <c:pt idx="494">
                  <c:v>167.56</c:v>
                </c:pt>
                <c:pt idx="495">
                  <c:v>164.16</c:v>
                </c:pt>
                <c:pt idx="496">
                  <c:v>160.47999999999999</c:v>
                </c:pt>
                <c:pt idx="497">
                  <c:v>158.13999999999999</c:v>
                </c:pt>
                <c:pt idx="498">
                  <c:v>168.28</c:v>
                </c:pt>
                <c:pt idx="499">
                  <c:v>170.32</c:v>
                </c:pt>
                <c:pt idx="500">
                  <c:v>170.22</c:v>
                </c:pt>
                <c:pt idx="501">
                  <c:v>171.82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A88-4627-A9B5-13E947E20CD9}"/>
            </c:ext>
          </c:extLst>
        </c:ser>
        <c:ser>
          <c:idx val="10"/>
          <c:order val="10"/>
          <c:tx>
            <c:strRef>
              <c:f>wide_company_closes_reorder!$L$1</c:f>
              <c:strCache>
                <c:ptCount val="1"/>
                <c:pt idx="0">
                  <c:v>IBM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wide_company_closes_reorder!$L$2:$L$503</c:f>
              <c:numCache>
                <c:formatCode>General</c:formatCode>
                <c:ptCount val="502"/>
                <c:pt idx="0">
                  <c:v>152.21</c:v>
                </c:pt>
                <c:pt idx="1">
                  <c:v>154.09</c:v>
                </c:pt>
                <c:pt idx="2">
                  <c:v>153.58000000000001</c:v>
                </c:pt>
                <c:pt idx="3">
                  <c:v>154.34</c:v>
                </c:pt>
                <c:pt idx="4">
                  <c:v>152.63</c:v>
                </c:pt>
                <c:pt idx="5">
                  <c:v>150.69</c:v>
                </c:pt>
                <c:pt idx="6">
                  <c:v>152.72</c:v>
                </c:pt>
                <c:pt idx="7">
                  <c:v>152.9</c:v>
                </c:pt>
                <c:pt idx="8">
                  <c:v>152.35</c:v>
                </c:pt>
                <c:pt idx="9">
                  <c:v>152.85</c:v>
                </c:pt>
                <c:pt idx="10">
                  <c:v>151.85</c:v>
                </c:pt>
                <c:pt idx="11">
                  <c:v>151.86000000000001</c:v>
                </c:pt>
                <c:pt idx="12">
                  <c:v>155.27000000000001</c:v>
                </c:pt>
                <c:pt idx="13">
                  <c:v>155.71</c:v>
                </c:pt>
                <c:pt idx="14">
                  <c:v>160.13999999999999</c:v>
                </c:pt>
                <c:pt idx="15">
                  <c:v>162.31</c:v>
                </c:pt>
                <c:pt idx="16">
                  <c:v>162.65</c:v>
                </c:pt>
                <c:pt idx="17">
                  <c:v>161.41</c:v>
                </c:pt>
                <c:pt idx="18">
                  <c:v>160.05000000000001</c:v>
                </c:pt>
                <c:pt idx="19">
                  <c:v>158.88</c:v>
                </c:pt>
                <c:pt idx="20">
                  <c:v>158.66999999999999</c:v>
                </c:pt>
                <c:pt idx="21">
                  <c:v>158.94</c:v>
                </c:pt>
                <c:pt idx="22">
                  <c:v>160.07</c:v>
                </c:pt>
                <c:pt idx="23">
                  <c:v>160.1</c:v>
                </c:pt>
                <c:pt idx="24">
                  <c:v>162.47</c:v>
                </c:pt>
                <c:pt idx="25">
                  <c:v>161.65</c:v>
                </c:pt>
                <c:pt idx="26">
                  <c:v>162.61000000000001</c:v>
                </c:pt>
                <c:pt idx="27">
                  <c:v>163.96</c:v>
                </c:pt>
                <c:pt idx="28">
                  <c:v>164.58</c:v>
                </c:pt>
                <c:pt idx="29">
                  <c:v>165.29</c:v>
                </c:pt>
                <c:pt idx="30">
                  <c:v>166.71</c:v>
                </c:pt>
                <c:pt idx="31">
                  <c:v>166.48</c:v>
                </c:pt>
                <c:pt idx="32">
                  <c:v>165.78</c:v>
                </c:pt>
                <c:pt idx="33">
                  <c:v>165.41</c:v>
                </c:pt>
                <c:pt idx="34">
                  <c:v>166.22</c:v>
                </c:pt>
                <c:pt idx="35">
                  <c:v>166.68</c:v>
                </c:pt>
                <c:pt idx="36">
                  <c:v>166.41</c:v>
                </c:pt>
                <c:pt idx="37">
                  <c:v>164.62</c:v>
                </c:pt>
                <c:pt idx="38">
                  <c:v>165</c:v>
                </c:pt>
                <c:pt idx="39">
                  <c:v>166.96</c:v>
                </c:pt>
                <c:pt idx="40">
                  <c:v>165.65</c:v>
                </c:pt>
                <c:pt idx="41">
                  <c:v>165.21</c:v>
                </c:pt>
                <c:pt idx="42">
                  <c:v>165.6</c:v>
                </c:pt>
                <c:pt idx="43">
                  <c:v>165.52</c:v>
                </c:pt>
                <c:pt idx="44">
                  <c:v>164.66</c:v>
                </c:pt>
                <c:pt idx="45">
                  <c:v>162.58000000000001</c:v>
                </c:pt>
                <c:pt idx="46">
                  <c:v>163.18</c:v>
                </c:pt>
                <c:pt idx="47">
                  <c:v>161.91999999999999</c:v>
                </c:pt>
                <c:pt idx="48">
                  <c:v>161.24</c:v>
                </c:pt>
                <c:pt idx="49">
                  <c:v>161.32</c:v>
                </c:pt>
                <c:pt idx="50">
                  <c:v>162.63</c:v>
                </c:pt>
                <c:pt idx="51">
                  <c:v>161.18</c:v>
                </c:pt>
                <c:pt idx="52">
                  <c:v>161.22</c:v>
                </c:pt>
                <c:pt idx="53">
                  <c:v>159.55000000000001</c:v>
                </c:pt>
                <c:pt idx="54">
                  <c:v>160.38</c:v>
                </c:pt>
                <c:pt idx="55">
                  <c:v>160.41</c:v>
                </c:pt>
                <c:pt idx="56">
                  <c:v>159.51</c:v>
                </c:pt>
                <c:pt idx="57">
                  <c:v>159.44999999999999</c:v>
                </c:pt>
                <c:pt idx="58">
                  <c:v>160.13</c:v>
                </c:pt>
                <c:pt idx="59">
                  <c:v>159.61000000000001</c:v>
                </c:pt>
                <c:pt idx="60">
                  <c:v>159.53</c:v>
                </c:pt>
                <c:pt idx="61">
                  <c:v>159.79</c:v>
                </c:pt>
                <c:pt idx="62">
                  <c:v>160.12</c:v>
                </c:pt>
                <c:pt idx="63">
                  <c:v>160.13999999999999</c:v>
                </c:pt>
                <c:pt idx="64">
                  <c:v>158.63</c:v>
                </c:pt>
                <c:pt idx="65">
                  <c:v>158.24</c:v>
                </c:pt>
                <c:pt idx="66">
                  <c:v>157.94999999999999</c:v>
                </c:pt>
                <c:pt idx="67">
                  <c:v>157.09</c:v>
                </c:pt>
                <c:pt idx="68">
                  <c:v>156.52000000000001</c:v>
                </c:pt>
                <c:pt idx="69">
                  <c:v>156.6</c:v>
                </c:pt>
                <c:pt idx="70">
                  <c:v>155.56</c:v>
                </c:pt>
                <c:pt idx="71">
                  <c:v>157</c:v>
                </c:pt>
                <c:pt idx="72">
                  <c:v>156.04</c:v>
                </c:pt>
                <c:pt idx="73">
                  <c:v>148.37</c:v>
                </c:pt>
                <c:pt idx="74">
                  <c:v>148.93</c:v>
                </c:pt>
                <c:pt idx="75">
                  <c:v>147.16</c:v>
                </c:pt>
                <c:pt idx="76">
                  <c:v>147.5</c:v>
                </c:pt>
                <c:pt idx="77">
                  <c:v>147.16999999999999</c:v>
                </c:pt>
                <c:pt idx="78">
                  <c:v>146.87</c:v>
                </c:pt>
                <c:pt idx="79">
                  <c:v>147.11000000000001</c:v>
                </c:pt>
                <c:pt idx="80">
                  <c:v>147.08000000000001</c:v>
                </c:pt>
                <c:pt idx="81">
                  <c:v>145.75</c:v>
                </c:pt>
                <c:pt idx="82">
                  <c:v>145.99</c:v>
                </c:pt>
                <c:pt idx="83">
                  <c:v>145.56</c:v>
                </c:pt>
                <c:pt idx="84">
                  <c:v>145.94</c:v>
                </c:pt>
                <c:pt idx="85">
                  <c:v>142.27000000000001</c:v>
                </c:pt>
                <c:pt idx="86">
                  <c:v>141.79</c:v>
                </c:pt>
                <c:pt idx="87">
                  <c:v>140.94</c:v>
                </c:pt>
                <c:pt idx="88">
                  <c:v>140.13999999999999</c:v>
                </c:pt>
                <c:pt idx="89">
                  <c:v>139.59</c:v>
                </c:pt>
                <c:pt idx="90">
                  <c:v>139.33000000000001</c:v>
                </c:pt>
                <c:pt idx="91">
                  <c:v>140.38</c:v>
                </c:pt>
                <c:pt idx="92">
                  <c:v>142.38999999999999</c:v>
                </c:pt>
                <c:pt idx="93">
                  <c:v>139.85</c:v>
                </c:pt>
                <c:pt idx="94">
                  <c:v>139.71</c:v>
                </c:pt>
                <c:pt idx="95">
                  <c:v>140.82</c:v>
                </c:pt>
                <c:pt idx="96">
                  <c:v>141.43</c:v>
                </c:pt>
                <c:pt idx="97">
                  <c:v>140.86000000000001</c:v>
                </c:pt>
                <c:pt idx="98">
                  <c:v>141.31</c:v>
                </c:pt>
                <c:pt idx="99">
                  <c:v>141.94999999999999</c:v>
                </c:pt>
                <c:pt idx="100">
                  <c:v>141.29</c:v>
                </c:pt>
                <c:pt idx="101">
                  <c:v>140.59</c:v>
                </c:pt>
                <c:pt idx="102">
                  <c:v>141.41999999999999</c:v>
                </c:pt>
                <c:pt idx="103">
                  <c:v>141.46</c:v>
                </c:pt>
                <c:pt idx="104">
                  <c:v>140.88</c:v>
                </c:pt>
                <c:pt idx="105">
                  <c:v>141.22</c:v>
                </c:pt>
                <c:pt idx="106">
                  <c:v>141.18</c:v>
                </c:pt>
                <c:pt idx="107">
                  <c:v>139.88999999999999</c:v>
                </c:pt>
                <c:pt idx="108">
                  <c:v>140.93</c:v>
                </c:pt>
                <c:pt idx="109">
                  <c:v>142.78</c:v>
                </c:pt>
                <c:pt idx="110">
                  <c:v>143.78</c:v>
                </c:pt>
                <c:pt idx="111">
                  <c:v>142.91999999999999</c:v>
                </c:pt>
                <c:pt idx="112">
                  <c:v>142.51</c:v>
                </c:pt>
                <c:pt idx="113">
                  <c:v>142.88999999999999</c:v>
                </c:pt>
                <c:pt idx="114">
                  <c:v>143.97</c:v>
                </c:pt>
                <c:pt idx="115">
                  <c:v>143.47</c:v>
                </c:pt>
                <c:pt idx="116">
                  <c:v>143.57</c:v>
                </c:pt>
                <c:pt idx="117">
                  <c:v>142.5</c:v>
                </c:pt>
                <c:pt idx="118">
                  <c:v>143.06</c:v>
                </c:pt>
                <c:pt idx="119">
                  <c:v>142.79</c:v>
                </c:pt>
                <c:pt idx="120">
                  <c:v>143.83000000000001</c:v>
                </c:pt>
                <c:pt idx="121">
                  <c:v>143.38</c:v>
                </c:pt>
                <c:pt idx="122">
                  <c:v>143.91</c:v>
                </c:pt>
                <c:pt idx="123">
                  <c:v>142.81</c:v>
                </c:pt>
                <c:pt idx="124">
                  <c:v>142.53</c:v>
                </c:pt>
                <c:pt idx="125">
                  <c:v>144.15</c:v>
                </c:pt>
                <c:pt idx="126">
                  <c:v>142.38</c:v>
                </c:pt>
                <c:pt idx="127">
                  <c:v>141.16999999999999</c:v>
                </c:pt>
                <c:pt idx="128">
                  <c:v>141.71</c:v>
                </c:pt>
                <c:pt idx="129">
                  <c:v>142.15</c:v>
                </c:pt>
                <c:pt idx="130">
                  <c:v>141.94</c:v>
                </c:pt>
                <c:pt idx="131">
                  <c:v>142.41</c:v>
                </c:pt>
                <c:pt idx="132">
                  <c:v>142.35</c:v>
                </c:pt>
                <c:pt idx="133">
                  <c:v>142.91</c:v>
                </c:pt>
                <c:pt idx="134">
                  <c:v>141.77000000000001</c:v>
                </c:pt>
                <c:pt idx="135">
                  <c:v>142.69</c:v>
                </c:pt>
                <c:pt idx="136">
                  <c:v>136.69999999999999</c:v>
                </c:pt>
                <c:pt idx="137">
                  <c:v>136.82</c:v>
                </c:pt>
                <c:pt idx="138">
                  <c:v>136.28</c:v>
                </c:pt>
                <c:pt idx="139">
                  <c:v>135.27000000000001</c:v>
                </c:pt>
                <c:pt idx="140">
                  <c:v>135.44999999999999</c:v>
                </c:pt>
                <c:pt idx="141">
                  <c:v>134.68</c:v>
                </c:pt>
                <c:pt idx="142">
                  <c:v>134.41999999999999</c:v>
                </c:pt>
                <c:pt idx="143">
                  <c:v>133.69</c:v>
                </c:pt>
                <c:pt idx="144">
                  <c:v>134.05000000000001</c:v>
                </c:pt>
                <c:pt idx="145">
                  <c:v>134.63</c:v>
                </c:pt>
                <c:pt idx="146">
                  <c:v>133.84</c:v>
                </c:pt>
                <c:pt idx="147">
                  <c:v>134.30000000000001</c:v>
                </c:pt>
                <c:pt idx="148">
                  <c:v>134.5</c:v>
                </c:pt>
                <c:pt idx="149">
                  <c:v>132.93</c:v>
                </c:pt>
                <c:pt idx="150">
                  <c:v>133.06</c:v>
                </c:pt>
                <c:pt idx="151">
                  <c:v>132.75</c:v>
                </c:pt>
                <c:pt idx="152">
                  <c:v>132.81</c:v>
                </c:pt>
                <c:pt idx="153">
                  <c:v>132.81</c:v>
                </c:pt>
                <c:pt idx="154">
                  <c:v>133.26</c:v>
                </c:pt>
                <c:pt idx="155">
                  <c:v>133.03</c:v>
                </c:pt>
                <c:pt idx="156">
                  <c:v>133.43</c:v>
                </c:pt>
                <c:pt idx="157">
                  <c:v>131.74</c:v>
                </c:pt>
                <c:pt idx="158">
                  <c:v>130.81</c:v>
                </c:pt>
                <c:pt idx="159">
                  <c:v>131.4</c:v>
                </c:pt>
                <c:pt idx="160">
                  <c:v>132.03</c:v>
                </c:pt>
                <c:pt idx="161">
                  <c:v>133.09</c:v>
                </c:pt>
                <c:pt idx="162">
                  <c:v>133.84</c:v>
                </c:pt>
                <c:pt idx="163">
                  <c:v>134.59</c:v>
                </c:pt>
                <c:pt idx="164">
                  <c:v>133.44</c:v>
                </c:pt>
                <c:pt idx="165">
                  <c:v>134.03</c:v>
                </c:pt>
                <c:pt idx="166">
                  <c:v>133.49</c:v>
                </c:pt>
                <c:pt idx="167">
                  <c:v>133.93</c:v>
                </c:pt>
                <c:pt idx="168">
                  <c:v>134.91</c:v>
                </c:pt>
                <c:pt idx="169">
                  <c:v>133.94</c:v>
                </c:pt>
                <c:pt idx="170">
                  <c:v>134.66999999999999</c:v>
                </c:pt>
                <c:pt idx="171">
                  <c:v>133.80000000000001</c:v>
                </c:pt>
                <c:pt idx="172">
                  <c:v>133.38</c:v>
                </c:pt>
                <c:pt idx="173">
                  <c:v>135.63999999999999</c:v>
                </c:pt>
                <c:pt idx="174">
                  <c:v>136.47999999999999</c:v>
                </c:pt>
                <c:pt idx="175">
                  <c:v>136.69999999999999</c:v>
                </c:pt>
                <c:pt idx="176">
                  <c:v>136.28</c:v>
                </c:pt>
                <c:pt idx="177">
                  <c:v>135.6</c:v>
                </c:pt>
                <c:pt idx="178">
                  <c:v>135.35</c:v>
                </c:pt>
                <c:pt idx="179">
                  <c:v>135.19999999999999</c:v>
                </c:pt>
                <c:pt idx="180">
                  <c:v>136.59</c:v>
                </c:pt>
                <c:pt idx="181">
                  <c:v>136.01</c:v>
                </c:pt>
                <c:pt idx="182">
                  <c:v>135.88999999999999</c:v>
                </c:pt>
                <c:pt idx="183">
                  <c:v>136.59</c:v>
                </c:pt>
                <c:pt idx="184">
                  <c:v>137.22999999999999</c:v>
                </c:pt>
                <c:pt idx="185">
                  <c:v>136.38999999999999</c:v>
                </c:pt>
                <c:pt idx="186">
                  <c:v>136.38999999999999</c:v>
                </c:pt>
                <c:pt idx="187">
                  <c:v>135.85</c:v>
                </c:pt>
                <c:pt idx="188">
                  <c:v>137.32</c:v>
                </c:pt>
                <c:pt idx="189">
                  <c:v>137.44</c:v>
                </c:pt>
                <c:pt idx="190">
                  <c:v>137.16</c:v>
                </c:pt>
                <c:pt idx="191">
                  <c:v>137.38</c:v>
                </c:pt>
                <c:pt idx="192">
                  <c:v>137.16</c:v>
                </c:pt>
                <c:pt idx="193">
                  <c:v>138.01</c:v>
                </c:pt>
                <c:pt idx="194">
                  <c:v>139.05000000000001</c:v>
                </c:pt>
                <c:pt idx="195">
                  <c:v>138.22</c:v>
                </c:pt>
                <c:pt idx="196">
                  <c:v>137.66999999999999</c:v>
                </c:pt>
                <c:pt idx="197">
                  <c:v>137.74</c:v>
                </c:pt>
                <c:pt idx="198">
                  <c:v>137.47999999999999</c:v>
                </c:pt>
                <c:pt idx="199">
                  <c:v>137.21</c:v>
                </c:pt>
                <c:pt idx="200">
                  <c:v>149.38</c:v>
                </c:pt>
                <c:pt idx="201">
                  <c:v>150.66</c:v>
                </c:pt>
                <c:pt idx="202">
                  <c:v>151.75</c:v>
                </c:pt>
                <c:pt idx="203">
                  <c:v>149.38999999999999</c:v>
                </c:pt>
                <c:pt idx="204">
                  <c:v>145.96</c:v>
                </c:pt>
                <c:pt idx="205">
                  <c:v>143.72999999999999</c:v>
                </c:pt>
                <c:pt idx="206">
                  <c:v>143.82</c:v>
                </c:pt>
                <c:pt idx="207">
                  <c:v>143.9</c:v>
                </c:pt>
                <c:pt idx="208">
                  <c:v>144.53</c:v>
                </c:pt>
                <c:pt idx="209">
                  <c:v>144.25</c:v>
                </c:pt>
                <c:pt idx="210">
                  <c:v>144.22999999999999</c:v>
                </c:pt>
                <c:pt idx="211">
                  <c:v>143.59</c:v>
                </c:pt>
                <c:pt idx="212">
                  <c:v>141.93</c:v>
                </c:pt>
                <c:pt idx="213">
                  <c:v>141.24</c:v>
                </c:pt>
                <c:pt idx="214">
                  <c:v>141.72</c:v>
                </c:pt>
                <c:pt idx="215">
                  <c:v>141.91999999999999</c:v>
                </c:pt>
                <c:pt idx="216">
                  <c:v>142.13999999999999</c:v>
                </c:pt>
                <c:pt idx="217">
                  <c:v>141.06</c:v>
                </c:pt>
                <c:pt idx="218">
                  <c:v>140.34</c:v>
                </c:pt>
                <c:pt idx="219">
                  <c:v>140.81</c:v>
                </c:pt>
                <c:pt idx="220">
                  <c:v>139.11000000000001</c:v>
                </c:pt>
                <c:pt idx="221">
                  <c:v>141.02000000000001</c:v>
                </c:pt>
                <c:pt idx="222">
                  <c:v>140.88</c:v>
                </c:pt>
                <c:pt idx="223">
                  <c:v>142.34</c:v>
                </c:pt>
                <c:pt idx="224">
                  <c:v>143.69999999999999</c:v>
                </c:pt>
                <c:pt idx="225">
                  <c:v>143.53</c:v>
                </c:pt>
                <c:pt idx="226">
                  <c:v>143.6</c:v>
                </c:pt>
                <c:pt idx="227">
                  <c:v>143.72999999999999</c:v>
                </c:pt>
                <c:pt idx="228">
                  <c:v>144.19</c:v>
                </c:pt>
                <c:pt idx="229">
                  <c:v>145.21</c:v>
                </c:pt>
                <c:pt idx="230">
                  <c:v>145.61000000000001</c:v>
                </c:pt>
                <c:pt idx="231">
                  <c:v>146.36000000000001</c:v>
                </c:pt>
                <c:pt idx="232">
                  <c:v>147.97</c:v>
                </c:pt>
                <c:pt idx="233">
                  <c:v>146.91999999999999</c:v>
                </c:pt>
                <c:pt idx="234">
                  <c:v>145.72999999999999</c:v>
                </c:pt>
                <c:pt idx="235">
                  <c:v>145.22999999999999</c:v>
                </c:pt>
                <c:pt idx="236">
                  <c:v>146.4</c:v>
                </c:pt>
                <c:pt idx="237">
                  <c:v>146.97</c:v>
                </c:pt>
                <c:pt idx="238">
                  <c:v>148.22999999999999</c:v>
                </c:pt>
                <c:pt idx="239">
                  <c:v>145.55000000000001</c:v>
                </c:pt>
                <c:pt idx="240">
                  <c:v>145.63999999999999</c:v>
                </c:pt>
                <c:pt idx="241">
                  <c:v>144.22</c:v>
                </c:pt>
                <c:pt idx="242">
                  <c:v>145.01</c:v>
                </c:pt>
                <c:pt idx="243">
                  <c:v>144.91</c:v>
                </c:pt>
                <c:pt idx="244">
                  <c:v>144.65</c:v>
                </c:pt>
                <c:pt idx="245">
                  <c:v>143.27000000000001</c:v>
                </c:pt>
                <c:pt idx="246">
                  <c:v>144.22</c:v>
                </c:pt>
                <c:pt idx="247">
                  <c:v>144.53</c:v>
                </c:pt>
                <c:pt idx="248">
                  <c:v>144.82</c:v>
                </c:pt>
                <c:pt idx="249">
                  <c:v>145.68</c:v>
                </c:pt>
                <c:pt idx="250">
                  <c:v>145.09</c:v>
                </c:pt>
                <c:pt idx="251">
                  <c:v>145.88</c:v>
                </c:pt>
                <c:pt idx="252">
                  <c:v>149.88999999999999</c:v>
                </c:pt>
                <c:pt idx="253">
                  <c:v>152.91999999999999</c:v>
                </c:pt>
                <c:pt idx="254">
                  <c:v>153.66999999999999</c:v>
                </c:pt>
                <c:pt idx="255">
                  <c:v>154.59</c:v>
                </c:pt>
                <c:pt idx="256">
                  <c:v>154.94</c:v>
                </c:pt>
                <c:pt idx="257">
                  <c:v>155.27000000000001</c:v>
                </c:pt>
                <c:pt idx="258">
                  <c:v>155.29</c:v>
                </c:pt>
                <c:pt idx="259">
                  <c:v>154.28</c:v>
                </c:pt>
                <c:pt idx="260">
                  <c:v>154.94999999999999</c:v>
                </c:pt>
                <c:pt idx="261">
                  <c:v>159.49</c:v>
                </c:pt>
                <c:pt idx="262">
                  <c:v>159.94</c:v>
                </c:pt>
                <c:pt idx="263">
                  <c:v>153.55000000000001</c:v>
                </c:pt>
                <c:pt idx="264">
                  <c:v>153.77000000000001</c:v>
                </c:pt>
                <c:pt idx="265">
                  <c:v>157.22</c:v>
                </c:pt>
                <c:pt idx="266">
                  <c:v>156.38999999999999</c:v>
                </c:pt>
                <c:pt idx="267">
                  <c:v>156.49</c:v>
                </c:pt>
                <c:pt idx="268">
                  <c:v>158.25</c:v>
                </c:pt>
                <c:pt idx="269">
                  <c:v>157.74</c:v>
                </c:pt>
                <c:pt idx="270">
                  <c:v>154.74</c:v>
                </c:pt>
                <c:pt idx="271">
                  <c:v>154.81</c:v>
                </c:pt>
                <c:pt idx="272">
                  <c:v>153.58000000000001</c:v>
                </c:pt>
                <c:pt idx="273">
                  <c:v>150.4</c:v>
                </c:pt>
                <c:pt idx="274">
                  <c:v>144.25</c:v>
                </c:pt>
                <c:pt idx="275">
                  <c:v>146.91</c:v>
                </c:pt>
                <c:pt idx="276">
                  <c:v>145.5</c:v>
                </c:pt>
                <c:pt idx="277">
                  <c:v>140.94999999999999</c:v>
                </c:pt>
                <c:pt idx="278">
                  <c:v>142.78</c:v>
                </c:pt>
                <c:pt idx="279">
                  <c:v>144.59</c:v>
                </c:pt>
                <c:pt idx="280">
                  <c:v>143.97</c:v>
                </c:pt>
                <c:pt idx="281">
                  <c:v>147.80000000000001</c:v>
                </c:pt>
                <c:pt idx="282">
                  <c:v>148.99</c:v>
                </c:pt>
                <c:pt idx="283">
                  <c:v>149.15</c:v>
                </c:pt>
                <c:pt idx="284">
                  <c:v>148.18</c:v>
                </c:pt>
                <c:pt idx="285">
                  <c:v>147.03</c:v>
                </c:pt>
                <c:pt idx="286">
                  <c:v>146.29</c:v>
                </c:pt>
                <c:pt idx="287">
                  <c:v>148.52000000000001</c:v>
                </c:pt>
                <c:pt idx="288">
                  <c:v>151.44999999999999</c:v>
                </c:pt>
                <c:pt idx="289">
                  <c:v>149.51</c:v>
                </c:pt>
                <c:pt idx="290">
                  <c:v>148.82</c:v>
                </c:pt>
                <c:pt idx="291">
                  <c:v>146.88999999999999</c:v>
                </c:pt>
                <c:pt idx="292">
                  <c:v>147.54</c:v>
                </c:pt>
                <c:pt idx="293">
                  <c:v>149.88999999999999</c:v>
                </c:pt>
                <c:pt idx="294">
                  <c:v>148.72</c:v>
                </c:pt>
                <c:pt idx="295">
                  <c:v>151.19999999999999</c:v>
                </c:pt>
                <c:pt idx="296">
                  <c:v>149.18</c:v>
                </c:pt>
                <c:pt idx="297">
                  <c:v>152.13999999999999</c:v>
                </c:pt>
                <c:pt idx="298">
                  <c:v>153.05000000000001</c:v>
                </c:pt>
                <c:pt idx="299">
                  <c:v>152.15</c:v>
                </c:pt>
                <c:pt idx="300">
                  <c:v>151.01</c:v>
                </c:pt>
                <c:pt idx="301">
                  <c:v>152.43</c:v>
                </c:pt>
                <c:pt idx="302">
                  <c:v>153.05000000000001</c:v>
                </c:pt>
                <c:pt idx="303">
                  <c:v>150.27000000000001</c:v>
                </c:pt>
                <c:pt idx="304">
                  <c:v>149.16999999999999</c:v>
                </c:pt>
                <c:pt idx="305">
                  <c:v>149.63999999999999</c:v>
                </c:pt>
                <c:pt idx="306">
                  <c:v>145.25</c:v>
                </c:pt>
                <c:pt idx="307">
                  <c:v>142.19</c:v>
                </c:pt>
                <c:pt idx="308">
                  <c:v>146.47</c:v>
                </c:pt>
                <c:pt idx="309">
                  <c:v>145.08000000000001</c:v>
                </c:pt>
                <c:pt idx="310">
                  <c:v>145.66</c:v>
                </c:pt>
                <c:pt idx="311">
                  <c:v>146.53</c:v>
                </c:pt>
                <c:pt idx="312">
                  <c:v>143.32</c:v>
                </c:pt>
                <c:pt idx="313">
                  <c:v>143.11000000000001</c:v>
                </c:pt>
                <c:pt idx="314">
                  <c:v>147.19</c:v>
                </c:pt>
                <c:pt idx="315">
                  <c:v>147.1</c:v>
                </c:pt>
                <c:pt idx="316">
                  <c:v>143.80000000000001</c:v>
                </c:pt>
                <c:pt idx="317">
                  <c:v>145.82</c:v>
                </c:pt>
                <c:pt idx="318">
                  <c:v>148.4</c:v>
                </c:pt>
                <c:pt idx="319">
                  <c:v>148.37</c:v>
                </c:pt>
                <c:pt idx="320">
                  <c:v>150.96</c:v>
                </c:pt>
                <c:pt idx="321">
                  <c:v>149.66</c:v>
                </c:pt>
                <c:pt idx="322">
                  <c:v>150.79</c:v>
                </c:pt>
                <c:pt idx="323">
                  <c:v>153.66999999999999</c:v>
                </c:pt>
                <c:pt idx="324">
                  <c:v>142.1</c:v>
                </c:pt>
                <c:pt idx="325">
                  <c:v>141.06</c:v>
                </c:pt>
                <c:pt idx="326">
                  <c:v>138.38</c:v>
                </c:pt>
                <c:pt idx="327">
                  <c:v>139.30000000000001</c:v>
                </c:pt>
                <c:pt idx="328">
                  <c:v>139.01</c:v>
                </c:pt>
                <c:pt idx="329">
                  <c:v>139.38</c:v>
                </c:pt>
                <c:pt idx="330">
                  <c:v>140.12</c:v>
                </c:pt>
                <c:pt idx="331">
                  <c:v>139.88999999999999</c:v>
                </c:pt>
                <c:pt idx="332">
                  <c:v>138.44</c:v>
                </c:pt>
                <c:pt idx="333">
                  <c:v>138.47999999999999</c:v>
                </c:pt>
                <c:pt idx="334">
                  <c:v>136.04</c:v>
                </c:pt>
                <c:pt idx="335">
                  <c:v>135.6</c:v>
                </c:pt>
                <c:pt idx="336">
                  <c:v>137.44</c:v>
                </c:pt>
                <c:pt idx="337">
                  <c:v>136.78</c:v>
                </c:pt>
                <c:pt idx="338">
                  <c:v>136.57</c:v>
                </c:pt>
                <c:pt idx="339">
                  <c:v>137.71</c:v>
                </c:pt>
                <c:pt idx="340">
                  <c:v>139.28</c:v>
                </c:pt>
                <c:pt idx="341">
                  <c:v>139.18</c:v>
                </c:pt>
                <c:pt idx="342">
                  <c:v>139.34</c:v>
                </c:pt>
                <c:pt idx="343">
                  <c:v>138.80000000000001</c:v>
                </c:pt>
                <c:pt idx="344">
                  <c:v>139.66</c:v>
                </c:pt>
                <c:pt idx="345">
                  <c:v>139.53</c:v>
                </c:pt>
                <c:pt idx="346">
                  <c:v>139.13</c:v>
                </c:pt>
                <c:pt idx="347">
                  <c:v>140.49</c:v>
                </c:pt>
                <c:pt idx="348">
                  <c:v>140.1</c:v>
                </c:pt>
                <c:pt idx="349">
                  <c:v>139.69999999999999</c:v>
                </c:pt>
                <c:pt idx="350">
                  <c:v>139.12</c:v>
                </c:pt>
                <c:pt idx="351">
                  <c:v>138.69999999999999</c:v>
                </c:pt>
                <c:pt idx="352">
                  <c:v>136.36000000000001</c:v>
                </c:pt>
                <c:pt idx="353">
                  <c:v>137.72</c:v>
                </c:pt>
                <c:pt idx="354">
                  <c:v>136.44999999999999</c:v>
                </c:pt>
                <c:pt idx="355">
                  <c:v>137.07</c:v>
                </c:pt>
                <c:pt idx="356">
                  <c:v>138.12</c:v>
                </c:pt>
                <c:pt idx="357">
                  <c:v>138.76</c:v>
                </c:pt>
                <c:pt idx="358">
                  <c:v>139.72999999999999</c:v>
                </c:pt>
                <c:pt idx="359">
                  <c:v>140.36000000000001</c:v>
                </c:pt>
                <c:pt idx="360">
                  <c:v>141.12</c:v>
                </c:pt>
                <c:pt idx="361">
                  <c:v>141.54</c:v>
                </c:pt>
                <c:pt idx="362">
                  <c:v>141.82</c:v>
                </c:pt>
                <c:pt idx="363">
                  <c:v>141.32</c:v>
                </c:pt>
                <c:pt idx="364">
                  <c:v>140.21</c:v>
                </c:pt>
                <c:pt idx="365">
                  <c:v>140.38999999999999</c:v>
                </c:pt>
                <c:pt idx="366">
                  <c:v>139.51</c:v>
                </c:pt>
                <c:pt idx="367">
                  <c:v>138.94999999999999</c:v>
                </c:pt>
                <c:pt idx="368">
                  <c:v>137.72999999999999</c:v>
                </c:pt>
                <c:pt idx="369">
                  <c:v>136.38999999999999</c:v>
                </c:pt>
                <c:pt idx="370">
                  <c:v>136.41999999999999</c:v>
                </c:pt>
                <c:pt idx="371">
                  <c:v>134.02000000000001</c:v>
                </c:pt>
                <c:pt idx="372">
                  <c:v>134.30000000000001</c:v>
                </c:pt>
                <c:pt idx="373">
                  <c:v>132.75</c:v>
                </c:pt>
                <c:pt idx="374">
                  <c:v>135.22999999999999</c:v>
                </c:pt>
                <c:pt idx="375">
                  <c:v>134.9</c:v>
                </c:pt>
                <c:pt idx="376">
                  <c:v>135.05000000000001</c:v>
                </c:pt>
                <c:pt idx="377">
                  <c:v>134.77000000000001</c:v>
                </c:pt>
                <c:pt idx="378">
                  <c:v>136.57</c:v>
                </c:pt>
                <c:pt idx="379">
                  <c:v>137.58000000000001</c:v>
                </c:pt>
                <c:pt idx="380">
                  <c:v>139.43</c:v>
                </c:pt>
                <c:pt idx="381">
                  <c:v>139.72999999999999</c:v>
                </c:pt>
                <c:pt idx="382">
                  <c:v>139.96</c:v>
                </c:pt>
                <c:pt idx="383">
                  <c:v>141.41999999999999</c:v>
                </c:pt>
                <c:pt idx="384">
                  <c:v>140.88</c:v>
                </c:pt>
                <c:pt idx="385">
                  <c:v>140.46</c:v>
                </c:pt>
                <c:pt idx="386">
                  <c:v>138.56</c:v>
                </c:pt>
                <c:pt idx="387">
                  <c:v>139.55000000000001</c:v>
                </c:pt>
                <c:pt idx="388">
                  <c:v>144.11000000000001</c:v>
                </c:pt>
                <c:pt idx="389">
                  <c:v>141.32</c:v>
                </c:pt>
                <c:pt idx="390">
                  <c:v>140.69</c:v>
                </c:pt>
                <c:pt idx="391">
                  <c:v>141.35</c:v>
                </c:pt>
                <c:pt idx="392">
                  <c:v>141.58000000000001</c:v>
                </c:pt>
                <c:pt idx="393">
                  <c:v>141.66999999999999</c:v>
                </c:pt>
                <c:pt idx="394">
                  <c:v>140.16</c:v>
                </c:pt>
                <c:pt idx="395">
                  <c:v>140.49</c:v>
                </c:pt>
                <c:pt idx="396">
                  <c:v>139.94999999999999</c:v>
                </c:pt>
                <c:pt idx="397">
                  <c:v>138.57</c:v>
                </c:pt>
                <c:pt idx="398">
                  <c:v>138.05000000000001</c:v>
                </c:pt>
                <c:pt idx="399">
                  <c:v>142.62</c:v>
                </c:pt>
                <c:pt idx="400">
                  <c:v>141.01</c:v>
                </c:pt>
                <c:pt idx="401">
                  <c:v>141.96</c:v>
                </c:pt>
                <c:pt idx="402">
                  <c:v>141.84</c:v>
                </c:pt>
                <c:pt idx="403">
                  <c:v>141.30000000000001</c:v>
                </c:pt>
                <c:pt idx="404">
                  <c:v>141.02000000000001</c:v>
                </c:pt>
                <c:pt idx="405">
                  <c:v>139.29</c:v>
                </c:pt>
                <c:pt idx="406">
                  <c:v>139.93</c:v>
                </c:pt>
                <c:pt idx="407">
                  <c:v>140.46</c:v>
                </c:pt>
                <c:pt idx="408">
                  <c:v>141.86000000000001</c:v>
                </c:pt>
                <c:pt idx="409">
                  <c:v>142.56</c:v>
                </c:pt>
                <c:pt idx="410">
                  <c:v>143</c:v>
                </c:pt>
                <c:pt idx="411">
                  <c:v>142.47</c:v>
                </c:pt>
                <c:pt idx="412">
                  <c:v>141.76</c:v>
                </c:pt>
                <c:pt idx="413">
                  <c:v>141.88999999999999</c:v>
                </c:pt>
                <c:pt idx="414">
                  <c:v>142.54</c:v>
                </c:pt>
                <c:pt idx="415">
                  <c:v>143.18</c:v>
                </c:pt>
                <c:pt idx="416">
                  <c:v>143.08000000000001</c:v>
                </c:pt>
                <c:pt idx="417">
                  <c:v>144.01</c:v>
                </c:pt>
                <c:pt idx="418">
                  <c:v>142.44</c:v>
                </c:pt>
                <c:pt idx="419">
                  <c:v>142.97</c:v>
                </c:pt>
                <c:pt idx="420">
                  <c:v>142.19</c:v>
                </c:pt>
                <c:pt idx="421">
                  <c:v>143.15</c:v>
                </c:pt>
                <c:pt idx="422">
                  <c:v>142.88</c:v>
                </c:pt>
                <c:pt idx="423">
                  <c:v>141.97</c:v>
                </c:pt>
                <c:pt idx="424">
                  <c:v>142.16</c:v>
                </c:pt>
                <c:pt idx="425">
                  <c:v>142.97999999999999</c:v>
                </c:pt>
                <c:pt idx="426">
                  <c:v>143.06</c:v>
                </c:pt>
                <c:pt idx="427">
                  <c:v>145.38</c:v>
                </c:pt>
                <c:pt idx="428">
                  <c:v>144.78</c:v>
                </c:pt>
                <c:pt idx="429">
                  <c:v>144.4</c:v>
                </c:pt>
                <c:pt idx="430">
                  <c:v>145</c:v>
                </c:pt>
                <c:pt idx="431">
                  <c:v>145.49</c:v>
                </c:pt>
                <c:pt idx="432">
                  <c:v>147.53</c:v>
                </c:pt>
                <c:pt idx="433">
                  <c:v>147.72999999999999</c:v>
                </c:pt>
                <c:pt idx="434">
                  <c:v>146.44</c:v>
                </c:pt>
                <c:pt idx="435">
                  <c:v>145.34</c:v>
                </c:pt>
                <c:pt idx="436">
                  <c:v>147.97999999999999</c:v>
                </c:pt>
                <c:pt idx="437">
                  <c:v>147.87</c:v>
                </c:pt>
                <c:pt idx="438">
                  <c:v>147.59</c:v>
                </c:pt>
                <c:pt idx="439">
                  <c:v>149.34</c:v>
                </c:pt>
                <c:pt idx="440">
                  <c:v>150.07</c:v>
                </c:pt>
                <c:pt idx="441">
                  <c:v>149.55000000000001</c:v>
                </c:pt>
                <c:pt idx="442">
                  <c:v>147.69</c:v>
                </c:pt>
                <c:pt idx="443">
                  <c:v>145.46</c:v>
                </c:pt>
                <c:pt idx="444">
                  <c:v>144.84</c:v>
                </c:pt>
                <c:pt idx="445">
                  <c:v>143.71</c:v>
                </c:pt>
                <c:pt idx="446">
                  <c:v>139.27000000000001</c:v>
                </c:pt>
                <c:pt idx="447">
                  <c:v>135.69</c:v>
                </c:pt>
                <c:pt idx="448">
                  <c:v>137.47999999999999</c:v>
                </c:pt>
                <c:pt idx="449">
                  <c:v>137.75</c:v>
                </c:pt>
                <c:pt idx="450">
                  <c:v>141.63999999999999</c:v>
                </c:pt>
                <c:pt idx="451">
                  <c:v>130.84</c:v>
                </c:pt>
                <c:pt idx="452">
                  <c:v>127.42</c:v>
                </c:pt>
                <c:pt idx="453">
                  <c:v>126.01</c:v>
                </c:pt>
                <c:pt idx="454">
                  <c:v>126.91</c:v>
                </c:pt>
                <c:pt idx="455">
                  <c:v>128.07</c:v>
                </c:pt>
                <c:pt idx="456">
                  <c:v>124.16</c:v>
                </c:pt>
                <c:pt idx="457">
                  <c:v>123.42</c:v>
                </c:pt>
                <c:pt idx="458">
                  <c:v>121.8</c:v>
                </c:pt>
                <c:pt idx="459">
                  <c:v>116.77</c:v>
                </c:pt>
                <c:pt idx="460">
                  <c:v>112.64</c:v>
                </c:pt>
                <c:pt idx="461">
                  <c:v>112.67</c:v>
                </c:pt>
                <c:pt idx="462">
                  <c:v>114.03</c:v>
                </c:pt>
                <c:pt idx="463">
                  <c:v>112.9</c:v>
                </c:pt>
                <c:pt idx="464">
                  <c:v>117.18</c:v>
                </c:pt>
                <c:pt idx="465">
                  <c:v>120.17</c:v>
                </c:pt>
                <c:pt idx="466">
                  <c:v>121.85</c:v>
                </c:pt>
                <c:pt idx="467">
                  <c:v>121.96</c:v>
                </c:pt>
                <c:pt idx="468">
                  <c:v>122.12</c:v>
                </c:pt>
                <c:pt idx="469">
                  <c:v>119.51</c:v>
                </c:pt>
                <c:pt idx="470">
                  <c:v>119.45</c:v>
                </c:pt>
                <c:pt idx="471">
                  <c:v>118.82</c:v>
                </c:pt>
                <c:pt idx="472">
                  <c:v>120.04</c:v>
                </c:pt>
                <c:pt idx="473">
                  <c:v>120.17</c:v>
                </c:pt>
                <c:pt idx="474">
                  <c:v>118.92</c:v>
                </c:pt>
                <c:pt idx="475">
                  <c:v>115.85</c:v>
                </c:pt>
                <c:pt idx="476">
                  <c:v>117.2</c:v>
                </c:pt>
                <c:pt idx="477">
                  <c:v>115.84</c:v>
                </c:pt>
                <c:pt idx="478">
                  <c:v>118.18</c:v>
                </c:pt>
                <c:pt idx="479">
                  <c:v>118.65</c:v>
                </c:pt>
                <c:pt idx="480">
                  <c:v>121.58</c:v>
                </c:pt>
                <c:pt idx="481">
                  <c:v>120.08</c:v>
                </c:pt>
                <c:pt idx="482">
                  <c:v>122.84</c:v>
                </c:pt>
                <c:pt idx="483">
                  <c:v>123.87</c:v>
                </c:pt>
                <c:pt idx="484">
                  <c:v>120.2</c:v>
                </c:pt>
                <c:pt idx="485">
                  <c:v>122.48</c:v>
                </c:pt>
                <c:pt idx="486">
                  <c:v>117.97</c:v>
                </c:pt>
                <c:pt idx="487">
                  <c:v>119.73</c:v>
                </c:pt>
                <c:pt idx="488">
                  <c:v>119.5</c:v>
                </c:pt>
                <c:pt idx="489">
                  <c:v>119.76</c:v>
                </c:pt>
                <c:pt idx="490">
                  <c:v>119.34</c:v>
                </c:pt>
                <c:pt idx="491">
                  <c:v>118.52</c:v>
                </c:pt>
                <c:pt idx="492">
                  <c:v>114.76</c:v>
                </c:pt>
                <c:pt idx="493">
                  <c:v>115.31</c:v>
                </c:pt>
                <c:pt idx="494">
                  <c:v>115.09</c:v>
                </c:pt>
                <c:pt idx="495">
                  <c:v>111.72</c:v>
                </c:pt>
                <c:pt idx="496">
                  <c:v>109.66</c:v>
                </c:pt>
                <c:pt idx="497">
                  <c:v>106.33</c:v>
                </c:pt>
                <c:pt idx="498">
                  <c:v>110.11</c:v>
                </c:pt>
                <c:pt idx="499">
                  <c:v>112.47</c:v>
                </c:pt>
                <c:pt idx="500">
                  <c:v>111.73</c:v>
                </c:pt>
                <c:pt idx="501">
                  <c:v>112.36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A88-4627-A9B5-13E947E20CD9}"/>
            </c:ext>
          </c:extLst>
        </c:ser>
        <c:ser>
          <c:idx val="11"/>
          <c:order val="11"/>
          <c:tx>
            <c:strRef>
              <c:f>wide_company_closes_reorder!$M$1</c:f>
              <c:strCache>
                <c:ptCount val="1"/>
                <c:pt idx="0">
                  <c:v>INTC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wide_company_closes_reorder!$M$2:$M$503</c:f>
              <c:numCache>
                <c:formatCode>General</c:formatCode>
                <c:ptCount val="502"/>
                <c:pt idx="0">
                  <c:v>34.5</c:v>
                </c:pt>
                <c:pt idx="1">
                  <c:v>34.32</c:v>
                </c:pt>
                <c:pt idx="2">
                  <c:v>34.270000000000003</c:v>
                </c:pt>
                <c:pt idx="3">
                  <c:v>34.39</c:v>
                </c:pt>
                <c:pt idx="4">
                  <c:v>34.51</c:v>
                </c:pt>
                <c:pt idx="5">
                  <c:v>34.44</c:v>
                </c:pt>
                <c:pt idx="6">
                  <c:v>34.83</c:v>
                </c:pt>
                <c:pt idx="7">
                  <c:v>34.61</c:v>
                </c:pt>
                <c:pt idx="8">
                  <c:v>34.68</c:v>
                </c:pt>
                <c:pt idx="9">
                  <c:v>34.69</c:v>
                </c:pt>
                <c:pt idx="10">
                  <c:v>34.65</c:v>
                </c:pt>
                <c:pt idx="11">
                  <c:v>34.47</c:v>
                </c:pt>
                <c:pt idx="12">
                  <c:v>34.82</c:v>
                </c:pt>
                <c:pt idx="13">
                  <c:v>34.659999999999997</c:v>
                </c:pt>
                <c:pt idx="14">
                  <c:v>35.46</c:v>
                </c:pt>
                <c:pt idx="15">
                  <c:v>35.630000000000003</c:v>
                </c:pt>
                <c:pt idx="16">
                  <c:v>35.409999999999997</c:v>
                </c:pt>
                <c:pt idx="17">
                  <c:v>35.799999999999997</c:v>
                </c:pt>
                <c:pt idx="18">
                  <c:v>35.270000000000003</c:v>
                </c:pt>
                <c:pt idx="19">
                  <c:v>34.71</c:v>
                </c:pt>
                <c:pt idx="20">
                  <c:v>34.43</c:v>
                </c:pt>
                <c:pt idx="21">
                  <c:v>34.58</c:v>
                </c:pt>
                <c:pt idx="22">
                  <c:v>34.67</c:v>
                </c:pt>
                <c:pt idx="23">
                  <c:v>34.43</c:v>
                </c:pt>
                <c:pt idx="24">
                  <c:v>34.51</c:v>
                </c:pt>
                <c:pt idx="25">
                  <c:v>34.54</c:v>
                </c:pt>
                <c:pt idx="26">
                  <c:v>33.67</c:v>
                </c:pt>
                <c:pt idx="27">
                  <c:v>33.549999999999997</c:v>
                </c:pt>
                <c:pt idx="28">
                  <c:v>33.99</c:v>
                </c:pt>
                <c:pt idx="29">
                  <c:v>34.11</c:v>
                </c:pt>
                <c:pt idx="30">
                  <c:v>34.229999999999997</c:v>
                </c:pt>
                <c:pt idx="31">
                  <c:v>34.57</c:v>
                </c:pt>
                <c:pt idx="32">
                  <c:v>34.630000000000003</c:v>
                </c:pt>
                <c:pt idx="33">
                  <c:v>34.67</c:v>
                </c:pt>
                <c:pt idx="34">
                  <c:v>34.24</c:v>
                </c:pt>
                <c:pt idx="35">
                  <c:v>34.35</c:v>
                </c:pt>
                <c:pt idx="36">
                  <c:v>34.68</c:v>
                </c:pt>
                <c:pt idx="37">
                  <c:v>34.659999999999997</c:v>
                </c:pt>
                <c:pt idx="38">
                  <c:v>34.369999999999997</c:v>
                </c:pt>
                <c:pt idx="39">
                  <c:v>34.11</c:v>
                </c:pt>
                <c:pt idx="40">
                  <c:v>34.090000000000003</c:v>
                </c:pt>
                <c:pt idx="41">
                  <c:v>34.08</c:v>
                </c:pt>
                <c:pt idx="42">
                  <c:v>33.770000000000003</c:v>
                </c:pt>
                <c:pt idx="43">
                  <c:v>33.99</c:v>
                </c:pt>
                <c:pt idx="44">
                  <c:v>33.82</c:v>
                </c:pt>
                <c:pt idx="45">
                  <c:v>34.01</c:v>
                </c:pt>
                <c:pt idx="46">
                  <c:v>34.090000000000003</c:v>
                </c:pt>
                <c:pt idx="47">
                  <c:v>33.380000000000003</c:v>
                </c:pt>
                <c:pt idx="48">
                  <c:v>33.4</c:v>
                </c:pt>
                <c:pt idx="49">
                  <c:v>33.32</c:v>
                </c:pt>
                <c:pt idx="50">
                  <c:v>33.36</c:v>
                </c:pt>
                <c:pt idx="51">
                  <c:v>33.49</c:v>
                </c:pt>
                <c:pt idx="52">
                  <c:v>33.64</c:v>
                </c:pt>
                <c:pt idx="53">
                  <c:v>33.270000000000003</c:v>
                </c:pt>
                <c:pt idx="54">
                  <c:v>33.58</c:v>
                </c:pt>
                <c:pt idx="55">
                  <c:v>33.49</c:v>
                </c:pt>
                <c:pt idx="56">
                  <c:v>33.380000000000003</c:v>
                </c:pt>
                <c:pt idx="57">
                  <c:v>33.6</c:v>
                </c:pt>
                <c:pt idx="58">
                  <c:v>33.799999999999997</c:v>
                </c:pt>
                <c:pt idx="59">
                  <c:v>33.770000000000003</c:v>
                </c:pt>
                <c:pt idx="60">
                  <c:v>33.94</c:v>
                </c:pt>
                <c:pt idx="61">
                  <c:v>34.24</c:v>
                </c:pt>
                <c:pt idx="62">
                  <c:v>34.33</c:v>
                </c:pt>
                <c:pt idx="63">
                  <c:v>34.44</c:v>
                </c:pt>
                <c:pt idx="64">
                  <c:v>34.39</c:v>
                </c:pt>
                <c:pt idx="65">
                  <c:v>34.21</c:v>
                </c:pt>
                <c:pt idx="66">
                  <c:v>34.21</c:v>
                </c:pt>
                <c:pt idx="67">
                  <c:v>33.99</c:v>
                </c:pt>
                <c:pt idx="68">
                  <c:v>33.93</c:v>
                </c:pt>
                <c:pt idx="69">
                  <c:v>33.83</c:v>
                </c:pt>
                <c:pt idx="70">
                  <c:v>33.47</c:v>
                </c:pt>
                <c:pt idx="71">
                  <c:v>33.68</c:v>
                </c:pt>
                <c:pt idx="72">
                  <c:v>33.96</c:v>
                </c:pt>
                <c:pt idx="73">
                  <c:v>34.090000000000003</c:v>
                </c:pt>
                <c:pt idx="74">
                  <c:v>34.35</c:v>
                </c:pt>
                <c:pt idx="75">
                  <c:v>34.479999999999997</c:v>
                </c:pt>
                <c:pt idx="76">
                  <c:v>34.89</c:v>
                </c:pt>
                <c:pt idx="77">
                  <c:v>35</c:v>
                </c:pt>
                <c:pt idx="78">
                  <c:v>35.06</c:v>
                </c:pt>
                <c:pt idx="79">
                  <c:v>35.54</c:v>
                </c:pt>
                <c:pt idx="80">
                  <c:v>34.32</c:v>
                </c:pt>
                <c:pt idx="81">
                  <c:v>34.47</c:v>
                </c:pt>
                <c:pt idx="82">
                  <c:v>35.1</c:v>
                </c:pt>
                <c:pt idx="83">
                  <c:v>35.369999999999997</c:v>
                </c:pt>
                <c:pt idx="84">
                  <c:v>35.24</c:v>
                </c:pt>
                <c:pt idx="85">
                  <c:v>35.22</c:v>
                </c:pt>
                <c:pt idx="86">
                  <c:v>34.950000000000003</c:v>
                </c:pt>
                <c:pt idx="87">
                  <c:v>34.79</c:v>
                </c:pt>
                <c:pt idx="88">
                  <c:v>34.44</c:v>
                </c:pt>
                <c:pt idx="89">
                  <c:v>34.14</c:v>
                </c:pt>
                <c:pt idx="90">
                  <c:v>33.979999999999997</c:v>
                </c:pt>
                <c:pt idx="91">
                  <c:v>34.08</c:v>
                </c:pt>
                <c:pt idx="92">
                  <c:v>34.26</c:v>
                </c:pt>
                <c:pt idx="93">
                  <c:v>33.51</c:v>
                </c:pt>
                <c:pt idx="94">
                  <c:v>33.69</c:v>
                </c:pt>
                <c:pt idx="95">
                  <c:v>33.86</c:v>
                </c:pt>
                <c:pt idx="96">
                  <c:v>34.21</c:v>
                </c:pt>
                <c:pt idx="97">
                  <c:v>34.299999999999997</c:v>
                </c:pt>
                <c:pt idx="98">
                  <c:v>34.549999999999997</c:v>
                </c:pt>
                <c:pt idx="99">
                  <c:v>34.68</c:v>
                </c:pt>
                <c:pt idx="100">
                  <c:v>34.68</c:v>
                </c:pt>
                <c:pt idx="101">
                  <c:v>34.6</c:v>
                </c:pt>
                <c:pt idx="102">
                  <c:v>34.54</c:v>
                </c:pt>
                <c:pt idx="103">
                  <c:v>34.549999999999997</c:v>
                </c:pt>
                <c:pt idx="104">
                  <c:v>34.74</c:v>
                </c:pt>
                <c:pt idx="105">
                  <c:v>34.76</c:v>
                </c:pt>
                <c:pt idx="106">
                  <c:v>34.56</c:v>
                </c:pt>
                <c:pt idx="107">
                  <c:v>34.68</c:v>
                </c:pt>
                <c:pt idx="108">
                  <c:v>34.89</c:v>
                </c:pt>
                <c:pt idx="109">
                  <c:v>34.15</c:v>
                </c:pt>
                <c:pt idx="110">
                  <c:v>34.17</c:v>
                </c:pt>
                <c:pt idx="111">
                  <c:v>34.32</c:v>
                </c:pt>
                <c:pt idx="112">
                  <c:v>33.979999999999997</c:v>
                </c:pt>
                <c:pt idx="113">
                  <c:v>33.770000000000003</c:v>
                </c:pt>
                <c:pt idx="114">
                  <c:v>33.68</c:v>
                </c:pt>
                <c:pt idx="115">
                  <c:v>33.96</c:v>
                </c:pt>
                <c:pt idx="116">
                  <c:v>33.340000000000003</c:v>
                </c:pt>
                <c:pt idx="117">
                  <c:v>33.07</c:v>
                </c:pt>
                <c:pt idx="118">
                  <c:v>32.86</c:v>
                </c:pt>
                <c:pt idx="119">
                  <c:v>32.700000000000003</c:v>
                </c:pt>
                <c:pt idx="120">
                  <c:v>32.590000000000003</c:v>
                </c:pt>
                <c:pt idx="121">
                  <c:v>32.18</c:v>
                </c:pt>
                <c:pt idx="122">
                  <c:v>32.71</c:v>
                </c:pt>
                <c:pt idx="123">
                  <c:v>32.08</c:v>
                </c:pt>
                <c:pt idx="124">
                  <c:v>32.270000000000003</c:v>
                </c:pt>
                <c:pt idx="125">
                  <c:v>32</c:v>
                </c:pt>
                <c:pt idx="126">
                  <c:v>32.840000000000003</c:v>
                </c:pt>
                <c:pt idx="127">
                  <c:v>32.17</c:v>
                </c:pt>
                <c:pt idx="128">
                  <c:v>32.4</c:v>
                </c:pt>
                <c:pt idx="129">
                  <c:v>32.18</c:v>
                </c:pt>
                <c:pt idx="130">
                  <c:v>32.44</c:v>
                </c:pt>
                <c:pt idx="131">
                  <c:v>32.76</c:v>
                </c:pt>
                <c:pt idx="132">
                  <c:v>32.75</c:v>
                </c:pt>
                <c:pt idx="133">
                  <c:v>33.17</c:v>
                </c:pt>
                <c:pt idx="134">
                  <c:v>32.97</c:v>
                </c:pt>
                <c:pt idx="135">
                  <c:v>33.03</c:v>
                </c:pt>
                <c:pt idx="136">
                  <c:v>33.049999999999997</c:v>
                </c:pt>
                <c:pt idx="137">
                  <c:v>33.24</c:v>
                </c:pt>
                <c:pt idx="138">
                  <c:v>33.22</c:v>
                </c:pt>
                <c:pt idx="139">
                  <c:v>33</c:v>
                </c:pt>
                <c:pt idx="140">
                  <c:v>33.159999999999997</c:v>
                </c:pt>
                <c:pt idx="141">
                  <c:v>33.24</c:v>
                </c:pt>
                <c:pt idx="142">
                  <c:v>33.450000000000003</c:v>
                </c:pt>
                <c:pt idx="143">
                  <c:v>33.770000000000003</c:v>
                </c:pt>
                <c:pt idx="144">
                  <c:v>33.93</c:v>
                </c:pt>
                <c:pt idx="145">
                  <c:v>34.770000000000003</c:v>
                </c:pt>
                <c:pt idx="146">
                  <c:v>35.04</c:v>
                </c:pt>
                <c:pt idx="147">
                  <c:v>35.159999999999997</c:v>
                </c:pt>
                <c:pt idx="148">
                  <c:v>34.979999999999997</c:v>
                </c:pt>
                <c:pt idx="149">
                  <c:v>35.1</c:v>
                </c:pt>
                <c:pt idx="150">
                  <c:v>35.090000000000003</c:v>
                </c:pt>
                <c:pt idx="151">
                  <c:v>35.26</c:v>
                </c:pt>
                <c:pt idx="152">
                  <c:v>34.82</c:v>
                </c:pt>
                <c:pt idx="153">
                  <c:v>34.56</c:v>
                </c:pt>
                <c:pt idx="154">
                  <c:v>35.020000000000003</c:v>
                </c:pt>
                <c:pt idx="155">
                  <c:v>34.69</c:v>
                </c:pt>
                <c:pt idx="156">
                  <c:v>34.51</c:v>
                </c:pt>
                <c:pt idx="157">
                  <c:v>33.89</c:v>
                </c:pt>
                <c:pt idx="158">
                  <c:v>33.74</c:v>
                </c:pt>
                <c:pt idx="159">
                  <c:v>33.65</c:v>
                </c:pt>
                <c:pt idx="160">
                  <c:v>33.39</c:v>
                </c:pt>
                <c:pt idx="161">
                  <c:v>33.4</c:v>
                </c:pt>
                <c:pt idx="162">
                  <c:v>33.450000000000003</c:v>
                </c:pt>
                <c:pt idx="163">
                  <c:v>33.409999999999997</c:v>
                </c:pt>
                <c:pt idx="164">
                  <c:v>33.39</c:v>
                </c:pt>
                <c:pt idx="165">
                  <c:v>33.47</c:v>
                </c:pt>
                <c:pt idx="166">
                  <c:v>33.619999999999997</c:v>
                </c:pt>
                <c:pt idx="167">
                  <c:v>33.79</c:v>
                </c:pt>
                <c:pt idx="168">
                  <c:v>33.81</c:v>
                </c:pt>
                <c:pt idx="169">
                  <c:v>33.75</c:v>
                </c:pt>
                <c:pt idx="170">
                  <c:v>34.46</c:v>
                </c:pt>
                <c:pt idx="171">
                  <c:v>34.25</c:v>
                </c:pt>
                <c:pt idx="172">
                  <c:v>33.909999999999997</c:v>
                </c:pt>
                <c:pt idx="173">
                  <c:v>34.47</c:v>
                </c:pt>
                <c:pt idx="174">
                  <c:v>34.78</c:v>
                </c:pt>
                <c:pt idx="175">
                  <c:v>35.01</c:v>
                </c:pt>
                <c:pt idx="176">
                  <c:v>35.15</c:v>
                </c:pt>
                <c:pt idx="177">
                  <c:v>35.65</c:v>
                </c:pt>
                <c:pt idx="178">
                  <c:v>35.65</c:v>
                </c:pt>
                <c:pt idx="179">
                  <c:v>35.880000000000003</c:v>
                </c:pt>
                <c:pt idx="180">
                  <c:v>35.72</c:v>
                </c:pt>
                <c:pt idx="181">
                  <c:v>35.85</c:v>
                </c:pt>
                <c:pt idx="182">
                  <c:v>35.83</c:v>
                </c:pt>
                <c:pt idx="183">
                  <c:v>35.81</c:v>
                </c:pt>
                <c:pt idx="184">
                  <c:v>36.11</c:v>
                </c:pt>
                <c:pt idx="185">
                  <c:v>36.17</c:v>
                </c:pt>
                <c:pt idx="186">
                  <c:v>36.450000000000003</c:v>
                </c:pt>
                <c:pt idx="187">
                  <c:v>36.69</c:v>
                </c:pt>
                <c:pt idx="188">
                  <c:v>37.619999999999997</c:v>
                </c:pt>
                <c:pt idx="189">
                  <c:v>37.950000000000003</c:v>
                </c:pt>
                <c:pt idx="190">
                  <c:v>37.909999999999997</c:v>
                </c:pt>
                <c:pt idx="191">
                  <c:v>38.090000000000003</c:v>
                </c:pt>
                <c:pt idx="192">
                  <c:v>38.19</c:v>
                </c:pt>
                <c:pt idx="193">
                  <c:v>38.409999999999997</c:v>
                </c:pt>
                <c:pt idx="194">
                  <c:v>38.21</c:v>
                </c:pt>
                <c:pt idx="195">
                  <c:v>37.869999999999997</c:v>
                </c:pt>
                <c:pt idx="196">
                  <c:v>37.76</c:v>
                </c:pt>
                <c:pt idx="197">
                  <c:v>38.229999999999997</c:v>
                </c:pt>
                <c:pt idx="198">
                  <c:v>38.31</c:v>
                </c:pt>
                <c:pt idx="199">
                  <c:v>38.340000000000003</c:v>
                </c:pt>
                <c:pt idx="200">
                  <c:v>38.79</c:v>
                </c:pt>
                <c:pt idx="201">
                  <c:v>38.630000000000003</c:v>
                </c:pt>
                <c:pt idx="202">
                  <c:v>38.96</c:v>
                </c:pt>
                <c:pt idx="203">
                  <c:v>39.340000000000003</c:v>
                </c:pt>
                <c:pt idx="204">
                  <c:v>39.46</c:v>
                </c:pt>
                <c:pt idx="205">
                  <c:v>39.299999999999997</c:v>
                </c:pt>
                <c:pt idx="206">
                  <c:v>39.85</c:v>
                </c:pt>
                <c:pt idx="207">
                  <c:v>42.78</c:v>
                </c:pt>
                <c:pt idx="208">
                  <c:v>42.76</c:v>
                </c:pt>
                <c:pt idx="209">
                  <c:v>43.83</c:v>
                </c:pt>
                <c:pt idx="210">
                  <c:v>45.01</c:v>
                </c:pt>
                <c:pt idx="211">
                  <c:v>45.39</c:v>
                </c:pt>
                <c:pt idx="212">
                  <c:v>44.65</c:v>
                </c:pt>
                <c:pt idx="213">
                  <c:v>45.27</c:v>
                </c:pt>
                <c:pt idx="214">
                  <c:v>45.34</c:v>
                </c:pt>
                <c:pt idx="215">
                  <c:v>45.27</c:v>
                </c:pt>
                <c:pt idx="216">
                  <c:v>44.88</c:v>
                </c:pt>
                <c:pt idx="217">
                  <c:v>44.18</c:v>
                </c:pt>
                <c:pt idx="218">
                  <c:v>44.35</c:v>
                </c:pt>
                <c:pt idx="219">
                  <c:v>44.45</c:v>
                </c:pt>
                <c:pt idx="220">
                  <c:v>44.06</c:v>
                </c:pt>
                <c:pt idx="221">
                  <c:v>44.25</c:v>
                </c:pt>
                <c:pt idx="222">
                  <c:v>43.26</c:v>
                </c:pt>
                <c:pt idx="223">
                  <c:v>43.25</c:v>
                </c:pt>
                <c:pt idx="224">
                  <c:v>43.56</c:v>
                </c:pt>
                <c:pt idx="225">
                  <c:v>43.28</c:v>
                </c:pt>
                <c:pt idx="226">
                  <c:v>43.38</c:v>
                </c:pt>
                <c:pt idx="227">
                  <c:v>43.12</c:v>
                </c:pt>
                <c:pt idx="228">
                  <c:v>43.36</c:v>
                </c:pt>
                <c:pt idx="229">
                  <c:v>42.6</c:v>
                </c:pt>
                <c:pt idx="230">
                  <c:v>43.46</c:v>
                </c:pt>
                <c:pt idx="231">
                  <c:v>43.31</c:v>
                </c:pt>
                <c:pt idx="232">
                  <c:v>43.12</c:v>
                </c:pt>
                <c:pt idx="233">
                  <c:v>42.11</c:v>
                </c:pt>
                <c:pt idx="234">
                  <c:v>42.12</c:v>
                </c:pt>
                <c:pt idx="235">
                  <c:v>41.76</c:v>
                </c:pt>
                <c:pt idx="236">
                  <c:v>42.02</c:v>
                </c:pt>
                <c:pt idx="237">
                  <c:v>42.32</c:v>
                </c:pt>
                <c:pt idx="238">
                  <c:v>42</c:v>
                </c:pt>
                <c:pt idx="239">
                  <c:v>42.01</c:v>
                </c:pt>
                <c:pt idx="240">
                  <c:v>41.93</c:v>
                </c:pt>
                <c:pt idx="241">
                  <c:v>43.19</c:v>
                </c:pt>
                <c:pt idx="242">
                  <c:v>44.84</c:v>
                </c:pt>
                <c:pt idx="243">
                  <c:v>45.6</c:v>
                </c:pt>
                <c:pt idx="244">
                  <c:v>46.1</c:v>
                </c:pt>
                <c:pt idx="245">
                  <c:v>45.32</c:v>
                </c:pt>
                <c:pt idx="246">
                  <c:v>45.27</c:v>
                </c:pt>
                <c:pt idx="247">
                  <c:v>44.67</c:v>
                </c:pt>
                <c:pt idx="248">
                  <c:v>44.69</c:v>
                </c:pt>
                <c:pt idx="249">
                  <c:v>44.8</c:v>
                </c:pt>
                <c:pt idx="250">
                  <c:v>44.74</c:v>
                </c:pt>
                <c:pt idx="251">
                  <c:v>45.41</c:v>
                </c:pt>
                <c:pt idx="252">
                  <c:v>43.87</c:v>
                </c:pt>
                <c:pt idx="253">
                  <c:v>43.07</c:v>
                </c:pt>
                <c:pt idx="254">
                  <c:v>43.37</c:v>
                </c:pt>
                <c:pt idx="255">
                  <c:v>43.37</c:v>
                </c:pt>
                <c:pt idx="256">
                  <c:v>42.28</c:v>
                </c:pt>
                <c:pt idx="257">
                  <c:v>41.2</c:v>
                </c:pt>
                <c:pt idx="258">
                  <c:v>42.08</c:v>
                </c:pt>
                <c:pt idx="259">
                  <c:v>41.91</c:v>
                </c:pt>
                <c:pt idx="260">
                  <c:v>41.82</c:v>
                </c:pt>
                <c:pt idx="261">
                  <c:v>43.03</c:v>
                </c:pt>
                <c:pt idx="262">
                  <c:v>43.11</c:v>
                </c:pt>
                <c:pt idx="263">
                  <c:v>43.44</c:v>
                </c:pt>
                <c:pt idx="264">
                  <c:v>44.35</c:v>
                </c:pt>
                <c:pt idx="265">
                  <c:v>44.65</c:v>
                </c:pt>
                <c:pt idx="266">
                  <c:v>44.11</c:v>
                </c:pt>
                <c:pt idx="267">
                  <c:v>43.91</c:v>
                </c:pt>
                <c:pt idx="268">
                  <c:v>48.54</c:v>
                </c:pt>
                <c:pt idx="269">
                  <c:v>48.45</c:v>
                </c:pt>
                <c:pt idx="270">
                  <c:v>47.29</c:v>
                </c:pt>
                <c:pt idx="271">
                  <c:v>46.66</c:v>
                </c:pt>
                <c:pt idx="272">
                  <c:v>46.19</c:v>
                </c:pt>
                <c:pt idx="273">
                  <c:v>44.73</c:v>
                </c:pt>
                <c:pt idx="274">
                  <c:v>43.15</c:v>
                </c:pt>
                <c:pt idx="275">
                  <c:v>43.83</c:v>
                </c:pt>
                <c:pt idx="276">
                  <c:v>44.11</c:v>
                </c:pt>
                <c:pt idx="277">
                  <c:v>41.72</c:v>
                </c:pt>
                <c:pt idx="278">
                  <c:v>42.89</c:v>
                </c:pt>
                <c:pt idx="279">
                  <c:v>43.75</c:v>
                </c:pt>
                <c:pt idx="280">
                  <c:v>43.39</c:v>
                </c:pt>
                <c:pt idx="281">
                  <c:v>44.29</c:v>
                </c:pt>
                <c:pt idx="282">
                  <c:v>44.81</c:v>
                </c:pt>
                <c:pt idx="283">
                  <c:v>44.46</c:v>
                </c:pt>
                <c:pt idx="284">
                  <c:v>45.2</c:v>
                </c:pt>
                <c:pt idx="285">
                  <c:v>44.83</c:v>
                </c:pt>
                <c:pt idx="286">
                  <c:v>44.7</c:v>
                </c:pt>
                <c:pt idx="287">
                  <c:v>46.58</c:v>
                </c:pt>
                <c:pt idx="288">
                  <c:v>47.93</c:v>
                </c:pt>
                <c:pt idx="289">
                  <c:v>48.71</c:v>
                </c:pt>
                <c:pt idx="290">
                  <c:v>48.1</c:v>
                </c:pt>
                <c:pt idx="291">
                  <c:v>46.69</c:v>
                </c:pt>
                <c:pt idx="292">
                  <c:v>47.8</c:v>
                </c:pt>
                <c:pt idx="293">
                  <c:v>48.55</c:v>
                </c:pt>
                <c:pt idx="294">
                  <c:v>49.49</c:v>
                </c:pt>
                <c:pt idx="295">
                  <c:v>50.08</c:v>
                </c:pt>
                <c:pt idx="296">
                  <c:v>49.52</c:v>
                </c:pt>
                <c:pt idx="297">
                  <c:v>50.93</c:v>
                </c:pt>
                <c:pt idx="298">
                  <c:v>50.28</c:v>
                </c:pt>
                <c:pt idx="299">
                  <c:v>50.53</c:v>
                </c:pt>
                <c:pt idx="300">
                  <c:v>50.61</c:v>
                </c:pt>
                <c:pt idx="301">
                  <c:v>49.65</c:v>
                </c:pt>
                <c:pt idx="302">
                  <c:v>49.94</c:v>
                </c:pt>
                <c:pt idx="303">
                  <c:v>49.6</c:v>
                </c:pt>
                <c:pt idx="304">
                  <c:v>50.31</c:v>
                </c:pt>
                <c:pt idx="305">
                  <c:v>50.32</c:v>
                </c:pt>
                <c:pt idx="306">
                  <c:v>49.6</c:v>
                </c:pt>
                <c:pt idx="307">
                  <c:v>48.17</c:v>
                </c:pt>
                <c:pt idx="308">
                  <c:v>51.21</c:v>
                </c:pt>
                <c:pt idx="309">
                  <c:v>49.96</c:v>
                </c:pt>
                <c:pt idx="310">
                  <c:v>48.4</c:v>
                </c:pt>
                <c:pt idx="311">
                  <c:v>50.82</c:v>
                </c:pt>
                <c:pt idx="312">
                  <c:v>47.74</c:v>
                </c:pt>
                <c:pt idx="313">
                  <c:v>48.55</c:v>
                </c:pt>
                <c:pt idx="314">
                  <c:v>48.78</c:v>
                </c:pt>
                <c:pt idx="315">
                  <c:v>49.17</c:v>
                </c:pt>
                <c:pt idx="316">
                  <c:v>47.61</c:v>
                </c:pt>
                <c:pt idx="317">
                  <c:v>48.36</c:v>
                </c:pt>
                <c:pt idx="318">
                  <c:v>50.03</c:v>
                </c:pt>
                <c:pt idx="319">
                  <c:v>49.87</c:v>
                </c:pt>
                <c:pt idx="320">
                  <c:v>51.45</c:v>
                </c:pt>
                <c:pt idx="321">
                  <c:v>50.61</c:v>
                </c:pt>
                <c:pt idx="322">
                  <c:v>51.14</c:v>
                </c:pt>
                <c:pt idx="323">
                  <c:v>52.25</c:v>
                </c:pt>
                <c:pt idx="324">
                  <c:v>52.32</c:v>
                </c:pt>
                <c:pt idx="325">
                  <c:v>50.96</c:v>
                </c:pt>
                <c:pt idx="326">
                  <c:v>50.29</c:v>
                </c:pt>
                <c:pt idx="327">
                  <c:v>49.87</c:v>
                </c:pt>
                <c:pt idx="328">
                  <c:v>50.21</c:v>
                </c:pt>
                <c:pt idx="329">
                  <c:v>50.14</c:v>
                </c:pt>
                <c:pt idx="330">
                  <c:v>51.77</c:v>
                </c:pt>
                <c:pt idx="331">
                  <c:v>51.46</c:v>
                </c:pt>
                <c:pt idx="332">
                  <c:v>50.38</c:v>
                </c:pt>
                <c:pt idx="333">
                  <c:v>52.04</c:v>
                </c:pt>
                <c:pt idx="334">
                  <c:v>51.05</c:v>
                </c:pt>
                <c:pt idx="335">
                  <c:v>51.02</c:v>
                </c:pt>
                <c:pt idx="336">
                  <c:v>51.8</c:v>
                </c:pt>
                <c:pt idx="337">
                  <c:v>52.34</c:v>
                </c:pt>
                <c:pt idx="338">
                  <c:v>52.64</c:v>
                </c:pt>
                <c:pt idx="339">
                  <c:v>53.34</c:v>
                </c:pt>
                <c:pt idx="340">
                  <c:v>53.96</c:v>
                </c:pt>
                <c:pt idx="341">
                  <c:v>53.66</c:v>
                </c:pt>
                <c:pt idx="342">
                  <c:v>53.89</c:v>
                </c:pt>
                <c:pt idx="343">
                  <c:v>52.92</c:v>
                </c:pt>
                <c:pt idx="344">
                  <c:v>53.63</c:v>
                </c:pt>
                <c:pt idx="345">
                  <c:v>53.8</c:v>
                </c:pt>
                <c:pt idx="346">
                  <c:v>52.51</c:v>
                </c:pt>
                <c:pt idx="347">
                  <c:v>53.32</c:v>
                </c:pt>
                <c:pt idx="348">
                  <c:v>53.44</c:v>
                </c:pt>
                <c:pt idx="349">
                  <c:v>54.19</c:v>
                </c:pt>
                <c:pt idx="350">
                  <c:v>53.74</c:v>
                </c:pt>
                <c:pt idx="351">
                  <c:v>54.42</c:v>
                </c:pt>
                <c:pt idx="352">
                  <c:v>54.3</c:v>
                </c:pt>
                <c:pt idx="353">
                  <c:v>54.65</c:v>
                </c:pt>
                <c:pt idx="354">
                  <c:v>54.18</c:v>
                </c:pt>
                <c:pt idx="355">
                  <c:v>56.03</c:v>
                </c:pt>
                <c:pt idx="356">
                  <c:v>55.78</c:v>
                </c:pt>
                <c:pt idx="357">
                  <c:v>55.49</c:v>
                </c:pt>
                <c:pt idx="358">
                  <c:v>55.98</c:v>
                </c:pt>
                <c:pt idx="359">
                  <c:v>54.85</c:v>
                </c:pt>
                <c:pt idx="360">
                  <c:v>54.03</c:v>
                </c:pt>
                <c:pt idx="361">
                  <c:v>53.51</c:v>
                </c:pt>
                <c:pt idx="362">
                  <c:v>53.81</c:v>
                </c:pt>
                <c:pt idx="363">
                  <c:v>54.01</c:v>
                </c:pt>
                <c:pt idx="364">
                  <c:v>54.51</c:v>
                </c:pt>
                <c:pt idx="365">
                  <c:v>54.09</c:v>
                </c:pt>
                <c:pt idx="366">
                  <c:v>52.24</c:v>
                </c:pt>
                <c:pt idx="367">
                  <c:v>51.95</c:v>
                </c:pt>
                <c:pt idx="368">
                  <c:v>52.47</c:v>
                </c:pt>
                <c:pt idx="369">
                  <c:v>51.23</c:v>
                </c:pt>
                <c:pt idx="370">
                  <c:v>51.53</c:v>
                </c:pt>
                <c:pt idx="371">
                  <c:v>49.77</c:v>
                </c:pt>
                <c:pt idx="372">
                  <c:v>48.75</c:v>
                </c:pt>
                <c:pt idx="373">
                  <c:v>47.86</c:v>
                </c:pt>
                <c:pt idx="374">
                  <c:v>48.34</c:v>
                </c:pt>
                <c:pt idx="375">
                  <c:v>48.79</c:v>
                </c:pt>
                <c:pt idx="376">
                  <c:v>49.27</c:v>
                </c:pt>
                <c:pt idx="377">
                  <c:v>48.56</c:v>
                </c:pt>
                <c:pt idx="378">
                  <c:v>49.81</c:v>
                </c:pt>
                <c:pt idx="379">
                  <c:v>50.42</c:v>
                </c:pt>
                <c:pt idx="380">
                  <c:v>50.9</c:v>
                </c:pt>
                <c:pt idx="381">
                  <c:v>51.2</c:v>
                </c:pt>
                <c:pt idx="382">
                  <c:v>50.25</c:v>
                </c:pt>
                <c:pt idx="383">
                  <c:v>51.38</c:v>
                </c:pt>
                <c:pt idx="384">
                  <c:v>51.25</c:v>
                </c:pt>
                <c:pt idx="385">
                  <c:v>51.05</c:v>
                </c:pt>
                <c:pt idx="386">
                  <c:v>50.79</c:v>
                </c:pt>
                <c:pt idx="387">
                  <c:v>50.76</c:v>
                </c:pt>
                <c:pt idx="388">
                  <c:v>51.02</c:v>
                </c:pt>
                <c:pt idx="389">
                  <c:v>50.95</c:v>
                </c:pt>
                <c:pt idx="390">
                  <c:v>51.34</c:v>
                </c:pt>
                <c:pt idx="391">
                  <c:v>51.22</c:v>
                </c:pt>
                <c:pt idx="392">
                  <c:v>51.46</c:v>
                </c:pt>
                <c:pt idx="393">
                  <c:v>51.2</c:v>
                </c:pt>
                <c:pt idx="394">
                  <c:v>46.8</c:v>
                </c:pt>
                <c:pt idx="395">
                  <c:v>46.81</c:v>
                </c:pt>
                <c:pt idx="396">
                  <c:v>47.21</c:v>
                </c:pt>
                <c:pt idx="397">
                  <c:v>47.91</c:v>
                </c:pt>
                <c:pt idx="398">
                  <c:v>48.57</c:v>
                </c:pt>
                <c:pt idx="399">
                  <c:v>48.71</c:v>
                </c:pt>
                <c:pt idx="400">
                  <c:v>48.68</c:v>
                </c:pt>
                <c:pt idx="401">
                  <c:v>49.08</c:v>
                </c:pt>
                <c:pt idx="402">
                  <c:v>49.33</c:v>
                </c:pt>
                <c:pt idx="403">
                  <c:v>49.51</c:v>
                </c:pt>
                <c:pt idx="404">
                  <c:v>48.24</c:v>
                </c:pt>
                <c:pt idx="405">
                  <c:v>47.84</c:v>
                </c:pt>
                <c:pt idx="406">
                  <c:v>47.52</c:v>
                </c:pt>
                <c:pt idx="407">
                  <c:v>46.87</c:v>
                </c:pt>
                <c:pt idx="408">
                  <c:v>46.58</c:v>
                </c:pt>
                <c:pt idx="409">
                  <c:v>46.51</c:v>
                </c:pt>
                <c:pt idx="410">
                  <c:v>45.92</c:v>
                </c:pt>
                <c:pt idx="411">
                  <c:v>47.02</c:v>
                </c:pt>
                <c:pt idx="412">
                  <c:v>46.46</c:v>
                </c:pt>
                <c:pt idx="413">
                  <c:v>46.39</c:v>
                </c:pt>
                <c:pt idx="414">
                  <c:v>47.06</c:v>
                </c:pt>
                <c:pt idx="415">
                  <c:v>47.75</c:v>
                </c:pt>
                <c:pt idx="416">
                  <c:v>47.96</c:v>
                </c:pt>
                <c:pt idx="417">
                  <c:v>48.14</c:v>
                </c:pt>
                <c:pt idx="418">
                  <c:v>47.64</c:v>
                </c:pt>
                <c:pt idx="419">
                  <c:v>47.82</c:v>
                </c:pt>
                <c:pt idx="420">
                  <c:v>47.36</c:v>
                </c:pt>
                <c:pt idx="421">
                  <c:v>47.12</c:v>
                </c:pt>
                <c:pt idx="422">
                  <c:v>46.67</c:v>
                </c:pt>
                <c:pt idx="423">
                  <c:v>45.87</c:v>
                </c:pt>
                <c:pt idx="424">
                  <c:v>45.72</c:v>
                </c:pt>
                <c:pt idx="425">
                  <c:v>44.37</c:v>
                </c:pt>
                <c:pt idx="426">
                  <c:v>44.37</c:v>
                </c:pt>
                <c:pt idx="427">
                  <c:v>45</c:v>
                </c:pt>
                <c:pt idx="428">
                  <c:v>44.97</c:v>
                </c:pt>
                <c:pt idx="429">
                  <c:v>44.85</c:v>
                </c:pt>
                <c:pt idx="430">
                  <c:v>45.52</c:v>
                </c:pt>
                <c:pt idx="431">
                  <c:v>45.57</c:v>
                </c:pt>
                <c:pt idx="432">
                  <c:v>46.61</c:v>
                </c:pt>
                <c:pt idx="433">
                  <c:v>46.08</c:v>
                </c:pt>
                <c:pt idx="434">
                  <c:v>46.32</c:v>
                </c:pt>
                <c:pt idx="435">
                  <c:v>45.34</c:v>
                </c:pt>
                <c:pt idx="436">
                  <c:v>45.13</c:v>
                </c:pt>
                <c:pt idx="437">
                  <c:v>45.31</c:v>
                </c:pt>
                <c:pt idx="438">
                  <c:v>46.7</c:v>
                </c:pt>
                <c:pt idx="439">
                  <c:v>45.87</c:v>
                </c:pt>
                <c:pt idx="440">
                  <c:v>47.5</c:v>
                </c:pt>
                <c:pt idx="441">
                  <c:v>48.15</c:v>
                </c:pt>
                <c:pt idx="442">
                  <c:v>47.53</c:v>
                </c:pt>
                <c:pt idx="443">
                  <c:v>46.44</c:v>
                </c:pt>
                <c:pt idx="444">
                  <c:v>46.44</c:v>
                </c:pt>
                <c:pt idx="445">
                  <c:v>45.97</c:v>
                </c:pt>
                <c:pt idx="446">
                  <c:v>44.24</c:v>
                </c:pt>
                <c:pt idx="447">
                  <c:v>43.68</c:v>
                </c:pt>
                <c:pt idx="448">
                  <c:v>44.32</c:v>
                </c:pt>
                <c:pt idx="449">
                  <c:v>43.97</c:v>
                </c:pt>
                <c:pt idx="450">
                  <c:v>45.37</c:v>
                </c:pt>
                <c:pt idx="451">
                  <c:v>45.32</c:v>
                </c:pt>
                <c:pt idx="452">
                  <c:v>44.41</c:v>
                </c:pt>
                <c:pt idx="453">
                  <c:v>43.45</c:v>
                </c:pt>
                <c:pt idx="454">
                  <c:v>44.45</c:v>
                </c:pt>
                <c:pt idx="455">
                  <c:v>43.94</c:v>
                </c:pt>
                <c:pt idx="456">
                  <c:v>41.89</c:v>
                </c:pt>
                <c:pt idx="457">
                  <c:v>43.76</c:v>
                </c:pt>
                <c:pt idx="458">
                  <c:v>45.12</c:v>
                </c:pt>
                <c:pt idx="459">
                  <c:v>44.83</c:v>
                </c:pt>
                <c:pt idx="460">
                  <c:v>47.16</c:v>
                </c:pt>
                <c:pt idx="461">
                  <c:v>46.29</c:v>
                </c:pt>
                <c:pt idx="462">
                  <c:v>47.62</c:v>
                </c:pt>
                <c:pt idx="463">
                  <c:v>46.52</c:v>
                </c:pt>
                <c:pt idx="464">
                  <c:v>47.37</c:v>
                </c:pt>
                <c:pt idx="465">
                  <c:v>46.95</c:v>
                </c:pt>
                <c:pt idx="466">
                  <c:v>48.41</c:v>
                </c:pt>
                <c:pt idx="467">
                  <c:v>48.68</c:v>
                </c:pt>
                <c:pt idx="468">
                  <c:v>47.81</c:v>
                </c:pt>
                <c:pt idx="469">
                  <c:v>46.36</c:v>
                </c:pt>
                <c:pt idx="470">
                  <c:v>47.09</c:v>
                </c:pt>
                <c:pt idx="471">
                  <c:v>46.79</c:v>
                </c:pt>
                <c:pt idx="472">
                  <c:v>47.81</c:v>
                </c:pt>
                <c:pt idx="473">
                  <c:v>48.52</c:v>
                </c:pt>
                <c:pt idx="474">
                  <c:v>47.7</c:v>
                </c:pt>
                <c:pt idx="475">
                  <c:v>47.09</c:v>
                </c:pt>
                <c:pt idx="476">
                  <c:v>46.73</c:v>
                </c:pt>
                <c:pt idx="477">
                  <c:v>46.25</c:v>
                </c:pt>
                <c:pt idx="478">
                  <c:v>47.15</c:v>
                </c:pt>
                <c:pt idx="479">
                  <c:v>47.77</c:v>
                </c:pt>
                <c:pt idx="480">
                  <c:v>48.55</c:v>
                </c:pt>
                <c:pt idx="481">
                  <c:v>47.4</c:v>
                </c:pt>
                <c:pt idx="482">
                  <c:v>49</c:v>
                </c:pt>
                <c:pt idx="483">
                  <c:v>49.81</c:v>
                </c:pt>
                <c:pt idx="484">
                  <c:v>47.45</c:v>
                </c:pt>
                <c:pt idx="485">
                  <c:v>48.07</c:v>
                </c:pt>
                <c:pt idx="486">
                  <c:v>45.95</c:v>
                </c:pt>
                <c:pt idx="487">
                  <c:v>46.91</c:v>
                </c:pt>
                <c:pt idx="488">
                  <c:v>47.08</c:v>
                </c:pt>
                <c:pt idx="489">
                  <c:v>47.53</c:v>
                </c:pt>
                <c:pt idx="490">
                  <c:v>47.99</c:v>
                </c:pt>
                <c:pt idx="491">
                  <c:v>47.56</c:v>
                </c:pt>
                <c:pt idx="492">
                  <c:v>46.78</c:v>
                </c:pt>
                <c:pt idx="493">
                  <c:v>47.44</c:v>
                </c:pt>
                <c:pt idx="494">
                  <c:v>45.28</c:v>
                </c:pt>
                <c:pt idx="495">
                  <c:v>45.25</c:v>
                </c:pt>
                <c:pt idx="496">
                  <c:v>44.56</c:v>
                </c:pt>
                <c:pt idx="497">
                  <c:v>43.32</c:v>
                </c:pt>
                <c:pt idx="498">
                  <c:v>45.9</c:v>
                </c:pt>
                <c:pt idx="499">
                  <c:v>46.07</c:v>
                </c:pt>
                <c:pt idx="500">
                  <c:v>46.46</c:v>
                </c:pt>
                <c:pt idx="501">
                  <c:v>46.63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A88-4627-A9B5-13E947E20CD9}"/>
            </c:ext>
          </c:extLst>
        </c:ser>
        <c:ser>
          <c:idx val="12"/>
          <c:order val="12"/>
          <c:tx>
            <c:strRef>
              <c:f>wide_company_closes_reorder!$N$1</c:f>
              <c:strCache>
                <c:ptCount val="1"/>
                <c:pt idx="0">
                  <c:v>JNJ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wide_company_closes_reorder!$N$2:$N$503</c:f>
              <c:numCache>
                <c:formatCode>General</c:formatCode>
                <c:ptCount val="502"/>
                <c:pt idx="0">
                  <c:v>109.92</c:v>
                </c:pt>
                <c:pt idx="1">
                  <c:v>109.74</c:v>
                </c:pt>
                <c:pt idx="2">
                  <c:v>110.89</c:v>
                </c:pt>
                <c:pt idx="3">
                  <c:v>110.36</c:v>
                </c:pt>
                <c:pt idx="4">
                  <c:v>110.34</c:v>
                </c:pt>
                <c:pt idx="5">
                  <c:v>110.23</c:v>
                </c:pt>
                <c:pt idx="6">
                  <c:v>108.87</c:v>
                </c:pt>
                <c:pt idx="7">
                  <c:v>108.77</c:v>
                </c:pt>
                <c:pt idx="8">
                  <c:v>108.75</c:v>
                </c:pt>
                <c:pt idx="9">
                  <c:v>109</c:v>
                </c:pt>
                <c:pt idx="10">
                  <c:v>108.84</c:v>
                </c:pt>
                <c:pt idx="11">
                  <c:v>108.37</c:v>
                </c:pt>
                <c:pt idx="12">
                  <c:v>108.32</c:v>
                </c:pt>
                <c:pt idx="13">
                  <c:v>108.09</c:v>
                </c:pt>
                <c:pt idx="14">
                  <c:v>106.05</c:v>
                </c:pt>
                <c:pt idx="15">
                  <c:v>107.04</c:v>
                </c:pt>
                <c:pt idx="16">
                  <c:v>106.13</c:v>
                </c:pt>
                <c:pt idx="17">
                  <c:v>107.59</c:v>
                </c:pt>
                <c:pt idx="18">
                  <c:v>107.35</c:v>
                </c:pt>
                <c:pt idx="19">
                  <c:v>107.47</c:v>
                </c:pt>
                <c:pt idx="20">
                  <c:v>107.45</c:v>
                </c:pt>
                <c:pt idx="21">
                  <c:v>107.77</c:v>
                </c:pt>
                <c:pt idx="22">
                  <c:v>107.84</c:v>
                </c:pt>
                <c:pt idx="23">
                  <c:v>107.61</c:v>
                </c:pt>
                <c:pt idx="24">
                  <c:v>107.69</c:v>
                </c:pt>
                <c:pt idx="25">
                  <c:v>107.61</c:v>
                </c:pt>
                <c:pt idx="26">
                  <c:v>108.25</c:v>
                </c:pt>
                <c:pt idx="27">
                  <c:v>109.36</c:v>
                </c:pt>
                <c:pt idx="28">
                  <c:v>109.96</c:v>
                </c:pt>
                <c:pt idx="29">
                  <c:v>110.42</c:v>
                </c:pt>
                <c:pt idx="30">
                  <c:v>111.22</c:v>
                </c:pt>
                <c:pt idx="31">
                  <c:v>112.05</c:v>
                </c:pt>
                <c:pt idx="32">
                  <c:v>112.79</c:v>
                </c:pt>
                <c:pt idx="33">
                  <c:v>113.55</c:v>
                </c:pt>
                <c:pt idx="34">
                  <c:v>113.42</c:v>
                </c:pt>
                <c:pt idx="35">
                  <c:v>115.49</c:v>
                </c:pt>
                <c:pt idx="36">
                  <c:v>117.23</c:v>
                </c:pt>
                <c:pt idx="37">
                  <c:v>116.92</c:v>
                </c:pt>
                <c:pt idx="38">
                  <c:v>116.74</c:v>
                </c:pt>
                <c:pt idx="39">
                  <c:v>118.31</c:v>
                </c:pt>
                <c:pt idx="40">
                  <c:v>118.09</c:v>
                </c:pt>
                <c:pt idx="41">
                  <c:v>118.25</c:v>
                </c:pt>
                <c:pt idx="42">
                  <c:v>118.17</c:v>
                </c:pt>
                <c:pt idx="43">
                  <c:v>118.28</c:v>
                </c:pt>
                <c:pt idx="44">
                  <c:v>118.54</c:v>
                </c:pt>
                <c:pt idx="45">
                  <c:v>120.31</c:v>
                </c:pt>
                <c:pt idx="46">
                  <c:v>120.56</c:v>
                </c:pt>
                <c:pt idx="47">
                  <c:v>121.01</c:v>
                </c:pt>
                <c:pt idx="48">
                  <c:v>121.36</c:v>
                </c:pt>
                <c:pt idx="49">
                  <c:v>123.18</c:v>
                </c:pt>
                <c:pt idx="50">
                  <c:v>122.71</c:v>
                </c:pt>
                <c:pt idx="51">
                  <c:v>122.32</c:v>
                </c:pt>
                <c:pt idx="52">
                  <c:v>122.33</c:v>
                </c:pt>
                <c:pt idx="53">
                  <c:v>121.55</c:v>
                </c:pt>
                <c:pt idx="54">
                  <c:v>120.61</c:v>
                </c:pt>
                <c:pt idx="55">
                  <c:v>120.26</c:v>
                </c:pt>
                <c:pt idx="56">
                  <c:v>119.86</c:v>
                </c:pt>
                <c:pt idx="57">
                  <c:v>120.17</c:v>
                </c:pt>
                <c:pt idx="58">
                  <c:v>120.03</c:v>
                </c:pt>
                <c:pt idx="59">
                  <c:v>119.33</c:v>
                </c:pt>
                <c:pt idx="60">
                  <c:v>119.08</c:v>
                </c:pt>
                <c:pt idx="61">
                  <c:v>118.97</c:v>
                </c:pt>
                <c:pt idx="62">
                  <c:v>119.11</c:v>
                </c:pt>
                <c:pt idx="63">
                  <c:v>119.1</c:v>
                </c:pt>
                <c:pt idx="64">
                  <c:v>119.21</c:v>
                </c:pt>
                <c:pt idx="65">
                  <c:v>119.45</c:v>
                </c:pt>
                <c:pt idx="66">
                  <c:v>119.33</c:v>
                </c:pt>
                <c:pt idx="67">
                  <c:v>118.77</c:v>
                </c:pt>
                <c:pt idx="68">
                  <c:v>118.66</c:v>
                </c:pt>
                <c:pt idx="69">
                  <c:v>119.78</c:v>
                </c:pt>
                <c:pt idx="70">
                  <c:v>119.39</c:v>
                </c:pt>
                <c:pt idx="71">
                  <c:v>120.09</c:v>
                </c:pt>
                <c:pt idx="72">
                  <c:v>116.36</c:v>
                </c:pt>
                <c:pt idx="73">
                  <c:v>115.93</c:v>
                </c:pt>
                <c:pt idx="74">
                  <c:v>116.41</c:v>
                </c:pt>
                <c:pt idx="75">
                  <c:v>116.31</c:v>
                </c:pt>
                <c:pt idx="76">
                  <c:v>117.39</c:v>
                </c:pt>
                <c:pt idx="77">
                  <c:v>117.9</c:v>
                </c:pt>
                <c:pt idx="78">
                  <c:v>117.98</c:v>
                </c:pt>
                <c:pt idx="79">
                  <c:v>118.2</c:v>
                </c:pt>
                <c:pt idx="80">
                  <c:v>117.94</c:v>
                </c:pt>
                <c:pt idx="81">
                  <c:v>117.82</c:v>
                </c:pt>
                <c:pt idx="82">
                  <c:v>118.16</c:v>
                </c:pt>
                <c:pt idx="83">
                  <c:v>117.81</c:v>
                </c:pt>
                <c:pt idx="84">
                  <c:v>118.4</c:v>
                </c:pt>
                <c:pt idx="85">
                  <c:v>117.98</c:v>
                </c:pt>
                <c:pt idx="86">
                  <c:v>117.73</c:v>
                </c:pt>
                <c:pt idx="87">
                  <c:v>117.69</c:v>
                </c:pt>
                <c:pt idx="88">
                  <c:v>117.31</c:v>
                </c:pt>
                <c:pt idx="89">
                  <c:v>117.68</c:v>
                </c:pt>
                <c:pt idx="90">
                  <c:v>118.1</c:v>
                </c:pt>
                <c:pt idx="91">
                  <c:v>121.3</c:v>
                </c:pt>
                <c:pt idx="92">
                  <c:v>122.05</c:v>
                </c:pt>
                <c:pt idx="93">
                  <c:v>121</c:v>
                </c:pt>
                <c:pt idx="94">
                  <c:v>121.28</c:v>
                </c:pt>
                <c:pt idx="95">
                  <c:v>121.31</c:v>
                </c:pt>
                <c:pt idx="96">
                  <c:v>121.56</c:v>
                </c:pt>
                <c:pt idx="97">
                  <c:v>121.81</c:v>
                </c:pt>
                <c:pt idx="98">
                  <c:v>121.8</c:v>
                </c:pt>
                <c:pt idx="99">
                  <c:v>122.63</c:v>
                </c:pt>
                <c:pt idx="100">
                  <c:v>122.04</c:v>
                </c:pt>
                <c:pt idx="101">
                  <c:v>122.22</c:v>
                </c:pt>
                <c:pt idx="102">
                  <c:v>123.32</c:v>
                </c:pt>
                <c:pt idx="103">
                  <c:v>123.83</c:v>
                </c:pt>
                <c:pt idx="104">
                  <c:v>125.08</c:v>
                </c:pt>
                <c:pt idx="105">
                  <c:v>125.35</c:v>
                </c:pt>
                <c:pt idx="106">
                  <c:v>125.8</c:v>
                </c:pt>
                <c:pt idx="107">
                  <c:v>125.72</c:v>
                </c:pt>
                <c:pt idx="108">
                  <c:v>125.53</c:v>
                </c:pt>
                <c:pt idx="109">
                  <c:v>126.47</c:v>
                </c:pt>
                <c:pt idx="110">
                  <c:v>126.75</c:v>
                </c:pt>
                <c:pt idx="111">
                  <c:v>126.94</c:v>
                </c:pt>
                <c:pt idx="112">
                  <c:v>127.67</c:v>
                </c:pt>
                <c:pt idx="113">
                  <c:v>127.92</c:v>
                </c:pt>
                <c:pt idx="114">
                  <c:v>129.18</c:v>
                </c:pt>
                <c:pt idx="115">
                  <c:v>128.91999999999999</c:v>
                </c:pt>
                <c:pt idx="116">
                  <c:v>129.06</c:v>
                </c:pt>
                <c:pt idx="117">
                  <c:v>129.72</c:v>
                </c:pt>
                <c:pt idx="118">
                  <c:v>130.82</c:v>
                </c:pt>
                <c:pt idx="119">
                  <c:v>131.18</c:v>
                </c:pt>
                <c:pt idx="120">
                  <c:v>131.1</c:v>
                </c:pt>
                <c:pt idx="121">
                  <c:v>129.82</c:v>
                </c:pt>
                <c:pt idx="122">
                  <c:v>128.66999999999999</c:v>
                </c:pt>
                <c:pt idx="123">
                  <c:v>127.54</c:v>
                </c:pt>
                <c:pt idx="124">
                  <c:v>127.2</c:v>
                </c:pt>
                <c:pt idx="125">
                  <c:v>127.79</c:v>
                </c:pt>
                <c:pt idx="126">
                  <c:v>128.5</c:v>
                </c:pt>
                <c:pt idx="127">
                  <c:v>127.42</c:v>
                </c:pt>
                <c:pt idx="128">
                  <c:v>127.44</c:v>
                </c:pt>
                <c:pt idx="129">
                  <c:v>126.49</c:v>
                </c:pt>
                <c:pt idx="130">
                  <c:v>126.18</c:v>
                </c:pt>
                <c:pt idx="131">
                  <c:v>127.15</c:v>
                </c:pt>
                <c:pt idx="132">
                  <c:v>126.79</c:v>
                </c:pt>
                <c:pt idx="133">
                  <c:v>127.5</c:v>
                </c:pt>
                <c:pt idx="134">
                  <c:v>127.07</c:v>
                </c:pt>
                <c:pt idx="135">
                  <c:v>129.29</c:v>
                </c:pt>
                <c:pt idx="136">
                  <c:v>130.01</c:v>
                </c:pt>
                <c:pt idx="137">
                  <c:v>131.32</c:v>
                </c:pt>
                <c:pt idx="138">
                  <c:v>130.11000000000001</c:v>
                </c:pt>
                <c:pt idx="139">
                  <c:v>127.9</c:v>
                </c:pt>
                <c:pt idx="140">
                  <c:v>126.81</c:v>
                </c:pt>
                <c:pt idx="141">
                  <c:v>125.92</c:v>
                </c:pt>
                <c:pt idx="142">
                  <c:v>125.8</c:v>
                </c:pt>
                <c:pt idx="143">
                  <c:v>126.78</c:v>
                </c:pt>
                <c:pt idx="144">
                  <c:v>127.62</c:v>
                </c:pt>
                <c:pt idx="145">
                  <c:v>127.42</c:v>
                </c:pt>
                <c:pt idx="146">
                  <c:v>127.08</c:v>
                </c:pt>
                <c:pt idx="147">
                  <c:v>128.22</c:v>
                </c:pt>
                <c:pt idx="148">
                  <c:v>128.06</c:v>
                </c:pt>
                <c:pt idx="149">
                  <c:v>127.75</c:v>
                </c:pt>
                <c:pt idx="150">
                  <c:v>127.18</c:v>
                </c:pt>
                <c:pt idx="151">
                  <c:v>128.11000000000001</c:v>
                </c:pt>
                <c:pt idx="152">
                  <c:v>127.97</c:v>
                </c:pt>
                <c:pt idx="153">
                  <c:v>127.98</c:v>
                </c:pt>
                <c:pt idx="154">
                  <c:v>128.35</c:v>
                </c:pt>
                <c:pt idx="155">
                  <c:v>128.25</c:v>
                </c:pt>
                <c:pt idx="156">
                  <c:v>129.01</c:v>
                </c:pt>
                <c:pt idx="157">
                  <c:v>127.92</c:v>
                </c:pt>
                <c:pt idx="158">
                  <c:v>127.53</c:v>
                </c:pt>
                <c:pt idx="159">
                  <c:v>128.32</c:v>
                </c:pt>
                <c:pt idx="160">
                  <c:v>129.52000000000001</c:v>
                </c:pt>
                <c:pt idx="161">
                  <c:v>127.69</c:v>
                </c:pt>
                <c:pt idx="162">
                  <c:v>127.78</c:v>
                </c:pt>
                <c:pt idx="163">
                  <c:v>127.42</c:v>
                </c:pt>
                <c:pt idx="164">
                  <c:v>127.48</c:v>
                </c:pt>
                <c:pt idx="165">
                  <c:v>127.94</c:v>
                </c:pt>
                <c:pt idx="166">
                  <c:v>126.83</c:v>
                </c:pt>
                <c:pt idx="167">
                  <c:v>128.09</c:v>
                </c:pt>
                <c:pt idx="168">
                  <c:v>126.79</c:v>
                </c:pt>
                <c:pt idx="169">
                  <c:v>125.7</c:v>
                </c:pt>
                <c:pt idx="170">
                  <c:v>126.45</c:v>
                </c:pt>
                <c:pt idx="171">
                  <c:v>127.92</c:v>
                </c:pt>
                <c:pt idx="172">
                  <c:v>126.75</c:v>
                </c:pt>
                <c:pt idx="173">
                  <c:v>128.9</c:v>
                </c:pt>
                <c:pt idx="174">
                  <c:v>128.34</c:v>
                </c:pt>
                <c:pt idx="175">
                  <c:v>128.16999999999999</c:v>
                </c:pt>
                <c:pt idx="176">
                  <c:v>129.84</c:v>
                </c:pt>
                <c:pt idx="177">
                  <c:v>130.1</c:v>
                </c:pt>
                <c:pt idx="178">
                  <c:v>131</c:v>
                </c:pt>
                <c:pt idx="179">
                  <c:v>130.85</c:v>
                </c:pt>
                <c:pt idx="180">
                  <c:v>128.91</c:v>
                </c:pt>
                <c:pt idx="181">
                  <c:v>127.49</c:v>
                </c:pt>
                <c:pt idx="182">
                  <c:v>127.14</c:v>
                </c:pt>
                <c:pt idx="183">
                  <c:v>126.93</c:v>
                </c:pt>
                <c:pt idx="184">
                  <c:v>126.71</c:v>
                </c:pt>
                <c:pt idx="185">
                  <c:v>125.55</c:v>
                </c:pt>
                <c:pt idx="186">
                  <c:v>125.28</c:v>
                </c:pt>
                <c:pt idx="187">
                  <c:v>125.81</c:v>
                </c:pt>
                <c:pt idx="188">
                  <c:v>126.98</c:v>
                </c:pt>
                <c:pt idx="189">
                  <c:v>127.83</c:v>
                </c:pt>
                <c:pt idx="190">
                  <c:v>128.59</c:v>
                </c:pt>
                <c:pt idx="191">
                  <c:v>128.88</c:v>
                </c:pt>
                <c:pt idx="192">
                  <c:v>128.91</c:v>
                </c:pt>
                <c:pt idx="193">
                  <c:v>129.13999999999999</c:v>
                </c:pt>
                <c:pt idx="194">
                  <c:v>129.57</c:v>
                </c:pt>
                <c:pt idx="195">
                  <c:v>132.22999999999999</c:v>
                </c:pt>
                <c:pt idx="196">
                  <c:v>132.41</c:v>
                </c:pt>
                <c:pt idx="197">
                  <c:v>132.02000000000001</c:v>
                </c:pt>
                <c:pt idx="198">
                  <c:v>131.72</c:v>
                </c:pt>
                <c:pt idx="199">
                  <c:v>136.24</c:v>
                </c:pt>
                <c:pt idx="200">
                  <c:v>136.13</c:v>
                </c:pt>
                <c:pt idx="201">
                  <c:v>137.44999999999999</c:v>
                </c:pt>
                <c:pt idx="202">
                  <c:v>137.80000000000001</c:v>
                </c:pt>
                <c:pt idx="203">
                  <c:v>138.97999999999999</c:v>
                </c:pt>
                <c:pt idx="204">
                  <c:v>137.06</c:v>
                </c:pt>
                <c:pt idx="205">
                  <c:v>137.76</c:v>
                </c:pt>
                <c:pt idx="206">
                  <c:v>137.22</c:v>
                </c:pt>
                <c:pt idx="207">
                  <c:v>137.19999999999999</c:v>
                </c:pt>
                <c:pt idx="208">
                  <c:v>135.47</c:v>
                </c:pt>
                <c:pt idx="209">
                  <c:v>134.9</c:v>
                </c:pt>
                <c:pt idx="210">
                  <c:v>135.44999999999999</c:v>
                </c:pt>
                <c:pt idx="211">
                  <c:v>135.41</c:v>
                </c:pt>
                <c:pt idx="212">
                  <c:v>135.55000000000001</c:v>
                </c:pt>
                <c:pt idx="213">
                  <c:v>135.24</c:v>
                </c:pt>
                <c:pt idx="214">
                  <c:v>135.25</c:v>
                </c:pt>
                <c:pt idx="215">
                  <c:v>136.75</c:v>
                </c:pt>
                <c:pt idx="216">
                  <c:v>135.81</c:v>
                </c:pt>
                <c:pt idx="217">
                  <c:v>135.05000000000001</c:v>
                </c:pt>
                <c:pt idx="218">
                  <c:v>135.24</c:v>
                </c:pt>
                <c:pt idx="219">
                  <c:v>134.97999999999999</c:v>
                </c:pt>
                <c:pt idx="220">
                  <c:v>134.6</c:v>
                </c:pt>
                <c:pt idx="221">
                  <c:v>134.38</c:v>
                </c:pt>
                <c:pt idx="222">
                  <c:v>133.54</c:v>
                </c:pt>
                <c:pt idx="223">
                  <c:v>133.47</c:v>
                </c:pt>
                <c:pt idx="224">
                  <c:v>133.87</c:v>
                </c:pt>
                <c:pt idx="225">
                  <c:v>132.85</c:v>
                </c:pt>
                <c:pt idx="226">
                  <c:v>133.55000000000001</c:v>
                </c:pt>
                <c:pt idx="227">
                  <c:v>134.44999999999999</c:v>
                </c:pt>
                <c:pt idx="228">
                  <c:v>136.32</c:v>
                </c:pt>
                <c:pt idx="229">
                  <c:v>136.12</c:v>
                </c:pt>
                <c:pt idx="230">
                  <c:v>135.65</c:v>
                </c:pt>
                <c:pt idx="231">
                  <c:v>136.28</c:v>
                </c:pt>
                <c:pt idx="232">
                  <c:v>135.34</c:v>
                </c:pt>
                <c:pt idx="233">
                  <c:v>135.97999999999999</c:v>
                </c:pt>
                <c:pt idx="234">
                  <c:v>137.34</c:v>
                </c:pt>
                <c:pt idx="235">
                  <c:v>136.31</c:v>
                </c:pt>
                <c:pt idx="236">
                  <c:v>136.88</c:v>
                </c:pt>
                <c:pt idx="237">
                  <c:v>137.41</c:v>
                </c:pt>
                <c:pt idx="238">
                  <c:v>138.83000000000001</c:v>
                </c:pt>
                <c:pt idx="239">
                  <c:v>139.12</c:v>
                </c:pt>
                <c:pt idx="240">
                  <c:v>137.91</c:v>
                </c:pt>
                <c:pt idx="241">
                  <c:v>138.69999999999999</c:v>
                </c:pt>
                <c:pt idx="242">
                  <c:v>138.06</c:v>
                </c:pt>
                <c:pt idx="243">
                  <c:v>138.04</c:v>
                </c:pt>
                <c:pt idx="244">
                  <c:v>137.43</c:v>
                </c:pt>
                <c:pt idx="245">
                  <c:v>137.34</c:v>
                </c:pt>
                <c:pt idx="246">
                  <c:v>136.41999999999999</c:v>
                </c:pt>
                <c:pt idx="247">
                  <c:v>136.38999999999999</c:v>
                </c:pt>
                <c:pt idx="248">
                  <c:v>136.86000000000001</c:v>
                </c:pt>
                <c:pt idx="249">
                  <c:v>136.85</c:v>
                </c:pt>
                <c:pt idx="250">
                  <c:v>136.03</c:v>
                </c:pt>
                <c:pt idx="251">
                  <c:v>135.55000000000001</c:v>
                </c:pt>
                <c:pt idx="252">
                  <c:v>136.85</c:v>
                </c:pt>
                <c:pt idx="253">
                  <c:v>136.84</c:v>
                </c:pt>
                <c:pt idx="254">
                  <c:v>137.97</c:v>
                </c:pt>
                <c:pt idx="255">
                  <c:v>138.13999999999999</c:v>
                </c:pt>
                <c:pt idx="256">
                  <c:v>140.33000000000001</c:v>
                </c:pt>
                <c:pt idx="257">
                  <c:v>140.16999999999999</c:v>
                </c:pt>
                <c:pt idx="258">
                  <c:v>140.97</c:v>
                </c:pt>
                <c:pt idx="259">
                  <c:v>141.91</c:v>
                </c:pt>
                <c:pt idx="260">
                  <c:v>142.97999999999999</c:v>
                </c:pt>
                <c:pt idx="261">
                  <c:v>143.1</c:v>
                </c:pt>
                <c:pt idx="262">
                  <c:v>143.04</c:v>
                </c:pt>
                <c:pt idx="263">
                  <c:v>143.47</c:v>
                </c:pt>
                <c:pt idx="264">
                  <c:v>144.22999999999999</c:v>
                </c:pt>
                <c:pt idx="265">
                  <c:v>138.08000000000001</c:v>
                </c:pt>
                <c:pt idx="266">
                  <c:v>138.32</c:v>
                </c:pt>
                <c:pt idx="267">
                  <c:v>140.59</c:v>
                </c:pt>
                <c:pt idx="268">
                  <c:v>141.49</c:v>
                </c:pt>
                <c:pt idx="269">
                  <c:v>139.88999999999999</c:v>
                </c:pt>
                <c:pt idx="270">
                  <c:v>138.66999999999999</c:v>
                </c:pt>
                <c:pt idx="271">
                  <c:v>134.54</c:v>
                </c:pt>
                <c:pt idx="272">
                  <c:v>136.32</c:v>
                </c:pt>
                <c:pt idx="273">
                  <c:v>134.04</c:v>
                </c:pt>
                <c:pt idx="274">
                  <c:v>126.95</c:v>
                </c:pt>
                <c:pt idx="275">
                  <c:v>128.35</c:v>
                </c:pt>
                <c:pt idx="276">
                  <c:v>127.95</c:v>
                </c:pt>
                <c:pt idx="277">
                  <c:v>123.02</c:v>
                </c:pt>
                <c:pt idx="278">
                  <c:v>126.11</c:v>
                </c:pt>
                <c:pt idx="279">
                  <c:v>126.83</c:v>
                </c:pt>
                <c:pt idx="280">
                  <c:v>126.53</c:v>
                </c:pt>
                <c:pt idx="281">
                  <c:v>126.25</c:v>
                </c:pt>
                <c:pt idx="282">
                  <c:v>127.76</c:v>
                </c:pt>
                <c:pt idx="283">
                  <c:v>129.63</c:v>
                </c:pt>
                <c:pt idx="284">
                  <c:v>127.41</c:v>
                </c:pt>
                <c:pt idx="285">
                  <c:v>126.48</c:v>
                </c:pt>
                <c:pt idx="286">
                  <c:v>126.48</c:v>
                </c:pt>
                <c:pt idx="287">
                  <c:v>128.53</c:v>
                </c:pt>
                <c:pt idx="288">
                  <c:v>129.41</c:v>
                </c:pt>
                <c:pt idx="289">
                  <c:v>129.01</c:v>
                </c:pt>
                <c:pt idx="290">
                  <c:v>127.26</c:v>
                </c:pt>
                <c:pt idx="291">
                  <c:v>124.71</c:v>
                </c:pt>
                <c:pt idx="292">
                  <c:v>126.22</c:v>
                </c:pt>
                <c:pt idx="293">
                  <c:v>127.17</c:v>
                </c:pt>
                <c:pt idx="294">
                  <c:v>125.63</c:v>
                </c:pt>
                <c:pt idx="295">
                  <c:v>126.44</c:v>
                </c:pt>
                <c:pt idx="296">
                  <c:v>129.4</c:v>
                </c:pt>
                <c:pt idx="297">
                  <c:v>131.1</c:v>
                </c:pt>
                <c:pt idx="298">
                  <c:v>129.94999999999999</c:v>
                </c:pt>
                <c:pt idx="299">
                  <c:v>131.63999999999999</c:v>
                </c:pt>
                <c:pt idx="300">
                  <c:v>129.65</c:v>
                </c:pt>
                <c:pt idx="301">
                  <c:v>130.38</c:v>
                </c:pt>
                <c:pt idx="302">
                  <c:v>130.97999999999999</c:v>
                </c:pt>
                <c:pt idx="303">
                  <c:v>127.61</c:v>
                </c:pt>
                <c:pt idx="304">
                  <c:v>128.56</c:v>
                </c:pt>
                <c:pt idx="305">
                  <c:v>128.54</c:v>
                </c:pt>
                <c:pt idx="306">
                  <c:v>124.81</c:v>
                </c:pt>
                <c:pt idx="307">
                  <c:v>122.58</c:v>
                </c:pt>
                <c:pt idx="308">
                  <c:v>124.82</c:v>
                </c:pt>
                <c:pt idx="309">
                  <c:v>124.64</c:v>
                </c:pt>
                <c:pt idx="310">
                  <c:v>124.88</c:v>
                </c:pt>
                <c:pt idx="311">
                  <c:v>125.56</c:v>
                </c:pt>
                <c:pt idx="312">
                  <c:v>122.05</c:v>
                </c:pt>
                <c:pt idx="313">
                  <c:v>125.76</c:v>
                </c:pt>
                <c:pt idx="314">
                  <c:v>127.78</c:v>
                </c:pt>
                <c:pt idx="315">
                  <c:v>128.07</c:v>
                </c:pt>
                <c:pt idx="316">
                  <c:v>125.52</c:v>
                </c:pt>
                <c:pt idx="317">
                  <c:v>126.87</c:v>
                </c:pt>
                <c:pt idx="318">
                  <c:v>127.62</c:v>
                </c:pt>
                <c:pt idx="319">
                  <c:v>127.02</c:v>
                </c:pt>
                <c:pt idx="320">
                  <c:v>127.8</c:v>
                </c:pt>
                <c:pt idx="321">
                  <c:v>127.99</c:v>
                </c:pt>
                <c:pt idx="322">
                  <c:v>129.1</c:v>
                </c:pt>
                <c:pt idx="323">
                  <c:v>127.91</c:v>
                </c:pt>
                <c:pt idx="324">
                  <c:v>125.14</c:v>
                </c:pt>
                <c:pt idx="325">
                  <c:v>124.98</c:v>
                </c:pt>
                <c:pt idx="326">
                  <c:v>124.1</c:v>
                </c:pt>
                <c:pt idx="327">
                  <c:v>124.27</c:v>
                </c:pt>
                <c:pt idx="328">
                  <c:v>123.64</c:v>
                </c:pt>
                <c:pt idx="329">
                  <c:v>124.2</c:v>
                </c:pt>
                <c:pt idx="330">
                  <c:v>125.43</c:v>
                </c:pt>
                <c:pt idx="331">
                  <c:v>125.68</c:v>
                </c:pt>
                <c:pt idx="332">
                  <c:v>123.94</c:v>
                </c:pt>
                <c:pt idx="333">
                  <c:v>123.47</c:v>
                </c:pt>
                <c:pt idx="334">
                  <c:v>121.01</c:v>
                </c:pt>
                <c:pt idx="335">
                  <c:v>120.55</c:v>
                </c:pt>
                <c:pt idx="336">
                  <c:v>121.68</c:v>
                </c:pt>
                <c:pt idx="337">
                  <c:v>121.1</c:v>
                </c:pt>
                <c:pt idx="338">
                  <c:v>120.14</c:v>
                </c:pt>
                <c:pt idx="339">
                  <c:v>121.02</c:v>
                </c:pt>
                <c:pt idx="340">
                  <c:v>122.82</c:v>
                </c:pt>
                <c:pt idx="341">
                  <c:v>124.67</c:v>
                </c:pt>
                <c:pt idx="342">
                  <c:v>123.52</c:v>
                </c:pt>
                <c:pt idx="343">
                  <c:v>122.61</c:v>
                </c:pt>
                <c:pt idx="344">
                  <c:v>122.82</c:v>
                </c:pt>
                <c:pt idx="345">
                  <c:v>121.35</c:v>
                </c:pt>
                <c:pt idx="346">
                  <c:v>121.73</c:v>
                </c:pt>
                <c:pt idx="347">
                  <c:v>121.22</c:v>
                </c:pt>
                <c:pt idx="348">
                  <c:v>120.43</c:v>
                </c:pt>
                <c:pt idx="349">
                  <c:v>120.96</c:v>
                </c:pt>
                <c:pt idx="350">
                  <c:v>119.78</c:v>
                </c:pt>
                <c:pt idx="351">
                  <c:v>119.9</c:v>
                </c:pt>
                <c:pt idx="352">
                  <c:v>117.86</c:v>
                </c:pt>
                <c:pt idx="353">
                  <c:v>119.41</c:v>
                </c:pt>
                <c:pt idx="354">
                  <c:v>118.08</c:v>
                </c:pt>
                <c:pt idx="355">
                  <c:v>119.7</c:v>
                </c:pt>
                <c:pt idx="356">
                  <c:v>120.38</c:v>
                </c:pt>
                <c:pt idx="357">
                  <c:v>119.91</c:v>
                </c:pt>
                <c:pt idx="358">
                  <c:v>121.21</c:v>
                </c:pt>
                <c:pt idx="359">
                  <c:v>121.74</c:v>
                </c:pt>
                <c:pt idx="360">
                  <c:v>122.46</c:v>
                </c:pt>
                <c:pt idx="361">
                  <c:v>121.08</c:v>
                </c:pt>
                <c:pt idx="362">
                  <c:v>120.96</c:v>
                </c:pt>
                <c:pt idx="363">
                  <c:v>121.05</c:v>
                </c:pt>
                <c:pt idx="364">
                  <c:v>120.83</c:v>
                </c:pt>
                <c:pt idx="365">
                  <c:v>121.03</c:v>
                </c:pt>
                <c:pt idx="366">
                  <c:v>119.75</c:v>
                </c:pt>
                <c:pt idx="367">
                  <c:v>120.99</c:v>
                </c:pt>
                <c:pt idx="368">
                  <c:v>120.47</c:v>
                </c:pt>
                <c:pt idx="369">
                  <c:v>119.88</c:v>
                </c:pt>
                <c:pt idx="370">
                  <c:v>121.25</c:v>
                </c:pt>
                <c:pt idx="371">
                  <c:v>121.01</c:v>
                </c:pt>
                <c:pt idx="372">
                  <c:v>120.77</c:v>
                </c:pt>
                <c:pt idx="373">
                  <c:v>120.04</c:v>
                </c:pt>
                <c:pt idx="374">
                  <c:v>120.43</c:v>
                </c:pt>
                <c:pt idx="375">
                  <c:v>119.77</c:v>
                </c:pt>
                <c:pt idx="376">
                  <c:v>120.01</c:v>
                </c:pt>
                <c:pt idx="377">
                  <c:v>121.13</c:v>
                </c:pt>
                <c:pt idx="378">
                  <c:v>123.39</c:v>
                </c:pt>
                <c:pt idx="379">
                  <c:v>124.13</c:v>
                </c:pt>
                <c:pt idx="380">
                  <c:v>124.42</c:v>
                </c:pt>
                <c:pt idx="381">
                  <c:v>125.74</c:v>
                </c:pt>
                <c:pt idx="382">
                  <c:v>124.61</c:v>
                </c:pt>
                <c:pt idx="383">
                  <c:v>126.11</c:v>
                </c:pt>
                <c:pt idx="384">
                  <c:v>124.3</c:v>
                </c:pt>
                <c:pt idx="385">
                  <c:v>123.08</c:v>
                </c:pt>
                <c:pt idx="386">
                  <c:v>127.44</c:v>
                </c:pt>
                <c:pt idx="387">
                  <c:v>126.15</c:v>
                </c:pt>
                <c:pt idx="388">
                  <c:v>124.31</c:v>
                </c:pt>
                <c:pt idx="389">
                  <c:v>124.23</c:v>
                </c:pt>
                <c:pt idx="390">
                  <c:v>125</c:v>
                </c:pt>
                <c:pt idx="391">
                  <c:v>127.69</c:v>
                </c:pt>
                <c:pt idx="392">
                  <c:v>126.96</c:v>
                </c:pt>
                <c:pt idx="393">
                  <c:v>128.6</c:v>
                </c:pt>
                <c:pt idx="394">
                  <c:v>129.85</c:v>
                </c:pt>
                <c:pt idx="395">
                  <c:v>130.46</c:v>
                </c:pt>
                <c:pt idx="396">
                  <c:v>130.81</c:v>
                </c:pt>
                <c:pt idx="397">
                  <c:v>130.93</c:v>
                </c:pt>
                <c:pt idx="398">
                  <c:v>129.56</c:v>
                </c:pt>
                <c:pt idx="399">
                  <c:v>130.25</c:v>
                </c:pt>
                <c:pt idx="400">
                  <c:v>130.32</c:v>
                </c:pt>
                <c:pt idx="401">
                  <c:v>129.76</c:v>
                </c:pt>
                <c:pt idx="402">
                  <c:v>129.47999999999999</c:v>
                </c:pt>
                <c:pt idx="403">
                  <c:v>129.51</c:v>
                </c:pt>
                <c:pt idx="404">
                  <c:v>129.06</c:v>
                </c:pt>
                <c:pt idx="405">
                  <c:v>128.54</c:v>
                </c:pt>
                <c:pt idx="406">
                  <c:v>127.83</c:v>
                </c:pt>
                <c:pt idx="407">
                  <c:v>128.75</c:v>
                </c:pt>
                <c:pt idx="408">
                  <c:v>130.77000000000001</c:v>
                </c:pt>
                <c:pt idx="409">
                  <c:v>132.72999999999999</c:v>
                </c:pt>
                <c:pt idx="410">
                  <c:v>135.11000000000001</c:v>
                </c:pt>
                <c:pt idx="411">
                  <c:v>133.6</c:v>
                </c:pt>
                <c:pt idx="412">
                  <c:v>132.87</c:v>
                </c:pt>
                <c:pt idx="413">
                  <c:v>133.37</c:v>
                </c:pt>
                <c:pt idx="414">
                  <c:v>134.19999999999999</c:v>
                </c:pt>
                <c:pt idx="415">
                  <c:v>134.07</c:v>
                </c:pt>
                <c:pt idx="416">
                  <c:v>133.47</c:v>
                </c:pt>
                <c:pt idx="417">
                  <c:v>134.01</c:v>
                </c:pt>
                <c:pt idx="418">
                  <c:v>134.1</c:v>
                </c:pt>
                <c:pt idx="419">
                  <c:v>133.84</c:v>
                </c:pt>
                <c:pt idx="420">
                  <c:v>132.87</c:v>
                </c:pt>
                <c:pt idx="421">
                  <c:v>135</c:v>
                </c:pt>
                <c:pt idx="422">
                  <c:v>136</c:v>
                </c:pt>
                <c:pt idx="423">
                  <c:v>136.44999999999999</c:v>
                </c:pt>
                <c:pt idx="424">
                  <c:v>136.34</c:v>
                </c:pt>
                <c:pt idx="425">
                  <c:v>137.63</c:v>
                </c:pt>
                <c:pt idx="426">
                  <c:v>138.47999999999999</c:v>
                </c:pt>
                <c:pt idx="427">
                  <c:v>139</c:v>
                </c:pt>
                <c:pt idx="428">
                  <c:v>138.61000000000001</c:v>
                </c:pt>
                <c:pt idx="429">
                  <c:v>139.07</c:v>
                </c:pt>
                <c:pt idx="430">
                  <c:v>139.65</c:v>
                </c:pt>
                <c:pt idx="431">
                  <c:v>139.57</c:v>
                </c:pt>
                <c:pt idx="432">
                  <c:v>141.08000000000001</c:v>
                </c:pt>
                <c:pt idx="433">
                  <c:v>141.97999999999999</c:v>
                </c:pt>
                <c:pt idx="434">
                  <c:v>139.58000000000001</c:v>
                </c:pt>
                <c:pt idx="435">
                  <c:v>137.76</c:v>
                </c:pt>
                <c:pt idx="436">
                  <c:v>137.29</c:v>
                </c:pt>
                <c:pt idx="437">
                  <c:v>137.35</c:v>
                </c:pt>
                <c:pt idx="438">
                  <c:v>137.30000000000001</c:v>
                </c:pt>
                <c:pt idx="439">
                  <c:v>138.81</c:v>
                </c:pt>
                <c:pt idx="440">
                  <c:v>139.59</c:v>
                </c:pt>
                <c:pt idx="441">
                  <c:v>138.15</c:v>
                </c:pt>
                <c:pt idx="442">
                  <c:v>138.47</c:v>
                </c:pt>
                <c:pt idx="443">
                  <c:v>138.22</c:v>
                </c:pt>
                <c:pt idx="444">
                  <c:v>138.51</c:v>
                </c:pt>
                <c:pt idx="445">
                  <c:v>138.32</c:v>
                </c:pt>
                <c:pt idx="446">
                  <c:v>136.86000000000001</c:v>
                </c:pt>
                <c:pt idx="447">
                  <c:v>132.99</c:v>
                </c:pt>
                <c:pt idx="448">
                  <c:v>133.02000000000001</c:v>
                </c:pt>
                <c:pt idx="449">
                  <c:v>133.1</c:v>
                </c:pt>
                <c:pt idx="450">
                  <c:v>135.69999999999999</c:v>
                </c:pt>
                <c:pt idx="451">
                  <c:v>138.58000000000001</c:v>
                </c:pt>
                <c:pt idx="452">
                  <c:v>138.62</c:v>
                </c:pt>
                <c:pt idx="453">
                  <c:v>138.16999999999999</c:v>
                </c:pt>
                <c:pt idx="454">
                  <c:v>137.80000000000001</c:v>
                </c:pt>
                <c:pt idx="455">
                  <c:v>138.05000000000001</c:v>
                </c:pt>
                <c:pt idx="456">
                  <c:v>136.6</c:v>
                </c:pt>
                <c:pt idx="457">
                  <c:v>137.59</c:v>
                </c:pt>
                <c:pt idx="458">
                  <c:v>136.1</c:v>
                </c:pt>
                <c:pt idx="459">
                  <c:v>136.68</c:v>
                </c:pt>
                <c:pt idx="460">
                  <c:v>139.86000000000001</c:v>
                </c:pt>
                <c:pt idx="461">
                  <c:v>139.1</c:v>
                </c:pt>
                <c:pt idx="462">
                  <c:v>139.93</c:v>
                </c:pt>
                <c:pt idx="463">
                  <c:v>139.79</c:v>
                </c:pt>
                <c:pt idx="464">
                  <c:v>141.30000000000001</c:v>
                </c:pt>
                <c:pt idx="465">
                  <c:v>141.66999999999999</c:v>
                </c:pt>
                <c:pt idx="466">
                  <c:v>143.83000000000001</c:v>
                </c:pt>
                <c:pt idx="467">
                  <c:v>144.38</c:v>
                </c:pt>
                <c:pt idx="468">
                  <c:v>144.41999999999999</c:v>
                </c:pt>
                <c:pt idx="469">
                  <c:v>144.69999999999999</c:v>
                </c:pt>
                <c:pt idx="470">
                  <c:v>143.76</c:v>
                </c:pt>
                <c:pt idx="471">
                  <c:v>143.34</c:v>
                </c:pt>
                <c:pt idx="472">
                  <c:v>143.59</c:v>
                </c:pt>
                <c:pt idx="473">
                  <c:v>145.07</c:v>
                </c:pt>
                <c:pt idx="474">
                  <c:v>146.80000000000001</c:v>
                </c:pt>
                <c:pt idx="475">
                  <c:v>145.52000000000001</c:v>
                </c:pt>
                <c:pt idx="476">
                  <c:v>141.09</c:v>
                </c:pt>
                <c:pt idx="477">
                  <c:v>141.33000000000001</c:v>
                </c:pt>
                <c:pt idx="478">
                  <c:v>141.37</c:v>
                </c:pt>
                <c:pt idx="479">
                  <c:v>143.22</c:v>
                </c:pt>
                <c:pt idx="480">
                  <c:v>146.44</c:v>
                </c:pt>
                <c:pt idx="481">
                  <c:v>145.85</c:v>
                </c:pt>
                <c:pt idx="482">
                  <c:v>146.9</c:v>
                </c:pt>
                <c:pt idx="483">
                  <c:v>146.21</c:v>
                </c:pt>
                <c:pt idx="484">
                  <c:v>146.03</c:v>
                </c:pt>
                <c:pt idx="485">
                  <c:v>145.91</c:v>
                </c:pt>
                <c:pt idx="486">
                  <c:v>145.43</c:v>
                </c:pt>
                <c:pt idx="487">
                  <c:v>145.26</c:v>
                </c:pt>
                <c:pt idx="488">
                  <c:v>146.5</c:v>
                </c:pt>
                <c:pt idx="489">
                  <c:v>147.1</c:v>
                </c:pt>
                <c:pt idx="490">
                  <c:v>147.84</c:v>
                </c:pt>
                <c:pt idx="491">
                  <c:v>133</c:v>
                </c:pt>
                <c:pt idx="492">
                  <c:v>129.13999999999999</c:v>
                </c:pt>
                <c:pt idx="493">
                  <c:v>130.41999999999999</c:v>
                </c:pt>
                <c:pt idx="494">
                  <c:v>127.61</c:v>
                </c:pt>
                <c:pt idx="495">
                  <c:v>128.27000000000001</c:v>
                </c:pt>
                <c:pt idx="496">
                  <c:v>128.09</c:v>
                </c:pt>
                <c:pt idx="497">
                  <c:v>122.84</c:v>
                </c:pt>
                <c:pt idx="498">
                  <c:v>126.71</c:v>
                </c:pt>
                <c:pt idx="499">
                  <c:v>127.41</c:v>
                </c:pt>
                <c:pt idx="500">
                  <c:v>127.27</c:v>
                </c:pt>
                <c:pt idx="501">
                  <c:v>129.05000000000001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A88-4627-A9B5-13E947E20CD9}"/>
            </c:ext>
          </c:extLst>
        </c:ser>
        <c:ser>
          <c:idx val="13"/>
          <c:order val="13"/>
          <c:tx>
            <c:strRef>
              <c:f>wide_company_closes_reorder!$O$1</c:f>
              <c:strCache>
                <c:ptCount val="1"/>
                <c:pt idx="0">
                  <c:v>JPM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wide_company_closes_reorder!$O$2:$O$503</c:f>
              <c:numCache>
                <c:formatCode>General</c:formatCode>
                <c:ptCount val="502"/>
                <c:pt idx="0">
                  <c:v>82.7</c:v>
                </c:pt>
                <c:pt idx="1">
                  <c:v>82.85</c:v>
                </c:pt>
                <c:pt idx="2">
                  <c:v>82.09</c:v>
                </c:pt>
                <c:pt idx="3">
                  <c:v>82.1</c:v>
                </c:pt>
                <c:pt idx="4">
                  <c:v>82.16</c:v>
                </c:pt>
                <c:pt idx="5">
                  <c:v>82.4</c:v>
                </c:pt>
                <c:pt idx="6">
                  <c:v>83.02</c:v>
                </c:pt>
                <c:pt idx="7">
                  <c:v>82.22</c:v>
                </c:pt>
                <c:pt idx="8">
                  <c:v>82.65</c:v>
                </c:pt>
                <c:pt idx="9">
                  <c:v>79.650000000000006</c:v>
                </c:pt>
                <c:pt idx="10">
                  <c:v>80.02</c:v>
                </c:pt>
                <c:pt idx="11">
                  <c:v>79.41</c:v>
                </c:pt>
                <c:pt idx="12">
                  <c:v>79.77</c:v>
                </c:pt>
                <c:pt idx="13">
                  <c:v>79.8</c:v>
                </c:pt>
                <c:pt idx="14">
                  <c:v>80.77</c:v>
                </c:pt>
                <c:pt idx="15">
                  <c:v>82.02</c:v>
                </c:pt>
                <c:pt idx="16">
                  <c:v>82.7</c:v>
                </c:pt>
                <c:pt idx="17">
                  <c:v>82.87</c:v>
                </c:pt>
                <c:pt idx="18">
                  <c:v>82.02</c:v>
                </c:pt>
                <c:pt idx="19">
                  <c:v>80.680000000000007</c:v>
                </c:pt>
                <c:pt idx="20">
                  <c:v>80.989999999999995</c:v>
                </c:pt>
                <c:pt idx="21">
                  <c:v>80.64</c:v>
                </c:pt>
                <c:pt idx="22">
                  <c:v>83.11</c:v>
                </c:pt>
                <c:pt idx="23">
                  <c:v>82.72</c:v>
                </c:pt>
                <c:pt idx="24">
                  <c:v>82.67</c:v>
                </c:pt>
                <c:pt idx="25">
                  <c:v>81.95</c:v>
                </c:pt>
                <c:pt idx="26">
                  <c:v>83.13</c:v>
                </c:pt>
                <c:pt idx="27">
                  <c:v>82.94</c:v>
                </c:pt>
                <c:pt idx="28">
                  <c:v>84.04</c:v>
                </c:pt>
                <c:pt idx="29">
                  <c:v>85.38</c:v>
                </c:pt>
                <c:pt idx="30">
                  <c:v>86.36</c:v>
                </c:pt>
                <c:pt idx="31">
                  <c:v>86.31</c:v>
                </c:pt>
                <c:pt idx="32">
                  <c:v>86.02</c:v>
                </c:pt>
                <c:pt idx="33">
                  <c:v>86.76</c:v>
                </c:pt>
                <c:pt idx="34">
                  <c:v>86.81</c:v>
                </c:pt>
                <c:pt idx="35">
                  <c:v>86.88</c:v>
                </c:pt>
                <c:pt idx="36">
                  <c:v>86.12</c:v>
                </c:pt>
                <c:pt idx="37">
                  <c:v>86.21</c:v>
                </c:pt>
                <c:pt idx="38">
                  <c:v>86.39</c:v>
                </c:pt>
                <c:pt idx="39">
                  <c:v>89.23</c:v>
                </c:pt>
                <c:pt idx="40">
                  <c:v>87.84</c:v>
                </c:pt>
                <c:pt idx="41">
                  <c:v>88.47</c:v>
                </c:pt>
                <c:pt idx="42">
                  <c:v>87.63</c:v>
                </c:pt>
                <c:pt idx="43">
                  <c:v>87.14</c:v>
                </c:pt>
                <c:pt idx="44">
                  <c:v>86.95</c:v>
                </c:pt>
                <c:pt idx="45">
                  <c:v>87.3</c:v>
                </c:pt>
                <c:pt idx="46">
                  <c:v>87.02</c:v>
                </c:pt>
                <c:pt idx="47">
                  <c:v>87.1</c:v>
                </c:pt>
                <c:pt idx="48">
                  <c:v>87.24</c:v>
                </c:pt>
                <c:pt idx="49">
                  <c:v>87.45</c:v>
                </c:pt>
                <c:pt idx="50">
                  <c:v>87.36</c:v>
                </c:pt>
                <c:pt idx="51">
                  <c:v>86.45</c:v>
                </c:pt>
                <c:pt idx="52">
                  <c:v>85.83</c:v>
                </c:pt>
                <c:pt idx="53">
                  <c:v>83.31</c:v>
                </c:pt>
                <c:pt idx="54">
                  <c:v>83.45</c:v>
                </c:pt>
                <c:pt idx="55">
                  <c:v>83.31</c:v>
                </c:pt>
                <c:pt idx="56">
                  <c:v>83.22</c:v>
                </c:pt>
                <c:pt idx="57">
                  <c:v>83.17</c:v>
                </c:pt>
                <c:pt idx="58">
                  <c:v>84.47</c:v>
                </c:pt>
                <c:pt idx="59">
                  <c:v>84.15</c:v>
                </c:pt>
                <c:pt idx="60">
                  <c:v>84.88</c:v>
                </c:pt>
                <c:pt idx="61">
                  <c:v>83.74</c:v>
                </c:pt>
                <c:pt idx="62">
                  <c:v>83.44</c:v>
                </c:pt>
                <c:pt idx="63">
                  <c:v>83.71</c:v>
                </c:pt>
                <c:pt idx="64">
                  <c:v>82.64</c:v>
                </c:pt>
                <c:pt idx="65">
                  <c:v>82.92</c:v>
                </c:pt>
                <c:pt idx="66">
                  <c:v>82.63</c:v>
                </c:pt>
                <c:pt idx="67">
                  <c:v>82.34</c:v>
                </c:pt>
                <c:pt idx="68">
                  <c:v>82.2</c:v>
                </c:pt>
                <c:pt idx="69">
                  <c:v>81.88</c:v>
                </c:pt>
                <c:pt idx="70">
                  <c:v>80.92</c:v>
                </c:pt>
                <c:pt idx="71">
                  <c:v>82.32</c:v>
                </c:pt>
                <c:pt idx="72">
                  <c:v>81.650000000000006</c:v>
                </c:pt>
                <c:pt idx="73">
                  <c:v>80.98</c:v>
                </c:pt>
                <c:pt idx="74">
                  <c:v>82.03</c:v>
                </c:pt>
                <c:pt idx="75">
                  <c:v>81.040000000000006</c:v>
                </c:pt>
                <c:pt idx="76">
                  <c:v>83.9</c:v>
                </c:pt>
                <c:pt idx="77">
                  <c:v>84.63</c:v>
                </c:pt>
                <c:pt idx="78">
                  <c:v>84.79</c:v>
                </c:pt>
                <c:pt idx="79">
                  <c:v>84</c:v>
                </c:pt>
                <c:pt idx="80">
                  <c:v>83.42</c:v>
                </c:pt>
                <c:pt idx="81">
                  <c:v>83.47</c:v>
                </c:pt>
                <c:pt idx="82">
                  <c:v>82.94</c:v>
                </c:pt>
                <c:pt idx="83">
                  <c:v>83.42</c:v>
                </c:pt>
                <c:pt idx="84">
                  <c:v>83.51</c:v>
                </c:pt>
                <c:pt idx="85">
                  <c:v>83.42</c:v>
                </c:pt>
                <c:pt idx="86">
                  <c:v>83.51</c:v>
                </c:pt>
                <c:pt idx="87">
                  <c:v>83.18</c:v>
                </c:pt>
                <c:pt idx="88">
                  <c:v>83.83</c:v>
                </c:pt>
                <c:pt idx="89">
                  <c:v>83.57</c:v>
                </c:pt>
                <c:pt idx="90">
                  <c:v>83.34</c:v>
                </c:pt>
                <c:pt idx="91">
                  <c:v>83.74</c:v>
                </c:pt>
                <c:pt idx="92">
                  <c:v>84</c:v>
                </c:pt>
                <c:pt idx="93">
                  <c:v>80.8</c:v>
                </c:pt>
                <c:pt idx="94">
                  <c:v>80.5</c:v>
                </c:pt>
                <c:pt idx="95">
                  <c:v>81.290000000000006</c:v>
                </c:pt>
                <c:pt idx="96">
                  <c:v>81.209999999999994</c:v>
                </c:pt>
                <c:pt idx="97">
                  <c:v>82.23</c:v>
                </c:pt>
                <c:pt idx="98">
                  <c:v>82.18</c:v>
                </c:pt>
                <c:pt idx="99">
                  <c:v>81.84</c:v>
                </c:pt>
                <c:pt idx="100">
                  <c:v>81.84</c:v>
                </c:pt>
                <c:pt idx="101">
                  <c:v>80.44</c:v>
                </c:pt>
                <c:pt idx="102">
                  <c:v>78.77</c:v>
                </c:pt>
                <c:pt idx="103">
                  <c:v>79.64</c:v>
                </c:pt>
                <c:pt idx="104">
                  <c:v>79.239999999999995</c:v>
                </c:pt>
                <c:pt idx="105">
                  <c:v>79.38</c:v>
                </c:pt>
                <c:pt idx="106">
                  <c:v>79.540000000000006</c:v>
                </c:pt>
                <c:pt idx="107">
                  <c:v>80.45</c:v>
                </c:pt>
                <c:pt idx="108">
                  <c:v>81.45</c:v>
                </c:pt>
                <c:pt idx="109">
                  <c:v>83.38</c:v>
                </c:pt>
                <c:pt idx="110">
                  <c:v>83.4</c:v>
                </c:pt>
                <c:pt idx="111">
                  <c:v>83.68</c:v>
                </c:pt>
                <c:pt idx="112">
                  <c:v>83.5</c:v>
                </c:pt>
                <c:pt idx="113">
                  <c:v>83</c:v>
                </c:pt>
                <c:pt idx="114">
                  <c:v>82.63</c:v>
                </c:pt>
                <c:pt idx="115">
                  <c:v>84.44</c:v>
                </c:pt>
                <c:pt idx="116">
                  <c:v>83.92</c:v>
                </c:pt>
                <c:pt idx="117">
                  <c:v>83.53</c:v>
                </c:pt>
                <c:pt idx="118">
                  <c:v>83.44</c:v>
                </c:pt>
                <c:pt idx="119">
                  <c:v>83.28</c:v>
                </c:pt>
                <c:pt idx="120">
                  <c:v>83.65</c:v>
                </c:pt>
                <c:pt idx="121">
                  <c:v>84.42</c:v>
                </c:pt>
                <c:pt idx="122">
                  <c:v>86.12</c:v>
                </c:pt>
                <c:pt idx="123">
                  <c:v>87.4</c:v>
                </c:pt>
                <c:pt idx="124">
                  <c:v>87.64</c:v>
                </c:pt>
                <c:pt idx="125">
                  <c:v>89.42</c:v>
                </c:pt>
                <c:pt idx="126">
                  <c:v>90.32</c:v>
                </c:pt>
                <c:pt idx="127">
                  <c:v>90.03</c:v>
                </c:pt>
                <c:pt idx="128">
                  <c:v>90.48</c:v>
                </c:pt>
                <c:pt idx="129">
                  <c:v>89.84</c:v>
                </c:pt>
                <c:pt idx="130">
                  <c:v>89.5</c:v>
                </c:pt>
                <c:pt idx="131">
                  <c:v>89.19</c:v>
                </c:pt>
                <c:pt idx="132">
                  <c:v>89.76</c:v>
                </c:pt>
                <c:pt idx="133">
                  <c:v>88.94</c:v>
                </c:pt>
                <c:pt idx="134">
                  <c:v>88.11</c:v>
                </c:pt>
                <c:pt idx="135">
                  <c:v>87.8</c:v>
                </c:pt>
                <c:pt idx="136">
                  <c:v>87.93</c:v>
                </c:pt>
                <c:pt idx="137">
                  <c:v>87.93</c:v>
                </c:pt>
                <c:pt idx="138">
                  <c:v>87.63</c:v>
                </c:pt>
                <c:pt idx="139">
                  <c:v>88</c:v>
                </c:pt>
                <c:pt idx="140">
                  <c:v>89.47</c:v>
                </c:pt>
                <c:pt idx="141">
                  <c:v>88.63</c:v>
                </c:pt>
                <c:pt idx="142">
                  <c:v>88.26</c:v>
                </c:pt>
                <c:pt idx="143">
                  <c:v>88</c:v>
                </c:pt>
                <c:pt idx="144">
                  <c:v>88.5</c:v>
                </c:pt>
                <c:pt idx="145">
                  <c:v>89.69</c:v>
                </c:pt>
                <c:pt idx="146">
                  <c:v>89.77</c:v>
                </c:pt>
                <c:pt idx="147">
                  <c:v>89.18</c:v>
                </c:pt>
                <c:pt idx="148">
                  <c:v>90.3</c:v>
                </c:pt>
                <c:pt idx="149">
                  <c:v>90.64</c:v>
                </c:pt>
                <c:pt idx="150">
                  <c:v>90.32</c:v>
                </c:pt>
                <c:pt idx="151">
                  <c:v>90.17</c:v>
                </c:pt>
                <c:pt idx="152">
                  <c:v>88.88</c:v>
                </c:pt>
                <c:pt idx="153">
                  <c:v>88.14</c:v>
                </c:pt>
                <c:pt idx="154">
                  <c:v>89.17</c:v>
                </c:pt>
                <c:pt idx="155">
                  <c:v>89.4</c:v>
                </c:pt>
                <c:pt idx="156">
                  <c:v>88.78</c:v>
                </c:pt>
                <c:pt idx="157">
                  <c:v>87.39</c:v>
                </c:pt>
                <c:pt idx="158">
                  <c:v>87.48</c:v>
                </c:pt>
                <c:pt idx="159">
                  <c:v>87.38</c:v>
                </c:pt>
                <c:pt idx="160">
                  <c:v>88.27</c:v>
                </c:pt>
                <c:pt idx="161">
                  <c:v>88.38</c:v>
                </c:pt>
                <c:pt idx="162">
                  <c:v>88.23</c:v>
                </c:pt>
                <c:pt idx="163">
                  <c:v>88.59</c:v>
                </c:pt>
                <c:pt idx="164">
                  <c:v>88.31</c:v>
                </c:pt>
                <c:pt idx="165">
                  <c:v>87.83</c:v>
                </c:pt>
                <c:pt idx="166">
                  <c:v>88.03</c:v>
                </c:pt>
                <c:pt idx="167">
                  <c:v>87.63</c:v>
                </c:pt>
                <c:pt idx="168">
                  <c:v>88.41</c:v>
                </c:pt>
                <c:pt idx="169">
                  <c:v>86.3</c:v>
                </c:pt>
                <c:pt idx="170">
                  <c:v>86.87</c:v>
                </c:pt>
                <c:pt idx="171">
                  <c:v>85.35</c:v>
                </c:pt>
                <c:pt idx="172">
                  <c:v>85.25</c:v>
                </c:pt>
                <c:pt idx="173">
                  <c:v>86.57</c:v>
                </c:pt>
                <c:pt idx="174">
                  <c:v>87.63</c:v>
                </c:pt>
                <c:pt idx="175">
                  <c:v>87.88</c:v>
                </c:pt>
                <c:pt idx="176">
                  <c:v>87.7</c:v>
                </c:pt>
                <c:pt idx="177">
                  <c:v>88.33</c:v>
                </c:pt>
                <c:pt idx="178">
                  <c:v>89.58</c:v>
                </c:pt>
                <c:pt idx="179">
                  <c:v>90.57</c:v>
                </c:pt>
                <c:pt idx="180">
                  <c:v>91.2</c:v>
                </c:pt>
                <c:pt idx="181">
                  <c:v>91.62</c:v>
                </c:pt>
                <c:pt idx="182">
                  <c:v>91.42</c:v>
                </c:pt>
                <c:pt idx="183">
                  <c:v>90.74</c:v>
                </c:pt>
                <c:pt idx="184">
                  <c:v>90.34</c:v>
                </c:pt>
                <c:pt idx="185">
                  <c:v>91.76</c:v>
                </c:pt>
                <c:pt idx="186">
                  <c:v>91.96</c:v>
                </c:pt>
                <c:pt idx="187">
                  <c:v>92.08</c:v>
                </c:pt>
                <c:pt idx="188">
                  <c:v>93.36</c:v>
                </c:pt>
                <c:pt idx="189">
                  <c:v>93.85</c:v>
                </c:pt>
                <c:pt idx="190">
                  <c:v>92.9</c:v>
                </c:pt>
                <c:pt idx="191">
                  <c:v>94.15</c:v>
                </c:pt>
                <c:pt idx="192">
                  <c:v>93.99</c:v>
                </c:pt>
                <c:pt idx="193">
                  <c:v>93.49</c:v>
                </c:pt>
                <c:pt idx="194">
                  <c:v>94.19</c:v>
                </c:pt>
                <c:pt idx="195">
                  <c:v>93.91</c:v>
                </c:pt>
                <c:pt idx="196">
                  <c:v>93.08</c:v>
                </c:pt>
                <c:pt idx="197">
                  <c:v>92.96</c:v>
                </c:pt>
                <c:pt idx="198">
                  <c:v>94.88</c:v>
                </c:pt>
                <c:pt idx="199">
                  <c:v>94.66</c:v>
                </c:pt>
                <c:pt idx="200">
                  <c:v>95.02</c:v>
                </c:pt>
                <c:pt idx="201">
                  <c:v>95.14</c:v>
                </c:pt>
                <c:pt idx="202">
                  <c:v>96.5</c:v>
                </c:pt>
                <c:pt idx="203">
                  <c:v>96.33</c:v>
                </c:pt>
                <c:pt idx="204">
                  <c:v>97.86</c:v>
                </c:pt>
                <c:pt idx="205">
                  <c:v>97.96</c:v>
                </c:pt>
                <c:pt idx="206">
                  <c:v>98.66</c:v>
                </c:pt>
                <c:pt idx="207">
                  <c:v>98.69</c:v>
                </c:pt>
                <c:pt idx="208">
                  <c:v>98.34</c:v>
                </c:pt>
                <c:pt idx="209">
                  <c:v>97.56</c:v>
                </c:pt>
                <c:pt idx="210">
                  <c:v>97.86</c:v>
                </c:pt>
                <c:pt idx="211">
                  <c:v>98.51</c:v>
                </c:pt>
                <c:pt idx="212">
                  <c:v>98.34</c:v>
                </c:pt>
                <c:pt idx="213">
                  <c:v>97.73</c:v>
                </c:pt>
                <c:pt idx="214">
                  <c:v>95.76</c:v>
                </c:pt>
                <c:pt idx="215">
                  <c:v>94.68</c:v>
                </c:pt>
                <c:pt idx="216">
                  <c:v>94.67</c:v>
                </c:pt>
                <c:pt idx="217">
                  <c:v>94.56</c:v>
                </c:pt>
                <c:pt idx="218">
                  <c:v>94.9</c:v>
                </c:pt>
                <c:pt idx="219">
                  <c:v>94.33</c:v>
                </c:pt>
                <c:pt idx="220">
                  <c:v>95.22</c:v>
                </c:pt>
                <c:pt idx="221">
                  <c:v>95.49</c:v>
                </c:pt>
                <c:pt idx="222">
                  <c:v>95.17</c:v>
                </c:pt>
                <c:pt idx="223">
                  <c:v>96.01</c:v>
                </c:pt>
                <c:pt idx="224">
                  <c:v>95.94</c:v>
                </c:pt>
                <c:pt idx="225">
                  <c:v>95.65</c:v>
                </c:pt>
                <c:pt idx="226">
                  <c:v>95.34</c:v>
                </c:pt>
                <c:pt idx="227">
                  <c:v>94.97</c:v>
                </c:pt>
                <c:pt idx="228">
                  <c:v>98.29</c:v>
                </c:pt>
                <c:pt idx="229">
                  <c:v>100.59</c:v>
                </c:pt>
                <c:pt idx="230">
                  <c:v>101.36</c:v>
                </c:pt>
                <c:pt idx="231">
                  <c:v>101.62</c:v>
                </c:pt>
                <c:pt idx="232">
                  <c:v>103.71</c:v>
                </c:pt>
                <c:pt idx="233">
                  <c:v>102.52</c:v>
                </c:pt>
                <c:pt idx="234">
                  <c:v>101.75</c:v>
                </c:pt>
                <c:pt idx="235">
                  <c:v>101.45</c:v>
                </c:pt>
                <c:pt idx="236">
                  <c:v>102.72</c:v>
                </c:pt>
                <c:pt idx="237">
                  <c:v>102.42</c:v>
                </c:pt>
                <c:pt idx="238">
                  <c:v>103.62</c:v>
                </c:pt>
                <c:pt idx="239">
                  <c:v>102.32</c:v>
                </c:pt>
                <c:pt idx="240">
                  <c:v>101.49</c:v>
                </c:pt>
                <c:pt idx="241">
                  <c:v>102.93</c:v>
                </c:pt>
                <c:pt idx="242">
                  <c:v>103.72</c:v>
                </c:pt>
                <c:pt idx="243">
                  <c:v>103.29</c:v>
                </c:pt>
                <c:pt idx="244">
                  <c:v>102.93</c:v>
                </c:pt>
                <c:pt idx="245">
                  <c:v>104.57</c:v>
                </c:pt>
                <c:pt idx="246">
                  <c:v>104.2</c:v>
                </c:pt>
                <c:pt idx="247">
                  <c:v>103.78</c:v>
                </c:pt>
                <c:pt idx="248">
                  <c:v>103.97</c:v>
                </c:pt>
                <c:pt idx="249">
                  <c:v>104.53</c:v>
                </c:pt>
                <c:pt idx="250">
                  <c:v>103.7</c:v>
                </c:pt>
                <c:pt idx="251">
                  <c:v>104.68</c:v>
                </c:pt>
                <c:pt idx="252">
                  <c:v>104.79</c:v>
                </c:pt>
                <c:pt idx="253">
                  <c:v>106.29</c:v>
                </c:pt>
                <c:pt idx="254">
                  <c:v>105.61</c:v>
                </c:pt>
                <c:pt idx="255">
                  <c:v>105.76</c:v>
                </c:pt>
                <c:pt idx="256">
                  <c:v>106.3</c:v>
                </c:pt>
                <c:pt idx="257">
                  <c:v>107.47</c:v>
                </c:pt>
                <c:pt idx="258">
                  <c:v>108.04</c:v>
                </c:pt>
                <c:pt idx="259">
                  <c:v>109.83</c:v>
                </c:pt>
                <c:pt idx="260">
                  <c:v>109.44</c:v>
                </c:pt>
                <c:pt idx="261">
                  <c:v>110.14</c:v>
                </c:pt>
                <c:pt idx="262">
                  <c:v>110.4</c:v>
                </c:pt>
                <c:pt idx="263">
                  <c:v>110.16</c:v>
                </c:pt>
                <c:pt idx="264">
                  <c:v>111.45</c:v>
                </c:pt>
                <c:pt idx="265">
                  <c:v>111.33</c:v>
                </c:pt>
                <c:pt idx="266">
                  <c:v>112.75</c:v>
                </c:pt>
                <c:pt idx="267">
                  <c:v>112.78</c:v>
                </c:pt>
                <c:pt idx="268">
                  <c:v>113.39</c:v>
                </c:pt>
                <c:pt idx="269">
                  <c:v>113.27</c:v>
                </c:pt>
                <c:pt idx="270">
                  <c:v>112.21</c:v>
                </c:pt>
                <c:pt idx="271">
                  <c:v>112.75</c:v>
                </c:pt>
                <c:pt idx="272">
                  <c:v>113.92</c:v>
                </c:pt>
                <c:pt idx="273">
                  <c:v>111.4</c:v>
                </c:pt>
                <c:pt idx="274">
                  <c:v>106.06</c:v>
                </c:pt>
                <c:pt idx="275">
                  <c:v>109.28</c:v>
                </c:pt>
                <c:pt idx="276">
                  <c:v>110.02</c:v>
                </c:pt>
                <c:pt idx="277">
                  <c:v>105.16</c:v>
                </c:pt>
                <c:pt idx="278">
                  <c:v>107.26</c:v>
                </c:pt>
                <c:pt idx="279">
                  <c:v>108.92</c:v>
                </c:pt>
                <c:pt idx="280">
                  <c:v>109.59</c:v>
                </c:pt>
                <c:pt idx="281">
                  <c:v>112.13</c:v>
                </c:pt>
                <c:pt idx="282">
                  <c:v>112.6</c:v>
                </c:pt>
                <c:pt idx="283">
                  <c:v>111.79</c:v>
                </c:pt>
                <c:pt idx="284">
                  <c:v>111.82</c:v>
                </c:pt>
                <c:pt idx="285">
                  <c:v>112.28</c:v>
                </c:pt>
                <c:pt idx="286">
                  <c:v>112.08</c:v>
                </c:pt>
                <c:pt idx="287">
                  <c:v>114.35</c:v>
                </c:pt>
                <c:pt idx="288">
                  <c:v>115.77</c:v>
                </c:pt>
                <c:pt idx="289">
                  <c:v>114.4</c:v>
                </c:pt>
                <c:pt idx="290">
                  <c:v>112.59</c:v>
                </c:pt>
                <c:pt idx="291">
                  <c:v>110.57</c:v>
                </c:pt>
                <c:pt idx="292">
                  <c:v>110.46</c:v>
                </c:pt>
                <c:pt idx="293">
                  <c:v>112.16</c:v>
                </c:pt>
                <c:pt idx="294">
                  <c:v>112.26</c:v>
                </c:pt>
                <c:pt idx="295">
                  <c:v>111.84</c:v>
                </c:pt>
                <c:pt idx="296">
                  <c:v>111.85</c:v>
                </c:pt>
                <c:pt idx="297">
                  <c:v>115.06</c:v>
                </c:pt>
                <c:pt idx="298">
                  <c:v>114.69</c:v>
                </c:pt>
                <c:pt idx="299">
                  <c:v>113.32</c:v>
                </c:pt>
                <c:pt idx="300">
                  <c:v>112.05</c:v>
                </c:pt>
                <c:pt idx="301">
                  <c:v>112.33</c:v>
                </c:pt>
                <c:pt idx="302">
                  <c:v>112.53</c:v>
                </c:pt>
                <c:pt idx="303">
                  <c:v>111.64</c:v>
                </c:pt>
                <c:pt idx="304">
                  <c:v>111.75</c:v>
                </c:pt>
                <c:pt idx="305">
                  <c:v>111.85</c:v>
                </c:pt>
                <c:pt idx="306">
                  <c:v>107.18</c:v>
                </c:pt>
                <c:pt idx="307">
                  <c:v>104.31</c:v>
                </c:pt>
                <c:pt idx="308">
                  <c:v>107.53</c:v>
                </c:pt>
                <c:pt idx="309">
                  <c:v>105.44</c:v>
                </c:pt>
                <c:pt idx="310">
                  <c:v>105.28</c:v>
                </c:pt>
                <c:pt idx="311">
                  <c:v>107.2</c:v>
                </c:pt>
                <c:pt idx="312">
                  <c:v>105.13</c:v>
                </c:pt>
                <c:pt idx="313">
                  <c:v>106.57</c:v>
                </c:pt>
                <c:pt idx="314">
                  <c:v>108.19</c:v>
                </c:pt>
                <c:pt idx="315">
                  <c:v>109.61</c:v>
                </c:pt>
                <c:pt idx="316">
                  <c:v>106.88</c:v>
                </c:pt>
                <c:pt idx="317">
                  <c:v>108.16</c:v>
                </c:pt>
                <c:pt idx="318">
                  <c:v>110.23</c:v>
                </c:pt>
                <c:pt idx="319">
                  <c:v>108.38</c:v>
                </c:pt>
                <c:pt idx="320">
                  <c:v>111.07</c:v>
                </c:pt>
                <c:pt idx="321">
                  <c:v>108.06</c:v>
                </c:pt>
                <c:pt idx="322">
                  <c:v>107.98</c:v>
                </c:pt>
                <c:pt idx="323">
                  <c:v>107.98</c:v>
                </c:pt>
                <c:pt idx="324">
                  <c:v>107.1</c:v>
                </c:pt>
                <c:pt idx="325">
                  <c:v>109.45</c:v>
                </c:pt>
                <c:pt idx="326">
                  <c:v>109.21</c:v>
                </c:pt>
                <c:pt idx="327">
                  <c:v>108.68</c:v>
                </c:pt>
                <c:pt idx="328">
                  <c:v>108.17</c:v>
                </c:pt>
                <c:pt idx="329">
                  <c:v>107.76</c:v>
                </c:pt>
                <c:pt idx="330">
                  <c:v>107.87</c:v>
                </c:pt>
                <c:pt idx="331">
                  <c:v>107.18</c:v>
                </c:pt>
                <c:pt idx="332">
                  <c:v>106.57</c:v>
                </c:pt>
                <c:pt idx="333">
                  <c:v>106.57</c:v>
                </c:pt>
                <c:pt idx="334">
                  <c:v>105.73</c:v>
                </c:pt>
                <c:pt idx="335">
                  <c:v>105.07</c:v>
                </c:pt>
                <c:pt idx="336">
                  <c:v>106.23</c:v>
                </c:pt>
                <c:pt idx="337">
                  <c:v>107.15</c:v>
                </c:pt>
                <c:pt idx="338">
                  <c:v>108.74</c:v>
                </c:pt>
                <c:pt idx="339">
                  <c:v>111.11</c:v>
                </c:pt>
                <c:pt idx="340">
                  <c:v>111.97</c:v>
                </c:pt>
                <c:pt idx="341">
                  <c:v>111.55</c:v>
                </c:pt>
                <c:pt idx="342">
                  <c:v>111.59</c:v>
                </c:pt>
                <c:pt idx="343">
                  <c:v>110.74</c:v>
                </c:pt>
                <c:pt idx="344">
                  <c:v>111.04</c:v>
                </c:pt>
                <c:pt idx="345">
                  <c:v>110.67</c:v>
                </c:pt>
                <c:pt idx="346">
                  <c:v>108.88</c:v>
                </c:pt>
                <c:pt idx="347">
                  <c:v>109.88</c:v>
                </c:pt>
                <c:pt idx="348">
                  <c:v>110.72</c:v>
                </c:pt>
                <c:pt idx="349">
                  <c:v>110.21</c:v>
                </c:pt>
                <c:pt idx="350">
                  <c:v>108.97</c:v>
                </c:pt>
                <c:pt idx="351">
                  <c:v>108.42</c:v>
                </c:pt>
                <c:pt idx="352">
                  <c:v>103.78</c:v>
                </c:pt>
                <c:pt idx="353">
                  <c:v>106.15</c:v>
                </c:pt>
                <c:pt idx="354">
                  <c:v>104.84</c:v>
                </c:pt>
                <c:pt idx="355">
                  <c:v>106.2</c:v>
                </c:pt>
                <c:pt idx="356">
                  <c:v>106.25</c:v>
                </c:pt>
                <c:pt idx="357">
                  <c:v>105.65</c:v>
                </c:pt>
                <c:pt idx="358">
                  <c:v>108.12</c:v>
                </c:pt>
                <c:pt idx="359">
                  <c:v>108.55</c:v>
                </c:pt>
                <c:pt idx="360">
                  <c:v>108.86</c:v>
                </c:pt>
                <c:pt idx="361">
                  <c:v>108.58</c:v>
                </c:pt>
                <c:pt idx="362">
                  <c:v>107.96</c:v>
                </c:pt>
                <c:pt idx="363">
                  <c:v>107.74</c:v>
                </c:pt>
                <c:pt idx="364">
                  <c:v>105.84</c:v>
                </c:pt>
                <c:pt idx="365">
                  <c:v>105.71</c:v>
                </c:pt>
                <c:pt idx="366">
                  <c:v>105.99</c:v>
                </c:pt>
                <c:pt idx="367">
                  <c:v>105.37</c:v>
                </c:pt>
                <c:pt idx="368">
                  <c:v>105.36</c:v>
                </c:pt>
                <c:pt idx="369">
                  <c:v>105.33</c:v>
                </c:pt>
                <c:pt idx="370">
                  <c:v>103.61</c:v>
                </c:pt>
                <c:pt idx="371">
                  <c:v>102.67</c:v>
                </c:pt>
                <c:pt idx="372">
                  <c:v>102.73</c:v>
                </c:pt>
                <c:pt idx="373">
                  <c:v>101.15</c:v>
                </c:pt>
                <c:pt idx="374">
                  <c:v>102.8</c:v>
                </c:pt>
                <c:pt idx="375">
                  <c:v>102.09</c:v>
                </c:pt>
                <c:pt idx="376">
                  <c:v>102.95</c:v>
                </c:pt>
                <c:pt idx="377">
                  <c:v>101.51</c:v>
                </c:pt>
                <c:pt idx="378">
                  <c:v>102.17</c:v>
                </c:pt>
                <c:pt idx="379">
                  <c:v>102.5</c:v>
                </c:pt>
                <c:pt idx="380">
                  <c:v>105.68</c:v>
                </c:pt>
                <c:pt idx="381">
                  <c:v>105.03</c:v>
                </c:pt>
                <c:pt idx="382">
                  <c:v>104.8</c:v>
                </c:pt>
                <c:pt idx="383">
                  <c:v>105.25</c:v>
                </c:pt>
                <c:pt idx="384">
                  <c:v>104.77</c:v>
                </c:pt>
                <c:pt idx="385">
                  <c:v>108.93</c:v>
                </c:pt>
                <c:pt idx="386">
                  <c:v>108.85</c:v>
                </c:pt>
                <c:pt idx="387">
                  <c:v>109.86</c:v>
                </c:pt>
                <c:pt idx="388">
                  <c:v>108.25</c:v>
                </c:pt>
                <c:pt idx="389">
                  <c:v>109.62</c:v>
                </c:pt>
                <c:pt idx="390">
                  <c:v>111.66</c:v>
                </c:pt>
                <c:pt idx="391">
                  <c:v>112.44</c:v>
                </c:pt>
                <c:pt idx="392">
                  <c:v>113.46</c:v>
                </c:pt>
                <c:pt idx="393">
                  <c:v>113.13</c:v>
                </c:pt>
                <c:pt idx="394">
                  <c:v>114.29</c:v>
                </c:pt>
                <c:pt idx="395">
                  <c:v>114.98</c:v>
                </c:pt>
                <c:pt idx="396">
                  <c:v>113.23</c:v>
                </c:pt>
                <c:pt idx="397">
                  <c:v>113.93</c:v>
                </c:pt>
                <c:pt idx="398">
                  <c:v>114.41</c:v>
                </c:pt>
                <c:pt idx="399">
                  <c:v>115.34</c:v>
                </c:pt>
                <c:pt idx="400">
                  <c:v>115.37</c:v>
                </c:pt>
                <c:pt idx="401">
                  <c:v>115.79</c:v>
                </c:pt>
                <c:pt idx="402">
                  <c:v>116.03</c:v>
                </c:pt>
                <c:pt idx="403">
                  <c:v>115.13</c:v>
                </c:pt>
                <c:pt idx="404">
                  <c:v>114</c:v>
                </c:pt>
                <c:pt idx="405">
                  <c:v>112.19</c:v>
                </c:pt>
                <c:pt idx="406">
                  <c:v>112.94</c:v>
                </c:pt>
                <c:pt idx="407">
                  <c:v>112</c:v>
                </c:pt>
                <c:pt idx="408">
                  <c:v>113.05</c:v>
                </c:pt>
                <c:pt idx="409">
                  <c:v>113.05</c:v>
                </c:pt>
                <c:pt idx="410">
                  <c:v>112.91</c:v>
                </c:pt>
                <c:pt idx="411">
                  <c:v>113.6</c:v>
                </c:pt>
                <c:pt idx="412">
                  <c:v>113.25</c:v>
                </c:pt>
                <c:pt idx="413">
                  <c:v>113.01</c:v>
                </c:pt>
                <c:pt idx="414">
                  <c:v>112.97</c:v>
                </c:pt>
                <c:pt idx="415">
                  <c:v>114.96</c:v>
                </c:pt>
                <c:pt idx="416">
                  <c:v>114.4</c:v>
                </c:pt>
                <c:pt idx="417">
                  <c:v>114.03</c:v>
                </c:pt>
                <c:pt idx="418">
                  <c:v>113.47</c:v>
                </c:pt>
                <c:pt idx="419">
                  <c:v>112.87</c:v>
                </c:pt>
                <c:pt idx="420">
                  <c:v>113.43</c:v>
                </c:pt>
                <c:pt idx="421">
                  <c:v>112.88</c:v>
                </c:pt>
                <c:pt idx="422">
                  <c:v>112.39</c:v>
                </c:pt>
                <c:pt idx="423">
                  <c:v>112.61</c:v>
                </c:pt>
                <c:pt idx="424">
                  <c:v>112.01</c:v>
                </c:pt>
                <c:pt idx="425">
                  <c:v>112.72</c:v>
                </c:pt>
                <c:pt idx="426">
                  <c:v>111.39</c:v>
                </c:pt>
                <c:pt idx="427">
                  <c:v>111.82</c:v>
                </c:pt>
                <c:pt idx="428">
                  <c:v>111.8</c:v>
                </c:pt>
                <c:pt idx="429">
                  <c:v>112.14</c:v>
                </c:pt>
                <c:pt idx="430">
                  <c:v>112.59</c:v>
                </c:pt>
                <c:pt idx="431">
                  <c:v>115.86</c:v>
                </c:pt>
                <c:pt idx="432">
                  <c:v>116.86</c:v>
                </c:pt>
                <c:pt idx="433">
                  <c:v>116.09</c:v>
                </c:pt>
                <c:pt idx="434">
                  <c:v>114.97</c:v>
                </c:pt>
                <c:pt idx="435">
                  <c:v>114.65</c:v>
                </c:pt>
                <c:pt idx="436">
                  <c:v>113.3</c:v>
                </c:pt>
                <c:pt idx="437">
                  <c:v>112.81</c:v>
                </c:pt>
                <c:pt idx="438">
                  <c:v>111.15</c:v>
                </c:pt>
                <c:pt idx="439">
                  <c:v>111.8</c:v>
                </c:pt>
                <c:pt idx="440">
                  <c:v>112.27</c:v>
                </c:pt>
                <c:pt idx="441">
                  <c:v>113.32</c:v>
                </c:pt>
                <c:pt idx="442">
                  <c:v>114.34</c:v>
                </c:pt>
                <c:pt idx="443">
                  <c:v>113.7</c:v>
                </c:pt>
                <c:pt idx="444">
                  <c:v>114.39</c:v>
                </c:pt>
                <c:pt idx="445">
                  <c:v>113.6</c:v>
                </c:pt>
                <c:pt idx="446">
                  <c:v>110.57</c:v>
                </c:pt>
                <c:pt idx="447">
                  <c:v>107.26</c:v>
                </c:pt>
                <c:pt idx="448">
                  <c:v>106.09</c:v>
                </c:pt>
                <c:pt idx="449">
                  <c:v>105.48</c:v>
                </c:pt>
                <c:pt idx="450">
                  <c:v>107.75</c:v>
                </c:pt>
                <c:pt idx="451">
                  <c:v>108.95</c:v>
                </c:pt>
                <c:pt idx="452">
                  <c:v>107.22</c:v>
                </c:pt>
                <c:pt idx="453">
                  <c:v>107.04</c:v>
                </c:pt>
                <c:pt idx="454">
                  <c:v>105.5</c:v>
                </c:pt>
                <c:pt idx="455">
                  <c:v>104.4</c:v>
                </c:pt>
                <c:pt idx="456">
                  <c:v>102.46</c:v>
                </c:pt>
                <c:pt idx="457">
                  <c:v>104.02</c:v>
                </c:pt>
                <c:pt idx="458">
                  <c:v>102.59</c:v>
                </c:pt>
                <c:pt idx="459">
                  <c:v>104.01</c:v>
                </c:pt>
                <c:pt idx="460">
                  <c:v>105.84</c:v>
                </c:pt>
                <c:pt idx="461">
                  <c:v>108.14</c:v>
                </c:pt>
                <c:pt idx="462">
                  <c:v>108.1</c:v>
                </c:pt>
                <c:pt idx="463">
                  <c:v>107.51</c:v>
                </c:pt>
                <c:pt idx="464">
                  <c:v>108.21</c:v>
                </c:pt>
                <c:pt idx="465">
                  <c:v>108.72</c:v>
                </c:pt>
                <c:pt idx="466">
                  <c:v>110.58</c:v>
                </c:pt>
                <c:pt idx="467">
                  <c:v>111.47</c:v>
                </c:pt>
                <c:pt idx="468">
                  <c:v>110.39</c:v>
                </c:pt>
                <c:pt idx="469">
                  <c:v>108.07</c:v>
                </c:pt>
                <c:pt idx="470">
                  <c:v>108.71</c:v>
                </c:pt>
                <c:pt idx="471">
                  <c:v>106.47</c:v>
                </c:pt>
                <c:pt idx="472">
                  <c:v>109.18</c:v>
                </c:pt>
                <c:pt idx="473">
                  <c:v>109.1</c:v>
                </c:pt>
                <c:pt idx="474">
                  <c:v>109.94</c:v>
                </c:pt>
                <c:pt idx="475">
                  <c:v>107.58</c:v>
                </c:pt>
                <c:pt idx="476">
                  <c:v>106.77</c:v>
                </c:pt>
                <c:pt idx="477">
                  <c:v>105.79</c:v>
                </c:pt>
                <c:pt idx="478">
                  <c:v>108.38</c:v>
                </c:pt>
                <c:pt idx="479">
                  <c:v>108.84</c:v>
                </c:pt>
                <c:pt idx="480">
                  <c:v>110.05</c:v>
                </c:pt>
                <c:pt idx="481">
                  <c:v>109.17</c:v>
                </c:pt>
                <c:pt idx="482">
                  <c:v>110.29</c:v>
                </c:pt>
                <c:pt idx="483">
                  <c:v>111.34</c:v>
                </c:pt>
                <c:pt idx="484">
                  <c:v>106.37</c:v>
                </c:pt>
                <c:pt idx="485">
                  <c:v>104.34</c:v>
                </c:pt>
                <c:pt idx="486">
                  <c:v>102.46</c:v>
                </c:pt>
                <c:pt idx="487">
                  <c:v>100.54</c:v>
                </c:pt>
                <c:pt idx="488">
                  <c:v>99.56</c:v>
                </c:pt>
                <c:pt idx="489">
                  <c:v>100.21</c:v>
                </c:pt>
                <c:pt idx="490">
                  <c:v>100.31</c:v>
                </c:pt>
                <c:pt idx="491">
                  <c:v>99.48</c:v>
                </c:pt>
                <c:pt idx="492">
                  <c:v>98.21</c:v>
                </c:pt>
                <c:pt idx="493">
                  <c:v>97.75</c:v>
                </c:pt>
                <c:pt idx="494">
                  <c:v>96.51</c:v>
                </c:pt>
                <c:pt idx="495">
                  <c:v>95.67</c:v>
                </c:pt>
                <c:pt idx="496">
                  <c:v>93.41</c:v>
                </c:pt>
                <c:pt idx="497">
                  <c:v>91.4</c:v>
                </c:pt>
                <c:pt idx="498">
                  <c:v>95.19</c:v>
                </c:pt>
                <c:pt idx="499">
                  <c:v>96.26</c:v>
                </c:pt>
                <c:pt idx="500">
                  <c:v>96.05</c:v>
                </c:pt>
                <c:pt idx="501">
                  <c:v>96.83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A88-4627-A9B5-13E947E20CD9}"/>
            </c:ext>
          </c:extLst>
        </c:ser>
        <c:ser>
          <c:idx val="14"/>
          <c:order val="14"/>
          <c:tx>
            <c:strRef>
              <c:f>wide_company_closes_reorder!$P$1</c:f>
              <c:strCache>
                <c:ptCount val="1"/>
                <c:pt idx="0">
                  <c:v>KO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wide_company_closes_reorder!$P$2:$P$503</c:f>
              <c:numCache>
                <c:formatCode>General</c:formatCode>
                <c:ptCount val="502"/>
                <c:pt idx="0">
                  <c:v>39.090000000000003</c:v>
                </c:pt>
                <c:pt idx="1">
                  <c:v>38.950000000000003</c:v>
                </c:pt>
                <c:pt idx="2">
                  <c:v>39.04</c:v>
                </c:pt>
                <c:pt idx="3">
                  <c:v>39.03</c:v>
                </c:pt>
                <c:pt idx="4">
                  <c:v>38.64</c:v>
                </c:pt>
                <c:pt idx="5">
                  <c:v>38.380000000000003</c:v>
                </c:pt>
                <c:pt idx="6">
                  <c:v>38.39</c:v>
                </c:pt>
                <c:pt idx="7">
                  <c:v>38.29</c:v>
                </c:pt>
                <c:pt idx="8">
                  <c:v>38.229999999999997</c:v>
                </c:pt>
                <c:pt idx="9">
                  <c:v>38.549999999999997</c:v>
                </c:pt>
                <c:pt idx="10">
                  <c:v>38.61</c:v>
                </c:pt>
                <c:pt idx="11">
                  <c:v>38.47</c:v>
                </c:pt>
                <c:pt idx="12">
                  <c:v>38.64</c:v>
                </c:pt>
                <c:pt idx="13">
                  <c:v>38.74</c:v>
                </c:pt>
                <c:pt idx="14">
                  <c:v>39.18</c:v>
                </c:pt>
                <c:pt idx="15">
                  <c:v>39.39</c:v>
                </c:pt>
                <c:pt idx="16">
                  <c:v>39.1</c:v>
                </c:pt>
                <c:pt idx="17">
                  <c:v>38.76</c:v>
                </c:pt>
                <c:pt idx="18">
                  <c:v>38.700000000000003</c:v>
                </c:pt>
                <c:pt idx="19">
                  <c:v>38.869999999999997</c:v>
                </c:pt>
                <c:pt idx="20">
                  <c:v>38.58</c:v>
                </c:pt>
                <c:pt idx="21">
                  <c:v>38.71</c:v>
                </c:pt>
                <c:pt idx="22">
                  <c:v>38.85</c:v>
                </c:pt>
                <c:pt idx="23">
                  <c:v>38.86</c:v>
                </c:pt>
                <c:pt idx="24">
                  <c:v>39.18</c:v>
                </c:pt>
                <c:pt idx="25">
                  <c:v>39.29</c:v>
                </c:pt>
                <c:pt idx="26">
                  <c:v>38.57</c:v>
                </c:pt>
                <c:pt idx="27">
                  <c:v>37.950000000000003</c:v>
                </c:pt>
                <c:pt idx="28">
                  <c:v>37.979999999999997</c:v>
                </c:pt>
                <c:pt idx="29">
                  <c:v>37.9</c:v>
                </c:pt>
                <c:pt idx="30">
                  <c:v>37.82</c:v>
                </c:pt>
                <c:pt idx="31">
                  <c:v>38.53</c:v>
                </c:pt>
                <c:pt idx="32">
                  <c:v>38.56</c:v>
                </c:pt>
                <c:pt idx="33">
                  <c:v>38.770000000000003</c:v>
                </c:pt>
                <c:pt idx="34">
                  <c:v>38.9</c:v>
                </c:pt>
                <c:pt idx="35">
                  <c:v>38.96</c:v>
                </c:pt>
                <c:pt idx="36">
                  <c:v>39.07</c:v>
                </c:pt>
                <c:pt idx="37">
                  <c:v>38.97</c:v>
                </c:pt>
                <c:pt idx="38">
                  <c:v>39.24</c:v>
                </c:pt>
                <c:pt idx="39">
                  <c:v>39.42</c:v>
                </c:pt>
                <c:pt idx="40">
                  <c:v>39.71</c:v>
                </c:pt>
                <c:pt idx="41">
                  <c:v>39.72</c:v>
                </c:pt>
                <c:pt idx="42">
                  <c:v>39.44</c:v>
                </c:pt>
                <c:pt idx="43">
                  <c:v>39.270000000000003</c:v>
                </c:pt>
                <c:pt idx="44">
                  <c:v>39.270000000000003</c:v>
                </c:pt>
                <c:pt idx="45">
                  <c:v>39.299999999999997</c:v>
                </c:pt>
                <c:pt idx="46">
                  <c:v>39.549999999999997</c:v>
                </c:pt>
                <c:pt idx="47">
                  <c:v>39.65</c:v>
                </c:pt>
                <c:pt idx="48">
                  <c:v>39.590000000000003</c:v>
                </c:pt>
                <c:pt idx="49">
                  <c:v>39.74</c:v>
                </c:pt>
                <c:pt idx="50">
                  <c:v>39.86</c:v>
                </c:pt>
                <c:pt idx="51">
                  <c:v>39.65</c:v>
                </c:pt>
                <c:pt idx="52">
                  <c:v>39.79</c:v>
                </c:pt>
                <c:pt idx="53">
                  <c:v>40.090000000000003</c:v>
                </c:pt>
                <c:pt idx="54">
                  <c:v>39.979999999999997</c:v>
                </c:pt>
                <c:pt idx="55">
                  <c:v>39.78</c:v>
                </c:pt>
                <c:pt idx="56">
                  <c:v>39.74</c:v>
                </c:pt>
                <c:pt idx="57">
                  <c:v>39.92</c:v>
                </c:pt>
                <c:pt idx="58">
                  <c:v>40.03</c:v>
                </c:pt>
                <c:pt idx="59">
                  <c:v>40.020000000000003</c:v>
                </c:pt>
                <c:pt idx="60">
                  <c:v>40.19</c:v>
                </c:pt>
                <c:pt idx="61">
                  <c:v>40.04</c:v>
                </c:pt>
                <c:pt idx="62">
                  <c:v>40.01</c:v>
                </c:pt>
                <c:pt idx="63">
                  <c:v>40.26</c:v>
                </c:pt>
                <c:pt idx="64">
                  <c:v>40.159999999999997</c:v>
                </c:pt>
                <c:pt idx="65">
                  <c:v>40.25</c:v>
                </c:pt>
                <c:pt idx="66">
                  <c:v>40.200000000000003</c:v>
                </c:pt>
                <c:pt idx="67">
                  <c:v>40.270000000000003</c:v>
                </c:pt>
                <c:pt idx="68">
                  <c:v>40.24</c:v>
                </c:pt>
                <c:pt idx="69">
                  <c:v>40.51</c:v>
                </c:pt>
                <c:pt idx="70">
                  <c:v>40.369999999999997</c:v>
                </c:pt>
                <c:pt idx="71">
                  <c:v>40.630000000000003</c:v>
                </c:pt>
                <c:pt idx="72">
                  <c:v>41.02</c:v>
                </c:pt>
                <c:pt idx="73">
                  <c:v>40.78</c:v>
                </c:pt>
                <c:pt idx="74">
                  <c:v>40.65</c:v>
                </c:pt>
                <c:pt idx="75">
                  <c:v>40.630000000000003</c:v>
                </c:pt>
                <c:pt idx="76">
                  <c:v>40.83</c:v>
                </c:pt>
                <c:pt idx="77">
                  <c:v>40.67</c:v>
                </c:pt>
                <c:pt idx="78">
                  <c:v>40.79</c:v>
                </c:pt>
                <c:pt idx="79">
                  <c:v>40.57</c:v>
                </c:pt>
                <c:pt idx="80">
                  <c:v>40.71</c:v>
                </c:pt>
                <c:pt idx="81">
                  <c:v>40.770000000000003</c:v>
                </c:pt>
                <c:pt idx="82">
                  <c:v>40.93</c:v>
                </c:pt>
                <c:pt idx="83">
                  <c:v>40.869999999999997</c:v>
                </c:pt>
                <c:pt idx="84">
                  <c:v>41.19</c:v>
                </c:pt>
                <c:pt idx="85">
                  <c:v>41.22</c:v>
                </c:pt>
                <c:pt idx="86">
                  <c:v>41.4</c:v>
                </c:pt>
                <c:pt idx="87">
                  <c:v>41.05</c:v>
                </c:pt>
                <c:pt idx="88">
                  <c:v>41.1</c:v>
                </c:pt>
                <c:pt idx="89">
                  <c:v>41.2</c:v>
                </c:pt>
                <c:pt idx="90">
                  <c:v>41.12</c:v>
                </c:pt>
                <c:pt idx="91">
                  <c:v>41.25</c:v>
                </c:pt>
                <c:pt idx="92">
                  <c:v>41.37</c:v>
                </c:pt>
                <c:pt idx="93">
                  <c:v>41.44</c:v>
                </c:pt>
                <c:pt idx="94">
                  <c:v>41.32</c:v>
                </c:pt>
                <c:pt idx="95">
                  <c:v>41.41</c:v>
                </c:pt>
                <c:pt idx="96">
                  <c:v>41.68</c:v>
                </c:pt>
                <c:pt idx="97">
                  <c:v>41.88</c:v>
                </c:pt>
                <c:pt idx="98">
                  <c:v>42.48</c:v>
                </c:pt>
                <c:pt idx="99">
                  <c:v>42.84</c:v>
                </c:pt>
                <c:pt idx="100">
                  <c:v>42.82</c:v>
                </c:pt>
                <c:pt idx="101">
                  <c:v>42.86</c:v>
                </c:pt>
                <c:pt idx="102">
                  <c:v>42.9</c:v>
                </c:pt>
                <c:pt idx="103">
                  <c:v>43.2</c:v>
                </c:pt>
                <c:pt idx="104">
                  <c:v>43.29</c:v>
                </c:pt>
                <c:pt idx="105">
                  <c:v>43.39</c:v>
                </c:pt>
                <c:pt idx="106">
                  <c:v>43.38</c:v>
                </c:pt>
                <c:pt idx="107">
                  <c:v>42.93</c:v>
                </c:pt>
                <c:pt idx="108">
                  <c:v>42.57</c:v>
                </c:pt>
                <c:pt idx="109">
                  <c:v>42.75</c:v>
                </c:pt>
                <c:pt idx="110">
                  <c:v>42.76</c:v>
                </c:pt>
                <c:pt idx="111">
                  <c:v>42.83</c:v>
                </c:pt>
                <c:pt idx="112">
                  <c:v>43.09</c:v>
                </c:pt>
                <c:pt idx="113">
                  <c:v>43.04</c:v>
                </c:pt>
                <c:pt idx="114">
                  <c:v>43.1</c:v>
                </c:pt>
                <c:pt idx="115">
                  <c:v>43.16</c:v>
                </c:pt>
                <c:pt idx="116">
                  <c:v>43.38</c:v>
                </c:pt>
                <c:pt idx="117">
                  <c:v>43.01</c:v>
                </c:pt>
                <c:pt idx="118">
                  <c:v>42.87</c:v>
                </c:pt>
                <c:pt idx="119">
                  <c:v>43.04</c:v>
                </c:pt>
                <c:pt idx="120">
                  <c:v>43.21</c:v>
                </c:pt>
                <c:pt idx="121">
                  <c:v>42.85</c:v>
                </c:pt>
                <c:pt idx="122">
                  <c:v>43.11</c:v>
                </c:pt>
                <c:pt idx="123">
                  <c:v>42.64</c:v>
                </c:pt>
                <c:pt idx="124">
                  <c:v>42.66</c:v>
                </c:pt>
                <c:pt idx="125">
                  <c:v>42.57</c:v>
                </c:pt>
                <c:pt idx="126">
                  <c:v>42.63</c:v>
                </c:pt>
                <c:pt idx="127">
                  <c:v>42.23</c:v>
                </c:pt>
                <c:pt idx="128">
                  <c:v>42.22</c:v>
                </c:pt>
                <c:pt idx="129">
                  <c:v>42.21</c:v>
                </c:pt>
                <c:pt idx="130">
                  <c:v>42.16</c:v>
                </c:pt>
                <c:pt idx="131">
                  <c:v>42.34</c:v>
                </c:pt>
                <c:pt idx="132">
                  <c:v>42.26</c:v>
                </c:pt>
                <c:pt idx="133">
                  <c:v>42.5</c:v>
                </c:pt>
                <c:pt idx="134">
                  <c:v>42.54</c:v>
                </c:pt>
                <c:pt idx="135">
                  <c:v>42.49</c:v>
                </c:pt>
                <c:pt idx="136">
                  <c:v>42.64</c:v>
                </c:pt>
                <c:pt idx="137">
                  <c:v>42.63</c:v>
                </c:pt>
                <c:pt idx="138">
                  <c:v>42.83</c:v>
                </c:pt>
                <c:pt idx="139">
                  <c:v>42.65</c:v>
                </c:pt>
                <c:pt idx="140">
                  <c:v>43.03</c:v>
                </c:pt>
                <c:pt idx="141">
                  <c:v>43.51</c:v>
                </c:pt>
                <c:pt idx="142">
                  <c:v>43.87</c:v>
                </c:pt>
                <c:pt idx="143">
                  <c:v>43.76</c:v>
                </c:pt>
                <c:pt idx="144">
                  <c:v>43.6</c:v>
                </c:pt>
                <c:pt idx="145">
                  <c:v>43.47</c:v>
                </c:pt>
                <c:pt idx="146">
                  <c:v>43.36</c:v>
                </c:pt>
                <c:pt idx="147">
                  <c:v>43.44</c:v>
                </c:pt>
                <c:pt idx="148">
                  <c:v>43.28</c:v>
                </c:pt>
                <c:pt idx="149">
                  <c:v>43.41</c:v>
                </c:pt>
                <c:pt idx="150">
                  <c:v>43.37</c:v>
                </c:pt>
                <c:pt idx="151">
                  <c:v>43.36</c:v>
                </c:pt>
                <c:pt idx="152">
                  <c:v>43.51</c:v>
                </c:pt>
                <c:pt idx="153">
                  <c:v>43.36</c:v>
                </c:pt>
                <c:pt idx="154">
                  <c:v>43.56</c:v>
                </c:pt>
                <c:pt idx="155">
                  <c:v>43.93</c:v>
                </c:pt>
                <c:pt idx="156">
                  <c:v>43.94</c:v>
                </c:pt>
                <c:pt idx="157">
                  <c:v>43.62</c:v>
                </c:pt>
                <c:pt idx="158">
                  <c:v>43.44</c:v>
                </c:pt>
                <c:pt idx="159">
                  <c:v>43.45</c:v>
                </c:pt>
                <c:pt idx="160">
                  <c:v>43.37</c:v>
                </c:pt>
                <c:pt idx="161">
                  <c:v>43.32</c:v>
                </c:pt>
                <c:pt idx="162">
                  <c:v>43.19</c:v>
                </c:pt>
                <c:pt idx="163">
                  <c:v>43.34</c:v>
                </c:pt>
                <c:pt idx="164">
                  <c:v>43.2</c:v>
                </c:pt>
                <c:pt idx="165">
                  <c:v>43.23</c:v>
                </c:pt>
                <c:pt idx="166">
                  <c:v>43.17</c:v>
                </c:pt>
                <c:pt idx="167">
                  <c:v>43.32</c:v>
                </c:pt>
                <c:pt idx="168">
                  <c:v>43.54</c:v>
                </c:pt>
                <c:pt idx="169">
                  <c:v>43.68</c:v>
                </c:pt>
                <c:pt idx="170">
                  <c:v>43.71</c:v>
                </c:pt>
                <c:pt idx="171">
                  <c:v>44.02</c:v>
                </c:pt>
                <c:pt idx="172">
                  <c:v>44.04</c:v>
                </c:pt>
                <c:pt idx="173">
                  <c:v>44.25</c:v>
                </c:pt>
                <c:pt idx="174">
                  <c:v>44.44</c:v>
                </c:pt>
                <c:pt idx="175">
                  <c:v>44.58</c:v>
                </c:pt>
                <c:pt idx="176">
                  <c:v>44.21</c:v>
                </c:pt>
                <c:pt idx="177">
                  <c:v>44.27</c:v>
                </c:pt>
                <c:pt idx="178">
                  <c:v>44.21</c:v>
                </c:pt>
                <c:pt idx="179">
                  <c:v>44.08</c:v>
                </c:pt>
                <c:pt idx="180">
                  <c:v>43.89</c:v>
                </c:pt>
                <c:pt idx="181">
                  <c:v>43.53</c:v>
                </c:pt>
                <c:pt idx="182">
                  <c:v>43.61</c:v>
                </c:pt>
                <c:pt idx="183">
                  <c:v>43.8</c:v>
                </c:pt>
                <c:pt idx="184">
                  <c:v>43.69</c:v>
                </c:pt>
                <c:pt idx="185">
                  <c:v>42.8</c:v>
                </c:pt>
                <c:pt idx="186">
                  <c:v>43.06</c:v>
                </c:pt>
                <c:pt idx="187">
                  <c:v>43.15</c:v>
                </c:pt>
                <c:pt idx="188">
                  <c:v>42.95</c:v>
                </c:pt>
                <c:pt idx="189">
                  <c:v>43.32</c:v>
                </c:pt>
                <c:pt idx="190">
                  <c:v>43.62</c:v>
                </c:pt>
                <c:pt idx="191">
                  <c:v>43.64</c:v>
                </c:pt>
                <c:pt idx="192">
                  <c:v>43.61</c:v>
                </c:pt>
                <c:pt idx="193">
                  <c:v>43.54</c:v>
                </c:pt>
                <c:pt idx="194">
                  <c:v>43.98</c:v>
                </c:pt>
                <c:pt idx="195">
                  <c:v>44.2</c:v>
                </c:pt>
                <c:pt idx="196">
                  <c:v>44.21</c:v>
                </c:pt>
                <c:pt idx="197">
                  <c:v>44.27</c:v>
                </c:pt>
                <c:pt idx="198">
                  <c:v>44.7</c:v>
                </c:pt>
                <c:pt idx="199">
                  <c:v>44.6</c:v>
                </c:pt>
                <c:pt idx="200">
                  <c:v>44.48</c:v>
                </c:pt>
                <c:pt idx="201">
                  <c:v>44.67</c:v>
                </c:pt>
                <c:pt idx="202">
                  <c:v>44.47</c:v>
                </c:pt>
                <c:pt idx="203">
                  <c:v>44.41</c:v>
                </c:pt>
                <c:pt idx="204">
                  <c:v>44.27</c:v>
                </c:pt>
                <c:pt idx="205">
                  <c:v>44.15</c:v>
                </c:pt>
                <c:pt idx="206">
                  <c:v>44.32</c:v>
                </c:pt>
                <c:pt idx="207">
                  <c:v>44.17</c:v>
                </c:pt>
                <c:pt idx="208">
                  <c:v>43.97</c:v>
                </c:pt>
                <c:pt idx="209">
                  <c:v>44.08</c:v>
                </c:pt>
                <c:pt idx="210">
                  <c:v>43.91</c:v>
                </c:pt>
                <c:pt idx="211">
                  <c:v>43.99</c:v>
                </c:pt>
                <c:pt idx="212">
                  <c:v>44.07</c:v>
                </c:pt>
                <c:pt idx="213">
                  <c:v>43.59</c:v>
                </c:pt>
                <c:pt idx="214">
                  <c:v>44.04</c:v>
                </c:pt>
                <c:pt idx="215">
                  <c:v>44.27</c:v>
                </c:pt>
                <c:pt idx="216">
                  <c:v>44.32</c:v>
                </c:pt>
                <c:pt idx="217">
                  <c:v>44.62</c:v>
                </c:pt>
                <c:pt idx="218">
                  <c:v>44.79</c:v>
                </c:pt>
                <c:pt idx="219">
                  <c:v>45.47</c:v>
                </c:pt>
                <c:pt idx="220">
                  <c:v>44.88</c:v>
                </c:pt>
                <c:pt idx="221">
                  <c:v>44.63</c:v>
                </c:pt>
                <c:pt idx="222">
                  <c:v>43.82</c:v>
                </c:pt>
                <c:pt idx="223">
                  <c:v>43.58</c:v>
                </c:pt>
                <c:pt idx="224">
                  <c:v>43.89</c:v>
                </c:pt>
                <c:pt idx="225">
                  <c:v>43.95</c:v>
                </c:pt>
                <c:pt idx="226">
                  <c:v>43.99</c:v>
                </c:pt>
                <c:pt idx="227">
                  <c:v>44</c:v>
                </c:pt>
                <c:pt idx="228">
                  <c:v>43.94</c:v>
                </c:pt>
                <c:pt idx="229">
                  <c:v>43.62</c:v>
                </c:pt>
                <c:pt idx="230">
                  <c:v>44.24</c:v>
                </c:pt>
                <c:pt idx="231">
                  <c:v>44.43</c:v>
                </c:pt>
                <c:pt idx="232">
                  <c:v>44.68</c:v>
                </c:pt>
                <c:pt idx="233">
                  <c:v>44.71</c:v>
                </c:pt>
                <c:pt idx="234">
                  <c:v>44.9</c:v>
                </c:pt>
                <c:pt idx="235">
                  <c:v>44.25</c:v>
                </c:pt>
                <c:pt idx="236">
                  <c:v>43.8</c:v>
                </c:pt>
                <c:pt idx="237">
                  <c:v>43.81</c:v>
                </c:pt>
                <c:pt idx="238">
                  <c:v>43.78</c:v>
                </c:pt>
                <c:pt idx="239">
                  <c:v>44.37</c:v>
                </c:pt>
                <c:pt idx="240">
                  <c:v>44.49</c:v>
                </c:pt>
                <c:pt idx="241">
                  <c:v>44.65</c:v>
                </c:pt>
                <c:pt idx="242">
                  <c:v>44.39</c:v>
                </c:pt>
                <c:pt idx="243">
                  <c:v>44.59</c:v>
                </c:pt>
                <c:pt idx="244">
                  <c:v>44.54</c:v>
                </c:pt>
                <c:pt idx="245">
                  <c:v>44.08</c:v>
                </c:pt>
                <c:pt idx="246">
                  <c:v>44.07</c:v>
                </c:pt>
                <c:pt idx="247">
                  <c:v>44.28</c:v>
                </c:pt>
                <c:pt idx="248">
                  <c:v>44.39</c:v>
                </c:pt>
                <c:pt idx="249">
                  <c:v>44.19</c:v>
                </c:pt>
                <c:pt idx="250">
                  <c:v>44.35</c:v>
                </c:pt>
                <c:pt idx="251">
                  <c:v>44.02</c:v>
                </c:pt>
                <c:pt idx="252">
                  <c:v>43.92</c:v>
                </c:pt>
                <c:pt idx="253">
                  <c:v>44.54</c:v>
                </c:pt>
                <c:pt idx="254">
                  <c:v>44.53</c:v>
                </c:pt>
                <c:pt idx="255">
                  <c:v>44.46</c:v>
                </c:pt>
                <c:pt idx="256">
                  <c:v>44.68</c:v>
                </c:pt>
                <c:pt idx="257">
                  <c:v>44.53</c:v>
                </c:pt>
                <c:pt idx="258">
                  <c:v>44.5</c:v>
                </c:pt>
                <c:pt idx="259">
                  <c:v>44.61</c:v>
                </c:pt>
                <c:pt idx="260">
                  <c:v>44.97</c:v>
                </c:pt>
                <c:pt idx="261">
                  <c:v>45.25</c:v>
                </c:pt>
                <c:pt idx="262">
                  <c:v>45.31</c:v>
                </c:pt>
                <c:pt idx="263">
                  <c:v>45.58</c:v>
                </c:pt>
                <c:pt idx="264">
                  <c:v>45.8</c:v>
                </c:pt>
                <c:pt idx="265">
                  <c:v>45.86</c:v>
                </c:pt>
                <c:pt idx="266">
                  <c:v>46.23</c:v>
                </c:pt>
                <c:pt idx="267">
                  <c:v>46.24</c:v>
                </c:pt>
                <c:pt idx="268">
                  <c:v>46.91</c:v>
                </c:pt>
                <c:pt idx="269">
                  <c:v>46.11</c:v>
                </c:pt>
                <c:pt idx="270">
                  <c:v>45.83</c:v>
                </c:pt>
                <c:pt idx="271">
                  <c:v>46</c:v>
                </c:pt>
                <c:pt idx="272">
                  <c:v>45.86</c:v>
                </c:pt>
                <c:pt idx="273">
                  <c:v>45.17</c:v>
                </c:pt>
                <c:pt idx="274">
                  <c:v>43.39</c:v>
                </c:pt>
                <c:pt idx="275">
                  <c:v>43.18</c:v>
                </c:pt>
                <c:pt idx="276">
                  <c:v>43.07</c:v>
                </c:pt>
                <c:pt idx="277">
                  <c:v>41.66</c:v>
                </c:pt>
                <c:pt idx="278">
                  <c:v>41.69</c:v>
                </c:pt>
                <c:pt idx="279">
                  <c:v>42.5</c:v>
                </c:pt>
                <c:pt idx="280">
                  <c:v>42.71</c:v>
                </c:pt>
                <c:pt idx="281">
                  <c:v>42.63</c:v>
                </c:pt>
                <c:pt idx="282">
                  <c:v>43.28</c:v>
                </c:pt>
                <c:pt idx="283">
                  <c:v>43.48</c:v>
                </c:pt>
                <c:pt idx="284">
                  <c:v>42.52</c:v>
                </c:pt>
                <c:pt idx="285">
                  <c:v>41.89</c:v>
                </c:pt>
                <c:pt idx="286">
                  <c:v>42.07</c:v>
                </c:pt>
                <c:pt idx="287">
                  <c:v>42.57</c:v>
                </c:pt>
                <c:pt idx="288">
                  <c:v>42.56</c:v>
                </c:pt>
                <c:pt idx="289">
                  <c:v>42.16</c:v>
                </c:pt>
                <c:pt idx="290">
                  <c:v>41.78</c:v>
                </c:pt>
                <c:pt idx="291">
                  <c:v>41.98</c:v>
                </c:pt>
                <c:pt idx="292">
                  <c:v>42.26</c:v>
                </c:pt>
                <c:pt idx="293">
                  <c:v>42.42</c:v>
                </c:pt>
                <c:pt idx="294">
                  <c:v>42.46</c:v>
                </c:pt>
                <c:pt idx="295">
                  <c:v>42.36</c:v>
                </c:pt>
                <c:pt idx="296">
                  <c:v>42.96</c:v>
                </c:pt>
                <c:pt idx="297">
                  <c:v>43.32</c:v>
                </c:pt>
                <c:pt idx="298">
                  <c:v>43.04</c:v>
                </c:pt>
                <c:pt idx="299">
                  <c:v>43.08</c:v>
                </c:pt>
                <c:pt idx="300">
                  <c:v>42.69</c:v>
                </c:pt>
                <c:pt idx="301">
                  <c:v>42.58</c:v>
                </c:pt>
                <c:pt idx="302">
                  <c:v>42.38</c:v>
                </c:pt>
                <c:pt idx="303">
                  <c:v>42.18</c:v>
                </c:pt>
                <c:pt idx="304">
                  <c:v>42.09</c:v>
                </c:pt>
                <c:pt idx="305">
                  <c:v>41.93</c:v>
                </c:pt>
                <c:pt idx="306">
                  <c:v>41.7</c:v>
                </c:pt>
                <c:pt idx="307">
                  <c:v>41.28</c:v>
                </c:pt>
                <c:pt idx="308">
                  <c:v>41.63</c:v>
                </c:pt>
                <c:pt idx="309">
                  <c:v>41.82</c:v>
                </c:pt>
                <c:pt idx="310">
                  <c:v>42.24</c:v>
                </c:pt>
                <c:pt idx="311">
                  <c:v>42.35</c:v>
                </c:pt>
                <c:pt idx="312">
                  <c:v>41.61</c:v>
                </c:pt>
                <c:pt idx="313">
                  <c:v>42.3</c:v>
                </c:pt>
                <c:pt idx="314">
                  <c:v>43.14</c:v>
                </c:pt>
                <c:pt idx="315">
                  <c:v>43.29</c:v>
                </c:pt>
                <c:pt idx="316">
                  <c:v>42.83</c:v>
                </c:pt>
                <c:pt idx="317">
                  <c:v>42.74</c:v>
                </c:pt>
                <c:pt idx="318">
                  <c:v>42.89</c:v>
                </c:pt>
                <c:pt idx="319">
                  <c:v>42.89</c:v>
                </c:pt>
                <c:pt idx="320">
                  <c:v>42.93</c:v>
                </c:pt>
                <c:pt idx="321">
                  <c:v>43.4</c:v>
                </c:pt>
                <c:pt idx="322">
                  <c:v>43.57</c:v>
                </c:pt>
                <c:pt idx="323">
                  <c:v>43.76</c:v>
                </c:pt>
                <c:pt idx="324">
                  <c:v>43.4</c:v>
                </c:pt>
                <c:pt idx="325">
                  <c:v>43.21</c:v>
                </c:pt>
                <c:pt idx="326">
                  <c:v>42.65</c:v>
                </c:pt>
                <c:pt idx="327">
                  <c:v>42.89</c:v>
                </c:pt>
                <c:pt idx="328">
                  <c:v>42</c:v>
                </c:pt>
                <c:pt idx="329">
                  <c:v>41.37</c:v>
                </c:pt>
                <c:pt idx="330">
                  <c:v>41.69</c:v>
                </c:pt>
                <c:pt idx="331">
                  <c:v>42.23</c:v>
                </c:pt>
                <c:pt idx="332">
                  <c:v>42.13</c:v>
                </c:pt>
                <c:pt idx="333">
                  <c:v>41.53</c:v>
                </c:pt>
                <c:pt idx="334">
                  <c:v>41.01</c:v>
                </c:pt>
                <c:pt idx="335">
                  <c:v>40.85</c:v>
                </c:pt>
                <c:pt idx="336">
                  <c:v>41.31</c:v>
                </c:pt>
                <c:pt idx="337">
                  <c:v>41.09</c:v>
                </c:pt>
                <c:pt idx="338">
                  <c:v>40.770000000000003</c:v>
                </c:pt>
                <c:pt idx="339">
                  <c:v>40.74</c:v>
                </c:pt>
                <c:pt idx="340">
                  <c:v>41.13</c:v>
                </c:pt>
                <c:pt idx="341">
                  <c:v>41.09</c:v>
                </c:pt>
                <c:pt idx="342">
                  <c:v>40.99</c:v>
                </c:pt>
                <c:pt idx="343">
                  <c:v>40.68</c:v>
                </c:pt>
                <c:pt idx="344">
                  <c:v>40.520000000000003</c:v>
                </c:pt>
                <c:pt idx="345">
                  <c:v>41.25</c:v>
                </c:pt>
                <c:pt idx="346">
                  <c:v>41.13</c:v>
                </c:pt>
                <c:pt idx="347">
                  <c:v>41.35</c:v>
                </c:pt>
                <c:pt idx="348">
                  <c:v>41.2</c:v>
                </c:pt>
                <c:pt idx="349">
                  <c:v>41.34</c:v>
                </c:pt>
                <c:pt idx="350">
                  <c:v>41.27</c:v>
                </c:pt>
                <c:pt idx="351">
                  <c:v>41.34</c:v>
                </c:pt>
                <c:pt idx="352">
                  <c:v>41.62</c:v>
                </c:pt>
                <c:pt idx="353">
                  <c:v>42.06</c:v>
                </c:pt>
                <c:pt idx="354">
                  <c:v>41.93</c:v>
                </c:pt>
                <c:pt idx="355">
                  <c:v>42.05</c:v>
                </c:pt>
                <c:pt idx="356">
                  <c:v>42.41</c:v>
                </c:pt>
                <c:pt idx="357">
                  <c:v>42.04</c:v>
                </c:pt>
                <c:pt idx="358">
                  <c:v>42.38</c:v>
                </c:pt>
                <c:pt idx="359">
                  <c:v>42.36</c:v>
                </c:pt>
                <c:pt idx="360">
                  <c:v>42.86</c:v>
                </c:pt>
                <c:pt idx="361">
                  <c:v>43.03</c:v>
                </c:pt>
                <c:pt idx="362">
                  <c:v>43.3</c:v>
                </c:pt>
                <c:pt idx="363">
                  <c:v>43.08</c:v>
                </c:pt>
                <c:pt idx="364">
                  <c:v>42.87</c:v>
                </c:pt>
                <c:pt idx="365">
                  <c:v>43.4</c:v>
                </c:pt>
                <c:pt idx="366">
                  <c:v>42.84</c:v>
                </c:pt>
                <c:pt idx="367">
                  <c:v>42.89</c:v>
                </c:pt>
                <c:pt idx="368">
                  <c:v>42.56</c:v>
                </c:pt>
                <c:pt idx="369">
                  <c:v>42.39</c:v>
                </c:pt>
                <c:pt idx="370">
                  <c:v>42.55</c:v>
                </c:pt>
                <c:pt idx="371">
                  <c:v>42.87</c:v>
                </c:pt>
                <c:pt idx="372">
                  <c:v>42.63</c:v>
                </c:pt>
                <c:pt idx="373">
                  <c:v>42.37</c:v>
                </c:pt>
                <c:pt idx="374">
                  <c:v>42.77</c:v>
                </c:pt>
                <c:pt idx="375">
                  <c:v>43.15</c:v>
                </c:pt>
                <c:pt idx="376">
                  <c:v>43.04</c:v>
                </c:pt>
                <c:pt idx="377">
                  <c:v>43.28</c:v>
                </c:pt>
                <c:pt idx="378">
                  <c:v>43.94</c:v>
                </c:pt>
                <c:pt idx="379">
                  <c:v>43.92</c:v>
                </c:pt>
                <c:pt idx="380">
                  <c:v>43.68</c:v>
                </c:pt>
                <c:pt idx="381">
                  <c:v>44.24</c:v>
                </c:pt>
                <c:pt idx="382">
                  <c:v>44.06</c:v>
                </c:pt>
                <c:pt idx="383">
                  <c:v>43.95</c:v>
                </c:pt>
                <c:pt idx="384">
                  <c:v>44.01</c:v>
                </c:pt>
                <c:pt idx="385">
                  <c:v>44</c:v>
                </c:pt>
                <c:pt idx="386">
                  <c:v>44.52</c:v>
                </c:pt>
                <c:pt idx="387">
                  <c:v>44.39</c:v>
                </c:pt>
                <c:pt idx="388">
                  <c:v>44.38</c:v>
                </c:pt>
                <c:pt idx="389">
                  <c:v>44.55</c:v>
                </c:pt>
                <c:pt idx="390">
                  <c:v>44.22</c:v>
                </c:pt>
                <c:pt idx="391">
                  <c:v>44.53</c:v>
                </c:pt>
                <c:pt idx="392">
                  <c:v>45.34</c:v>
                </c:pt>
                <c:pt idx="393">
                  <c:v>45.49</c:v>
                </c:pt>
                <c:pt idx="394">
                  <c:v>45.46</c:v>
                </c:pt>
                <c:pt idx="395">
                  <c:v>45.48</c:v>
                </c:pt>
                <c:pt idx="396">
                  <c:v>45.87</c:v>
                </c:pt>
                <c:pt idx="397">
                  <c:v>45.64</c:v>
                </c:pt>
                <c:pt idx="398">
                  <c:v>45.43</c:v>
                </c:pt>
                <c:pt idx="399">
                  <c:v>45.86</c:v>
                </c:pt>
                <c:pt idx="400">
                  <c:v>45.89</c:v>
                </c:pt>
                <c:pt idx="401">
                  <c:v>45.75</c:v>
                </c:pt>
                <c:pt idx="402">
                  <c:v>45.4</c:v>
                </c:pt>
                <c:pt idx="403">
                  <c:v>45.6</c:v>
                </c:pt>
                <c:pt idx="404">
                  <c:v>45.33</c:v>
                </c:pt>
                <c:pt idx="405">
                  <c:v>45.09</c:v>
                </c:pt>
                <c:pt idx="406">
                  <c:v>45.15</c:v>
                </c:pt>
                <c:pt idx="407">
                  <c:v>45.33</c:v>
                </c:pt>
                <c:pt idx="408">
                  <c:v>45.47</c:v>
                </c:pt>
                <c:pt idx="409">
                  <c:v>45.84</c:v>
                </c:pt>
                <c:pt idx="410">
                  <c:v>45.97</c:v>
                </c:pt>
                <c:pt idx="411">
                  <c:v>45.47</c:v>
                </c:pt>
                <c:pt idx="412">
                  <c:v>45.19</c:v>
                </c:pt>
                <c:pt idx="413">
                  <c:v>44.96</c:v>
                </c:pt>
                <c:pt idx="414">
                  <c:v>44.89</c:v>
                </c:pt>
                <c:pt idx="415">
                  <c:v>44.95</c:v>
                </c:pt>
                <c:pt idx="416">
                  <c:v>44.63</c:v>
                </c:pt>
                <c:pt idx="417">
                  <c:v>44.6</c:v>
                </c:pt>
                <c:pt idx="418">
                  <c:v>44.22</c:v>
                </c:pt>
                <c:pt idx="419">
                  <c:v>43.85</c:v>
                </c:pt>
                <c:pt idx="420">
                  <c:v>44.03</c:v>
                </c:pt>
                <c:pt idx="421">
                  <c:v>44.64</c:v>
                </c:pt>
                <c:pt idx="422">
                  <c:v>45.03</c:v>
                </c:pt>
                <c:pt idx="423">
                  <c:v>44.98</c:v>
                </c:pt>
                <c:pt idx="424">
                  <c:v>45.31</c:v>
                </c:pt>
                <c:pt idx="425">
                  <c:v>45.27</c:v>
                </c:pt>
                <c:pt idx="426">
                  <c:v>45.49</c:v>
                </c:pt>
                <c:pt idx="427">
                  <c:v>45.47</c:v>
                </c:pt>
                <c:pt idx="428">
                  <c:v>45.63</c:v>
                </c:pt>
                <c:pt idx="429">
                  <c:v>45.96</c:v>
                </c:pt>
                <c:pt idx="430">
                  <c:v>45.57</c:v>
                </c:pt>
                <c:pt idx="431">
                  <c:v>45.6</c:v>
                </c:pt>
                <c:pt idx="432">
                  <c:v>46.27</c:v>
                </c:pt>
                <c:pt idx="433">
                  <c:v>46.21</c:v>
                </c:pt>
                <c:pt idx="434">
                  <c:v>45.71</c:v>
                </c:pt>
                <c:pt idx="435">
                  <c:v>45.32</c:v>
                </c:pt>
                <c:pt idx="436">
                  <c:v>45.49</c:v>
                </c:pt>
                <c:pt idx="437">
                  <c:v>45.65</c:v>
                </c:pt>
                <c:pt idx="438">
                  <c:v>45.83</c:v>
                </c:pt>
                <c:pt idx="439">
                  <c:v>45.87</c:v>
                </c:pt>
                <c:pt idx="440">
                  <c:v>46.15</c:v>
                </c:pt>
                <c:pt idx="441">
                  <c:v>45.51</c:v>
                </c:pt>
                <c:pt idx="442">
                  <c:v>45.49</c:v>
                </c:pt>
                <c:pt idx="443">
                  <c:v>45.52</c:v>
                </c:pt>
                <c:pt idx="444">
                  <c:v>46.12</c:v>
                </c:pt>
                <c:pt idx="445">
                  <c:v>46.03</c:v>
                </c:pt>
                <c:pt idx="446">
                  <c:v>45.32</c:v>
                </c:pt>
                <c:pt idx="447">
                  <c:v>44.29</c:v>
                </c:pt>
                <c:pt idx="448">
                  <c:v>44.33</c:v>
                </c:pt>
                <c:pt idx="449">
                  <c:v>44.56</c:v>
                </c:pt>
                <c:pt idx="450">
                  <c:v>45.13</c:v>
                </c:pt>
                <c:pt idx="451">
                  <c:v>45.5</c:v>
                </c:pt>
                <c:pt idx="452">
                  <c:v>45.25</c:v>
                </c:pt>
                <c:pt idx="453">
                  <c:v>45.97</c:v>
                </c:pt>
                <c:pt idx="454">
                  <c:v>45.61</c:v>
                </c:pt>
                <c:pt idx="455">
                  <c:v>46</c:v>
                </c:pt>
                <c:pt idx="456">
                  <c:v>46.36</c:v>
                </c:pt>
                <c:pt idx="457">
                  <c:v>46.15</c:v>
                </c:pt>
                <c:pt idx="458">
                  <c:v>45.56</c:v>
                </c:pt>
                <c:pt idx="459">
                  <c:v>46.1</c:v>
                </c:pt>
                <c:pt idx="460">
                  <c:v>47.26</c:v>
                </c:pt>
                <c:pt idx="461">
                  <c:v>47.5</c:v>
                </c:pt>
                <c:pt idx="462">
                  <c:v>47.37</c:v>
                </c:pt>
                <c:pt idx="463">
                  <c:v>47.62</c:v>
                </c:pt>
                <c:pt idx="464">
                  <c:v>48.31</c:v>
                </c:pt>
                <c:pt idx="465">
                  <c:v>48.72</c:v>
                </c:pt>
                <c:pt idx="466">
                  <c:v>48.98</c:v>
                </c:pt>
                <c:pt idx="467">
                  <c:v>48.94</c:v>
                </c:pt>
                <c:pt idx="468">
                  <c:v>49.29</c:v>
                </c:pt>
                <c:pt idx="469">
                  <c:v>49.48</c:v>
                </c:pt>
                <c:pt idx="470">
                  <c:v>49.47</c:v>
                </c:pt>
                <c:pt idx="471">
                  <c:v>49.37</c:v>
                </c:pt>
                <c:pt idx="472">
                  <c:v>49.35</c:v>
                </c:pt>
                <c:pt idx="473">
                  <c:v>49.78</c:v>
                </c:pt>
                <c:pt idx="474">
                  <c:v>50.11</c:v>
                </c:pt>
                <c:pt idx="475">
                  <c:v>48.99</c:v>
                </c:pt>
                <c:pt idx="476">
                  <c:v>48.35</c:v>
                </c:pt>
                <c:pt idx="477">
                  <c:v>48.64</c:v>
                </c:pt>
                <c:pt idx="478">
                  <c:v>48.49</c:v>
                </c:pt>
                <c:pt idx="479">
                  <c:v>48.98</c:v>
                </c:pt>
                <c:pt idx="480">
                  <c:v>49.32</c:v>
                </c:pt>
                <c:pt idx="481">
                  <c:v>48.98</c:v>
                </c:pt>
                <c:pt idx="482">
                  <c:v>50.4</c:v>
                </c:pt>
                <c:pt idx="483">
                  <c:v>49.69</c:v>
                </c:pt>
                <c:pt idx="484">
                  <c:v>49.58</c:v>
                </c:pt>
                <c:pt idx="485">
                  <c:v>49.38</c:v>
                </c:pt>
                <c:pt idx="486">
                  <c:v>49.09</c:v>
                </c:pt>
                <c:pt idx="487">
                  <c:v>49.24</c:v>
                </c:pt>
                <c:pt idx="488">
                  <c:v>49.54</c:v>
                </c:pt>
                <c:pt idx="489">
                  <c:v>49.22</c:v>
                </c:pt>
                <c:pt idx="490">
                  <c:v>49.47</c:v>
                </c:pt>
                <c:pt idx="491">
                  <c:v>49.34</c:v>
                </c:pt>
                <c:pt idx="492">
                  <c:v>48.33</c:v>
                </c:pt>
                <c:pt idx="493">
                  <c:v>48.32</c:v>
                </c:pt>
                <c:pt idx="494">
                  <c:v>47.9</c:v>
                </c:pt>
                <c:pt idx="495">
                  <c:v>47.54</c:v>
                </c:pt>
                <c:pt idx="496">
                  <c:v>47.57</c:v>
                </c:pt>
                <c:pt idx="497">
                  <c:v>45.96</c:v>
                </c:pt>
                <c:pt idx="498">
                  <c:v>46.94</c:v>
                </c:pt>
                <c:pt idx="499">
                  <c:v>47.53</c:v>
                </c:pt>
                <c:pt idx="500">
                  <c:v>47.2</c:v>
                </c:pt>
                <c:pt idx="501">
                  <c:v>47.35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A88-4627-A9B5-13E947E20CD9}"/>
            </c:ext>
          </c:extLst>
        </c:ser>
        <c:ser>
          <c:idx val="15"/>
          <c:order val="15"/>
          <c:tx>
            <c:strRef>
              <c:f>wide_company_closes_reorder!$Q$1</c:f>
              <c:strCache>
                <c:ptCount val="1"/>
                <c:pt idx="0">
                  <c:v>MCD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wide_company_closes_reorder!$Q$2:$Q$503</c:f>
              <c:numCache>
                <c:formatCode>General</c:formatCode>
                <c:ptCount val="502"/>
                <c:pt idx="0">
                  <c:v>113.73</c:v>
                </c:pt>
                <c:pt idx="1">
                  <c:v>113.6</c:v>
                </c:pt>
                <c:pt idx="2">
                  <c:v>113.81</c:v>
                </c:pt>
                <c:pt idx="3">
                  <c:v>114.82</c:v>
                </c:pt>
                <c:pt idx="4">
                  <c:v>114.5</c:v>
                </c:pt>
                <c:pt idx="5">
                  <c:v>114.33</c:v>
                </c:pt>
                <c:pt idx="6">
                  <c:v>114.93</c:v>
                </c:pt>
                <c:pt idx="7">
                  <c:v>116.09</c:v>
                </c:pt>
                <c:pt idx="8">
                  <c:v>115.52</c:v>
                </c:pt>
                <c:pt idx="9">
                  <c:v>116.71</c:v>
                </c:pt>
                <c:pt idx="10">
                  <c:v>116.67</c:v>
                </c:pt>
                <c:pt idx="11">
                  <c:v>116.17</c:v>
                </c:pt>
                <c:pt idx="12">
                  <c:v>116.24</c:v>
                </c:pt>
                <c:pt idx="13">
                  <c:v>115.41</c:v>
                </c:pt>
                <c:pt idx="14">
                  <c:v>115.09</c:v>
                </c:pt>
                <c:pt idx="15">
                  <c:v>115.8</c:v>
                </c:pt>
                <c:pt idx="16">
                  <c:v>115.88</c:v>
                </c:pt>
                <c:pt idx="17">
                  <c:v>116.82</c:v>
                </c:pt>
                <c:pt idx="18">
                  <c:v>116.97</c:v>
                </c:pt>
                <c:pt idx="19">
                  <c:v>116.54</c:v>
                </c:pt>
                <c:pt idx="20">
                  <c:v>116.4</c:v>
                </c:pt>
                <c:pt idx="21">
                  <c:v>117.16</c:v>
                </c:pt>
                <c:pt idx="22">
                  <c:v>118.13</c:v>
                </c:pt>
                <c:pt idx="23">
                  <c:v>118.33</c:v>
                </c:pt>
                <c:pt idx="24">
                  <c:v>118.46</c:v>
                </c:pt>
                <c:pt idx="25">
                  <c:v>118.54</c:v>
                </c:pt>
                <c:pt idx="26">
                  <c:v>118.36</c:v>
                </c:pt>
                <c:pt idx="27">
                  <c:v>119.63</c:v>
                </c:pt>
                <c:pt idx="28">
                  <c:v>119.36</c:v>
                </c:pt>
                <c:pt idx="29">
                  <c:v>119.62</c:v>
                </c:pt>
                <c:pt idx="30">
                  <c:v>120.26</c:v>
                </c:pt>
                <c:pt idx="31">
                  <c:v>120.47</c:v>
                </c:pt>
                <c:pt idx="32">
                  <c:v>121.51</c:v>
                </c:pt>
                <c:pt idx="33">
                  <c:v>121.74</c:v>
                </c:pt>
                <c:pt idx="34">
                  <c:v>121.56</c:v>
                </c:pt>
                <c:pt idx="35">
                  <c:v>121.96</c:v>
                </c:pt>
                <c:pt idx="36">
                  <c:v>122.32</c:v>
                </c:pt>
                <c:pt idx="37">
                  <c:v>121.63</c:v>
                </c:pt>
                <c:pt idx="38">
                  <c:v>122.26</c:v>
                </c:pt>
                <c:pt idx="39">
                  <c:v>123.6</c:v>
                </c:pt>
                <c:pt idx="40">
                  <c:v>122.82</c:v>
                </c:pt>
                <c:pt idx="41">
                  <c:v>122.5</c:v>
                </c:pt>
                <c:pt idx="42">
                  <c:v>122.63</c:v>
                </c:pt>
                <c:pt idx="43">
                  <c:v>122.67</c:v>
                </c:pt>
                <c:pt idx="44">
                  <c:v>122.68</c:v>
                </c:pt>
                <c:pt idx="45">
                  <c:v>122.73</c:v>
                </c:pt>
                <c:pt idx="46">
                  <c:v>122.58</c:v>
                </c:pt>
                <c:pt idx="47">
                  <c:v>122.22</c:v>
                </c:pt>
                <c:pt idx="48">
                  <c:v>122.41</c:v>
                </c:pt>
                <c:pt idx="49">
                  <c:v>122.48</c:v>
                </c:pt>
                <c:pt idx="50">
                  <c:v>122.58</c:v>
                </c:pt>
                <c:pt idx="51">
                  <c:v>123.21</c:v>
                </c:pt>
                <c:pt idx="52">
                  <c:v>123.35</c:v>
                </c:pt>
                <c:pt idx="53">
                  <c:v>123.1</c:v>
                </c:pt>
                <c:pt idx="54">
                  <c:v>123.65</c:v>
                </c:pt>
                <c:pt idx="55">
                  <c:v>123.56</c:v>
                </c:pt>
                <c:pt idx="56">
                  <c:v>123.88</c:v>
                </c:pt>
                <c:pt idx="57">
                  <c:v>124.03</c:v>
                </c:pt>
                <c:pt idx="58">
                  <c:v>123.99</c:v>
                </c:pt>
                <c:pt idx="59">
                  <c:v>123.4</c:v>
                </c:pt>
                <c:pt idx="60">
                  <c:v>123.86</c:v>
                </c:pt>
                <c:pt idx="61">
                  <c:v>124.14</c:v>
                </c:pt>
                <c:pt idx="62">
                  <c:v>124.14</c:v>
                </c:pt>
                <c:pt idx="63">
                  <c:v>123.83</c:v>
                </c:pt>
                <c:pt idx="64">
                  <c:v>124.91</c:v>
                </c:pt>
                <c:pt idx="65">
                  <c:v>124.66</c:v>
                </c:pt>
                <c:pt idx="66">
                  <c:v>124.48</c:v>
                </c:pt>
                <c:pt idx="67">
                  <c:v>124.49</c:v>
                </c:pt>
                <c:pt idx="68">
                  <c:v>125.66</c:v>
                </c:pt>
                <c:pt idx="69">
                  <c:v>125.72</c:v>
                </c:pt>
                <c:pt idx="70">
                  <c:v>125.24</c:v>
                </c:pt>
                <c:pt idx="71">
                  <c:v>125.81</c:v>
                </c:pt>
                <c:pt idx="72">
                  <c:v>126.72</c:v>
                </c:pt>
                <c:pt idx="73">
                  <c:v>127.04</c:v>
                </c:pt>
                <c:pt idx="74">
                  <c:v>127.65</c:v>
                </c:pt>
                <c:pt idx="75">
                  <c:v>127.78</c:v>
                </c:pt>
                <c:pt idx="76">
                  <c:v>128.57</c:v>
                </c:pt>
                <c:pt idx="77">
                  <c:v>135.72</c:v>
                </c:pt>
                <c:pt idx="78">
                  <c:v>134.9</c:v>
                </c:pt>
                <c:pt idx="79">
                  <c:v>134.93</c:v>
                </c:pt>
                <c:pt idx="80">
                  <c:v>134.02000000000001</c:v>
                </c:pt>
                <c:pt idx="81">
                  <c:v>135.19</c:v>
                </c:pt>
                <c:pt idx="82">
                  <c:v>135.27000000000001</c:v>
                </c:pt>
                <c:pt idx="83">
                  <c:v>136.6</c:v>
                </c:pt>
                <c:pt idx="84">
                  <c:v>137.4</c:v>
                </c:pt>
                <c:pt idx="85">
                  <c:v>137.88</c:v>
                </c:pt>
                <c:pt idx="86">
                  <c:v>138.15</c:v>
                </c:pt>
                <c:pt idx="87">
                  <c:v>138.27000000000001</c:v>
                </c:pt>
                <c:pt idx="88">
                  <c:v>138.41999999999999</c:v>
                </c:pt>
                <c:pt idx="89">
                  <c:v>138.12</c:v>
                </c:pt>
                <c:pt idx="90">
                  <c:v>139.22999999999999</c:v>
                </c:pt>
                <c:pt idx="91">
                  <c:v>140.11000000000001</c:v>
                </c:pt>
                <c:pt idx="92">
                  <c:v>141.07</c:v>
                </c:pt>
                <c:pt idx="93">
                  <c:v>140.22999999999999</c:v>
                </c:pt>
                <c:pt idx="94">
                  <c:v>140.81</c:v>
                </c:pt>
                <c:pt idx="95">
                  <c:v>141.9</c:v>
                </c:pt>
                <c:pt idx="96">
                  <c:v>141.94</c:v>
                </c:pt>
                <c:pt idx="97">
                  <c:v>141.58000000000001</c:v>
                </c:pt>
                <c:pt idx="98">
                  <c:v>143.19</c:v>
                </c:pt>
                <c:pt idx="99">
                  <c:v>143.46</c:v>
                </c:pt>
                <c:pt idx="100">
                  <c:v>143.54</c:v>
                </c:pt>
                <c:pt idx="101">
                  <c:v>143.6</c:v>
                </c:pt>
                <c:pt idx="102">
                  <c:v>144.52000000000001</c:v>
                </c:pt>
                <c:pt idx="103">
                  <c:v>146.87</c:v>
                </c:pt>
                <c:pt idx="104">
                  <c:v>148.18</c:v>
                </c:pt>
                <c:pt idx="105">
                  <c:v>147.26</c:v>
                </c:pt>
                <c:pt idx="106">
                  <c:v>145.76</c:v>
                </c:pt>
                <c:pt idx="107">
                  <c:v>146.44</c:v>
                </c:pt>
                <c:pt idx="108">
                  <c:v>145.94999999999999</c:v>
                </c:pt>
                <c:pt idx="109">
                  <c:v>146</c:v>
                </c:pt>
                <c:pt idx="110">
                  <c:v>143.1</c:v>
                </c:pt>
                <c:pt idx="111">
                  <c:v>144.4</c:v>
                </c:pt>
                <c:pt idx="112">
                  <c:v>145.22999999999999</c:v>
                </c:pt>
                <c:pt idx="113">
                  <c:v>145.69999999999999</c:v>
                </c:pt>
                <c:pt idx="114">
                  <c:v>146.49</c:v>
                </c:pt>
                <c:pt idx="115">
                  <c:v>147.6</c:v>
                </c:pt>
                <c:pt idx="116">
                  <c:v>148.49</c:v>
                </c:pt>
                <c:pt idx="117">
                  <c:v>148.16999999999999</c:v>
                </c:pt>
                <c:pt idx="118">
                  <c:v>149.19999999999999</c:v>
                </c:pt>
                <c:pt idx="119">
                  <c:v>149.04</c:v>
                </c:pt>
                <c:pt idx="120">
                  <c:v>148.38999999999999</c:v>
                </c:pt>
                <c:pt idx="121">
                  <c:v>148.16</c:v>
                </c:pt>
                <c:pt idx="122">
                  <c:v>148.71</c:v>
                </c:pt>
                <c:pt idx="123">
                  <c:v>147.59</c:v>
                </c:pt>
                <c:pt idx="124">
                  <c:v>147.62</c:v>
                </c:pt>
                <c:pt idx="125">
                  <c:v>146.97999999999999</c:v>
                </c:pt>
                <c:pt idx="126">
                  <c:v>147.53</c:v>
                </c:pt>
                <c:pt idx="127">
                  <c:v>147.55000000000001</c:v>
                </c:pt>
                <c:pt idx="128">
                  <c:v>150.61000000000001</c:v>
                </c:pt>
                <c:pt idx="129">
                  <c:v>149.88999999999999</c:v>
                </c:pt>
                <c:pt idx="130">
                  <c:v>149.30000000000001</c:v>
                </c:pt>
                <c:pt idx="131">
                  <c:v>150.91</c:v>
                </c:pt>
                <c:pt idx="132">
                  <c:v>149.43</c:v>
                </c:pt>
                <c:pt idx="133">
                  <c:v>149.66</c:v>
                </c:pt>
                <c:pt idx="134">
                  <c:v>149.63999999999999</c:v>
                </c:pt>
                <c:pt idx="135">
                  <c:v>148.38999999999999</c:v>
                </c:pt>
                <c:pt idx="136">
                  <c:v>148.32</c:v>
                </c:pt>
                <c:pt idx="137">
                  <c:v>148.63</c:v>
                </c:pt>
                <c:pt idx="138">
                  <c:v>148.35</c:v>
                </c:pt>
                <c:pt idx="139">
                  <c:v>146.35</c:v>
                </c:pt>
                <c:pt idx="140">
                  <c:v>153.31</c:v>
                </c:pt>
                <c:pt idx="141">
                  <c:v>150.84</c:v>
                </c:pt>
                <c:pt idx="142">
                  <c:v>151.27000000000001</c:v>
                </c:pt>
                <c:pt idx="143">
                  <c:v>150.21</c:v>
                </c:pt>
                <c:pt idx="144">
                  <c:v>149.52000000000001</c:v>
                </c:pt>
                <c:pt idx="145">
                  <c:v>148.46</c:v>
                </c:pt>
                <c:pt idx="146">
                  <c:v>150.91999999999999</c:v>
                </c:pt>
                <c:pt idx="147">
                  <c:v>149.12</c:v>
                </c:pt>
                <c:pt idx="148">
                  <c:v>148.25</c:v>
                </c:pt>
                <c:pt idx="149">
                  <c:v>149.36000000000001</c:v>
                </c:pt>
                <c:pt idx="150">
                  <c:v>149.31</c:v>
                </c:pt>
                <c:pt idx="151">
                  <c:v>149.31</c:v>
                </c:pt>
                <c:pt idx="152">
                  <c:v>150.94999999999999</c:v>
                </c:pt>
                <c:pt idx="153">
                  <c:v>151.61000000000001</c:v>
                </c:pt>
                <c:pt idx="154">
                  <c:v>151.57</c:v>
                </c:pt>
                <c:pt idx="155">
                  <c:v>151.91</c:v>
                </c:pt>
                <c:pt idx="156">
                  <c:v>153.15</c:v>
                </c:pt>
                <c:pt idx="157">
                  <c:v>152.16999999999999</c:v>
                </c:pt>
                <c:pt idx="158">
                  <c:v>152.05000000000001</c:v>
                </c:pt>
                <c:pt idx="159">
                  <c:v>152.63</c:v>
                </c:pt>
                <c:pt idx="160">
                  <c:v>153.86000000000001</c:v>
                </c:pt>
                <c:pt idx="161">
                  <c:v>153.06</c:v>
                </c:pt>
                <c:pt idx="162">
                  <c:v>152.68</c:v>
                </c:pt>
                <c:pt idx="163">
                  <c:v>153.07</c:v>
                </c:pt>
                <c:pt idx="164">
                  <c:v>153.88999999999999</c:v>
                </c:pt>
                <c:pt idx="165">
                  <c:v>153.61000000000001</c:v>
                </c:pt>
                <c:pt idx="166">
                  <c:v>154.66999999999999</c:v>
                </c:pt>
                <c:pt idx="167">
                  <c:v>155.09</c:v>
                </c:pt>
                <c:pt idx="168">
                  <c:v>154.94</c:v>
                </c:pt>
                <c:pt idx="169">
                  <c:v>154.25</c:v>
                </c:pt>
                <c:pt idx="170">
                  <c:v>153.4</c:v>
                </c:pt>
                <c:pt idx="171">
                  <c:v>155.03</c:v>
                </c:pt>
                <c:pt idx="172">
                  <c:v>154.84</c:v>
                </c:pt>
                <c:pt idx="173">
                  <c:v>156.61000000000001</c:v>
                </c:pt>
                <c:pt idx="174">
                  <c:v>151.57</c:v>
                </c:pt>
                <c:pt idx="175">
                  <c:v>152.21</c:v>
                </c:pt>
                <c:pt idx="176">
                  <c:v>152.21</c:v>
                </c:pt>
                <c:pt idx="177">
                  <c:v>152.13999999999999</c:v>
                </c:pt>
                <c:pt idx="178">
                  <c:v>151.9</c:v>
                </c:pt>
                <c:pt idx="179">
                  <c:v>152.63</c:v>
                </c:pt>
                <c:pt idx="180">
                  <c:v>155.01</c:v>
                </c:pt>
                <c:pt idx="181">
                  <c:v>154.18</c:v>
                </c:pt>
                <c:pt idx="182">
                  <c:v>154.07</c:v>
                </c:pt>
                <c:pt idx="183">
                  <c:v>151.5</c:v>
                </c:pt>
                <c:pt idx="184">
                  <c:v>148.68</c:v>
                </c:pt>
                <c:pt idx="185">
                  <c:v>149.35</c:v>
                </c:pt>
                <c:pt idx="186">
                  <c:v>152.69</c:v>
                </c:pt>
                <c:pt idx="187">
                  <c:v>151.9</c:v>
                </c:pt>
                <c:pt idx="188">
                  <c:v>152.18</c:v>
                </c:pt>
                <c:pt idx="189">
                  <c:v>152.08000000000001</c:v>
                </c:pt>
                <c:pt idx="190">
                  <c:v>152.41999999999999</c:v>
                </c:pt>
                <c:pt idx="191">
                  <c:v>153.96</c:v>
                </c:pt>
                <c:pt idx="192">
                  <c:v>154.74</c:v>
                </c:pt>
                <c:pt idx="193">
                  <c:v>155.24</c:v>
                </c:pt>
                <c:pt idx="194">
                  <c:v>155.69</c:v>
                </c:pt>
                <c:pt idx="195">
                  <c:v>158.18</c:v>
                </c:pt>
                <c:pt idx="196">
                  <c:v>158.91</c:v>
                </c:pt>
                <c:pt idx="197">
                  <c:v>160.33000000000001</c:v>
                </c:pt>
                <c:pt idx="198">
                  <c:v>159.97999999999999</c:v>
                </c:pt>
                <c:pt idx="199">
                  <c:v>160.36000000000001</c:v>
                </c:pt>
                <c:pt idx="200">
                  <c:v>160.72</c:v>
                </c:pt>
                <c:pt idx="201">
                  <c:v>161.43</c:v>
                </c:pt>
                <c:pt idx="202">
                  <c:v>161.22999999999999</c:v>
                </c:pt>
                <c:pt idx="203">
                  <c:v>158.36000000000001</c:v>
                </c:pt>
                <c:pt idx="204">
                  <c:v>158.88999999999999</c:v>
                </c:pt>
                <c:pt idx="205">
                  <c:v>158.59</c:v>
                </c:pt>
                <c:pt idx="206">
                  <c:v>159.01</c:v>
                </c:pt>
                <c:pt idx="207">
                  <c:v>160.35</c:v>
                </c:pt>
                <c:pt idx="208">
                  <c:v>161.16</c:v>
                </c:pt>
                <c:pt idx="209">
                  <c:v>161.82</c:v>
                </c:pt>
                <c:pt idx="210">
                  <c:v>161.30000000000001</c:v>
                </c:pt>
                <c:pt idx="211">
                  <c:v>162.97999999999999</c:v>
                </c:pt>
                <c:pt idx="212">
                  <c:v>163.51</c:v>
                </c:pt>
                <c:pt idx="213">
                  <c:v>164.89</c:v>
                </c:pt>
                <c:pt idx="214">
                  <c:v>165.57</c:v>
                </c:pt>
                <c:pt idx="215">
                  <c:v>164.92</c:v>
                </c:pt>
                <c:pt idx="216">
                  <c:v>161.91</c:v>
                </c:pt>
                <c:pt idx="217">
                  <c:v>160.54</c:v>
                </c:pt>
                <c:pt idx="218">
                  <c:v>162.27000000000001</c:v>
                </c:pt>
                <c:pt idx="219">
                  <c:v>162.99</c:v>
                </c:pt>
                <c:pt idx="220">
                  <c:v>162.22</c:v>
                </c:pt>
                <c:pt idx="221">
                  <c:v>162.97</c:v>
                </c:pt>
                <c:pt idx="222">
                  <c:v>161.63999999999999</c:v>
                </c:pt>
                <c:pt idx="223">
                  <c:v>161.84</c:v>
                </c:pt>
                <c:pt idx="224">
                  <c:v>163.16999999999999</c:v>
                </c:pt>
                <c:pt idx="225">
                  <c:v>163.9</c:v>
                </c:pt>
                <c:pt idx="226">
                  <c:v>163.96</c:v>
                </c:pt>
                <c:pt idx="227">
                  <c:v>163.81</c:v>
                </c:pt>
                <c:pt idx="228">
                  <c:v>166.12</c:v>
                </c:pt>
                <c:pt idx="229">
                  <c:v>165.24</c:v>
                </c:pt>
                <c:pt idx="230">
                  <c:v>167.72</c:v>
                </c:pt>
                <c:pt idx="231">
                  <c:v>168.6</c:v>
                </c:pt>
                <c:pt idx="232">
                  <c:v>166.44</c:v>
                </c:pt>
                <c:pt idx="233">
                  <c:v>168.72</c:v>
                </c:pt>
                <c:pt idx="234">
                  <c:v>169.2</c:v>
                </c:pt>
                <c:pt idx="235">
                  <c:v>168.64</c:v>
                </c:pt>
                <c:pt idx="236">
                  <c:v>168.87</c:v>
                </c:pt>
                <c:pt idx="237">
                  <c:v>168.97</c:v>
                </c:pt>
                <c:pt idx="238">
                  <c:v>167.98</c:v>
                </c:pt>
                <c:pt idx="239">
                  <c:v>169.26</c:v>
                </c:pt>
                <c:pt idx="240">
                  <c:v>168.86</c:v>
                </c:pt>
                <c:pt idx="241">
                  <c:v>169.76</c:v>
                </c:pt>
                <c:pt idx="242">
                  <c:v>169.9</c:v>
                </c:pt>
                <c:pt idx="243">
                  <c:v>169.11</c:v>
                </c:pt>
                <c:pt idx="244">
                  <c:v>167.92</c:v>
                </c:pt>
                <c:pt idx="245">
                  <c:v>167.61</c:v>
                </c:pt>
                <c:pt idx="246">
                  <c:v>167.19</c:v>
                </c:pt>
                <c:pt idx="247">
                  <c:v>167.06</c:v>
                </c:pt>
                <c:pt idx="248">
                  <c:v>168.41</c:v>
                </c:pt>
                <c:pt idx="249">
                  <c:v>168.82</c:v>
                </c:pt>
                <c:pt idx="250">
                  <c:v>167.87</c:v>
                </c:pt>
                <c:pt idx="251">
                  <c:v>168.94</c:v>
                </c:pt>
                <c:pt idx="252">
                  <c:v>168.23</c:v>
                </c:pt>
                <c:pt idx="253">
                  <c:v>169.41</c:v>
                </c:pt>
                <c:pt idx="254">
                  <c:v>169.75</c:v>
                </c:pt>
                <c:pt idx="255">
                  <c:v>169.63</c:v>
                </c:pt>
                <c:pt idx="256">
                  <c:v>169.25</c:v>
                </c:pt>
                <c:pt idx="257">
                  <c:v>169.22</c:v>
                </c:pt>
                <c:pt idx="258">
                  <c:v>169.11</c:v>
                </c:pt>
                <c:pt idx="259">
                  <c:v>169.28</c:v>
                </c:pt>
                <c:pt idx="260">
                  <c:v>169.39</c:v>
                </c:pt>
                <c:pt idx="261">
                  <c:v>170.66</c:v>
                </c:pt>
                <c:pt idx="262">
                  <c:v>170.26</c:v>
                </c:pt>
                <c:pt idx="263">
                  <c:v>171.77</c:v>
                </c:pt>
                <c:pt idx="264">
                  <c:v>171.86</c:v>
                </c:pt>
                <c:pt idx="265">
                  <c:v>172.44</c:v>
                </c:pt>
                <c:pt idx="266">
                  <c:v>171.77</c:v>
                </c:pt>
                <c:pt idx="267">
                  <c:v>171.32</c:v>
                </c:pt>
                <c:pt idx="268">
                  <c:v>173.95</c:v>
                </c:pt>
                <c:pt idx="269">
                  <c:v>173.38</c:v>
                </c:pt>
                <c:pt idx="270">
                  <c:v>168.22</c:v>
                </c:pt>
                <c:pt idx="271">
                  <c:v>166.91</c:v>
                </c:pt>
                <c:pt idx="272">
                  <c:v>167.65</c:v>
                </c:pt>
                <c:pt idx="273">
                  <c:v>165.2</c:v>
                </c:pt>
                <c:pt idx="274">
                  <c:v>159.80000000000001</c:v>
                </c:pt>
                <c:pt idx="275">
                  <c:v>161.1</c:v>
                </c:pt>
                <c:pt idx="276">
                  <c:v>161.62</c:v>
                </c:pt>
                <c:pt idx="277">
                  <c:v>155.04</c:v>
                </c:pt>
                <c:pt idx="278">
                  <c:v>156.83000000000001</c:v>
                </c:pt>
                <c:pt idx="279">
                  <c:v>159.85</c:v>
                </c:pt>
                <c:pt idx="280">
                  <c:v>158.38999999999999</c:v>
                </c:pt>
                <c:pt idx="281">
                  <c:v>156.04</c:v>
                </c:pt>
                <c:pt idx="282">
                  <c:v>156.81</c:v>
                </c:pt>
                <c:pt idx="283">
                  <c:v>153.88999999999999</c:v>
                </c:pt>
                <c:pt idx="284">
                  <c:v>153.28</c:v>
                </c:pt>
                <c:pt idx="285">
                  <c:v>154.72</c:v>
                </c:pt>
                <c:pt idx="286">
                  <c:v>156.69</c:v>
                </c:pt>
                <c:pt idx="287">
                  <c:v>159.03</c:v>
                </c:pt>
                <c:pt idx="288">
                  <c:v>159.54</c:v>
                </c:pt>
                <c:pt idx="289">
                  <c:v>156.69</c:v>
                </c:pt>
                <c:pt idx="290">
                  <c:v>154.82</c:v>
                </c:pt>
                <c:pt idx="291">
                  <c:v>152.82</c:v>
                </c:pt>
                <c:pt idx="292">
                  <c:v>145.52000000000001</c:v>
                </c:pt>
                <c:pt idx="293">
                  <c:v>148.22999999999999</c:v>
                </c:pt>
                <c:pt idx="294">
                  <c:v>148.4</c:v>
                </c:pt>
                <c:pt idx="295">
                  <c:v>149.56</c:v>
                </c:pt>
                <c:pt idx="296">
                  <c:v>151.58000000000001</c:v>
                </c:pt>
                <c:pt idx="297">
                  <c:v>154.33000000000001</c:v>
                </c:pt>
                <c:pt idx="298">
                  <c:v>154.82</c:v>
                </c:pt>
                <c:pt idx="299">
                  <c:v>155.29</c:v>
                </c:pt>
                <c:pt idx="300">
                  <c:v>155.31</c:v>
                </c:pt>
                <c:pt idx="301">
                  <c:v>158.62</c:v>
                </c:pt>
                <c:pt idx="302">
                  <c:v>159.35</c:v>
                </c:pt>
                <c:pt idx="303">
                  <c:v>156.06</c:v>
                </c:pt>
                <c:pt idx="304">
                  <c:v>156.43</c:v>
                </c:pt>
                <c:pt idx="305">
                  <c:v>155.72</c:v>
                </c:pt>
                <c:pt idx="306">
                  <c:v>154.13</c:v>
                </c:pt>
                <c:pt idx="307">
                  <c:v>152.11000000000001</c:v>
                </c:pt>
                <c:pt idx="308">
                  <c:v>155.08000000000001</c:v>
                </c:pt>
                <c:pt idx="309">
                  <c:v>154.56</c:v>
                </c:pt>
                <c:pt idx="310">
                  <c:v>155.47</c:v>
                </c:pt>
                <c:pt idx="311">
                  <c:v>153.47999999999999</c:v>
                </c:pt>
                <c:pt idx="312">
                  <c:v>154.80000000000001</c:v>
                </c:pt>
                <c:pt idx="313">
                  <c:v>157.43</c:v>
                </c:pt>
                <c:pt idx="314">
                  <c:v>158.72999999999999</c:v>
                </c:pt>
                <c:pt idx="315">
                  <c:v>160.91</c:v>
                </c:pt>
                <c:pt idx="316">
                  <c:v>158.26</c:v>
                </c:pt>
                <c:pt idx="317">
                  <c:v>158.24</c:v>
                </c:pt>
                <c:pt idx="318">
                  <c:v>159.75</c:v>
                </c:pt>
                <c:pt idx="319">
                  <c:v>160.31</c:v>
                </c:pt>
                <c:pt idx="320">
                  <c:v>158.63</c:v>
                </c:pt>
                <c:pt idx="321">
                  <c:v>158.72999999999999</c:v>
                </c:pt>
                <c:pt idx="322">
                  <c:v>158.63999999999999</c:v>
                </c:pt>
                <c:pt idx="323">
                  <c:v>159.54</c:v>
                </c:pt>
                <c:pt idx="324">
                  <c:v>158.81</c:v>
                </c:pt>
                <c:pt idx="325">
                  <c:v>156.57</c:v>
                </c:pt>
                <c:pt idx="326">
                  <c:v>155.83000000000001</c:v>
                </c:pt>
                <c:pt idx="327">
                  <c:v>156.04</c:v>
                </c:pt>
                <c:pt idx="328">
                  <c:v>154.4</c:v>
                </c:pt>
                <c:pt idx="329">
                  <c:v>153.05000000000001</c:v>
                </c:pt>
                <c:pt idx="330">
                  <c:v>155.96</c:v>
                </c:pt>
                <c:pt idx="331">
                  <c:v>155.37</c:v>
                </c:pt>
                <c:pt idx="332">
                  <c:v>164.34</c:v>
                </c:pt>
                <c:pt idx="333">
                  <c:v>160.41</c:v>
                </c:pt>
                <c:pt idx="334">
                  <c:v>157.69999999999999</c:v>
                </c:pt>
                <c:pt idx="335">
                  <c:v>157.11000000000001</c:v>
                </c:pt>
                <c:pt idx="336">
                  <c:v>161.97</c:v>
                </c:pt>
                <c:pt idx="337">
                  <c:v>161.94</c:v>
                </c:pt>
                <c:pt idx="338">
                  <c:v>161.72</c:v>
                </c:pt>
                <c:pt idx="339">
                  <c:v>161.19999999999999</c:v>
                </c:pt>
                <c:pt idx="340">
                  <c:v>162.01</c:v>
                </c:pt>
                <c:pt idx="341">
                  <c:v>162.33000000000001</c:v>
                </c:pt>
                <c:pt idx="342">
                  <c:v>161.66999999999999</c:v>
                </c:pt>
                <c:pt idx="343">
                  <c:v>160.04</c:v>
                </c:pt>
                <c:pt idx="344">
                  <c:v>159.85</c:v>
                </c:pt>
                <c:pt idx="345">
                  <c:v>158.32</c:v>
                </c:pt>
                <c:pt idx="346">
                  <c:v>158</c:v>
                </c:pt>
                <c:pt idx="347">
                  <c:v>158.49</c:v>
                </c:pt>
                <c:pt idx="348">
                  <c:v>156.5</c:v>
                </c:pt>
                <c:pt idx="349">
                  <c:v>158.63</c:v>
                </c:pt>
                <c:pt idx="350">
                  <c:v>159.38</c:v>
                </c:pt>
                <c:pt idx="351">
                  <c:v>160.19</c:v>
                </c:pt>
                <c:pt idx="352">
                  <c:v>157.63999999999999</c:v>
                </c:pt>
                <c:pt idx="353">
                  <c:v>158.82</c:v>
                </c:pt>
                <c:pt idx="354">
                  <c:v>157.05000000000001</c:v>
                </c:pt>
                <c:pt idx="355">
                  <c:v>157.19999999999999</c:v>
                </c:pt>
                <c:pt idx="356">
                  <c:v>158.25</c:v>
                </c:pt>
                <c:pt idx="357">
                  <c:v>157.52000000000001</c:v>
                </c:pt>
                <c:pt idx="358">
                  <c:v>160.38</c:v>
                </c:pt>
                <c:pt idx="359">
                  <c:v>167.4</c:v>
                </c:pt>
                <c:pt idx="360">
                  <c:v>166.83</c:v>
                </c:pt>
                <c:pt idx="361">
                  <c:v>164.44</c:v>
                </c:pt>
                <c:pt idx="362">
                  <c:v>164.68</c:v>
                </c:pt>
                <c:pt idx="363">
                  <c:v>164.53</c:v>
                </c:pt>
                <c:pt idx="364">
                  <c:v>165</c:v>
                </c:pt>
                <c:pt idx="365">
                  <c:v>164.41</c:v>
                </c:pt>
                <c:pt idx="366">
                  <c:v>164.24</c:v>
                </c:pt>
                <c:pt idx="367">
                  <c:v>162.94</c:v>
                </c:pt>
                <c:pt idx="368">
                  <c:v>160.56</c:v>
                </c:pt>
                <c:pt idx="369">
                  <c:v>158.56</c:v>
                </c:pt>
                <c:pt idx="370">
                  <c:v>162.53</c:v>
                </c:pt>
                <c:pt idx="371">
                  <c:v>157.85</c:v>
                </c:pt>
                <c:pt idx="372">
                  <c:v>158.93</c:v>
                </c:pt>
                <c:pt idx="373">
                  <c:v>155.47999999999999</c:v>
                </c:pt>
                <c:pt idx="374">
                  <c:v>154.4</c:v>
                </c:pt>
                <c:pt idx="375">
                  <c:v>154.76</c:v>
                </c:pt>
                <c:pt idx="376">
                  <c:v>154.94</c:v>
                </c:pt>
                <c:pt idx="377">
                  <c:v>154.56</c:v>
                </c:pt>
                <c:pt idx="378">
                  <c:v>155.38999999999999</c:v>
                </c:pt>
                <c:pt idx="379">
                  <c:v>157.46</c:v>
                </c:pt>
                <c:pt idx="380">
                  <c:v>157.97</c:v>
                </c:pt>
                <c:pt idx="381">
                  <c:v>158.65</c:v>
                </c:pt>
                <c:pt idx="382">
                  <c:v>156.66999999999999</c:v>
                </c:pt>
                <c:pt idx="383">
                  <c:v>157.16</c:v>
                </c:pt>
                <c:pt idx="384">
                  <c:v>156.56</c:v>
                </c:pt>
                <c:pt idx="385">
                  <c:v>156.83000000000001</c:v>
                </c:pt>
                <c:pt idx="386">
                  <c:v>157.79</c:v>
                </c:pt>
                <c:pt idx="387">
                  <c:v>155.99</c:v>
                </c:pt>
                <c:pt idx="388">
                  <c:v>155.47</c:v>
                </c:pt>
                <c:pt idx="389">
                  <c:v>156.03</c:v>
                </c:pt>
                <c:pt idx="390">
                  <c:v>156.80000000000001</c:v>
                </c:pt>
                <c:pt idx="391">
                  <c:v>156</c:v>
                </c:pt>
                <c:pt idx="392">
                  <c:v>156.94</c:v>
                </c:pt>
                <c:pt idx="393">
                  <c:v>154.22</c:v>
                </c:pt>
                <c:pt idx="394">
                  <c:v>155.54</c:v>
                </c:pt>
                <c:pt idx="395">
                  <c:v>156.69</c:v>
                </c:pt>
                <c:pt idx="396">
                  <c:v>155.6</c:v>
                </c:pt>
                <c:pt idx="397">
                  <c:v>154.99</c:v>
                </c:pt>
                <c:pt idx="398">
                  <c:v>153.5</c:v>
                </c:pt>
                <c:pt idx="399">
                  <c:v>154.29</c:v>
                </c:pt>
                <c:pt idx="400">
                  <c:v>154.79</c:v>
                </c:pt>
                <c:pt idx="401">
                  <c:v>154.12</c:v>
                </c:pt>
                <c:pt idx="402">
                  <c:v>156.97</c:v>
                </c:pt>
                <c:pt idx="403">
                  <c:v>157.34</c:v>
                </c:pt>
                <c:pt idx="404">
                  <c:v>156.72999999999999</c:v>
                </c:pt>
                <c:pt idx="405">
                  <c:v>156.19999999999999</c:v>
                </c:pt>
                <c:pt idx="406">
                  <c:v>158.63</c:v>
                </c:pt>
                <c:pt idx="407">
                  <c:v>157.91</c:v>
                </c:pt>
                <c:pt idx="408">
                  <c:v>159.74</c:v>
                </c:pt>
                <c:pt idx="409">
                  <c:v>159.16999999999999</c:v>
                </c:pt>
                <c:pt idx="410">
                  <c:v>159.69</c:v>
                </c:pt>
                <c:pt idx="411">
                  <c:v>159.06</c:v>
                </c:pt>
                <c:pt idx="412">
                  <c:v>158.58000000000001</c:v>
                </c:pt>
                <c:pt idx="413">
                  <c:v>157.09</c:v>
                </c:pt>
                <c:pt idx="414">
                  <c:v>157.41999999999999</c:v>
                </c:pt>
                <c:pt idx="415">
                  <c:v>158.51</c:v>
                </c:pt>
                <c:pt idx="416">
                  <c:v>159.65</c:v>
                </c:pt>
                <c:pt idx="417">
                  <c:v>161.1</c:v>
                </c:pt>
                <c:pt idx="418">
                  <c:v>160.80000000000001</c:v>
                </c:pt>
                <c:pt idx="419">
                  <c:v>161.24</c:v>
                </c:pt>
                <c:pt idx="420">
                  <c:v>160.72999999999999</c:v>
                </c:pt>
                <c:pt idx="421">
                  <c:v>162.24</c:v>
                </c:pt>
                <c:pt idx="422">
                  <c:v>162.74</c:v>
                </c:pt>
                <c:pt idx="423">
                  <c:v>162.9</c:v>
                </c:pt>
                <c:pt idx="424">
                  <c:v>164.06</c:v>
                </c:pt>
                <c:pt idx="425">
                  <c:v>163.61000000000001</c:v>
                </c:pt>
                <c:pt idx="426">
                  <c:v>163.72999999999999</c:v>
                </c:pt>
                <c:pt idx="427">
                  <c:v>161.4</c:v>
                </c:pt>
                <c:pt idx="428">
                  <c:v>159.85</c:v>
                </c:pt>
                <c:pt idx="429">
                  <c:v>157.16999999999999</c:v>
                </c:pt>
                <c:pt idx="430">
                  <c:v>156.80000000000001</c:v>
                </c:pt>
                <c:pt idx="431">
                  <c:v>158.19999999999999</c:v>
                </c:pt>
                <c:pt idx="432">
                  <c:v>159.80000000000001</c:v>
                </c:pt>
                <c:pt idx="433">
                  <c:v>164.29</c:v>
                </c:pt>
                <c:pt idx="434">
                  <c:v>162.31</c:v>
                </c:pt>
                <c:pt idx="435">
                  <c:v>165.39</c:v>
                </c:pt>
                <c:pt idx="436">
                  <c:v>164.74</c:v>
                </c:pt>
                <c:pt idx="437">
                  <c:v>165.51</c:v>
                </c:pt>
                <c:pt idx="438">
                  <c:v>166.26</c:v>
                </c:pt>
                <c:pt idx="439">
                  <c:v>165.65</c:v>
                </c:pt>
                <c:pt idx="440">
                  <c:v>164.17</c:v>
                </c:pt>
                <c:pt idx="441">
                  <c:v>163.65</c:v>
                </c:pt>
                <c:pt idx="442">
                  <c:v>164.78</c:v>
                </c:pt>
                <c:pt idx="443">
                  <c:v>165.55</c:v>
                </c:pt>
                <c:pt idx="444">
                  <c:v>166.74</c:v>
                </c:pt>
                <c:pt idx="445">
                  <c:v>168.79</c:v>
                </c:pt>
                <c:pt idx="446">
                  <c:v>167.34</c:v>
                </c:pt>
                <c:pt idx="447">
                  <c:v>161.97</c:v>
                </c:pt>
                <c:pt idx="448">
                  <c:v>162.82</c:v>
                </c:pt>
                <c:pt idx="449">
                  <c:v>162.66999999999999</c:v>
                </c:pt>
                <c:pt idx="450">
                  <c:v>163.06</c:v>
                </c:pt>
                <c:pt idx="451">
                  <c:v>165.75</c:v>
                </c:pt>
                <c:pt idx="452">
                  <c:v>165.79</c:v>
                </c:pt>
                <c:pt idx="453">
                  <c:v>166.46</c:v>
                </c:pt>
                <c:pt idx="454">
                  <c:v>165.61</c:v>
                </c:pt>
                <c:pt idx="455">
                  <c:v>176.06</c:v>
                </c:pt>
                <c:pt idx="456">
                  <c:v>176.26</c:v>
                </c:pt>
                <c:pt idx="457">
                  <c:v>174.24</c:v>
                </c:pt>
                <c:pt idx="458">
                  <c:v>172.28</c:v>
                </c:pt>
                <c:pt idx="459">
                  <c:v>172.17</c:v>
                </c:pt>
                <c:pt idx="460">
                  <c:v>177.4</c:v>
                </c:pt>
                <c:pt idx="461">
                  <c:v>175.82</c:v>
                </c:pt>
                <c:pt idx="462">
                  <c:v>173.81</c:v>
                </c:pt>
                <c:pt idx="463">
                  <c:v>175.67</c:v>
                </c:pt>
                <c:pt idx="464">
                  <c:v>179.28</c:v>
                </c:pt>
                <c:pt idx="465">
                  <c:v>181.59</c:v>
                </c:pt>
                <c:pt idx="466">
                  <c:v>183.12</c:v>
                </c:pt>
                <c:pt idx="467">
                  <c:v>184.34</c:v>
                </c:pt>
                <c:pt idx="468">
                  <c:v>184.8</c:v>
                </c:pt>
                <c:pt idx="469">
                  <c:v>183.24</c:v>
                </c:pt>
                <c:pt idx="470">
                  <c:v>182.88</c:v>
                </c:pt>
                <c:pt idx="471">
                  <c:v>182.72</c:v>
                </c:pt>
                <c:pt idx="472">
                  <c:v>182.43</c:v>
                </c:pt>
                <c:pt idx="473">
                  <c:v>186.44</c:v>
                </c:pt>
                <c:pt idx="474">
                  <c:v>185.58</c:v>
                </c:pt>
                <c:pt idx="475">
                  <c:v>182.58</c:v>
                </c:pt>
                <c:pt idx="476">
                  <c:v>181.6</c:v>
                </c:pt>
                <c:pt idx="477">
                  <c:v>180.81</c:v>
                </c:pt>
                <c:pt idx="478">
                  <c:v>182.76</c:v>
                </c:pt>
                <c:pt idx="479">
                  <c:v>183.5</c:v>
                </c:pt>
                <c:pt idx="480">
                  <c:v>186.7</c:v>
                </c:pt>
                <c:pt idx="481">
                  <c:v>188.1</c:v>
                </c:pt>
                <c:pt idx="482">
                  <c:v>188.51</c:v>
                </c:pt>
                <c:pt idx="483">
                  <c:v>185.37</c:v>
                </c:pt>
                <c:pt idx="484">
                  <c:v>185.04</c:v>
                </c:pt>
                <c:pt idx="485">
                  <c:v>185.45</c:v>
                </c:pt>
                <c:pt idx="486">
                  <c:v>182.96</c:v>
                </c:pt>
                <c:pt idx="487">
                  <c:v>184.65</c:v>
                </c:pt>
                <c:pt idx="488">
                  <c:v>183.59</c:v>
                </c:pt>
                <c:pt idx="489">
                  <c:v>183.48</c:v>
                </c:pt>
                <c:pt idx="490">
                  <c:v>186.43</c:v>
                </c:pt>
                <c:pt idx="491">
                  <c:v>183.29</c:v>
                </c:pt>
                <c:pt idx="492">
                  <c:v>180.79</c:v>
                </c:pt>
                <c:pt idx="493">
                  <c:v>179.71</c:v>
                </c:pt>
                <c:pt idx="494">
                  <c:v>179.16</c:v>
                </c:pt>
                <c:pt idx="495">
                  <c:v>173.68</c:v>
                </c:pt>
                <c:pt idx="496">
                  <c:v>174.15</c:v>
                </c:pt>
                <c:pt idx="497">
                  <c:v>170.28</c:v>
                </c:pt>
                <c:pt idx="498">
                  <c:v>174.03</c:v>
                </c:pt>
                <c:pt idx="499">
                  <c:v>175.71</c:v>
                </c:pt>
                <c:pt idx="500">
                  <c:v>175.56</c:v>
                </c:pt>
                <c:pt idx="501">
                  <c:v>177.57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A88-4627-A9B5-13E947E20CD9}"/>
            </c:ext>
          </c:extLst>
        </c:ser>
        <c:ser>
          <c:idx val="16"/>
          <c:order val="16"/>
          <c:tx>
            <c:strRef>
              <c:f>wide_company_closes_reorder!$R$1</c:f>
              <c:strCache>
                <c:ptCount val="1"/>
                <c:pt idx="0">
                  <c:v>MMM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wide_company_closes_reorder!$R$2:$R$503</c:f>
              <c:numCache>
                <c:formatCode>General</c:formatCode>
                <c:ptCount val="502"/>
                <c:pt idx="0">
                  <c:v>168.31</c:v>
                </c:pt>
                <c:pt idx="1">
                  <c:v>168.56</c:v>
                </c:pt>
                <c:pt idx="2">
                  <c:v>167.98</c:v>
                </c:pt>
                <c:pt idx="3">
                  <c:v>168.48</c:v>
                </c:pt>
                <c:pt idx="4">
                  <c:v>167.57</c:v>
                </c:pt>
                <c:pt idx="5">
                  <c:v>166.92</c:v>
                </c:pt>
                <c:pt idx="6">
                  <c:v>168.15</c:v>
                </c:pt>
                <c:pt idx="7">
                  <c:v>167.73</c:v>
                </c:pt>
                <c:pt idx="8">
                  <c:v>167.68</c:v>
                </c:pt>
                <c:pt idx="9">
                  <c:v>167.56</c:v>
                </c:pt>
                <c:pt idx="10">
                  <c:v>168.72</c:v>
                </c:pt>
                <c:pt idx="11">
                  <c:v>168.9</c:v>
                </c:pt>
                <c:pt idx="12">
                  <c:v>168.72</c:v>
                </c:pt>
                <c:pt idx="13">
                  <c:v>168.74</c:v>
                </c:pt>
                <c:pt idx="14">
                  <c:v>166.34</c:v>
                </c:pt>
                <c:pt idx="15">
                  <c:v>167.06</c:v>
                </c:pt>
                <c:pt idx="16">
                  <c:v>167.14</c:v>
                </c:pt>
                <c:pt idx="17">
                  <c:v>167.77</c:v>
                </c:pt>
                <c:pt idx="18">
                  <c:v>165.82</c:v>
                </c:pt>
                <c:pt idx="19">
                  <c:v>165.25</c:v>
                </c:pt>
                <c:pt idx="20">
                  <c:v>165.58</c:v>
                </c:pt>
                <c:pt idx="21">
                  <c:v>164.65</c:v>
                </c:pt>
                <c:pt idx="22">
                  <c:v>165.46</c:v>
                </c:pt>
                <c:pt idx="23">
                  <c:v>165.52</c:v>
                </c:pt>
                <c:pt idx="24">
                  <c:v>166.14</c:v>
                </c:pt>
                <c:pt idx="25">
                  <c:v>167.38</c:v>
                </c:pt>
                <c:pt idx="26">
                  <c:v>168.43</c:v>
                </c:pt>
                <c:pt idx="27">
                  <c:v>169.2</c:v>
                </c:pt>
                <c:pt idx="28">
                  <c:v>171.11</c:v>
                </c:pt>
                <c:pt idx="29">
                  <c:v>171.66</c:v>
                </c:pt>
                <c:pt idx="30">
                  <c:v>172.87</c:v>
                </c:pt>
                <c:pt idx="31">
                  <c:v>174.5</c:v>
                </c:pt>
                <c:pt idx="32">
                  <c:v>174.06</c:v>
                </c:pt>
                <c:pt idx="33">
                  <c:v>174.46</c:v>
                </c:pt>
                <c:pt idx="34">
                  <c:v>177</c:v>
                </c:pt>
                <c:pt idx="35">
                  <c:v>178.1</c:v>
                </c:pt>
                <c:pt idx="36">
                  <c:v>178.31</c:v>
                </c:pt>
                <c:pt idx="37">
                  <c:v>177.83</c:v>
                </c:pt>
                <c:pt idx="38">
                  <c:v>177.3</c:v>
                </c:pt>
                <c:pt idx="39">
                  <c:v>180.64</c:v>
                </c:pt>
                <c:pt idx="40">
                  <c:v>180.67</c:v>
                </c:pt>
                <c:pt idx="41">
                  <c:v>180.11</c:v>
                </c:pt>
                <c:pt idx="42">
                  <c:v>179.72</c:v>
                </c:pt>
                <c:pt idx="43">
                  <c:v>179.91</c:v>
                </c:pt>
                <c:pt idx="44">
                  <c:v>180.3</c:v>
                </c:pt>
                <c:pt idx="45">
                  <c:v>180.68</c:v>
                </c:pt>
                <c:pt idx="46">
                  <c:v>181.92</c:v>
                </c:pt>
                <c:pt idx="47">
                  <c:v>182.22</c:v>
                </c:pt>
                <c:pt idx="48">
                  <c:v>181.08</c:v>
                </c:pt>
                <c:pt idx="49">
                  <c:v>181.91</c:v>
                </c:pt>
                <c:pt idx="50">
                  <c:v>181.07</c:v>
                </c:pt>
                <c:pt idx="51">
                  <c:v>183.02</c:v>
                </c:pt>
                <c:pt idx="52">
                  <c:v>183.63</c:v>
                </c:pt>
                <c:pt idx="53">
                  <c:v>182.8</c:v>
                </c:pt>
                <c:pt idx="54">
                  <c:v>182.88</c:v>
                </c:pt>
                <c:pt idx="55">
                  <c:v>182.81</c:v>
                </c:pt>
                <c:pt idx="56">
                  <c:v>182.21</c:v>
                </c:pt>
                <c:pt idx="57">
                  <c:v>181.18</c:v>
                </c:pt>
                <c:pt idx="58">
                  <c:v>181.71</c:v>
                </c:pt>
                <c:pt idx="59">
                  <c:v>181.42</c:v>
                </c:pt>
                <c:pt idx="60">
                  <c:v>181.99</c:v>
                </c:pt>
                <c:pt idx="61">
                  <c:v>182.04</c:v>
                </c:pt>
                <c:pt idx="62">
                  <c:v>181.46</c:v>
                </c:pt>
                <c:pt idx="63">
                  <c:v>180.95</c:v>
                </c:pt>
                <c:pt idx="64">
                  <c:v>181</c:v>
                </c:pt>
                <c:pt idx="65">
                  <c:v>180.67</c:v>
                </c:pt>
                <c:pt idx="66">
                  <c:v>180.76</c:v>
                </c:pt>
                <c:pt idx="67">
                  <c:v>180.5</c:v>
                </c:pt>
                <c:pt idx="68">
                  <c:v>180.84</c:v>
                </c:pt>
                <c:pt idx="69">
                  <c:v>180.49</c:v>
                </c:pt>
                <c:pt idx="70">
                  <c:v>179.49</c:v>
                </c:pt>
                <c:pt idx="71">
                  <c:v>181.11</c:v>
                </c:pt>
                <c:pt idx="72">
                  <c:v>180.98</c:v>
                </c:pt>
                <c:pt idx="73">
                  <c:v>180.61</c:v>
                </c:pt>
                <c:pt idx="74">
                  <c:v>181.87</c:v>
                </c:pt>
                <c:pt idx="75">
                  <c:v>182.2</c:v>
                </c:pt>
                <c:pt idx="76">
                  <c:v>184.8</c:v>
                </c:pt>
                <c:pt idx="77">
                  <c:v>185.65</c:v>
                </c:pt>
                <c:pt idx="78">
                  <c:v>185.53</c:v>
                </c:pt>
                <c:pt idx="79">
                  <c:v>186.58</c:v>
                </c:pt>
                <c:pt idx="80">
                  <c:v>186.32</c:v>
                </c:pt>
                <c:pt idx="81">
                  <c:v>185.35</c:v>
                </c:pt>
                <c:pt idx="82">
                  <c:v>186.98</c:v>
                </c:pt>
                <c:pt idx="83">
                  <c:v>188.03</c:v>
                </c:pt>
                <c:pt idx="84">
                  <c:v>189.82</c:v>
                </c:pt>
                <c:pt idx="85">
                  <c:v>189.71</c:v>
                </c:pt>
                <c:pt idx="86">
                  <c:v>189</c:v>
                </c:pt>
                <c:pt idx="87">
                  <c:v>188.34</c:v>
                </c:pt>
                <c:pt idx="88">
                  <c:v>187.09</c:v>
                </c:pt>
                <c:pt idx="89">
                  <c:v>187.19</c:v>
                </c:pt>
                <c:pt idx="90">
                  <c:v>187.02</c:v>
                </c:pt>
                <c:pt idx="91">
                  <c:v>188.03</c:v>
                </c:pt>
                <c:pt idx="92">
                  <c:v>188.3</c:v>
                </c:pt>
                <c:pt idx="93">
                  <c:v>186.48</c:v>
                </c:pt>
                <c:pt idx="94">
                  <c:v>186.87</c:v>
                </c:pt>
                <c:pt idx="95">
                  <c:v>187.4</c:v>
                </c:pt>
                <c:pt idx="96">
                  <c:v>190</c:v>
                </c:pt>
                <c:pt idx="97">
                  <c:v>189.25</c:v>
                </c:pt>
                <c:pt idx="98">
                  <c:v>189.02</c:v>
                </c:pt>
                <c:pt idx="99">
                  <c:v>190.98</c:v>
                </c:pt>
                <c:pt idx="100">
                  <c:v>192.06</c:v>
                </c:pt>
                <c:pt idx="101">
                  <c:v>193.76</c:v>
                </c:pt>
                <c:pt idx="102">
                  <c:v>195.7</c:v>
                </c:pt>
                <c:pt idx="103">
                  <c:v>195.59</c:v>
                </c:pt>
                <c:pt idx="104">
                  <c:v>197.83</c:v>
                </c:pt>
                <c:pt idx="105">
                  <c:v>197.37</c:v>
                </c:pt>
                <c:pt idx="106">
                  <c:v>196.6</c:v>
                </c:pt>
                <c:pt idx="107">
                  <c:v>196.22</c:v>
                </c:pt>
                <c:pt idx="108">
                  <c:v>197.11</c:v>
                </c:pt>
                <c:pt idx="109">
                  <c:v>198.05</c:v>
                </c:pt>
                <c:pt idx="110">
                  <c:v>198.49</c:v>
                </c:pt>
                <c:pt idx="111">
                  <c:v>200.14</c:v>
                </c:pt>
                <c:pt idx="112">
                  <c:v>201</c:v>
                </c:pt>
                <c:pt idx="113">
                  <c:v>202.23</c:v>
                </c:pt>
                <c:pt idx="114">
                  <c:v>204.09</c:v>
                </c:pt>
                <c:pt idx="115">
                  <c:v>204.21</c:v>
                </c:pt>
                <c:pt idx="116">
                  <c:v>204.21</c:v>
                </c:pt>
                <c:pt idx="117">
                  <c:v>203.73</c:v>
                </c:pt>
                <c:pt idx="118">
                  <c:v>203.12</c:v>
                </c:pt>
                <c:pt idx="119">
                  <c:v>203.77</c:v>
                </c:pt>
                <c:pt idx="120">
                  <c:v>203.49</c:v>
                </c:pt>
                <c:pt idx="121">
                  <c:v>200.78</c:v>
                </c:pt>
                <c:pt idx="122">
                  <c:v>201.59</c:v>
                </c:pt>
                <c:pt idx="123">
                  <c:v>198.93</c:v>
                </c:pt>
                <c:pt idx="124">
                  <c:v>199.26</c:v>
                </c:pt>
                <c:pt idx="125">
                  <c:v>200.83</c:v>
                </c:pt>
                <c:pt idx="126">
                  <c:v>200.76</c:v>
                </c:pt>
                <c:pt idx="127">
                  <c:v>199.1</c:v>
                </c:pt>
                <c:pt idx="128">
                  <c:v>200.6</c:v>
                </c:pt>
                <c:pt idx="129">
                  <c:v>201.46</c:v>
                </c:pt>
                <c:pt idx="130">
                  <c:v>200.67</c:v>
                </c:pt>
                <c:pt idx="131">
                  <c:v>202.24</c:v>
                </c:pt>
                <c:pt idx="132">
                  <c:v>202.04</c:v>
                </c:pt>
                <c:pt idx="133">
                  <c:v>202.69</c:v>
                </c:pt>
                <c:pt idx="134">
                  <c:v>202.6</c:v>
                </c:pt>
                <c:pt idx="135">
                  <c:v>202.25</c:v>
                </c:pt>
                <c:pt idx="136">
                  <c:v>203</c:v>
                </c:pt>
                <c:pt idx="137">
                  <c:v>203.34</c:v>
                </c:pt>
                <c:pt idx="138">
                  <c:v>202.1</c:v>
                </c:pt>
                <c:pt idx="139">
                  <c:v>200.99</c:v>
                </c:pt>
                <c:pt idx="140">
                  <c:v>190.84</c:v>
                </c:pt>
                <c:pt idx="141">
                  <c:v>190.49</c:v>
                </c:pt>
                <c:pt idx="142">
                  <c:v>191.47</c:v>
                </c:pt>
                <c:pt idx="143">
                  <c:v>191.15</c:v>
                </c:pt>
                <c:pt idx="144">
                  <c:v>192.54</c:v>
                </c:pt>
                <c:pt idx="145">
                  <c:v>194.47</c:v>
                </c:pt>
                <c:pt idx="146">
                  <c:v>196.6</c:v>
                </c:pt>
                <c:pt idx="147">
                  <c:v>198.71</c:v>
                </c:pt>
                <c:pt idx="148">
                  <c:v>198.74</c:v>
                </c:pt>
                <c:pt idx="149">
                  <c:v>198.54</c:v>
                </c:pt>
                <c:pt idx="150">
                  <c:v>197.58</c:v>
                </c:pt>
                <c:pt idx="151">
                  <c:v>197.62</c:v>
                </c:pt>
                <c:pt idx="152">
                  <c:v>197.38</c:v>
                </c:pt>
                <c:pt idx="153">
                  <c:v>197.15</c:v>
                </c:pt>
                <c:pt idx="154">
                  <c:v>198.48</c:v>
                </c:pt>
                <c:pt idx="155">
                  <c:v>198.29</c:v>
                </c:pt>
                <c:pt idx="156">
                  <c:v>199</c:v>
                </c:pt>
                <c:pt idx="157">
                  <c:v>196.54</c:v>
                </c:pt>
                <c:pt idx="158">
                  <c:v>194.8</c:v>
                </c:pt>
                <c:pt idx="159">
                  <c:v>195.78</c:v>
                </c:pt>
                <c:pt idx="160">
                  <c:v>196.65</c:v>
                </c:pt>
                <c:pt idx="161">
                  <c:v>195.09</c:v>
                </c:pt>
                <c:pt idx="162">
                  <c:v>194.56</c:v>
                </c:pt>
                <c:pt idx="163">
                  <c:v>194.57</c:v>
                </c:pt>
                <c:pt idx="164">
                  <c:v>194.89</c:v>
                </c:pt>
                <c:pt idx="165">
                  <c:v>195.33</c:v>
                </c:pt>
                <c:pt idx="166">
                  <c:v>196.07</c:v>
                </c:pt>
                <c:pt idx="167">
                  <c:v>196.68</c:v>
                </c:pt>
                <c:pt idx="168">
                  <c:v>195.95</c:v>
                </c:pt>
                <c:pt idx="169">
                  <c:v>193.47</c:v>
                </c:pt>
                <c:pt idx="170">
                  <c:v>194.5</c:v>
                </c:pt>
                <c:pt idx="171">
                  <c:v>196.82</c:v>
                </c:pt>
                <c:pt idx="172">
                  <c:v>198</c:v>
                </c:pt>
                <c:pt idx="173">
                  <c:v>201.73</c:v>
                </c:pt>
                <c:pt idx="174">
                  <c:v>201.8</c:v>
                </c:pt>
                <c:pt idx="175">
                  <c:v>201.66</c:v>
                </c:pt>
                <c:pt idx="176">
                  <c:v>203.53</c:v>
                </c:pt>
                <c:pt idx="177">
                  <c:v>205.37</c:v>
                </c:pt>
                <c:pt idx="178">
                  <c:v>205.77</c:v>
                </c:pt>
                <c:pt idx="179">
                  <c:v>205.58</c:v>
                </c:pt>
                <c:pt idx="180">
                  <c:v>202.64</c:v>
                </c:pt>
                <c:pt idx="181">
                  <c:v>202.57</c:v>
                </c:pt>
                <c:pt idx="182">
                  <c:v>202.88</c:v>
                </c:pt>
                <c:pt idx="183">
                  <c:v>202.85</c:v>
                </c:pt>
                <c:pt idx="184">
                  <c:v>203.14</c:v>
                </c:pt>
                <c:pt idx="185">
                  <c:v>201.65</c:v>
                </c:pt>
                <c:pt idx="186">
                  <c:v>201.72</c:v>
                </c:pt>
                <c:pt idx="187">
                  <c:v>202.05</c:v>
                </c:pt>
                <c:pt idx="188">
                  <c:v>204.81</c:v>
                </c:pt>
                <c:pt idx="189">
                  <c:v>206.55</c:v>
                </c:pt>
                <c:pt idx="190">
                  <c:v>208.43</c:v>
                </c:pt>
                <c:pt idx="191">
                  <c:v>208.28</c:v>
                </c:pt>
                <c:pt idx="192">
                  <c:v>208.43</c:v>
                </c:pt>
                <c:pt idx="193">
                  <c:v>208.58</c:v>
                </c:pt>
                <c:pt idx="194">
                  <c:v>208.65</c:v>
                </c:pt>
                <c:pt idx="195">
                  <c:v>208.42</c:v>
                </c:pt>
                <c:pt idx="196">
                  <c:v>209.46</c:v>
                </c:pt>
                <c:pt idx="197">
                  <c:v>209.58</c:v>
                </c:pt>
                <c:pt idx="198">
                  <c:v>210.54</c:v>
                </c:pt>
                <c:pt idx="199">
                  <c:v>209.61</c:v>
                </c:pt>
                <c:pt idx="200">
                  <c:v>210.11</c:v>
                </c:pt>
                <c:pt idx="201">
                  <c:v>211.04</c:v>
                </c:pt>
                <c:pt idx="202">
                  <c:v>213.05</c:v>
                </c:pt>
                <c:pt idx="203">
                  <c:v>213.27</c:v>
                </c:pt>
                <c:pt idx="204">
                  <c:v>225.88</c:v>
                </c:pt>
                <c:pt idx="205">
                  <c:v>228.79</c:v>
                </c:pt>
                <c:pt idx="206">
                  <c:v>224.23</c:v>
                </c:pt>
                <c:pt idx="207">
                  <c:v>225.96</c:v>
                </c:pt>
                <c:pt idx="208">
                  <c:v>222.38</c:v>
                </c:pt>
                <c:pt idx="209">
                  <c:v>221.58</c:v>
                </c:pt>
                <c:pt idx="210">
                  <c:v>221.57</c:v>
                </c:pt>
                <c:pt idx="211">
                  <c:v>223.55</c:v>
                </c:pt>
                <c:pt idx="212">
                  <c:v>223.54</c:v>
                </c:pt>
                <c:pt idx="213">
                  <c:v>221.7</c:v>
                </c:pt>
                <c:pt idx="214">
                  <c:v>221.45</c:v>
                </c:pt>
                <c:pt idx="215">
                  <c:v>221.24</c:v>
                </c:pt>
                <c:pt idx="216">
                  <c:v>219.85</c:v>
                </c:pt>
                <c:pt idx="217">
                  <c:v>218.95</c:v>
                </c:pt>
                <c:pt idx="218">
                  <c:v>219.69</c:v>
                </c:pt>
                <c:pt idx="219">
                  <c:v>220.76</c:v>
                </c:pt>
                <c:pt idx="220">
                  <c:v>218.9</c:v>
                </c:pt>
                <c:pt idx="221">
                  <c:v>220.84</c:v>
                </c:pt>
                <c:pt idx="222">
                  <c:v>220.78</c:v>
                </c:pt>
                <c:pt idx="223">
                  <c:v>222.84</c:v>
                </c:pt>
                <c:pt idx="224">
                  <c:v>225.34</c:v>
                </c:pt>
                <c:pt idx="225">
                  <c:v>224.05</c:v>
                </c:pt>
                <c:pt idx="226">
                  <c:v>223.85</c:v>
                </c:pt>
                <c:pt idx="227">
                  <c:v>226.39</c:v>
                </c:pt>
                <c:pt idx="228">
                  <c:v>227.96</c:v>
                </c:pt>
                <c:pt idx="229">
                  <c:v>230.27</c:v>
                </c:pt>
                <c:pt idx="230">
                  <c:v>235.23</c:v>
                </c:pt>
                <c:pt idx="231">
                  <c:v>233.31</c:v>
                </c:pt>
                <c:pt idx="232">
                  <c:v>231.48</c:v>
                </c:pt>
                <c:pt idx="233">
                  <c:v>230.51</c:v>
                </c:pt>
                <c:pt idx="234">
                  <c:v>230.91</c:v>
                </c:pt>
                <c:pt idx="235">
                  <c:v>232.48</c:v>
                </c:pt>
                <c:pt idx="236">
                  <c:v>230.38</c:v>
                </c:pt>
                <c:pt idx="237">
                  <c:v>231.52</c:v>
                </c:pt>
                <c:pt idx="238">
                  <c:v>228.88</c:v>
                </c:pt>
                <c:pt idx="239">
                  <c:v>231.33</c:v>
                </c:pt>
                <c:pt idx="240">
                  <c:v>230.34</c:v>
                </c:pt>
                <c:pt idx="241">
                  <c:v>230.26</c:v>
                </c:pt>
                <c:pt idx="242">
                  <c:v>230.66</c:v>
                </c:pt>
                <c:pt idx="243">
                  <c:v>230.64</c:v>
                </c:pt>
                <c:pt idx="244">
                  <c:v>229.21</c:v>
                </c:pt>
                <c:pt idx="245">
                  <c:v>227.14</c:v>
                </c:pt>
                <c:pt idx="246">
                  <c:v>227.09</c:v>
                </c:pt>
                <c:pt idx="247">
                  <c:v>227.79</c:v>
                </c:pt>
                <c:pt idx="248">
                  <c:v>228.52</c:v>
                </c:pt>
                <c:pt idx="249">
                  <c:v>228.05</c:v>
                </c:pt>
                <c:pt idx="250">
                  <c:v>227.71</c:v>
                </c:pt>
                <c:pt idx="251">
                  <c:v>227.97</c:v>
                </c:pt>
                <c:pt idx="252">
                  <c:v>227.96</c:v>
                </c:pt>
                <c:pt idx="253">
                  <c:v>230.94</c:v>
                </c:pt>
                <c:pt idx="254">
                  <c:v>232.74</c:v>
                </c:pt>
                <c:pt idx="255">
                  <c:v>231.99</c:v>
                </c:pt>
                <c:pt idx="256">
                  <c:v>233.43</c:v>
                </c:pt>
                <c:pt idx="257">
                  <c:v>233.3</c:v>
                </c:pt>
                <c:pt idx="258">
                  <c:v>234.43</c:v>
                </c:pt>
                <c:pt idx="259">
                  <c:v>236.52</c:v>
                </c:pt>
                <c:pt idx="260">
                  <c:v>236.78</c:v>
                </c:pt>
                <c:pt idx="261">
                  <c:v>240.04</c:v>
                </c:pt>
                <c:pt idx="262">
                  <c:v>237.91</c:v>
                </c:pt>
                <c:pt idx="263">
                  <c:v>240.11</c:v>
                </c:pt>
                <c:pt idx="264">
                  <c:v>239.26</c:v>
                </c:pt>
                <c:pt idx="265">
                  <c:v>238.3</c:v>
                </c:pt>
                <c:pt idx="266">
                  <c:v>239.63</c:v>
                </c:pt>
                <c:pt idx="267">
                  <c:v>244.15</c:v>
                </c:pt>
                <c:pt idx="268">
                  <c:v>250.22</c:v>
                </c:pt>
                <c:pt idx="269">
                  <c:v>247.68</c:v>
                </c:pt>
                <c:pt idx="270">
                  <c:v>243.36</c:v>
                </c:pt>
                <c:pt idx="271">
                  <c:v>242.35</c:v>
                </c:pt>
                <c:pt idx="272">
                  <c:v>239.87</c:v>
                </c:pt>
                <c:pt idx="273">
                  <c:v>237.19</c:v>
                </c:pt>
                <c:pt idx="274">
                  <c:v>223.91</c:v>
                </c:pt>
                <c:pt idx="275">
                  <c:v>226.03</c:v>
                </c:pt>
                <c:pt idx="276">
                  <c:v>225.6</c:v>
                </c:pt>
                <c:pt idx="277">
                  <c:v>215.64</c:v>
                </c:pt>
                <c:pt idx="278">
                  <c:v>217.88</c:v>
                </c:pt>
                <c:pt idx="279">
                  <c:v>221.73</c:v>
                </c:pt>
                <c:pt idx="280">
                  <c:v>223.83</c:v>
                </c:pt>
                <c:pt idx="281">
                  <c:v>224.45</c:v>
                </c:pt>
                <c:pt idx="282">
                  <c:v>228.57</c:v>
                </c:pt>
                <c:pt idx="283">
                  <c:v>230.32</c:v>
                </c:pt>
                <c:pt idx="284">
                  <c:v>228.76</c:v>
                </c:pt>
                <c:pt idx="285">
                  <c:v>225.95</c:v>
                </c:pt>
                <c:pt idx="286">
                  <c:v>229.67</c:v>
                </c:pt>
                <c:pt idx="287">
                  <c:v>230.66</c:v>
                </c:pt>
                <c:pt idx="288">
                  <c:v>237.59</c:v>
                </c:pt>
                <c:pt idx="289">
                  <c:v>234.32</c:v>
                </c:pt>
                <c:pt idx="290">
                  <c:v>229.19</c:v>
                </c:pt>
                <c:pt idx="291">
                  <c:v>225.13</c:v>
                </c:pt>
                <c:pt idx="292">
                  <c:v>224.19</c:v>
                </c:pt>
                <c:pt idx="293">
                  <c:v>226.56</c:v>
                </c:pt>
                <c:pt idx="294">
                  <c:v>227.39</c:v>
                </c:pt>
                <c:pt idx="295">
                  <c:v>229.25</c:v>
                </c:pt>
                <c:pt idx="296">
                  <c:v>230</c:v>
                </c:pt>
                <c:pt idx="297">
                  <c:v>234.88</c:v>
                </c:pt>
                <c:pt idx="298">
                  <c:v>233.37</c:v>
                </c:pt>
                <c:pt idx="299">
                  <c:v>231.2</c:v>
                </c:pt>
                <c:pt idx="300">
                  <c:v>228.01</c:v>
                </c:pt>
                <c:pt idx="301">
                  <c:v>229.54</c:v>
                </c:pt>
                <c:pt idx="302">
                  <c:v>230.86</c:v>
                </c:pt>
                <c:pt idx="303">
                  <c:v>225.35</c:v>
                </c:pt>
                <c:pt idx="304">
                  <c:v>226.21</c:v>
                </c:pt>
                <c:pt idx="305">
                  <c:v>227.86</c:v>
                </c:pt>
                <c:pt idx="306">
                  <c:v>217.18</c:v>
                </c:pt>
                <c:pt idx="307">
                  <c:v>209.58</c:v>
                </c:pt>
                <c:pt idx="308">
                  <c:v>214.33</c:v>
                </c:pt>
                <c:pt idx="309">
                  <c:v>210.08</c:v>
                </c:pt>
                <c:pt idx="310">
                  <c:v>210.73</c:v>
                </c:pt>
                <c:pt idx="311">
                  <c:v>213.63</c:v>
                </c:pt>
                <c:pt idx="312">
                  <c:v>206.92</c:v>
                </c:pt>
                <c:pt idx="313">
                  <c:v>210.53</c:v>
                </c:pt>
                <c:pt idx="314">
                  <c:v>211.72</c:v>
                </c:pt>
                <c:pt idx="315">
                  <c:v>212.8</c:v>
                </c:pt>
                <c:pt idx="316">
                  <c:v>206.56</c:v>
                </c:pt>
                <c:pt idx="317">
                  <c:v>207.1</c:v>
                </c:pt>
                <c:pt idx="318">
                  <c:v>211.16</c:v>
                </c:pt>
                <c:pt idx="319">
                  <c:v>208.58</c:v>
                </c:pt>
                <c:pt idx="320">
                  <c:v>210.61</c:v>
                </c:pt>
                <c:pt idx="321">
                  <c:v>209.74</c:v>
                </c:pt>
                <c:pt idx="322">
                  <c:v>211.86</c:v>
                </c:pt>
                <c:pt idx="323">
                  <c:v>214.19</c:v>
                </c:pt>
                <c:pt idx="324">
                  <c:v>213.63</c:v>
                </c:pt>
                <c:pt idx="325">
                  <c:v>212.98</c:v>
                </c:pt>
                <c:pt idx="326">
                  <c:v>211.91</c:v>
                </c:pt>
                <c:pt idx="327">
                  <c:v>210.09</c:v>
                </c:pt>
                <c:pt idx="328">
                  <c:v>195.73</c:v>
                </c:pt>
                <c:pt idx="329">
                  <c:v>193.51</c:v>
                </c:pt>
                <c:pt idx="330">
                  <c:v>191.8</c:v>
                </c:pt>
                <c:pt idx="331">
                  <c:v>190.86</c:v>
                </c:pt>
                <c:pt idx="332">
                  <c:v>189.18</c:v>
                </c:pt>
                <c:pt idx="333">
                  <c:v>189.79</c:v>
                </c:pt>
                <c:pt idx="334">
                  <c:v>189.28</c:v>
                </c:pt>
                <c:pt idx="335">
                  <c:v>190.43</c:v>
                </c:pt>
                <c:pt idx="336">
                  <c:v>194.01</c:v>
                </c:pt>
                <c:pt idx="337">
                  <c:v>194.89</c:v>
                </c:pt>
                <c:pt idx="338">
                  <c:v>196.33</c:v>
                </c:pt>
                <c:pt idx="339">
                  <c:v>197.96</c:v>
                </c:pt>
                <c:pt idx="340">
                  <c:v>199.53</c:v>
                </c:pt>
                <c:pt idx="341">
                  <c:v>199.66</c:v>
                </c:pt>
                <c:pt idx="342">
                  <c:v>200.24</c:v>
                </c:pt>
                <c:pt idx="343">
                  <c:v>196.98</c:v>
                </c:pt>
                <c:pt idx="344">
                  <c:v>194.84</c:v>
                </c:pt>
                <c:pt idx="345">
                  <c:v>196.32</c:v>
                </c:pt>
                <c:pt idx="346">
                  <c:v>194.95</c:v>
                </c:pt>
                <c:pt idx="347">
                  <c:v>197.69</c:v>
                </c:pt>
                <c:pt idx="348">
                  <c:v>194.96</c:v>
                </c:pt>
                <c:pt idx="349">
                  <c:v>194.66</c:v>
                </c:pt>
                <c:pt idx="350">
                  <c:v>195.39</c:v>
                </c:pt>
                <c:pt idx="351">
                  <c:v>195.02</c:v>
                </c:pt>
                <c:pt idx="352">
                  <c:v>191.79</c:v>
                </c:pt>
                <c:pt idx="353">
                  <c:v>194.67</c:v>
                </c:pt>
                <c:pt idx="354">
                  <c:v>193.25</c:v>
                </c:pt>
                <c:pt idx="355">
                  <c:v>195.56</c:v>
                </c:pt>
                <c:pt idx="356">
                  <c:v>197</c:v>
                </c:pt>
                <c:pt idx="357">
                  <c:v>197.14</c:v>
                </c:pt>
                <c:pt idx="358">
                  <c:v>199.75</c:v>
                </c:pt>
                <c:pt idx="359">
                  <c:v>200.93</c:v>
                </c:pt>
                <c:pt idx="360">
                  <c:v>202.42</c:v>
                </c:pt>
                <c:pt idx="361">
                  <c:v>200.98</c:v>
                </c:pt>
                <c:pt idx="362">
                  <c:v>200.79</c:v>
                </c:pt>
                <c:pt idx="363">
                  <c:v>200.76</c:v>
                </c:pt>
                <c:pt idx="364">
                  <c:v>199.52</c:v>
                </c:pt>
                <c:pt idx="365">
                  <c:v>200.84</c:v>
                </c:pt>
                <c:pt idx="366">
                  <c:v>200.05</c:v>
                </c:pt>
                <c:pt idx="367">
                  <c:v>195.37</c:v>
                </c:pt>
                <c:pt idx="368">
                  <c:v>194.08</c:v>
                </c:pt>
                <c:pt idx="369">
                  <c:v>191.58</c:v>
                </c:pt>
                <c:pt idx="370">
                  <c:v>192.54</c:v>
                </c:pt>
                <c:pt idx="371">
                  <c:v>191.85</c:v>
                </c:pt>
                <c:pt idx="372">
                  <c:v>192.62</c:v>
                </c:pt>
                <c:pt idx="373">
                  <c:v>190.99</c:v>
                </c:pt>
                <c:pt idx="374">
                  <c:v>192.02</c:v>
                </c:pt>
                <c:pt idx="375">
                  <c:v>192.75</c:v>
                </c:pt>
                <c:pt idx="376">
                  <c:v>191.58</c:v>
                </c:pt>
                <c:pt idx="377">
                  <c:v>191.88</c:v>
                </c:pt>
                <c:pt idx="378">
                  <c:v>193.36</c:v>
                </c:pt>
                <c:pt idx="379">
                  <c:v>193.48</c:v>
                </c:pt>
                <c:pt idx="380">
                  <c:v>196.49</c:v>
                </c:pt>
                <c:pt idx="381">
                  <c:v>197.42</c:v>
                </c:pt>
                <c:pt idx="382">
                  <c:v>193.69</c:v>
                </c:pt>
                <c:pt idx="383">
                  <c:v>195.3</c:v>
                </c:pt>
                <c:pt idx="384">
                  <c:v>197.12</c:v>
                </c:pt>
                <c:pt idx="385">
                  <c:v>197.05</c:v>
                </c:pt>
                <c:pt idx="386">
                  <c:v>197.99</c:v>
                </c:pt>
                <c:pt idx="387">
                  <c:v>198.12</c:v>
                </c:pt>
                <c:pt idx="388">
                  <c:v>197.53</c:v>
                </c:pt>
                <c:pt idx="389">
                  <c:v>197.88</c:v>
                </c:pt>
                <c:pt idx="390">
                  <c:v>194.83</c:v>
                </c:pt>
                <c:pt idx="391">
                  <c:v>196.63</c:v>
                </c:pt>
                <c:pt idx="392">
                  <c:v>200.26</c:v>
                </c:pt>
                <c:pt idx="393">
                  <c:v>203.77</c:v>
                </c:pt>
                <c:pt idx="394">
                  <c:v>203.24</c:v>
                </c:pt>
                <c:pt idx="395">
                  <c:v>200.98</c:v>
                </c:pt>
                <c:pt idx="396">
                  <c:v>208.04</c:v>
                </c:pt>
                <c:pt idx="397">
                  <c:v>202.87</c:v>
                </c:pt>
                <c:pt idx="398">
                  <c:v>201.38</c:v>
                </c:pt>
                <c:pt idx="399">
                  <c:v>203.11</c:v>
                </c:pt>
                <c:pt idx="400">
                  <c:v>202.53</c:v>
                </c:pt>
                <c:pt idx="401">
                  <c:v>204.36</c:v>
                </c:pt>
                <c:pt idx="402">
                  <c:v>202.96</c:v>
                </c:pt>
                <c:pt idx="403">
                  <c:v>200.65</c:v>
                </c:pt>
                <c:pt idx="404">
                  <c:v>197.89</c:v>
                </c:pt>
                <c:pt idx="405">
                  <c:v>195.81</c:v>
                </c:pt>
                <c:pt idx="406">
                  <c:v>196.48</c:v>
                </c:pt>
                <c:pt idx="407">
                  <c:v>197.33</c:v>
                </c:pt>
                <c:pt idx="408">
                  <c:v>199.05</c:v>
                </c:pt>
                <c:pt idx="409">
                  <c:v>200.64</c:v>
                </c:pt>
                <c:pt idx="410">
                  <c:v>200.47</c:v>
                </c:pt>
                <c:pt idx="411">
                  <c:v>201.54</c:v>
                </c:pt>
                <c:pt idx="412">
                  <c:v>200.14</c:v>
                </c:pt>
                <c:pt idx="413">
                  <c:v>199.99</c:v>
                </c:pt>
                <c:pt idx="414">
                  <c:v>202.5</c:v>
                </c:pt>
                <c:pt idx="415">
                  <c:v>205.5</c:v>
                </c:pt>
                <c:pt idx="416">
                  <c:v>206.58</c:v>
                </c:pt>
                <c:pt idx="417">
                  <c:v>207.6</c:v>
                </c:pt>
                <c:pt idx="418">
                  <c:v>207.36</c:v>
                </c:pt>
                <c:pt idx="419">
                  <c:v>208.05</c:v>
                </c:pt>
                <c:pt idx="420">
                  <c:v>205.76</c:v>
                </c:pt>
                <c:pt idx="421">
                  <c:v>208.95</c:v>
                </c:pt>
                <c:pt idx="422">
                  <c:v>209.85</c:v>
                </c:pt>
                <c:pt idx="423">
                  <c:v>209.68</c:v>
                </c:pt>
                <c:pt idx="424">
                  <c:v>210.03</c:v>
                </c:pt>
                <c:pt idx="425">
                  <c:v>208.9</c:v>
                </c:pt>
                <c:pt idx="426">
                  <c:v>203.9</c:v>
                </c:pt>
                <c:pt idx="427">
                  <c:v>206.21</c:v>
                </c:pt>
                <c:pt idx="428">
                  <c:v>205.05</c:v>
                </c:pt>
                <c:pt idx="429">
                  <c:v>206.68</c:v>
                </c:pt>
                <c:pt idx="430">
                  <c:v>208.65</c:v>
                </c:pt>
                <c:pt idx="431">
                  <c:v>210.22</c:v>
                </c:pt>
                <c:pt idx="432">
                  <c:v>212.34</c:v>
                </c:pt>
                <c:pt idx="433">
                  <c:v>213.39</c:v>
                </c:pt>
                <c:pt idx="434">
                  <c:v>210.61</c:v>
                </c:pt>
                <c:pt idx="435">
                  <c:v>207.77</c:v>
                </c:pt>
                <c:pt idx="436">
                  <c:v>208.2</c:v>
                </c:pt>
                <c:pt idx="437">
                  <c:v>207.25</c:v>
                </c:pt>
                <c:pt idx="438">
                  <c:v>207.84</c:v>
                </c:pt>
                <c:pt idx="439">
                  <c:v>209.3</c:v>
                </c:pt>
                <c:pt idx="440">
                  <c:v>212.78</c:v>
                </c:pt>
                <c:pt idx="441">
                  <c:v>212.83</c:v>
                </c:pt>
                <c:pt idx="442">
                  <c:v>210.93</c:v>
                </c:pt>
                <c:pt idx="443">
                  <c:v>210.29</c:v>
                </c:pt>
                <c:pt idx="444">
                  <c:v>211.45</c:v>
                </c:pt>
                <c:pt idx="445">
                  <c:v>207.56</c:v>
                </c:pt>
                <c:pt idx="446">
                  <c:v>199.4</c:v>
                </c:pt>
                <c:pt idx="447">
                  <c:v>194.05</c:v>
                </c:pt>
                <c:pt idx="448">
                  <c:v>195.53</c:v>
                </c:pt>
                <c:pt idx="449">
                  <c:v>196.23</c:v>
                </c:pt>
                <c:pt idx="450">
                  <c:v>199.58</c:v>
                </c:pt>
                <c:pt idx="451">
                  <c:v>200.17</c:v>
                </c:pt>
                <c:pt idx="452">
                  <c:v>197.65</c:v>
                </c:pt>
                <c:pt idx="453">
                  <c:v>197.13</c:v>
                </c:pt>
                <c:pt idx="454">
                  <c:v>198.62</c:v>
                </c:pt>
                <c:pt idx="455">
                  <c:v>189.93</c:v>
                </c:pt>
                <c:pt idx="456">
                  <c:v>182.03</c:v>
                </c:pt>
                <c:pt idx="457">
                  <c:v>182.47</c:v>
                </c:pt>
                <c:pt idx="458">
                  <c:v>182.43</c:v>
                </c:pt>
                <c:pt idx="459">
                  <c:v>183.26</c:v>
                </c:pt>
                <c:pt idx="460">
                  <c:v>187.23</c:v>
                </c:pt>
                <c:pt idx="461">
                  <c:v>187.67</c:v>
                </c:pt>
                <c:pt idx="462">
                  <c:v>189.61</c:v>
                </c:pt>
                <c:pt idx="463">
                  <c:v>190.19</c:v>
                </c:pt>
                <c:pt idx="464">
                  <c:v>190.62</c:v>
                </c:pt>
                <c:pt idx="465">
                  <c:v>192.64</c:v>
                </c:pt>
                <c:pt idx="466">
                  <c:v>198.55</c:v>
                </c:pt>
                <c:pt idx="467">
                  <c:v>201.29</c:v>
                </c:pt>
                <c:pt idx="468">
                  <c:v>198.36</c:v>
                </c:pt>
                <c:pt idx="469">
                  <c:v>194.36</c:v>
                </c:pt>
                <c:pt idx="470">
                  <c:v>195.67</c:v>
                </c:pt>
                <c:pt idx="471">
                  <c:v>195.37</c:v>
                </c:pt>
                <c:pt idx="472">
                  <c:v>202.12</c:v>
                </c:pt>
                <c:pt idx="473">
                  <c:v>206.16</c:v>
                </c:pt>
                <c:pt idx="474">
                  <c:v>202.78</c:v>
                </c:pt>
                <c:pt idx="475">
                  <c:v>197.78</c:v>
                </c:pt>
                <c:pt idx="476">
                  <c:v>197.33</c:v>
                </c:pt>
                <c:pt idx="477">
                  <c:v>195.45</c:v>
                </c:pt>
                <c:pt idx="478">
                  <c:v>198.49</c:v>
                </c:pt>
                <c:pt idx="479">
                  <c:v>199.31</c:v>
                </c:pt>
                <c:pt idx="480">
                  <c:v>202.94</c:v>
                </c:pt>
                <c:pt idx="481">
                  <c:v>203.16</c:v>
                </c:pt>
                <c:pt idx="482">
                  <c:v>206.49</c:v>
                </c:pt>
                <c:pt idx="483">
                  <c:v>207.33</c:v>
                </c:pt>
                <c:pt idx="484">
                  <c:v>200.81</c:v>
                </c:pt>
                <c:pt idx="485">
                  <c:v>201.29</c:v>
                </c:pt>
                <c:pt idx="486">
                  <c:v>196.88</c:v>
                </c:pt>
                <c:pt idx="487">
                  <c:v>196.96</c:v>
                </c:pt>
                <c:pt idx="488">
                  <c:v>196.1</c:v>
                </c:pt>
                <c:pt idx="489">
                  <c:v>198.44</c:v>
                </c:pt>
                <c:pt idx="490">
                  <c:v>200.74</c:v>
                </c:pt>
                <c:pt idx="491">
                  <c:v>194.75</c:v>
                </c:pt>
                <c:pt idx="492">
                  <c:v>191.5</c:v>
                </c:pt>
                <c:pt idx="493">
                  <c:v>193.22</c:v>
                </c:pt>
                <c:pt idx="494">
                  <c:v>188.66</c:v>
                </c:pt>
                <c:pt idx="495">
                  <c:v>186.09</c:v>
                </c:pt>
                <c:pt idx="496">
                  <c:v>182.49</c:v>
                </c:pt>
                <c:pt idx="497">
                  <c:v>177.39</c:v>
                </c:pt>
                <c:pt idx="498">
                  <c:v>184.98</c:v>
                </c:pt>
                <c:pt idx="499">
                  <c:v>189.39</c:v>
                </c:pt>
                <c:pt idx="500">
                  <c:v>188.07</c:v>
                </c:pt>
                <c:pt idx="501">
                  <c:v>189.23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A88-4627-A9B5-13E947E20CD9}"/>
            </c:ext>
          </c:extLst>
        </c:ser>
        <c:ser>
          <c:idx val="17"/>
          <c:order val="17"/>
          <c:tx>
            <c:strRef>
              <c:f>wide_company_closes_reorder!$S$1</c:f>
              <c:strCache>
                <c:ptCount val="1"/>
                <c:pt idx="0">
                  <c:v>MRK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wide_company_closes_reorder!$S$2:$S$503</c:f>
              <c:numCache>
                <c:formatCode>General</c:formatCode>
                <c:ptCount val="502"/>
                <c:pt idx="0">
                  <c:v>56.63</c:v>
                </c:pt>
                <c:pt idx="1">
                  <c:v>56.61</c:v>
                </c:pt>
                <c:pt idx="2">
                  <c:v>56.59</c:v>
                </c:pt>
                <c:pt idx="3">
                  <c:v>56.74</c:v>
                </c:pt>
                <c:pt idx="4">
                  <c:v>57.52</c:v>
                </c:pt>
                <c:pt idx="5">
                  <c:v>56.41</c:v>
                </c:pt>
                <c:pt idx="6">
                  <c:v>58.02</c:v>
                </c:pt>
                <c:pt idx="7">
                  <c:v>58.56</c:v>
                </c:pt>
                <c:pt idx="8">
                  <c:v>58.69</c:v>
                </c:pt>
                <c:pt idx="9">
                  <c:v>57.88</c:v>
                </c:pt>
                <c:pt idx="10">
                  <c:v>57.59</c:v>
                </c:pt>
                <c:pt idx="11">
                  <c:v>56.79</c:v>
                </c:pt>
                <c:pt idx="12">
                  <c:v>58.87</c:v>
                </c:pt>
                <c:pt idx="13">
                  <c:v>58.19</c:v>
                </c:pt>
                <c:pt idx="14">
                  <c:v>57.62</c:v>
                </c:pt>
                <c:pt idx="15">
                  <c:v>57.5</c:v>
                </c:pt>
                <c:pt idx="16">
                  <c:v>57.61</c:v>
                </c:pt>
                <c:pt idx="17">
                  <c:v>58.13</c:v>
                </c:pt>
                <c:pt idx="18">
                  <c:v>57.83</c:v>
                </c:pt>
                <c:pt idx="19">
                  <c:v>58.36</c:v>
                </c:pt>
                <c:pt idx="20">
                  <c:v>58.46</c:v>
                </c:pt>
                <c:pt idx="21">
                  <c:v>60.42</c:v>
                </c:pt>
                <c:pt idx="22">
                  <c:v>60.52</c:v>
                </c:pt>
                <c:pt idx="23">
                  <c:v>61.13</c:v>
                </c:pt>
                <c:pt idx="24">
                  <c:v>60.44</c:v>
                </c:pt>
                <c:pt idx="25">
                  <c:v>60.55</c:v>
                </c:pt>
                <c:pt idx="26">
                  <c:v>60.62</c:v>
                </c:pt>
                <c:pt idx="27">
                  <c:v>60.39</c:v>
                </c:pt>
                <c:pt idx="28">
                  <c:v>60.97</c:v>
                </c:pt>
                <c:pt idx="29">
                  <c:v>61.81</c:v>
                </c:pt>
                <c:pt idx="30">
                  <c:v>61.34</c:v>
                </c:pt>
                <c:pt idx="31">
                  <c:v>61.44</c:v>
                </c:pt>
                <c:pt idx="32">
                  <c:v>61.56</c:v>
                </c:pt>
                <c:pt idx="33">
                  <c:v>61.64</c:v>
                </c:pt>
                <c:pt idx="34">
                  <c:v>61.46</c:v>
                </c:pt>
                <c:pt idx="35">
                  <c:v>61.99</c:v>
                </c:pt>
                <c:pt idx="36">
                  <c:v>62.28</c:v>
                </c:pt>
                <c:pt idx="37">
                  <c:v>61.99</c:v>
                </c:pt>
                <c:pt idx="38">
                  <c:v>62.01</c:v>
                </c:pt>
                <c:pt idx="39">
                  <c:v>62.33</c:v>
                </c:pt>
                <c:pt idx="40">
                  <c:v>62.21</c:v>
                </c:pt>
                <c:pt idx="41">
                  <c:v>62.68</c:v>
                </c:pt>
                <c:pt idx="42">
                  <c:v>62.58</c:v>
                </c:pt>
                <c:pt idx="43">
                  <c:v>62.09</c:v>
                </c:pt>
                <c:pt idx="44">
                  <c:v>61.94</c:v>
                </c:pt>
                <c:pt idx="45">
                  <c:v>62.03</c:v>
                </c:pt>
                <c:pt idx="46">
                  <c:v>61.76</c:v>
                </c:pt>
                <c:pt idx="47">
                  <c:v>60.83</c:v>
                </c:pt>
                <c:pt idx="48">
                  <c:v>60.87</c:v>
                </c:pt>
                <c:pt idx="49">
                  <c:v>61.35</c:v>
                </c:pt>
                <c:pt idx="50">
                  <c:v>60.86</c:v>
                </c:pt>
                <c:pt idx="51">
                  <c:v>60.59</c:v>
                </c:pt>
                <c:pt idx="52">
                  <c:v>60.79</c:v>
                </c:pt>
                <c:pt idx="53">
                  <c:v>60.6</c:v>
                </c:pt>
                <c:pt idx="54">
                  <c:v>60.21</c:v>
                </c:pt>
                <c:pt idx="55">
                  <c:v>60</c:v>
                </c:pt>
                <c:pt idx="56">
                  <c:v>59.91</c:v>
                </c:pt>
                <c:pt idx="57">
                  <c:v>59.92</c:v>
                </c:pt>
                <c:pt idx="58">
                  <c:v>60.06</c:v>
                </c:pt>
                <c:pt idx="59">
                  <c:v>60.34</c:v>
                </c:pt>
                <c:pt idx="60">
                  <c:v>60.16</c:v>
                </c:pt>
                <c:pt idx="61">
                  <c:v>60.25</c:v>
                </c:pt>
                <c:pt idx="62">
                  <c:v>60.18</c:v>
                </c:pt>
                <c:pt idx="63">
                  <c:v>60.37</c:v>
                </c:pt>
                <c:pt idx="64">
                  <c:v>60.28</c:v>
                </c:pt>
                <c:pt idx="65">
                  <c:v>59.96</c:v>
                </c:pt>
                <c:pt idx="66">
                  <c:v>59.86</c:v>
                </c:pt>
                <c:pt idx="67">
                  <c:v>59.31</c:v>
                </c:pt>
                <c:pt idx="68">
                  <c:v>59.34</c:v>
                </c:pt>
                <c:pt idx="69">
                  <c:v>59.78</c:v>
                </c:pt>
                <c:pt idx="70">
                  <c:v>59.37</c:v>
                </c:pt>
                <c:pt idx="71">
                  <c:v>59.55</c:v>
                </c:pt>
                <c:pt idx="72">
                  <c:v>59.04</c:v>
                </c:pt>
                <c:pt idx="73">
                  <c:v>59.4</c:v>
                </c:pt>
                <c:pt idx="74">
                  <c:v>59.31</c:v>
                </c:pt>
                <c:pt idx="75">
                  <c:v>58.68</c:v>
                </c:pt>
                <c:pt idx="76">
                  <c:v>58.92</c:v>
                </c:pt>
                <c:pt idx="77">
                  <c:v>59.07</c:v>
                </c:pt>
                <c:pt idx="78">
                  <c:v>59.45</c:v>
                </c:pt>
                <c:pt idx="79">
                  <c:v>59.34</c:v>
                </c:pt>
                <c:pt idx="80">
                  <c:v>59.1</c:v>
                </c:pt>
                <c:pt idx="81">
                  <c:v>59.15</c:v>
                </c:pt>
                <c:pt idx="82">
                  <c:v>59.45</c:v>
                </c:pt>
                <c:pt idx="83">
                  <c:v>60.33</c:v>
                </c:pt>
                <c:pt idx="84">
                  <c:v>60.1</c:v>
                </c:pt>
                <c:pt idx="85">
                  <c:v>60.66</c:v>
                </c:pt>
                <c:pt idx="86">
                  <c:v>60.69</c:v>
                </c:pt>
                <c:pt idx="87">
                  <c:v>60.01</c:v>
                </c:pt>
                <c:pt idx="88">
                  <c:v>60.63</c:v>
                </c:pt>
                <c:pt idx="89">
                  <c:v>61.09</c:v>
                </c:pt>
                <c:pt idx="90">
                  <c:v>60.28</c:v>
                </c:pt>
                <c:pt idx="91">
                  <c:v>60.22</c:v>
                </c:pt>
                <c:pt idx="92">
                  <c:v>60.49</c:v>
                </c:pt>
                <c:pt idx="93">
                  <c:v>59.74</c:v>
                </c:pt>
                <c:pt idx="94">
                  <c:v>60.58</c:v>
                </c:pt>
                <c:pt idx="95">
                  <c:v>60.48</c:v>
                </c:pt>
                <c:pt idx="96">
                  <c:v>60.72</c:v>
                </c:pt>
                <c:pt idx="97">
                  <c:v>61.21</c:v>
                </c:pt>
                <c:pt idx="98">
                  <c:v>61.57</c:v>
                </c:pt>
                <c:pt idx="99">
                  <c:v>61.67</c:v>
                </c:pt>
                <c:pt idx="100">
                  <c:v>61.56</c:v>
                </c:pt>
                <c:pt idx="101">
                  <c:v>61.52</c:v>
                </c:pt>
                <c:pt idx="102">
                  <c:v>61.74</c:v>
                </c:pt>
                <c:pt idx="103">
                  <c:v>61.88</c:v>
                </c:pt>
                <c:pt idx="104">
                  <c:v>62.08</c:v>
                </c:pt>
                <c:pt idx="105">
                  <c:v>61.7</c:v>
                </c:pt>
                <c:pt idx="106">
                  <c:v>61.32</c:v>
                </c:pt>
                <c:pt idx="107">
                  <c:v>60.74</c:v>
                </c:pt>
                <c:pt idx="108">
                  <c:v>59.93</c:v>
                </c:pt>
                <c:pt idx="109">
                  <c:v>61.05</c:v>
                </c:pt>
                <c:pt idx="110">
                  <c:v>61.05</c:v>
                </c:pt>
                <c:pt idx="111">
                  <c:v>60.43</c:v>
                </c:pt>
                <c:pt idx="112">
                  <c:v>60.53</c:v>
                </c:pt>
                <c:pt idx="113">
                  <c:v>60.36</c:v>
                </c:pt>
                <c:pt idx="114">
                  <c:v>60.15</c:v>
                </c:pt>
                <c:pt idx="115">
                  <c:v>60.83</c:v>
                </c:pt>
                <c:pt idx="116">
                  <c:v>61.64</c:v>
                </c:pt>
                <c:pt idx="117">
                  <c:v>62.53</c:v>
                </c:pt>
                <c:pt idx="118">
                  <c:v>63.06</c:v>
                </c:pt>
                <c:pt idx="119">
                  <c:v>63.19</c:v>
                </c:pt>
                <c:pt idx="120">
                  <c:v>62.96</c:v>
                </c:pt>
                <c:pt idx="121">
                  <c:v>62.6</c:v>
                </c:pt>
                <c:pt idx="122">
                  <c:v>62.24</c:v>
                </c:pt>
                <c:pt idx="123">
                  <c:v>61.46</c:v>
                </c:pt>
                <c:pt idx="124">
                  <c:v>61.22</c:v>
                </c:pt>
                <c:pt idx="125">
                  <c:v>61.39</c:v>
                </c:pt>
                <c:pt idx="126">
                  <c:v>61.28</c:v>
                </c:pt>
                <c:pt idx="127">
                  <c:v>60.27</c:v>
                </c:pt>
                <c:pt idx="128">
                  <c:v>60.33</c:v>
                </c:pt>
                <c:pt idx="129">
                  <c:v>60.01</c:v>
                </c:pt>
                <c:pt idx="130">
                  <c:v>59.55</c:v>
                </c:pt>
                <c:pt idx="131">
                  <c:v>59.97</c:v>
                </c:pt>
                <c:pt idx="132">
                  <c:v>60.07</c:v>
                </c:pt>
                <c:pt idx="133">
                  <c:v>60.23</c:v>
                </c:pt>
                <c:pt idx="134">
                  <c:v>59.8</c:v>
                </c:pt>
                <c:pt idx="135">
                  <c:v>59.61</c:v>
                </c:pt>
                <c:pt idx="136">
                  <c:v>59.81</c:v>
                </c:pt>
                <c:pt idx="137">
                  <c:v>60.12</c:v>
                </c:pt>
                <c:pt idx="138">
                  <c:v>59.82</c:v>
                </c:pt>
                <c:pt idx="139">
                  <c:v>59.76</c:v>
                </c:pt>
                <c:pt idx="140">
                  <c:v>59.56</c:v>
                </c:pt>
                <c:pt idx="141">
                  <c:v>59.03</c:v>
                </c:pt>
                <c:pt idx="142">
                  <c:v>60.83</c:v>
                </c:pt>
                <c:pt idx="143">
                  <c:v>61.24</c:v>
                </c:pt>
                <c:pt idx="144">
                  <c:v>61.02</c:v>
                </c:pt>
                <c:pt idx="145">
                  <c:v>61.05</c:v>
                </c:pt>
                <c:pt idx="146">
                  <c:v>60.6</c:v>
                </c:pt>
                <c:pt idx="147">
                  <c:v>60.67</c:v>
                </c:pt>
                <c:pt idx="148">
                  <c:v>60.27</c:v>
                </c:pt>
                <c:pt idx="149">
                  <c:v>60.02</c:v>
                </c:pt>
                <c:pt idx="150">
                  <c:v>59.53</c:v>
                </c:pt>
                <c:pt idx="151">
                  <c:v>59.69</c:v>
                </c:pt>
                <c:pt idx="152">
                  <c:v>59.39</c:v>
                </c:pt>
                <c:pt idx="153">
                  <c:v>59.58</c:v>
                </c:pt>
                <c:pt idx="154">
                  <c:v>59.86</c:v>
                </c:pt>
                <c:pt idx="155">
                  <c:v>59.7</c:v>
                </c:pt>
                <c:pt idx="156">
                  <c:v>59.89</c:v>
                </c:pt>
                <c:pt idx="157">
                  <c:v>59.07</c:v>
                </c:pt>
                <c:pt idx="158">
                  <c:v>58.73</c:v>
                </c:pt>
                <c:pt idx="159">
                  <c:v>59.19</c:v>
                </c:pt>
                <c:pt idx="160">
                  <c:v>59.62</c:v>
                </c:pt>
                <c:pt idx="161">
                  <c:v>59.36</c:v>
                </c:pt>
                <c:pt idx="162">
                  <c:v>59.9</c:v>
                </c:pt>
                <c:pt idx="163">
                  <c:v>60.12</c:v>
                </c:pt>
                <c:pt idx="164">
                  <c:v>60.48</c:v>
                </c:pt>
                <c:pt idx="165">
                  <c:v>60.29</c:v>
                </c:pt>
                <c:pt idx="166">
                  <c:v>60.29</c:v>
                </c:pt>
                <c:pt idx="167">
                  <c:v>61</c:v>
                </c:pt>
                <c:pt idx="168">
                  <c:v>60.97</c:v>
                </c:pt>
                <c:pt idx="169">
                  <c:v>60.77</c:v>
                </c:pt>
                <c:pt idx="170">
                  <c:v>61.13</c:v>
                </c:pt>
                <c:pt idx="171">
                  <c:v>61.44</c:v>
                </c:pt>
                <c:pt idx="172">
                  <c:v>61.39</c:v>
                </c:pt>
                <c:pt idx="173">
                  <c:v>62.21</c:v>
                </c:pt>
                <c:pt idx="174">
                  <c:v>62.53</c:v>
                </c:pt>
                <c:pt idx="175">
                  <c:v>62.52</c:v>
                </c:pt>
                <c:pt idx="176">
                  <c:v>63.61</c:v>
                </c:pt>
                <c:pt idx="177">
                  <c:v>63.65</c:v>
                </c:pt>
                <c:pt idx="178">
                  <c:v>63.49</c:v>
                </c:pt>
                <c:pt idx="179">
                  <c:v>63.45</c:v>
                </c:pt>
                <c:pt idx="180">
                  <c:v>63.3</c:v>
                </c:pt>
                <c:pt idx="181">
                  <c:v>63.11</c:v>
                </c:pt>
                <c:pt idx="182">
                  <c:v>62.66</c:v>
                </c:pt>
                <c:pt idx="183">
                  <c:v>62.71</c:v>
                </c:pt>
                <c:pt idx="184">
                  <c:v>62.3</c:v>
                </c:pt>
                <c:pt idx="185">
                  <c:v>62.12</c:v>
                </c:pt>
                <c:pt idx="186">
                  <c:v>61.85</c:v>
                </c:pt>
                <c:pt idx="187">
                  <c:v>61.6</c:v>
                </c:pt>
                <c:pt idx="188">
                  <c:v>62.1</c:v>
                </c:pt>
                <c:pt idx="189">
                  <c:v>61.93</c:v>
                </c:pt>
                <c:pt idx="190">
                  <c:v>62.15</c:v>
                </c:pt>
                <c:pt idx="191">
                  <c:v>62.15</c:v>
                </c:pt>
                <c:pt idx="192">
                  <c:v>62.1</c:v>
                </c:pt>
                <c:pt idx="193">
                  <c:v>61.89</c:v>
                </c:pt>
                <c:pt idx="194">
                  <c:v>62.02</c:v>
                </c:pt>
                <c:pt idx="195">
                  <c:v>61.36</c:v>
                </c:pt>
                <c:pt idx="196">
                  <c:v>61.41</c:v>
                </c:pt>
                <c:pt idx="197">
                  <c:v>60.99</c:v>
                </c:pt>
                <c:pt idx="198">
                  <c:v>60.94</c:v>
                </c:pt>
                <c:pt idx="199">
                  <c:v>60.82</c:v>
                </c:pt>
                <c:pt idx="200">
                  <c:v>61.1</c:v>
                </c:pt>
                <c:pt idx="201">
                  <c:v>61.33</c:v>
                </c:pt>
                <c:pt idx="202">
                  <c:v>61.46</c:v>
                </c:pt>
                <c:pt idx="203">
                  <c:v>61</c:v>
                </c:pt>
                <c:pt idx="204">
                  <c:v>60.72</c:v>
                </c:pt>
                <c:pt idx="205">
                  <c:v>60.08</c:v>
                </c:pt>
                <c:pt idx="206">
                  <c:v>59.64</c:v>
                </c:pt>
                <c:pt idx="207">
                  <c:v>56.03</c:v>
                </c:pt>
                <c:pt idx="208">
                  <c:v>52.64</c:v>
                </c:pt>
                <c:pt idx="209">
                  <c:v>53</c:v>
                </c:pt>
                <c:pt idx="210">
                  <c:v>53.24</c:v>
                </c:pt>
                <c:pt idx="211">
                  <c:v>53.27</c:v>
                </c:pt>
                <c:pt idx="212">
                  <c:v>53.93</c:v>
                </c:pt>
                <c:pt idx="213">
                  <c:v>53.76</c:v>
                </c:pt>
                <c:pt idx="214">
                  <c:v>53.48</c:v>
                </c:pt>
                <c:pt idx="215">
                  <c:v>54.43</c:v>
                </c:pt>
                <c:pt idx="216">
                  <c:v>54.08</c:v>
                </c:pt>
                <c:pt idx="217">
                  <c:v>53.38</c:v>
                </c:pt>
                <c:pt idx="218">
                  <c:v>53.01</c:v>
                </c:pt>
                <c:pt idx="219">
                  <c:v>52.9</c:v>
                </c:pt>
                <c:pt idx="220">
                  <c:v>52.72</c:v>
                </c:pt>
                <c:pt idx="221">
                  <c:v>53.08</c:v>
                </c:pt>
                <c:pt idx="222">
                  <c:v>53.11</c:v>
                </c:pt>
                <c:pt idx="223">
                  <c:v>52.05</c:v>
                </c:pt>
                <c:pt idx="224">
                  <c:v>52.21</c:v>
                </c:pt>
                <c:pt idx="225">
                  <c:v>52.31</c:v>
                </c:pt>
                <c:pt idx="226">
                  <c:v>52.29</c:v>
                </c:pt>
                <c:pt idx="227">
                  <c:v>52.48</c:v>
                </c:pt>
                <c:pt idx="228">
                  <c:v>52.85</c:v>
                </c:pt>
                <c:pt idx="229">
                  <c:v>53.26</c:v>
                </c:pt>
                <c:pt idx="230">
                  <c:v>53.17</c:v>
                </c:pt>
                <c:pt idx="231">
                  <c:v>53.75</c:v>
                </c:pt>
                <c:pt idx="232">
                  <c:v>54.09</c:v>
                </c:pt>
                <c:pt idx="233">
                  <c:v>53.66</c:v>
                </c:pt>
                <c:pt idx="234">
                  <c:v>52.29</c:v>
                </c:pt>
                <c:pt idx="235">
                  <c:v>52.69</c:v>
                </c:pt>
                <c:pt idx="236">
                  <c:v>53.46</c:v>
                </c:pt>
                <c:pt idx="237">
                  <c:v>54.2</c:v>
                </c:pt>
                <c:pt idx="238">
                  <c:v>54.91</c:v>
                </c:pt>
                <c:pt idx="239">
                  <c:v>54.75</c:v>
                </c:pt>
                <c:pt idx="240">
                  <c:v>54.34</c:v>
                </c:pt>
                <c:pt idx="241">
                  <c:v>54.57</c:v>
                </c:pt>
                <c:pt idx="242">
                  <c:v>54.55</c:v>
                </c:pt>
                <c:pt idx="243">
                  <c:v>54.56</c:v>
                </c:pt>
                <c:pt idx="244">
                  <c:v>54.44</c:v>
                </c:pt>
                <c:pt idx="245">
                  <c:v>54.92</c:v>
                </c:pt>
                <c:pt idx="246">
                  <c:v>54.68</c:v>
                </c:pt>
                <c:pt idx="247">
                  <c:v>54.66</c:v>
                </c:pt>
                <c:pt idx="248">
                  <c:v>54.66</c:v>
                </c:pt>
                <c:pt idx="249">
                  <c:v>54.92</c:v>
                </c:pt>
                <c:pt idx="250">
                  <c:v>54.6</c:v>
                </c:pt>
                <c:pt idx="251">
                  <c:v>54.55</c:v>
                </c:pt>
                <c:pt idx="252">
                  <c:v>54.47</c:v>
                </c:pt>
                <c:pt idx="253">
                  <c:v>55.35</c:v>
                </c:pt>
                <c:pt idx="254">
                  <c:v>55.3</c:v>
                </c:pt>
                <c:pt idx="255">
                  <c:v>54.98</c:v>
                </c:pt>
                <c:pt idx="256">
                  <c:v>55.11</c:v>
                </c:pt>
                <c:pt idx="257">
                  <c:v>55.6</c:v>
                </c:pt>
                <c:pt idx="258">
                  <c:v>55.89</c:v>
                </c:pt>
                <c:pt idx="259">
                  <c:v>56.92</c:v>
                </c:pt>
                <c:pt idx="260">
                  <c:v>60.22</c:v>
                </c:pt>
                <c:pt idx="261">
                  <c:v>60.19</c:v>
                </c:pt>
                <c:pt idx="262">
                  <c:v>59.31</c:v>
                </c:pt>
                <c:pt idx="263">
                  <c:v>59.46</c:v>
                </c:pt>
                <c:pt idx="264">
                  <c:v>59.43</c:v>
                </c:pt>
                <c:pt idx="265">
                  <c:v>59.87</c:v>
                </c:pt>
                <c:pt idx="266">
                  <c:v>59.36</c:v>
                </c:pt>
                <c:pt idx="267">
                  <c:v>59.48</c:v>
                </c:pt>
                <c:pt idx="268">
                  <c:v>60.2</c:v>
                </c:pt>
                <c:pt idx="269">
                  <c:v>59.8</c:v>
                </c:pt>
                <c:pt idx="270">
                  <c:v>58.85</c:v>
                </c:pt>
                <c:pt idx="271">
                  <c:v>57.49</c:v>
                </c:pt>
                <c:pt idx="272">
                  <c:v>58.08</c:v>
                </c:pt>
                <c:pt idx="273">
                  <c:v>56.82</c:v>
                </c:pt>
                <c:pt idx="274">
                  <c:v>54.72</c:v>
                </c:pt>
                <c:pt idx="275">
                  <c:v>53.81</c:v>
                </c:pt>
                <c:pt idx="276">
                  <c:v>54.22</c:v>
                </c:pt>
                <c:pt idx="277">
                  <c:v>53.1</c:v>
                </c:pt>
                <c:pt idx="278">
                  <c:v>53.24</c:v>
                </c:pt>
                <c:pt idx="279">
                  <c:v>53.78</c:v>
                </c:pt>
                <c:pt idx="280">
                  <c:v>53.27</c:v>
                </c:pt>
                <c:pt idx="281">
                  <c:v>53.27</c:v>
                </c:pt>
                <c:pt idx="282">
                  <c:v>54.32</c:v>
                </c:pt>
                <c:pt idx="283">
                  <c:v>54.62</c:v>
                </c:pt>
                <c:pt idx="284">
                  <c:v>53.34</c:v>
                </c:pt>
                <c:pt idx="285">
                  <c:v>52.93</c:v>
                </c:pt>
                <c:pt idx="286">
                  <c:v>52.95</c:v>
                </c:pt>
                <c:pt idx="287">
                  <c:v>53.24</c:v>
                </c:pt>
                <c:pt idx="288">
                  <c:v>54.39</c:v>
                </c:pt>
                <c:pt idx="289">
                  <c:v>53.09</c:v>
                </c:pt>
                <c:pt idx="290">
                  <c:v>52.61</c:v>
                </c:pt>
                <c:pt idx="291">
                  <c:v>52.1</c:v>
                </c:pt>
                <c:pt idx="292">
                  <c:v>52.74</c:v>
                </c:pt>
                <c:pt idx="293">
                  <c:v>52.78</c:v>
                </c:pt>
                <c:pt idx="294">
                  <c:v>52.69</c:v>
                </c:pt>
                <c:pt idx="295">
                  <c:v>52.85</c:v>
                </c:pt>
                <c:pt idx="296">
                  <c:v>53.13</c:v>
                </c:pt>
                <c:pt idx="297">
                  <c:v>53.5</c:v>
                </c:pt>
                <c:pt idx="298">
                  <c:v>53.71</c:v>
                </c:pt>
                <c:pt idx="299">
                  <c:v>53.72</c:v>
                </c:pt>
                <c:pt idx="300">
                  <c:v>53.64</c:v>
                </c:pt>
                <c:pt idx="301">
                  <c:v>54.08</c:v>
                </c:pt>
                <c:pt idx="302">
                  <c:v>54.49</c:v>
                </c:pt>
                <c:pt idx="303">
                  <c:v>53.47</c:v>
                </c:pt>
                <c:pt idx="304">
                  <c:v>53.48</c:v>
                </c:pt>
                <c:pt idx="305">
                  <c:v>53.53</c:v>
                </c:pt>
                <c:pt idx="306">
                  <c:v>52.97</c:v>
                </c:pt>
                <c:pt idx="307">
                  <c:v>52.27</c:v>
                </c:pt>
                <c:pt idx="308">
                  <c:v>52.89</c:v>
                </c:pt>
                <c:pt idx="309">
                  <c:v>52.61</c:v>
                </c:pt>
                <c:pt idx="310">
                  <c:v>53.92</c:v>
                </c:pt>
                <c:pt idx="311">
                  <c:v>53.31</c:v>
                </c:pt>
                <c:pt idx="312">
                  <c:v>52.14</c:v>
                </c:pt>
                <c:pt idx="313">
                  <c:v>52.94</c:v>
                </c:pt>
                <c:pt idx="314">
                  <c:v>53.38</c:v>
                </c:pt>
                <c:pt idx="315">
                  <c:v>53.37</c:v>
                </c:pt>
                <c:pt idx="316">
                  <c:v>52.23</c:v>
                </c:pt>
                <c:pt idx="317">
                  <c:v>54.97</c:v>
                </c:pt>
                <c:pt idx="318">
                  <c:v>55.29</c:v>
                </c:pt>
                <c:pt idx="319">
                  <c:v>55.01</c:v>
                </c:pt>
                <c:pt idx="320">
                  <c:v>55.53</c:v>
                </c:pt>
                <c:pt idx="321">
                  <c:v>55.95</c:v>
                </c:pt>
                <c:pt idx="322">
                  <c:v>57.4</c:v>
                </c:pt>
                <c:pt idx="323">
                  <c:v>58.01</c:v>
                </c:pt>
                <c:pt idx="324">
                  <c:v>57.67</c:v>
                </c:pt>
                <c:pt idx="325">
                  <c:v>57.39</c:v>
                </c:pt>
                <c:pt idx="326">
                  <c:v>57.58</c:v>
                </c:pt>
                <c:pt idx="327">
                  <c:v>58.97</c:v>
                </c:pt>
                <c:pt idx="328">
                  <c:v>58.81</c:v>
                </c:pt>
                <c:pt idx="329">
                  <c:v>58.36</c:v>
                </c:pt>
                <c:pt idx="330">
                  <c:v>58.15</c:v>
                </c:pt>
                <c:pt idx="331">
                  <c:v>58.21</c:v>
                </c:pt>
                <c:pt idx="332">
                  <c:v>57.62</c:v>
                </c:pt>
                <c:pt idx="333">
                  <c:v>56.75</c:v>
                </c:pt>
                <c:pt idx="334">
                  <c:v>56.08</c:v>
                </c:pt>
                <c:pt idx="335">
                  <c:v>56.31</c:v>
                </c:pt>
                <c:pt idx="336">
                  <c:v>56.52</c:v>
                </c:pt>
                <c:pt idx="337">
                  <c:v>56.16</c:v>
                </c:pt>
                <c:pt idx="338">
                  <c:v>55.55</c:v>
                </c:pt>
                <c:pt idx="339">
                  <c:v>56.72</c:v>
                </c:pt>
                <c:pt idx="340">
                  <c:v>56.83</c:v>
                </c:pt>
                <c:pt idx="341">
                  <c:v>58.42</c:v>
                </c:pt>
                <c:pt idx="342">
                  <c:v>58.41</c:v>
                </c:pt>
                <c:pt idx="343">
                  <c:v>57.94</c:v>
                </c:pt>
                <c:pt idx="344">
                  <c:v>58.48</c:v>
                </c:pt>
                <c:pt idx="345">
                  <c:v>57.81</c:v>
                </c:pt>
                <c:pt idx="346">
                  <c:v>57.88</c:v>
                </c:pt>
                <c:pt idx="347">
                  <c:v>57.33</c:v>
                </c:pt>
                <c:pt idx="348">
                  <c:v>57.21</c:v>
                </c:pt>
                <c:pt idx="349">
                  <c:v>57.91</c:v>
                </c:pt>
                <c:pt idx="350">
                  <c:v>57.87</c:v>
                </c:pt>
                <c:pt idx="351">
                  <c:v>57.83</c:v>
                </c:pt>
                <c:pt idx="352">
                  <c:v>57.16</c:v>
                </c:pt>
                <c:pt idx="353">
                  <c:v>58.45</c:v>
                </c:pt>
                <c:pt idx="354">
                  <c:v>58.26</c:v>
                </c:pt>
                <c:pt idx="355">
                  <c:v>59.27</c:v>
                </c:pt>
                <c:pt idx="356">
                  <c:v>60.7</c:v>
                </c:pt>
                <c:pt idx="357">
                  <c:v>60.09</c:v>
                </c:pt>
                <c:pt idx="358">
                  <c:v>60.61</c:v>
                </c:pt>
                <c:pt idx="359">
                  <c:v>60.67</c:v>
                </c:pt>
                <c:pt idx="360">
                  <c:v>61.25</c:v>
                </c:pt>
                <c:pt idx="361">
                  <c:v>61.01</c:v>
                </c:pt>
                <c:pt idx="362">
                  <c:v>61.11</c:v>
                </c:pt>
                <c:pt idx="363">
                  <c:v>61.26</c:v>
                </c:pt>
                <c:pt idx="364">
                  <c:v>60.72</c:v>
                </c:pt>
                <c:pt idx="365">
                  <c:v>61.18</c:v>
                </c:pt>
                <c:pt idx="366">
                  <c:v>60.16</c:v>
                </c:pt>
                <c:pt idx="367">
                  <c:v>60.19</c:v>
                </c:pt>
                <c:pt idx="368">
                  <c:v>60.44</c:v>
                </c:pt>
                <c:pt idx="369">
                  <c:v>60.34</c:v>
                </c:pt>
                <c:pt idx="370">
                  <c:v>60.63</c:v>
                </c:pt>
                <c:pt idx="371">
                  <c:v>60.24</c:v>
                </c:pt>
                <c:pt idx="372">
                  <c:v>59.89</c:v>
                </c:pt>
                <c:pt idx="373">
                  <c:v>59.06</c:v>
                </c:pt>
                <c:pt idx="374">
                  <c:v>59.47</c:v>
                </c:pt>
                <c:pt idx="375">
                  <c:v>59.87</c:v>
                </c:pt>
                <c:pt idx="376">
                  <c:v>59.63</c:v>
                </c:pt>
                <c:pt idx="377">
                  <c:v>59.88</c:v>
                </c:pt>
                <c:pt idx="378">
                  <c:v>60.8</c:v>
                </c:pt>
                <c:pt idx="379">
                  <c:v>61.35</c:v>
                </c:pt>
                <c:pt idx="380">
                  <c:v>61.17</c:v>
                </c:pt>
                <c:pt idx="381">
                  <c:v>61.45</c:v>
                </c:pt>
                <c:pt idx="382">
                  <c:v>61.05</c:v>
                </c:pt>
                <c:pt idx="383">
                  <c:v>61.8</c:v>
                </c:pt>
                <c:pt idx="384">
                  <c:v>62.03</c:v>
                </c:pt>
                <c:pt idx="385">
                  <c:v>61.73</c:v>
                </c:pt>
                <c:pt idx="386">
                  <c:v>61.67</c:v>
                </c:pt>
                <c:pt idx="387">
                  <c:v>62.08</c:v>
                </c:pt>
                <c:pt idx="388">
                  <c:v>61.65</c:v>
                </c:pt>
                <c:pt idx="389">
                  <c:v>61.66</c:v>
                </c:pt>
                <c:pt idx="390">
                  <c:v>61.83</c:v>
                </c:pt>
                <c:pt idx="391">
                  <c:v>62.55</c:v>
                </c:pt>
                <c:pt idx="392">
                  <c:v>63.61</c:v>
                </c:pt>
                <c:pt idx="393">
                  <c:v>63.13</c:v>
                </c:pt>
                <c:pt idx="394">
                  <c:v>62.62</c:v>
                </c:pt>
                <c:pt idx="395">
                  <c:v>63.92</c:v>
                </c:pt>
                <c:pt idx="396">
                  <c:v>64.97</c:v>
                </c:pt>
                <c:pt idx="397">
                  <c:v>64.59</c:v>
                </c:pt>
                <c:pt idx="398">
                  <c:v>64.33</c:v>
                </c:pt>
                <c:pt idx="399">
                  <c:v>65.03</c:v>
                </c:pt>
                <c:pt idx="400">
                  <c:v>65.31</c:v>
                </c:pt>
                <c:pt idx="401">
                  <c:v>65.67</c:v>
                </c:pt>
                <c:pt idx="402">
                  <c:v>65.78</c:v>
                </c:pt>
                <c:pt idx="403">
                  <c:v>65.099999999999994</c:v>
                </c:pt>
                <c:pt idx="404">
                  <c:v>65.17</c:v>
                </c:pt>
                <c:pt idx="405">
                  <c:v>65.81</c:v>
                </c:pt>
                <c:pt idx="406">
                  <c:v>65.55</c:v>
                </c:pt>
                <c:pt idx="407">
                  <c:v>66.45</c:v>
                </c:pt>
                <c:pt idx="408">
                  <c:v>67.91</c:v>
                </c:pt>
                <c:pt idx="409">
                  <c:v>68.11</c:v>
                </c:pt>
                <c:pt idx="410">
                  <c:v>69.209999999999994</c:v>
                </c:pt>
                <c:pt idx="411">
                  <c:v>68.22</c:v>
                </c:pt>
                <c:pt idx="412">
                  <c:v>68.09</c:v>
                </c:pt>
                <c:pt idx="413">
                  <c:v>68.03</c:v>
                </c:pt>
                <c:pt idx="414">
                  <c:v>68.09</c:v>
                </c:pt>
                <c:pt idx="415">
                  <c:v>68.05</c:v>
                </c:pt>
                <c:pt idx="416">
                  <c:v>67.69</c:v>
                </c:pt>
                <c:pt idx="417">
                  <c:v>67.87</c:v>
                </c:pt>
                <c:pt idx="418">
                  <c:v>67.599999999999994</c:v>
                </c:pt>
                <c:pt idx="419">
                  <c:v>67.650000000000006</c:v>
                </c:pt>
                <c:pt idx="420">
                  <c:v>67.02</c:v>
                </c:pt>
                <c:pt idx="421">
                  <c:v>67.680000000000007</c:v>
                </c:pt>
                <c:pt idx="422">
                  <c:v>68.430000000000007</c:v>
                </c:pt>
                <c:pt idx="423">
                  <c:v>68.72</c:v>
                </c:pt>
                <c:pt idx="424">
                  <c:v>68.61</c:v>
                </c:pt>
                <c:pt idx="425">
                  <c:v>68.13</c:v>
                </c:pt>
                <c:pt idx="426">
                  <c:v>68.900000000000006</c:v>
                </c:pt>
                <c:pt idx="427">
                  <c:v>69.86</c:v>
                </c:pt>
                <c:pt idx="428">
                  <c:v>69.489999999999995</c:v>
                </c:pt>
                <c:pt idx="429">
                  <c:v>69.930000000000007</c:v>
                </c:pt>
                <c:pt idx="430">
                  <c:v>69.930000000000007</c:v>
                </c:pt>
                <c:pt idx="431">
                  <c:v>69.489999999999995</c:v>
                </c:pt>
                <c:pt idx="432">
                  <c:v>70.290000000000006</c:v>
                </c:pt>
                <c:pt idx="433">
                  <c:v>70.61</c:v>
                </c:pt>
                <c:pt idx="434">
                  <c:v>70.290000000000006</c:v>
                </c:pt>
                <c:pt idx="435">
                  <c:v>70.16</c:v>
                </c:pt>
                <c:pt idx="436">
                  <c:v>69.84</c:v>
                </c:pt>
                <c:pt idx="437">
                  <c:v>70.23</c:v>
                </c:pt>
                <c:pt idx="438">
                  <c:v>70.45</c:v>
                </c:pt>
                <c:pt idx="439">
                  <c:v>71.03</c:v>
                </c:pt>
                <c:pt idx="440">
                  <c:v>71.25</c:v>
                </c:pt>
                <c:pt idx="441">
                  <c:v>70.87</c:v>
                </c:pt>
                <c:pt idx="442">
                  <c:v>70.72</c:v>
                </c:pt>
                <c:pt idx="443">
                  <c:v>70.540000000000006</c:v>
                </c:pt>
                <c:pt idx="444">
                  <c:v>70.959999999999994</c:v>
                </c:pt>
                <c:pt idx="445">
                  <c:v>71.84</c:v>
                </c:pt>
                <c:pt idx="446">
                  <c:v>69.959999999999994</c:v>
                </c:pt>
                <c:pt idx="447">
                  <c:v>67.89</c:v>
                </c:pt>
                <c:pt idx="448">
                  <c:v>69.319999999999993</c:v>
                </c:pt>
                <c:pt idx="449">
                  <c:v>68.98</c:v>
                </c:pt>
                <c:pt idx="450">
                  <c:v>70.72</c:v>
                </c:pt>
                <c:pt idx="451">
                  <c:v>71.319999999999993</c:v>
                </c:pt>
                <c:pt idx="452">
                  <c:v>71.709999999999994</c:v>
                </c:pt>
                <c:pt idx="453">
                  <c:v>71.849999999999994</c:v>
                </c:pt>
                <c:pt idx="454">
                  <c:v>72.06</c:v>
                </c:pt>
                <c:pt idx="455">
                  <c:v>71.599999999999994</c:v>
                </c:pt>
                <c:pt idx="456">
                  <c:v>70.05</c:v>
                </c:pt>
                <c:pt idx="457">
                  <c:v>69.47</c:v>
                </c:pt>
                <c:pt idx="458">
                  <c:v>69.91</c:v>
                </c:pt>
                <c:pt idx="459">
                  <c:v>70.95</c:v>
                </c:pt>
                <c:pt idx="460">
                  <c:v>72.36</c:v>
                </c:pt>
                <c:pt idx="461">
                  <c:v>73.099999999999994</c:v>
                </c:pt>
                <c:pt idx="462">
                  <c:v>72.61</c:v>
                </c:pt>
                <c:pt idx="463">
                  <c:v>71.77</c:v>
                </c:pt>
                <c:pt idx="464">
                  <c:v>72.61</c:v>
                </c:pt>
                <c:pt idx="465">
                  <c:v>72.8</c:v>
                </c:pt>
                <c:pt idx="466">
                  <c:v>74.56</c:v>
                </c:pt>
                <c:pt idx="467">
                  <c:v>74.95</c:v>
                </c:pt>
                <c:pt idx="468">
                  <c:v>74.34</c:v>
                </c:pt>
                <c:pt idx="469">
                  <c:v>74.17</c:v>
                </c:pt>
                <c:pt idx="470">
                  <c:v>74.09</c:v>
                </c:pt>
                <c:pt idx="471">
                  <c:v>73.569999999999993</c:v>
                </c:pt>
                <c:pt idx="472">
                  <c:v>74.319999999999993</c:v>
                </c:pt>
                <c:pt idx="473">
                  <c:v>75.53</c:v>
                </c:pt>
                <c:pt idx="474">
                  <c:v>75.819999999999993</c:v>
                </c:pt>
                <c:pt idx="475">
                  <c:v>74.260000000000005</c:v>
                </c:pt>
                <c:pt idx="476">
                  <c:v>74.27</c:v>
                </c:pt>
                <c:pt idx="477">
                  <c:v>74.150000000000006</c:v>
                </c:pt>
                <c:pt idx="478">
                  <c:v>74.91</c:v>
                </c:pt>
                <c:pt idx="479">
                  <c:v>75.81</c:v>
                </c:pt>
                <c:pt idx="480">
                  <c:v>76.69</c:v>
                </c:pt>
                <c:pt idx="481">
                  <c:v>77.37</c:v>
                </c:pt>
                <c:pt idx="482">
                  <c:v>78.790000000000006</c:v>
                </c:pt>
                <c:pt idx="483">
                  <c:v>78.67</c:v>
                </c:pt>
                <c:pt idx="484">
                  <c:v>77.67</c:v>
                </c:pt>
                <c:pt idx="485">
                  <c:v>77.819999999999993</c:v>
                </c:pt>
                <c:pt idx="486">
                  <c:v>76.19</c:v>
                </c:pt>
                <c:pt idx="487">
                  <c:v>76.88</c:v>
                </c:pt>
                <c:pt idx="488">
                  <c:v>76.569999999999993</c:v>
                </c:pt>
                <c:pt idx="489">
                  <c:v>77.47</c:v>
                </c:pt>
                <c:pt idx="490">
                  <c:v>78.459999999999994</c:v>
                </c:pt>
                <c:pt idx="491">
                  <c:v>76.48</c:v>
                </c:pt>
                <c:pt idx="492">
                  <c:v>75.23</c:v>
                </c:pt>
                <c:pt idx="493">
                  <c:v>74.33</c:v>
                </c:pt>
                <c:pt idx="494">
                  <c:v>73.77</c:v>
                </c:pt>
                <c:pt idx="495">
                  <c:v>73.489999999999995</c:v>
                </c:pt>
                <c:pt idx="496">
                  <c:v>72.900000000000006</c:v>
                </c:pt>
                <c:pt idx="497">
                  <c:v>71.150000000000006</c:v>
                </c:pt>
                <c:pt idx="498">
                  <c:v>74</c:v>
                </c:pt>
                <c:pt idx="499">
                  <c:v>75.38</c:v>
                </c:pt>
                <c:pt idx="500">
                  <c:v>75.37</c:v>
                </c:pt>
                <c:pt idx="501">
                  <c:v>76.41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A88-4627-A9B5-13E947E20CD9}"/>
            </c:ext>
          </c:extLst>
        </c:ser>
        <c:ser>
          <c:idx val="18"/>
          <c:order val="18"/>
          <c:tx>
            <c:strRef>
              <c:f>wide_company_closes_reorder!$T$1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wide_company_closes_reorder!$T$2:$T$503</c:f>
              <c:numCache>
                <c:formatCode>General</c:formatCode>
                <c:ptCount val="502"/>
                <c:pt idx="0">
                  <c:v>60.17</c:v>
                </c:pt>
                <c:pt idx="1">
                  <c:v>59.9</c:v>
                </c:pt>
                <c:pt idx="2">
                  <c:v>59.9</c:v>
                </c:pt>
                <c:pt idx="3">
                  <c:v>60.42</c:v>
                </c:pt>
                <c:pt idx="4">
                  <c:v>60.23</c:v>
                </c:pt>
                <c:pt idx="5">
                  <c:v>60.21</c:v>
                </c:pt>
                <c:pt idx="6">
                  <c:v>60.76</c:v>
                </c:pt>
                <c:pt idx="7">
                  <c:v>60.2</c:v>
                </c:pt>
                <c:pt idx="8">
                  <c:v>60.29</c:v>
                </c:pt>
                <c:pt idx="9">
                  <c:v>60.12</c:v>
                </c:pt>
                <c:pt idx="10">
                  <c:v>60.09</c:v>
                </c:pt>
                <c:pt idx="11">
                  <c:v>59.9</c:v>
                </c:pt>
                <c:pt idx="12">
                  <c:v>60.33</c:v>
                </c:pt>
                <c:pt idx="13">
                  <c:v>60.54</c:v>
                </c:pt>
                <c:pt idx="14">
                  <c:v>61.08</c:v>
                </c:pt>
                <c:pt idx="15">
                  <c:v>61.23</c:v>
                </c:pt>
                <c:pt idx="16">
                  <c:v>61.8</c:v>
                </c:pt>
                <c:pt idx="17">
                  <c:v>63.25</c:v>
                </c:pt>
                <c:pt idx="18">
                  <c:v>62.62</c:v>
                </c:pt>
                <c:pt idx="19">
                  <c:v>62.16</c:v>
                </c:pt>
                <c:pt idx="20">
                  <c:v>61.13</c:v>
                </c:pt>
                <c:pt idx="21">
                  <c:v>60.74</c:v>
                </c:pt>
                <c:pt idx="22">
                  <c:v>61.23</c:v>
                </c:pt>
                <c:pt idx="23">
                  <c:v>61.19</c:v>
                </c:pt>
                <c:pt idx="24">
                  <c:v>60.99</c:v>
                </c:pt>
                <c:pt idx="25">
                  <c:v>60.9</c:v>
                </c:pt>
                <c:pt idx="26">
                  <c:v>61.59</c:v>
                </c:pt>
                <c:pt idx="27">
                  <c:v>61.54</c:v>
                </c:pt>
                <c:pt idx="28">
                  <c:v>62.23</c:v>
                </c:pt>
                <c:pt idx="29">
                  <c:v>62.46</c:v>
                </c:pt>
                <c:pt idx="30">
                  <c:v>62.42</c:v>
                </c:pt>
                <c:pt idx="31">
                  <c:v>62.41</c:v>
                </c:pt>
                <c:pt idx="32">
                  <c:v>62.51</c:v>
                </c:pt>
                <c:pt idx="33">
                  <c:v>62.38</c:v>
                </c:pt>
                <c:pt idx="34">
                  <c:v>62.26</c:v>
                </c:pt>
                <c:pt idx="35">
                  <c:v>62.51</c:v>
                </c:pt>
                <c:pt idx="36">
                  <c:v>62.51</c:v>
                </c:pt>
                <c:pt idx="37">
                  <c:v>62.13</c:v>
                </c:pt>
                <c:pt idx="38">
                  <c:v>61.89</c:v>
                </c:pt>
                <c:pt idx="39">
                  <c:v>62.82</c:v>
                </c:pt>
                <c:pt idx="40">
                  <c:v>61.92</c:v>
                </c:pt>
                <c:pt idx="41">
                  <c:v>62.15</c:v>
                </c:pt>
                <c:pt idx="42">
                  <c:v>62.17</c:v>
                </c:pt>
                <c:pt idx="43">
                  <c:v>62.3</c:v>
                </c:pt>
                <c:pt idx="44">
                  <c:v>62.87</c:v>
                </c:pt>
                <c:pt idx="45">
                  <c:v>62.62</c:v>
                </c:pt>
                <c:pt idx="46">
                  <c:v>62.81</c:v>
                </c:pt>
                <c:pt idx="47">
                  <c:v>62.6</c:v>
                </c:pt>
                <c:pt idx="48">
                  <c:v>62.31</c:v>
                </c:pt>
                <c:pt idx="49">
                  <c:v>62.64</c:v>
                </c:pt>
                <c:pt idx="50">
                  <c:v>62.53</c:v>
                </c:pt>
                <c:pt idx="51">
                  <c:v>62.75</c:v>
                </c:pt>
                <c:pt idx="52">
                  <c:v>62.81</c:v>
                </c:pt>
                <c:pt idx="53">
                  <c:v>62.11</c:v>
                </c:pt>
                <c:pt idx="54">
                  <c:v>62.91</c:v>
                </c:pt>
                <c:pt idx="55">
                  <c:v>62.75</c:v>
                </c:pt>
                <c:pt idx="56">
                  <c:v>62.86</c:v>
                </c:pt>
                <c:pt idx="57">
                  <c:v>62.97</c:v>
                </c:pt>
                <c:pt idx="58">
                  <c:v>63.16</c:v>
                </c:pt>
                <c:pt idx="59">
                  <c:v>63.33</c:v>
                </c:pt>
                <c:pt idx="60">
                  <c:v>63.56</c:v>
                </c:pt>
                <c:pt idx="61">
                  <c:v>63.71</c:v>
                </c:pt>
                <c:pt idx="62">
                  <c:v>63.41</c:v>
                </c:pt>
                <c:pt idx="63">
                  <c:v>63.58</c:v>
                </c:pt>
                <c:pt idx="64">
                  <c:v>63.42</c:v>
                </c:pt>
                <c:pt idx="65">
                  <c:v>63.58</c:v>
                </c:pt>
                <c:pt idx="66">
                  <c:v>63.54</c:v>
                </c:pt>
                <c:pt idx="67">
                  <c:v>63.39</c:v>
                </c:pt>
                <c:pt idx="68">
                  <c:v>63.34</c:v>
                </c:pt>
                <c:pt idx="69">
                  <c:v>63.1</c:v>
                </c:pt>
                <c:pt idx="70">
                  <c:v>62.83</c:v>
                </c:pt>
                <c:pt idx="71">
                  <c:v>63.34</c:v>
                </c:pt>
                <c:pt idx="72">
                  <c:v>63.25</c:v>
                </c:pt>
                <c:pt idx="73">
                  <c:v>62.92</c:v>
                </c:pt>
                <c:pt idx="74">
                  <c:v>63.36</c:v>
                </c:pt>
                <c:pt idx="75">
                  <c:v>64.23</c:v>
                </c:pt>
                <c:pt idx="76">
                  <c:v>65.319999999999993</c:v>
                </c:pt>
                <c:pt idx="77">
                  <c:v>65.7</c:v>
                </c:pt>
                <c:pt idx="78">
                  <c:v>65.61</c:v>
                </c:pt>
                <c:pt idx="79">
                  <c:v>66.040000000000006</c:v>
                </c:pt>
                <c:pt idx="80">
                  <c:v>66.22</c:v>
                </c:pt>
                <c:pt idx="81">
                  <c:v>67.14</c:v>
                </c:pt>
                <c:pt idx="82">
                  <c:v>67.040000000000006</c:v>
                </c:pt>
                <c:pt idx="83">
                  <c:v>66.819999999999993</c:v>
                </c:pt>
                <c:pt idx="84">
                  <c:v>66.56</c:v>
                </c:pt>
                <c:pt idx="85">
                  <c:v>66.75</c:v>
                </c:pt>
                <c:pt idx="86">
                  <c:v>66.69</c:v>
                </c:pt>
                <c:pt idx="87">
                  <c:v>66.790000000000006</c:v>
                </c:pt>
                <c:pt idx="88">
                  <c:v>67.05</c:v>
                </c:pt>
                <c:pt idx="89">
                  <c:v>66.22</c:v>
                </c:pt>
                <c:pt idx="90">
                  <c:v>66.150000000000006</c:v>
                </c:pt>
                <c:pt idx="91">
                  <c:v>66.2</c:v>
                </c:pt>
                <c:pt idx="92">
                  <c:v>67.53</c:v>
                </c:pt>
                <c:pt idx="93">
                  <c:v>65.650000000000006</c:v>
                </c:pt>
                <c:pt idx="94">
                  <c:v>65.87</c:v>
                </c:pt>
                <c:pt idx="95">
                  <c:v>65.849999999999994</c:v>
                </c:pt>
                <c:pt idx="96">
                  <c:v>66.59</c:v>
                </c:pt>
                <c:pt idx="97">
                  <c:v>66.819999999999993</c:v>
                </c:pt>
                <c:pt idx="98">
                  <c:v>66.91</c:v>
                </c:pt>
                <c:pt idx="99">
                  <c:v>67.73</c:v>
                </c:pt>
                <c:pt idx="100">
                  <c:v>68.06</c:v>
                </c:pt>
                <c:pt idx="101">
                  <c:v>68.5</c:v>
                </c:pt>
                <c:pt idx="102">
                  <c:v>67.95</c:v>
                </c:pt>
                <c:pt idx="103">
                  <c:v>68.2</c:v>
                </c:pt>
                <c:pt idx="104">
                  <c:v>69.81</c:v>
                </c:pt>
                <c:pt idx="105">
                  <c:v>70.319999999999993</c:v>
                </c:pt>
                <c:pt idx="106">
                  <c:v>70.55</c:v>
                </c:pt>
                <c:pt idx="107">
                  <c:v>70.430000000000007</c:v>
                </c:pt>
                <c:pt idx="108">
                  <c:v>70</c:v>
                </c:pt>
                <c:pt idx="109">
                  <c:v>68.41</c:v>
                </c:pt>
                <c:pt idx="110">
                  <c:v>67.89</c:v>
                </c:pt>
                <c:pt idx="111">
                  <c:v>68.73</c:v>
                </c:pt>
                <c:pt idx="112">
                  <c:v>68.36</c:v>
                </c:pt>
                <c:pt idx="113">
                  <c:v>68</c:v>
                </c:pt>
                <c:pt idx="114">
                  <c:v>68.099999999999994</c:v>
                </c:pt>
                <c:pt idx="115">
                  <c:v>68.95</c:v>
                </c:pt>
                <c:pt idx="116">
                  <c:v>68.010000000000005</c:v>
                </c:pt>
                <c:pt idx="117">
                  <c:v>68.36</c:v>
                </c:pt>
                <c:pt idx="118">
                  <c:v>68.36</c:v>
                </c:pt>
                <c:pt idx="119">
                  <c:v>69.28</c:v>
                </c:pt>
                <c:pt idx="120">
                  <c:v>68.62</c:v>
                </c:pt>
                <c:pt idx="121">
                  <c:v>67.33</c:v>
                </c:pt>
                <c:pt idx="122">
                  <c:v>67.91</c:v>
                </c:pt>
                <c:pt idx="123">
                  <c:v>66.63</c:v>
                </c:pt>
                <c:pt idx="124">
                  <c:v>67.06</c:v>
                </c:pt>
                <c:pt idx="125">
                  <c:v>66.319999999999993</c:v>
                </c:pt>
                <c:pt idx="126">
                  <c:v>67.209999999999994</c:v>
                </c:pt>
                <c:pt idx="127">
                  <c:v>66.709999999999994</c:v>
                </c:pt>
                <c:pt idx="128">
                  <c:v>67.58</c:v>
                </c:pt>
                <c:pt idx="129">
                  <c:v>68.08</c:v>
                </c:pt>
                <c:pt idx="130">
                  <c:v>68.09</c:v>
                </c:pt>
                <c:pt idx="131">
                  <c:v>69.22</c:v>
                </c:pt>
                <c:pt idx="132">
                  <c:v>69.819999999999993</c:v>
                </c:pt>
                <c:pt idx="133">
                  <c:v>70.81</c:v>
                </c:pt>
                <c:pt idx="134">
                  <c:v>71.36</c:v>
                </c:pt>
                <c:pt idx="135">
                  <c:v>71.31</c:v>
                </c:pt>
                <c:pt idx="136">
                  <c:v>71.86</c:v>
                </c:pt>
                <c:pt idx="137">
                  <c:v>72.209999999999994</c:v>
                </c:pt>
                <c:pt idx="138">
                  <c:v>71.790000000000006</c:v>
                </c:pt>
                <c:pt idx="139">
                  <c:v>71.599999999999994</c:v>
                </c:pt>
                <c:pt idx="140">
                  <c:v>72.180000000000007</c:v>
                </c:pt>
                <c:pt idx="141">
                  <c:v>72.040000000000006</c:v>
                </c:pt>
                <c:pt idx="142">
                  <c:v>71.180000000000007</c:v>
                </c:pt>
                <c:pt idx="143">
                  <c:v>71.06</c:v>
                </c:pt>
                <c:pt idx="144">
                  <c:v>70.73</c:v>
                </c:pt>
                <c:pt idx="145">
                  <c:v>70.61</c:v>
                </c:pt>
                <c:pt idx="146">
                  <c:v>70.3</c:v>
                </c:pt>
                <c:pt idx="147">
                  <c:v>70.19</c:v>
                </c:pt>
                <c:pt idx="148">
                  <c:v>70.709999999999994</c:v>
                </c:pt>
                <c:pt idx="149">
                  <c:v>70.44</c:v>
                </c:pt>
                <c:pt idx="150">
                  <c:v>70.819999999999993</c:v>
                </c:pt>
                <c:pt idx="151">
                  <c:v>70.510000000000005</c:v>
                </c:pt>
                <c:pt idx="152">
                  <c:v>69.47</c:v>
                </c:pt>
                <c:pt idx="153">
                  <c:v>70.53</c:v>
                </c:pt>
                <c:pt idx="154">
                  <c:v>71.59</c:v>
                </c:pt>
                <c:pt idx="155">
                  <c:v>71.61</c:v>
                </c:pt>
                <c:pt idx="156">
                  <c:v>72.040000000000006</c:v>
                </c:pt>
                <c:pt idx="157">
                  <c:v>70.81</c:v>
                </c:pt>
                <c:pt idx="158">
                  <c:v>70.900000000000006</c:v>
                </c:pt>
                <c:pt idx="159">
                  <c:v>70.569999999999993</c:v>
                </c:pt>
                <c:pt idx="160">
                  <c:v>71.56</c:v>
                </c:pt>
                <c:pt idx="161">
                  <c:v>71.13</c:v>
                </c:pt>
                <c:pt idx="162">
                  <c:v>71.099999999999994</c:v>
                </c:pt>
                <c:pt idx="163">
                  <c:v>71.22</c:v>
                </c:pt>
                <c:pt idx="164">
                  <c:v>71.23</c:v>
                </c:pt>
                <c:pt idx="165">
                  <c:v>71.45</c:v>
                </c:pt>
                <c:pt idx="166">
                  <c:v>72.39</c:v>
                </c:pt>
                <c:pt idx="167">
                  <c:v>73.13</c:v>
                </c:pt>
                <c:pt idx="168">
                  <c:v>72.319999999999993</c:v>
                </c:pt>
                <c:pt idx="169">
                  <c:v>72</c:v>
                </c:pt>
                <c:pt idx="170">
                  <c:v>71.790000000000006</c:v>
                </c:pt>
                <c:pt idx="171">
                  <c:v>72.709999999999994</c:v>
                </c:pt>
                <c:pt idx="172">
                  <c:v>72.36</c:v>
                </c:pt>
                <c:pt idx="173">
                  <c:v>73.12</c:v>
                </c:pt>
                <c:pt idx="174">
                  <c:v>73.040000000000006</c:v>
                </c:pt>
                <c:pt idx="175">
                  <c:v>73.56</c:v>
                </c:pt>
                <c:pt idx="176">
                  <c:v>73.13</c:v>
                </c:pt>
                <c:pt idx="177">
                  <c:v>73.66</c:v>
                </c:pt>
                <c:pt idx="178">
                  <c:v>73.510000000000005</c:v>
                </c:pt>
                <c:pt idx="179">
                  <c:v>73.790000000000006</c:v>
                </c:pt>
                <c:pt idx="180">
                  <c:v>73.3</c:v>
                </c:pt>
                <c:pt idx="181">
                  <c:v>72.58</c:v>
                </c:pt>
                <c:pt idx="182">
                  <c:v>72.78</c:v>
                </c:pt>
                <c:pt idx="183">
                  <c:v>71.650000000000006</c:v>
                </c:pt>
                <c:pt idx="184">
                  <c:v>71.650000000000006</c:v>
                </c:pt>
                <c:pt idx="185">
                  <c:v>72.23</c:v>
                </c:pt>
                <c:pt idx="186">
                  <c:v>72.25</c:v>
                </c:pt>
                <c:pt idx="187">
                  <c:v>72.86</c:v>
                </c:pt>
                <c:pt idx="188">
                  <c:v>72.97</c:v>
                </c:pt>
                <c:pt idx="189">
                  <c:v>72.63</c:v>
                </c:pt>
                <c:pt idx="190">
                  <c:v>73.05</c:v>
                </c:pt>
                <c:pt idx="191">
                  <c:v>74.3</c:v>
                </c:pt>
                <c:pt idx="192">
                  <c:v>74.33</c:v>
                </c:pt>
                <c:pt idx="193">
                  <c:v>74.62</c:v>
                </c:pt>
                <c:pt idx="194">
                  <c:v>74.62</c:v>
                </c:pt>
                <c:pt idx="195">
                  <c:v>74.739999999999995</c:v>
                </c:pt>
                <c:pt idx="196">
                  <c:v>75.430000000000007</c:v>
                </c:pt>
                <c:pt idx="197">
                  <c:v>75.790000000000006</c:v>
                </c:pt>
                <c:pt idx="198">
                  <c:v>75.95</c:v>
                </c:pt>
                <c:pt idx="199">
                  <c:v>75.89</c:v>
                </c:pt>
                <c:pt idx="200">
                  <c:v>75.91</c:v>
                </c:pt>
                <c:pt idx="201">
                  <c:v>76.2</c:v>
                </c:pt>
                <c:pt idx="202">
                  <c:v>77.08</c:v>
                </c:pt>
                <c:pt idx="203">
                  <c:v>77.099999999999994</c:v>
                </c:pt>
                <c:pt idx="204">
                  <c:v>77.13</c:v>
                </c:pt>
                <c:pt idx="205">
                  <c:v>76.91</c:v>
                </c:pt>
                <c:pt idx="206">
                  <c:v>77.03</c:v>
                </c:pt>
                <c:pt idx="207">
                  <c:v>81.97</c:v>
                </c:pt>
                <c:pt idx="208">
                  <c:v>82.05</c:v>
                </c:pt>
                <c:pt idx="209">
                  <c:v>81.36</c:v>
                </c:pt>
                <c:pt idx="210">
                  <c:v>81.36</c:v>
                </c:pt>
                <c:pt idx="211">
                  <c:v>82.21</c:v>
                </c:pt>
                <c:pt idx="212">
                  <c:v>82.29</c:v>
                </c:pt>
                <c:pt idx="213">
                  <c:v>82.62</c:v>
                </c:pt>
                <c:pt idx="214">
                  <c:v>82.42</c:v>
                </c:pt>
                <c:pt idx="215">
                  <c:v>82.71</c:v>
                </c:pt>
                <c:pt idx="216">
                  <c:v>82.25</c:v>
                </c:pt>
                <c:pt idx="217">
                  <c:v>82.03</c:v>
                </c:pt>
                <c:pt idx="218">
                  <c:v>82.09</c:v>
                </c:pt>
                <c:pt idx="219">
                  <c:v>82.21</c:v>
                </c:pt>
                <c:pt idx="220">
                  <c:v>81.569999999999993</c:v>
                </c:pt>
                <c:pt idx="221">
                  <c:v>81.78</c:v>
                </c:pt>
                <c:pt idx="222">
                  <c:v>81</c:v>
                </c:pt>
                <c:pt idx="223">
                  <c:v>81.13</c:v>
                </c:pt>
                <c:pt idx="224">
                  <c:v>82.3</c:v>
                </c:pt>
                <c:pt idx="225">
                  <c:v>81.7</c:v>
                </c:pt>
                <c:pt idx="226">
                  <c:v>81.84</c:v>
                </c:pt>
                <c:pt idx="227">
                  <c:v>82.44</c:v>
                </c:pt>
                <c:pt idx="228">
                  <c:v>83.44</c:v>
                </c:pt>
                <c:pt idx="229">
                  <c:v>81.92</c:v>
                </c:pt>
                <c:pt idx="230">
                  <c:v>82.74</c:v>
                </c:pt>
                <c:pt idx="231">
                  <c:v>82.83</c:v>
                </c:pt>
                <c:pt idx="232">
                  <c:v>79.7</c:v>
                </c:pt>
                <c:pt idx="233">
                  <c:v>80.2</c:v>
                </c:pt>
                <c:pt idx="234">
                  <c:v>81.37</c:v>
                </c:pt>
                <c:pt idx="235">
                  <c:v>81.09</c:v>
                </c:pt>
                <c:pt idx="236">
                  <c:v>82.73</c:v>
                </c:pt>
                <c:pt idx="237">
                  <c:v>83.78</c:v>
                </c:pt>
                <c:pt idx="238">
                  <c:v>84.12</c:v>
                </c:pt>
                <c:pt idx="239">
                  <c:v>83.9</c:v>
                </c:pt>
                <c:pt idx="240">
                  <c:v>83.25</c:v>
                </c:pt>
                <c:pt idx="241">
                  <c:v>85.37</c:v>
                </c:pt>
                <c:pt idx="242">
                  <c:v>84.91</c:v>
                </c:pt>
                <c:pt idx="243">
                  <c:v>84.37</c:v>
                </c:pt>
                <c:pt idx="244">
                  <c:v>84.06</c:v>
                </c:pt>
                <c:pt idx="245">
                  <c:v>84.05</c:v>
                </c:pt>
                <c:pt idx="246">
                  <c:v>84.05</c:v>
                </c:pt>
                <c:pt idx="247">
                  <c:v>83.95</c:v>
                </c:pt>
                <c:pt idx="248">
                  <c:v>84.25</c:v>
                </c:pt>
                <c:pt idx="249">
                  <c:v>84.26</c:v>
                </c:pt>
                <c:pt idx="250">
                  <c:v>84.08</c:v>
                </c:pt>
                <c:pt idx="251">
                  <c:v>84.49</c:v>
                </c:pt>
                <c:pt idx="252">
                  <c:v>84.88</c:v>
                </c:pt>
                <c:pt idx="253">
                  <c:v>85.63</c:v>
                </c:pt>
                <c:pt idx="254">
                  <c:v>86.69</c:v>
                </c:pt>
                <c:pt idx="255">
                  <c:v>86.78</c:v>
                </c:pt>
                <c:pt idx="256">
                  <c:v>86.72</c:v>
                </c:pt>
                <c:pt idx="257">
                  <c:v>86.33</c:v>
                </c:pt>
                <c:pt idx="258">
                  <c:v>86.58</c:v>
                </c:pt>
                <c:pt idx="259">
                  <c:v>88.08</c:v>
                </c:pt>
                <c:pt idx="260">
                  <c:v>86.85</c:v>
                </c:pt>
                <c:pt idx="261">
                  <c:v>88.61</c:v>
                </c:pt>
                <c:pt idx="262">
                  <c:v>88.57</c:v>
                </c:pt>
                <c:pt idx="263">
                  <c:v>88.47</c:v>
                </c:pt>
                <c:pt idx="264">
                  <c:v>90.05</c:v>
                </c:pt>
                <c:pt idx="265">
                  <c:v>90.34</c:v>
                </c:pt>
                <c:pt idx="266">
                  <c:v>90.26</c:v>
                </c:pt>
                <c:pt idx="267">
                  <c:v>90.76</c:v>
                </c:pt>
                <c:pt idx="268">
                  <c:v>92.46</c:v>
                </c:pt>
                <c:pt idx="269">
                  <c:v>92.32</c:v>
                </c:pt>
                <c:pt idx="270">
                  <c:v>91.16</c:v>
                </c:pt>
                <c:pt idx="271">
                  <c:v>93.39</c:v>
                </c:pt>
                <c:pt idx="272">
                  <c:v>92.66</c:v>
                </c:pt>
                <c:pt idx="273">
                  <c:v>90.22</c:v>
                </c:pt>
                <c:pt idx="274">
                  <c:v>86.5</c:v>
                </c:pt>
                <c:pt idx="275">
                  <c:v>89.78</c:v>
                </c:pt>
                <c:pt idx="276">
                  <c:v>88.09</c:v>
                </c:pt>
                <c:pt idx="277">
                  <c:v>83.56</c:v>
                </c:pt>
                <c:pt idx="278">
                  <c:v>86.68</c:v>
                </c:pt>
                <c:pt idx="279">
                  <c:v>87.61</c:v>
                </c:pt>
                <c:pt idx="280">
                  <c:v>88.3</c:v>
                </c:pt>
                <c:pt idx="281">
                  <c:v>89.68</c:v>
                </c:pt>
                <c:pt idx="282">
                  <c:v>91.51</c:v>
                </c:pt>
                <c:pt idx="283">
                  <c:v>90.86</c:v>
                </c:pt>
                <c:pt idx="284">
                  <c:v>91.57</c:v>
                </c:pt>
                <c:pt idx="285">
                  <c:v>90.36</c:v>
                </c:pt>
                <c:pt idx="286">
                  <c:v>90.59</c:v>
                </c:pt>
                <c:pt idx="287">
                  <c:v>92.89</c:v>
                </c:pt>
                <c:pt idx="288">
                  <c:v>94.24</c:v>
                </c:pt>
                <c:pt idx="289">
                  <c:v>93.03</c:v>
                </c:pt>
                <c:pt idx="290">
                  <c:v>92.61</c:v>
                </c:pt>
                <c:pt idx="291">
                  <c:v>91.7</c:v>
                </c:pt>
                <c:pt idx="292">
                  <c:v>91.9</c:v>
                </c:pt>
                <c:pt idx="293">
                  <c:v>92.48</c:v>
                </c:pt>
                <c:pt idx="294">
                  <c:v>92.16</c:v>
                </c:pt>
                <c:pt idx="295">
                  <c:v>92.7</c:v>
                </c:pt>
                <c:pt idx="296">
                  <c:v>93.26</c:v>
                </c:pt>
                <c:pt idx="297">
                  <c:v>95.34</c:v>
                </c:pt>
                <c:pt idx="298">
                  <c:v>95.57</c:v>
                </c:pt>
                <c:pt idx="299">
                  <c:v>93.24</c:v>
                </c:pt>
                <c:pt idx="300">
                  <c:v>92.69</c:v>
                </c:pt>
                <c:pt idx="301">
                  <c:v>93.01</c:v>
                </c:pt>
                <c:pt idx="302">
                  <c:v>93.43</c:v>
                </c:pt>
                <c:pt idx="303">
                  <c:v>91.74</c:v>
                </c:pt>
                <c:pt idx="304">
                  <c:v>91.98</c:v>
                </c:pt>
                <c:pt idx="305">
                  <c:v>91.33</c:v>
                </c:pt>
                <c:pt idx="306">
                  <c:v>88.68</c:v>
                </c:pt>
                <c:pt idx="307">
                  <c:v>86.1</c:v>
                </c:pt>
                <c:pt idx="308">
                  <c:v>92.62</c:v>
                </c:pt>
                <c:pt idx="309">
                  <c:v>88.36</c:v>
                </c:pt>
                <c:pt idx="310">
                  <c:v>88.28</c:v>
                </c:pt>
                <c:pt idx="311">
                  <c:v>90.14</c:v>
                </c:pt>
                <c:pt idx="312">
                  <c:v>87.42</c:v>
                </c:pt>
                <c:pt idx="313">
                  <c:v>88.6</c:v>
                </c:pt>
                <c:pt idx="314">
                  <c:v>91.19</c:v>
                </c:pt>
                <c:pt idx="315">
                  <c:v>91.23</c:v>
                </c:pt>
                <c:pt idx="316">
                  <c:v>89.11</c:v>
                </c:pt>
                <c:pt idx="317">
                  <c:v>89.64</c:v>
                </c:pt>
                <c:pt idx="318">
                  <c:v>91.73</c:v>
                </c:pt>
                <c:pt idx="319">
                  <c:v>90.72</c:v>
                </c:pt>
                <c:pt idx="320">
                  <c:v>92.42</c:v>
                </c:pt>
                <c:pt idx="321">
                  <c:v>91.93</c:v>
                </c:pt>
                <c:pt idx="322">
                  <c:v>93</c:v>
                </c:pt>
                <c:pt idx="323">
                  <c:v>94.88</c:v>
                </c:pt>
                <c:pt idx="324">
                  <c:v>95.24</c:v>
                </c:pt>
                <c:pt idx="325">
                  <c:v>94.92</c:v>
                </c:pt>
                <c:pt idx="326">
                  <c:v>93.82</c:v>
                </c:pt>
                <c:pt idx="327">
                  <c:v>94.17</c:v>
                </c:pt>
                <c:pt idx="328">
                  <c:v>91.97</c:v>
                </c:pt>
                <c:pt idx="329">
                  <c:v>91.17</c:v>
                </c:pt>
                <c:pt idx="330">
                  <c:v>93.09</c:v>
                </c:pt>
                <c:pt idx="331">
                  <c:v>94.63</c:v>
                </c:pt>
                <c:pt idx="332">
                  <c:v>92.36</c:v>
                </c:pt>
                <c:pt idx="333">
                  <c:v>93.82</c:v>
                </c:pt>
                <c:pt idx="334">
                  <c:v>92.35</c:v>
                </c:pt>
                <c:pt idx="335">
                  <c:v>92.9</c:v>
                </c:pt>
                <c:pt idx="336">
                  <c:v>93.98</c:v>
                </c:pt>
                <c:pt idx="337">
                  <c:v>95.03</c:v>
                </c:pt>
                <c:pt idx="338">
                  <c:v>94.62</c:v>
                </c:pt>
                <c:pt idx="339">
                  <c:v>95.74</c:v>
                </c:pt>
                <c:pt idx="340">
                  <c:v>96.7</c:v>
                </c:pt>
                <c:pt idx="341">
                  <c:v>96.49</c:v>
                </c:pt>
                <c:pt idx="342">
                  <c:v>96.81</c:v>
                </c:pt>
                <c:pt idx="343">
                  <c:v>96.11</c:v>
                </c:pt>
                <c:pt idx="344">
                  <c:v>96.36</c:v>
                </c:pt>
                <c:pt idx="345">
                  <c:v>95.4</c:v>
                </c:pt>
                <c:pt idx="346">
                  <c:v>95.58</c:v>
                </c:pt>
                <c:pt idx="347">
                  <c:v>96.81</c:v>
                </c:pt>
                <c:pt idx="348">
                  <c:v>96.71</c:v>
                </c:pt>
                <c:pt idx="349">
                  <c:v>97.86</c:v>
                </c:pt>
                <c:pt idx="350">
                  <c:v>97.51</c:v>
                </c:pt>
                <c:pt idx="351">
                  <c:v>97.56</c:v>
                </c:pt>
                <c:pt idx="352">
                  <c:v>97.21</c:v>
                </c:pt>
                <c:pt idx="353">
                  <c:v>98.15</c:v>
                </c:pt>
                <c:pt idx="354">
                  <c:v>98.04</c:v>
                </c:pt>
                <c:pt idx="355">
                  <c:v>99.97</c:v>
                </c:pt>
                <c:pt idx="356">
                  <c:v>100.84</c:v>
                </c:pt>
                <c:pt idx="357">
                  <c:v>101.36</c:v>
                </c:pt>
                <c:pt idx="358">
                  <c:v>101.66</c:v>
                </c:pt>
                <c:pt idx="359">
                  <c:v>100.06</c:v>
                </c:pt>
                <c:pt idx="360">
                  <c:v>100.8</c:v>
                </c:pt>
                <c:pt idx="361">
                  <c:v>100.23</c:v>
                </c:pt>
                <c:pt idx="362">
                  <c:v>100.49</c:v>
                </c:pt>
                <c:pt idx="363">
                  <c:v>100.03</c:v>
                </c:pt>
                <c:pt idx="364">
                  <c:v>100.6</c:v>
                </c:pt>
                <c:pt idx="365">
                  <c:v>99.32</c:v>
                </c:pt>
                <c:pt idx="366">
                  <c:v>100.04</c:v>
                </c:pt>
                <c:pt idx="367">
                  <c:v>100.04</c:v>
                </c:pt>
                <c:pt idx="368">
                  <c:v>101.04</c:v>
                </c:pt>
                <c:pt idx="369">
                  <c:v>100.32</c:v>
                </c:pt>
                <c:pt idx="370">
                  <c:v>99.59</c:v>
                </c:pt>
                <c:pt idx="371">
                  <c:v>97.59</c:v>
                </c:pt>
                <c:pt idx="372">
                  <c:v>98.28</c:v>
                </c:pt>
                <c:pt idx="373">
                  <c:v>96.75</c:v>
                </c:pt>
                <c:pt idx="374">
                  <c:v>97.83</c:v>
                </c:pt>
                <c:pt idx="375">
                  <c:v>97.81</c:v>
                </c:pt>
                <c:pt idx="376">
                  <c:v>99.2</c:v>
                </c:pt>
                <c:pt idx="377">
                  <c:v>98.25</c:v>
                </c:pt>
                <c:pt idx="378">
                  <c:v>98.95</c:v>
                </c:pt>
                <c:pt idx="379">
                  <c:v>100.34</c:v>
                </c:pt>
                <c:pt idx="380">
                  <c:v>101.02</c:v>
                </c:pt>
                <c:pt idx="381">
                  <c:v>101.29</c:v>
                </c:pt>
                <c:pt idx="382">
                  <c:v>101.15</c:v>
                </c:pt>
                <c:pt idx="383">
                  <c:v>103.34</c:v>
                </c:pt>
                <c:pt idx="384">
                  <c:v>104.57</c:v>
                </c:pt>
                <c:pt idx="385">
                  <c:v>104.06</c:v>
                </c:pt>
                <c:pt idx="386">
                  <c:v>105.09</c:v>
                </c:pt>
                <c:pt idx="387">
                  <c:v>104.27</c:v>
                </c:pt>
                <c:pt idx="388">
                  <c:v>103.55</c:v>
                </c:pt>
                <c:pt idx="389">
                  <c:v>105.41</c:v>
                </c:pt>
                <c:pt idx="390">
                  <c:v>107.09</c:v>
                </c:pt>
                <c:pt idx="391">
                  <c:v>106.79</c:v>
                </c:pt>
                <c:pt idx="392">
                  <c:v>109.93</c:v>
                </c:pt>
                <c:pt idx="393">
                  <c:v>108.73</c:v>
                </c:pt>
                <c:pt idx="394">
                  <c:v>106.81</c:v>
                </c:pt>
                <c:pt idx="395">
                  <c:v>104.51</c:v>
                </c:pt>
                <c:pt idx="396">
                  <c:v>105.22</c:v>
                </c:pt>
                <c:pt idx="397">
                  <c:v>105.42</c:v>
                </c:pt>
                <c:pt idx="398">
                  <c:v>106.7</c:v>
                </c:pt>
                <c:pt idx="399">
                  <c:v>107.16</c:v>
                </c:pt>
                <c:pt idx="400">
                  <c:v>107.25</c:v>
                </c:pt>
                <c:pt idx="401">
                  <c:v>108</c:v>
                </c:pt>
                <c:pt idx="402">
                  <c:v>108.6</c:v>
                </c:pt>
                <c:pt idx="403">
                  <c:v>108.78</c:v>
                </c:pt>
                <c:pt idx="404">
                  <c:v>108.12</c:v>
                </c:pt>
                <c:pt idx="405">
                  <c:v>107.33</c:v>
                </c:pt>
                <c:pt idx="406">
                  <c:v>108.67</c:v>
                </c:pt>
                <c:pt idx="407">
                  <c:v>107.2</c:v>
                </c:pt>
                <c:pt idx="408">
                  <c:v>107.18</c:v>
                </c:pt>
                <c:pt idx="409">
                  <c:v>107.12</c:v>
                </c:pt>
                <c:pt idx="410">
                  <c:v>106.41</c:v>
                </c:pt>
                <c:pt idx="411">
                  <c:v>105.52</c:v>
                </c:pt>
                <c:pt idx="412">
                  <c:v>106.6</c:v>
                </c:pt>
                <c:pt idx="413">
                  <c:v>107.1</c:v>
                </c:pt>
                <c:pt idx="414">
                  <c:v>107.93</c:v>
                </c:pt>
                <c:pt idx="415">
                  <c:v>109.13</c:v>
                </c:pt>
                <c:pt idx="416">
                  <c:v>109.79</c:v>
                </c:pt>
                <c:pt idx="417">
                  <c:v>111.54</c:v>
                </c:pt>
                <c:pt idx="418">
                  <c:v>111.47</c:v>
                </c:pt>
                <c:pt idx="419">
                  <c:v>111.85</c:v>
                </c:pt>
                <c:pt idx="420">
                  <c:v>111.23</c:v>
                </c:pt>
                <c:pt idx="421">
                  <c:v>108.02</c:v>
                </c:pt>
                <c:pt idx="422">
                  <c:v>108.27</c:v>
                </c:pt>
                <c:pt idx="423">
                  <c:v>107.74</c:v>
                </c:pt>
                <c:pt idx="424">
                  <c:v>108.91</c:v>
                </c:pt>
                <c:pt idx="425">
                  <c:v>110.76</c:v>
                </c:pt>
                <c:pt idx="426">
                  <c:v>111.23</c:v>
                </c:pt>
                <c:pt idx="427">
                  <c:v>112.42</c:v>
                </c:pt>
                <c:pt idx="428">
                  <c:v>112.88</c:v>
                </c:pt>
                <c:pt idx="429">
                  <c:v>111.66</c:v>
                </c:pt>
                <c:pt idx="430">
                  <c:v>112.72</c:v>
                </c:pt>
                <c:pt idx="431">
                  <c:v>111.22</c:v>
                </c:pt>
                <c:pt idx="432">
                  <c:v>113.08</c:v>
                </c:pt>
                <c:pt idx="433">
                  <c:v>113.77</c:v>
                </c:pt>
                <c:pt idx="434">
                  <c:v>114.18</c:v>
                </c:pt>
                <c:pt idx="435">
                  <c:v>113.96</c:v>
                </c:pt>
                <c:pt idx="436">
                  <c:v>113.49</c:v>
                </c:pt>
                <c:pt idx="437">
                  <c:v>113.92</c:v>
                </c:pt>
                <c:pt idx="438">
                  <c:v>113.88</c:v>
                </c:pt>
                <c:pt idx="439">
                  <c:v>115.11</c:v>
                </c:pt>
                <c:pt idx="440">
                  <c:v>114.65</c:v>
                </c:pt>
                <c:pt idx="441">
                  <c:v>114.67</c:v>
                </c:pt>
                <c:pt idx="442">
                  <c:v>112.3</c:v>
                </c:pt>
                <c:pt idx="443">
                  <c:v>111.65</c:v>
                </c:pt>
                <c:pt idx="444">
                  <c:v>110.37</c:v>
                </c:pt>
                <c:pt idx="445">
                  <c:v>111.78</c:v>
                </c:pt>
                <c:pt idx="446">
                  <c:v>105.7</c:v>
                </c:pt>
                <c:pt idx="447">
                  <c:v>105.45</c:v>
                </c:pt>
                <c:pt idx="448">
                  <c:v>109.1</c:v>
                </c:pt>
                <c:pt idx="449">
                  <c:v>107.14</c:v>
                </c:pt>
                <c:pt idx="450">
                  <c:v>110.52</c:v>
                </c:pt>
                <c:pt idx="451">
                  <c:v>110.23</c:v>
                </c:pt>
                <c:pt idx="452">
                  <c:v>108.03</c:v>
                </c:pt>
                <c:pt idx="453">
                  <c:v>108.19</c:v>
                </c:pt>
                <c:pt idx="454">
                  <c:v>109.16</c:v>
                </c:pt>
                <c:pt idx="455">
                  <c:v>107.64</c:v>
                </c:pt>
                <c:pt idx="456">
                  <c:v>101.88</c:v>
                </c:pt>
                <c:pt idx="457">
                  <c:v>107.83</c:v>
                </c:pt>
                <c:pt idx="458">
                  <c:v>106.5</c:v>
                </c:pt>
                <c:pt idx="459">
                  <c:v>103.4</c:v>
                </c:pt>
                <c:pt idx="460">
                  <c:v>103.28</c:v>
                </c:pt>
                <c:pt idx="461">
                  <c:v>106.35</c:v>
                </c:pt>
                <c:pt idx="462">
                  <c:v>105.46</c:v>
                </c:pt>
                <c:pt idx="463">
                  <c:v>105.7</c:v>
                </c:pt>
                <c:pt idx="464">
                  <c:v>107.05</c:v>
                </c:pt>
                <c:pt idx="465">
                  <c:v>107.26</c:v>
                </c:pt>
                <c:pt idx="466">
                  <c:v>111.48</c:v>
                </c:pt>
                <c:pt idx="467">
                  <c:v>111.27</c:v>
                </c:pt>
                <c:pt idx="468">
                  <c:v>109.1</c:v>
                </c:pt>
                <c:pt idx="469">
                  <c:v>106.41</c:v>
                </c:pt>
                <c:pt idx="470">
                  <c:v>106.48</c:v>
                </c:pt>
                <c:pt idx="471">
                  <c:v>104.97</c:v>
                </c:pt>
                <c:pt idx="472">
                  <c:v>107.28</c:v>
                </c:pt>
                <c:pt idx="473">
                  <c:v>108.29</c:v>
                </c:pt>
                <c:pt idx="474">
                  <c:v>104.62</c:v>
                </c:pt>
                <c:pt idx="475">
                  <c:v>101.71</c:v>
                </c:pt>
                <c:pt idx="476">
                  <c:v>103.11</c:v>
                </c:pt>
                <c:pt idx="477">
                  <c:v>103.07</c:v>
                </c:pt>
                <c:pt idx="478">
                  <c:v>106.47</c:v>
                </c:pt>
                <c:pt idx="479">
                  <c:v>107.14</c:v>
                </c:pt>
                <c:pt idx="480">
                  <c:v>111.12</c:v>
                </c:pt>
                <c:pt idx="481">
                  <c:v>110.19</c:v>
                </c:pt>
                <c:pt idx="482">
                  <c:v>110.89</c:v>
                </c:pt>
                <c:pt idx="483">
                  <c:v>112.09</c:v>
                </c:pt>
                <c:pt idx="484">
                  <c:v>108.52</c:v>
                </c:pt>
                <c:pt idx="485">
                  <c:v>109.19</c:v>
                </c:pt>
                <c:pt idx="486">
                  <c:v>104.82</c:v>
                </c:pt>
                <c:pt idx="487">
                  <c:v>107.59</c:v>
                </c:pt>
                <c:pt idx="488">
                  <c:v>108.59</c:v>
                </c:pt>
                <c:pt idx="489">
                  <c:v>109.08</c:v>
                </c:pt>
                <c:pt idx="490">
                  <c:v>109.45</c:v>
                </c:pt>
                <c:pt idx="491">
                  <c:v>106.03</c:v>
                </c:pt>
                <c:pt idx="492">
                  <c:v>102.89</c:v>
                </c:pt>
                <c:pt idx="493">
                  <c:v>103.97</c:v>
                </c:pt>
                <c:pt idx="494">
                  <c:v>103.69</c:v>
                </c:pt>
                <c:pt idx="495">
                  <c:v>101.51</c:v>
                </c:pt>
                <c:pt idx="496">
                  <c:v>98.23</c:v>
                </c:pt>
                <c:pt idx="497">
                  <c:v>94.13</c:v>
                </c:pt>
                <c:pt idx="498">
                  <c:v>100.56</c:v>
                </c:pt>
                <c:pt idx="499">
                  <c:v>101.18</c:v>
                </c:pt>
                <c:pt idx="500">
                  <c:v>100.39</c:v>
                </c:pt>
                <c:pt idx="501">
                  <c:v>101.57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A88-4627-A9B5-13E947E20CD9}"/>
            </c:ext>
          </c:extLst>
        </c:ser>
        <c:ser>
          <c:idx val="19"/>
          <c:order val="19"/>
          <c:tx>
            <c:strRef>
              <c:f>wide_company_closes_reorder!$U$1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wide_company_closes_reorder!$U$2:$U$503</c:f>
              <c:numCache>
                <c:formatCode>General</c:formatCode>
                <c:ptCount val="502"/>
                <c:pt idx="0">
                  <c:v>50.72</c:v>
                </c:pt>
                <c:pt idx="1">
                  <c:v>51.79</c:v>
                </c:pt>
                <c:pt idx="2">
                  <c:v>51.78</c:v>
                </c:pt>
                <c:pt idx="3">
                  <c:v>52.61</c:v>
                </c:pt>
                <c:pt idx="4">
                  <c:v>52.09</c:v>
                </c:pt>
                <c:pt idx="5">
                  <c:v>51.83</c:v>
                </c:pt>
                <c:pt idx="6">
                  <c:v>51.42</c:v>
                </c:pt>
                <c:pt idx="7">
                  <c:v>51.13</c:v>
                </c:pt>
                <c:pt idx="8">
                  <c:v>51.64</c:v>
                </c:pt>
                <c:pt idx="9">
                  <c:v>52.35</c:v>
                </c:pt>
                <c:pt idx="10">
                  <c:v>51.98</c:v>
                </c:pt>
                <c:pt idx="11">
                  <c:v>51.65</c:v>
                </c:pt>
                <c:pt idx="12">
                  <c:v>51.91</c:v>
                </c:pt>
                <c:pt idx="13">
                  <c:v>51.95</c:v>
                </c:pt>
                <c:pt idx="14">
                  <c:v>52.16</c:v>
                </c:pt>
                <c:pt idx="15">
                  <c:v>52.56</c:v>
                </c:pt>
                <c:pt idx="16">
                  <c:v>52.35</c:v>
                </c:pt>
                <c:pt idx="17">
                  <c:v>51.9</c:v>
                </c:pt>
                <c:pt idx="18">
                  <c:v>51.8</c:v>
                </c:pt>
                <c:pt idx="19">
                  <c:v>51.62</c:v>
                </c:pt>
                <c:pt idx="20">
                  <c:v>51.74</c:v>
                </c:pt>
                <c:pt idx="21">
                  <c:v>51.52</c:v>
                </c:pt>
                <c:pt idx="22">
                  <c:v>51.09</c:v>
                </c:pt>
                <c:pt idx="23">
                  <c:v>51.52</c:v>
                </c:pt>
                <c:pt idx="24">
                  <c:v>51.53</c:v>
                </c:pt>
                <c:pt idx="25">
                  <c:v>52.58</c:v>
                </c:pt>
                <c:pt idx="26">
                  <c:v>53.97</c:v>
                </c:pt>
                <c:pt idx="27">
                  <c:v>54.86</c:v>
                </c:pt>
                <c:pt idx="28">
                  <c:v>54.73</c:v>
                </c:pt>
                <c:pt idx="29">
                  <c:v>55.08</c:v>
                </c:pt>
                <c:pt idx="30">
                  <c:v>55.27</c:v>
                </c:pt>
                <c:pt idx="31">
                  <c:v>54.93</c:v>
                </c:pt>
                <c:pt idx="32">
                  <c:v>55.38</c:v>
                </c:pt>
                <c:pt idx="33">
                  <c:v>55.97</c:v>
                </c:pt>
                <c:pt idx="34">
                  <c:v>56.83</c:v>
                </c:pt>
                <c:pt idx="35">
                  <c:v>56</c:v>
                </c:pt>
                <c:pt idx="36">
                  <c:v>56.46</c:v>
                </c:pt>
                <c:pt idx="37">
                  <c:v>56.29</c:v>
                </c:pt>
                <c:pt idx="38">
                  <c:v>55.78</c:v>
                </c:pt>
                <c:pt idx="39">
                  <c:v>56.55</c:v>
                </c:pt>
                <c:pt idx="40">
                  <c:v>56.58</c:v>
                </c:pt>
                <c:pt idx="41">
                  <c:v>55.5</c:v>
                </c:pt>
                <c:pt idx="42">
                  <c:v>55.57</c:v>
                </c:pt>
                <c:pt idx="43">
                  <c:v>55.35</c:v>
                </c:pt>
                <c:pt idx="44">
                  <c:v>55.31</c:v>
                </c:pt>
                <c:pt idx="45">
                  <c:v>55.17</c:v>
                </c:pt>
                <c:pt idx="46">
                  <c:v>55.24</c:v>
                </c:pt>
                <c:pt idx="47">
                  <c:v>55.47</c:v>
                </c:pt>
                <c:pt idx="48">
                  <c:v>56.07</c:v>
                </c:pt>
                <c:pt idx="49">
                  <c:v>56.44</c:v>
                </c:pt>
                <c:pt idx="50">
                  <c:v>56.38</c:v>
                </c:pt>
                <c:pt idx="51">
                  <c:v>56.58</c:v>
                </c:pt>
                <c:pt idx="52">
                  <c:v>57.44</c:v>
                </c:pt>
                <c:pt idx="53">
                  <c:v>56.78</c:v>
                </c:pt>
                <c:pt idx="54">
                  <c:v>52.78</c:v>
                </c:pt>
                <c:pt idx="55">
                  <c:v>54.2</c:v>
                </c:pt>
                <c:pt idx="56">
                  <c:v>55.17</c:v>
                </c:pt>
                <c:pt idx="57">
                  <c:v>54.75</c:v>
                </c:pt>
                <c:pt idx="58">
                  <c:v>55.42</c:v>
                </c:pt>
                <c:pt idx="59">
                  <c:v>55.48</c:v>
                </c:pt>
                <c:pt idx="60">
                  <c:v>54.85</c:v>
                </c:pt>
                <c:pt idx="61">
                  <c:v>54.55</c:v>
                </c:pt>
                <c:pt idx="62">
                  <c:v>54.38</c:v>
                </c:pt>
                <c:pt idx="63">
                  <c:v>53.88</c:v>
                </c:pt>
                <c:pt idx="64">
                  <c:v>53.82</c:v>
                </c:pt>
                <c:pt idx="65">
                  <c:v>53.97</c:v>
                </c:pt>
                <c:pt idx="66">
                  <c:v>53.94</c:v>
                </c:pt>
                <c:pt idx="67">
                  <c:v>53.74</c:v>
                </c:pt>
                <c:pt idx="68">
                  <c:v>53.76</c:v>
                </c:pt>
                <c:pt idx="69">
                  <c:v>54.39</c:v>
                </c:pt>
                <c:pt idx="70">
                  <c:v>54.17</c:v>
                </c:pt>
                <c:pt idx="71">
                  <c:v>55.05</c:v>
                </c:pt>
                <c:pt idx="72">
                  <c:v>54.92</c:v>
                </c:pt>
                <c:pt idx="73">
                  <c:v>54.68</c:v>
                </c:pt>
                <c:pt idx="74">
                  <c:v>55.21</c:v>
                </c:pt>
                <c:pt idx="75">
                  <c:v>54.67</c:v>
                </c:pt>
                <c:pt idx="76">
                  <c:v>54.3</c:v>
                </c:pt>
                <c:pt idx="77">
                  <c:v>54.28</c:v>
                </c:pt>
                <c:pt idx="78">
                  <c:v>53.99</c:v>
                </c:pt>
                <c:pt idx="79">
                  <c:v>54.3</c:v>
                </c:pt>
                <c:pt idx="80">
                  <c:v>54.24</c:v>
                </c:pt>
                <c:pt idx="81">
                  <c:v>53.83</c:v>
                </c:pt>
                <c:pt idx="82">
                  <c:v>53.91</c:v>
                </c:pt>
                <c:pt idx="83">
                  <c:v>53.38</c:v>
                </c:pt>
                <c:pt idx="84">
                  <c:v>53.32</c:v>
                </c:pt>
                <c:pt idx="85">
                  <c:v>52.81</c:v>
                </c:pt>
                <c:pt idx="86">
                  <c:v>53.15</c:v>
                </c:pt>
                <c:pt idx="87">
                  <c:v>53.73</c:v>
                </c:pt>
                <c:pt idx="88">
                  <c:v>53.41</c:v>
                </c:pt>
                <c:pt idx="89">
                  <c:v>53.09</c:v>
                </c:pt>
                <c:pt idx="90">
                  <c:v>53.05</c:v>
                </c:pt>
                <c:pt idx="91">
                  <c:v>52.63</c:v>
                </c:pt>
                <c:pt idx="92">
                  <c:v>51.66</c:v>
                </c:pt>
                <c:pt idx="93">
                  <c:v>50.7</c:v>
                </c:pt>
                <c:pt idx="94">
                  <c:v>50.59</c:v>
                </c:pt>
                <c:pt idx="95">
                  <c:v>50.67</c:v>
                </c:pt>
                <c:pt idx="96">
                  <c:v>50.48</c:v>
                </c:pt>
                <c:pt idx="97">
                  <c:v>51.1</c:v>
                </c:pt>
                <c:pt idx="98">
                  <c:v>50.91</c:v>
                </c:pt>
                <c:pt idx="99">
                  <c:v>51.24</c:v>
                </c:pt>
                <c:pt idx="100">
                  <c:v>51.48</c:v>
                </c:pt>
                <c:pt idx="101">
                  <c:v>51.8</c:v>
                </c:pt>
                <c:pt idx="102">
                  <c:v>51.87</c:v>
                </c:pt>
                <c:pt idx="103">
                  <c:v>51.37</c:v>
                </c:pt>
                <c:pt idx="104">
                  <c:v>52.04</c:v>
                </c:pt>
                <c:pt idx="105">
                  <c:v>52.07</c:v>
                </c:pt>
                <c:pt idx="106">
                  <c:v>51.54</c:v>
                </c:pt>
                <c:pt idx="107">
                  <c:v>52.28</c:v>
                </c:pt>
                <c:pt idx="108">
                  <c:v>52.25</c:v>
                </c:pt>
                <c:pt idx="109">
                  <c:v>52.51</c:v>
                </c:pt>
                <c:pt idx="110">
                  <c:v>53.07</c:v>
                </c:pt>
                <c:pt idx="111">
                  <c:v>53.34</c:v>
                </c:pt>
                <c:pt idx="112">
                  <c:v>53.69</c:v>
                </c:pt>
                <c:pt idx="113">
                  <c:v>51.96</c:v>
                </c:pt>
                <c:pt idx="114">
                  <c:v>50.19</c:v>
                </c:pt>
                <c:pt idx="115">
                  <c:v>51.09</c:v>
                </c:pt>
                <c:pt idx="116">
                  <c:v>50.64</c:v>
                </c:pt>
                <c:pt idx="117">
                  <c:v>51.65</c:v>
                </c:pt>
                <c:pt idx="118">
                  <c:v>51.47</c:v>
                </c:pt>
                <c:pt idx="119">
                  <c:v>51.91</c:v>
                </c:pt>
                <c:pt idx="120">
                  <c:v>52.33</c:v>
                </c:pt>
                <c:pt idx="121">
                  <c:v>52.01</c:v>
                </c:pt>
                <c:pt idx="122">
                  <c:v>52.41</c:v>
                </c:pt>
                <c:pt idx="123">
                  <c:v>52.22</c:v>
                </c:pt>
                <c:pt idx="124">
                  <c:v>57.95</c:v>
                </c:pt>
                <c:pt idx="125">
                  <c:v>57.6</c:v>
                </c:pt>
                <c:pt idx="126">
                  <c:v>56.53</c:v>
                </c:pt>
                <c:pt idx="127">
                  <c:v>56.14</c:v>
                </c:pt>
                <c:pt idx="128">
                  <c:v>56.95</c:v>
                </c:pt>
                <c:pt idx="129">
                  <c:v>57.68</c:v>
                </c:pt>
                <c:pt idx="130">
                  <c:v>57.14</c:v>
                </c:pt>
                <c:pt idx="131">
                  <c:v>57.18</c:v>
                </c:pt>
                <c:pt idx="132">
                  <c:v>56.91</c:v>
                </c:pt>
                <c:pt idx="133">
                  <c:v>56.97</c:v>
                </c:pt>
                <c:pt idx="134">
                  <c:v>56.76</c:v>
                </c:pt>
                <c:pt idx="135">
                  <c:v>56.62</c:v>
                </c:pt>
                <c:pt idx="136">
                  <c:v>56.74</c:v>
                </c:pt>
                <c:pt idx="137">
                  <c:v>58.05</c:v>
                </c:pt>
                <c:pt idx="138">
                  <c:v>58.88</c:v>
                </c:pt>
                <c:pt idx="139">
                  <c:v>57.9</c:v>
                </c:pt>
                <c:pt idx="140">
                  <c:v>58.33</c:v>
                </c:pt>
                <c:pt idx="141">
                  <c:v>57.32</c:v>
                </c:pt>
                <c:pt idx="142">
                  <c:v>57.11</c:v>
                </c:pt>
                <c:pt idx="143">
                  <c:v>57.62</c:v>
                </c:pt>
                <c:pt idx="144">
                  <c:v>58</c:v>
                </c:pt>
                <c:pt idx="145">
                  <c:v>58.77</c:v>
                </c:pt>
                <c:pt idx="146">
                  <c:v>58.72</c:v>
                </c:pt>
                <c:pt idx="147">
                  <c:v>59.07</c:v>
                </c:pt>
                <c:pt idx="148">
                  <c:v>58.7</c:v>
                </c:pt>
                <c:pt idx="149">
                  <c:v>58.72</c:v>
                </c:pt>
                <c:pt idx="150">
                  <c:v>58.4</c:v>
                </c:pt>
                <c:pt idx="151">
                  <c:v>58.83</c:v>
                </c:pt>
                <c:pt idx="152">
                  <c:v>58.02</c:v>
                </c:pt>
                <c:pt idx="153">
                  <c:v>57.92</c:v>
                </c:pt>
                <c:pt idx="154">
                  <c:v>58.71</c:v>
                </c:pt>
                <c:pt idx="155">
                  <c:v>57.52</c:v>
                </c:pt>
                <c:pt idx="156">
                  <c:v>57.5</c:v>
                </c:pt>
                <c:pt idx="157">
                  <c:v>56.44</c:v>
                </c:pt>
                <c:pt idx="158">
                  <c:v>53.97</c:v>
                </c:pt>
                <c:pt idx="159">
                  <c:v>52.65</c:v>
                </c:pt>
                <c:pt idx="160">
                  <c:v>53.17</c:v>
                </c:pt>
                <c:pt idx="161">
                  <c:v>52.65</c:v>
                </c:pt>
                <c:pt idx="162">
                  <c:v>52.88</c:v>
                </c:pt>
                <c:pt idx="163">
                  <c:v>52.94</c:v>
                </c:pt>
                <c:pt idx="164">
                  <c:v>52.77</c:v>
                </c:pt>
                <c:pt idx="165">
                  <c:v>51.79</c:v>
                </c:pt>
                <c:pt idx="166">
                  <c:v>51.62</c:v>
                </c:pt>
                <c:pt idx="167">
                  <c:v>52.05</c:v>
                </c:pt>
                <c:pt idx="168">
                  <c:v>52.59</c:v>
                </c:pt>
                <c:pt idx="169">
                  <c:v>52.24</c:v>
                </c:pt>
                <c:pt idx="170">
                  <c:v>52</c:v>
                </c:pt>
                <c:pt idx="171">
                  <c:v>51.63</c:v>
                </c:pt>
                <c:pt idx="172">
                  <c:v>51.45</c:v>
                </c:pt>
                <c:pt idx="173">
                  <c:v>52.26</c:v>
                </c:pt>
                <c:pt idx="174">
                  <c:v>52.63</c:v>
                </c:pt>
                <c:pt idx="175">
                  <c:v>52.75</c:v>
                </c:pt>
                <c:pt idx="176">
                  <c:v>52.95</c:v>
                </c:pt>
                <c:pt idx="177">
                  <c:v>53.09</c:v>
                </c:pt>
                <c:pt idx="178">
                  <c:v>52.73</c:v>
                </c:pt>
                <c:pt idx="179">
                  <c:v>52.56</c:v>
                </c:pt>
                <c:pt idx="180">
                  <c:v>52.79</c:v>
                </c:pt>
                <c:pt idx="181">
                  <c:v>52.42</c:v>
                </c:pt>
                <c:pt idx="182">
                  <c:v>52.47</c:v>
                </c:pt>
                <c:pt idx="183">
                  <c:v>52.46</c:v>
                </c:pt>
                <c:pt idx="184">
                  <c:v>52.92</c:v>
                </c:pt>
                <c:pt idx="185">
                  <c:v>51.91</c:v>
                </c:pt>
                <c:pt idx="186">
                  <c:v>51.87</c:v>
                </c:pt>
                <c:pt idx="187">
                  <c:v>51.1</c:v>
                </c:pt>
                <c:pt idx="188">
                  <c:v>51.12</c:v>
                </c:pt>
                <c:pt idx="189">
                  <c:v>50.73</c:v>
                </c:pt>
                <c:pt idx="190">
                  <c:v>51.33</c:v>
                </c:pt>
                <c:pt idx="191">
                  <c:v>51.43</c:v>
                </c:pt>
                <c:pt idx="192">
                  <c:v>51.66</c:v>
                </c:pt>
                <c:pt idx="193">
                  <c:v>50.78</c:v>
                </c:pt>
                <c:pt idx="194">
                  <c:v>50.79</c:v>
                </c:pt>
                <c:pt idx="195">
                  <c:v>50.29</c:v>
                </c:pt>
                <c:pt idx="196">
                  <c:v>50.1</c:v>
                </c:pt>
                <c:pt idx="197">
                  <c:v>50.24</c:v>
                </c:pt>
                <c:pt idx="198">
                  <c:v>50.63</c:v>
                </c:pt>
                <c:pt idx="199">
                  <c:v>51.25</c:v>
                </c:pt>
                <c:pt idx="200">
                  <c:v>51.54</c:v>
                </c:pt>
                <c:pt idx="201">
                  <c:v>51.93</c:v>
                </c:pt>
                <c:pt idx="202">
                  <c:v>52.29</c:v>
                </c:pt>
                <c:pt idx="203">
                  <c:v>52.88</c:v>
                </c:pt>
                <c:pt idx="204">
                  <c:v>52.65</c:v>
                </c:pt>
                <c:pt idx="205">
                  <c:v>54.15</c:v>
                </c:pt>
                <c:pt idx="206">
                  <c:v>55.99</c:v>
                </c:pt>
                <c:pt idx="207">
                  <c:v>55.15</c:v>
                </c:pt>
                <c:pt idx="208">
                  <c:v>54.47</c:v>
                </c:pt>
                <c:pt idx="209">
                  <c:v>54.2</c:v>
                </c:pt>
                <c:pt idx="210">
                  <c:v>54.27</c:v>
                </c:pt>
                <c:pt idx="211">
                  <c:v>54.32</c:v>
                </c:pt>
                <c:pt idx="212">
                  <c:v>54.91</c:v>
                </c:pt>
                <c:pt idx="213">
                  <c:v>55.23</c:v>
                </c:pt>
                <c:pt idx="214">
                  <c:v>54.35</c:v>
                </c:pt>
                <c:pt idx="215">
                  <c:v>54.95</c:v>
                </c:pt>
                <c:pt idx="216">
                  <c:v>55.32</c:v>
                </c:pt>
                <c:pt idx="217">
                  <c:v>55.28</c:v>
                </c:pt>
                <c:pt idx="218">
                  <c:v>55.1</c:v>
                </c:pt>
                <c:pt idx="219">
                  <c:v>55.17</c:v>
                </c:pt>
                <c:pt idx="220">
                  <c:v>55.81</c:v>
                </c:pt>
                <c:pt idx="221">
                  <c:v>56.4</c:v>
                </c:pt>
                <c:pt idx="222">
                  <c:v>58.34</c:v>
                </c:pt>
                <c:pt idx="223">
                  <c:v>58.39</c:v>
                </c:pt>
                <c:pt idx="224">
                  <c:v>58.53</c:v>
                </c:pt>
                <c:pt idx="225">
                  <c:v>58.22</c:v>
                </c:pt>
                <c:pt idx="226">
                  <c:v>58.46</c:v>
                </c:pt>
                <c:pt idx="227">
                  <c:v>58.77</c:v>
                </c:pt>
                <c:pt idx="228">
                  <c:v>58.72</c:v>
                </c:pt>
                <c:pt idx="229">
                  <c:v>59.49</c:v>
                </c:pt>
                <c:pt idx="230">
                  <c:v>59.55</c:v>
                </c:pt>
                <c:pt idx="231">
                  <c:v>59.21</c:v>
                </c:pt>
                <c:pt idx="232">
                  <c:v>59.43</c:v>
                </c:pt>
                <c:pt idx="233">
                  <c:v>59.75</c:v>
                </c:pt>
                <c:pt idx="234">
                  <c:v>59.05</c:v>
                </c:pt>
                <c:pt idx="235">
                  <c:v>59.92</c:v>
                </c:pt>
                <c:pt idx="236">
                  <c:v>60.62</c:v>
                </c:pt>
                <c:pt idx="237">
                  <c:v>61.22</c:v>
                </c:pt>
                <c:pt idx="238">
                  <c:v>61.48</c:v>
                </c:pt>
                <c:pt idx="239">
                  <c:v>63.58</c:v>
                </c:pt>
                <c:pt idx="240">
                  <c:v>63.81</c:v>
                </c:pt>
                <c:pt idx="241">
                  <c:v>64.069999999999993</c:v>
                </c:pt>
                <c:pt idx="242">
                  <c:v>64.09</c:v>
                </c:pt>
                <c:pt idx="243">
                  <c:v>63.52</c:v>
                </c:pt>
                <c:pt idx="244">
                  <c:v>62.88</c:v>
                </c:pt>
                <c:pt idx="245">
                  <c:v>64.05</c:v>
                </c:pt>
                <c:pt idx="246">
                  <c:v>62.58</c:v>
                </c:pt>
                <c:pt idx="247">
                  <c:v>62.94</c:v>
                </c:pt>
                <c:pt idx="248">
                  <c:v>62.25</c:v>
                </c:pt>
                <c:pt idx="249">
                  <c:v>62.25</c:v>
                </c:pt>
                <c:pt idx="250">
                  <c:v>61.85</c:v>
                </c:pt>
                <c:pt idx="251">
                  <c:v>62.78</c:v>
                </c:pt>
                <c:pt idx="252">
                  <c:v>62.77</c:v>
                </c:pt>
                <c:pt idx="253">
                  <c:v>62.73</c:v>
                </c:pt>
                <c:pt idx="254">
                  <c:v>63.27</c:v>
                </c:pt>
                <c:pt idx="255">
                  <c:v>63.83</c:v>
                </c:pt>
                <c:pt idx="256">
                  <c:v>63.37</c:v>
                </c:pt>
                <c:pt idx="257">
                  <c:v>63.5</c:v>
                </c:pt>
                <c:pt idx="258">
                  <c:v>63.57</c:v>
                </c:pt>
                <c:pt idx="259">
                  <c:v>63.95</c:v>
                </c:pt>
                <c:pt idx="260">
                  <c:v>62.71</c:v>
                </c:pt>
                <c:pt idx="261">
                  <c:v>63.1</c:v>
                </c:pt>
                <c:pt idx="262">
                  <c:v>63.39</c:v>
                </c:pt>
                <c:pt idx="263">
                  <c:v>66.459999999999994</c:v>
                </c:pt>
                <c:pt idx="264">
                  <c:v>65.650000000000006</c:v>
                </c:pt>
                <c:pt idx="265">
                  <c:v>66.39</c:v>
                </c:pt>
                <c:pt idx="266">
                  <c:v>67.239999999999995</c:v>
                </c:pt>
                <c:pt idx="267">
                  <c:v>66.95</c:v>
                </c:pt>
                <c:pt idx="268">
                  <c:v>67.28</c:v>
                </c:pt>
                <c:pt idx="269">
                  <c:v>66.83</c:v>
                </c:pt>
                <c:pt idx="270">
                  <c:v>66.58</c:v>
                </c:pt>
                <c:pt idx="271">
                  <c:v>67.459999999999994</c:v>
                </c:pt>
                <c:pt idx="272">
                  <c:v>66.89</c:v>
                </c:pt>
                <c:pt idx="273">
                  <c:v>66.47</c:v>
                </c:pt>
                <c:pt idx="274">
                  <c:v>63.67</c:v>
                </c:pt>
                <c:pt idx="275">
                  <c:v>64.489999999999995</c:v>
                </c:pt>
                <c:pt idx="276">
                  <c:v>64.900000000000006</c:v>
                </c:pt>
                <c:pt idx="277">
                  <c:v>61.79</c:v>
                </c:pt>
                <c:pt idx="278">
                  <c:v>64.760000000000005</c:v>
                </c:pt>
                <c:pt idx="279">
                  <c:v>65.239999999999995</c:v>
                </c:pt>
                <c:pt idx="280">
                  <c:v>65.13</c:v>
                </c:pt>
                <c:pt idx="281">
                  <c:v>67.2</c:v>
                </c:pt>
                <c:pt idx="282">
                  <c:v>67.53</c:v>
                </c:pt>
                <c:pt idx="283">
                  <c:v>67.540000000000006</c:v>
                </c:pt>
                <c:pt idx="284">
                  <c:v>66.739999999999995</c:v>
                </c:pt>
                <c:pt idx="285">
                  <c:v>66.3</c:v>
                </c:pt>
                <c:pt idx="286">
                  <c:v>66.38</c:v>
                </c:pt>
                <c:pt idx="287">
                  <c:v>67.400000000000006</c:v>
                </c:pt>
                <c:pt idx="288">
                  <c:v>68.87</c:v>
                </c:pt>
                <c:pt idx="289">
                  <c:v>67.27</c:v>
                </c:pt>
                <c:pt idx="290">
                  <c:v>66.28</c:v>
                </c:pt>
                <c:pt idx="291">
                  <c:v>65.58</c:v>
                </c:pt>
                <c:pt idx="292">
                  <c:v>65.349999999999994</c:v>
                </c:pt>
                <c:pt idx="293">
                  <c:v>64.52</c:v>
                </c:pt>
                <c:pt idx="294">
                  <c:v>64.709999999999994</c:v>
                </c:pt>
                <c:pt idx="295">
                  <c:v>63.65</c:v>
                </c:pt>
                <c:pt idx="296">
                  <c:v>64.58</c:v>
                </c:pt>
                <c:pt idx="297">
                  <c:v>65.760000000000005</c:v>
                </c:pt>
                <c:pt idx="298">
                  <c:v>66.27</c:v>
                </c:pt>
                <c:pt idx="299">
                  <c:v>65.63</c:v>
                </c:pt>
                <c:pt idx="300">
                  <c:v>65.66</c:v>
                </c:pt>
                <c:pt idx="301">
                  <c:v>65.849999999999994</c:v>
                </c:pt>
                <c:pt idx="302">
                  <c:v>65.37</c:v>
                </c:pt>
                <c:pt idx="303">
                  <c:v>65.17</c:v>
                </c:pt>
                <c:pt idx="304">
                  <c:v>66.25</c:v>
                </c:pt>
                <c:pt idx="305">
                  <c:v>65.81</c:v>
                </c:pt>
                <c:pt idx="306">
                  <c:v>63.89</c:v>
                </c:pt>
                <c:pt idx="307">
                  <c:v>64.099999999999994</c:v>
                </c:pt>
                <c:pt idx="308">
                  <c:v>65.36</c:v>
                </c:pt>
                <c:pt idx="309">
                  <c:v>65.63</c:v>
                </c:pt>
                <c:pt idx="310">
                  <c:v>64.900000000000006</c:v>
                </c:pt>
                <c:pt idx="311">
                  <c:v>65.900000000000006</c:v>
                </c:pt>
                <c:pt idx="312">
                  <c:v>63.6</c:v>
                </c:pt>
                <c:pt idx="313">
                  <c:v>66.150000000000006</c:v>
                </c:pt>
                <c:pt idx="314">
                  <c:v>67.86</c:v>
                </c:pt>
                <c:pt idx="315">
                  <c:v>69.02</c:v>
                </c:pt>
                <c:pt idx="316">
                  <c:v>67</c:v>
                </c:pt>
                <c:pt idx="317">
                  <c:v>66.63</c:v>
                </c:pt>
                <c:pt idx="318">
                  <c:v>66.45</c:v>
                </c:pt>
                <c:pt idx="319">
                  <c:v>66.28</c:v>
                </c:pt>
                <c:pt idx="320">
                  <c:v>67.22</c:v>
                </c:pt>
                <c:pt idx="321">
                  <c:v>66.7</c:v>
                </c:pt>
                <c:pt idx="322">
                  <c:v>66.510000000000005</c:v>
                </c:pt>
                <c:pt idx="323">
                  <c:v>66.959999999999994</c:v>
                </c:pt>
                <c:pt idx="324">
                  <c:v>65.66</c:v>
                </c:pt>
                <c:pt idx="325">
                  <c:v>65.19</c:v>
                </c:pt>
                <c:pt idx="326">
                  <c:v>65.55</c:v>
                </c:pt>
                <c:pt idx="327">
                  <c:v>66.33</c:v>
                </c:pt>
                <c:pt idx="328">
                  <c:v>66.42</c:v>
                </c:pt>
                <c:pt idx="329">
                  <c:v>66.12</c:v>
                </c:pt>
                <c:pt idx="330">
                  <c:v>67.489999999999995</c:v>
                </c:pt>
                <c:pt idx="331">
                  <c:v>68.989999999999995</c:v>
                </c:pt>
                <c:pt idx="332">
                  <c:v>67.83</c:v>
                </c:pt>
                <c:pt idx="333">
                  <c:v>67.540000000000006</c:v>
                </c:pt>
                <c:pt idx="334">
                  <c:v>67.7</c:v>
                </c:pt>
                <c:pt idx="335">
                  <c:v>66.349999999999994</c:v>
                </c:pt>
                <c:pt idx="336">
                  <c:v>67.540000000000006</c:v>
                </c:pt>
                <c:pt idx="337">
                  <c:v>68.77</c:v>
                </c:pt>
                <c:pt idx="338">
                  <c:v>67.900000000000006</c:v>
                </c:pt>
                <c:pt idx="339">
                  <c:v>67.39</c:v>
                </c:pt>
                <c:pt idx="340">
                  <c:v>67.36</c:v>
                </c:pt>
                <c:pt idx="341">
                  <c:v>67.87</c:v>
                </c:pt>
                <c:pt idx="342">
                  <c:v>68.28</c:v>
                </c:pt>
                <c:pt idx="343">
                  <c:v>68.930000000000007</c:v>
                </c:pt>
                <c:pt idx="344">
                  <c:v>70.760000000000005</c:v>
                </c:pt>
                <c:pt idx="345">
                  <c:v>70.36</c:v>
                </c:pt>
                <c:pt idx="346">
                  <c:v>70.739999999999995</c:v>
                </c:pt>
                <c:pt idx="347">
                  <c:v>70.8</c:v>
                </c:pt>
                <c:pt idx="348">
                  <c:v>70.73</c:v>
                </c:pt>
                <c:pt idx="349">
                  <c:v>70.760000000000005</c:v>
                </c:pt>
                <c:pt idx="350">
                  <c:v>71.59</c:v>
                </c:pt>
                <c:pt idx="351">
                  <c:v>71.66</c:v>
                </c:pt>
                <c:pt idx="352">
                  <c:v>70.34</c:v>
                </c:pt>
                <c:pt idx="353">
                  <c:v>71.64</c:v>
                </c:pt>
                <c:pt idx="354">
                  <c:v>71.209999999999994</c:v>
                </c:pt>
                <c:pt idx="355">
                  <c:v>72.37</c:v>
                </c:pt>
                <c:pt idx="356">
                  <c:v>73.430000000000007</c:v>
                </c:pt>
                <c:pt idx="357">
                  <c:v>73.650000000000006</c:v>
                </c:pt>
                <c:pt idx="358">
                  <c:v>74.349999999999994</c:v>
                </c:pt>
                <c:pt idx="359">
                  <c:v>74.36</c:v>
                </c:pt>
                <c:pt idx="360">
                  <c:v>74.489999999999995</c:v>
                </c:pt>
                <c:pt idx="361">
                  <c:v>74.19</c:v>
                </c:pt>
                <c:pt idx="362">
                  <c:v>73.89</c:v>
                </c:pt>
                <c:pt idx="363">
                  <c:v>73.709999999999994</c:v>
                </c:pt>
                <c:pt idx="364">
                  <c:v>74.3</c:v>
                </c:pt>
                <c:pt idx="365">
                  <c:v>75.430000000000007</c:v>
                </c:pt>
                <c:pt idx="366">
                  <c:v>75.2</c:v>
                </c:pt>
                <c:pt idx="367">
                  <c:v>73.86</c:v>
                </c:pt>
                <c:pt idx="368">
                  <c:v>74.319999999999993</c:v>
                </c:pt>
                <c:pt idx="369">
                  <c:v>73.540000000000006</c:v>
                </c:pt>
                <c:pt idx="370">
                  <c:v>73.03</c:v>
                </c:pt>
                <c:pt idx="371">
                  <c:v>71.959999999999994</c:v>
                </c:pt>
                <c:pt idx="372">
                  <c:v>72.17</c:v>
                </c:pt>
                <c:pt idx="373">
                  <c:v>70.959999999999994</c:v>
                </c:pt>
                <c:pt idx="374">
                  <c:v>71.31</c:v>
                </c:pt>
                <c:pt idx="375">
                  <c:v>79.25</c:v>
                </c:pt>
                <c:pt idx="376">
                  <c:v>77.930000000000007</c:v>
                </c:pt>
                <c:pt idx="377">
                  <c:v>75.87</c:v>
                </c:pt>
                <c:pt idx="378">
                  <c:v>76.14</c:v>
                </c:pt>
                <c:pt idx="379">
                  <c:v>76.069999999999993</c:v>
                </c:pt>
                <c:pt idx="380">
                  <c:v>76.86</c:v>
                </c:pt>
                <c:pt idx="381">
                  <c:v>77.150000000000006</c:v>
                </c:pt>
                <c:pt idx="382">
                  <c:v>76.94</c:v>
                </c:pt>
                <c:pt idx="383">
                  <c:v>76.95</c:v>
                </c:pt>
                <c:pt idx="384">
                  <c:v>76.959999999999994</c:v>
                </c:pt>
                <c:pt idx="385">
                  <c:v>77.33</c:v>
                </c:pt>
                <c:pt idx="386">
                  <c:v>77.05</c:v>
                </c:pt>
                <c:pt idx="387">
                  <c:v>76.180000000000007</c:v>
                </c:pt>
                <c:pt idx="388">
                  <c:v>76.53</c:v>
                </c:pt>
                <c:pt idx="389">
                  <c:v>76.540000000000006</c:v>
                </c:pt>
                <c:pt idx="390">
                  <c:v>76.180000000000007</c:v>
                </c:pt>
                <c:pt idx="391">
                  <c:v>75.12</c:v>
                </c:pt>
                <c:pt idx="392">
                  <c:v>76.739999999999995</c:v>
                </c:pt>
                <c:pt idx="393">
                  <c:v>77.73</c:v>
                </c:pt>
                <c:pt idx="394">
                  <c:v>76.47</c:v>
                </c:pt>
                <c:pt idx="395">
                  <c:v>75.55</c:v>
                </c:pt>
                <c:pt idx="396">
                  <c:v>76.489999999999995</c:v>
                </c:pt>
                <c:pt idx="397">
                  <c:v>77.12</c:v>
                </c:pt>
                <c:pt idx="398">
                  <c:v>78.22</c:v>
                </c:pt>
                <c:pt idx="399">
                  <c:v>78.31</c:v>
                </c:pt>
                <c:pt idx="400">
                  <c:v>79.08</c:v>
                </c:pt>
                <c:pt idx="401">
                  <c:v>80.09</c:v>
                </c:pt>
                <c:pt idx="402">
                  <c:v>80.06</c:v>
                </c:pt>
                <c:pt idx="403">
                  <c:v>80.819999999999993</c:v>
                </c:pt>
                <c:pt idx="404">
                  <c:v>80.290000000000006</c:v>
                </c:pt>
                <c:pt idx="405">
                  <c:v>79.72</c:v>
                </c:pt>
                <c:pt idx="406">
                  <c:v>79.709999999999994</c:v>
                </c:pt>
                <c:pt idx="407">
                  <c:v>79.14</c:v>
                </c:pt>
                <c:pt idx="408">
                  <c:v>79.62</c:v>
                </c:pt>
                <c:pt idx="409">
                  <c:v>79.319999999999993</c:v>
                </c:pt>
                <c:pt idx="410">
                  <c:v>81.739999999999995</c:v>
                </c:pt>
                <c:pt idx="411">
                  <c:v>82.5</c:v>
                </c:pt>
                <c:pt idx="412">
                  <c:v>82.19</c:v>
                </c:pt>
                <c:pt idx="413">
                  <c:v>82.46</c:v>
                </c:pt>
                <c:pt idx="414">
                  <c:v>82</c:v>
                </c:pt>
                <c:pt idx="415">
                  <c:v>82.2</c:v>
                </c:pt>
                <c:pt idx="416">
                  <c:v>82.13</c:v>
                </c:pt>
                <c:pt idx="417">
                  <c:v>82.34</c:v>
                </c:pt>
                <c:pt idx="418">
                  <c:v>80.959999999999994</c:v>
                </c:pt>
                <c:pt idx="419">
                  <c:v>81.96</c:v>
                </c:pt>
                <c:pt idx="420">
                  <c:v>79.36</c:v>
                </c:pt>
                <c:pt idx="421">
                  <c:v>79.680000000000007</c:v>
                </c:pt>
                <c:pt idx="422">
                  <c:v>80.16</c:v>
                </c:pt>
                <c:pt idx="423">
                  <c:v>80.06</c:v>
                </c:pt>
                <c:pt idx="424">
                  <c:v>81.86</c:v>
                </c:pt>
                <c:pt idx="425">
                  <c:v>82.39</c:v>
                </c:pt>
                <c:pt idx="426">
                  <c:v>82.75</c:v>
                </c:pt>
                <c:pt idx="427">
                  <c:v>83.22</c:v>
                </c:pt>
                <c:pt idx="428">
                  <c:v>83.24</c:v>
                </c:pt>
                <c:pt idx="429">
                  <c:v>83.01</c:v>
                </c:pt>
                <c:pt idx="430">
                  <c:v>85.01</c:v>
                </c:pt>
                <c:pt idx="431">
                  <c:v>84.18</c:v>
                </c:pt>
                <c:pt idx="432">
                  <c:v>85.12</c:v>
                </c:pt>
                <c:pt idx="433">
                  <c:v>85.3</c:v>
                </c:pt>
                <c:pt idx="434">
                  <c:v>84.02</c:v>
                </c:pt>
                <c:pt idx="435">
                  <c:v>84.54</c:v>
                </c:pt>
                <c:pt idx="436">
                  <c:v>83.45</c:v>
                </c:pt>
                <c:pt idx="437">
                  <c:v>84.29</c:v>
                </c:pt>
                <c:pt idx="438">
                  <c:v>84.47</c:v>
                </c:pt>
                <c:pt idx="439">
                  <c:v>84.21</c:v>
                </c:pt>
                <c:pt idx="440">
                  <c:v>82.53</c:v>
                </c:pt>
                <c:pt idx="441">
                  <c:v>82.26</c:v>
                </c:pt>
                <c:pt idx="442">
                  <c:v>79.94</c:v>
                </c:pt>
                <c:pt idx="443">
                  <c:v>79.88</c:v>
                </c:pt>
                <c:pt idx="444">
                  <c:v>79.989999999999995</c:v>
                </c:pt>
                <c:pt idx="445">
                  <c:v>80.180000000000007</c:v>
                </c:pt>
                <c:pt idx="446">
                  <c:v>74.72</c:v>
                </c:pt>
                <c:pt idx="447">
                  <c:v>74.290000000000006</c:v>
                </c:pt>
                <c:pt idx="448">
                  <c:v>75.69</c:v>
                </c:pt>
                <c:pt idx="449">
                  <c:v>74.77</c:v>
                </c:pt>
                <c:pt idx="450">
                  <c:v>77.25</c:v>
                </c:pt>
                <c:pt idx="451">
                  <c:v>76.25</c:v>
                </c:pt>
                <c:pt idx="452">
                  <c:v>75.38</c:v>
                </c:pt>
                <c:pt idx="453">
                  <c:v>73.989999999999995</c:v>
                </c:pt>
                <c:pt idx="454">
                  <c:v>74.680000000000007</c:v>
                </c:pt>
                <c:pt idx="455">
                  <c:v>73.13</c:v>
                </c:pt>
                <c:pt idx="456">
                  <c:v>71.91</c:v>
                </c:pt>
                <c:pt idx="457">
                  <c:v>72.88</c:v>
                </c:pt>
                <c:pt idx="458">
                  <c:v>71.86</c:v>
                </c:pt>
                <c:pt idx="459">
                  <c:v>71.98</c:v>
                </c:pt>
                <c:pt idx="460">
                  <c:v>74.290000000000006</c:v>
                </c:pt>
                <c:pt idx="461">
                  <c:v>74.819999999999993</c:v>
                </c:pt>
                <c:pt idx="462">
                  <c:v>76.56</c:v>
                </c:pt>
                <c:pt idx="463">
                  <c:v>76.349999999999994</c:v>
                </c:pt>
                <c:pt idx="464">
                  <c:v>77.3</c:v>
                </c:pt>
                <c:pt idx="465">
                  <c:v>76.34</c:v>
                </c:pt>
                <c:pt idx="466">
                  <c:v>77.739999999999995</c:v>
                </c:pt>
                <c:pt idx="467">
                  <c:v>77.55</c:v>
                </c:pt>
                <c:pt idx="468">
                  <c:v>76.13</c:v>
                </c:pt>
                <c:pt idx="469">
                  <c:v>74.88</c:v>
                </c:pt>
                <c:pt idx="470">
                  <c:v>74.98</c:v>
                </c:pt>
                <c:pt idx="471">
                  <c:v>74.98</c:v>
                </c:pt>
                <c:pt idx="472">
                  <c:v>74.11</c:v>
                </c:pt>
                <c:pt idx="473">
                  <c:v>74.52</c:v>
                </c:pt>
                <c:pt idx="474">
                  <c:v>72.31</c:v>
                </c:pt>
                <c:pt idx="475">
                  <c:v>70.91</c:v>
                </c:pt>
                <c:pt idx="476">
                  <c:v>72.16</c:v>
                </c:pt>
                <c:pt idx="477">
                  <c:v>71.28</c:v>
                </c:pt>
                <c:pt idx="478">
                  <c:v>72.489999999999995</c:v>
                </c:pt>
                <c:pt idx="479">
                  <c:v>71.88</c:v>
                </c:pt>
                <c:pt idx="480">
                  <c:v>74.44</c:v>
                </c:pt>
                <c:pt idx="481">
                  <c:v>74.12</c:v>
                </c:pt>
                <c:pt idx="482">
                  <c:v>75.12</c:v>
                </c:pt>
                <c:pt idx="483">
                  <c:v>77.94</c:v>
                </c:pt>
                <c:pt idx="484">
                  <c:v>75.790000000000006</c:v>
                </c:pt>
                <c:pt idx="485">
                  <c:v>75.540000000000006</c:v>
                </c:pt>
                <c:pt idx="486">
                  <c:v>73.34</c:v>
                </c:pt>
                <c:pt idx="487">
                  <c:v>72.510000000000005</c:v>
                </c:pt>
                <c:pt idx="488">
                  <c:v>73.569999999999993</c:v>
                </c:pt>
                <c:pt idx="489">
                  <c:v>74.319999999999993</c:v>
                </c:pt>
                <c:pt idx="490">
                  <c:v>72.930000000000007</c:v>
                </c:pt>
                <c:pt idx="491">
                  <c:v>72.53</c:v>
                </c:pt>
                <c:pt idx="492">
                  <c:v>69.900000000000006</c:v>
                </c:pt>
                <c:pt idx="493">
                  <c:v>71.150000000000006</c:v>
                </c:pt>
                <c:pt idx="494">
                  <c:v>68.97</c:v>
                </c:pt>
                <c:pt idx="495">
                  <c:v>67.53</c:v>
                </c:pt>
                <c:pt idx="496">
                  <c:v>72.37</c:v>
                </c:pt>
                <c:pt idx="497">
                  <c:v>68.099999999999994</c:v>
                </c:pt>
                <c:pt idx="498">
                  <c:v>73.010000000000005</c:v>
                </c:pt>
                <c:pt idx="499">
                  <c:v>73.67</c:v>
                </c:pt>
                <c:pt idx="500">
                  <c:v>73.34</c:v>
                </c:pt>
                <c:pt idx="501">
                  <c:v>74.14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A88-4627-A9B5-13E947E20CD9}"/>
            </c:ext>
          </c:extLst>
        </c:ser>
        <c:ser>
          <c:idx val="20"/>
          <c:order val="20"/>
          <c:tx>
            <c:strRef>
              <c:f>wide_company_closes_reorder!$V$1</c:f>
              <c:strCache>
                <c:ptCount val="1"/>
                <c:pt idx="0">
                  <c:v>PFE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wide_company_closes_reorder!$V$2:$V$503</c:f>
              <c:numCache>
                <c:formatCode>General</c:formatCode>
                <c:ptCount val="502"/>
                <c:pt idx="0">
                  <c:v>30.39</c:v>
                </c:pt>
                <c:pt idx="1">
                  <c:v>30.66</c:v>
                </c:pt>
                <c:pt idx="2">
                  <c:v>30.95</c:v>
                </c:pt>
                <c:pt idx="3">
                  <c:v>30.83</c:v>
                </c:pt>
                <c:pt idx="4">
                  <c:v>30.82</c:v>
                </c:pt>
                <c:pt idx="5">
                  <c:v>30.8</c:v>
                </c:pt>
                <c:pt idx="6">
                  <c:v>30.23</c:v>
                </c:pt>
                <c:pt idx="7">
                  <c:v>30.02</c:v>
                </c:pt>
                <c:pt idx="8">
                  <c:v>29.95</c:v>
                </c:pt>
                <c:pt idx="9">
                  <c:v>29.52</c:v>
                </c:pt>
                <c:pt idx="10">
                  <c:v>29.5</c:v>
                </c:pt>
                <c:pt idx="11">
                  <c:v>29.19</c:v>
                </c:pt>
                <c:pt idx="12">
                  <c:v>29.26</c:v>
                </c:pt>
                <c:pt idx="13">
                  <c:v>28.97</c:v>
                </c:pt>
                <c:pt idx="14">
                  <c:v>28.69</c:v>
                </c:pt>
                <c:pt idx="15">
                  <c:v>28.82</c:v>
                </c:pt>
                <c:pt idx="16">
                  <c:v>28.81</c:v>
                </c:pt>
                <c:pt idx="17">
                  <c:v>28.94</c:v>
                </c:pt>
                <c:pt idx="18">
                  <c:v>28.83</c:v>
                </c:pt>
                <c:pt idx="19">
                  <c:v>29.22</c:v>
                </c:pt>
                <c:pt idx="20">
                  <c:v>29.46</c:v>
                </c:pt>
                <c:pt idx="21">
                  <c:v>29.52</c:v>
                </c:pt>
                <c:pt idx="22">
                  <c:v>29.85</c:v>
                </c:pt>
                <c:pt idx="23">
                  <c:v>29.98</c:v>
                </c:pt>
                <c:pt idx="24">
                  <c:v>29.84</c:v>
                </c:pt>
                <c:pt idx="25">
                  <c:v>29.9</c:v>
                </c:pt>
                <c:pt idx="26">
                  <c:v>30.12</c:v>
                </c:pt>
                <c:pt idx="27">
                  <c:v>30.1</c:v>
                </c:pt>
                <c:pt idx="28">
                  <c:v>30.34</c:v>
                </c:pt>
                <c:pt idx="29">
                  <c:v>30.47</c:v>
                </c:pt>
                <c:pt idx="30">
                  <c:v>31.17</c:v>
                </c:pt>
                <c:pt idx="31">
                  <c:v>31.28</c:v>
                </c:pt>
                <c:pt idx="32">
                  <c:v>31.28</c:v>
                </c:pt>
                <c:pt idx="33">
                  <c:v>31.28</c:v>
                </c:pt>
                <c:pt idx="34">
                  <c:v>31.25</c:v>
                </c:pt>
                <c:pt idx="35">
                  <c:v>31.69</c:v>
                </c:pt>
                <c:pt idx="36">
                  <c:v>31.87</c:v>
                </c:pt>
                <c:pt idx="37">
                  <c:v>31.89</c:v>
                </c:pt>
                <c:pt idx="38">
                  <c:v>31.74</c:v>
                </c:pt>
                <c:pt idx="39">
                  <c:v>32.020000000000003</c:v>
                </c:pt>
                <c:pt idx="40">
                  <c:v>32.1</c:v>
                </c:pt>
                <c:pt idx="41">
                  <c:v>32.11</c:v>
                </c:pt>
                <c:pt idx="42">
                  <c:v>31.96</c:v>
                </c:pt>
                <c:pt idx="43">
                  <c:v>31.62</c:v>
                </c:pt>
                <c:pt idx="44">
                  <c:v>31.55</c:v>
                </c:pt>
                <c:pt idx="45">
                  <c:v>31.68</c:v>
                </c:pt>
                <c:pt idx="46">
                  <c:v>31.73</c:v>
                </c:pt>
                <c:pt idx="47">
                  <c:v>31.73</c:v>
                </c:pt>
                <c:pt idx="48">
                  <c:v>31.83</c:v>
                </c:pt>
                <c:pt idx="49">
                  <c:v>32.22</c:v>
                </c:pt>
                <c:pt idx="50">
                  <c:v>32.03</c:v>
                </c:pt>
                <c:pt idx="51">
                  <c:v>31.93</c:v>
                </c:pt>
                <c:pt idx="52">
                  <c:v>31.98</c:v>
                </c:pt>
                <c:pt idx="53">
                  <c:v>31.86</c:v>
                </c:pt>
                <c:pt idx="54">
                  <c:v>32.07</c:v>
                </c:pt>
                <c:pt idx="55">
                  <c:v>31.9</c:v>
                </c:pt>
                <c:pt idx="56">
                  <c:v>31.63</c:v>
                </c:pt>
                <c:pt idx="57">
                  <c:v>31.8</c:v>
                </c:pt>
                <c:pt idx="58">
                  <c:v>31.78</c:v>
                </c:pt>
                <c:pt idx="59">
                  <c:v>31.94</c:v>
                </c:pt>
                <c:pt idx="60">
                  <c:v>31.96</c:v>
                </c:pt>
                <c:pt idx="61">
                  <c:v>31.83</c:v>
                </c:pt>
                <c:pt idx="62">
                  <c:v>31.85</c:v>
                </c:pt>
                <c:pt idx="63">
                  <c:v>31.95</c:v>
                </c:pt>
                <c:pt idx="64">
                  <c:v>31.81</c:v>
                </c:pt>
                <c:pt idx="65">
                  <c:v>31.73</c:v>
                </c:pt>
                <c:pt idx="66">
                  <c:v>31.72</c:v>
                </c:pt>
                <c:pt idx="67">
                  <c:v>31.67</c:v>
                </c:pt>
                <c:pt idx="68">
                  <c:v>31.57</c:v>
                </c:pt>
                <c:pt idx="69">
                  <c:v>31.56</c:v>
                </c:pt>
                <c:pt idx="70">
                  <c:v>31.52</c:v>
                </c:pt>
                <c:pt idx="71">
                  <c:v>31.63</c:v>
                </c:pt>
                <c:pt idx="72">
                  <c:v>31.48</c:v>
                </c:pt>
                <c:pt idx="73">
                  <c:v>31.27</c:v>
                </c:pt>
                <c:pt idx="74">
                  <c:v>31.39</c:v>
                </c:pt>
                <c:pt idx="75">
                  <c:v>31.3</c:v>
                </c:pt>
                <c:pt idx="76">
                  <c:v>31.39</c:v>
                </c:pt>
                <c:pt idx="77">
                  <c:v>31.41</c:v>
                </c:pt>
                <c:pt idx="78">
                  <c:v>31.49</c:v>
                </c:pt>
                <c:pt idx="79">
                  <c:v>31.5</c:v>
                </c:pt>
                <c:pt idx="80">
                  <c:v>31.56</c:v>
                </c:pt>
                <c:pt idx="81">
                  <c:v>31.43</c:v>
                </c:pt>
                <c:pt idx="82">
                  <c:v>31.27</c:v>
                </c:pt>
                <c:pt idx="83">
                  <c:v>31.14</c:v>
                </c:pt>
                <c:pt idx="84">
                  <c:v>31.12</c:v>
                </c:pt>
                <c:pt idx="85">
                  <c:v>31.15</c:v>
                </c:pt>
                <c:pt idx="86">
                  <c:v>31.12</c:v>
                </c:pt>
                <c:pt idx="87">
                  <c:v>31.05</c:v>
                </c:pt>
                <c:pt idx="88">
                  <c:v>31.03</c:v>
                </c:pt>
                <c:pt idx="89">
                  <c:v>31.03</c:v>
                </c:pt>
                <c:pt idx="90">
                  <c:v>31.01</c:v>
                </c:pt>
                <c:pt idx="91">
                  <c:v>31.11</c:v>
                </c:pt>
                <c:pt idx="92">
                  <c:v>30.62</c:v>
                </c:pt>
                <c:pt idx="93">
                  <c:v>30.27</c:v>
                </c:pt>
                <c:pt idx="94">
                  <c:v>30.26</c:v>
                </c:pt>
                <c:pt idx="95">
                  <c:v>30.49</c:v>
                </c:pt>
                <c:pt idx="96">
                  <c:v>30.17</c:v>
                </c:pt>
                <c:pt idx="97">
                  <c:v>30.19</c:v>
                </c:pt>
                <c:pt idx="98">
                  <c:v>30.1</c:v>
                </c:pt>
                <c:pt idx="99">
                  <c:v>30.21</c:v>
                </c:pt>
                <c:pt idx="100">
                  <c:v>30.19</c:v>
                </c:pt>
                <c:pt idx="101">
                  <c:v>30.18</c:v>
                </c:pt>
                <c:pt idx="102">
                  <c:v>30.67</c:v>
                </c:pt>
                <c:pt idx="103">
                  <c:v>30.72</c:v>
                </c:pt>
                <c:pt idx="104">
                  <c:v>30.57</c:v>
                </c:pt>
                <c:pt idx="105">
                  <c:v>30.39</c:v>
                </c:pt>
                <c:pt idx="106">
                  <c:v>30.12</c:v>
                </c:pt>
                <c:pt idx="107">
                  <c:v>30.06</c:v>
                </c:pt>
                <c:pt idx="108">
                  <c:v>29.82</c:v>
                </c:pt>
                <c:pt idx="109">
                  <c:v>30.78</c:v>
                </c:pt>
                <c:pt idx="110">
                  <c:v>30.72</c:v>
                </c:pt>
                <c:pt idx="111">
                  <c:v>30.6</c:v>
                </c:pt>
                <c:pt idx="112">
                  <c:v>30.71</c:v>
                </c:pt>
                <c:pt idx="113">
                  <c:v>30.82</c:v>
                </c:pt>
                <c:pt idx="114">
                  <c:v>30.97</c:v>
                </c:pt>
                <c:pt idx="115">
                  <c:v>31.2</c:v>
                </c:pt>
                <c:pt idx="116">
                  <c:v>31.52</c:v>
                </c:pt>
                <c:pt idx="117">
                  <c:v>31.82</c:v>
                </c:pt>
                <c:pt idx="118">
                  <c:v>31.99</c:v>
                </c:pt>
                <c:pt idx="119">
                  <c:v>32.1</c:v>
                </c:pt>
                <c:pt idx="120">
                  <c:v>31.97</c:v>
                </c:pt>
                <c:pt idx="121">
                  <c:v>31.72</c:v>
                </c:pt>
                <c:pt idx="122">
                  <c:v>31.7</c:v>
                </c:pt>
                <c:pt idx="123">
                  <c:v>31.59</c:v>
                </c:pt>
                <c:pt idx="124">
                  <c:v>31.55</c:v>
                </c:pt>
                <c:pt idx="125">
                  <c:v>31.77</c:v>
                </c:pt>
                <c:pt idx="126">
                  <c:v>31.6</c:v>
                </c:pt>
                <c:pt idx="127">
                  <c:v>31.2</c:v>
                </c:pt>
                <c:pt idx="128">
                  <c:v>31.33</c:v>
                </c:pt>
                <c:pt idx="129">
                  <c:v>31.38</c:v>
                </c:pt>
                <c:pt idx="130">
                  <c:v>31.16</c:v>
                </c:pt>
                <c:pt idx="131">
                  <c:v>31.2</c:v>
                </c:pt>
                <c:pt idx="132">
                  <c:v>31.26</c:v>
                </c:pt>
                <c:pt idx="133">
                  <c:v>31.4</c:v>
                </c:pt>
                <c:pt idx="134">
                  <c:v>31.23</c:v>
                </c:pt>
                <c:pt idx="135">
                  <c:v>31.34</c:v>
                </c:pt>
                <c:pt idx="136">
                  <c:v>31.58</c:v>
                </c:pt>
                <c:pt idx="137">
                  <c:v>31.5</c:v>
                </c:pt>
                <c:pt idx="138">
                  <c:v>31.45</c:v>
                </c:pt>
                <c:pt idx="139">
                  <c:v>31.3</c:v>
                </c:pt>
                <c:pt idx="140">
                  <c:v>31.09</c:v>
                </c:pt>
                <c:pt idx="141">
                  <c:v>30.89</c:v>
                </c:pt>
                <c:pt idx="142">
                  <c:v>31</c:v>
                </c:pt>
                <c:pt idx="143">
                  <c:v>31.14</c:v>
                </c:pt>
                <c:pt idx="144">
                  <c:v>31.15</c:v>
                </c:pt>
                <c:pt idx="145">
                  <c:v>31.07</c:v>
                </c:pt>
                <c:pt idx="146">
                  <c:v>31.22</c:v>
                </c:pt>
                <c:pt idx="147">
                  <c:v>31.71</c:v>
                </c:pt>
                <c:pt idx="148">
                  <c:v>31.91</c:v>
                </c:pt>
                <c:pt idx="149">
                  <c:v>31.59</c:v>
                </c:pt>
                <c:pt idx="150">
                  <c:v>31.57</c:v>
                </c:pt>
                <c:pt idx="151">
                  <c:v>31.73</c:v>
                </c:pt>
                <c:pt idx="152">
                  <c:v>31.7</c:v>
                </c:pt>
                <c:pt idx="153">
                  <c:v>31.54</c:v>
                </c:pt>
                <c:pt idx="154">
                  <c:v>31.59</c:v>
                </c:pt>
                <c:pt idx="155">
                  <c:v>31.66</c:v>
                </c:pt>
                <c:pt idx="156">
                  <c:v>31.64</c:v>
                </c:pt>
                <c:pt idx="157">
                  <c:v>31.25</c:v>
                </c:pt>
                <c:pt idx="158">
                  <c:v>30.99</c:v>
                </c:pt>
                <c:pt idx="159">
                  <c:v>31.07</c:v>
                </c:pt>
                <c:pt idx="160">
                  <c:v>31.44</c:v>
                </c:pt>
                <c:pt idx="161">
                  <c:v>31.53</c:v>
                </c:pt>
                <c:pt idx="162">
                  <c:v>31.52</c:v>
                </c:pt>
                <c:pt idx="163">
                  <c:v>31.67</c:v>
                </c:pt>
                <c:pt idx="164">
                  <c:v>31.75</c:v>
                </c:pt>
                <c:pt idx="165">
                  <c:v>31.77</c:v>
                </c:pt>
                <c:pt idx="166">
                  <c:v>31.73</c:v>
                </c:pt>
                <c:pt idx="167">
                  <c:v>32.17</c:v>
                </c:pt>
                <c:pt idx="168">
                  <c:v>32.21</c:v>
                </c:pt>
                <c:pt idx="169">
                  <c:v>32.06</c:v>
                </c:pt>
                <c:pt idx="170">
                  <c:v>32.24</c:v>
                </c:pt>
                <c:pt idx="171">
                  <c:v>32.24</c:v>
                </c:pt>
                <c:pt idx="172">
                  <c:v>32.340000000000003</c:v>
                </c:pt>
                <c:pt idx="173">
                  <c:v>32.549999999999997</c:v>
                </c:pt>
                <c:pt idx="174">
                  <c:v>33.549999999999997</c:v>
                </c:pt>
                <c:pt idx="175">
                  <c:v>33.25</c:v>
                </c:pt>
                <c:pt idx="176">
                  <c:v>33.89</c:v>
                </c:pt>
                <c:pt idx="177">
                  <c:v>33.54</c:v>
                </c:pt>
                <c:pt idx="178">
                  <c:v>33.72</c:v>
                </c:pt>
                <c:pt idx="179">
                  <c:v>33.619999999999997</c:v>
                </c:pt>
                <c:pt idx="180">
                  <c:v>34.14</c:v>
                </c:pt>
                <c:pt idx="181">
                  <c:v>34.119999999999997</c:v>
                </c:pt>
                <c:pt idx="182">
                  <c:v>34.11</c:v>
                </c:pt>
                <c:pt idx="183">
                  <c:v>33.68</c:v>
                </c:pt>
                <c:pt idx="184">
                  <c:v>33.479999999999997</c:v>
                </c:pt>
                <c:pt idx="185">
                  <c:v>33.619999999999997</c:v>
                </c:pt>
                <c:pt idx="186">
                  <c:v>33.770000000000003</c:v>
                </c:pt>
                <c:pt idx="187">
                  <c:v>33.86</c:v>
                </c:pt>
                <c:pt idx="188">
                  <c:v>34.21</c:v>
                </c:pt>
                <c:pt idx="189">
                  <c:v>34.28</c:v>
                </c:pt>
                <c:pt idx="190">
                  <c:v>34.11</c:v>
                </c:pt>
                <c:pt idx="191">
                  <c:v>34.15</c:v>
                </c:pt>
                <c:pt idx="192">
                  <c:v>34.19</c:v>
                </c:pt>
                <c:pt idx="193">
                  <c:v>34.28</c:v>
                </c:pt>
                <c:pt idx="194">
                  <c:v>34.520000000000003</c:v>
                </c:pt>
                <c:pt idx="195">
                  <c:v>34.57</c:v>
                </c:pt>
                <c:pt idx="196">
                  <c:v>34.479999999999997</c:v>
                </c:pt>
                <c:pt idx="197">
                  <c:v>34.47</c:v>
                </c:pt>
                <c:pt idx="198">
                  <c:v>34.130000000000003</c:v>
                </c:pt>
                <c:pt idx="199">
                  <c:v>34.340000000000003</c:v>
                </c:pt>
                <c:pt idx="200">
                  <c:v>33.979999999999997</c:v>
                </c:pt>
                <c:pt idx="201">
                  <c:v>34.369999999999997</c:v>
                </c:pt>
                <c:pt idx="202">
                  <c:v>34.54</c:v>
                </c:pt>
                <c:pt idx="203">
                  <c:v>34.520000000000003</c:v>
                </c:pt>
                <c:pt idx="204">
                  <c:v>34.4</c:v>
                </c:pt>
                <c:pt idx="205">
                  <c:v>34.299999999999997</c:v>
                </c:pt>
                <c:pt idx="206">
                  <c:v>33.9</c:v>
                </c:pt>
                <c:pt idx="207">
                  <c:v>33.770000000000003</c:v>
                </c:pt>
                <c:pt idx="208">
                  <c:v>33.340000000000003</c:v>
                </c:pt>
                <c:pt idx="209">
                  <c:v>33.25</c:v>
                </c:pt>
                <c:pt idx="210">
                  <c:v>33.44</c:v>
                </c:pt>
                <c:pt idx="211">
                  <c:v>33.630000000000003</c:v>
                </c:pt>
                <c:pt idx="212">
                  <c:v>33.72</c:v>
                </c:pt>
                <c:pt idx="213">
                  <c:v>33.5</c:v>
                </c:pt>
                <c:pt idx="214">
                  <c:v>33.54</c:v>
                </c:pt>
                <c:pt idx="215">
                  <c:v>33.520000000000003</c:v>
                </c:pt>
                <c:pt idx="216">
                  <c:v>33.69</c:v>
                </c:pt>
                <c:pt idx="217">
                  <c:v>33.67</c:v>
                </c:pt>
                <c:pt idx="218">
                  <c:v>33.79</c:v>
                </c:pt>
                <c:pt idx="219">
                  <c:v>33.86</c:v>
                </c:pt>
                <c:pt idx="220">
                  <c:v>33.840000000000003</c:v>
                </c:pt>
                <c:pt idx="221">
                  <c:v>34.04</c:v>
                </c:pt>
                <c:pt idx="222">
                  <c:v>33.85</c:v>
                </c:pt>
                <c:pt idx="223">
                  <c:v>33.840000000000003</c:v>
                </c:pt>
                <c:pt idx="224">
                  <c:v>34.020000000000003</c:v>
                </c:pt>
                <c:pt idx="225">
                  <c:v>33.909999999999997</c:v>
                </c:pt>
                <c:pt idx="226">
                  <c:v>33.97</c:v>
                </c:pt>
                <c:pt idx="227">
                  <c:v>33.97</c:v>
                </c:pt>
                <c:pt idx="228">
                  <c:v>34.31</c:v>
                </c:pt>
                <c:pt idx="229">
                  <c:v>34.659999999999997</c:v>
                </c:pt>
                <c:pt idx="230">
                  <c:v>34.71</c:v>
                </c:pt>
                <c:pt idx="231">
                  <c:v>34.79</c:v>
                </c:pt>
                <c:pt idx="232">
                  <c:v>34.51</c:v>
                </c:pt>
                <c:pt idx="233">
                  <c:v>34.1</c:v>
                </c:pt>
                <c:pt idx="234">
                  <c:v>34.04</c:v>
                </c:pt>
                <c:pt idx="235">
                  <c:v>33.979999999999997</c:v>
                </c:pt>
                <c:pt idx="236">
                  <c:v>34.21</c:v>
                </c:pt>
                <c:pt idx="237">
                  <c:v>34.659999999999997</c:v>
                </c:pt>
                <c:pt idx="238">
                  <c:v>35.01</c:v>
                </c:pt>
                <c:pt idx="239">
                  <c:v>35.07</c:v>
                </c:pt>
                <c:pt idx="240">
                  <c:v>34.9</c:v>
                </c:pt>
                <c:pt idx="241">
                  <c:v>35.61</c:v>
                </c:pt>
                <c:pt idx="242">
                  <c:v>35.54</c:v>
                </c:pt>
                <c:pt idx="243">
                  <c:v>35.36</c:v>
                </c:pt>
                <c:pt idx="244">
                  <c:v>34.9</c:v>
                </c:pt>
                <c:pt idx="245">
                  <c:v>34.69</c:v>
                </c:pt>
                <c:pt idx="246">
                  <c:v>34.590000000000003</c:v>
                </c:pt>
                <c:pt idx="247">
                  <c:v>34.659999999999997</c:v>
                </c:pt>
                <c:pt idx="248">
                  <c:v>34.770000000000003</c:v>
                </c:pt>
                <c:pt idx="249">
                  <c:v>34.81</c:v>
                </c:pt>
                <c:pt idx="250">
                  <c:v>34.67</c:v>
                </c:pt>
                <c:pt idx="251">
                  <c:v>34.880000000000003</c:v>
                </c:pt>
                <c:pt idx="252">
                  <c:v>35.14</c:v>
                </c:pt>
                <c:pt idx="253">
                  <c:v>35.21</c:v>
                </c:pt>
                <c:pt idx="254">
                  <c:v>35.28</c:v>
                </c:pt>
                <c:pt idx="255">
                  <c:v>34.89</c:v>
                </c:pt>
                <c:pt idx="256">
                  <c:v>34.85</c:v>
                </c:pt>
                <c:pt idx="257">
                  <c:v>34.909999999999997</c:v>
                </c:pt>
                <c:pt idx="258">
                  <c:v>34.99</c:v>
                </c:pt>
                <c:pt idx="259">
                  <c:v>34.97</c:v>
                </c:pt>
                <c:pt idx="260">
                  <c:v>35.03</c:v>
                </c:pt>
                <c:pt idx="261">
                  <c:v>35.590000000000003</c:v>
                </c:pt>
                <c:pt idx="262">
                  <c:v>35.4</c:v>
                </c:pt>
                <c:pt idx="263">
                  <c:v>35.36</c:v>
                </c:pt>
                <c:pt idx="264">
                  <c:v>35.35</c:v>
                </c:pt>
                <c:pt idx="265">
                  <c:v>35.24</c:v>
                </c:pt>
                <c:pt idx="266">
                  <c:v>35.35</c:v>
                </c:pt>
                <c:pt idx="267">
                  <c:v>35.630000000000003</c:v>
                </c:pt>
                <c:pt idx="268">
                  <c:v>37.340000000000003</c:v>
                </c:pt>
                <c:pt idx="269">
                  <c:v>37.35</c:v>
                </c:pt>
                <c:pt idx="270">
                  <c:v>36.18</c:v>
                </c:pt>
                <c:pt idx="271">
                  <c:v>35.450000000000003</c:v>
                </c:pt>
                <c:pt idx="272">
                  <c:v>35.58</c:v>
                </c:pt>
                <c:pt idx="273">
                  <c:v>35.369999999999997</c:v>
                </c:pt>
                <c:pt idx="274">
                  <c:v>33.49</c:v>
                </c:pt>
                <c:pt idx="275">
                  <c:v>34.08</c:v>
                </c:pt>
                <c:pt idx="276">
                  <c:v>33.79</c:v>
                </c:pt>
                <c:pt idx="277">
                  <c:v>32.49</c:v>
                </c:pt>
                <c:pt idx="278">
                  <c:v>33</c:v>
                </c:pt>
                <c:pt idx="279">
                  <c:v>33.479999999999997</c:v>
                </c:pt>
                <c:pt idx="280">
                  <c:v>33.75</c:v>
                </c:pt>
                <c:pt idx="281">
                  <c:v>33.99</c:v>
                </c:pt>
                <c:pt idx="282">
                  <c:v>34.5</c:v>
                </c:pt>
                <c:pt idx="283">
                  <c:v>35.03</c:v>
                </c:pt>
                <c:pt idx="284">
                  <c:v>34.79</c:v>
                </c:pt>
                <c:pt idx="285">
                  <c:v>34.54</c:v>
                </c:pt>
                <c:pt idx="286">
                  <c:v>34.53</c:v>
                </c:pt>
                <c:pt idx="287">
                  <c:v>35.03</c:v>
                </c:pt>
                <c:pt idx="288">
                  <c:v>35.83</c:v>
                </c:pt>
                <c:pt idx="289">
                  <c:v>35.549999999999997</c:v>
                </c:pt>
                <c:pt idx="290">
                  <c:v>35.08</c:v>
                </c:pt>
                <c:pt idx="291">
                  <c:v>34.42</c:v>
                </c:pt>
                <c:pt idx="292">
                  <c:v>34.729999999999997</c:v>
                </c:pt>
                <c:pt idx="293">
                  <c:v>34.89</c:v>
                </c:pt>
                <c:pt idx="294">
                  <c:v>34.659999999999997</c:v>
                </c:pt>
                <c:pt idx="295">
                  <c:v>34.71</c:v>
                </c:pt>
                <c:pt idx="296">
                  <c:v>35.26</c:v>
                </c:pt>
                <c:pt idx="297">
                  <c:v>35.520000000000003</c:v>
                </c:pt>
                <c:pt idx="298">
                  <c:v>35.369999999999997</c:v>
                </c:pt>
                <c:pt idx="299">
                  <c:v>35.5</c:v>
                </c:pt>
                <c:pt idx="300">
                  <c:v>35.11</c:v>
                </c:pt>
                <c:pt idx="301">
                  <c:v>35.340000000000003</c:v>
                </c:pt>
                <c:pt idx="302">
                  <c:v>35.53</c:v>
                </c:pt>
                <c:pt idx="303">
                  <c:v>35.1</c:v>
                </c:pt>
                <c:pt idx="304">
                  <c:v>35.1</c:v>
                </c:pt>
                <c:pt idx="305">
                  <c:v>35.04</c:v>
                </c:pt>
                <c:pt idx="306">
                  <c:v>34.39</c:v>
                </c:pt>
                <c:pt idx="307">
                  <c:v>33.32</c:v>
                </c:pt>
                <c:pt idx="308">
                  <c:v>33.85</c:v>
                </c:pt>
                <c:pt idx="309">
                  <c:v>33.82</c:v>
                </c:pt>
                <c:pt idx="310">
                  <c:v>34.1</c:v>
                </c:pt>
                <c:pt idx="311">
                  <c:v>34.28</c:v>
                </c:pt>
                <c:pt idx="312">
                  <c:v>33.86</c:v>
                </c:pt>
                <c:pt idx="313">
                  <c:v>34.47</c:v>
                </c:pt>
                <c:pt idx="314">
                  <c:v>34.9</c:v>
                </c:pt>
                <c:pt idx="315">
                  <c:v>34.520000000000003</c:v>
                </c:pt>
                <c:pt idx="316">
                  <c:v>33.97</c:v>
                </c:pt>
                <c:pt idx="317">
                  <c:v>34.25</c:v>
                </c:pt>
                <c:pt idx="318">
                  <c:v>34.729999999999997</c:v>
                </c:pt>
                <c:pt idx="319">
                  <c:v>34.57</c:v>
                </c:pt>
                <c:pt idx="320">
                  <c:v>35.090000000000003</c:v>
                </c:pt>
                <c:pt idx="321">
                  <c:v>35.090000000000003</c:v>
                </c:pt>
                <c:pt idx="322">
                  <c:v>35.29</c:v>
                </c:pt>
                <c:pt idx="323">
                  <c:v>35.1</c:v>
                </c:pt>
                <c:pt idx="324">
                  <c:v>35.25</c:v>
                </c:pt>
                <c:pt idx="325">
                  <c:v>35.29</c:v>
                </c:pt>
                <c:pt idx="326">
                  <c:v>35.39</c:v>
                </c:pt>
                <c:pt idx="327">
                  <c:v>35.549999999999997</c:v>
                </c:pt>
                <c:pt idx="328">
                  <c:v>35.799999999999997</c:v>
                </c:pt>
                <c:pt idx="329">
                  <c:v>35.43</c:v>
                </c:pt>
                <c:pt idx="330">
                  <c:v>35.6</c:v>
                </c:pt>
                <c:pt idx="331">
                  <c:v>35.74</c:v>
                </c:pt>
                <c:pt idx="332">
                  <c:v>35.369999999999997</c:v>
                </c:pt>
                <c:pt idx="333">
                  <c:v>34.200000000000003</c:v>
                </c:pt>
                <c:pt idx="334">
                  <c:v>33.700000000000003</c:v>
                </c:pt>
                <c:pt idx="335">
                  <c:v>33.58</c:v>
                </c:pt>
                <c:pt idx="336">
                  <c:v>33.659999999999997</c:v>
                </c:pt>
                <c:pt idx="337">
                  <c:v>33.74</c:v>
                </c:pt>
                <c:pt idx="338">
                  <c:v>33.79</c:v>
                </c:pt>
                <c:pt idx="339">
                  <c:v>33.97</c:v>
                </c:pt>
                <c:pt idx="340">
                  <c:v>34.18</c:v>
                </c:pt>
                <c:pt idx="341">
                  <c:v>34.630000000000003</c:v>
                </c:pt>
                <c:pt idx="342">
                  <c:v>34.979999999999997</c:v>
                </c:pt>
                <c:pt idx="343">
                  <c:v>34.81</c:v>
                </c:pt>
                <c:pt idx="344">
                  <c:v>34.799999999999997</c:v>
                </c:pt>
                <c:pt idx="345">
                  <c:v>34.83</c:v>
                </c:pt>
                <c:pt idx="346">
                  <c:v>34.76</c:v>
                </c:pt>
                <c:pt idx="347">
                  <c:v>34.92</c:v>
                </c:pt>
                <c:pt idx="348">
                  <c:v>34.840000000000003</c:v>
                </c:pt>
                <c:pt idx="349">
                  <c:v>35.090000000000003</c:v>
                </c:pt>
                <c:pt idx="350">
                  <c:v>35.01</c:v>
                </c:pt>
                <c:pt idx="351">
                  <c:v>34.799999999999997</c:v>
                </c:pt>
                <c:pt idx="352">
                  <c:v>34.82</c:v>
                </c:pt>
                <c:pt idx="353">
                  <c:v>35.159999999999997</c:v>
                </c:pt>
                <c:pt idx="354">
                  <c:v>35.049999999999997</c:v>
                </c:pt>
                <c:pt idx="355">
                  <c:v>35.36</c:v>
                </c:pt>
                <c:pt idx="356">
                  <c:v>35.56</c:v>
                </c:pt>
                <c:pt idx="357">
                  <c:v>35.549999999999997</c:v>
                </c:pt>
                <c:pt idx="358">
                  <c:v>35.49</c:v>
                </c:pt>
                <c:pt idx="359">
                  <c:v>35.590000000000003</c:v>
                </c:pt>
                <c:pt idx="360">
                  <c:v>35.770000000000003</c:v>
                </c:pt>
                <c:pt idx="361">
                  <c:v>35.409999999999997</c:v>
                </c:pt>
                <c:pt idx="362">
                  <c:v>35.409999999999997</c:v>
                </c:pt>
                <c:pt idx="363">
                  <c:v>35.33</c:v>
                </c:pt>
                <c:pt idx="364">
                  <c:v>35.270000000000003</c:v>
                </c:pt>
                <c:pt idx="365">
                  <c:v>35.47</c:v>
                </c:pt>
                <c:pt idx="366">
                  <c:v>35.270000000000003</c:v>
                </c:pt>
                <c:pt idx="367">
                  <c:v>35.33</c:v>
                </c:pt>
                <c:pt idx="368">
                  <c:v>35.56</c:v>
                </c:pt>
                <c:pt idx="369">
                  <c:v>35.409999999999997</c:v>
                </c:pt>
                <c:pt idx="370">
                  <c:v>35.61</c:v>
                </c:pt>
                <c:pt idx="371">
                  <c:v>35.49</c:v>
                </c:pt>
                <c:pt idx="372">
                  <c:v>35.49</c:v>
                </c:pt>
                <c:pt idx="373">
                  <c:v>35.32</c:v>
                </c:pt>
                <c:pt idx="374">
                  <c:v>35.47</c:v>
                </c:pt>
                <c:pt idx="375">
                  <c:v>35.39</c:v>
                </c:pt>
                <c:pt idx="376">
                  <c:v>35.44</c:v>
                </c:pt>
                <c:pt idx="377">
                  <c:v>35.46</c:v>
                </c:pt>
                <c:pt idx="378">
                  <c:v>35.96</c:v>
                </c:pt>
                <c:pt idx="379">
                  <c:v>36.200000000000003</c:v>
                </c:pt>
                <c:pt idx="380">
                  <c:v>36.25</c:v>
                </c:pt>
                <c:pt idx="381">
                  <c:v>36.51</c:v>
                </c:pt>
                <c:pt idx="382">
                  <c:v>36.299999999999997</c:v>
                </c:pt>
                <c:pt idx="383">
                  <c:v>36.6</c:v>
                </c:pt>
                <c:pt idx="384">
                  <c:v>36.61</c:v>
                </c:pt>
                <c:pt idx="385">
                  <c:v>36.46</c:v>
                </c:pt>
                <c:pt idx="386">
                  <c:v>36.729999999999997</c:v>
                </c:pt>
                <c:pt idx="387">
                  <c:v>36.74</c:v>
                </c:pt>
                <c:pt idx="388">
                  <c:v>36.44</c:v>
                </c:pt>
                <c:pt idx="389">
                  <c:v>36.409999999999997</c:v>
                </c:pt>
                <c:pt idx="390">
                  <c:v>36.299999999999997</c:v>
                </c:pt>
                <c:pt idx="391">
                  <c:v>36.770000000000003</c:v>
                </c:pt>
                <c:pt idx="392">
                  <c:v>37.06</c:v>
                </c:pt>
                <c:pt idx="393">
                  <c:v>37.22</c:v>
                </c:pt>
                <c:pt idx="394">
                  <c:v>37.47</c:v>
                </c:pt>
                <c:pt idx="395">
                  <c:v>37.64</c:v>
                </c:pt>
                <c:pt idx="396">
                  <c:v>38.950000000000003</c:v>
                </c:pt>
                <c:pt idx="397">
                  <c:v>39.28</c:v>
                </c:pt>
                <c:pt idx="398">
                  <c:v>39.01</c:v>
                </c:pt>
                <c:pt idx="399">
                  <c:v>39.880000000000003</c:v>
                </c:pt>
                <c:pt idx="400">
                  <c:v>40.369999999999997</c:v>
                </c:pt>
                <c:pt idx="401">
                  <c:v>40.18</c:v>
                </c:pt>
                <c:pt idx="402">
                  <c:v>40.74</c:v>
                </c:pt>
                <c:pt idx="403">
                  <c:v>40.33</c:v>
                </c:pt>
                <c:pt idx="404">
                  <c:v>40.26</c:v>
                </c:pt>
                <c:pt idx="405">
                  <c:v>40.15</c:v>
                </c:pt>
                <c:pt idx="406">
                  <c:v>40.049999999999997</c:v>
                </c:pt>
                <c:pt idx="407">
                  <c:v>40.49</c:v>
                </c:pt>
                <c:pt idx="408">
                  <c:v>40.75</c:v>
                </c:pt>
                <c:pt idx="409">
                  <c:v>41.41</c:v>
                </c:pt>
                <c:pt idx="410">
                  <c:v>41.64</c:v>
                </c:pt>
                <c:pt idx="411">
                  <c:v>41.47</c:v>
                </c:pt>
                <c:pt idx="412">
                  <c:v>41.39</c:v>
                </c:pt>
                <c:pt idx="413">
                  <c:v>41.51</c:v>
                </c:pt>
                <c:pt idx="414">
                  <c:v>41.71</c:v>
                </c:pt>
                <c:pt idx="415">
                  <c:v>40.9</c:v>
                </c:pt>
                <c:pt idx="416">
                  <c:v>40.83</c:v>
                </c:pt>
                <c:pt idx="417">
                  <c:v>40.83</c:v>
                </c:pt>
                <c:pt idx="418">
                  <c:v>40.83</c:v>
                </c:pt>
                <c:pt idx="419">
                  <c:v>40.85</c:v>
                </c:pt>
                <c:pt idx="420">
                  <c:v>40.700000000000003</c:v>
                </c:pt>
                <c:pt idx="421">
                  <c:v>41.17</c:v>
                </c:pt>
                <c:pt idx="422">
                  <c:v>41.1</c:v>
                </c:pt>
                <c:pt idx="423">
                  <c:v>41.51</c:v>
                </c:pt>
                <c:pt idx="424">
                  <c:v>41.38</c:v>
                </c:pt>
                <c:pt idx="425">
                  <c:v>41.62</c:v>
                </c:pt>
                <c:pt idx="426">
                  <c:v>41.72</c:v>
                </c:pt>
                <c:pt idx="427">
                  <c:v>42.15</c:v>
                </c:pt>
                <c:pt idx="428">
                  <c:v>42.26</c:v>
                </c:pt>
                <c:pt idx="429">
                  <c:v>42.31</c:v>
                </c:pt>
                <c:pt idx="430">
                  <c:v>42.8</c:v>
                </c:pt>
                <c:pt idx="431">
                  <c:v>42.56</c:v>
                </c:pt>
                <c:pt idx="432">
                  <c:v>43.04</c:v>
                </c:pt>
                <c:pt idx="433">
                  <c:v>43.34</c:v>
                </c:pt>
                <c:pt idx="434">
                  <c:v>43.22</c:v>
                </c:pt>
                <c:pt idx="435">
                  <c:v>43.08</c:v>
                </c:pt>
                <c:pt idx="436">
                  <c:v>42.97</c:v>
                </c:pt>
                <c:pt idx="437">
                  <c:v>43.19</c:v>
                </c:pt>
                <c:pt idx="438">
                  <c:v>43.35</c:v>
                </c:pt>
                <c:pt idx="439">
                  <c:v>43.55</c:v>
                </c:pt>
                <c:pt idx="440">
                  <c:v>43.5</c:v>
                </c:pt>
                <c:pt idx="441">
                  <c:v>44.08</c:v>
                </c:pt>
                <c:pt idx="442">
                  <c:v>43.97</c:v>
                </c:pt>
                <c:pt idx="443">
                  <c:v>44.18</c:v>
                </c:pt>
                <c:pt idx="444">
                  <c:v>44.54</c:v>
                </c:pt>
                <c:pt idx="445">
                  <c:v>44.73</c:v>
                </c:pt>
                <c:pt idx="446">
                  <c:v>43.79</c:v>
                </c:pt>
                <c:pt idx="447">
                  <c:v>42.11</c:v>
                </c:pt>
                <c:pt idx="448">
                  <c:v>43.07</c:v>
                </c:pt>
                <c:pt idx="449">
                  <c:v>42.42</c:v>
                </c:pt>
                <c:pt idx="450">
                  <c:v>43.22</c:v>
                </c:pt>
                <c:pt idx="451">
                  <c:v>43.85</c:v>
                </c:pt>
                <c:pt idx="452">
                  <c:v>43.29</c:v>
                </c:pt>
                <c:pt idx="453">
                  <c:v>43.78</c:v>
                </c:pt>
                <c:pt idx="454">
                  <c:v>43.65</c:v>
                </c:pt>
                <c:pt idx="455">
                  <c:v>43.38</c:v>
                </c:pt>
                <c:pt idx="456">
                  <c:v>41.79</c:v>
                </c:pt>
                <c:pt idx="457">
                  <c:v>42.7</c:v>
                </c:pt>
                <c:pt idx="458">
                  <c:v>41.91</c:v>
                </c:pt>
                <c:pt idx="459">
                  <c:v>42.53</c:v>
                </c:pt>
                <c:pt idx="460">
                  <c:v>42.19</c:v>
                </c:pt>
                <c:pt idx="461">
                  <c:v>42.36</c:v>
                </c:pt>
                <c:pt idx="462">
                  <c:v>42.96</c:v>
                </c:pt>
                <c:pt idx="463">
                  <c:v>42.23</c:v>
                </c:pt>
                <c:pt idx="464">
                  <c:v>42.81</c:v>
                </c:pt>
                <c:pt idx="465">
                  <c:v>42.31</c:v>
                </c:pt>
                <c:pt idx="466">
                  <c:v>43.68</c:v>
                </c:pt>
                <c:pt idx="467">
                  <c:v>43.47</c:v>
                </c:pt>
                <c:pt idx="468">
                  <c:v>43.9</c:v>
                </c:pt>
                <c:pt idx="469">
                  <c:v>43.73</c:v>
                </c:pt>
                <c:pt idx="470">
                  <c:v>43.14</c:v>
                </c:pt>
                <c:pt idx="471">
                  <c:v>42.54</c:v>
                </c:pt>
                <c:pt idx="472">
                  <c:v>42.84</c:v>
                </c:pt>
                <c:pt idx="473">
                  <c:v>43.13</c:v>
                </c:pt>
                <c:pt idx="474">
                  <c:v>43.8</c:v>
                </c:pt>
                <c:pt idx="475">
                  <c:v>43.15</c:v>
                </c:pt>
                <c:pt idx="476">
                  <c:v>42.73</c:v>
                </c:pt>
                <c:pt idx="477">
                  <c:v>42.77</c:v>
                </c:pt>
                <c:pt idx="478">
                  <c:v>42.96</c:v>
                </c:pt>
                <c:pt idx="479">
                  <c:v>43.69</c:v>
                </c:pt>
                <c:pt idx="480">
                  <c:v>44.51</c:v>
                </c:pt>
                <c:pt idx="481">
                  <c:v>45.12</c:v>
                </c:pt>
                <c:pt idx="482">
                  <c:v>45.83</c:v>
                </c:pt>
                <c:pt idx="483">
                  <c:v>45.59</c:v>
                </c:pt>
                <c:pt idx="484">
                  <c:v>44.75</c:v>
                </c:pt>
                <c:pt idx="485">
                  <c:v>44.59</c:v>
                </c:pt>
                <c:pt idx="486">
                  <c:v>43.54</c:v>
                </c:pt>
                <c:pt idx="487">
                  <c:v>44.02</c:v>
                </c:pt>
                <c:pt idx="488">
                  <c:v>43.63</c:v>
                </c:pt>
                <c:pt idx="489">
                  <c:v>43.78</c:v>
                </c:pt>
                <c:pt idx="490">
                  <c:v>44.18</c:v>
                </c:pt>
                <c:pt idx="491">
                  <c:v>43.42</c:v>
                </c:pt>
                <c:pt idx="492">
                  <c:v>42.74</c:v>
                </c:pt>
                <c:pt idx="493">
                  <c:v>42.03</c:v>
                </c:pt>
                <c:pt idx="494">
                  <c:v>41.61</c:v>
                </c:pt>
                <c:pt idx="495">
                  <c:v>41.59</c:v>
                </c:pt>
                <c:pt idx="496">
                  <c:v>41.57</c:v>
                </c:pt>
                <c:pt idx="497">
                  <c:v>40.200000000000003</c:v>
                </c:pt>
                <c:pt idx="498">
                  <c:v>41.82</c:v>
                </c:pt>
                <c:pt idx="499">
                  <c:v>42.48</c:v>
                </c:pt>
                <c:pt idx="500">
                  <c:v>42.59</c:v>
                </c:pt>
                <c:pt idx="501">
                  <c:v>43.27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A88-4627-A9B5-13E947E20CD9}"/>
            </c:ext>
          </c:extLst>
        </c:ser>
        <c:ser>
          <c:idx val="21"/>
          <c:order val="21"/>
          <c:tx>
            <c:strRef>
              <c:f>wide_company_closes_reorder!$W$1</c:f>
              <c:strCache>
                <c:ptCount val="1"/>
                <c:pt idx="0">
                  <c:v>PG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wide_company_closes_reorder!$W$2:$W$503</c:f>
              <c:numCache>
                <c:formatCode>General</c:formatCode>
                <c:ptCount val="502"/>
                <c:pt idx="0">
                  <c:v>78.25</c:v>
                </c:pt>
                <c:pt idx="1">
                  <c:v>78.53</c:v>
                </c:pt>
                <c:pt idx="2">
                  <c:v>79.05</c:v>
                </c:pt>
                <c:pt idx="3">
                  <c:v>79.02</c:v>
                </c:pt>
                <c:pt idx="4">
                  <c:v>78.430000000000007</c:v>
                </c:pt>
                <c:pt idx="5">
                  <c:v>77.59</c:v>
                </c:pt>
                <c:pt idx="6">
                  <c:v>77.83</c:v>
                </c:pt>
                <c:pt idx="7">
                  <c:v>77.91</c:v>
                </c:pt>
                <c:pt idx="8">
                  <c:v>78.069999999999993</c:v>
                </c:pt>
                <c:pt idx="9">
                  <c:v>79.19</c:v>
                </c:pt>
                <c:pt idx="10">
                  <c:v>79.55</c:v>
                </c:pt>
                <c:pt idx="11">
                  <c:v>79.34</c:v>
                </c:pt>
                <c:pt idx="12">
                  <c:v>81.91</c:v>
                </c:pt>
                <c:pt idx="13">
                  <c:v>81.45</c:v>
                </c:pt>
                <c:pt idx="14">
                  <c:v>82.3</c:v>
                </c:pt>
                <c:pt idx="15">
                  <c:v>81.64</c:v>
                </c:pt>
                <c:pt idx="16">
                  <c:v>81.12</c:v>
                </c:pt>
                <c:pt idx="17">
                  <c:v>81.23</c:v>
                </c:pt>
                <c:pt idx="18">
                  <c:v>81.260000000000005</c:v>
                </c:pt>
                <c:pt idx="19">
                  <c:v>82.05</c:v>
                </c:pt>
                <c:pt idx="20">
                  <c:v>81.8</c:v>
                </c:pt>
                <c:pt idx="21">
                  <c:v>82.2</c:v>
                </c:pt>
                <c:pt idx="22">
                  <c:v>81.88</c:v>
                </c:pt>
                <c:pt idx="23">
                  <c:v>81.87</c:v>
                </c:pt>
                <c:pt idx="24">
                  <c:v>82.44</c:v>
                </c:pt>
                <c:pt idx="25">
                  <c:v>82.74</c:v>
                </c:pt>
                <c:pt idx="26">
                  <c:v>83.06</c:v>
                </c:pt>
                <c:pt idx="27">
                  <c:v>82.4</c:v>
                </c:pt>
                <c:pt idx="28">
                  <c:v>82.72</c:v>
                </c:pt>
                <c:pt idx="29">
                  <c:v>82.3</c:v>
                </c:pt>
                <c:pt idx="30">
                  <c:v>85.35</c:v>
                </c:pt>
                <c:pt idx="31">
                  <c:v>85.04</c:v>
                </c:pt>
                <c:pt idx="32">
                  <c:v>85.32</c:v>
                </c:pt>
                <c:pt idx="33">
                  <c:v>85.87</c:v>
                </c:pt>
                <c:pt idx="34">
                  <c:v>85.65</c:v>
                </c:pt>
                <c:pt idx="35">
                  <c:v>85.36</c:v>
                </c:pt>
                <c:pt idx="36">
                  <c:v>85.28</c:v>
                </c:pt>
                <c:pt idx="37">
                  <c:v>85.13</c:v>
                </c:pt>
                <c:pt idx="38">
                  <c:v>85.3</c:v>
                </c:pt>
                <c:pt idx="39">
                  <c:v>85.86</c:v>
                </c:pt>
                <c:pt idx="40">
                  <c:v>85.15</c:v>
                </c:pt>
                <c:pt idx="41">
                  <c:v>84.77</c:v>
                </c:pt>
                <c:pt idx="42">
                  <c:v>84.65</c:v>
                </c:pt>
                <c:pt idx="43">
                  <c:v>84.57</c:v>
                </c:pt>
                <c:pt idx="44">
                  <c:v>84.43</c:v>
                </c:pt>
                <c:pt idx="45">
                  <c:v>84.62</c:v>
                </c:pt>
                <c:pt idx="46">
                  <c:v>85.3</c:v>
                </c:pt>
                <c:pt idx="47">
                  <c:v>85.53</c:v>
                </c:pt>
                <c:pt idx="48">
                  <c:v>85.24</c:v>
                </c:pt>
                <c:pt idx="49">
                  <c:v>85.61</c:v>
                </c:pt>
                <c:pt idx="50">
                  <c:v>85.65</c:v>
                </c:pt>
                <c:pt idx="51">
                  <c:v>85.24</c:v>
                </c:pt>
                <c:pt idx="52">
                  <c:v>85.44</c:v>
                </c:pt>
                <c:pt idx="53">
                  <c:v>85.42</c:v>
                </c:pt>
                <c:pt idx="54">
                  <c:v>85.23</c:v>
                </c:pt>
                <c:pt idx="55">
                  <c:v>85.02</c:v>
                </c:pt>
                <c:pt idx="56">
                  <c:v>84.83</c:v>
                </c:pt>
                <c:pt idx="57">
                  <c:v>84.76</c:v>
                </c:pt>
                <c:pt idx="58">
                  <c:v>85.01</c:v>
                </c:pt>
                <c:pt idx="59">
                  <c:v>84.86</c:v>
                </c:pt>
                <c:pt idx="60">
                  <c:v>84.49</c:v>
                </c:pt>
                <c:pt idx="61">
                  <c:v>84.16</c:v>
                </c:pt>
                <c:pt idx="62">
                  <c:v>84</c:v>
                </c:pt>
                <c:pt idx="63">
                  <c:v>84.22</c:v>
                </c:pt>
                <c:pt idx="64">
                  <c:v>84.27</c:v>
                </c:pt>
                <c:pt idx="65">
                  <c:v>83.74</c:v>
                </c:pt>
                <c:pt idx="66">
                  <c:v>83.58</c:v>
                </c:pt>
                <c:pt idx="67">
                  <c:v>83.82</c:v>
                </c:pt>
                <c:pt idx="68">
                  <c:v>84.11</c:v>
                </c:pt>
                <c:pt idx="69">
                  <c:v>84.59</c:v>
                </c:pt>
                <c:pt idx="70">
                  <c:v>84.33</c:v>
                </c:pt>
                <c:pt idx="71">
                  <c:v>84.67</c:v>
                </c:pt>
                <c:pt idx="72">
                  <c:v>85.05</c:v>
                </c:pt>
                <c:pt idx="73">
                  <c:v>84.57</c:v>
                </c:pt>
                <c:pt idx="74">
                  <c:v>84.31</c:v>
                </c:pt>
                <c:pt idx="75">
                  <c:v>83.64</c:v>
                </c:pt>
                <c:pt idx="76">
                  <c:v>84.52</c:v>
                </c:pt>
                <c:pt idx="77">
                  <c:v>84.95</c:v>
                </c:pt>
                <c:pt idx="78">
                  <c:v>82.81</c:v>
                </c:pt>
                <c:pt idx="79">
                  <c:v>82.77</c:v>
                </c:pt>
                <c:pt idx="80">
                  <c:v>82.43</c:v>
                </c:pt>
                <c:pt idx="81">
                  <c:v>82.2</c:v>
                </c:pt>
                <c:pt idx="82">
                  <c:v>81.38</c:v>
                </c:pt>
                <c:pt idx="83">
                  <c:v>81.58</c:v>
                </c:pt>
                <c:pt idx="84">
                  <c:v>81.599999999999994</c:v>
                </c:pt>
                <c:pt idx="85">
                  <c:v>81.64</c:v>
                </c:pt>
                <c:pt idx="86">
                  <c:v>81.69</c:v>
                </c:pt>
                <c:pt idx="87">
                  <c:v>81.55</c:v>
                </c:pt>
                <c:pt idx="88">
                  <c:v>81.63</c:v>
                </c:pt>
                <c:pt idx="89">
                  <c:v>81.33</c:v>
                </c:pt>
                <c:pt idx="90">
                  <c:v>81.349999999999994</c:v>
                </c:pt>
                <c:pt idx="91">
                  <c:v>81.48</c:v>
                </c:pt>
                <c:pt idx="92">
                  <c:v>81.400000000000006</c:v>
                </c:pt>
                <c:pt idx="93">
                  <c:v>81.42</c:v>
                </c:pt>
                <c:pt idx="94">
                  <c:v>81.05</c:v>
                </c:pt>
                <c:pt idx="95">
                  <c:v>81.400000000000006</c:v>
                </c:pt>
                <c:pt idx="96">
                  <c:v>81.37</c:v>
                </c:pt>
                <c:pt idx="97">
                  <c:v>81.25</c:v>
                </c:pt>
                <c:pt idx="98">
                  <c:v>81.64</c:v>
                </c:pt>
                <c:pt idx="99">
                  <c:v>81.98</c:v>
                </c:pt>
                <c:pt idx="100">
                  <c:v>82.35</c:v>
                </c:pt>
                <c:pt idx="101">
                  <c:v>82.49</c:v>
                </c:pt>
                <c:pt idx="102">
                  <c:v>83.14</c:v>
                </c:pt>
                <c:pt idx="103">
                  <c:v>83.18</c:v>
                </c:pt>
                <c:pt idx="104">
                  <c:v>83.62</c:v>
                </c:pt>
                <c:pt idx="105">
                  <c:v>83.76</c:v>
                </c:pt>
                <c:pt idx="106">
                  <c:v>83.81</c:v>
                </c:pt>
                <c:pt idx="107">
                  <c:v>83.79</c:v>
                </c:pt>
                <c:pt idx="108">
                  <c:v>82.92</c:v>
                </c:pt>
                <c:pt idx="109">
                  <c:v>83.21</c:v>
                </c:pt>
                <c:pt idx="110">
                  <c:v>83.28</c:v>
                </c:pt>
                <c:pt idx="111">
                  <c:v>83.12</c:v>
                </c:pt>
                <c:pt idx="112">
                  <c:v>83.47</c:v>
                </c:pt>
                <c:pt idx="113">
                  <c:v>84.36</c:v>
                </c:pt>
                <c:pt idx="114">
                  <c:v>84.63</c:v>
                </c:pt>
                <c:pt idx="115">
                  <c:v>84.81</c:v>
                </c:pt>
                <c:pt idx="116">
                  <c:v>84.6</c:v>
                </c:pt>
                <c:pt idx="117">
                  <c:v>84.38</c:v>
                </c:pt>
                <c:pt idx="118">
                  <c:v>84.03</c:v>
                </c:pt>
                <c:pt idx="119">
                  <c:v>84.4</c:v>
                </c:pt>
                <c:pt idx="120">
                  <c:v>84.34</c:v>
                </c:pt>
                <c:pt idx="121">
                  <c:v>83.63</c:v>
                </c:pt>
                <c:pt idx="122">
                  <c:v>83.41</c:v>
                </c:pt>
                <c:pt idx="123">
                  <c:v>82.11</c:v>
                </c:pt>
                <c:pt idx="124">
                  <c:v>82.26</c:v>
                </c:pt>
                <c:pt idx="125">
                  <c:v>82.81</c:v>
                </c:pt>
                <c:pt idx="126">
                  <c:v>82.75</c:v>
                </c:pt>
                <c:pt idx="127">
                  <c:v>82.46</c:v>
                </c:pt>
                <c:pt idx="128">
                  <c:v>82.73</c:v>
                </c:pt>
                <c:pt idx="129">
                  <c:v>82.2</c:v>
                </c:pt>
                <c:pt idx="130">
                  <c:v>81.900000000000006</c:v>
                </c:pt>
                <c:pt idx="131">
                  <c:v>82.08</c:v>
                </c:pt>
                <c:pt idx="132">
                  <c:v>81.83</c:v>
                </c:pt>
                <c:pt idx="133">
                  <c:v>82.21</c:v>
                </c:pt>
                <c:pt idx="134">
                  <c:v>82.63</c:v>
                </c:pt>
                <c:pt idx="135">
                  <c:v>83.66</c:v>
                </c:pt>
                <c:pt idx="136">
                  <c:v>84.04</c:v>
                </c:pt>
                <c:pt idx="137">
                  <c:v>84.28</c:v>
                </c:pt>
                <c:pt idx="138">
                  <c:v>84.29</c:v>
                </c:pt>
                <c:pt idx="139">
                  <c:v>83.88</c:v>
                </c:pt>
                <c:pt idx="140">
                  <c:v>84.79</c:v>
                </c:pt>
                <c:pt idx="141">
                  <c:v>84.95</c:v>
                </c:pt>
                <c:pt idx="142">
                  <c:v>86.26</c:v>
                </c:pt>
                <c:pt idx="143">
                  <c:v>85.81</c:v>
                </c:pt>
                <c:pt idx="144">
                  <c:v>86.39</c:v>
                </c:pt>
                <c:pt idx="145">
                  <c:v>86.66</c:v>
                </c:pt>
                <c:pt idx="146">
                  <c:v>86.6</c:v>
                </c:pt>
                <c:pt idx="147">
                  <c:v>86.43</c:v>
                </c:pt>
                <c:pt idx="148">
                  <c:v>86.25</c:v>
                </c:pt>
                <c:pt idx="149">
                  <c:v>86.98</c:v>
                </c:pt>
                <c:pt idx="150">
                  <c:v>87.12</c:v>
                </c:pt>
                <c:pt idx="151">
                  <c:v>87.44</c:v>
                </c:pt>
                <c:pt idx="152">
                  <c:v>87.27</c:v>
                </c:pt>
                <c:pt idx="153">
                  <c:v>86.89</c:v>
                </c:pt>
                <c:pt idx="154">
                  <c:v>87.18</c:v>
                </c:pt>
                <c:pt idx="155">
                  <c:v>87.7</c:v>
                </c:pt>
                <c:pt idx="156">
                  <c:v>87.93</c:v>
                </c:pt>
                <c:pt idx="157">
                  <c:v>87.58</c:v>
                </c:pt>
                <c:pt idx="158">
                  <c:v>87.96</c:v>
                </c:pt>
                <c:pt idx="159">
                  <c:v>88.33</c:v>
                </c:pt>
                <c:pt idx="160">
                  <c:v>88.27</c:v>
                </c:pt>
                <c:pt idx="161">
                  <c:v>87.93</c:v>
                </c:pt>
                <c:pt idx="162">
                  <c:v>87.77</c:v>
                </c:pt>
                <c:pt idx="163">
                  <c:v>88</c:v>
                </c:pt>
                <c:pt idx="164">
                  <c:v>87.96</c:v>
                </c:pt>
                <c:pt idx="165">
                  <c:v>87.82</c:v>
                </c:pt>
                <c:pt idx="166">
                  <c:v>87.39</c:v>
                </c:pt>
                <c:pt idx="167">
                  <c:v>87.77</c:v>
                </c:pt>
                <c:pt idx="168">
                  <c:v>88.02</c:v>
                </c:pt>
                <c:pt idx="169">
                  <c:v>88.2</c:v>
                </c:pt>
                <c:pt idx="170">
                  <c:v>88.2</c:v>
                </c:pt>
                <c:pt idx="171">
                  <c:v>88.44</c:v>
                </c:pt>
                <c:pt idx="172">
                  <c:v>88.31</c:v>
                </c:pt>
                <c:pt idx="173">
                  <c:v>89.41</c:v>
                </c:pt>
                <c:pt idx="174">
                  <c:v>88.95</c:v>
                </c:pt>
                <c:pt idx="175">
                  <c:v>88.99</c:v>
                </c:pt>
                <c:pt idx="176">
                  <c:v>88.99</c:v>
                </c:pt>
                <c:pt idx="177">
                  <c:v>88.72</c:v>
                </c:pt>
                <c:pt idx="178">
                  <c:v>88.61</c:v>
                </c:pt>
                <c:pt idx="179">
                  <c:v>89.58</c:v>
                </c:pt>
                <c:pt idx="180">
                  <c:v>89.8</c:v>
                </c:pt>
                <c:pt idx="181">
                  <c:v>88.12</c:v>
                </c:pt>
                <c:pt idx="182">
                  <c:v>87.74</c:v>
                </c:pt>
                <c:pt idx="183">
                  <c:v>88.2</c:v>
                </c:pt>
                <c:pt idx="184">
                  <c:v>88.13</c:v>
                </c:pt>
                <c:pt idx="185">
                  <c:v>86.44</c:v>
                </c:pt>
                <c:pt idx="186">
                  <c:v>86.46</c:v>
                </c:pt>
                <c:pt idx="187">
                  <c:v>86.54</c:v>
                </c:pt>
                <c:pt idx="188">
                  <c:v>87.3</c:v>
                </c:pt>
                <c:pt idx="189">
                  <c:v>87.63</c:v>
                </c:pt>
                <c:pt idx="190">
                  <c:v>87.91</c:v>
                </c:pt>
                <c:pt idx="191">
                  <c:v>87.54</c:v>
                </c:pt>
                <c:pt idx="192">
                  <c:v>87.83</c:v>
                </c:pt>
                <c:pt idx="193">
                  <c:v>87.63</c:v>
                </c:pt>
                <c:pt idx="194">
                  <c:v>87.15</c:v>
                </c:pt>
                <c:pt idx="195">
                  <c:v>87</c:v>
                </c:pt>
                <c:pt idx="196">
                  <c:v>87.66</c:v>
                </c:pt>
                <c:pt idx="197">
                  <c:v>88.5</c:v>
                </c:pt>
                <c:pt idx="198">
                  <c:v>88.6</c:v>
                </c:pt>
                <c:pt idx="199">
                  <c:v>88.28</c:v>
                </c:pt>
                <c:pt idx="200">
                  <c:v>88.25</c:v>
                </c:pt>
                <c:pt idx="201">
                  <c:v>87.78</c:v>
                </c:pt>
                <c:pt idx="202">
                  <c:v>84.58</c:v>
                </c:pt>
                <c:pt idx="203">
                  <c:v>83.67</c:v>
                </c:pt>
                <c:pt idx="204">
                  <c:v>83.36</c:v>
                </c:pt>
                <c:pt idx="205">
                  <c:v>83.24</c:v>
                </c:pt>
                <c:pt idx="206">
                  <c:v>83.86</c:v>
                </c:pt>
                <c:pt idx="207">
                  <c:v>83.42</c:v>
                </c:pt>
                <c:pt idx="208">
                  <c:v>82.68</c:v>
                </c:pt>
                <c:pt idx="209">
                  <c:v>82.75</c:v>
                </c:pt>
                <c:pt idx="210">
                  <c:v>83.27</c:v>
                </c:pt>
                <c:pt idx="211">
                  <c:v>82.91</c:v>
                </c:pt>
                <c:pt idx="212">
                  <c:v>82.98</c:v>
                </c:pt>
                <c:pt idx="213">
                  <c:v>82.47</c:v>
                </c:pt>
                <c:pt idx="214">
                  <c:v>83.36</c:v>
                </c:pt>
                <c:pt idx="215">
                  <c:v>83.93</c:v>
                </c:pt>
                <c:pt idx="216">
                  <c:v>84.13</c:v>
                </c:pt>
                <c:pt idx="217">
                  <c:v>84.49</c:v>
                </c:pt>
                <c:pt idx="218">
                  <c:v>85.29</c:v>
                </c:pt>
                <c:pt idx="219">
                  <c:v>85.17</c:v>
                </c:pt>
                <c:pt idx="220">
                  <c:v>84.56</c:v>
                </c:pt>
                <c:pt idx="221">
                  <c:v>85.53</c:v>
                </c:pt>
                <c:pt idx="222">
                  <c:v>84.75</c:v>
                </c:pt>
                <c:pt idx="223">
                  <c:v>84.6</c:v>
                </c:pt>
                <c:pt idx="224">
                  <c:v>85.03</c:v>
                </c:pt>
                <c:pt idx="225">
                  <c:v>84.65</c:v>
                </c:pt>
                <c:pt idx="226">
                  <c:v>84.77</c:v>
                </c:pt>
                <c:pt idx="227">
                  <c:v>85.26</c:v>
                </c:pt>
                <c:pt idx="228">
                  <c:v>85.68</c:v>
                </c:pt>
                <c:pt idx="229">
                  <c:v>85.66</c:v>
                </c:pt>
                <c:pt idx="230">
                  <c:v>86.24</c:v>
                </c:pt>
                <c:pt idx="231">
                  <c:v>86.6</c:v>
                </c:pt>
                <c:pt idx="232">
                  <c:v>87.6</c:v>
                </c:pt>
                <c:pt idx="233">
                  <c:v>87.6</c:v>
                </c:pt>
                <c:pt idx="234">
                  <c:v>87.45</c:v>
                </c:pt>
                <c:pt idx="235">
                  <c:v>86.35</c:v>
                </c:pt>
                <c:pt idx="236">
                  <c:v>86.61</c:v>
                </c:pt>
                <c:pt idx="237">
                  <c:v>86.47</c:v>
                </c:pt>
                <c:pt idx="238">
                  <c:v>86.11</c:v>
                </c:pt>
                <c:pt idx="239">
                  <c:v>87.1</c:v>
                </c:pt>
                <c:pt idx="240">
                  <c:v>87.21</c:v>
                </c:pt>
                <c:pt idx="241">
                  <c:v>88.06</c:v>
                </c:pt>
                <c:pt idx="242">
                  <c:v>88.06</c:v>
                </c:pt>
                <c:pt idx="243">
                  <c:v>87.86</c:v>
                </c:pt>
                <c:pt idx="244">
                  <c:v>87.72</c:v>
                </c:pt>
                <c:pt idx="245">
                  <c:v>87.85</c:v>
                </c:pt>
                <c:pt idx="246">
                  <c:v>88.29</c:v>
                </c:pt>
                <c:pt idx="247">
                  <c:v>88.63</c:v>
                </c:pt>
                <c:pt idx="248">
                  <c:v>88.27</c:v>
                </c:pt>
                <c:pt idx="249">
                  <c:v>88.24</c:v>
                </c:pt>
                <c:pt idx="250">
                  <c:v>88.06</c:v>
                </c:pt>
                <c:pt idx="251">
                  <c:v>86.88</c:v>
                </c:pt>
                <c:pt idx="252">
                  <c:v>86.77</c:v>
                </c:pt>
                <c:pt idx="253">
                  <c:v>87.38</c:v>
                </c:pt>
                <c:pt idx="254">
                  <c:v>87.44</c:v>
                </c:pt>
                <c:pt idx="255">
                  <c:v>87.9</c:v>
                </c:pt>
                <c:pt idx="256">
                  <c:v>87.26</c:v>
                </c:pt>
                <c:pt idx="257">
                  <c:v>86.7</c:v>
                </c:pt>
                <c:pt idx="258">
                  <c:v>86.4</c:v>
                </c:pt>
                <c:pt idx="259">
                  <c:v>85.88</c:v>
                </c:pt>
                <c:pt idx="260">
                  <c:v>86.46</c:v>
                </c:pt>
                <c:pt idx="261">
                  <c:v>87.4</c:v>
                </c:pt>
                <c:pt idx="262">
                  <c:v>87.08</c:v>
                </c:pt>
                <c:pt idx="263">
                  <c:v>87.94</c:v>
                </c:pt>
                <c:pt idx="264">
                  <c:v>88.74</c:v>
                </c:pt>
                <c:pt idx="265">
                  <c:v>85.99</c:v>
                </c:pt>
                <c:pt idx="266">
                  <c:v>85.28</c:v>
                </c:pt>
                <c:pt idx="267">
                  <c:v>85.31</c:v>
                </c:pt>
                <c:pt idx="268">
                  <c:v>84.72</c:v>
                </c:pt>
                <c:pt idx="269">
                  <c:v>83.88</c:v>
                </c:pt>
                <c:pt idx="270">
                  <c:v>83.97</c:v>
                </c:pt>
                <c:pt idx="271">
                  <c:v>83.38</c:v>
                </c:pt>
                <c:pt idx="272">
                  <c:v>82.9</c:v>
                </c:pt>
                <c:pt idx="273">
                  <c:v>81.36</c:v>
                </c:pt>
                <c:pt idx="274">
                  <c:v>78.28</c:v>
                </c:pt>
                <c:pt idx="275">
                  <c:v>79.55</c:v>
                </c:pt>
                <c:pt idx="276">
                  <c:v>79.03</c:v>
                </c:pt>
                <c:pt idx="277">
                  <c:v>77.47</c:v>
                </c:pt>
                <c:pt idx="278">
                  <c:v>77.180000000000007</c:v>
                </c:pt>
                <c:pt idx="279">
                  <c:v>78.540000000000006</c:v>
                </c:pt>
                <c:pt idx="280">
                  <c:v>78.7</c:v>
                </c:pt>
                <c:pt idx="281">
                  <c:v>77.91</c:v>
                </c:pt>
                <c:pt idx="282">
                  <c:v>79.58</c:v>
                </c:pt>
                <c:pt idx="283">
                  <c:v>79.760000000000005</c:v>
                </c:pt>
                <c:pt idx="284">
                  <c:v>78.55</c:v>
                </c:pt>
                <c:pt idx="285">
                  <c:v>77.489999999999995</c:v>
                </c:pt>
                <c:pt idx="286">
                  <c:v>78.06</c:v>
                </c:pt>
                <c:pt idx="287">
                  <c:v>78.27</c:v>
                </c:pt>
                <c:pt idx="288">
                  <c:v>78.83</c:v>
                </c:pt>
                <c:pt idx="289">
                  <c:v>77.78</c:v>
                </c:pt>
                <c:pt idx="290">
                  <c:v>75.819999999999993</c:v>
                </c:pt>
                <c:pt idx="291">
                  <c:v>76</c:v>
                </c:pt>
                <c:pt idx="292">
                  <c:v>76.77</c:v>
                </c:pt>
                <c:pt idx="293">
                  <c:v>77.53</c:v>
                </c:pt>
                <c:pt idx="294">
                  <c:v>77.27</c:v>
                </c:pt>
                <c:pt idx="295">
                  <c:v>76.44</c:v>
                </c:pt>
                <c:pt idx="296">
                  <c:v>77.22</c:v>
                </c:pt>
                <c:pt idx="297">
                  <c:v>77.53</c:v>
                </c:pt>
                <c:pt idx="298">
                  <c:v>77.12</c:v>
                </c:pt>
                <c:pt idx="299">
                  <c:v>76.98</c:v>
                </c:pt>
                <c:pt idx="300">
                  <c:v>76.290000000000006</c:v>
                </c:pt>
                <c:pt idx="301">
                  <c:v>75.97</c:v>
                </c:pt>
                <c:pt idx="302">
                  <c:v>76.260000000000005</c:v>
                </c:pt>
                <c:pt idx="303">
                  <c:v>75.959999999999994</c:v>
                </c:pt>
                <c:pt idx="304">
                  <c:v>75.62</c:v>
                </c:pt>
                <c:pt idx="305">
                  <c:v>74.400000000000006</c:v>
                </c:pt>
                <c:pt idx="306">
                  <c:v>73.790000000000006</c:v>
                </c:pt>
                <c:pt idx="307">
                  <c:v>73.3</c:v>
                </c:pt>
                <c:pt idx="308">
                  <c:v>73.790000000000006</c:v>
                </c:pt>
                <c:pt idx="309">
                  <c:v>75.12</c:v>
                </c:pt>
                <c:pt idx="310">
                  <c:v>76.13</c:v>
                </c:pt>
                <c:pt idx="311">
                  <c:v>76.56</c:v>
                </c:pt>
                <c:pt idx="312">
                  <c:v>74.739999999999995</c:v>
                </c:pt>
                <c:pt idx="313">
                  <c:v>75.77</c:v>
                </c:pt>
                <c:pt idx="314">
                  <c:v>76.34</c:v>
                </c:pt>
                <c:pt idx="315">
                  <c:v>76.09</c:v>
                </c:pt>
                <c:pt idx="316">
                  <c:v>75.739999999999995</c:v>
                </c:pt>
                <c:pt idx="317">
                  <c:v>75.48</c:v>
                </c:pt>
                <c:pt idx="318">
                  <c:v>75.680000000000007</c:v>
                </c:pt>
                <c:pt idx="319">
                  <c:v>75.58</c:v>
                </c:pt>
                <c:pt idx="320">
                  <c:v>75.12</c:v>
                </c:pt>
                <c:pt idx="321">
                  <c:v>75.680000000000007</c:v>
                </c:pt>
                <c:pt idx="322">
                  <c:v>75.91</c:v>
                </c:pt>
                <c:pt idx="323">
                  <c:v>75.739999999999995</c:v>
                </c:pt>
                <c:pt idx="324">
                  <c:v>75.52</c:v>
                </c:pt>
                <c:pt idx="325">
                  <c:v>73.05</c:v>
                </c:pt>
                <c:pt idx="326">
                  <c:v>71.930000000000007</c:v>
                </c:pt>
                <c:pt idx="327">
                  <c:v>71.150000000000006</c:v>
                </c:pt>
                <c:pt idx="328">
                  <c:v>70.66</c:v>
                </c:pt>
                <c:pt idx="329">
                  <c:v>70.459999999999994</c:v>
                </c:pt>
                <c:pt idx="330">
                  <c:v>70.900000000000006</c:v>
                </c:pt>
                <c:pt idx="331">
                  <c:v>70.959999999999994</c:v>
                </c:pt>
                <c:pt idx="332">
                  <c:v>70.5</c:v>
                </c:pt>
                <c:pt idx="333">
                  <c:v>70.13</c:v>
                </c:pt>
                <c:pt idx="334">
                  <c:v>69.14</c:v>
                </c:pt>
                <c:pt idx="335">
                  <c:v>69.55</c:v>
                </c:pt>
                <c:pt idx="336">
                  <c:v>70.59</c:v>
                </c:pt>
                <c:pt idx="337">
                  <c:v>70.150000000000006</c:v>
                </c:pt>
                <c:pt idx="338">
                  <c:v>69.63</c:v>
                </c:pt>
                <c:pt idx="339">
                  <c:v>70.53</c:v>
                </c:pt>
                <c:pt idx="340">
                  <c:v>71.290000000000006</c:v>
                </c:pt>
                <c:pt idx="341">
                  <c:v>71.510000000000005</c:v>
                </c:pt>
                <c:pt idx="342">
                  <c:v>71.42</c:v>
                </c:pt>
                <c:pt idx="343">
                  <c:v>71.099999999999994</c:v>
                </c:pt>
                <c:pt idx="344">
                  <c:v>71.66</c:v>
                </c:pt>
                <c:pt idx="345">
                  <c:v>72.08</c:v>
                </c:pt>
                <c:pt idx="346">
                  <c:v>71.59</c:v>
                </c:pt>
                <c:pt idx="347">
                  <c:v>72.180000000000007</c:v>
                </c:pt>
                <c:pt idx="348">
                  <c:v>72.150000000000006</c:v>
                </c:pt>
                <c:pt idx="349">
                  <c:v>72.3</c:v>
                </c:pt>
                <c:pt idx="350">
                  <c:v>71.900000000000006</c:v>
                </c:pt>
                <c:pt idx="351">
                  <c:v>72.42</c:v>
                </c:pt>
                <c:pt idx="352">
                  <c:v>72.17</c:v>
                </c:pt>
                <c:pt idx="353">
                  <c:v>72.989999999999995</c:v>
                </c:pt>
                <c:pt idx="354">
                  <c:v>71.31</c:v>
                </c:pt>
                <c:pt idx="355">
                  <c:v>71.59</c:v>
                </c:pt>
                <c:pt idx="356">
                  <c:v>72.3</c:v>
                </c:pt>
                <c:pt idx="357">
                  <c:v>72.09</c:v>
                </c:pt>
                <c:pt idx="358">
                  <c:v>72.459999999999994</c:v>
                </c:pt>
                <c:pt idx="359">
                  <c:v>73.84</c:v>
                </c:pt>
                <c:pt idx="360">
                  <c:v>75.22</c:v>
                </c:pt>
                <c:pt idx="361">
                  <c:v>75.56</c:v>
                </c:pt>
                <c:pt idx="362">
                  <c:v>75.28</c:v>
                </c:pt>
                <c:pt idx="363">
                  <c:v>74.53</c:v>
                </c:pt>
                <c:pt idx="364">
                  <c:v>74.06</c:v>
                </c:pt>
                <c:pt idx="365">
                  <c:v>75.42</c:v>
                </c:pt>
                <c:pt idx="366">
                  <c:v>73.91</c:v>
                </c:pt>
                <c:pt idx="367">
                  <c:v>74.39</c:v>
                </c:pt>
                <c:pt idx="368">
                  <c:v>73.92</c:v>
                </c:pt>
                <c:pt idx="369">
                  <c:v>74.5</c:v>
                </c:pt>
                <c:pt idx="370">
                  <c:v>75.459999999999994</c:v>
                </c:pt>
                <c:pt idx="371">
                  <c:v>75.81</c:v>
                </c:pt>
                <c:pt idx="372">
                  <c:v>76.02</c:v>
                </c:pt>
                <c:pt idx="373">
                  <c:v>75.72</c:v>
                </c:pt>
                <c:pt idx="374">
                  <c:v>76.069999999999993</c:v>
                </c:pt>
                <c:pt idx="375">
                  <c:v>76.08</c:v>
                </c:pt>
                <c:pt idx="376">
                  <c:v>76.150000000000006</c:v>
                </c:pt>
                <c:pt idx="377">
                  <c:v>75.92</c:v>
                </c:pt>
                <c:pt idx="378">
                  <c:v>77.2</c:v>
                </c:pt>
                <c:pt idx="379">
                  <c:v>77.3</c:v>
                </c:pt>
                <c:pt idx="380">
                  <c:v>75.88</c:v>
                </c:pt>
                <c:pt idx="381">
                  <c:v>77.790000000000006</c:v>
                </c:pt>
                <c:pt idx="382">
                  <c:v>77.150000000000006</c:v>
                </c:pt>
                <c:pt idx="383">
                  <c:v>76.89</c:v>
                </c:pt>
                <c:pt idx="384">
                  <c:v>77.3</c:v>
                </c:pt>
                <c:pt idx="385">
                  <c:v>77.510000000000005</c:v>
                </c:pt>
                <c:pt idx="386">
                  <c:v>78</c:v>
                </c:pt>
                <c:pt idx="387">
                  <c:v>77.7</c:v>
                </c:pt>
                <c:pt idx="388">
                  <c:v>77.430000000000007</c:v>
                </c:pt>
                <c:pt idx="389">
                  <c:v>77.38</c:v>
                </c:pt>
                <c:pt idx="390">
                  <c:v>77.209999999999994</c:v>
                </c:pt>
                <c:pt idx="391">
                  <c:v>77.680000000000007</c:v>
                </c:pt>
                <c:pt idx="392">
                  <c:v>78.16</c:v>
                </c:pt>
                <c:pt idx="393">
                  <c:v>78.77</c:v>
                </c:pt>
                <c:pt idx="394">
                  <c:v>79.25</c:v>
                </c:pt>
                <c:pt idx="395">
                  <c:v>78.87</c:v>
                </c:pt>
                <c:pt idx="396">
                  <c:v>79.540000000000006</c:v>
                </c:pt>
                <c:pt idx="397">
                  <c:v>79.319999999999993</c:v>
                </c:pt>
                <c:pt idx="398">
                  <c:v>80.64</c:v>
                </c:pt>
                <c:pt idx="399">
                  <c:v>80.97</c:v>
                </c:pt>
                <c:pt idx="400">
                  <c:v>81.16</c:v>
                </c:pt>
                <c:pt idx="401">
                  <c:v>81.27</c:v>
                </c:pt>
                <c:pt idx="402">
                  <c:v>80.989999999999995</c:v>
                </c:pt>
                <c:pt idx="403">
                  <c:v>80.05</c:v>
                </c:pt>
                <c:pt idx="404">
                  <c:v>80.08</c:v>
                </c:pt>
                <c:pt idx="405">
                  <c:v>80.17</c:v>
                </c:pt>
                <c:pt idx="406">
                  <c:v>79.97</c:v>
                </c:pt>
                <c:pt idx="407">
                  <c:v>80.94</c:v>
                </c:pt>
                <c:pt idx="408">
                  <c:v>82.31</c:v>
                </c:pt>
                <c:pt idx="409">
                  <c:v>82.31</c:v>
                </c:pt>
                <c:pt idx="410">
                  <c:v>82.26</c:v>
                </c:pt>
                <c:pt idx="411">
                  <c:v>82.51</c:v>
                </c:pt>
                <c:pt idx="412">
                  <c:v>82.01</c:v>
                </c:pt>
                <c:pt idx="413">
                  <c:v>81.86</c:v>
                </c:pt>
                <c:pt idx="414">
                  <c:v>81.98</c:v>
                </c:pt>
                <c:pt idx="415">
                  <c:v>82.06</c:v>
                </c:pt>
                <c:pt idx="416">
                  <c:v>82.1</c:v>
                </c:pt>
                <c:pt idx="417">
                  <c:v>82.11</c:v>
                </c:pt>
                <c:pt idx="418">
                  <c:v>82.03</c:v>
                </c:pt>
                <c:pt idx="419">
                  <c:v>81.58</c:v>
                </c:pt>
                <c:pt idx="420">
                  <c:v>81.33</c:v>
                </c:pt>
                <c:pt idx="421">
                  <c:v>81.91</c:v>
                </c:pt>
                <c:pt idx="422">
                  <c:v>81.28</c:v>
                </c:pt>
                <c:pt idx="423">
                  <c:v>80.56</c:v>
                </c:pt>
                <c:pt idx="424">
                  <c:v>81.02</c:v>
                </c:pt>
                <c:pt idx="425">
                  <c:v>80.650000000000006</c:v>
                </c:pt>
                <c:pt idx="426">
                  <c:v>81.739999999999995</c:v>
                </c:pt>
                <c:pt idx="427">
                  <c:v>82.07</c:v>
                </c:pt>
                <c:pt idx="428">
                  <c:v>82.23</c:v>
                </c:pt>
                <c:pt idx="429">
                  <c:v>82.86</c:v>
                </c:pt>
                <c:pt idx="430">
                  <c:v>82.61</c:v>
                </c:pt>
                <c:pt idx="431">
                  <c:v>82.61</c:v>
                </c:pt>
                <c:pt idx="432">
                  <c:v>83.95</c:v>
                </c:pt>
                <c:pt idx="433">
                  <c:v>84.4</c:v>
                </c:pt>
                <c:pt idx="434">
                  <c:v>82.88</c:v>
                </c:pt>
                <c:pt idx="435">
                  <c:v>81.75</c:v>
                </c:pt>
                <c:pt idx="436">
                  <c:v>81.88</c:v>
                </c:pt>
                <c:pt idx="437">
                  <c:v>81.489999999999995</c:v>
                </c:pt>
                <c:pt idx="438">
                  <c:v>81.849999999999994</c:v>
                </c:pt>
                <c:pt idx="439">
                  <c:v>82.29</c:v>
                </c:pt>
                <c:pt idx="440">
                  <c:v>82.96</c:v>
                </c:pt>
                <c:pt idx="441">
                  <c:v>81.66</c:v>
                </c:pt>
                <c:pt idx="442">
                  <c:v>80.56</c:v>
                </c:pt>
                <c:pt idx="443">
                  <c:v>80.790000000000006</c:v>
                </c:pt>
                <c:pt idx="444">
                  <c:v>81.040000000000006</c:v>
                </c:pt>
                <c:pt idx="445">
                  <c:v>80.84</c:v>
                </c:pt>
                <c:pt idx="446">
                  <c:v>80.09</c:v>
                </c:pt>
                <c:pt idx="447">
                  <c:v>77.569999999999993</c:v>
                </c:pt>
                <c:pt idx="448">
                  <c:v>77.75</c:v>
                </c:pt>
                <c:pt idx="449">
                  <c:v>78.8</c:v>
                </c:pt>
                <c:pt idx="450">
                  <c:v>79.67</c:v>
                </c:pt>
                <c:pt idx="451">
                  <c:v>80.510000000000005</c:v>
                </c:pt>
                <c:pt idx="452">
                  <c:v>79.61</c:v>
                </c:pt>
                <c:pt idx="453">
                  <c:v>86.61</c:v>
                </c:pt>
                <c:pt idx="454">
                  <c:v>85.92</c:v>
                </c:pt>
                <c:pt idx="455">
                  <c:v>86.48</c:v>
                </c:pt>
                <c:pt idx="456">
                  <c:v>88.76</c:v>
                </c:pt>
                <c:pt idx="457">
                  <c:v>88.3</c:v>
                </c:pt>
                <c:pt idx="458">
                  <c:v>87.17</c:v>
                </c:pt>
                <c:pt idx="459">
                  <c:v>87.55</c:v>
                </c:pt>
                <c:pt idx="460">
                  <c:v>88.49</c:v>
                </c:pt>
                <c:pt idx="461">
                  <c:v>87.98</c:v>
                </c:pt>
                <c:pt idx="462">
                  <c:v>88.89</c:v>
                </c:pt>
                <c:pt idx="463">
                  <c:v>89.11</c:v>
                </c:pt>
                <c:pt idx="464">
                  <c:v>90.48</c:v>
                </c:pt>
                <c:pt idx="465">
                  <c:v>90.79</c:v>
                </c:pt>
                <c:pt idx="466">
                  <c:v>90.57</c:v>
                </c:pt>
                <c:pt idx="467">
                  <c:v>90.64</c:v>
                </c:pt>
                <c:pt idx="468">
                  <c:v>91.68</c:v>
                </c:pt>
                <c:pt idx="469">
                  <c:v>91.97</c:v>
                </c:pt>
                <c:pt idx="470">
                  <c:v>92.74</c:v>
                </c:pt>
                <c:pt idx="471">
                  <c:v>92.76</c:v>
                </c:pt>
                <c:pt idx="472">
                  <c:v>93.09</c:v>
                </c:pt>
                <c:pt idx="473">
                  <c:v>93.08</c:v>
                </c:pt>
                <c:pt idx="474">
                  <c:v>92.56</c:v>
                </c:pt>
                <c:pt idx="475">
                  <c:v>91.38</c:v>
                </c:pt>
                <c:pt idx="476">
                  <c:v>90.69</c:v>
                </c:pt>
                <c:pt idx="477">
                  <c:v>90.82</c:v>
                </c:pt>
                <c:pt idx="478">
                  <c:v>91.22</c:v>
                </c:pt>
                <c:pt idx="479">
                  <c:v>91.99</c:v>
                </c:pt>
                <c:pt idx="480">
                  <c:v>92.28</c:v>
                </c:pt>
                <c:pt idx="481">
                  <c:v>92.09</c:v>
                </c:pt>
                <c:pt idx="482">
                  <c:v>93.77</c:v>
                </c:pt>
                <c:pt idx="483">
                  <c:v>92.59</c:v>
                </c:pt>
                <c:pt idx="484">
                  <c:v>92.58</c:v>
                </c:pt>
                <c:pt idx="485">
                  <c:v>92.82</c:v>
                </c:pt>
                <c:pt idx="486">
                  <c:v>91.72</c:v>
                </c:pt>
                <c:pt idx="487">
                  <c:v>92.3</c:v>
                </c:pt>
                <c:pt idx="488">
                  <c:v>93.17</c:v>
                </c:pt>
                <c:pt idx="489">
                  <c:v>93.29</c:v>
                </c:pt>
                <c:pt idx="490">
                  <c:v>95.73</c:v>
                </c:pt>
                <c:pt idx="491">
                  <c:v>95.88</c:v>
                </c:pt>
                <c:pt idx="492">
                  <c:v>92.04</c:v>
                </c:pt>
                <c:pt idx="493">
                  <c:v>91.76</c:v>
                </c:pt>
                <c:pt idx="494">
                  <c:v>91.04</c:v>
                </c:pt>
                <c:pt idx="495">
                  <c:v>90.27</c:v>
                </c:pt>
                <c:pt idx="496">
                  <c:v>90.26</c:v>
                </c:pt>
                <c:pt idx="497">
                  <c:v>86.67</c:v>
                </c:pt>
                <c:pt idx="498">
                  <c:v>89.38</c:v>
                </c:pt>
                <c:pt idx="499">
                  <c:v>91.3</c:v>
                </c:pt>
                <c:pt idx="500">
                  <c:v>90.46</c:v>
                </c:pt>
                <c:pt idx="501">
                  <c:v>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A88-4627-A9B5-13E947E20CD9}"/>
            </c:ext>
          </c:extLst>
        </c:ser>
        <c:ser>
          <c:idx val="22"/>
          <c:order val="22"/>
          <c:tx>
            <c:strRef>
              <c:f>wide_company_closes_reorder!$X$1</c:f>
              <c:strCache>
                <c:ptCount val="1"/>
                <c:pt idx="0">
                  <c:v>TRV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wide_company_closes_reorder!$X$2:$X$503</c:f>
              <c:numCache>
                <c:formatCode>General</c:formatCode>
                <c:ptCount val="502"/>
                <c:pt idx="0">
                  <c:v>115.46</c:v>
                </c:pt>
                <c:pt idx="1">
                  <c:v>114.84</c:v>
                </c:pt>
                <c:pt idx="2">
                  <c:v>113.01</c:v>
                </c:pt>
                <c:pt idx="3">
                  <c:v>112.95</c:v>
                </c:pt>
                <c:pt idx="4">
                  <c:v>112.04</c:v>
                </c:pt>
                <c:pt idx="5">
                  <c:v>111.91</c:v>
                </c:pt>
                <c:pt idx="6">
                  <c:v>112.36</c:v>
                </c:pt>
                <c:pt idx="7">
                  <c:v>111.5</c:v>
                </c:pt>
                <c:pt idx="8">
                  <c:v>111.79</c:v>
                </c:pt>
                <c:pt idx="9">
                  <c:v>112.18</c:v>
                </c:pt>
                <c:pt idx="10">
                  <c:v>113.21</c:v>
                </c:pt>
                <c:pt idx="11">
                  <c:v>112.68</c:v>
                </c:pt>
                <c:pt idx="12">
                  <c:v>112.71</c:v>
                </c:pt>
                <c:pt idx="13">
                  <c:v>112.73</c:v>
                </c:pt>
                <c:pt idx="14">
                  <c:v>111.59</c:v>
                </c:pt>
                <c:pt idx="15">
                  <c:v>112.38</c:v>
                </c:pt>
                <c:pt idx="16">
                  <c:v>112.82</c:v>
                </c:pt>
                <c:pt idx="17">
                  <c:v>112.79</c:v>
                </c:pt>
                <c:pt idx="18">
                  <c:v>112.23</c:v>
                </c:pt>
                <c:pt idx="19">
                  <c:v>112.48</c:v>
                </c:pt>
                <c:pt idx="20">
                  <c:v>111.3</c:v>
                </c:pt>
                <c:pt idx="21">
                  <c:v>112.34</c:v>
                </c:pt>
                <c:pt idx="22">
                  <c:v>112.48</c:v>
                </c:pt>
                <c:pt idx="23">
                  <c:v>112.38</c:v>
                </c:pt>
                <c:pt idx="24">
                  <c:v>112.46</c:v>
                </c:pt>
                <c:pt idx="25">
                  <c:v>112.51</c:v>
                </c:pt>
                <c:pt idx="26">
                  <c:v>113.44</c:v>
                </c:pt>
                <c:pt idx="27">
                  <c:v>114.35</c:v>
                </c:pt>
                <c:pt idx="28">
                  <c:v>114.33</c:v>
                </c:pt>
                <c:pt idx="29">
                  <c:v>114.83</c:v>
                </c:pt>
                <c:pt idx="30">
                  <c:v>115.54</c:v>
                </c:pt>
                <c:pt idx="31">
                  <c:v>116.31</c:v>
                </c:pt>
                <c:pt idx="32">
                  <c:v>116.47</c:v>
                </c:pt>
                <c:pt idx="33">
                  <c:v>116.08</c:v>
                </c:pt>
                <c:pt idx="34">
                  <c:v>116.42</c:v>
                </c:pt>
                <c:pt idx="35">
                  <c:v>116.86</c:v>
                </c:pt>
                <c:pt idx="36">
                  <c:v>116.77</c:v>
                </c:pt>
                <c:pt idx="37">
                  <c:v>116.55</c:v>
                </c:pt>
                <c:pt idx="38">
                  <c:v>116.74</c:v>
                </c:pt>
                <c:pt idx="39">
                  <c:v>119.37</c:v>
                </c:pt>
                <c:pt idx="40">
                  <c:v>118.92</c:v>
                </c:pt>
                <c:pt idx="41">
                  <c:v>118.55</c:v>
                </c:pt>
                <c:pt idx="42">
                  <c:v>116.82</c:v>
                </c:pt>
                <c:pt idx="43">
                  <c:v>116.65</c:v>
                </c:pt>
                <c:pt idx="44">
                  <c:v>116.43</c:v>
                </c:pt>
                <c:pt idx="45">
                  <c:v>117.06</c:v>
                </c:pt>
                <c:pt idx="46">
                  <c:v>117.95</c:v>
                </c:pt>
                <c:pt idx="47">
                  <c:v>117.3</c:v>
                </c:pt>
                <c:pt idx="48">
                  <c:v>117.75</c:v>
                </c:pt>
                <c:pt idx="49">
                  <c:v>118.11</c:v>
                </c:pt>
                <c:pt idx="50">
                  <c:v>117.87</c:v>
                </c:pt>
                <c:pt idx="51">
                  <c:v>118.25</c:v>
                </c:pt>
                <c:pt idx="52">
                  <c:v>117.5</c:v>
                </c:pt>
                <c:pt idx="53">
                  <c:v>116.86</c:v>
                </c:pt>
                <c:pt idx="54">
                  <c:v>117.18</c:v>
                </c:pt>
                <c:pt idx="55">
                  <c:v>116.47</c:v>
                </c:pt>
                <c:pt idx="56">
                  <c:v>115.97</c:v>
                </c:pt>
                <c:pt idx="57">
                  <c:v>116.21</c:v>
                </c:pt>
                <c:pt idx="58">
                  <c:v>116.96</c:v>
                </c:pt>
                <c:pt idx="59">
                  <c:v>115.74</c:v>
                </c:pt>
                <c:pt idx="60">
                  <c:v>116.22</c:v>
                </c:pt>
                <c:pt idx="61">
                  <c:v>115.75</c:v>
                </c:pt>
                <c:pt idx="62">
                  <c:v>115.6</c:v>
                </c:pt>
                <c:pt idx="63">
                  <c:v>115.82</c:v>
                </c:pt>
                <c:pt idx="64">
                  <c:v>116.11</c:v>
                </c:pt>
                <c:pt idx="65">
                  <c:v>115.75</c:v>
                </c:pt>
                <c:pt idx="66">
                  <c:v>115.38</c:v>
                </c:pt>
                <c:pt idx="67">
                  <c:v>116.3</c:v>
                </c:pt>
                <c:pt idx="68">
                  <c:v>116.38</c:v>
                </c:pt>
                <c:pt idx="69">
                  <c:v>116.64</c:v>
                </c:pt>
                <c:pt idx="70">
                  <c:v>115.74</c:v>
                </c:pt>
                <c:pt idx="71">
                  <c:v>117.08</c:v>
                </c:pt>
                <c:pt idx="72">
                  <c:v>115.96</c:v>
                </c:pt>
                <c:pt idx="73">
                  <c:v>115.62</c:v>
                </c:pt>
                <c:pt idx="74">
                  <c:v>114.16</c:v>
                </c:pt>
                <c:pt idx="75">
                  <c:v>114.37</c:v>
                </c:pt>
                <c:pt idx="76">
                  <c:v>115.78</c:v>
                </c:pt>
                <c:pt idx="77">
                  <c:v>116.5</c:v>
                </c:pt>
                <c:pt idx="78">
                  <c:v>117.17</c:v>
                </c:pt>
                <c:pt idx="79">
                  <c:v>117.31</c:v>
                </c:pt>
                <c:pt idx="80">
                  <c:v>116.83</c:v>
                </c:pt>
                <c:pt idx="81">
                  <c:v>116.37</c:v>
                </c:pt>
                <c:pt idx="82">
                  <c:v>115.58</c:v>
                </c:pt>
                <c:pt idx="83">
                  <c:v>116.01</c:v>
                </c:pt>
                <c:pt idx="84">
                  <c:v>116.01</c:v>
                </c:pt>
                <c:pt idx="85">
                  <c:v>116.48</c:v>
                </c:pt>
                <c:pt idx="86">
                  <c:v>116.21</c:v>
                </c:pt>
                <c:pt idx="87">
                  <c:v>115.19</c:v>
                </c:pt>
                <c:pt idx="88">
                  <c:v>115.9</c:v>
                </c:pt>
                <c:pt idx="89">
                  <c:v>115.75</c:v>
                </c:pt>
                <c:pt idx="90">
                  <c:v>115.8</c:v>
                </c:pt>
                <c:pt idx="91">
                  <c:v>115.48</c:v>
                </c:pt>
                <c:pt idx="92">
                  <c:v>115.17</c:v>
                </c:pt>
                <c:pt idx="93">
                  <c:v>115.48</c:v>
                </c:pt>
                <c:pt idx="94">
                  <c:v>116.08</c:v>
                </c:pt>
                <c:pt idx="95">
                  <c:v>115.99</c:v>
                </c:pt>
                <c:pt idx="96">
                  <c:v>116.82</c:v>
                </c:pt>
                <c:pt idx="97">
                  <c:v>116.83</c:v>
                </c:pt>
                <c:pt idx="98">
                  <c:v>117.2</c:v>
                </c:pt>
                <c:pt idx="99">
                  <c:v>118.81</c:v>
                </c:pt>
                <c:pt idx="100">
                  <c:v>118.75</c:v>
                </c:pt>
                <c:pt idx="101">
                  <c:v>118.82</c:v>
                </c:pt>
                <c:pt idx="102">
                  <c:v>119.89</c:v>
                </c:pt>
                <c:pt idx="103">
                  <c:v>120.42</c:v>
                </c:pt>
                <c:pt idx="104">
                  <c:v>120.18</c:v>
                </c:pt>
                <c:pt idx="105">
                  <c:v>120.4</c:v>
                </c:pt>
                <c:pt idx="106">
                  <c:v>119.11</c:v>
                </c:pt>
                <c:pt idx="107">
                  <c:v>119.29</c:v>
                </c:pt>
                <c:pt idx="108">
                  <c:v>119.56</c:v>
                </c:pt>
                <c:pt idx="109">
                  <c:v>120.96</c:v>
                </c:pt>
                <c:pt idx="110">
                  <c:v>121.38</c:v>
                </c:pt>
                <c:pt idx="111">
                  <c:v>121.8</c:v>
                </c:pt>
                <c:pt idx="112">
                  <c:v>123.6</c:v>
                </c:pt>
                <c:pt idx="113">
                  <c:v>124.62</c:v>
                </c:pt>
                <c:pt idx="114">
                  <c:v>125.03</c:v>
                </c:pt>
                <c:pt idx="115">
                  <c:v>123.9</c:v>
                </c:pt>
                <c:pt idx="116">
                  <c:v>124.36</c:v>
                </c:pt>
                <c:pt idx="117">
                  <c:v>124.2</c:v>
                </c:pt>
                <c:pt idx="118">
                  <c:v>123.93</c:v>
                </c:pt>
                <c:pt idx="119">
                  <c:v>123.31</c:v>
                </c:pt>
                <c:pt idx="120">
                  <c:v>123.59</c:v>
                </c:pt>
                <c:pt idx="121">
                  <c:v>123.04</c:v>
                </c:pt>
                <c:pt idx="122">
                  <c:v>123.42</c:v>
                </c:pt>
                <c:pt idx="123">
                  <c:v>122.08</c:v>
                </c:pt>
                <c:pt idx="124">
                  <c:v>122.22</c:v>
                </c:pt>
                <c:pt idx="125">
                  <c:v>123</c:v>
                </c:pt>
                <c:pt idx="126">
                  <c:v>122.06</c:v>
                </c:pt>
                <c:pt idx="127">
                  <c:v>121.88</c:v>
                </c:pt>
                <c:pt idx="128">
                  <c:v>122.83</c:v>
                </c:pt>
                <c:pt idx="129">
                  <c:v>121.48</c:v>
                </c:pt>
                <c:pt idx="130">
                  <c:v>120.79</c:v>
                </c:pt>
                <c:pt idx="131">
                  <c:v>120.98</c:v>
                </c:pt>
                <c:pt idx="132">
                  <c:v>121.15</c:v>
                </c:pt>
                <c:pt idx="133">
                  <c:v>121.43</c:v>
                </c:pt>
                <c:pt idx="134">
                  <c:v>121.93</c:v>
                </c:pt>
                <c:pt idx="135">
                  <c:v>121.25</c:v>
                </c:pt>
                <c:pt idx="136">
                  <c:v>122.15</c:v>
                </c:pt>
                <c:pt idx="137">
                  <c:v>120.32</c:v>
                </c:pt>
                <c:pt idx="138">
                  <c:v>120.88</c:v>
                </c:pt>
                <c:pt idx="139">
                  <c:v>122.07</c:v>
                </c:pt>
                <c:pt idx="140">
                  <c:v>123.11</c:v>
                </c:pt>
                <c:pt idx="141">
                  <c:v>121.7</c:v>
                </c:pt>
                <c:pt idx="142">
                  <c:v>121.59</c:v>
                </c:pt>
                <c:pt idx="143">
                  <c:v>122.87</c:v>
                </c:pt>
                <c:pt idx="144">
                  <c:v>123.72</c:v>
                </c:pt>
                <c:pt idx="145">
                  <c:v>124.8</c:v>
                </c:pt>
                <c:pt idx="146">
                  <c:v>124.34</c:v>
                </c:pt>
                <c:pt idx="147">
                  <c:v>125.14</c:v>
                </c:pt>
                <c:pt idx="148">
                  <c:v>125.27</c:v>
                </c:pt>
                <c:pt idx="149">
                  <c:v>124.41</c:v>
                </c:pt>
                <c:pt idx="150">
                  <c:v>124.17</c:v>
                </c:pt>
                <c:pt idx="151">
                  <c:v>125.71</c:v>
                </c:pt>
                <c:pt idx="152">
                  <c:v>125.27</c:v>
                </c:pt>
                <c:pt idx="153">
                  <c:v>123.81</c:v>
                </c:pt>
                <c:pt idx="154">
                  <c:v>124.4</c:v>
                </c:pt>
                <c:pt idx="155">
                  <c:v>124.65</c:v>
                </c:pt>
                <c:pt idx="156">
                  <c:v>125.06</c:v>
                </c:pt>
                <c:pt idx="157">
                  <c:v>123.82</c:v>
                </c:pt>
                <c:pt idx="158">
                  <c:v>123.53</c:v>
                </c:pt>
                <c:pt idx="159">
                  <c:v>123.1</c:v>
                </c:pt>
                <c:pt idx="160">
                  <c:v>123.41</c:v>
                </c:pt>
                <c:pt idx="161">
                  <c:v>122.82</c:v>
                </c:pt>
                <c:pt idx="162">
                  <c:v>121.29</c:v>
                </c:pt>
                <c:pt idx="163">
                  <c:v>122.16</c:v>
                </c:pt>
                <c:pt idx="164">
                  <c:v>119.03</c:v>
                </c:pt>
                <c:pt idx="165">
                  <c:v>118.82</c:v>
                </c:pt>
                <c:pt idx="166">
                  <c:v>117.66</c:v>
                </c:pt>
                <c:pt idx="167">
                  <c:v>117.05</c:v>
                </c:pt>
                <c:pt idx="168">
                  <c:v>115.81</c:v>
                </c:pt>
                <c:pt idx="169">
                  <c:v>111.49</c:v>
                </c:pt>
                <c:pt idx="170">
                  <c:v>113.72</c:v>
                </c:pt>
                <c:pt idx="171">
                  <c:v>111.94</c:v>
                </c:pt>
                <c:pt idx="172">
                  <c:v>116.39</c:v>
                </c:pt>
                <c:pt idx="173">
                  <c:v>119.11</c:v>
                </c:pt>
                <c:pt idx="174">
                  <c:v>119.03</c:v>
                </c:pt>
                <c:pt idx="175">
                  <c:v>118.09</c:v>
                </c:pt>
                <c:pt idx="176">
                  <c:v>116.58</c:v>
                </c:pt>
                <c:pt idx="177">
                  <c:v>117.3</c:v>
                </c:pt>
                <c:pt idx="178">
                  <c:v>117.32</c:v>
                </c:pt>
                <c:pt idx="179">
                  <c:v>117.19</c:v>
                </c:pt>
                <c:pt idx="180">
                  <c:v>118.48</c:v>
                </c:pt>
                <c:pt idx="181">
                  <c:v>118.07</c:v>
                </c:pt>
                <c:pt idx="182">
                  <c:v>118.6</c:v>
                </c:pt>
                <c:pt idx="183">
                  <c:v>119.22</c:v>
                </c:pt>
                <c:pt idx="184">
                  <c:v>119.12</c:v>
                </c:pt>
                <c:pt idx="185">
                  <c:v>119.14</c:v>
                </c:pt>
                <c:pt idx="186">
                  <c:v>119.34</c:v>
                </c:pt>
                <c:pt idx="187">
                  <c:v>119.07</c:v>
                </c:pt>
                <c:pt idx="188">
                  <c:v>119.85</c:v>
                </c:pt>
                <c:pt idx="189">
                  <c:v>120.22</c:v>
                </c:pt>
                <c:pt idx="190">
                  <c:v>120.41</c:v>
                </c:pt>
                <c:pt idx="191">
                  <c:v>120.94</c:v>
                </c:pt>
                <c:pt idx="192">
                  <c:v>121.55</c:v>
                </c:pt>
                <c:pt idx="193">
                  <c:v>121.43</c:v>
                </c:pt>
                <c:pt idx="194">
                  <c:v>122.39</c:v>
                </c:pt>
                <c:pt idx="195">
                  <c:v>122.07</c:v>
                </c:pt>
                <c:pt idx="196">
                  <c:v>122.4</c:v>
                </c:pt>
                <c:pt idx="197">
                  <c:v>123.1</c:v>
                </c:pt>
                <c:pt idx="198">
                  <c:v>125.19</c:v>
                </c:pt>
                <c:pt idx="199">
                  <c:v>125.03</c:v>
                </c:pt>
                <c:pt idx="200">
                  <c:v>126.36</c:v>
                </c:pt>
                <c:pt idx="201">
                  <c:v>129.41999999999999</c:v>
                </c:pt>
                <c:pt idx="202">
                  <c:v>129.57</c:v>
                </c:pt>
                <c:pt idx="203">
                  <c:v>130.66</c:v>
                </c:pt>
                <c:pt idx="204">
                  <c:v>129.44</c:v>
                </c:pt>
                <c:pt idx="205">
                  <c:v>128.07</c:v>
                </c:pt>
                <c:pt idx="206">
                  <c:v>128.22999999999999</c:v>
                </c:pt>
                <c:pt idx="207">
                  <c:v>127.37</c:v>
                </c:pt>
                <c:pt idx="208">
                  <c:v>128.88999999999999</c:v>
                </c:pt>
                <c:pt idx="209">
                  <c:v>128.72</c:v>
                </c:pt>
                <c:pt idx="210">
                  <c:v>129.71</c:v>
                </c:pt>
                <c:pt idx="211">
                  <c:v>130.9</c:v>
                </c:pt>
                <c:pt idx="212">
                  <c:v>129.57</c:v>
                </c:pt>
                <c:pt idx="213">
                  <c:v>129.68</c:v>
                </c:pt>
                <c:pt idx="214">
                  <c:v>129.96</c:v>
                </c:pt>
                <c:pt idx="215">
                  <c:v>129.76</c:v>
                </c:pt>
                <c:pt idx="216">
                  <c:v>130.74</c:v>
                </c:pt>
                <c:pt idx="217">
                  <c:v>131.72</c:v>
                </c:pt>
                <c:pt idx="218">
                  <c:v>129.57</c:v>
                </c:pt>
                <c:pt idx="219">
                  <c:v>130.09</c:v>
                </c:pt>
                <c:pt idx="220">
                  <c:v>129.94999999999999</c:v>
                </c:pt>
                <c:pt idx="221">
                  <c:v>127.13</c:v>
                </c:pt>
                <c:pt idx="222">
                  <c:v>126.26</c:v>
                </c:pt>
                <c:pt idx="223">
                  <c:v>126.12</c:v>
                </c:pt>
                <c:pt idx="224">
                  <c:v>126.95</c:v>
                </c:pt>
                <c:pt idx="225">
                  <c:v>126.35</c:v>
                </c:pt>
                <c:pt idx="226">
                  <c:v>126.17</c:v>
                </c:pt>
                <c:pt idx="227">
                  <c:v>126.81</c:v>
                </c:pt>
                <c:pt idx="228">
                  <c:v>129.27000000000001</c:v>
                </c:pt>
                <c:pt idx="229">
                  <c:v>130.74</c:v>
                </c:pt>
                <c:pt idx="230">
                  <c:v>131.75</c:v>
                </c:pt>
                <c:pt idx="231">
                  <c:v>132.38</c:v>
                </c:pt>
                <c:pt idx="232">
                  <c:v>132.52000000000001</c:v>
                </c:pt>
                <c:pt idx="233">
                  <c:v>131.51</c:v>
                </c:pt>
                <c:pt idx="234">
                  <c:v>131.55000000000001</c:v>
                </c:pt>
                <c:pt idx="235">
                  <c:v>130.43</c:v>
                </c:pt>
                <c:pt idx="236">
                  <c:v>130.69</c:v>
                </c:pt>
                <c:pt idx="237">
                  <c:v>130.11000000000001</c:v>
                </c:pt>
                <c:pt idx="238">
                  <c:v>131.27000000000001</c:v>
                </c:pt>
                <c:pt idx="239">
                  <c:v>130.5</c:v>
                </c:pt>
                <c:pt idx="240">
                  <c:v>129.54</c:v>
                </c:pt>
                <c:pt idx="241">
                  <c:v>131.80000000000001</c:v>
                </c:pt>
                <c:pt idx="242">
                  <c:v>132.11000000000001</c:v>
                </c:pt>
                <c:pt idx="243">
                  <c:v>132.43</c:v>
                </c:pt>
                <c:pt idx="244">
                  <c:v>132.16</c:v>
                </c:pt>
                <c:pt idx="245">
                  <c:v>131.36000000000001</c:v>
                </c:pt>
                <c:pt idx="246">
                  <c:v>131.31</c:v>
                </c:pt>
                <c:pt idx="247">
                  <c:v>131.69</c:v>
                </c:pt>
                <c:pt idx="248">
                  <c:v>131.68</c:v>
                </c:pt>
                <c:pt idx="249">
                  <c:v>132.55000000000001</c:v>
                </c:pt>
                <c:pt idx="250">
                  <c:v>132.53</c:v>
                </c:pt>
                <c:pt idx="251">
                  <c:v>128.96</c:v>
                </c:pt>
                <c:pt idx="252">
                  <c:v>129.37</c:v>
                </c:pt>
                <c:pt idx="253">
                  <c:v>129.37</c:v>
                </c:pt>
                <c:pt idx="254">
                  <c:v>129.13</c:v>
                </c:pt>
                <c:pt idx="255">
                  <c:v>128.44</c:v>
                </c:pt>
                <c:pt idx="256">
                  <c:v>129.43</c:v>
                </c:pt>
                <c:pt idx="257">
                  <c:v>129.08000000000001</c:v>
                </c:pt>
                <c:pt idx="258">
                  <c:v>129.31</c:v>
                </c:pt>
                <c:pt idx="259">
                  <c:v>131.63999999999999</c:v>
                </c:pt>
                <c:pt idx="260">
                  <c:v>132.41</c:v>
                </c:pt>
                <c:pt idx="261">
                  <c:v>133.72</c:v>
                </c:pt>
                <c:pt idx="262">
                  <c:v>134.19</c:v>
                </c:pt>
                <c:pt idx="263">
                  <c:v>134.69</c:v>
                </c:pt>
                <c:pt idx="264">
                  <c:v>136.16</c:v>
                </c:pt>
                <c:pt idx="265">
                  <c:v>142.91</c:v>
                </c:pt>
                <c:pt idx="266">
                  <c:v>144.24</c:v>
                </c:pt>
                <c:pt idx="267">
                  <c:v>145.07</c:v>
                </c:pt>
                <c:pt idx="268">
                  <c:v>146</c:v>
                </c:pt>
                <c:pt idx="269">
                  <c:v>145.55000000000001</c:v>
                </c:pt>
                <c:pt idx="270">
                  <c:v>145.31</c:v>
                </c:pt>
                <c:pt idx="271">
                  <c:v>146.47999999999999</c:v>
                </c:pt>
                <c:pt idx="272">
                  <c:v>146.56</c:v>
                </c:pt>
                <c:pt idx="273">
                  <c:v>144.56</c:v>
                </c:pt>
                <c:pt idx="274">
                  <c:v>138.28</c:v>
                </c:pt>
                <c:pt idx="275">
                  <c:v>137.62</c:v>
                </c:pt>
                <c:pt idx="276">
                  <c:v>138.88</c:v>
                </c:pt>
                <c:pt idx="277">
                  <c:v>131.91999999999999</c:v>
                </c:pt>
                <c:pt idx="278">
                  <c:v>133.94</c:v>
                </c:pt>
                <c:pt idx="279">
                  <c:v>134.97</c:v>
                </c:pt>
                <c:pt idx="280">
                  <c:v>135.4</c:v>
                </c:pt>
                <c:pt idx="281">
                  <c:v>137.38</c:v>
                </c:pt>
                <c:pt idx="282">
                  <c:v>137.65</c:v>
                </c:pt>
                <c:pt idx="283">
                  <c:v>137.93</c:v>
                </c:pt>
                <c:pt idx="284">
                  <c:v>135.88</c:v>
                </c:pt>
                <c:pt idx="285">
                  <c:v>135.37</c:v>
                </c:pt>
                <c:pt idx="286">
                  <c:v>134.49</c:v>
                </c:pt>
                <c:pt idx="287">
                  <c:v>136.54</c:v>
                </c:pt>
                <c:pt idx="288">
                  <c:v>139.31</c:v>
                </c:pt>
                <c:pt idx="289">
                  <c:v>138.30000000000001</c:v>
                </c:pt>
                <c:pt idx="290">
                  <c:v>135.82</c:v>
                </c:pt>
                <c:pt idx="291">
                  <c:v>135.79</c:v>
                </c:pt>
                <c:pt idx="292">
                  <c:v>134.72</c:v>
                </c:pt>
                <c:pt idx="293">
                  <c:v>136.38</c:v>
                </c:pt>
                <c:pt idx="294">
                  <c:v>138.15</c:v>
                </c:pt>
                <c:pt idx="295">
                  <c:v>135.69999999999999</c:v>
                </c:pt>
                <c:pt idx="296">
                  <c:v>137.18</c:v>
                </c:pt>
                <c:pt idx="297">
                  <c:v>139.76</c:v>
                </c:pt>
                <c:pt idx="298">
                  <c:v>138.97</c:v>
                </c:pt>
                <c:pt idx="299">
                  <c:v>138.18</c:v>
                </c:pt>
                <c:pt idx="300">
                  <c:v>137.03</c:v>
                </c:pt>
                <c:pt idx="301">
                  <c:v>137.97</c:v>
                </c:pt>
                <c:pt idx="302">
                  <c:v>138.80000000000001</c:v>
                </c:pt>
                <c:pt idx="303">
                  <c:v>137.52000000000001</c:v>
                </c:pt>
                <c:pt idx="304">
                  <c:v>138.96</c:v>
                </c:pt>
                <c:pt idx="305">
                  <c:v>138.59</c:v>
                </c:pt>
                <c:pt idx="306">
                  <c:v>135.69</c:v>
                </c:pt>
                <c:pt idx="307">
                  <c:v>132.5</c:v>
                </c:pt>
                <c:pt idx="308">
                  <c:v>135.76</c:v>
                </c:pt>
                <c:pt idx="309">
                  <c:v>134.31</c:v>
                </c:pt>
                <c:pt idx="310">
                  <c:v>136.32</c:v>
                </c:pt>
                <c:pt idx="311">
                  <c:v>136.38999999999999</c:v>
                </c:pt>
                <c:pt idx="312">
                  <c:v>132.44</c:v>
                </c:pt>
                <c:pt idx="313">
                  <c:v>134.55000000000001</c:v>
                </c:pt>
                <c:pt idx="314">
                  <c:v>136.16</c:v>
                </c:pt>
                <c:pt idx="315">
                  <c:v>136.81</c:v>
                </c:pt>
                <c:pt idx="316">
                  <c:v>134.80000000000001</c:v>
                </c:pt>
                <c:pt idx="317">
                  <c:v>134.78</c:v>
                </c:pt>
                <c:pt idx="318">
                  <c:v>135.4</c:v>
                </c:pt>
                <c:pt idx="319">
                  <c:v>134.16</c:v>
                </c:pt>
                <c:pt idx="320">
                  <c:v>134.84</c:v>
                </c:pt>
                <c:pt idx="321">
                  <c:v>133.86000000000001</c:v>
                </c:pt>
                <c:pt idx="322">
                  <c:v>135.1</c:v>
                </c:pt>
                <c:pt idx="323">
                  <c:v>134.88999999999999</c:v>
                </c:pt>
                <c:pt idx="324">
                  <c:v>134.04</c:v>
                </c:pt>
                <c:pt idx="325">
                  <c:v>134.16</c:v>
                </c:pt>
                <c:pt idx="326">
                  <c:v>134.4</c:v>
                </c:pt>
                <c:pt idx="327">
                  <c:v>134.78</c:v>
                </c:pt>
                <c:pt idx="328">
                  <c:v>130.51</c:v>
                </c:pt>
                <c:pt idx="329">
                  <c:v>129.86000000000001</c:v>
                </c:pt>
                <c:pt idx="330">
                  <c:v>130.58000000000001</c:v>
                </c:pt>
                <c:pt idx="331">
                  <c:v>130.82</c:v>
                </c:pt>
                <c:pt idx="332">
                  <c:v>129.25</c:v>
                </c:pt>
                <c:pt idx="333">
                  <c:v>128.75</c:v>
                </c:pt>
                <c:pt idx="334">
                  <c:v>126.03</c:v>
                </c:pt>
                <c:pt idx="335">
                  <c:v>125.04</c:v>
                </c:pt>
                <c:pt idx="336">
                  <c:v>127.4</c:v>
                </c:pt>
                <c:pt idx="337">
                  <c:v>126.69</c:v>
                </c:pt>
                <c:pt idx="338">
                  <c:v>126.37</c:v>
                </c:pt>
                <c:pt idx="339">
                  <c:v>127.44</c:v>
                </c:pt>
                <c:pt idx="340">
                  <c:v>128.55000000000001</c:v>
                </c:pt>
                <c:pt idx="341">
                  <c:v>128.91</c:v>
                </c:pt>
                <c:pt idx="342">
                  <c:v>127.68</c:v>
                </c:pt>
                <c:pt idx="343">
                  <c:v>127.55</c:v>
                </c:pt>
                <c:pt idx="344">
                  <c:v>127.83</c:v>
                </c:pt>
                <c:pt idx="345">
                  <c:v>128.38999999999999</c:v>
                </c:pt>
                <c:pt idx="346">
                  <c:v>127.54</c:v>
                </c:pt>
                <c:pt idx="347">
                  <c:v>128.80000000000001</c:v>
                </c:pt>
                <c:pt idx="348">
                  <c:v>129.08000000000001</c:v>
                </c:pt>
                <c:pt idx="349">
                  <c:v>128.57</c:v>
                </c:pt>
                <c:pt idx="350">
                  <c:v>128.32</c:v>
                </c:pt>
                <c:pt idx="351">
                  <c:v>128.69</c:v>
                </c:pt>
                <c:pt idx="352">
                  <c:v>125.93</c:v>
                </c:pt>
                <c:pt idx="353">
                  <c:v>127.85</c:v>
                </c:pt>
                <c:pt idx="354">
                  <c:v>126.23</c:v>
                </c:pt>
                <c:pt idx="355">
                  <c:v>126.99</c:v>
                </c:pt>
                <c:pt idx="356">
                  <c:v>127.41</c:v>
                </c:pt>
                <c:pt idx="357">
                  <c:v>126.87</c:v>
                </c:pt>
                <c:pt idx="358">
                  <c:v>126.48</c:v>
                </c:pt>
                <c:pt idx="359">
                  <c:v>128.22</c:v>
                </c:pt>
                <c:pt idx="360">
                  <c:v>129.76</c:v>
                </c:pt>
                <c:pt idx="361">
                  <c:v>128.94999999999999</c:v>
                </c:pt>
                <c:pt idx="362">
                  <c:v>128.04</c:v>
                </c:pt>
                <c:pt idx="363">
                  <c:v>128.16999999999999</c:v>
                </c:pt>
                <c:pt idx="364">
                  <c:v>127.33</c:v>
                </c:pt>
                <c:pt idx="365">
                  <c:v>127.83</c:v>
                </c:pt>
                <c:pt idx="366">
                  <c:v>126.07</c:v>
                </c:pt>
                <c:pt idx="367">
                  <c:v>126.63</c:v>
                </c:pt>
                <c:pt idx="368">
                  <c:v>123.5</c:v>
                </c:pt>
                <c:pt idx="369">
                  <c:v>121.98</c:v>
                </c:pt>
                <c:pt idx="370">
                  <c:v>122.93</c:v>
                </c:pt>
                <c:pt idx="371">
                  <c:v>122.25</c:v>
                </c:pt>
                <c:pt idx="372">
                  <c:v>121.16</c:v>
                </c:pt>
                <c:pt idx="373">
                  <c:v>119.89</c:v>
                </c:pt>
                <c:pt idx="374">
                  <c:v>120.99</c:v>
                </c:pt>
                <c:pt idx="375">
                  <c:v>120.88</c:v>
                </c:pt>
                <c:pt idx="376">
                  <c:v>120.93</c:v>
                </c:pt>
                <c:pt idx="377">
                  <c:v>121.31</c:v>
                </c:pt>
                <c:pt idx="378">
                  <c:v>121.14</c:v>
                </c:pt>
                <c:pt idx="379">
                  <c:v>121.71</c:v>
                </c:pt>
                <c:pt idx="380">
                  <c:v>123.91</c:v>
                </c:pt>
                <c:pt idx="381">
                  <c:v>124.37</c:v>
                </c:pt>
                <c:pt idx="382">
                  <c:v>123.56</c:v>
                </c:pt>
                <c:pt idx="383">
                  <c:v>124.52</c:v>
                </c:pt>
                <c:pt idx="384">
                  <c:v>125.12</c:v>
                </c:pt>
                <c:pt idx="385">
                  <c:v>126.66</c:v>
                </c:pt>
                <c:pt idx="386">
                  <c:v>127.26</c:v>
                </c:pt>
                <c:pt idx="387">
                  <c:v>128.44999999999999</c:v>
                </c:pt>
                <c:pt idx="388">
                  <c:v>123.69</c:v>
                </c:pt>
                <c:pt idx="389">
                  <c:v>123.71</c:v>
                </c:pt>
                <c:pt idx="390">
                  <c:v>122.76</c:v>
                </c:pt>
                <c:pt idx="391">
                  <c:v>123.26</c:v>
                </c:pt>
                <c:pt idx="392">
                  <c:v>124.78</c:v>
                </c:pt>
                <c:pt idx="393">
                  <c:v>127.95</c:v>
                </c:pt>
                <c:pt idx="394">
                  <c:v>129.16999999999999</c:v>
                </c:pt>
                <c:pt idx="395">
                  <c:v>129.54</c:v>
                </c:pt>
                <c:pt idx="396">
                  <c:v>128.59</c:v>
                </c:pt>
                <c:pt idx="397">
                  <c:v>127.42</c:v>
                </c:pt>
                <c:pt idx="398">
                  <c:v>126.8</c:v>
                </c:pt>
                <c:pt idx="399">
                  <c:v>128.16</c:v>
                </c:pt>
                <c:pt idx="400">
                  <c:v>128.44999999999999</c:v>
                </c:pt>
                <c:pt idx="401">
                  <c:v>128.38999999999999</c:v>
                </c:pt>
                <c:pt idx="402">
                  <c:v>127.67</c:v>
                </c:pt>
                <c:pt idx="403">
                  <c:v>128.02000000000001</c:v>
                </c:pt>
                <c:pt idx="404">
                  <c:v>127.33</c:v>
                </c:pt>
                <c:pt idx="405">
                  <c:v>126.52</c:v>
                </c:pt>
                <c:pt idx="406">
                  <c:v>126.02</c:v>
                </c:pt>
                <c:pt idx="407">
                  <c:v>127.24</c:v>
                </c:pt>
                <c:pt idx="408">
                  <c:v>128.79</c:v>
                </c:pt>
                <c:pt idx="409">
                  <c:v>128.87</c:v>
                </c:pt>
                <c:pt idx="410">
                  <c:v>129.85</c:v>
                </c:pt>
                <c:pt idx="411">
                  <c:v>130.13999999999999</c:v>
                </c:pt>
                <c:pt idx="412">
                  <c:v>127.87</c:v>
                </c:pt>
                <c:pt idx="413">
                  <c:v>127.98</c:v>
                </c:pt>
                <c:pt idx="414">
                  <c:v>128.96</c:v>
                </c:pt>
                <c:pt idx="415">
                  <c:v>130.32</c:v>
                </c:pt>
                <c:pt idx="416">
                  <c:v>130.69999999999999</c:v>
                </c:pt>
                <c:pt idx="417">
                  <c:v>131.08000000000001</c:v>
                </c:pt>
                <c:pt idx="418">
                  <c:v>130.08000000000001</c:v>
                </c:pt>
                <c:pt idx="419">
                  <c:v>130.03</c:v>
                </c:pt>
                <c:pt idx="420">
                  <c:v>130.56</c:v>
                </c:pt>
                <c:pt idx="421">
                  <c:v>131.01</c:v>
                </c:pt>
                <c:pt idx="422">
                  <c:v>130.99</c:v>
                </c:pt>
                <c:pt idx="423">
                  <c:v>129.29</c:v>
                </c:pt>
                <c:pt idx="424">
                  <c:v>126.82</c:v>
                </c:pt>
                <c:pt idx="425">
                  <c:v>127.07</c:v>
                </c:pt>
                <c:pt idx="426">
                  <c:v>126.11</c:v>
                </c:pt>
                <c:pt idx="427">
                  <c:v>128.04</c:v>
                </c:pt>
                <c:pt idx="428">
                  <c:v>129.21</c:v>
                </c:pt>
                <c:pt idx="429">
                  <c:v>129.09</c:v>
                </c:pt>
                <c:pt idx="430">
                  <c:v>130.56</c:v>
                </c:pt>
                <c:pt idx="431">
                  <c:v>131.69</c:v>
                </c:pt>
                <c:pt idx="432">
                  <c:v>133.33000000000001</c:v>
                </c:pt>
                <c:pt idx="433">
                  <c:v>133.61000000000001</c:v>
                </c:pt>
                <c:pt idx="434">
                  <c:v>132.01</c:v>
                </c:pt>
                <c:pt idx="435">
                  <c:v>130.47999999999999</c:v>
                </c:pt>
                <c:pt idx="436">
                  <c:v>128.69999999999999</c:v>
                </c:pt>
                <c:pt idx="437">
                  <c:v>128.33000000000001</c:v>
                </c:pt>
                <c:pt idx="438">
                  <c:v>128.91</c:v>
                </c:pt>
                <c:pt idx="439">
                  <c:v>128.18</c:v>
                </c:pt>
                <c:pt idx="440">
                  <c:v>128.71</c:v>
                </c:pt>
                <c:pt idx="441">
                  <c:v>128.74</c:v>
                </c:pt>
                <c:pt idx="442">
                  <c:v>129.99</c:v>
                </c:pt>
                <c:pt idx="443">
                  <c:v>129.33000000000001</c:v>
                </c:pt>
                <c:pt idx="444">
                  <c:v>130.85</c:v>
                </c:pt>
                <c:pt idx="445">
                  <c:v>130.78</c:v>
                </c:pt>
                <c:pt idx="446">
                  <c:v>127.38</c:v>
                </c:pt>
                <c:pt idx="447">
                  <c:v>123.55</c:v>
                </c:pt>
                <c:pt idx="448">
                  <c:v>122.89</c:v>
                </c:pt>
                <c:pt idx="449">
                  <c:v>122.63</c:v>
                </c:pt>
                <c:pt idx="450">
                  <c:v>123.98</c:v>
                </c:pt>
                <c:pt idx="451">
                  <c:v>125.66</c:v>
                </c:pt>
                <c:pt idx="452">
                  <c:v>124.37</c:v>
                </c:pt>
                <c:pt idx="453">
                  <c:v>125.3</c:v>
                </c:pt>
                <c:pt idx="454">
                  <c:v>123.31</c:v>
                </c:pt>
                <c:pt idx="455">
                  <c:v>123.04</c:v>
                </c:pt>
                <c:pt idx="456">
                  <c:v>120.81</c:v>
                </c:pt>
                <c:pt idx="457">
                  <c:v>120.5</c:v>
                </c:pt>
                <c:pt idx="458">
                  <c:v>120.55</c:v>
                </c:pt>
                <c:pt idx="459">
                  <c:v>121.57</c:v>
                </c:pt>
                <c:pt idx="460">
                  <c:v>125.1</c:v>
                </c:pt>
                <c:pt idx="461">
                  <c:v>124.36</c:v>
                </c:pt>
                <c:pt idx="462">
                  <c:v>124.43</c:v>
                </c:pt>
                <c:pt idx="463">
                  <c:v>124.13</c:v>
                </c:pt>
                <c:pt idx="464">
                  <c:v>125.75</c:v>
                </c:pt>
                <c:pt idx="465">
                  <c:v>127.81</c:v>
                </c:pt>
                <c:pt idx="466">
                  <c:v>129.47999999999999</c:v>
                </c:pt>
                <c:pt idx="467">
                  <c:v>130.19</c:v>
                </c:pt>
                <c:pt idx="468">
                  <c:v>130.22999999999999</c:v>
                </c:pt>
                <c:pt idx="469">
                  <c:v>126.26</c:v>
                </c:pt>
                <c:pt idx="470">
                  <c:v>126.03</c:v>
                </c:pt>
                <c:pt idx="471">
                  <c:v>122.28</c:v>
                </c:pt>
                <c:pt idx="472">
                  <c:v>124.82</c:v>
                </c:pt>
                <c:pt idx="473">
                  <c:v>127.98</c:v>
                </c:pt>
                <c:pt idx="474">
                  <c:v>129.72</c:v>
                </c:pt>
                <c:pt idx="475">
                  <c:v>127.58</c:v>
                </c:pt>
                <c:pt idx="476">
                  <c:v>126.98</c:v>
                </c:pt>
                <c:pt idx="477">
                  <c:v>125.82</c:v>
                </c:pt>
                <c:pt idx="478">
                  <c:v>129.54</c:v>
                </c:pt>
                <c:pt idx="479">
                  <c:v>128.81</c:v>
                </c:pt>
                <c:pt idx="480">
                  <c:v>129.9</c:v>
                </c:pt>
                <c:pt idx="481">
                  <c:v>129.83000000000001</c:v>
                </c:pt>
                <c:pt idx="482">
                  <c:v>129.57</c:v>
                </c:pt>
                <c:pt idx="483">
                  <c:v>129.31</c:v>
                </c:pt>
                <c:pt idx="484">
                  <c:v>125.91</c:v>
                </c:pt>
                <c:pt idx="485">
                  <c:v>124.64</c:v>
                </c:pt>
                <c:pt idx="486">
                  <c:v>123.56</c:v>
                </c:pt>
                <c:pt idx="487">
                  <c:v>123</c:v>
                </c:pt>
                <c:pt idx="488">
                  <c:v>120.97</c:v>
                </c:pt>
                <c:pt idx="489">
                  <c:v>122.01</c:v>
                </c:pt>
                <c:pt idx="490">
                  <c:v>121.5</c:v>
                </c:pt>
                <c:pt idx="491">
                  <c:v>120.55</c:v>
                </c:pt>
                <c:pt idx="492">
                  <c:v>119.93</c:v>
                </c:pt>
                <c:pt idx="493">
                  <c:v>119.3</c:v>
                </c:pt>
                <c:pt idx="494">
                  <c:v>119.16</c:v>
                </c:pt>
                <c:pt idx="495">
                  <c:v>117.32</c:v>
                </c:pt>
                <c:pt idx="496">
                  <c:v>116.06</c:v>
                </c:pt>
                <c:pt idx="497">
                  <c:v>112.63</c:v>
                </c:pt>
                <c:pt idx="498">
                  <c:v>117.17</c:v>
                </c:pt>
                <c:pt idx="499">
                  <c:v>118.67</c:v>
                </c:pt>
                <c:pt idx="500">
                  <c:v>118.24</c:v>
                </c:pt>
                <c:pt idx="501">
                  <c:v>119.75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A88-4627-A9B5-13E947E20CD9}"/>
            </c:ext>
          </c:extLst>
        </c:ser>
        <c:ser>
          <c:idx val="23"/>
          <c:order val="23"/>
          <c:tx>
            <c:strRef>
              <c:f>wide_company_closes_reorder!$Y$1</c:f>
              <c:strCache>
                <c:ptCount val="1"/>
                <c:pt idx="0">
                  <c:v>UNH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wide_company_closes_reorder!$Y$2:$Y$503</c:f>
              <c:numCache>
                <c:formatCode>General</c:formatCode>
                <c:ptCount val="502"/>
                <c:pt idx="0">
                  <c:v>156.93</c:v>
                </c:pt>
                <c:pt idx="1">
                  <c:v>157.38</c:v>
                </c:pt>
                <c:pt idx="2">
                  <c:v>157.63999999999999</c:v>
                </c:pt>
                <c:pt idx="3">
                  <c:v>157.86000000000001</c:v>
                </c:pt>
                <c:pt idx="4">
                  <c:v>157.41999999999999</c:v>
                </c:pt>
                <c:pt idx="5">
                  <c:v>157.06</c:v>
                </c:pt>
                <c:pt idx="6">
                  <c:v>157.36000000000001</c:v>
                </c:pt>
                <c:pt idx="7">
                  <c:v>157.81</c:v>
                </c:pt>
                <c:pt idx="8">
                  <c:v>157.27000000000001</c:v>
                </c:pt>
                <c:pt idx="9">
                  <c:v>156.16</c:v>
                </c:pt>
                <c:pt idx="10">
                  <c:v>153.32</c:v>
                </c:pt>
                <c:pt idx="11">
                  <c:v>154.26</c:v>
                </c:pt>
                <c:pt idx="12">
                  <c:v>154.22</c:v>
                </c:pt>
                <c:pt idx="13">
                  <c:v>154.62</c:v>
                </c:pt>
                <c:pt idx="14">
                  <c:v>155.94</c:v>
                </c:pt>
                <c:pt idx="15">
                  <c:v>156.72999999999999</c:v>
                </c:pt>
                <c:pt idx="16">
                  <c:v>158.19</c:v>
                </c:pt>
                <c:pt idx="17">
                  <c:v>158.43</c:v>
                </c:pt>
                <c:pt idx="18">
                  <c:v>157.55000000000001</c:v>
                </c:pt>
                <c:pt idx="19">
                  <c:v>157.56</c:v>
                </c:pt>
                <c:pt idx="20">
                  <c:v>158.15</c:v>
                </c:pt>
                <c:pt idx="21">
                  <c:v>156.26</c:v>
                </c:pt>
                <c:pt idx="22">
                  <c:v>157.34</c:v>
                </c:pt>
                <c:pt idx="23">
                  <c:v>156.02000000000001</c:v>
                </c:pt>
                <c:pt idx="24">
                  <c:v>156.04</c:v>
                </c:pt>
                <c:pt idx="25">
                  <c:v>155.82</c:v>
                </c:pt>
                <c:pt idx="26">
                  <c:v>155.94999999999999</c:v>
                </c:pt>
                <c:pt idx="27">
                  <c:v>156.25</c:v>
                </c:pt>
                <c:pt idx="28">
                  <c:v>157.44999999999999</c:v>
                </c:pt>
                <c:pt idx="29">
                  <c:v>158.56</c:v>
                </c:pt>
                <c:pt idx="30">
                  <c:v>159.69</c:v>
                </c:pt>
                <c:pt idx="31">
                  <c:v>159.07</c:v>
                </c:pt>
                <c:pt idx="32">
                  <c:v>153.21</c:v>
                </c:pt>
                <c:pt idx="33">
                  <c:v>156.07</c:v>
                </c:pt>
                <c:pt idx="34">
                  <c:v>156.07</c:v>
                </c:pt>
                <c:pt idx="35">
                  <c:v>158.05000000000001</c:v>
                </c:pt>
                <c:pt idx="36">
                  <c:v>158.49</c:v>
                </c:pt>
                <c:pt idx="37">
                  <c:v>160.75</c:v>
                </c:pt>
                <c:pt idx="38">
                  <c:v>160.75</c:v>
                </c:pt>
                <c:pt idx="39">
                  <c:v>163.24</c:v>
                </c:pt>
                <c:pt idx="40">
                  <c:v>162.63</c:v>
                </c:pt>
                <c:pt idx="41">
                  <c:v>163.49</c:v>
                </c:pt>
                <c:pt idx="42">
                  <c:v>163.98</c:v>
                </c:pt>
                <c:pt idx="43">
                  <c:v>163.59</c:v>
                </c:pt>
                <c:pt idx="44">
                  <c:v>163.82</c:v>
                </c:pt>
                <c:pt idx="45">
                  <c:v>163.92</c:v>
                </c:pt>
                <c:pt idx="46">
                  <c:v>165.84</c:v>
                </c:pt>
                <c:pt idx="47">
                  <c:v>166.06</c:v>
                </c:pt>
                <c:pt idx="48">
                  <c:v>164.94</c:v>
                </c:pt>
                <c:pt idx="49">
                  <c:v>167.59</c:v>
                </c:pt>
                <c:pt idx="50">
                  <c:v>167.12</c:v>
                </c:pt>
                <c:pt idx="51">
                  <c:v>165.56</c:v>
                </c:pt>
                <c:pt idx="52">
                  <c:v>163.91</c:v>
                </c:pt>
                <c:pt idx="53">
                  <c:v>163.61000000000001</c:v>
                </c:pt>
                <c:pt idx="54">
                  <c:v>162.96</c:v>
                </c:pt>
                <c:pt idx="55">
                  <c:v>161.26</c:v>
                </c:pt>
                <c:pt idx="56">
                  <c:v>160.97999999999999</c:v>
                </c:pt>
                <c:pt idx="57">
                  <c:v>160.59</c:v>
                </c:pt>
                <c:pt idx="58">
                  <c:v>161.32</c:v>
                </c:pt>
                <c:pt idx="59">
                  <c:v>159.46</c:v>
                </c:pt>
                <c:pt idx="60">
                  <c:v>160.97</c:v>
                </c:pt>
                <c:pt idx="61">
                  <c:v>160.01</c:v>
                </c:pt>
                <c:pt idx="62">
                  <c:v>161.55000000000001</c:v>
                </c:pt>
                <c:pt idx="63">
                  <c:v>160.94999999999999</c:v>
                </c:pt>
                <c:pt idx="64">
                  <c:v>161.34</c:v>
                </c:pt>
                <c:pt idx="65">
                  <c:v>161.31</c:v>
                </c:pt>
                <c:pt idx="66">
                  <c:v>161.97</c:v>
                </c:pt>
                <c:pt idx="67">
                  <c:v>161.44999999999999</c:v>
                </c:pt>
                <c:pt idx="68">
                  <c:v>161.79</c:v>
                </c:pt>
                <c:pt idx="69">
                  <c:v>161.52000000000001</c:v>
                </c:pt>
                <c:pt idx="70">
                  <c:v>160.94</c:v>
                </c:pt>
                <c:pt idx="71">
                  <c:v>163.11000000000001</c:v>
                </c:pt>
                <c:pt idx="72">
                  <c:v>164.48</c:v>
                </c:pt>
                <c:pt idx="73">
                  <c:v>165.12</c:v>
                </c:pt>
                <c:pt idx="74">
                  <c:v>167.36</c:v>
                </c:pt>
                <c:pt idx="75">
                  <c:v>166.99</c:v>
                </c:pt>
                <c:pt idx="76">
                  <c:v>168.13</c:v>
                </c:pt>
                <c:pt idx="77">
                  <c:v>169.8</c:v>
                </c:pt>
                <c:pt idx="78">
                  <c:v>170.13</c:v>
                </c:pt>
                <c:pt idx="79">
                  <c:v>170.37</c:v>
                </c:pt>
                <c:pt idx="80">
                  <c:v>170.62</c:v>
                </c:pt>
                <c:pt idx="81">
                  <c:v>170.33</c:v>
                </c:pt>
                <c:pt idx="82">
                  <c:v>169.9</c:v>
                </c:pt>
                <c:pt idx="83">
                  <c:v>168.33</c:v>
                </c:pt>
                <c:pt idx="84">
                  <c:v>169.78</c:v>
                </c:pt>
                <c:pt idx="85">
                  <c:v>169.88</c:v>
                </c:pt>
                <c:pt idx="86">
                  <c:v>170.19</c:v>
                </c:pt>
                <c:pt idx="87">
                  <c:v>169.02</c:v>
                </c:pt>
                <c:pt idx="88">
                  <c:v>169.16</c:v>
                </c:pt>
                <c:pt idx="89">
                  <c:v>169.1</c:v>
                </c:pt>
                <c:pt idx="90">
                  <c:v>167.62</c:v>
                </c:pt>
                <c:pt idx="91">
                  <c:v>167.35</c:v>
                </c:pt>
                <c:pt idx="92">
                  <c:v>164.02</c:v>
                </c:pt>
                <c:pt idx="93">
                  <c:v>164.74</c:v>
                </c:pt>
                <c:pt idx="94">
                  <c:v>167.27</c:v>
                </c:pt>
                <c:pt idx="95">
                  <c:v>168.38</c:v>
                </c:pt>
                <c:pt idx="96">
                  <c:v>170.44</c:v>
                </c:pt>
                <c:pt idx="97">
                  <c:v>170.95</c:v>
                </c:pt>
                <c:pt idx="98">
                  <c:v>171.31</c:v>
                </c:pt>
                <c:pt idx="99">
                  <c:v>173.71</c:v>
                </c:pt>
                <c:pt idx="100">
                  <c:v>173.17</c:v>
                </c:pt>
                <c:pt idx="101">
                  <c:v>172.29</c:v>
                </c:pt>
                <c:pt idx="102">
                  <c:v>170.91</c:v>
                </c:pt>
                <c:pt idx="103">
                  <c:v>175.2</c:v>
                </c:pt>
                <c:pt idx="104">
                  <c:v>175.02</c:v>
                </c:pt>
                <c:pt idx="105">
                  <c:v>175</c:v>
                </c:pt>
                <c:pt idx="106">
                  <c:v>176.41</c:v>
                </c:pt>
                <c:pt idx="107">
                  <c:v>178.74</c:v>
                </c:pt>
                <c:pt idx="108">
                  <c:v>177.26</c:v>
                </c:pt>
                <c:pt idx="109">
                  <c:v>177.04</c:v>
                </c:pt>
                <c:pt idx="110">
                  <c:v>174.88</c:v>
                </c:pt>
                <c:pt idx="111">
                  <c:v>176.64</c:v>
                </c:pt>
                <c:pt idx="112">
                  <c:v>177.92</c:v>
                </c:pt>
                <c:pt idx="113">
                  <c:v>176.71</c:v>
                </c:pt>
                <c:pt idx="114">
                  <c:v>177.93</c:v>
                </c:pt>
                <c:pt idx="115">
                  <c:v>179.3</c:v>
                </c:pt>
                <c:pt idx="116">
                  <c:v>179.54</c:v>
                </c:pt>
                <c:pt idx="117">
                  <c:v>181.16</c:v>
                </c:pt>
                <c:pt idx="118">
                  <c:v>182.71</c:v>
                </c:pt>
                <c:pt idx="119">
                  <c:v>181.48</c:v>
                </c:pt>
                <c:pt idx="120">
                  <c:v>181.35</c:v>
                </c:pt>
                <c:pt idx="121">
                  <c:v>180.84</c:v>
                </c:pt>
                <c:pt idx="122">
                  <c:v>181.92</c:v>
                </c:pt>
                <c:pt idx="123">
                  <c:v>181.5</c:v>
                </c:pt>
                <c:pt idx="124">
                  <c:v>181.65</c:v>
                </c:pt>
                <c:pt idx="125">
                  <c:v>182.85</c:v>
                </c:pt>
                <c:pt idx="126">
                  <c:v>184.42</c:v>
                </c:pt>
                <c:pt idx="127">
                  <c:v>183.14</c:v>
                </c:pt>
                <c:pt idx="128">
                  <c:v>184.14</c:v>
                </c:pt>
                <c:pt idx="129">
                  <c:v>183.15</c:v>
                </c:pt>
                <c:pt idx="130">
                  <c:v>182.17</c:v>
                </c:pt>
                <c:pt idx="131">
                  <c:v>182.89</c:v>
                </c:pt>
                <c:pt idx="132">
                  <c:v>181.71</c:v>
                </c:pt>
                <c:pt idx="133">
                  <c:v>183.1</c:v>
                </c:pt>
                <c:pt idx="134">
                  <c:v>182.56</c:v>
                </c:pt>
                <c:pt idx="135">
                  <c:v>183.05</c:v>
                </c:pt>
                <c:pt idx="136">
                  <c:v>185.34</c:v>
                </c:pt>
                <c:pt idx="137">
                  <c:v>187.6</c:v>
                </c:pt>
                <c:pt idx="138">
                  <c:v>187.88</c:v>
                </c:pt>
                <c:pt idx="139">
                  <c:v>187.01</c:v>
                </c:pt>
                <c:pt idx="140">
                  <c:v>186.53</c:v>
                </c:pt>
                <c:pt idx="141">
                  <c:v>186.87</c:v>
                </c:pt>
                <c:pt idx="142">
                  <c:v>185.09</c:v>
                </c:pt>
                <c:pt idx="143">
                  <c:v>187.26</c:v>
                </c:pt>
                <c:pt idx="144">
                  <c:v>187.91</c:v>
                </c:pt>
                <c:pt idx="145">
                  <c:v>188.32</c:v>
                </c:pt>
                <c:pt idx="146">
                  <c:v>189.07</c:v>
                </c:pt>
                <c:pt idx="147">
                  <c:v>190.81</c:v>
                </c:pt>
                <c:pt idx="148">
                  <c:v>190.92</c:v>
                </c:pt>
                <c:pt idx="149">
                  <c:v>190.82</c:v>
                </c:pt>
                <c:pt idx="150">
                  <c:v>190.93</c:v>
                </c:pt>
                <c:pt idx="151">
                  <c:v>190.87</c:v>
                </c:pt>
                <c:pt idx="152">
                  <c:v>188.65</c:v>
                </c:pt>
                <c:pt idx="153">
                  <c:v>189.09</c:v>
                </c:pt>
                <c:pt idx="154">
                  <c:v>189.77</c:v>
                </c:pt>
                <c:pt idx="155">
                  <c:v>190.54</c:v>
                </c:pt>
                <c:pt idx="156">
                  <c:v>189.83</c:v>
                </c:pt>
                <c:pt idx="157">
                  <c:v>188.78</c:v>
                </c:pt>
                <c:pt idx="158">
                  <c:v>186.94</c:v>
                </c:pt>
                <c:pt idx="159">
                  <c:v>188.12</c:v>
                </c:pt>
                <c:pt idx="160">
                  <c:v>190.83</c:v>
                </c:pt>
                <c:pt idx="161">
                  <c:v>190.29</c:v>
                </c:pt>
                <c:pt idx="162">
                  <c:v>190.79</c:v>
                </c:pt>
                <c:pt idx="163">
                  <c:v>190.41</c:v>
                </c:pt>
                <c:pt idx="164">
                  <c:v>191.12</c:v>
                </c:pt>
                <c:pt idx="165">
                  <c:v>192.73</c:v>
                </c:pt>
                <c:pt idx="166">
                  <c:v>191.9</c:v>
                </c:pt>
                <c:pt idx="167">
                  <c:v>194.85</c:v>
                </c:pt>
                <c:pt idx="168">
                  <c:v>195.69</c:v>
                </c:pt>
                <c:pt idx="169">
                  <c:v>195.26</c:v>
                </c:pt>
                <c:pt idx="170">
                  <c:v>194.34</c:v>
                </c:pt>
                <c:pt idx="171">
                  <c:v>194.88</c:v>
                </c:pt>
                <c:pt idx="172">
                  <c:v>194.46</c:v>
                </c:pt>
                <c:pt idx="173">
                  <c:v>196.26</c:v>
                </c:pt>
                <c:pt idx="174">
                  <c:v>194.19</c:v>
                </c:pt>
                <c:pt idx="175">
                  <c:v>195.03</c:v>
                </c:pt>
                <c:pt idx="176">
                  <c:v>194.44</c:v>
                </c:pt>
                <c:pt idx="177">
                  <c:v>194.89</c:v>
                </c:pt>
                <c:pt idx="178">
                  <c:v>194.89</c:v>
                </c:pt>
                <c:pt idx="179">
                  <c:v>191.41</c:v>
                </c:pt>
                <c:pt idx="180">
                  <c:v>192.5</c:v>
                </c:pt>
                <c:pt idx="181">
                  <c:v>191.96</c:v>
                </c:pt>
                <c:pt idx="182">
                  <c:v>189.82</c:v>
                </c:pt>
                <c:pt idx="183">
                  <c:v>188.56</c:v>
                </c:pt>
                <c:pt idx="184">
                  <c:v>189.5</c:v>
                </c:pt>
                <c:pt idx="185">
                  <c:v>191.26</c:v>
                </c:pt>
                <c:pt idx="186">
                  <c:v>192.84</c:v>
                </c:pt>
                <c:pt idx="187">
                  <c:v>192.59</c:v>
                </c:pt>
                <c:pt idx="188">
                  <c:v>194.16</c:v>
                </c:pt>
                <c:pt idx="189">
                  <c:v>195.33</c:v>
                </c:pt>
                <c:pt idx="190">
                  <c:v>197.15</c:v>
                </c:pt>
                <c:pt idx="191">
                  <c:v>194.61</c:v>
                </c:pt>
                <c:pt idx="192">
                  <c:v>194.77</c:v>
                </c:pt>
                <c:pt idx="193">
                  <c:v>193.04</c:v>
                </c:pt>
                <c:pt idx="194">
                  <c:v>191.44</c:v>
                </c:pt>
                <c:pt idx="195">
                  <c:v>192.01</c:v>
                </c:pt>
                <c:pt idx="196">
                  <c:v>189.71</c:v>
                </c:pt>
                <c:pt idx="197">
                  <c:v>189.32</c:v>
                </c:pt>
                <c:pt idx="198">
                  <c:v>189.99</c:v>
                </c:pt>
                <c:pt idx="199">
                  <c:v>200.5</c:v>
                </c:pt>
                <c:pt idx="200">
                  <c:v>201.82</c:v>
                </c:pt>
                <c:pt idx="201">
                  <c:v>199.87</c:v>
                </c:pt>
                <c:pt idx="202">
                  <c:v>204.04</c:v>
                </c:pt>
                <c:pt idx="203">
                  <c:v>203.57</c:v>
                </c:pt>
                <c:pt idx="204">
                  <c:v>204.69</c:v>
                </c:pt>
                <c:pt idx="205">
                  <c:v>204.11</c:v>
                </c:pt>
                <c:pt idx="206">
                  <c:v>205.67</c:v>
                </c:pt>
                <c:pt idx="207">
                  <c:v>209.07</c:v>
                </c:pt>
                <c:pt idx="208">
                  <c:v>205.91</c:v>
                </c:pt>
                <c:pt idx="209">
                  <c:v>206.72</c:v>
                </c:pt>
                <c:pt idx="210">
                  <c:v>206.05</c:v>
                </c:pt>
                <c:pt idx="211">
                  <c:v>207.59</c:v>
                </c:pt>
                <c:pt idx="212">
                  <c:v>209.33</c:v>
                </c:pt>
                <c:pt idx="213">
                  <c:v>208.59</c:v>
                </c:pt>
                <c:pt idx="214">
                  <c:v>209.16</c:v>
                </c:pt>
                <c:pt idx="215">
                  <c:v>207.27</c:v>
                </c:pt>
                <c:pt idx="216">
                  <c:v>208.04</c:v>
                </c:pt>
                <c:pt idx="217">
                  <c:v>207.56</c:v>
                </c:pt>
                <c:pt idx="218">
                  <c:v>209.12</c:v>
                </c:pt>
                <c:pt idx="219">
                  <c:v>208.19</c:v>
                </c:pt>
                <c:pt idx="220">
                  <c:v>206.37</c:v>
                </c:pt>
                <c:pt idx="221">
                  <c:v>207.62</c:v>
                </c:pt>
                <c:pt idx="222">
                  <c:v>206.41</c:v>
                </c:pt>
                <c:pt idx="223">
                  <c:v>206.75</c:v>
                </c:pt>
                <c:pt idx="224">
                  <c:v>209.07</c:v>
                </c:pt>
                <c:pt idx="225">
                  <c:v>207.71</c:v>
                </c:pt>
                <c:pt idx="226">
                  <c:v>208.98</c:v>
                </c:pt>
                <c:pt idx="227">
                  <c:v>208.87</c:v>
                </c:pt>
                <c:pt idx="228">
                  <c:v>212.55</c:v>
                </c:pt>
                <c:pt idx="229">
                  <c:v>219.17</c:v>
                </c:pt>
                <c:pt idx="230">
                  <c:v>225.13</c:v>
                </c:pt>
                <c:pt idx="231">
                  <c:v>223.76</c:v>
                </c:pt>
                <c:pt idx="232">
                  <c:v>218.47</c:v>
                </c:pt>
                <c:pt idx="233">
                  <c:v>217.16</c:v>
                </c:pt>
                <c:pt idx="234">
                  <c:v>217.01</c:v>
                </c:pt>
                <c:pt idx="235">
                  <c:v>217.22</c:v>
                </c:pt>
                <c:pt idx="236">
                  <c:v>220.93</c:v>
                </c:pt>
                <c:pt idx="237">
                  <c:v>219.81</c:v>
                </c:pt>
                <c:pt idx="238">
                  <c:v>219.53</c:v>
                </c:pt>
                <c:pt idx="239">
                  <c:v>221.36</c:v>
                </c:pt>
                <c:pt idx="240">
                  <c:v>218.31</c:v>
                </c:pt>
                <c:pt idx="241">
                  <c:v>218.87</c:v>
                </c:pt>
                <c:pt idx="242">
                  <c:v>219.71</c:v>
                </c:pt>
                <c:pt idx="243">
                  <c:v>219.09</c:v>
                </c:pt>
                <c:pt idx="244">
                  <c:v>219.42</c:v>
                </c:pt>
                <c:pt idx="245">
                  <c:v>218.74</c:v>
                </c:pt>
                <c:pt idx="246">
                  <c:v>217.07</c:v>
                </c:pt>
                <c:pt idx="247">
                  <c:v>216.68</c:v>
                </c:pt>
                <c:pt idx="248">
                  <c:v>217.49</c:v>
                </c:pt>
                <c:pt idx="249">
                  <c:v>219.81</c:v>
                </c:pt>
                <c:pt idx="250">
                  <c:v>217.53</c:v>
                </c:pt>
                <c:pt idx="251">
                  <c:v>218.22</c:v>
                </c:pt>
                <c:pt idx="252">
                  <c:v>220.51</c:v>
                </c:pt>
                <c:pt idx="253">
                  <c:v>221.46</c:v>
                </c:pt>
                <c:pt idx="254">
                  <c:v>225.69</c:v>
                </c:pt>
                <c:pt idx="255">
                  <c:v>221.77</c:v>
                </c:pt>
                <c:pt idx="256">
                  <c:v>222.87</c:v>
                </c:pt>
                <c:pt idx="257">
                  <c:v>221.22</c:v>
                </c:pt>
                <c:pt idx="258">
                  <c:v>222.39</c:v>
                </c:pt>
                <c:pt idx="259">
                  <c:v>225.6</c:v>
                </c:pt>
                <c:pt idx="260">
                  <c:v>229.8</c:v>
                </c:pt>
                <c:pt idx="261">
                  <c:v>235.26</c:v>
                </c:pt>
                <c:pt idx="262">
                  <c:v>239.92</c:v>
                </c:pt>
                <c:pt idx="263">
                  <c:v>240.11</c:v>
                </c:pt>
                <c:pt idx="264">
                  <c:v>240.32</c:v>
                </c:pt>
                <c:pt idx="265">
                  <c:v>241.95</c:v>
                </c:pt>
                <c:pt idx="266">
                  <c:v>241.59</c:v>
                </c:pt>
                <c:pt idx="267">
                  <c:v>241.92</c:v>
                </c:pt>
                <c:pt idx="268">
                  <c:v>245.16</c:v>
                </c:pt>
                <c:pt idx="269">
                  <c:v>244.12</c:v>
                </c:pt>
                <c:pt idx="270">
                  <c:v>233.5</c:v>
                </c:pt>
                <c:pt idx="271">
                  <c:v>233.63</c:v>
                </c:pt>
                <c:pt idx="272">
                  <c:v>232.09</c:v>
                </c:pt>
                <c:pt idx="273">
                  <c:v>228.79</c:v>
                </c:pt>
                <c:pt idx="274">
                  <c:v>217.09</c:v>
                </c:pt>
                <c:pt idx="275">
                  <c:v>222.18</c:v>
                </c:pt>
                <c:pt idx="276">
                  <c:v>222.82</c:v>
                </c:pt>
                <c:pt idx="277">
                  <c:v>213.58</c:v>
                </c:pt>
                <c:pt idx="278">
                  <c:v>218.02</c:v>
                </c:pt>
                <c:pt idx="279">
                  <c:v>222.69</c:v>
                </c:pt>
                <c:pt idx="280">
                  <c:v>223.62</c:v>
                </c:pt>
                <c:pt idx="281">
                  <c:v>225.74</c:v>
                </c:pt>
                <c:pt idx="282">
                  <c:v>223.01</c:v>
                </c:pt>
                <c:pt idx="283">
                  <c:v>226.32</c:v>
                </c:pt>
                <c:pt idx="284">
                  <c:v>223.64</c:v>
                </c:pt>
                <c:pt idx="285">
                  <c:v>222.13</c:v>
                </c:pt>
                <c:pt idx="286">
                  <c:v>224.07</c:v>
                </c:pt>
                <c:pt idx="287">
                  <c:v>227.1</c:v>
                </c:pt>
                <c:pt idx="288">
                  <c:v>230.95</c:v>
                </c:pt>
                <c:pt idx="289">
                  <c:v>229.43</c:v>
                </c:pt>
                <c:pt idx="290">
                  <c:v>223.15</c:v>
                </c:pt>
                <c:pt idx="291">
                  <c:v>221.46</c:v>
                </c:pt>
                <c:pt idx="292">
                  <c:v>222.19</c:v>
                </c:pt>
                <c:pt idx="293">
                  <c:v>225.34</c:v>
                </c:pt>
                <c:pt idx="294">
                  <c:v>223.17</c:v>
                </c:pt>
                <c:pt idx="295">
                  <c:v>224.25</c:v>
                </c:pt>
                <c:pt idx="296">
                  <c:v>222.47</c:v>
                </c:pt>
                <c:pt idx="297">
                  <c:v>223.17</c:v>
                </c:pt>
                <c:pt idx="298">
                  <c:v>220.53</c:v>
                </c:pt>
                <c:pt idx="299">
                  <c:v>224.66</c:v>
                </c:pt>
                <c:pt idx="300">
                  <c:v>223.12</c:v>
                </c:pt>
                <c:pt idx="301">
                  <c:v>227.18</c:v>
                </c:pt>
                <c:pt idx="302">
                  <c:v>225.57</c:v>
                </c:pt>
                <c:pt idx="303">
                  <c:v>222.79</c:v>
                </c:pt>
                <c:pt idx="304">
                  <c:v>224.5</c:v>
                </c:pt>
                <c:pt idx="305">
                  <c:v>220.58</c:v>
                </c:pt>
                <c:pt idx="306">
                  <c:v>213.05</c:v>
                </c:pt>
                <c:pt idx="307">
                  <c:v>210.42</c:v>
                </c:pt>
                <c:pt idx="308">
                  <c:v>216.87</c:v>
                </c:pt>
                <c:pt idx="309">
                  <c:v>215.77</c:v>
                </c:pt>
                <c:pt idx="310">
                  <c:v>216.31</c:v>
                </c:pt>
                <c:pt idx="311">
                  <c:v>211.85</c:v>
                </c:pt>
                <c:pt idx="312">
                  <c:v>215.02</c:v>
                </c:pt>
                <c:pt idx="313">
                  <c:v>222.33</c:v>
                </c:pt>
                <c:pt idx="314">
                  <c:v>226.49</c:v>
                </c:pt>
                <c:pt idx="315">
                  <c:v>226.77</c:v>
                </c:pt>
                <c:pt idx="316">
                  <c:v>221.71</c:v>
                </c:pt>
                <c:pt idx="317">
                  <c:v>220.49</c:v>
                </c:pt>
                <c:pt idx="318">
                  <c:v>224.51</c:v>
                </c:pt>
                <c:pt idx="319">
                  <c:v>219.67</c:v>
                </c:pt>
                <c:pt idx="320">
                  <c:v>221.99</c:v>
                </c:pt>
                <c:pt idx="321">
                  <c:v>222.03</c:v>
                </c:pt>
                <c:pt idx="322">
                  <c:v>228.01</c:v>
                </c:pt>
                <c:pt idx="323">
                  <c:v>236.16</c:v>
                </c:pt>
                <c:pt idx="324">
                  <c:v>234.03</c:v>
                </c:pt>
                <c:pt idx="325">
                  <c:v>233.39</c:v>
                </c:pt>
                <c:pt idx="326">
                  <c:v>232.7</c:v>
                </c:pt>
                <c:pt idx="327">
                  <c:v>231.99</c:v>
                </c:pt>
                <c:pt idx="328">
                  <c:v>231.87</c:v>
                </c:pt>
                <c:pt idx="329">
                  <c:v>232.54</c:v>
                </c:pt>
                <c:pt idx="330">
                  <c:v>234.65</c:v>
                </c:pt>
                <c:pt idx="331">
                  <c:v>237.77</c:v>
                </c:pt>
                <c:pt idx="332">
                  <c:v>234.03</c:v>
                </c:pt>
                <c:pt idx="333">
                  <c:v>234.47</c:v>
                </c:pt>
                <c:pt idx="334">
                  <c:v>231.12</c:v>
                </c:pt>
                <c:pt idx="335">
                  <c:v>231.8</c:v>
                </c:pt>
                <c:pt idx="336">
                  <c:v>233.53</c:v>
                </c:pt>
                <c:pt idx="337">
                  <c:v>231.43</c:v>
                </c:pt>
                <c:pt idx="338">
                  <c:v>229.7</c:v>
                </c:pt>
                <c:pt idx="339">
                  <c:v>226.91</c:v>
                </c:pt>
                <c:pt idx="340">
                  <c:v>231.36</c:v>
                </c:pt>
                <c:pt idx="341">
                  <c:v>235.89</c:v>
                </c:pt>
                <c:pt idx="342">
                  <c:v>240.46</c:v>
                </c:pt>
                <c:pt idx="343">
                  <c:v>237.1</c:v>
                </c:pt>
                <c:pt idx="344">
                  <c:v>239.29</c:v>
                </c:pt>
                <c:pt idx="345">
                  <c:v>240.52</c:v>
                </c:pt>
                <c:pt idx="346">
                  <c:v>242.18</c:v>
                </c:pt>
                <c:pt idx="347">
                  <c:v>245.41</c:v>
                </c:pt>
                <c:pt idx="348">
                  <c:v>242.72</c:v>
                </c:pt>
                <c:pt idx="349">
                  <c:v>241.81</c:v>
                </c:pt>
                <c:pt idx="350">
                  <c:v>240.29</c:v>
                </c:pt>
                <c:pt idx="351">
                  <c:v>242.49</c:v>
                </c:pt>
                <c:pt idx="352">
                  <c:v>239.74</c:v>
                </c:pt>
                <c:pt idx="353">
                  <c:v>242.48</c:v>
                </c:pt>
                <c:pt idx="354">
                  <c:v>239.09</c:v>
                </c:pt>
                <c:pt idx="355">
                  <c:v>240.91</c:v>
                </c:pt>
                <c:pt idx="356">
                  <c:v>242.17</c:v>
                </c:pt>
                <c:pt idx="357">
                  <c:v>241.98</c:v>
                </c:pt>
                <c:pt idx="358">
                  <c:v>246.15</c:v>
                </c:pt>
                <c:pt idx="359">
                  <c:v>246.48</c:v>
                </c:pt>
                <c:pt idx="360">
                  <c:v>248.16</c:v>
                </c:pt>
                <c:pt idx="361">
                  <c:v>251.23</c:v>
                </c:pt>
                <c:pt idx="362">
                  <c:v>251.03</c:v>
                </c:pt>
                <c:pt idx="363">
                  <c:v>250.33</c:v>
                </c:pt>
                <c:pt idx="364">
                  <c:v>252.77</c:v>
                </c:pt>
                <c:pt idx="365">
                  <c:v>254.31</c:v>
                </c:pt>
                <c:pt idx="366">
                  <c:v>253.2</c:v>
                </c:pt>
                <c:pt idx="367">
                  <c:v>251.37</c:v>
                </c:pt>
                <c:pt idx="368">
                  <c:v>251.16</c:v>
                </c:pt>
                <c:pt idx="369">
                  <c:v>250.24</c:v>
                </c:pt>
                <c:pt idx="370">
                  <c:v>252.71</c:v>
                </c:pt>
                <c:pt idx="371">
                  <c:v>249.07</c:v>
                </c:pt>
                <c:pt idx="372">
                  <c:v>248.14</c:v>
                </c:pt>
                <c:pt idx="373">
                  <c:v>246.55</c:v>
                </c:pt>
                <c:pt idx="374">
                  <c:v>243.3</c:v>
                </c:pt>
                <c:pt idx="375">
                  <c:v>243.74</c:v>
                </c:pt>
                <c:pt idx="376">
                  <c:v>245.86</c:v>
                </c:pt>
                <c:pt idx="377">
                  <c:v>245.37</c:v>
                </c:pt>
                <c:pt idx="378">
                  <c:v>248.86</c:v>
                </c:pt>
                <c:pt idx="379">
                  <c:v>249.12</c:v>
                </c:pt>
                <c:pt idx="380">
                  <c:v>252.01</c:v>
                </c:pt>
                <c:pt idx="381">
                  <c:v>253.87</c:v>
                </c:pt>
                <c:pt idx="382">
                  <c:v>252.93</c:v>
                </c:pt>
                <c:pt idx="383">
                  <c:v>254.38</c:v>
                </c:pt>
                <c:pt idx="384">
                  <c:v>257.01</c:v>
                </c:pt>
                <c:pt idx="385">
                  <c:v>255.3</c:v>
                </c:pt>
                <c:pt idx="386">
                  <c:v>248.65</c:v>
                </c:pt>
                <c:pt idx="387">
                  <c:v>253.75</c:v>
                </c:pt>
                <c:pt idx="388">
                  <c:v>251.28</c:v>
                </c:pt>
                <c:pt idx="389">
                  <c:v>251.05</c:v>
                </c:pt>
                <c:pt idx="390">
                  <c:v>251.09</c:v>
                </c:pt>
                <c:pt idx="391">
                  <c:v>252.1</c:v>
                </c:pt>
                <c:pt idx="392">
                  <c:v>253.19</c:v>
                </c:pt>
                <c:pt idx="393">
                  <c:v>255.32</c:v>
                </c:pt>
                <c:pt idx="394">
                  <c:v>254.28</c:v>
                </c:pt>
                <c:pt idx="395">
                  <c:v>252.18</c:v>
                </c:pt>
                <c:pt idx="396">
                  <c:v>251.56</c:v>
                </c:pt>
                <c:pt idx="397">
                  <c:v>251.71</c:v>
                </c:pt>
                <c:pt idx="398">
                  <c:v>254.41</c:v>
                </c:pt>
                <c:pt idx="399">
                  <c:v>255.54</c:v>
                </c:pt>
                <c:pt idx="400">
                  <c:v>255.08</c:v>
                </c:pt>
                <c:pt idx="401">
                  <c:v>255.97</c:v>
                </c:pt>
                <c:pt idx="402">
                  <c:v>257.12</c:v>
                </c:pt>
                <c:pt idx="403">
                  <c:v>259.88</c:v>
                </c:pt>
                <c:pt idx="404">
                  <c:v>258.66000000000003</c:v>
                </c:pt>
                <c:pt idx="405">
                  <c:v>259.2</c:v>
                </c:pt>
                <c:pt idx="406">
                  <c:v>261.76</c:v>
                </c:pt>
                <c:pt idx="407">
                  <c:v>258.91000000000003</c:v>
                </c:pt>
                <c:pt idx="408">
                  <c:v>261.38</c:v>
                </c:pt>
                <c:pt idx="409">
                  <c:v>260.62</c:v>
                </c:pt>
                <c:pt idx="410">
                  <c:v>260.68</c:v>
                </c:pt>
                <c:pt idx="411">
                  <c:v>259.98</c:v>
                </c:pt>
                <c:pt idx="412">
                  <c:v>259.04000000000002</c:v>
                </c:pt>
                <c:pt idx="413">
                  <c:v>259.70999999999998</c:v>
                </c:pt>
                <c:pt idx="414">
                  <c:v>262.55</c:v>
                </c:pt>
                <c:pt idx="415">
                  <c:v>265.33</c:v>
                </c:pt>
                <c:pt idx="416">
                  <c:v>266.75</c:v>
                </c:pt>
                <c:pt idx="417">
                  <c:v>267.24</c:v>
                </c:pt>
                <c:pt idx="418">
                  <c:v>266.64</c:v>
                </c:pt>
                <c:pt idx="419">
                  <c:v>266.70999999999998</c:v>
                </c:pt>
                <c:pt idx="420">
                  <c:v>266.75</c:v>
                </c:pt>
                <c:pt idx="421">
                  <c:v>265.89</c:v>
                </c:pt>
                <c:pt idx="422">
                  <c:v>268.79000000000002</c:v>
                </c:pt>
                <c:pt idx="423">
                  <c:v>267.43</c:v>
                </c:pt>
                <c:pt idx="424">
                  <c:v>258.89999999999998</c:v>
                </c:pt>
                <c:pt idx="425">
                  <c:v>260.20999999999998</c:v>
                </c:pt>
                <c:pt idx="426">
                  <c:v>261.83</c:v>
                </c:pt>
                <c:pt idx="427">
                  <c:v>264.64</c:v>
                </c:pt>
                <c:pt idx="428">
                  <c:v>264.45999999999998</c:v>
                </c:pt>
                <c:pt idx="429">
                  <c:v>263.02999999999997</c:v>
                </c:pt>
                <c:pt idx="430">
                  <c:v>262.45</c:v>
                </c:pt>
                <c:pt idx="431">
                  <c:v>264.48</c:v>
                </c:pt>
                <c:pt idx="432">
                  <c:v>265.54000000000002</c:v>
                </c:pt>
                <c:pt idx="433">
                  <c:v>265.82</c:v>
                </c:pt>
                <c:pt idx="434">
                  <c:v>266.51</c:v>
                </c:pt>
                <c:pt idx="435">
                  <c:v>262.67</c:v>
                </c:pt>
                <c:pt idx="436">
                  <c:v>262.07</c:v>
                </c:pt>
                <c:pt idx="437">
                  <c:v>263.81</c:v>
                </c:pt>
                <c:pt idx="438">
                  <c:v>265.19</c:v>
                </c:pt>
                <c:pt idx="439">
                  <c:v>268.24</c:v>
                </c:pt>
                <c:pt idx="440">
                  <c:v>269.77</c:v>
                </c:pt>
                <c:pt idx="441">
                  <c:v>270.04000000000002</c:v>
                </c:pt>
                <c:pt idx="442">
                  <c:v>267.47000000000003</c:v>
                </c:pt>
                <c:pt idx="443">
                  <c:v>268.33999999999997</c:v>
                </c:pt>
                <c:pt idx="444">
                  <c:v>268.14999999999998</c:v>
                </c:pt>
                <c:pt idx="445">
                  <c:v>269.25</c:v>
                </c:pt>
                <c:pt idx="446">
                  <c:v>262.24</c:v>
                </c:pt>
                <c:pt idx="447">
                  <c:v>256.3</c:v>
                </c:pt>
                <c:pt idx="448">
                  <c:v>258.77999999999997</c:v>
                </c:pt>
                <c:pt idx="449">
                  <c:v>259.42</c:v>
                </c:pt>
                <c:pt idx="450">
                  <c:v>271.7</c:v>
                </c:pt>
                <c:pt idx="451">
                  <c:v>266.45</c:v>
                </c:pt>
                <c:pt idx="452">
                  <c:v>265.95999999999998</c:v>
                </c:pt>
                <c:pt idx="453">
                  <c:v>264.45</c:v>
                </c:pt>
                <c:pt idx="454">
                  <c:v>261.35000000000002</c:v>
                </c:pt>
                <c:pt idx="455">
                  <c:v>264.02</c:v>
                </c:pt>
                <c:pt idx="456">
                  <c:v>255.5</c:v>
                </c:pt>
                <c:pt idx="457">
                  <c:v>263.39999999999998</c:v>
                </c:pt>
                <c:pt idx="458">
                  <c:v>257.36</c:v>
                </c:pt>
                <c:pt idx="459">
                  <c:v>255.7</c:v>
                </c:pt>
                <c:pt idx="460">
                  <c:v>257.45999999999998</c:v>
                </c:pt>
                <c:pt idx="461">
                  <c:v>260.52</c:v>
                </c:pt>
                <c:pt idx="462">
                  <c:v>260.10000000000002</c:v>
                </c:pt>
                <c:pt idx="463">
                  <c:v>260.18</c:v>
                </c:pt>
                <c:pt idx="464">
                  <c:v>260.18</c:v>
                </c:pt>
                <c:pt idx="465">
                  <c:v>262.7</c:v>
                </c:pt>
                <c:pt idx="466">
                  <c:v>273.76</c:v>
                </c:pt>
                <c:pt idx="467">
                  <c:v>275.77</c:v>
                </c:pt>
                <c:pt idx="468">
                  <c:v>275.67</c:v>
                </c:pt>
                <c:pt idx="469">
                  <c:v>271.51</c:v>
                </c:pt>
                <c:pt idx="470">
                  <c:v>268.36</c:v>
                </c:pt>
                <c:pt idx="471">
                  <c:v>264.12</c:v>
                </c:pt>
                <c:pt idx="472">
                  <c:v>264.10000000000002</c:v>
                </c:pt>
                <c:pt idx="473">
                  <c:v>270.25</c:v>
                </c:pt>
                <c:pt idx="474">
                  <c:v>265.2</c:v>
                </c:pt>
                <c:pt idx="475">
                  <c:v>260.67</c:v>
                </c:pt>
                <c:pt idx="476">
                  <c:v>259.72000000000003</c:v>
                </c:pt>
                <c:pt idx="477">
                  <c:v>260.79000000000002</c:v>
                </c:pt>
                <c:pt idx="478">
                  <c:v>265.31</c:v>
                </c:pt>
                <c:pt idx="479">
                  <c:v>270.29000000000002</c:v>
                </c:pt>
                <c:pt idx="480">
                  <c:v>280.06</c:v>
                </c:pt>
                <c:pt idx="481">
                  <c:v>281.64999999999998</c:v>
                </c:pt>
                <c:pt idx="482">
                  <c:v>281.36</c:v>
                </c:pt>
                <c:pt idx="483">
                  <c:v>286.33</c:v>
                </c:pt>
                <c:pt idx="484">
                  <c:v>278.55</c:v>
                </c:pt>
                <c:pt idx="485">
                  <c:v>276.85000000000002</c:v>
                </c:pt>
                <c:pt idx="486">
                  <c:v>269.18</c:v>
                </c:pt>
                <c:pt idx="487">
                  <c:v>266.52999999999997</c:v>
                </c:pt>
                <c:pt idx="488">
                  <c:v>267.22000000000003</c:v>
                </c:pt>
                <c:pt idx="489">
                  <c:v>270.64</c:v>
                </c:pt>
                <c:pt idx="490">
                  <c:v>272.14999999999998</c:v>
                </c:pt>
                <c:pt idx="491">
                  <c:v>265.02</c:v>
                </c:pt>
                <c:pt idx="492">
                  <c:v>258.07</c:v>
                </c:pt>
                <c:pt idx="493">
                  <c:v>252.97</c:v>
                </c:pt>
                <c:pt idx="494">
                  <c:v>250.31</c:v>
                </c:pt>
                <c:pt idx="495">
                  <c:v>242.44</c:v>
                </c:pt>
                <c:pt idx="496">
                  <c:v>238.34</c:v>
                </c:pt>
                <c:pt idx="497">
                  <c:v>232.94</c:v>
                </c:pt>
                <c:pt idx="498">
                  <c:v>243.35</c:v>
                </c:pt>
                <c:pt idx="499">
                  <c:v>245.97</c:v>
                </c:pt>
                <c:pt idx="500">
                  <c:v>246.24</c:v>
                </c:pt>
                <c:pt idx="501">
                  <c:v>249.12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A88-4627-A9B5-13E947E20CD9}"/>
            </c:ext>
          </c:extLst>
        </c:ser>
        <c:ser>
          <c:idx val="24"/>
          <c:order val="24"/>
          <c:tx>
            <c:strRef>
              <c:f>wide_company_closes_reorder!$Z$1</c:f>
              <c:strCache>
                <c:ptCount val="1"/>
                <c:pt idx="0">
                  <c:v>UTX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wide_company_closes_reorder!$Z$2:$Z$503</c:f>
              <c:numCache>
                <c:formatCode>General</c:formatCode>
                <c:ptCount val="502"/>
                <c:pt idx="0">
                  <c:v>105.26</c:v>
                </c:pt>
                <c:pt idx="1">
                  <c:v>105.33</c:v>
                </c:pt>
                <c:pt idx="2">
                  <c:v>105.76</c:v>
                </c:pt>
                <c:pt idx="3">
                  <c:v>106.9</c:v>
                </c:pt>
                <c:pt idx="4">
                  <c:v>105.9</c:v>
                </c:pt>
                <c:pt idx="5">
                  <c:v>105.67</c:v>
                </c:pt>
                <c:pt idx="6">
                  <c:v>105.42</c:v>
                </c:pt>
                <c:pt idx="7">
                  <c:v>105.25</c:v>
                </c:pt>
                <c:pt idx="8">
                  <c:v>104.68</c:v>
                </c:pt>
                <c:pt idx="9">
                  <c:v>104.44</c:v>
                </c:pt>
                <c:pt idx="10">
                  <c:v>104.87</c:v>
                </c:pt>
                <c:pt idx="11">
                  <c:v>105.17</c:v>
                </c:pt>
                <c:pt idx="12">
                  <c:v>105.22</c:v>
                </c:pt>
                <c:pt idx="13">
                  <c:v>104.8</c:v>
                </c:pt>
                <c:pt idx="14">
                  <c:v>106</c:v>
                </c:pt>
                <c:pt idx="15">
                  <c:v>105.39</c:v>
                </c:pt>
                <c:pt idx="16">
                  <c:v>104.82</c:v>
                </c:pt>
                <c:pt idx="17">
                  <c:v>104.19</c:v>
                </c:pt>
                <c:pt idx="18">
                  <c:v>103.69</c:v>
                </c:pt>
                <c:pt idx="19">
                  <c:v>104.16</c:v>
                </c:pt>
                <c:pt idx="20">
                  <c:v>102.74</c:v>
                </c:pt>
                <c:pt idx="21">
                  <c:v>102.92</c:v>
                </c:pt>
                <c:pt idx="22">
                  <c:v>104.14</c:v>
                </c:pt>
                <c:pt idx="23">
                  <c:v>105.12</c:v>
                </c:pt>
                <c:pt idx="24">
                  <c:v>105.66</c:v>
                </c:pt>
                <c:pt idx="25">
                  <c:v>104.85</c:v>
                </c:pt>
                <c:pt idx="26">
                  <c:v>104.56</c:v>
                </c:pt>
                <c:pt idx="27">
                  <c:v>105.47</c:v>
                </c:pt>
                <c:pt idx="28">
                  <c:v>106.39</c:v>
                </c:pt>
                <c:pt idx="29">
                  <c:v>105.96</c:v>
                </c:pt>
                <c:pt idx="30">
                  <c:v>106.92</c:v>
                </c:pt>
                <c:pt idx="31">
                  <c:v>107.07</c:v>
                </c:pt>
                <c:pt idx="32">
                  <c:v>107.15</c:v>
                </c:pt>
                <c:pt idx="33">
                  <c:v>107.48</c:v>
                </c:pt>
                <c:pt idx="34">
                  <c:v>107.64</c:v>
                </c:pt>
                <c:pt idx="35">
                  <c:v>107.09</c:v>
                </c:pt>
                <c:pt idx="36">
                  <c:v>107.45</c:v>
                </c:pt>
                <c:pt idx="37">
                  <c:v>107.78</c:v>
                </c:pt>
                <c:pt idx="38">
                  <c:v>107.53</c:v>
                </c:pt>
                <c:pt idx="39">
                  <c:v>108.61</c:v>
                </c:pt>
                <c:pt idx="40">
                  <c:v>107.67</c:v>
                </c:pt>
                <c:pt idx="41">
                  <c:v>107.33</c:v>
                </c:pt>
                <c:pt idx="42">
                  <c:v>106.68</c:v>
                </c:pt>
                <c:pt idx="43">
                  <c:v>107.27</c:v>
                </c:pt>
                <c:pt idx="44">
                  <c:v>106.77</c:v>
                </c:pt>
                <c:pt idx="45">
                  <c:v>106.94</c:v>
                </c:pt>
                <c:pt idx="46">
                  <c:v>107.14</c:v>
                </c:pt>
                <c:pt idx="47">
                  <c:v>107.3</c:v>
                </c:pt>
                <c:pt idx="48">
                  <c:v>106.84</c:v>
                </c:pt>
                <c:pt idx="49">
                  <c:v>108.04</c:v>
                </c:pt>
                <c:pt idx="50">
                  <c:v>107.33</c:v>
                </c:pt>
                <c:pt idx="51">
                  <c:v>108.39</c:v>
                </c:pt>
                <c:pt idx="52">
                  <c:v>108.45</c:v>
                </c:pt>
                <c:pt idx="53">
                  <c:v>107.16</c:v>
                </c:pt>
                <c:pt idx="54">
                  <c:v>106.94</c:v>
                </c:pt>
                <c:pt idx="55">
                  <c:v>106.85</c:v>
                </c:pt>
                <c:pt idx="56">
                  <c:v>106.81</c:v>
                </c:pt>
                <c:pt idx="57">
                  <c:v>106.84</c:v>
                </c:pt>
                <c:pt idx="58">
                  <c:v>107.71</c:v>
                </c:pt>
                <c:pt idx="59">
                  <c:v>107.06</c:v>
                </c:pt>
                <c:pt idx="60">
                  <c:v>107.44</c:v>
                </c:pt>
                <c:pt idx="61">
                  <c:v>107.21</c:v>
                </c:pt>
                <c:pt idx="62">
                  <c:v>106.94</c:v>
                </c:pt>
                <c:pt idx="63">
                  <c:v>107.95</c:v>
                </c:pt>
                <c:pt idx="64">
                  <c:v>107.48</c:v>
                </c:pt>
                <c:pt idx="65">
                  <c:v>107.4</c:v>
                </c:pt>
                <c:pt idx="66">
                  <c:v>107.95</c:v>
                </c:pt>
                <c:pt idx="67">
                  <c:v>107.85</c:v>
                </c:pt>
                <c:pt idx="68">
                  <c:v>108.1</c:v>
                </c:pt>
                <c:pt idx="69">
                  <c:v>107.24</c:v>
                </c:pt>
                <c:pt idx="70">
                  <c:v>107.09</c:v>
                </c:pt>
                <c:pt idx="71">
                  <c:v>108.22</c:v>
                </c:pt>
                <c:pt idx="72">
                  <c:v>108.5</c:v>
                </c:pt>
                <c:pt idx="73">
                  <c:v>107.88</c:v>
                </c:pt>
                <c:pt idx="74">
                  <c:v>108.86</c:v>
                </c:pt>
                <c:pt idx="75">
                  <c:v>109.86</c:v>
                </c:pt>
                <c:pt idx="76">
                  <c:v>111.13</c:v>
                </c:pt>
                <c:pt idx="77">
                  <c:v>111.66</c:v>
                </c:pt>
                <c:pt idx="78">
                  <c:v>112.93</c:v>
                </c:pt>
                <c:pt idx="79">
                  <c:v>113.48</c:v>
                </c:pt>
                <c:pt idx="80">
                  <c:v>113.68</c:v>
                </c:pt>
                <c:pt idx="81">
                  <c:v>113.62</c:v>
                </c:pt>
                <c:pt idx="82">
                  <c:v>114</c:v>
                </c:pt>
                <c:pt idx="83">
                  <c:v>114.94</c:v>
                </c:pt>
                <c:pt idx="84">
                  <c:v>115.6</c:v>
                </c:pt>
                <c:pt idx="85">
                  <c:v>115.94</c:v>
                </c:pt>
                <c:pt idx="86">
                  <c:v>115.68</c:v>
                </c:pt>
                <c:pt idx="87">
                  <c:v>116.04</c:v>
                </c:pt>
                <c:pt idx="88">
                  <c:v>115.62</c:v>
                </c:pt>
                <c:pt idx="89">
                  <c:v>115.87</c:v>
                </c:pt>
                <c:pt idx="90">
                  <c:v>115.44</c:v>
                </c:pt>
                <c:pt idx="91">
                  <c:v>115.53</c:v>
                </c:pt>
                <c:pt idx="92">
                  <c:v>115.99</c:v>
                </c:pt>
                <c:pt idx="93">
                  <c:v>114.87</c:v>
                </c:pt>
                <c:pt idx="94">
                  <c:v>114.67</c:v>
                </c:pt>
                <c:pt idx="95">
                  <c:v>116.39</c:v>
                </c:pt>
                <c:pt idx="96">
                  <c:v>116.87</c:v>
                </c:pt>
                <c:pt idx="97">
                  <c:v>117.26</c:v>
                </c:pt>
                <c:pt idx="98">
                  <c:v>117.27</c:v>
                </c:pt>
                <c:pt idx="99">
                  <c:v>117.44</c:v>
                </c:pt>
                <c:pt idx="100">
                  <c:v>117.05</c:v>
                </c:pt>
                <c:pt idx="101">
                  <c:v>116.5</c:v>
                </c:pt>
                <c:pt idx="102">
                  <c:v>116.51</c:v>
                </c:pt>
                <c:pt idx="103">
                  <c:v>117</c:v>
                </c:pt>
                <c:pt idx="104">
                  <c:v>117.31</c:v>
                </c:pt>
                <c:pt idx="105">
                  <c:v>116.22</c:v>
                </c:pt>
                <c:pt idx="106">
                  <c:v>115.39</c:v>
                </c:pt>
                <c:pt idx="107">
                  <c:v>115.06</c:v>
                </c:pt>
                <c:pt idx="108">
                  <c:v>115.22</c:v>
                </c:pt>
                <c:pt idx="109">
                  <c:v>115.89</c:v>
                </c:pt>
                <c:pt idx="110">
                  <c:v>115.16</c:v>
                </c:pt>
                <c:pt idx="111">
                  <c:v>115.33</c:v>
                </c:pt>
                <c:pt idx="112">
                  <c:v>115.29</c:v>
                </c:pt>
                <c:pt idx="113">
                  <c:v>116</c:v>
                </c:pt>
                <c:pt idx="114">
                  <c:v>115.69</c:v>
                </c:pt>
                <c:pt idx="115">
                  <c:v>117.05</c:v>
                </c:pt>
                <c:pt idx="116">
                  <c:v>116.73</c:v>
                </c:pt>
                <c:pt idx="117">
                  <c:v>116.96</c:v>
                </c:pt>
                <c:pt idx="118">
                  <c:v>117.36</c:v>
                </c:pt>
                <c:pt idx="119">
                  <c:v>117.41</c:v>
                </c:pt>
                <c:pt idx="120">
                  <c:v>117.07</c:v>
                </c:pt>
                <c:pt idx="121">
                  <c:v>116.8</c:v>
                </c:pt>
                <c:pt idx="122">
                  <c:v>117.68</c:v>
                </c:pt>
                <c:pt idx="123">
                  <c:v>116.86</c:v>
                </c:pt>
                <c:pt idx="124">
                  <c:v>117.3</c:v>
                </c:pt>
                <c:pt idx="125">
                  <c:v>117.27</c:v>
                </c:pt>
                <c:pt idx="126">
                  <c:v>117.96</c:v>
                </c:pt>
                <c:pt idx="127">
                  <c:v>117.09</c:v>
                </c:pt>
                <c:pt idx="128">
                  <c:v>117.78</c:v>
                </c:pt>
                <c:pt idx="129">
                  <c:v>118.22</c:v>
                </c:pt>
                <c:pt idx="130">
                  <c:v>118.68</c:v>
                </c:pt>
                <c:pt idx="131">
                  <c:v>118.84</c:v>
                </c:pt>
                <c:pt idx="132">
                  <c:v>118.23</c:v>
                </c:pt>
                <c:pt idx="133">
                  <c:v>118.55</c:v>
                </c:pt>
                <c:pt idx="134">
                  <c:v>118.26</c:v>
                </c:pt>
                <c:pt idx="135">
                  <c:v>117.8</c:v>
                </c:pt>
                <c:pt idx="136">
                  <c:v>118.23</c:v>
                </c:pt>
                <c:pt idx="137">
                  <c:v>117.63</c:v>
                </c:pt>
                <c:pt idx="138">
                  <c:v>118.63</c:v>
                </c:pt>
                <c:pt idx="139">
                  <c:v>118.28</c:v>
                </c:pt>
                <c:pt idx="140">
                  <c:v>115.68</c:v>
                </c:pt>
                <c:pt idx="141">
                  <c:v>114.83</c:v>
                </c:pt>
                <c:pt idx="142">
                  <c:v>114.02</c:v>
                </c:pt>
                <c:pt idx="143">
                  <c:v>114.19</c:v>
                </c:pt>
                <c:pt idx="144">
                  <c:v>113.9</c:v>
                </c:pt>
                <c:pt idx="145">
                  <c:v>114.2</c:v>
                </c:pt>
                <c:pt idx="146">
                  <c:v>115.61</c:v>
                </c:pt>
                <c:pt idx="147">
                  <c:v>116.33</c:v>
                </c:pt>
                <c:pt idx="148">
                  <c:v>116.71</c:v>
                </c:pt>
                <c:pt idx="149">
                  <c:v>113.85</c:v>
                </c:pt>
                <c:pt idx="150">
                  <c:v>113.54</c:v>
                </c:pt>
                <c:pt idx="151">
                  <c:v>112.59</c:v>
                </c:pt>
                <c:pt idx="152">
                  <c:v>112.16</c:v>
                </c:pt>
                <c:pt idx="153">
                  <c:v>112.29</c:v>
                </c:pt>
                <c:pt idx="154">
                  <c:v>112.54</c:v>
                </c:pt>
                <c:pt idx="155">
                  <c:v>111.39</c:v>
                </c:pt>
                <c:pt idx="156">
                  <c:v>114.04</c:v>
                </c:pt>
                <c:pt idx="157">
                  <c:v>112.21</c:v>
                </c:pt>
                <c:pt idx="158">
                  <c:v>111.61</c:v>
                </c:pt>
                <c:pt idx="159">
                  <c:v>111.41</c:v>
                </c:pt>
                <c:pt idx="160">
                  <c:v>111.81</c:v>
                </c:pt>
                <c:pt idx="161">
                  <c:v>113.11</c:v>
                </c:pt>
                <c:pt idx="162">
                  <c:v>111.43</c:v>
                </c:pt>
                <c:pt idx="163">
                  <c:v>111.21</c:v>
                </c:pt>
                <c:pt idx="164">
                  <c:v>111.46</c:v>
                </c:pt>
                <c:pt idx="165">
                  <c:v>114.72</c:v>
                </c:pt>
                <c:pt idx="166">
                  <c:v>115.59</c:v>
                </c:pt>
                <c:pt idx="167">
                  <c:v>115.71</c:v>
                </c:pt>
                <c:pt idx="168">
                  <c:v>113.97</c:v>
                </c:pt>
                <c:pt idx="169">
                  <c:v>107.48</c:v>
                </c:pt>
                <c:pt idx="170">
                  <c:v>105.93</c:v>
                </c:pt>
                <c:pt idx="171">
                  <c:v>106.29</c:v>
                </c:pt>
                <c:pt idx="172">
                  <c:v>105.88</c:v>
                </c:pt>
                <c:pt idx="173">
                  <c:v>105.96</c:v>
                </c:pt>
                <c:pt idx="174">
                  <c:v>106.18</c:v>
                </c:pt>
                <c:pt idx="175">
                  <c:v>106.58</c:v>
                </c:pt>
                <c:pt idx="176">
                  <c:v>109.35</c:v>
                </c:pt>
                <c:pt idx="177">
                  <c:v>109.29</c:v>
                </c:pt>
                <c:pt idx="178">
                  <c:v>108.99</c:v>
                </c:pt>
                <c:pt idx="179">
                  <c:v>109.84</c:v>
                </c:pt>
                <c:pt idx="180">
                  <c:v>110.27</c:v>
                </c:pt>
                <c:pt idx="181">
                  <c:v>110.66</c:v>
                </c:pt>
                <c:pt idx="182">
                  <c:v>111.15</c:v>
                </c:pt>
                <c:pt idx="183">
                  <c:v>110.46</c:v>
                </c:pt>
                <c:pt idx="184">
                  <c:v>110.87</c:v>
                </c:pt>
                <c:pt idx="185">
                  <c:v>113.25</c:v>
                </c:pt>
                <c:pt idx="186">
                  <c:v>111.96</c:v>
                </c:pt>
                <c:pt idx="187">
                  <c:v>112.19</c:v>
                </c:pt>
                <c:pt idx="188">
                  <c:v>113.64</c:v>
                </c:pt>
                <c:pt idx="189">
                  <c:v>113.76</c:v>
                </c:pt>
                <c:pt idx="190">
                  <c:v>113.69</c:v>
                </c:pt>
                <c:pt idx="191">
                  <c:v>114.21</c:v>
                </c:pt>
                <c:pt idx="192">
                  <c:v>114.27</c:v>
                </c:pt>
                <c:pt idx="193">
                  <c:v>114.65</c:v>
                </c:pt>
                <c:pt idx="194">
                  <c:v>114.16</c:v>
                </c:pt>
                <c:pt idx="195">
                  <c:v>113.8</c:v>
                </c:pt>
                <c:pt idx="196">
                  <c:v>114.84</c:v>
                </c:pt>
                <c:pt idx="197">
                  <c:v>114.74</c:v>
                </c:pt>
                <c:pt idx="198">
                  <c:v>115.02</c:v>
                </c:pt>
                <c:pt idx="199">
                  <c:v>115.36</c:v>
                </c:pt>
                <c:pt idx="200">
                  <c:v>115.18</c:v>
                </c:pt>
                <c:pt idx="201">
                  <c:v>115.48</c:v>
                </c:pt>
                <c:pt idx="202">
                  <c:v>116.87</c:v>
                </c:pt>
                <c:pt idx="203">
                  <c:v>116.84</c:v>
                </c:pt>
                <c:pt idx="204">
                  <c:v>115.72</c:v>
                </c:pt>
                <c:pt idx="205">
                  <c:v>115</c:v>
                </c:pt>
                <c:pt idx="206">
                  <c:v>115.91</c:v>
                </c:pt>
                <c:pt idx="207">
                  <c:v>115.08</c:v>
                </c:pt>
                <c:pt idx="208">
                  <c:v>115.81</c:v>
                </c:pt>
                <c:pt idx="209">
                  <c:v>115.74</c:v>
                </c:pt>
                <c:pt idx="210">
                  <c:v>116.09</c:v>
                </c:pt>
                <c:pt idx="211">
                  <c:v>117.39</c:v>
                </c:pt>
                <c:pt idx="212">
                  <c:v>117.01</c:v>
                </c:pt>
                <c:pt idx="213">
                  <c:v>116.35</c:v>
                </c:pt>
                <c:pt idx="214">
                  <c:v>116.7</c:v>
                </c:pt>
                <c:pt idx="215">
                  <c:v>116.25</c:v>
                </c:pt>
                <c:pt idx="216">
                  <c:v>114.4</c:v>
                </c:pt>
                <c:pt idx="217">
                  <c:v>114.15</c:v>
                </c:pt>
                <c:pt idx="218">
                  <c:v>113.14</c:v>
                </c:pt>
                <c:pt idx="219">
                  <c:v>114.82</c:v>
                </c:pt>
                <c:pt idx="220">
                  <c:v>113.63</c:v>
                </c:pt>
                <c:pt idx="221">
                  <c:v>114.62</c:v>
                </c:pt>
                <c:pt idx="222">
                  <c:v>113.3</c:v>
                </c:pt>
                <c:pt idx="223">
                  <c:v>113.15</c:v>
                </c:pt>
                <c:pt idx="224">
                  <c:v>113.79</c:v>
                </c:pt>
                <c:pt idx="225">
                  <c:v>113.49</c:v>
                </c:pt>
                <c:pt idx="226">
                  <c:v>113.67</c:v>
                </c:pt>
                <c:pt idx="227">
                  <c:v>113.87</c:v>
                </c:pt>
                <c:pt idx="228">
                  <c:v>114.44</c:v>
                </c:pt>
                <c:pt idx="229">
                  <c:v>114.88</c:v>
                </c:pt>
                <c:pt idx="230">
                  <c:v>118.08</c:v>
                </c:pt>
                <c:pt idx="231">
                  <c:v>116.79</c:v>
                </c:pt>
                <c:pt idx="232">
                  <c:v>116.71</c:v>
                </c:pt>
                <c:pt idx="233">
                  <c:v>116.95</c:v>
                </c:pt>
                <c:pt idx="234">
                  <c:v>117.84</c:v>
                </c:pt>
                <c:pt idx="235">
                  <c:v>119</c:v>
                </c:pt>
                <c:pt idx="236">
                  <c:v>119.4</c:v>
                </c:pt>
                <c:pt idx="237">
                  <c:v>119.88</c:v>
                </c:pt>
                <c:pt idx="238">
                  <c:v>120.05</c:v>
                </c:pt>
                <c:pt idx="239">
                  <c:v>120.85</c:v>
                </c:pt>
                <c:pt idx="240">
                  <c:v>120.33</c:v>
                </c:pt>
                <c:pt idx="241">
                  <c:v>122.67</c:v>
                </c:pt>
                <c:pt idx="242">
                  <c:v>123.19</c:v>
                </c:pt>
                <c:pt idx="243">
                  <c:v>123.26</c:v>
                </c:pt>
                <c:pt idx="244">
                  <c:v>123.48</c:v>
                </c:pt>
                <c:pt idx="245">
                  <c:v>123.78</c:v>
                </c:pt>
                <c:pt idx="246">
                  <c:v>123.7</c:v>
                </c:pt>
                <c:pt idx="247">
                  <c:v>123.61</c:v>
                </c:pt>
                <c:pt idx="248">
                  <c:v>124.04</c:v>
                </c:pt>
                <c:pt idx="249">
                  <c:v>124.57</c:v>
                </c:pt>
                <c:pt idx="250">
                  <c:v>124.03</c:v>
                </c:pt>
                <c:pt idx="251">
                  <c:v>124.6</c:v>
                </c:pt>
                <c:pt idx="252">
                  <c:v>126.43</c:v>
                </c:pt>
                <c:pt idx="253">
                  <c:v>126.83</c:v>
                </c:pt>
                <c:pt idx="254">
                  <c:v>127.92</c:v>
                </c:pt>
                <c:pt idx="255">
                  <c:v>129.13</c:v>
                </c:pt>
                <c:pt idx="256">
                  <c:v>130.54</c:v>
                </c:pt>
                <c:pt idx="257">
                  <c:v>131.16</c:v>
                </c:pt>
                <c:pt idx="258">
                  <c:v>131.24</c:v>
                </c:pt>
                <c:pt idx="259">
                  <c:v>132.79</c:v>
                </c:pt>
                <c:pt idx="260">
                  <c:v>130.25</c:v>
                </c:pt>
                <c:pt idx="261">
                  <c:v>130.69</c:v>
                </c:pt>
                <c:pt idx="262">
                  <c:v>130.88</c:v>
                </c:pt>
                <c:pt idx="263">
                  <c:v>132.13</c:v>
                </c:pt>
                <c:pt idx="264">
                  <c:v>131.46</c:v>
                </c:pt>
                <c:pt idx="265">
                  <c:v>132.26</c:v>
                </c:pt>
                <c:pt idx="266">
                  <c:v>131.91999999999999</c:v>
                </c:pt>
                <c:pt idx="267">
                  <c:v>133.93</c:v>
                </c:pt>
                <c:pt idx="268">
                  <c:v>134.15</c:v>
                </c:pt>
                <c:pt idx="269">
                  <c:v>132.88</c:v>
                </c:pt>
                <c:pt idx="270">
                  <c:v>132.71</c:v>
                </c:pt>
                <c:pt idx="271">
                  <c:v>134.18</c:v>
                </c:pt>
                <c:pt idx="272">
                  <c:v>134.47999999999999</c:v>
                </c:pt>
                <c:pt idx="273">
                  <c:v>130.88</c:v>
                </c:pt>
                <c:pt idx="274">
                  <c:v>123.71</c:v>
                </c:pt>
                <c:pt idx="275">
                  <c:v>126.21</c:v>
                </c:pt>
                <c:pt idx="276">
                  <c:v>128.31</c:v>
                </c:pt>
                <c:pt idx="277">
                  <c:v>123.94</c:v>
                </c:pt>
                <c:pt idx="278">
                  <c:v>121.56</c:v>
                </c:pt>
                <c:pt idx="279">
                  <c:v>123.85</c:v>
                </c:pt>
                <c:pt idx="280">
                  <c:v>122.28</c:v>
                </c:pt>
                <c:pt idx="281">
                  <c:v>123.18</c:v>
                </c:pt>
                <c:pt idx="282">
                  <c:v>127.1</c:v>
                </c:pt>
                <c:pt idx="283">
                  <c:v>126.37</c:v>
                </c:pt>
                <c:pt idx="284">
                  <c:v>123.63</c:v>
                </c:pt>
                <c:pt idx="285">
                  <c:v>126.37</c:v>
                </c:pt>
                <c:pt idx="286">
                  <c:v>130.6</c:v>
                </c:pt>
                <c:pt idx="287">
                  <c:v>130.18</c:v>
                </c:pt>
                <c:pt idx="288">
                  <c:v>132.44</c:v>
                </c:pt>
                <c:pt idx="289">
                  <c:v>130.91999999999999</c:v>
                </c:pt>
                <c:pt idx="290">
                  <c:v>131.72999999999999</c:v>
                </c:pt>
                <c:pt idx="291">
                  <c:v>127.39</c:v>
                </c:pt>
                <c:pt idx="292">
                  <c:v>127.04</c:v>
                </c:pt>
                <c:pt idx="293">
                  <c:v>128.77000000000001</c:v>
                </c:pt>
                <c:pt idx="294">
                  <c:v>128.66999999999999</c:v>
                </c:pt>
                <c:pt idx="295">
                  <c:v>128</c:v>
                </c:pt>
                <c:pt idx="296">
                  <c:v>128.33000000000001</c:v>
                </c:pt>
                <c:pt idx="297">
                  <c:v>131.07</c:v>
                </c:pt>
                <c:pt idx="298">
                  <c:v>128.56</c:v>
                </c:pt>
                <c:pt idx="299">
                  <c:v>127.24</c:v>
                </c:pt>
                <c:pt idx="300">
                  <c:v>126.68</c:v>
                </c:pt>
                <c:pt idx="301">
                  <c:v>126.36</c:v>
                </c:pt>
                <c:pt idx="302">
                  <c:v>125.46</c:v>
                </c:pt>
                <c:pt idx="303">
                  <c:v>124.36</c:v>
                </c:pt>
                <c:pt idx="304">
                  <c:v>124.32</c:v>
                </c:pt>
                <c:pt idx="305">
                  <c:v>124.16</c:v>
                </c:pt>
                <c:pt idx="306">
                  <c:v>121.3</c:v>
                </c:pt>
                <c:pt idx="307">
                  <c:v>119.58</c:v>
                </c:pt>
                <c:pt idx="308">
                  <c:v>123.81</c:v>
                </c:pt>
                <c:pt idx="309">
                  <c:v>122.48</c:v>
                </c:pt>
                <c:pt idx="310">
                  <c:v>121.67</c:v>
                </c:pt>
                <c:pt idx="311">
                  <c:v>123.01</c:v>
                </c:pt>
                <c:pt idx="312">
                  <c:v>120.72</c:v>
                </c:pt>
                <c:pt idx="313">
                  <c:v>122.12</c:v>
                </c:pt>
                <c:pt idx="314">
                  <c:v>122.96</c:v>
                </c:pt>
                <c:pt idx="315">
                  <c:v>122.95</c:v>
                </c:pt>
                <c:pt idx="316">
                  <c:v>120.02</c:v>
                </c:pt>
                <c:pt idx="317">
                  <c:v>119.49</c:v>
                </c:pt>
                <c:pt idx="318">
                  <c:v>120.21</c:v>
                </c:pt>
                <c:pt idx="319">
                  <c:v>119.71</c:v>
                </c:pt>
                <c:pt idx="320">
                  <c:v>120.5</c:v>
                </c:pt>
                <c:pt idx="321">
                  <c:v>119.97</c:v>
                </c:pt>
                <c:pt idx="322">
                  <c:v>121.04</c:v>
                </c:pt>
                <c:pt idx="323">
                  <c:v>121.75</c:v>
                </c:pt>
                <c:pt idx="324">
                  <c:v>122.01</c:v>
                </c:pt>
                <c:pt idx="325">
                  <c:v>121.08</c:v>
                </c:pt>
                <c:pt idx="326">
                  <c:v>120.33</c:v>
                </c:pt>
                <c:pt idx="327">
                  <c:v>120.7</c:v>
                </c:pt>
                <c:pt idx="328">
                  <c:v>119.37</c:v>
                </c:pt>
                <c:pt idx="329">
                  <c:v>118.74</c:v>
                </c:pt>
                <c:pt idx="330">
                  <c:v>120.08</c:v>
                </c:pt>
                <c:pt idx="331">
                  <c:v>119.72</c:v>
                </c:pt>
                <c:pt idx="332">
                  <c:v>117.47</c:v>
                </c:pt>
                <c:pt idx="333">
                  <c:v>116.3</c:v>
                </c:pt>
                <c:pt idx="334">
                  <c:v>115.85</c:v>
                </c:pt>
                <c:pt idx="335">
                  <c:v>115.07</c:v>
                </c:pt>
                <c:pt idx="336">
                  <c:v>116.84</c:v>
                </c:pt>
                <c:pt idx="337">
                  <c:v>118.19</c:v>
                </c:pt>
                <c:pt idx="338">
                  <c:v>119.07</c:v>
                </c:pt>
                <c:pt idx="339">
                  <c:v>120.36</c:v>
                </c:pt>
                <c:pt idx="340">
                  <c:v>121.33</c:v>
                </c:pt>
                <c:pt idx="341">
                  <c:v>121.7</c:v>
                </c:pt>
                <c:pt idx="342">
                  <c:v>122.19</c:v>
                </c:pt>
                <c:pt idx="343">
                  <c:v>121.77</c:v>
                </c:pt>
                <c:pt idx="344">
                  <c:v>121.99</c:v>
                </c:pt>
                <c:pt idx="345">
                  <c:v>122.51</c:v>
                </c:pt>
                <c:pt idx="346">
                  <c:v>123.08</c:v>
                </c:pt>
                <c:pt idx="347">
                  <c:v>125.9</c:v>
                </c:pt>
                <c:pt idx="348">
                  <c:v>125.72</c:v>
                </c:pt>
                <c:pt idx="349">
                  <c:v>125.43</c:v>
                </c:pt>
                <c:pt idx="350">
                  <c:v>125.26</c:v>
                </c:pt>
                <c:pt idx="351">
                  <c:v>124.89</c:v>
                </c:pt>
                <c:pt idx="352">
                  <c:v>123</c:v>
                </c:pt>
                <c:pt idx="353">
                  <c:v>124.08</c:v>
                </c:pt>
                <c:pt idx="354">
                  <c:v>122.72</c:v>
                </c:pt>
                <c:pt idx="355">
                  <c:v>123.69</c:v>
                </c:pt>
                <c:pt idx="356">
                  <c:v>124.16</c:v>
                </c:pt>
                <c:pt idx="357">
                  <c:v>123.83</c:v>
                </c:pt>
                <c:pt idx="358">
                  <c:v>124.69</c:v>
                </c:pt>
                <c:pt idx="359">
                  <c:v>125.43</c:v>
                </c:pt>
                <c:pt idx="360">
                  <c:v>125.46</c:v>
                </c:pt>
                <c:pt idx="361">
                  <c:v>126.01</c:v>
                </c:pt>
                <c:pt idx="362">
                  <c:v>125.7</c:v>
                </c:pt>
                <c:pt idx="363">
                  <c:v>124.8</c:v>
                </c:pt>
                <c:pt idx="364">
                  <c:v>124.8</c:v>
                </c:pt>
                <c:pt idx="365">
                  <c:v>124.77</c:v>
                </c:pt>
                <c:pt idx="366">
                  <c:v>125.34</c:v>
                </c:pt>
                <c:pt idx="367">
                  <c:v>122.95</c:v>
                </c:pt>
                <c:pt idx="368">
                  <c:v>123.25</c:v>
                </c:pt>
                <c:pt idx="369">
                  <c:v>121.4</c:v>
                </c:pt>
                <c:pt idx="370">
                  <c:v>122.77</c:v>
                </c:pt>
                <c:pt idx="371">
                  <c:v>122.51</c:v>
                </c:pt>
                <c:pt idx="372">
                  <c:v>123.53</c:v>
                </c:pt>
                <c:pt idx="373">
                  <c:v>122.27</c:v>
                </c:pt>
                <c:pt idx="374">
                  <c:v>122.5</c:v>
                </c:pt>
                <c:pt idx="375">
                  <c:v>122.93</c:v>
                </c:pt>
                <c:pt idx="376">
                  <c:v>122.93</c:v>
                </c:pt>
                <c:pt idx="377">
                  <c:v>122.82</c:v>
                </c:pt>
                <c:pt idx="378">
                  <c:v>122.85</c:v>
                </c:pt>
                <c:pt idx="379">
                  <c:v>123.29</c:v>
                </c:pt>
                <c:pt idx="380">
                  <c:v>124.55</c:v>
                </c:pt>
                <c:pt idx="381">
                  <c:v>124.92</c:v>
                </c:pt>
                <c:pt idx="382">
                  <c:v>122.78</c:v>
                </c:pt>
                <c:pt idx="383">
                  <c:v>125.21</c:v>
                </c:pt>
                <c:pt idx="384">
                  <c:v>127.33</c:v>
                </c:pt>
                <c:pt idx="385">
                  <c:v>126.81</c:v>
                </c:pt>
                <c:pt idx="386">
                  <c:v>128.51</c:v>
                </c:pt>
                <c:pt idx="387">
                  <c:v>129.47</c:v>
                </c:pt>
                <c:pt idx="388">
                  <c:v>128.16999999999999</c:v>
                </c:pt>
                <c:pt idx="389">
                  <c:v>128.07</c:v>
                </c:pt>
                <c:pt idx="390">
                  <c:v>127.19</c:v>
                </c:pt>
                <c:pt idx="391">
                  <c:v>131.97999999999999</c:v>
                </c:pt>
                <c:pt idx="392">
                  <c:v>132.47999999999999</c:v>
                </c:pt>
                <c:pt idx="393">
                  <c:v>133.55000000000001</c:v>
                </c:pt>
                <c:pt idx="394">
                  <c:v>132.27000000000001</c:v>
                </c:pt>
                <c:pt idx="395">
                  <c:v>130.86000000000001</c:v>
                </c:pt>
                <c:pt idx="396">
                  <c:v>133.46</c:v>
                </c:pt>
                <c:pt idx="397">
                  <c:v>132.63</c:v>
                </c:pt>
                <c:pt idx="398">
                  <c:v>131.86000000000001</c:v>
                </c:pt>
                <c:pt idx="399">
                  <c:v>131.63999999999999</c:v>
                </c:pt>
                <c:pt idx="400">
                  <c:v>131.69</c:v>
                </c:pt>
                <c:pt idx="401">
                  <c:v>132.22999999999999</c:v>
                </c:pt>
                <c:pt idx="402">
                  <c:v>132.44</c:v>
                </c:pt>
                <c:pt idx="403">
                  <c:v>131.97999999999999</c:v>
                </c:pt>
                <c:pt idx="404">
                  <c:v>130.86000000000001</c:v>
                </c:pt>
                <c:pt idx="405">
                  <c:v>129.96</c:v>
                </c:pt>
                <c:pt idx="406">
                  <c:v>130.19</c:v>
                </c:pt>
                <c:pt idx="407">
                  <c:v>129.53</c:v>
                </c:pt>
                <c:pt idx="408">
                  <c:v>131.77000000000001</c:v>
                </c:pt>
                <c:pt idx="409">
                  <c:v>132.88</c:v>
                </c:pt>
                <c:pt idx="410">
                  <c:v>133.58000000000001</c:v>
                </c:pt>
                <c:pt idx="411">
                  <c:v>134.41</c:v>
                </c:pt>
                <c:pt idx="412">
                  <c:v>131.69999999999999</c:v>
                </c:pt>
                <c:pt idx="413">
                  <c:v>131.08000000000001</c:v>
                </c:pt>
                <c:pt idx="414">
                  <c:v>131.82</c:v>
                </c:pt>
                <c:pt idx="415">
                  <c:v>133.79</c:v>
                </c:pt>
                <c:pt idx="416">
                  <c:v>132.94</c:v>
                </c:pt>
                <c:pt idx="417">
                  <c:v>132.07</c:v>
                </c:pt>
                <c:pt idx="418">
                  <c:v>131.06</c:v>
                </c:pt>
                <c:pt idx="419">
                  <c:v>130.18</c:v>
                </c:pt>
                <c:pt idx="420">
                  <c:v>130.37</c:v>
                </c:pt>
                <c:pt idx="421">
                  <c:v>131.24</c:v>
                </c:pt>
                <c:pt idx="422">
                  <c:v>131.97</c:v>
                </c:pt>
                <c:pt idx="423">
                  <c:v>130.47999999999999</c:v>
                </c:pt>
                <c:pt idx="424">
                  <c:v>132.1</c:v>
                </c:pt>
                <c:pt idx="425">
                  <c:v>132.06</c:v>
                </c:pt>
                <c:pt idx="426">
                  <c:v>132.34</c:v>
                </c:pt>
                <c:pt idx="427">
                  <c:v>133.94999999999999</c:v>
                </c:pt>
                <c:pt idx="428">
                  <c:v>136.19999999999999</c:v>
                </c:pt>
                <c:pt idx="429">
                  <c:v>136.16999999999999</c:v>
                </c:pt>
                <c:pt idx="430">
                  <c:v>137.96</c:v>
                </c:pt>
                <c:pt idx="431">
                  <c:v>138.87</c:v>
                </c:pt>
                <c:pt idx="432">
                  <c:v>140.21</c:v>
                </c:pt>
                <c:pt idx="433">
                  <c:v>140.44</c:v>
                </c:pt>
                <c:pt idx="434">
                  <c:v>138.72</c:v>
                </c:pt>
                <c:pt idx="435">
                  <c:v>138.09</c:v>
                </c:pt>
                <c:pt idx="436">
                  <c:v>137.94</c:v>
                </c:pt>
                <c:pt idx="437">
                  <c:v>138.06</c:v>
                </c:pt>
                <c:pt idx="438">
                  <c:v>138.19</c:v>
                </c:pt>
                <c:pt idx="439">
                  <c:v>139.29</c:v>
                </c:pt>
                <c:pt idx="440">
                  <c:v>139.81</c:v>
                </c:pt>
                <c:pt idx="441">
                  <c:v>139.38999999999999</c:v>
                </c:pt>
                <c:pt idx="442">
                  <c:v>138.76</c:v>
                </c:pt>
                <c:pt idx="443">
                  <c:v>137.44999999999999</c:v>
                </c:pt>
                <c:pt idx="444">
                  <c:v>137.97</c:v>
                </c:pt>
                <c:pt idx="445">
                  <c:v>134.31</c:v>
                </c:pt>
                <c:pt idx="446">
                  <c:v>129.6</c:v>
                </c:pt>
                <c:pt idx="447">
                  <c:v>127.87</c:v>
                </c:pt>
                <c:pt idx="448">
                  <c:v>128.13</c:v>
                </c:pt>
                <c:pt idx="449">
                  <c:v>128.82</c:v>
                </c:pt>
                <c:pt idx="450">
                  <c:v>130.97999999999999</c:v>
                </c:pt>
                <c:pt idx="451">
                  <c:v>128.56</c:v>
                </c:pt>
                <c:pt idx="452">
                  <c:v>127.45</c:v>
                </c:pt>
                <c:pt idx="453">
                  <c:v>127.19</c:v>
                </c:pt>
                <c:pt idx="454">
                  <c:v>124.94</c:v>
                </c:pt>
                <c:pt idx="455">
                  <c:v>128.51</c:v>
                </c:pt>
                <c:pt idx="456">
                  <c:v>120.66</c:v>
                </c:pt>
                <c:pt idx="457">
                  <c:v>122.96</c:v>
                </c:pt>
                <c:pt idx="458">
                  <c:v>121.8</c:v>
                </c:pt>
                <c:pt idx="459">
                  <c:v>119.69</c:v>
                </c:pt>
                <c:pt idx="460">
                  <c:v>121.2</c:v>
                </c:pt>
                <c:pt idx="461">
                  <c:v>122.77</c:v>
                </c:pt>
                <c:pt idx="462">
                  <c:v>126.1</c:v>
                </c:pt>
                <c:pt idx="463">
                  <c:v>125.95</c:v>
                </c:pt>
                <c:pt idx="464">
                  <c:v>125.78</c:v>
                </c:pt>
                <c:pt idx="465">
                  <c:v>126.46</c:v>
                </c:pt>
                <c:pt idx="466">
                  <c:v>129.04</c:v>
                </c:pt>
                <c:pt idx="467">
                  <c:v>129.82</c:v>
                </c:pt>
                <c:pt idx="468">
                  <c:v>129.19999999999999</c:v>
                </c:pt>
                <c:pt idx="469">
                  <c:v>126.81</c:v>
                </c:pt>
                <c:pt idx="470">
                  <c:v>127.63</c:v>
                </c:pt>
                <c:pt idx="471">
                  <c:v>127.4</c:v>
                </c:pt>
                <c:pt idx="472">
                  <c:v>128.96</c:v>
                </c:pt>
                <c:pt idx="473">
                  <c:v>129.36000000000001</c:v>
                </c:pt>
                <c:pt idx="474">
                  <c:v>127.09</c:v>
                </c:pt>
                <c:pt idx="475">
                  <c:v>125.26</c:v>
                </c:pt>
                <c:pt idx="476">
                  <c:v>124.97</c:v>
                </c:pt>
                <c:pt idx="477">
                  <c:v>128.28</c:v>
                </c:pt>
                <c:pt idx="478">
                  <c:v>127.22</c:v>
                </c:pt>
                <c:pt idx="479">
                  <c:v>121.96</c:v>
                </c:pt>
                <c:pt idx="480">
                  <c:v>122.01</c:v>
                </c:pt>
                <c:pt idx="481">
                  <c:v>120.48</c:v>
                </c:pt>
                <c:pt idx="482">
                  <c:v>121.12</c:v>
                </c:pt>
                <c:pt idx="483">
                  <c:v>122.87</c:v>
                </c:pt>
                <c:pt idx="484">
                  <c:v>120.16</c:v>
                </c:pt>
                <c:pt idx="485">
                  <c:v>120.73</c:v>
                </c:pt>
                <c:pt idx="486">
                  <c:v>118.74</c:v>
                </c:pt>
                <c:pt idx="487">
                  <c:v>118.7</c:v>
                </c:pt>
                <c:pt idx="488">
                  <c:v>118.23</c:v>
                </c:pt>
                <c:pt idx="489">
                  <c:v>118.95</c:v>
                </c:pt>
                <c:pt idx="490">
                  <c:v>118.55</c:v>
                </c:pt>
                <c:pt idx="491">
                  <c:v>118.1</c:v>
                </c:pt>
                <c:pt idx="492">
                  <c:v>114.63</c:v>
                </c:pt>
                <c:pt idx="493">
                  <c:v>115.1</c:v>
                </c:pt>
                <c:pt idx="494">
                  <c:v>113.13</c:v>
                </c:pt>
                <c:pt idx="495">
                  <c:v>108.97</c:v>
                </c:pt>
                <c:pt idx="496">
                  <c:v>105.55</c:v>
                </c:pt>
                <c:pt idx="497">
                  <c:v>101.46</c:v>
                </c:pt>
                <c:pt idx="498">
                  <c:v>105.38</c:v>
                </c:pt>
                <c:pt idx="499">
                  <c:v>105.14</c:v>
                </c:pt>
                <c:pt idx="500">
                  <c:v>104.72</c:v>
                </c:pt>
                <c:pt idx="501">
                  <c:v>105.85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A88-4627-A9B5-13E947E20CD9}"/>
            </c:ext>
          </c:extLst>
        </c:ser>
        <c:ser>
          <c:idx val="25"/>
          <c:order val="25"/>
          <c:tx>
            <c:strRef>
              <c:f>wide_company_closes_reorder!$AA$1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wide_company_closes_reorder!$AA$2:$AA$503</c:f>
              <c:numCache>
                <c:formatCode>General</c:formatCode>
                <c:ptCount val="502"/>
                <c:pt idx="0">
                  <c:v>78.28</c:v>
                </c:pt>
                <c:pt idx="1">
                  <c:v>78.92</c:v>
                </c:pt>
                <c:pt idx="2">
                  <c:v>79.849999999999994</c:v>
                </c:pt>
                <c:pt idx="3">
                  <c:v>80.95</c:v>
                </c:pt>
                <c:pt idx="4">
                  <c:v>80.5</c:v>
                </c:pt>
                <c:pt idx="5">
                  <c:v>80.06</c:v>
                </c:pt>
                <c:pt idx="6">
                  <c:v>80.55</c:v>
                </c:pt>
                <c:pt idx="7">
                  <c:v>80.12</c:v>
                </c:pt>
                <c:pt idx="8">
                  <c:v>79.930000000000007</c:v>
                </c:pt>
                <c:pt idx="9">
                  <c:v>80.02</c:v>
                </c:pt>
                <c:pt idx="10">
                  <c:v>80.34</c:v>
                </c:pt>
                <c:pt idx="11">
                  <c:v>80.48</c:v>
                </c:pt>
                <c:pt idx="12">
                  <c:v>80.59</c:v>
                </c:pt>
                <c:pt idx="13">
                  <c:v>80.89</c:v>
                </c:pt>
                <c:pt idx="14">
                  <c:v>81.95</c:v>
                </c:pt>
                <c:pt idx="15">
                  <c:v>82.61</c:v>
                </c:pt>
                <c:pt idx="16">
                  <c:v>81.96</c:v>
                </c:pt>
                <c:pt idx="17">
                  <c:v>82.49</c:v>
                </c:pt>
                <c:pt idx="18">
                  <c:v>82.42</c:v>
                </c:pt>
                <c:pt idx="19">
                  <c:v>81.44</c:v>
                </c:pt>
                <c:pt idx="20">
                  <c:v>81.180000000000007</c:v>
                </c:pt>
                <c:pt idx="21">
                  <c:v>81.040000000000006</c:v>
                </c:pt>
                <c:pt idx="22">
                  <c:v>84.76</c:v>
                </c:pt>
                <c:pt idx="23">
                  <c:v>84.52</c:v>
                </c:pt>
                <c:pt idx="24">
                  <c:v>84.47</c:v>
                </c:pt>
                <c:pt idx="25">
                  <c:v>83.79</c:v>
                </c:pt>
                <c:pt idx="26">
                  <c:v>84.27</c:v>
                </c:pt>
                <c:pt idx="27">
                  <c:v>84.58</c:v>
                </c:pt>
                <c:pt idx="28">
                  <c:v>85.12</c:v>
                </c:pt>
                <c:pt idx="29">
                  <c:v>85.52</c:v>
                </c:pt>
                <c:pt idx="30">
                  <c:v>86.36</c:v>
                </c:pt>
                <c:pt idx="31">
                  <c:v>86.23</c:v>
                </c:pt>
                <c:pt idx="32">
                  <c:v>86.28</c:v>
                </c:pt>
                <c:pt idx="33">
                  <c:v>86.74</c:v>
                </c:pt>
                <c:pt idx="34">
                  <c:v>86.62</c:v>
                </c:pt>
                <c:pt idx="35">
                  <c:v>86.99</c:v>
                </c:pt>
                <c:pt idx="36">
                  <c:v>87.24</c:v>
                </c:pt>
                <c:pt idx="37">
                  <c:v>86.82</c:v>
                </c:pt>
                <c:pt idx="38">
                  <c:v>86.76</c:v>
                </c:pt>
                <c:pt idx="39">
                  <c:v>87.79</c:v>
                </c:pt>
                <c:pt idx="40">
                  <c:v>87.34</c:v>
                </c:pt>
                <c:pt idx="41">
                  <c:v>87.6</c:v>
                </c:pt>
                <c:pt idx="42">
                  <c:v>87.74</c:v>
                </c:pt>
                <c:pt idx="43">
                  <c:v>87.86</c:v>
                </c:pt>
                <c:pt idx="44">
                  <c:v>87.76</c:v>
                </c:pt>
                <c:pt idx="45">
                  <c:v>87.91</c:v>
                </c:pt>
                <c:pt idx="46">
                  <c:v>88.52</c:v>
                </c:pt>
                <c:pt idx="47">
                  <c:v>88.9</c:v>
                </c:pt>
                <c:pt idx="48">
                  <c:v>88.35</c:v>
                </c:pt>
                <c:pt idx="49">
                  <c:v>88.71</c:v>
                </c:pt>
                <c:pt idx="50">
                  <c:v>88.83</c:v>
                </c:pt>
                <c:pt idx="51">
                  <c:v>89.03</c:v>
                </c:pt>
                <c:pt idx="52">
                  <c:v>87.98</c:v>
                </c:pt>
                <c:pt idx="53">
                  <c:v>86.88</c:v>
                </c:pt>
                <c:pt idx="54">
                  <c:v>87.33</c:v>
                </c:pt>
                <c:pt idx="55">
                  <c:v>87.67</c:v>
                </c:pt>
                <c:pt idx="56">
                  <c:v>87.99</c:v>
                </c:pt>
                <c:pt idx="57">
                  <c:v>87.75</c:v>
                </c:pt>
                <c:pt idx="58">
                  <c:v>87.92</c:v>
                </c:pt>
                <c:pt idx="59">
                  <c:v>87.98</c:v>
                </c:pt>
                <c:pt idx="60">
                  <c:v>87.81</c:v>
                </c:pt>
                <c:pt idx="61">
                  <c:v>87.68</c:v>
                </c:pt>
                <c:pt idx="62">
                  <c:v>88.16</c:v>
                </c:pt>
                <c:pt idx="63">
                  <c:v>87.59</c:v>
                </c:pt>
                <c:pt idx="64">
                  <c:v>87.83</c:v>
                </c:pt>
                <c:pt idx="65">
                  <c:v>87.89</c:v>
                </c:pt>
                <c:pt idx="66">
                  <c:v>87.55</c:v>
                </c:pt>
                <c:pt idx="67">
                  <c:v>87.67</c:v>
                </c:pt>
                <c:pt idx="68">
                  <c:v>87.66</c:v>
                </c:pt>
                <c:pt idx="69">
                  <c:v>87.49</c:v>
                </c:pt>
                <c:pt idx="70">
                  <c:v>87.68</c:v>
                </c:pt>
                <c:pt idx="71">
                  <c:v>88.6</c:v>
                </c:pt>
                <c:pt idx="72">
                  <c:v>88.52</c:v>
                </c:pt>
                <c:pt idx="73">
                  <c:v>88.54</c:v>
                </c:pt>
                <c:pt idx="74">
                  <c:v>89.92</c:v>
                </c:pt>
                <c:pt idx="75">
                  <c:v>89.92</c:v>
                </c:pt>
                <c:pt idx="76">
                  <c:v>90.62</c:v>
                </c:pt>
                <c:pt idx="77">
                  <c:v>90.87</c:v>
                </c:pt>
                <c:pt idx="78">
                  <c:v>90.59</c:v>
                </c:pt>
                <c:pt idx="79">
                  <c:v>90.37</c:v>
                </c:pt>
                <c:pt idx="80">
                  <c:v>89.99</c:v>
                </c:pt>
                <c:pt idx="81">
                  <c:v>90.03</c:v>
                </c:pt>
                <c:pt idx="82">
                  <c:v>91.3</c:v>
                </c:pt>
                <c:pt idx="83">
                  <c:v>91.2</c:v>
                </c:pt>
                <c:pt idx="84">
                  <c:v>91.37</c:v>
                </c:pt>
                <c:pt idx="85">
                  <c:v>90.85</c:v>
                </c:pt>
                <c:pt idx="86">
                  <c:v>90.68</c:v>
                </c:pt>
                <c:pt idx="87">
                  <c:v>90.76</c:v>
                </c:pt>
                <c:pt idx="88">
                  <c:v>91.01</c:v>
                </c:pt>
                <c:pt idx="89">
                  <c:v>90.86</c:v>
                </c:pt>
                <c:pt idx="90">
                  <c:v>91.48</c:v>
                </c:pt>
                <c:pt idx="91">
                  <c:v>91.98</c:v>
                </c:pt>
                <c:pt idx="92">
                  <c:v>91.9</c:v>
                </c:pt>
                <c:pt idx="93">
                  <c:v>90.69</c:v>
                </c:pt>
                <c:pt idx="94">
                  <c:v>90.64</c:v>
                </c:pt>
                <c:pt idx="95">
                  <c:v>91.4</c:v>
                </c:pt>
                <c:pt idx="96">
                  <c:v>92.22</c:v>
                </c:pt>
                <c:pt idx="97">
                  <c:v>92.76</c:v>
                </c:pt>
                <c:pt idx="98">
                  <c:v>93.7</c:v>
                </c:pt>
                <c:pt idx="99">
                  <c:v>93.93</c:v>
                </c:pt>
                <c:pt idx="100">
                  <c:v>93.56</c:v>
                </c:pt>
                <c:pt idx="101">
                  <c:v>93.61</c:v>
                </c:pt>
                <c:pt idx="102">
                  <c:v>94.12</c:v>
                </c:pt>
                <c:pt idx="103">
                  <c:v>94.28</c:v>
                </c:pt>
                <c:pt idx="104">
                  <c:v>95.03</c:v>
                </c:pt>
                <c:pt idx="105">
                  <c:v>95.42</c:v>
                </c:pt>
                <c:pt idx="106">
                  <c:v>94.67</c:v>
                </c:pt>
                <c:pt idx="107">
                  <c:v>94.97</c:v>
                </c:pt>
                <c:pt idx="108">
                  <c:v>94.97</c:v>
                </c:pt>
                <c:pt idx="109">
                  <c:v>93.45</c:v>
                </c:pt>
                <c:pt idx="110">
                  <c:v>92.41</c:v>
                </c:pt>
                <c:pt idx="111">
                  <c:v>93.97</c:v>
                </c:pt>
                <c:pt idx="112">
                  <c:v>94.21</c:v>
                </c:pt>
                <c:pt idx="113">
                  <c:v>93.07</c:v>
                </c:pt>
                <c:pt idx="114">
                  <c:v>93.07</c:v>
                </c:pt>
                <c:pt idx="115">
                  <c:v>93.68</c:v>
                </c:pt>
                <c:pt idx="116">
                  <c:v>93.28</c:v>
                </c:pt>
                <c:pt idx="117">
                  <c:v>93.43</c:v>
                </c:pt>
                <c:pt idx="118">
                  <c:v>92.85</c:v>
                </c:pt>
                <c:pt idx="119">
                  <c:v>94.46</c:v>
                </c:pt>
                <c:pt idx="120">
                  <c:v>94.11</c:v>
                </c:pt>
                <c:pt idx="121">
                  <c:v>93.79</c:v>
                </c:pt>
                <c:pt idx="122">
                  <c:v>95.1</c:v>
                </c:pt>
                <c:pt idx="123">
                  <c:v>93.32</c:v>
                </c:pt>
                <c:pt idx="124">
                  <c:v>92.68</c:v>
                </c:pt>
                <c:pt idx="125">
                  <c:v>92.26</c:v>
                </c:pt>
                <c:pt idx="126">
                  <c:v>92.91</c:v>
                </c:pt>
                <c:pt idx="127">
                  <c:v>92.16</c:v>
                </c:pt>
                <c:pt idx="128">
                  <c:v>92.82</c:v>
                </c:pt>
                <c:pt idx="129">
                  <c:v>93.98</c:v>
                </c:pt>
                <c:pt idx="130">
                  <c:v>94.29</c:v>
                </c:pt>
                <c:pt idx="131">
                  <c:v>95.06</c:v>
                </c:pt>
                <c:pt idx="132">
                  <c:v>94.82</c:v>
                </c:pt>
                <c:pt idx="133">
                  <c:v>95.8</c:v>
                </c:pt>
                <c:pt idx="134">
                  <c:v>95.7</c:v>
                </c:pt>
                <c:pt idx="135">
                  <c:v>96.44</c:v>
                </c:pt>
                <c:pt idx="136">
                  <c:v>97.1</c:v>
                </c:pt>
                <c:pt idx="137">
                  <c:v>96.96</c:v>
                </c:pt>
                <c:pt idx="138">
                  <c:v>98.44</c:v>
                </c:pt>
                <c:pt idx="139">
                  <c:v>99.2</c:v>
                </c:pt>
                <c:pt idx="140">
                  <c:v>98.82</c:v>
                </c:pt>
                <c:pt idx="141">
                  <c:v>99.67</c:v>
                </c:pt>
                <c:pt idx="142">
                  <c:v>98.41</c:v>
                </c:pt>
                <c:pt idx="143">
                  <c:v>97.99</c:v>
                </c:pt>
                <c:pt idx="144">
                  <c:v>98.4</c:v>
                </c:pt>
                <c:pt idx="145">
                  <c:v>99.69</c:v>
                </c:pt>
                <c:pt idx="146">
                  <c:v>100.1</c:v>
                </c:pt>
                <c:pt idx="147">
                  <c:v>99.41</c:v>
                </c:pt>
                <c:pt idx="148">
                  <c:v>99.71</c:v>
                </c:pt>
                <c:pt idx="149">
                  <c:v>100.3</c:v>
                </c:pt>
                <c:pt idx="150">
                  <c:v>100.1</c:v>
                </c:pt>
                <c:pt idx="151">
                  <c:v>99.79</c:v>
                </c:pt>
                <c:pt idx="152">
                  <c:v>98.33</c:v>
                </c:pt>
                <c:pt idx="153">
                  <c:v>98.92</c:v>
                </c:pt>
                <c:pt idx="154">
                  <c:v>100.68</c:v>
                </c:pt>
                <c:pt idx="155">
                  <c:v>101.43</c:v>
                </c:pt>
                <c:pt idx="156">
                  <c:v>102.28</c:v>
                </c:pt>
                <c:pt idx="157">
                  <c:v>101.13</c:v>
                </c:pt>
                <c:pt idx="158">
                  <c:v>101.47</c:v>
                </c:pt>
                <c:pt idx="159">
                  <c:v>102.18</c:v>
                </c:pt>
                <c:pt idx="160">
                  <c:v>103.02</c:v>
                </c:pt>
                <c:pt idx="161">
                  <c:v>102.14</c:v>
                </c:pt>
                <c:pt idx="162">
                  <c:v>102.18</c:v>
                </c:pt>
                <c:pt idx="163">
                  <c:v>102.31</c:v>
                </c:pt>
                <c:pt idx="164">
                  <c:v>102.73</c:v>
                </c:pt>
                <c:pt idx="165">
                  <c:v>102.72</c:v>
                </c:pt>
                <c:pt idx="166">
                  <c:v>102.68</c:v>
                </c:pt>
                <c:pt idx="167">
                  <c:v>102.47</c:v>
                </c:pt>
                <c:pt idx="168">
                  <c:v>102.85</c:v>
                </c:pt>
                <c:pt idx="169">
                  <c:v>101.97</c:v>
                </c:pt>
                <c:pt idx="170">
                  <c:v>102.14</c:v>
                </c:pt>
                <c:pt idx="171">
                  <c:v>103.5</c:v>
                </c:pt>
                <c:pt idx="172">
                  <c:v>103.37</c:v>
                </c:pt>
                <c:pt idx="173">
                  <c:v>105.08</c:v>
                </c:pt>
                <c:pt idx="174">
                  <c:v>105.14</c:v>
                </c:pt>
                <c:pt idx="175">
                  <c:v>104.76</c:v>
                </c:pt>
                <c:pt idx="176">
                  <c:v>105.01</c:v>
                </c:pt>
                <c:pt idx="177">
                  <c:v>104.24</c:v>
                </c:pt>
                <c:pt idx="178">
                  <c:v>103.77</c:v>
                </c:pt>
                <c:pt idx="179">
                  <c:v>104.35</c:v>
                </c:pt>
                <c:pt idx="180">
                  <c:v>103.91</c:v>
                </c:pt>
                <c:pt idx="181">
                  <c:v>104.25</c:v>
                </c:pt>
                <c:pt idx="182">
                  <c:v>104.49</c:v>
                </c:pt>
                <c:pt idx="183">
                  <c:v>101.98</c:v>
                </c:pt>
                <c:pt idx="184">
                  <c:v>101.9</c:v>
                </c:pt>
                <c:pt idx="185">
                  <c:v>102.84</c:v>
                </c:pt>
                <c:pt idx="186">
                  <c:v>103.52</c:v>
                </c:pt>
                <c:pt idx="187">
                  <c:v>104.18</c:v>
                </c:pt>
                <c:pt idx="188">
                  <c:v>104.37</c:v>
                </c:pt>
                <c:pt idx="189">
                  <c:v>104.52</c:v>
                </c:pt>
                <c:pt idx="190">
                  <c:v>104.25</c:v>
                </c:pt>
                <c:pt idx="191">
                  <c:v>105.17</c:v>
                </c:pt>
                <c:pt idx="192">
                  <c:v>105.65</c:v>
                </c:pt>
                <c:pt idx="193">
                  <c:v>105.93</c:v>
                </c:pt>
                <c:pt idx="194">
                  <c:v>106.23</c:v>
                </c:pt>
                <c:pt idx="195">
                  <c:v>107.34</c:v>
                </c:pt>
                <c:pt idx="196">
                  <c:v>107.02</c:v>
                </c:pt>
                <c:pt idx="197">
                  <c:v>107.56</c:v>
                </c:pt>
                <c:pt idx="198">
                  <c:v>107.21</c:v>
                </c:pt>
                <c:pt idx="199">
                  <c:v>106.45</c:v>
                </c:pt>
                <c:pt idx="200">
                  <c:v>106.71</c:v>
                </c:pt>
                <c:pt idx="201">
                  <c:v>105.94</c:v>
                </c:pt>
                <c:pt idx="202">
                  <c:v>106.46</c:v>
                </c:pt>
                <c:pt idx="203">
                  <c:v>106.44</c:v>
                </c:pt>
                <c:pt idx="204">
                  <c:v>107.31</c:v>
                </c:pt>
                <c:pt idx="205">
                  <c:v>108.38</c:v>
                </c:pt>
                <c:pt idx="206">
                  <c:v>108.69</c:v>
                </c:pt>
                <c:pt idx="207">
                  <c:v>108.6</c:v>
                </c:pt>
                <c:pt idx="208">
                  <c:v>108.93</c:v>
                </c:pt>
                <c:pt idx="209">
                  <c:v>108.87</c:v>
                </c:pt>
                <c:pt idx="210">
                  <c:v>109.95</c:v>
                </c:pt>
                <c:pt idx="211">
                  <c:v>109.86</c:v>
                </c:pt>
                <c:pt idx="212">
                  <c:v>110.23</c:v>
                </c:pt>
                <c:pt idx="213">
                  <c:v>110.79</c:v>
                </c:pt>
                <c:pt idx="214">
                  <c:v>110.96</c:v>
                </c:pt>
                <c:pt idx="215">
                  <c:v>111.33</c:v>
                </c:pt>
                <c:pt idx="216">
                  <c:v>111.01</c:v>
                </c:pt>
                <c:pt idx="217">
                  <c:v>110.75</c:v>
                </c:pt>
                <c:pt idx="218">
                  <c:v>110.27</c:v>
                </c:pt>
                <c:pt idx="219">
                  <c:v>110.85</c:v>
                </c:pt>
                <c:pt idx="220">
                  <c:v>109.14</c:v>
                </c:pt>
                <c:pt idx="221">
                  <c:v>110.09</c:v>
                </c:pt>
                <c:pt idx="222">
                  <c:v>108.9</c:v>
                </c:pt>
                <c:pt idx="223">
                  <c:v>109.03</c:v>
                </c:pt>
                <c:pt idx="224">
                  <c:v>110.52</c:v>
                </c:pt>
                <c:pt idx="225">
                  <c:v>109.89</c:v>
                </c:pt>
                <c:pt idx="226">
                  <c:v>111.04</c:v>
                </c:pt>
                <c:pt idx="227">
                  <c:v>111.44</c:v>
                </c:pt>
                <c:pt idx="228">
                  <c:v>112.41</c:v>
                </c:pt>
                <c:pt idx="229">
                  <c:v>108.94</c:v>
                </c:pt>
                <c:pt idx="230">
                  <c:v>111.65</c:v>
                </c:pt>
                <c:pt idx="231">
                  <c:v>109.81</c:v>
                </c:pt>
                <c:pt idx="232">
                  <c:v>106.53</c:v>
                </c:pt>
                <c:pt idx="233">
                  <c:v>107.67</c:v>
                </c:pt>
                <c:pt idx="234">
                  <c:v>108.82</c:v>
                </c:pt>
                <c:pt idx="235">
                  <c:v>110.47</c:v>
                </c:pt>
                <c:pt idx="236">
                  <c:v>111.66</c:v>
                </c:pt>
                <c:pt idx="237">
                  <c:v>111.43</c:v>
                </c:pt>
                <c:pt idx="238">
                  <c:v>112.51</c:v>
                </c:pt>
                <c:pt idx="239">
                  <c:v>112.36</c:v>
                </c:pt>
                <c:pt idx="240">
                  <c:v>111.98</c:v>
                </c:pt>
                <c:pt idx="241">
                  <c:v>112.87</c:v>
                </c:pt>
                <c:pt idx="242">
                  <c:v>112.6</c:v>
                </c:pt>
                <c:pt idx="243">
                  <c:v>111.2</c:v>
                </c:pt>
                <c:pt idx="244">
                  <c:v>111.18</c:v>
                </c:pt>
                <c:pt idx="245">
                  <c:v>111.47</c:v>
                </c:pt>
                <c:pt idx="246">
                  <c:v>111.75</c:v>
                </c:pt>
                <c:pt idx="247">
                  <c:v>112.05</c:v>
                </c:pt>
                <c:pt idx="248">
                  <c:v>113.07</c:v>
                </c:pt>
                <c:pt idx="249">
                  <c:v>113.4</c:v>
                </c:pt>
                <c:pt idx="250">
                  <c:v>113.07</c:v>
                </c:pt>
                <c:pt idx="251">
                  <c:v>113.55</c:v>
                </c:pt>
                <c:pt idx="252">
                  <c:v>114.68</c:v>
                </c:pt>
                <c:pt idx="253">
                  <c:v>115.11</c:v>
                </c:pt>
                <c:pt idx="254">
                  <c:v>117.87</c:v>
                </c:pt>
                <c:pt idx="255">
                  <c:v>118.34</c:v>
                </c:pt>
                <c:pt idx="256">
                  <c:v>118.12</c:v>
                </c:pt>
                <c:pt idx="257">
                  <c:v>117.99</c:v>
                </c:pt>
                <c:pt idx="258">
                  <c:v>118.84</c:v>
                </c:pt>
                <c:pt idx="259">
                  <c:v>119.09</c:v>
                </c:pt>
                <c:pt idx="260">
                  <c:v>119.38</c:v>
                </c:pt>
                <c:pt idx="261">
                  <c:v>120.96</c:v>
                </c:pt>
                <c:pt idx="262">
                  <c:v>122.08</c:v>
                </c:pt>
                <c:pt idx="263">
                  <c:v>121.68</c:v>
                </c:pt>
                <c:pt idx="264">
                  <c:v>123.29</c:v>
                </c:pt>
                <c:pt idx="265">
                  <c:v>123.61</c:v>
                </c:pt>
                <c:pt idx="266">
                  <c:v>123.51</c:v>
                </c:pt>
                <c:pt idx="267">
                  <c:v>124.17</c:v>
                </c:pt>
                <c:pt idx="268">
                  <c:v>125.27</c:v>
                </c:pt>
                <c:pt idx="269">
                  <c:v>123.8</c:v>
                </c:pt>
                <c:pt idx="270">
                  <c:v>122.52</c:v>
                </c:pt>
                <c:pt idx="271">
                  <c:v>123.19</c:v>
                </c:pt>
                <c:pt idx="272">
                  <c:v>124.67</c:v>
                </c:pt>
                <c:pt idx="273">
                  <c:v>119.9</c:v>
                </c:pt>
                <c:pt idx="274">
                  <c:v>115.3</c:v>
                </c:pt>
                <c:pt idx="275">
                  <c:v>118.97</c:v>
                </c:pt>
                <c:pt idx="276">
                  <c:v>118.65</c:v>
                </c:pt>
                <c:pt idx="277">
                  <c:v>112.91</c:v>
                </c:pt>
                <c:pt idx="278">
                  <c:v>115.35</c:v>
                </c:pt>
                <c:pt idx="279">
                  <c:v>117.48</c:v>
                </c:pt>
                <c:pt idx="280">
                  <c:v>117.36</c:v>
                </c:pt>
                <c:pt idx="281">
                  <c:v>119.82</c:v>
                </c:pt>
                <c:pt idx="282">
                  <c:v>121.47</c:v>
                </c:pt>
                <c:pt idx="283">
                  <c:v>121.04</c:v>
                </c:pt>
                <c:pt idx="284">
                  <c:v>121.2</c:v>
                </c:pt>
                <c:pt idx="285">
                  <c:v>119.63</c:v>
                </c:pt>
                <c:pt idx="286">
                  <c:v>119.58</c:v>
                </c:pt>
                <c:pt idx="287">
                  <c:v>122.12</c:v>
                </c:pt>
                <c:pt idx="288">
                  <c:v>123.76</c:v>
                </c:pt>
                <c:pt idx="289">
                  <c:v>122.55</c:v>
                </c:pt>
                <c:pt idx="290">
                  <c:v>122.13</c:v>
                </c:pt>
                <c:pt idx="291">
                  <c:v>119.6</c:v>
                </c:pt>
                <c:pt idx="292">
                  <c:v>119.97</c:v>
                </c:pt>
                <c:pt idx="293">
                  <c:v>121.07</c:v>
                </c:pt>
                <c:pt idx="294">
                  <c:v>120.26</c:v>
                </c:pt>
                <c:pt idx="295">
                  <c:v>121.04</c:v>
                </c:pt>
                <c:pt idx="296">
                  <c:v>121.41</c:v>
                </c:pt>
                <c:pt idx="297">
                  <c:v>123.69</c:v>
                </c:pt>
                <c:pt idx="298">
                  <c:v>123.42</c:v>
                </c:pt>
                <c:pt idx="299">
                  <c:v>122.38</c:v>
                </c:pt>
                <c:pt idx="300">
                  <c:v>121.77</c:v>
                </c:pt>
                <c:pt idx="301">
                  <c:v>122.59</c:v>
                </c:pt>
                <c:pt idx="302">
                  <c:v>123.71</c:v>
                </c:pt>
                <c:pt idx="303">
                  <c:v>122.39</c:v>
                </c:pt>
                <c:pt idx="304">
                  <c:v>124.08</c:v>
                </c:pt>
                <c:pt idx="305">
                  <c:v>122.4</c:v>
                </c:pt>
                <c:pt idx="306">
                  <c:v>119.2</c:v>
                </c:pt>
                <c:pt idx="307">
                  <c:v>116.23</c:v>
                </c:pt>
                <c:pt idx="308">
                  <c:v>119.84</c:v>
                </c:pt>
                <c:pt idx="309">
                  <c:v>116.62</c:v>
                </c:pt>
                <c:pt idx="310">
                  <c:v>116.22</c:v>
                </c:pt>
                <c:pt idx="311">
                  <c:v>118.83</c:v>
                </c:pt>
                <c:pt idx="312">
                  <c:v>117.61</c:v>
                </c:pt>
                <c:pt idx="313">
                  <c:v>118.41</c:v>
                </c:pt>
                <c:pt idx="314">
                  <c:v>119.02</c:v>
                </c:pt>
                <c:pt idx="315">
                  <c:v>120.39</c:v>
                </c:pt>
                <c:pt idx="316">
                  <c:v>116.92</c:v>
                </c:pt>
                <c:pt idx="317">
                  <c:v>118</c:v>
                </c:pt>
                <c:pt idx="318">
                  <c:v>119.92</c:v>
                </c:pt>
                <c:pt idx="319">
                  <c:v>118.99</c:v>
                </c:pt>
                <c:pt idx="320">
                  <c:v>120.27</c:v>
                </c:pt>
                <c:pt idx="321">
                  <c:v>119.95</c:v>
                </c:pt>
                <c:pt idx="322">
                  <c:v>121.07</c:v>
                </c:pt>
                <c:pt idx="323">
                  <c:v>122.98</c:v>
                </c:pt>
                <c:pt idx="324">
                  <c:v>123.66</c:v>
                </c:pt>
                <c:pt idx="325">
                  <c:v>123.14</c:v>
                </c:pt>
                <c:pt idx="326">
                  <c:v>123.38</c:v>
                </c:pt>
                <c:pt idx="327">
                  <c:v>123.64</c:v>
                </c:pt>
                <c:pt idx="328">
                  <c:v>120.47</c:v>
                </c:pt>
                <c:pt idx="329">
                  <c:v>120.41</c:v>
                </c:pt>
                <c:pt idx="330">
                  <c:v>126.24</c:v>
                </c:pt>
                <c:pt idx="331">
                  <c:v>125.18</c:v>
                </c:pt>
                <c:pt idx="332">
                  <c:v>126.04</c:v>
                </c:pt>
                <c:pt idx="333">
                  <c:v>126.67</c:v>
                </c:pt>
                <c:pt idx="334">
                  <c:v>125.54</c:v>
                </c:pt>
                <c:pt idx="335">
                  <c:v>126.34</c:v>
                </c:pt>
                <c:pt idx="336">
                  <c:v>127.31</c:v>
                </c:pt>
                <c:pt idx="337">
                  <c:v>128.4</c:v>
                </c:pt>
                <c:pt idx="338">
                  <c:v>129.04</c:v>
                </c:pt>
                <c:pt idx="339">
                  <c:v>129.97</c:v>
                </c:pt>
                <c:pt idx="340">
                  <c:v>130.13</c:v>
                </c:pt>
                <c:pt idx="341">
                  <c:v>130.94999999999999</c:v>
                </c:pt>
                <c:pt idx="342">
                  <c:v>130.34</c:v>
                </c:pt>
                <c:pt idx="343">
                  <c:v>130.22999999999999</c:v>
                </c:pt>
                <c:pt idx="344">
                  <c:v>130.02000000000001</c:v>
                </c:pt>
                <c:pt idx="345">
                  <c:v>129.28</c:v>
                </c:pt>
                <c:pt idx="346">
                  <c:v>129.28</c:v>
                </c:pt>
                <c:pt idx="347">
                  <c:v>130</c:v>
                </c:pt>
                <c:pt idx="348">
                  <c:v>130.05000000000001</c:v>
                </c:pt>
                <c:pt idx="349">
                  <c:v>131.22</c:v>
                </c:pt>
                <c:pt idx="350">
                  <c:v>131.22999999999999</c:v>
                </c:pt>
                <c:pt idx="351">
                  <c:v>130.62</c:v>
                </c:pt>
                <c:pt idx="352">
                  <c:v>129.04</c:v>
                </c:pt>
                <c:pt idx="353">
                  <c:v>129.97999999999999</c:v>
                </c:pt>
                <c:pt idx="354">
                  <c:v>130.06</c:v>
                </c:pt>
                <c:pt idx="355">
                  <c:v>130.19</c:v>
                </c:pt>
                <c:pt idx="356">
                  <c:v>132.4</c:v>
                </c:pt>
                <c:pt idx="357">
                  <c:v>132.88999999999999</c:v>
                </c:pt>
                <c:pt idx="358">
                  <c:v>135.59</c:v>
                </c:pt>
                <c:pt idx="359">
                  <c:v>133.16999999999999</c:v>
                </c:pt>
                <c:pt idx="360">
                  <c:v>134.06</c:v>
                </c:pt>
                <c:pt idx="361">
                  <c:v>133.24</c:v>
                </c:pt>
                <c:pt idx="362">
                  <c:v>134.18</c:v>
                </c:pt>
                <c:pt idx="363">
                  <c:v>133.72</c:v>
                </c:pt>
                <c:pt idx="364">
                  <c:v>134.32</c:v>
                </c:pt>
                <c:pt idx="365">
                  <c:v>134.41999999999999</c:v>
                </c:pt>
                <c:pt idx="366">
                  <c:v>135.52000000000001</c:v>
                </c:pt>
                <c:pt idx="367">
                  <c:v>134.43</c:v>
                </c:pt>
                <c:pt idx="368">
                  <c:v>134.82</c:v>
                </c:pt>
                <c:pt idx="369">
                  <c:v>133.85</c:v>
                </c:pt>
                <c:pt idx="370">
                  <c:v>134.65</c:v>
                </c:pt>
                <c:pt idx="371">
                  <c:v>130.27000000000001</c:v>
                </c:pt>
                <c:pt idx="372">
                  <c:v>131.88</c:v>
                </c:pt>
                <c:pt idx="373">
                  <c:v>130.36000000000001</c:v>
                </c:pt>
                <c:pt idx="374">
                  <c:v>132.07</c:v>
                </c:pt>
                <c:pt idx="375">
                  <c:v>131.78</c:v>
                </c:pt>
                <c:pt idx="376">
                  <c:v>131.83000000000001</c:v>
                </c:pt>
                <c:pt idx="377">
                  <c:v>130.79</c:v>
                </c:pt>
                <c:pt idx="378">
                  <c:v>132.62</c:v>
                </c:pt>
                <c:pt idx="379">
                  <c:v>133.41999999999999</c:v>
                </c:pt>
                <c:pt idx="380">
                  <c:v>134.84</c:v>
                </c:pt>
                <c:pt idx="381">
                  <c:v>136</c:v>
                </c:pt>
                <c:pt idx="382">
                  <c:v>137.46</c:v>
                </c:pt>
                <c:pt idx="383">
                  <c:v>139.19999999999999</c:v>
                </c:pt>
                <c:pt idx="384">
                  <c:v>138.72</c:v>
                </c:pt>
                <c:pt idx="385">
                  <c:v>137.76</c:v>
                </c:pt>
                <c:pt idx="386">
                  <c:v>138.94</c:v>
                </c:pt>
                <c:pt idx="387">
                  <c:v>140.19</c:v>
                </c:pt>
                <c:pt idx="388">
                  <c:v>139.43</c:v>
                </c:pt>
                <c:pt idx="389">
                  <c:v>140.28</c:v>
                </c:pt>
                <c:pt idx="390">
                  <c:v>139.33000000000001</c:v>
                </c:pt>
                <c:pt idx="391">
                  <c:v>139.33000000000001</c:v>
                </c:pt>
                <c:pt idx="392">
                  <c:v>141.91999999999999</c:v>
                </c:pt>
                <c:pt idx="393">
                  <c:v>141.78</c:v>
                </c:pt>
                <c:pt idx="394">
                  <c:v>140</c:v>
                </c:pt>
                <c:pt idx="395">
                  <c:v>135.79</c:v>
                </c:pt>
                <c:pt idx="396">
                  <c:v>136.05000000000001</c:v>
                </c:pt>
                <c:pt idx="397">
                  <c:v>137.56</c:v>
                </c:pt>
                <c:pt idx="398">
                  <c:v>138.22</c:v>
                </c:pt>
                <c:pt idx="399">
                  <c:v>139.12</c:v>
                </c:pt>
                <c:pt idx="400">
                  <c:v>139.01</c:v>
                </c:pt>
                <c:pt idx="401">
                  <c:v>139.57</c:v>
                </c:pt>
                <c:pt idx="402">
                  <c:v>139.97</c:v>
                </c:pt>
                <c:pt idx="403">
                  <c:v>139.31</c:v>
                </c:pt>
                <c:pt idx="404">
                  <c:v>139.03</c:v>
                </c:pt>
                <c:pt idx="405">
                  <c:v>139.51</c:v>
                </c:pt>
                <c:pt idx="406">
                  <c:v>140.05000000000001</c:v>
                </c:pt>
                <c:pt idx="407">
                  <c:v>139.22</c:v>
                </c:pt>
                <c:pt idx="408">
                  <c:v>140.15</c:v>
                </c:pt>
                <c:pt idx="409">
                  <c:v>140.83000000000001</c:v>
                </c:pt>
                <c:pt idx="410">
                  <c:v>140.44</c:v>
                </c:pt>
                <c:pt idx="411">
                  <c:v>139.55000000000001</c:v>
                </c:pt>
                <c:pt idx="412">
                  <c:v>140.63999999999999</c:v>
                </c:pt>
                <c:pt idx="413">
                  <c:v>141.6</c:v>
                </c:pt>
                <c:pt idx="414">
                  <c:v>143.69</c:v>
                </c:pt>
                <c:pt idx="415">
                  <c:v>144.88999999999999</c:v>
                </c:pt>
                <c:pt idx="416">
                  <c:v>144.69</c:v>
                </c:pt>
                <c:pt idx="417">
                  <c:v>146.51</c:v>
                </c:pt>
                <c:pt idx="418">
                  <c:v>146.22</c:v>
                </c:pt>
                <c:pt idx="419">
                  <c:v>146.37</c:v>
                </c:pt>
                <c:pt idx="420">
                  <c:v>147.28</c:v>
                </c:pt>
                <c:pt idx="421">
                  <c:v>142.16999999999999</c:v>
                </c:pt>
                <c:pt idx="422">
                  <c:v>143.99</c:v>
                </c:pt>
                <c:pt idx="423">
                  <c:v>142.69</c:v>
                </c:pt>
                <c:pt idx="424">
                  <c:v>143.57</c:v>
                </c:pt>
                <c:pt idx="425">
                  <c:v>144.97999999999999</c:v>
                </c:pt>
                <c:pt idx="426">
                  <c:v>146.05000000000001</c:v>
                </c:pt>
                <c:pt idx="427">
                  <c:v>147.11000000000001</c:v>
                </c:pt>
                <c:pt idx="428">
                  <c:v>147.32</c:v>
                </c:pt>
                <c:pt idx="429">
                  <c:v>145.66</c:v>
                </c:pt>
                <c:pt idx="430">
                  <c:v>147.11000000000001</c:v>
                </c:pt>
                <c:pt idx="431">
                  <c:v>146.9</c:v>
                </c:pt>
                <c:pt idx="432">
                  <c:v>148.71</c:v>
                </c:pt>
                <c:pt idx="433">
                  <c:v>149.52000000000001</c:v>
                </c:pt>
                <c:pt idx="434">
                  <c:v>148.58000000000001</c:v>
                </c:pt>
                <c:pt idx="435">
                  <c:v>149.05000000000001</c:v>
                </c:pt>
                <c:pt idx="436">
                  <c:v>148.74</c:v>
                </c:pt>
                <c:pt idx="437">
                  <c:v>149.49</c:v>
                </c:pt>
                <c:pt idx="438">
                  <c:v>149.56</c:v>
                </c:pt>
                <c:pt idx="439">
                  <c:v>150.26</c:v>
                </c:pt>
                <c:pt idx="440">
                  <c:v>149.13999999999999</c:v>
                </c:pt>
                <c:pt idx="441">
                  <c:v>148.84</c:v>
                </c:pt>
                <c:pt idx="442">
                  <c:v>146.24</c:v>
                </c:pt>
                <c:pt idx="443">
                  <c:v>144.85</c:v>
                </c:pt>
                <c:pt idx="444">
                  <c:v>141.38999999999999</c:v>
                </c:pt>
                <c:pt idx="445">
                  <c:v>141.81</c:v>
                </c:pt>
                <c:pt idx="446">
                  <c:v>135.04</c:v>
                </c:pt>
                <c:pt idx="447">
                  <c:v>133.26</c:v>
                </c:pt>
                <c:pt idx="448">
                  <c:v>139.57</c:v>
                </c:pt>
                <c:pt idx="449">
                  <c:v>136.75</c:v>
                </c:pt>
                <c:pt idx="450">
                  <c:v>141.24</c:v>
                </c:pt>
                <c:pt idx="451">
                  <c:v>141.94999999999999</c:v>
                </c:pt>
                <c:pt idx="452">
                  <c:v>138.80000000000001</c:v>
                </c:pt>
                <c:pt idx="453">
                  <c:v>139.59</c:v>
                </c:pt>
                <c:pt idx="454">
                  <c:v>140.13999999999999</c:v>
                </c:pt>
                <c:pt idx="455">
                  <c:v>138.63</c:v>
                </c:pt>
                <c:pt idx="456">
                  <c:v>133.79</c:v>
                </c:pt>
                <c:pt idx="457">
                  <c:v>140.02000000000001</c:v>
                </c:pt>
                <c:pt idx="458">
                  <c:v>137.25</c:v>
                </c:pt>
                <c:pt idx="459">
                  <c:v>133.86000000000001</c:v>
                </c:pt>
                <c:pt idx="460">
                  <c:v>132.29</c:v>
                </c:pt>
                <c:pt idx="461">
                  <c:v>137.36000000000001</c:v>
                </c:pt>
                <c:pt idx="462">
                  <c:v>140.33000000000001</c:v>
                </c:pt>
                <c:pt idx="463">
                  <c:v>139.29</c:v>
                </c:pt>
                <c:pt idx="464">
                  <c:v>139.31</c:v>
                </c:pt>
                <c:pt idx="465">
                  <c:v>140.29</c:v>
                </c:pt>
                <c:pt idx="466">
                  <c:v>144.27000000000001</c:v>
                </c:pt>
                <c:pt idx="467">
                  <c:v>144.72</c:v>
                </c:pt>
                <c:pt idx="468">
                  <c:v>143.41999999999999</c:v>
                </c:pt>
                <c:pt idx="469">
                  <c:v>139.22999999999999</c:v>
                </c:pt>
                <c:pt idx="470">
                  <c:v>139.22999999999999</c:v>
                </c:pt>
                <c:pt idx="471">
                  <c:v>139</c:v>
                </c:pt>
                <c:pt idx="472">
                  <c:v>141.59</c:v>
                </c:pt>
                <c:pt idx="473">
                  <c:v>139.94</c:v>
                </c:pt>
                <c:pt idx="474">
                  <c:v>134.53</c:v>
                </c:pt>
                <c:pt idx="475">
                  <c:v>133.13999999999999</c:v>
                </c:pt>
                <c:pt idx="476">
                  <c:v>134.19</c:v>
                </c:pt>
                <c:pt idx="477">
                  <c:v>132.63999999999999</c:v>
                </c:pt>
                <c:pt idx="478">
                  <c:v>135.69999999999999</c:v>
                </c:pt>
                <c:pt idx="479">
                  <c:v>135.66999999999999</c:v>
                </c:pt>
                <c:pt idx="480">
                  <c:v>141.13</c:v>
                </c:pt>
                <c:pt idx="481">
                  <c:v>138.86000000000001</c:v>
                </c:pt>
                <c:pt idx="482">
                  <c:v>141.46</c:v>
                </c:pt>
                <c:pt idx="483">
                  <c:v>144.75</c:v>
                </c:pt>
                <c:pt idx="484">
                  <c:v>138.4</c:v>
                </c:pt>
                <c:pt idx="485">
                  <c:v>140.80000000000001</c:v>
                </c:pt>
                <c:pt idx="486">
                  <c:v>136.87</c:v>
                </c:pt>
                <c:pt idx="487">
                  <c:v>137.63999999999999</c:v>
                </c:pt>
                <c:pt idx="488">
                  <c:v>136.57</c:v>
                </c:pt>
                <c:pt idx="489">
                  <c:v>137.56</c:v>
                </c:pt>
                <c:pt idx="490">
                  <c:v>137.30000000000001</c:v>
                </c:pt>
                <c:pt idx="491">
                  <c:v>134.85</c:v>
                </c:pt>
                <c:pt idx="492">
                  <c:v>131.16999999999999</c:v>
                </c:pt>
                <c:pt idx="493">
                  <c:v>132.43</c:v>
                </c:pt>
                <c:pt idx="494">
                  <c:v>131.03</c:v>
                </c:pt>
                <c:pt idx="495">
                  <c:v>128.54</c:v>
                </c:pt>
                <c:pt idx="496">
                  <c:v>124.04</c:v>
                </c:pt>
                <c:pt idx="497">
                  <c:v>121.52</c:v>
                </c:pt>
                <c:pt idx="498">
                  <c:v>130</c:v>
                </c:pt>
                <c:pt idx="499">
                  <c:v>131.78</c:v>
                </c:pt>
                <c:pt idx="500">
                  <c:v>130.71</c:v>
                </c:pt>
                <c:pt idx="501">
                  <c:v>131.71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A88-4627-A9B5-13E947E20CD9}"/>
            </c:ext>
          </c:extLst>
        </c:ser>
        <c:ser>
          <c:idx val="26"/>
          <c:order val="26"/>
          <c:tx>
            <c:strRef>
              <c:f>wide_company_closes_reorder!$AB$1</c:f>
              <c:strCache>
                <c:ptCount val="1"/>
                <c:pt idx="0">
                  <c:v>VZ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wide_company_closes_reorder!$AB$2:$AB$503</c:f>
              <c:numCache>
                <c:formatCode>General</c:formatCode>
                <c:ptCount val="502"/>
                <c:pt idx="0">
                  <c:v>49.18</c:v>
                </c:pt>
                <c:pt idx="1">
                  <c:v>49.13</c:v>
                </c:pt>
                <c:pt idx="2">
                  <c:v>49.24</c:v>
                </c:pt>
                <c:pt idx="3">
                  <c:v>48.5</c:v>
                </c:pt>
                <c:pt idx="4">
                  <c:v>47.98</c:v>
                </c:pt>
                <c:pt idx="5">
                  <c:v>48.05</c:v>
                </c:pt>
                <c:pt idx="6">
                  <c:v>47.78</c:v>
                </c:pt>
                <c:pt idx="7">
                  <c:v>47.98</c:v>
                </c:pt>
                <c:pt idx="8">
                  <c:v>47.86</c:v>
                </c:pt>
                <c:pt idx="9">
                  <c:v>48.03</c:v>
                </c:pt>
                <c:pt idx="10">
                  <c:v>47.58</c:v>
                </c:pt>
                <c:pt idx="11">
                  <c:v>47.68</c:v>
                </c:pt>
                <c:pt idx="12">
                  <c:v>48.01</c:v>
                </c:pt>
                <c:pt idx="13">
                  <c:v>47.73</c:v>
                </c:pt>
                <c:pt idx="14">
                  <c:v>45.64</c:v>
                </c:pt>
                <c:pt idx="15">
                  <c:v>45.33</c:v>
                </c:pt>
                <c:pt idx="16">
                  <c:v>44.73</c:v>
                </c:pt>
                <c:pt idx="17">
                  <c:v>45.17</c:v>
                </c:pt>
                <c:pt idx="18">
                  <c:v>44.96</c:v>
                </c:pt>
                <c:pt idx="19">
                  <c:v>44.63</c:v>
                </c:pt>
                <c:pt idx="20">
                  <c:v>44.07</c:v>
                </c:pt>
                <c:pt idx="21">
                  <c:v>43.97</c:v>
                </c:pt>
                <c:pt idx="22">
                  <c:v>44.24</c:v>
                </c:pt>
                <c:pt idx="23">
                  <c:v>43.74</c:v>
                </c:pt>
                <c:pt idx="24">
                  <c:v>43.75</c:v>
                </c:pt>
                <c:pt idx="25">
                  <c:v>44.05</c:v>
                </c:pt>
                <c:pt idx="26">
                  <c:v>44.45</c:v>
                </c:pt>
                <c:pt idx="27">
                  <c:v>44.61</c:v>
                </c:pt>
                <c:pt idx="28">
                  <c:v>44.21</c:v>
                </c:pt>
                <c:pt idx="29">
                  <c:v>43.96</c:v>
                </c:pt>
                <c:pt idx="30">
                  <c:v>43.79</c:v>
                </c:pt>
                <c:pt idx="31">
                  <c:v>44.13</c:v>
                </c:pt>
                <c:pt idx="32">
                  <c:v>44.8</c:v>
                </c:pt>
                <c:pt idx="33">
                  <c:v>45.02</c:v>
                </c:pt>
                <c:pt idx="34">
                  <c:v>45.23</c:v>
                </c:pt>
                <c:pt idx="35">
                  <c:v>45.82</c:v>
                </c:pt>
                <c:pt idx="36">
                  <c:v>46.08</c:v>
                </c:pt>
                <c:pt idx="37">
                  <c:v>45.48</c:v>
                </c:pt>
                <c:pt idx="38">
                  <c:v>45.2</c:v>
                </c:pt>
                <c:pt idx="39">
                  <c:v>45.36</c:v>
                </c:pt>
                <c:pt idx="40">
                  <c:v>45.52</c:v>
                </c:pt>
                <c:pt idx="41">
                  <c:v>45.62</c:v>
                </c:pt>
                <c:pt idx="42">
                  <c:v>45.56</c:v>
                </c:pt>
                <c:pt idx="43">
                  <c:v>45.03</c:v>
                </c:pt>
                <c:pt idx="44">
                  <c:v>44.77</c:v>
                </c:pt>
                <c:pt idx="45">
                  <c:v>44.88</c:v>
                </c:pt>
                <c:pt idx="46">
                  <c:v>44.94</c:v>
                </c:pt>
                <c:pt idx="47">
                  <c:v>45.05</c:v>
                </c:pt>
                <c:pt idx="48">
                  <c:v>44.95</c:v>
                </c:pt>
                <c:pt idx="49">
                  <c:v>45.66</c:v>
                </c:pt>
                <c:pt idx="50">
                  <c:v>45.57</c:v>
                </c:pt>
                <c:pt idx="51">
                  <c:v>45.89</c:v>
                </c:pt>
                <c:pt idx="52">
                  <c:v>45.75</c:v>
                </c:pt>
                <c:pt idx="53">
                  <c:v>45.68</c:v>
                </c:pt>
                <c:pt idx="54">
                  <c:v>45.27</c:v>
                </c:pt>
                <c:pt idx="55">
                  <c:v>45.21</c:v>
                </c:pt>
                <c:pt idx="56">
                  <c:v>45.24</c:v>
                </c:pt>
                <c:pt idx="57">
                  <c:v>44.75</c:v>
                </c:pt>
                <c:pt idx="58">
                  <c:v>44.9</c:v>
                </c:pt>
                <c:pt idx="59">
                  <c:v>44.74</c:v>
                </c:pt>
                <c:pt idx="60">
                  <c:v>44.68</c:v>
                </c:pt>
                <c:pt idx="61">
                  <c:v>44.4</c:v>
                </c:pt>
                <c:pt idx="62">
                  <c:v>44.79</c:v>
                </c:pt>
                <c:pt idx="63">
                  <c:v>44.91</c:v>
                </c:pt>
                <c:pt idx="64">
                  <c:v>44.64</c:v>
                </c:pt>
                <c:pt idx="65">
                  <c:v>44.63</c:v>
                </c:pt>
                <c:pt idx="66">
                  <c:v>44.84</c:v>
                </c:pt>
                <c:pt idx="67">
                  <c:v>44.73</c:v>
                </c:pt>
                <c:pt idx="68">
                  <c:v>44.88</c:v>
                </c:pt>
                <c:pt idx="69">
                  <c:v>45.08</c:v>
                </c:pt>
                <c:pt idx="70">
                  <c:v>44.81</c:v>
                </c:pt>
                <c:pt idx="71">
                  <c:v>44.98</c:v>
                </c:pt>
                <c:pt idx="72">
                  <c:v>45.36</c:v>
                </c:pt>
                <c:pt idx="73">
                  <c:v>45.1</c:v>
                </c:pt>
                <c:pt idx="74">
                  <c:v>44.61</c:v>
                </c:pt>
                <c:pt idx="75">
                  <c:v>43.54</c:v>
                </c:pt>
                <c:pt idx="76">
                  <c:v>43.36</c:v>
                </c:pt>
                <c:pt idx="77">
                  <c:v>43.04</c:v>
                </c:pt>
                <c:pt idx="78">
                  <c:v>43.65</c:v>
                </c:pt>
                <c:pt idx="79">
                  <c:v>43.01</c:v>
                </c:pt>
                <c:pt idx="80">
                  <c:v>42.31</c:v>
                </c:pt>
                <c:pt idx="81">
                  <c:v>42.28</c:v>
                </c:pt>
                <c:pt idx="82">
                  <c:v>42.31</c:v>
                </c:pt>
                <c:pt idx="83">
                  <c:v>42.53</c:v>
                </c:pt>
                <c:pt idx="84">
                  <c:v>42.28</c:v>
                </c:pt>
                <c:pt idx="85">
                  <c:v>43.03</c:v>
                </c:pt>
                <c:pt idx="86">
                  <c:v>42.97</c:v>
                </c:pt>
                <c:pt idx="87">
                  <c:v>42.78</c:v>
                </c:pt>
                <c:pt idx="88">
                  <c:v>42.74</c:v>
                </c:pt>
                <c:pt idx="89">
                  <c:v>42.41</c:v>
                </c:pt>
                <c:pt idx="90">
                  <c:v>42.24</c:v>
                </c:pt>
                <c:pt idx="91">
                  <c:v>41.82</c:v>
                </c:pt>
                <c:pt idx="92">
                  <c:v>41.76</c:v>
                </c:pt>
                <c:pt idx="93">
                  <c:v>40.99</c:v>
                </c:pt>
                <c:pt idx="94">
                  <c:v>41.51</c:v>
                </c:pt>
                <c:pt idx="95">
                  <c:v>41.86</c:v>
                </c:pt>
                <c:pt idx="96">
                  <c:v>41.91</c:v>
                </c:pt>
                <c:pt idx="97">
                  <c:v>41.91</c:v>
                </c:pt>
                <c:pt idx="98">
                  <c:v>41.51</c:v>
                </c:pt>
                <c:pt idx="99">
                  <c:v>41.76</c:v>
                </c:pt>
                <c:pt idx="100">
                  <c:v>41.77</c:v>
                </c:pt>
                <c:pt idx="101">
                  <c:v>42.58</c:v>
                </c:pt>
                <c:pt idx="102">
                  <c:v>42.98</c:v>
                </c:pt>
                <c:pt idx="103">
                  <c:v>42.86</c:v>
                </c:pt>
                <c:pt idx="104">
                  <c:v>42.8</c:v>
                </c:pt>
                <c:pt idx="105">
                  <c:v>42.73</c:v>
                </c:pt>
                <c:pt idx="106">
                  <c:v>42.8</c:v>
                </c:pt>
                <c:pt idx="107">
                  <c:v>42.85</c:v>
                </c:pt>
                <c:pt idx="108">
                  <c:v>42.57</c:v>
                </c:pt>
                <c:pt idx="109">
                  <c:v>43.06</c:v>
                </c:pt>
                <c:pt idx="110">
                  <c:v>43.49</c:v>
                </c:pt>
                <c:pt idx="111">
                  <c:v>42.82</c:v>
                </c:pt>
                <c:pt idx="112">
                  <c:v>43.03</c:v>
                </c:pt>
                <c:pt idx="113">
                  <c:v>42.98</c:v>
                </c:pt>
                <c:pt idx="114">
                  <c:v>42.97</c:v>
                </c:pt>
                <c:pt idx="115">
                  <c:v>42.92</c:v>
                </c:pt>
                <c:pt idx="116">
                  <c:v>42.34</c:v>
                </c:pt>
                <c:pt idx="117">
                  <c:v>41.85</c:v>
                </c:pt>
                <c:pt idx="118">
                  <c:v>41.86</c:v>
                </c:pt>
                <c:pt idx="119">
                  <c:v>41.83</c:v>
                </c:pt>
                <c:pt idx="120">
                  <c:v>42.16</c:v>
                </c:pt>
                <c:pt idx="121">
                  <c:v>41.32</c:v>
                </c:pt>
                <c:pt idx="122">
                  <c:v>41.32</c:v>
                </c:pt>
                <c:pt idx="123">
                  <c:v>40.93</c:v>
                </c:pt>
                <c:pt idx="124">
                  <c:v>41.16</c:v>
                </c:pt>
                <c:pt idx="125">
                  <c:v>41.47</c:v>
                </c:pt>
                <c:pt idx="126">
                  <c:v>41.15</c:v>
                </c:pt>
                <c:pt idx="127">
                  <c:v>40.630000000000003</c:v>
                </c:pt>
                <c:pt idx="128">
                  <c:v>40.590000000000003</c:v>
                </c:pt>
                <c:pt idx="129">
                  <c:v>40.33</c:v>
                </c:pt>
                <c:pt idx="130">
                  <c:v>40.04</c:v>
                </c:pt>
                <c:pt idx="131">
                  <c:v>40.35</c:v>
                </c:pt>
                <c:pt idx="132">
                  <c:v>40.6</c:v>
                </c:pt>
                <c:pt idx="133">
                  <c:v>40.67</c:v>
                </c:pt>
                <c:pt idx="134">
                  <c:v>40.76</c:v>
                </c:pt>
                <c:pt idx="135">
                  <c:v>40.479999999999997</c:v>
                </c:pt>
                <c:pt idx="136">
                  <c:v>40.57</c:v>
                </c:pt>
                <c:pt idx="137">
                  <c:v>41.29</c:v>
                </c:pt>
                <c:pt idx="138">
                  <c:v>41.29</c:v>
                </c:pt>
                <c:pt idx="139">
                  <c:v>40.81</c:v>
                </c:pt>
                <c:pt idx="140">
                  <c:v>41.06</c:v>
                </c:pt>
                <c:pt idx="141">
                  <c:v>41.45</c:v>
                </c:pt>
                <c:pt idx="142">
                  <c:v>44.64</c:v>
                </c:pt>
                <c:pt idx="143">
                  <c:v>44.76</c:v>
                </c:pt>
                <c:pt idx="144">
                  <c:v>45.19</c:v>
                </c:pt>
                <c:pt idx="145">
                  <c:v>45.65</c:v>
                </c:pt>
                <c:pt idx="146">
                  <c:v>45.01</c:v>
                </c:pt>
                <c:pt idx="147">
                  <c:v>45.38</c:v>
                </c:pt>
                <c:pt idx="148">
                  <c:v>45.66</c:v>
                </c:pt>
                <c:pt idx="149">
                  <c:v>45.62</c:v>
                </c:pt>
                <c:pt idx="150">
                  <c:v>45.37</c:v>
                </c:pt>
                <c:pt idx="151">
                  <c:v>45.02</c:v>
                </c:pt>
                <c:pt idx="152">
                  <c:v>44.83</c:v>
                </c:pt>
                <c:pt idx="153">
                  <c:v>44.87</c:v>
                </c:pt>
                <c:pt idx="154">
                  <c:v>45.54</c:v>
                </c:pt>
                <c:pt idx="155">
                  <c:v>45.26</c:v>
                </c:pt>
                <c:pt idx="156">
                  <c:v>45.2</c:v>
                </c:pt>
                <c:pt idx="157">
                  <c:v>44.71</c:v>
                </c:pt>
                <c:pt idx="158">
                  <c:v>44.53</c:v>
                </c:pt>
                <c:pt idx="159">
                  <c:v>44.95</c:v>
                </c:pt>
                <c:pt idx="160">
                  <c:v>45.14</c:v>
                </c:pt>
                <c:pt idx="161">
                  <c:v>45.08</c:v>
                </c:pt>
                <c:pt idx="162">
                  <c:v>45.1</c:v>
                </c:pt>
                <c:pt idx="163">
                  <c:v>45.45</c:v>
                </c:pt>
                <c:pt idx="164">
                  <c:v>45.38</c:v>
                </c:pt>
                <c:pt idx="165">
                  <c:v>45.29</c:v>
                </c:pt>
                <c:pt idx="166">
                  <c:v>44.93</c:v>
                </c:pt>
                <c:pt idx="167">
                  <c:v>44.79</c:v>
                </c:pt>
                <c:pt idx="168">
                  <c:v>44.74</c:v>
                </c:pt>
                <c:pt idx="169">
                  <c:v>44.22</c:v>
                </c:pt>
                <c:pt idx="170">
                  <c:v>43.8</c:v>
                </c:pt>
                <c:pt idx="171">
                  <c:v>43.13</c:v>
                </c:pt>
                <c:pt idx="172">
                  <c:v>43.05</c:v>
                </c:pt>
                <c:pt idx="173">
                  <c:v>43.23</c:v>
                </c:pt>
                <c:pt idx="174">
                  <c:v>43.68</c:v>
                </c:pt>
                <c:pt idx="175">
                  <c:v>44.11</c:v>
                </c:pt>
                <c:pt idx="176">
                  <c:v>44.05</c:v>
                </c:pt>
                <c:pt idx="177">
                  <c:v>44.68</c:v>
                </c:pt>
                <c:pt idx="178">
                  <c:v>44.9</c:v>
                </c:pt>
                <c:pt idx="179">
                  <c:v>46.07</c:v>
                </c:pt>
                <c:pt idx="180">
                  <c:v>46.2</c:v>
                </c:pt>
                <c:pt idx="181">
                  <c:v>45.69</c:v>
                </c:pt>
                <c:pt idx="182">
                  <c:v>46.59</c:v>
                </c:pt>
                <c:pt idx="183">
                  <c:v>46.59</c:v>
                </c:pt>
                <c:pt idx="184">
                  <c:v>46.22</c:v>
                </c:pt>
                <c:pt idx="185">
                  <c:v>46.22</c:v>
                </c:pt>
                <c:pt idx="186">
                  <c:v>46.13</c:v>
                </c:pt>
                <c:pt idx="187">
                  <c:v>46.21</c:v>
                </c:pt>
                <c:pt idx="188">
                  <c:v>46.08</c:v>
                </c:pt>
                <c:pt idx="189">
                  <c:v>46.54</c:v>
                </c:pt>
                <c:pt idx="190">
                  <c:v>46.59</c:v>
                </c:pt>
                <c:pt idx="191">
                  <c:v>46.47</c:v>
                </c:pt>
                <c:pt idx="192">
                  <c:v>46.12</c:v>
                </c:pt>
                <c:pt idx="193">
                  <c:v>46.34</c:v>
                </c:pt>
                <c:pt idx="194">
                  <c:v>46.43</c:v>
                </c:pt>
                <c:pt idx="195">
                  <c:v>46.16</c:v>
                </c:pt>
                <c:pt idx="196">
                  <c:v>45.68</c:v>
                </c:pt>
                <c:pt idx="197">
                  <c:v>45.22</c:v>
                </c:pt>
                <c:pt idx="198">
                  <c:v>45.44</c:v>
                </c:pt>
                <c:pt idx="199">
                  <c:v>45.73</c:v>
                </c:pt>
                <c:pt idx="200">
                  <c:v>45.97</c:v>
                </c:pt>
                <c:pt idx="201">
                  <c:v>46.5</c:v>
                </c:pt>
                <c:pt idx="202">
                  <c:v>46.8</c:v>
                </c:pt>
                <c:pt idx="203">
                  <c:v>46.29</c:v>
                </c:pt>
                <c:pt idx="204">
                  <c:v>46.24</c:v>
                </c:pt>
                <c:pt idx="205">
                  <c:v>45.96</c:v>
                </c:pt>
                <c:pt idx="206">
                  <c:v>46.19</c:v>
                </c:pt>
                <c:pt idx="207">
                  <c:v>46.17</c:v>
                </c:pt>
                <c:pt idx="208">
                  <c:v>45.19</c:v>
                </c:pt>
                <c:pt idx="209">
                  <c:v>45.23</c:v>
                </c:pt>
                <c:pt idx="210">
                  <c:v>45.19</c:v>
                </c:pt>
                <c:pt idx="211">
                  <c:v>44.84</c:v>
                </c:pt>
                <c:pt idx="212">
                  <c:v>44.8</c:v>
                </c:pt>
                <c:pt idx="213">
                  <c:v>43.02</c:v>
                </c:pt>
                <c:pt idx="214">
                  <c:v>43.06</c:v>
                </c:pt>
                <c:pt idx="215">
                  <c:v>42.95</c:v>
                </c:pt>
                <c:pt idx="216">
                  <c:v>42.58</c:v>
                </c:pt>
                <c:pt idx="217">
                  <c:v>42.4</c:v>
                </c:pt>
                <c:pt idx="218">
                  <c:v>42.28</c:v>
                </c:pt>
                <c:pt idx="219">
                  <c:v>41.78</c:v>
                </c:pt>
                <c:pt idx="220">
                  <c:v>41.68</c:v>
                </c:pt>
                <c:pt idx="221">
                  <c:v>42.3</c:v>
                </c:pt>
                <c:pt idx="222">
                  <c:v>42.91</c:v>
                </c:pt>
                <c:pt idx="223">
                  <c:v>43.65</c:v>
                </c:pt>
                <c:pt idx="224">
                  <c:v>43.63</c:v>
                </c:pt>
                <c:pt idx="225">
                  <c:v>44.5</c:v>
                </c:pt>
                <c:pt idx="226">
                  <c:v>44.42</c:v>
                </c:pt>
                <c:pt idx="227">
                  <c:v>45.03</c:v>
                </c:pt>
                <c:pt idx="228">
                  <c:v>46.13</c:v>
                </c:pt>
                <c:pt idx="229">
                  <c:v>47.15</c:v>
                </c:pt>
                <c:pt idx="230">
                  <c:v>48.08</c:v>
                </c:pt>
                <c:pt idx="231">
                  <c:v>48.42</c:v>
                </c:pt>
                <c:pt idx="232">
                  <c:v>48.87</c:v>
                </c:pt>
                <c:pt idx="233">
                  <c:v>48.11</c:v>
                </c:pt>
                <c:pt idx="234">
                  <c:v>47.88</c:v>
                </c:pt>
                <c:pt idx="235">
                  <c:v>47.64</c:v>
                </c:pt>
                <c:pt idx="236">
                  <c:v>48.27</c:v>
                </c:pt>
                <c:pt idx="237">
                  <c:v>48.98</c:v>
                </c:pt>
                <c:pt idx="238">
                  <c:v>50.26</c:v>
                </c:pt>
                <c:pt idx="239">
                  <c:v>49.97</c:v>
                </c:pt>
                <c:pt idx="240">
                  <c:v>49.45</c:v>
                </c:pt>
                <c:pt idx="241">
                  <c:v>49.76</c:v>
                </c:pt>
                <c:pt idx="242">
                  <c:v>50.31</c:v>
                </c:pt>
                <c:pt idx="243">
                  <c:v>49.92</c:v>
                </c:pt>
                <c:pt idx="244">
                  <c:v>49.86</c:v>
                </c:pt>
                <c:pt idx="245">
                  <c:v>50.09</c:v>
                </c:pt>
                <c:pt idx="246">
                  <c:v>50.26</c:v>
                </c:pt>
                <c:pt idx="247">
                  <c:v>50.28</c:v>
                </c:pt>
                <c:pt idx="248">
                  <c:v>50.34</c:v>
                </c:pt>
                <c:pt idx="249">
                  <c:v>50.48</c:v>
                </c:pt>
                <c:pt idx="250">
                  <c:v>50.01</c:v>
                </c:pt>
                <c:pt idx="251">
                  <c:v>50.58</c:v>
                </c:pt>
                <c:pt idx="252">
                  <c:v>49.54</c:v>
                </c:pt>
                <c:pt idx="253">
                  <c:v>49.7</c:v>
                </c:pt>
                <c:pt idx="254">
                  <c:v>49.59</c:v>
                </c:pt>
                <c:pt idx="255">
                  <c:v>49.5</c:v>
                </c:pt>
                <c:pt idx="256">
                  <c:v>49.32</c:v>
                </c:pt>
                <c:pt idx="257">
                  <c:v>49.4</c:v>
                </c:pt>
                <c:pt idx="258">
                  <c:v>49.8</c:v>
                </c:pt>
                <c:pt idx="259">
                  <c:v>49.56</c:v>
                </c:pt>
                <c:pt idx="260">
                  <c:v>49.37</c:v>
                </c:pt>
                <c:pt idx="261">
                  <c:v>49.42</c:v>
                </c:pt>
                <c:pt idx="262">
                  <c:v>49.26</c:v>
                </c:pt>
                <c:pt idx="263">
                  <c:v>49.61</c:v>
                </c:pt>
                <c:pt idx="264">
                  <c:v>51.09</c:v>
                </c:pt>
                <c:pt idx="265">
                  <c:v>50.87</c:v>
                </c:pt>
                <c:pt idx="266">
                  <c:v>51.81</c:v>
                </c:pt>
                <c:pt idx="267">
                  <c:v>51.88</c:v>
                </c:pt>
                <c:pt idx="268">
                  <c:v>52.29</c:v>
                </c:pt>
                <c:pt idx="269">
                  <c:v>51.73</c:v>
                </c:pt>
                <c:pt idx="270">
                  <c:v>51.51</c:v>
                </c:pt>
                <c:pt idx="271">
                  <c:v>51.67</c:v>
                </c:pt>
                <c:pt idx="272">
                  <c:v>51.89</c:v>
                </c:pt>
                <c:pt idx="273">
                  <c:v>50.63</c:v>
                </c:pt>
                <c:pt idx="274">
                  <c:v>48.26</c:v>
                </c:pt>
                <c:pt idx="275">
                  <c:v>48.57</c:v>
                </c:pt>
                <c:pt idx="276">
                  <c:v>48.75</c:v>
                </c:pt>
                <c:pt idx="277">
                  <c:v>46.86</c:v>
                </c:pt>
                <c:pt idx="278">
                  <c:v>47.67</c:v>
                </c:pt>
                <c:pt idx="279">
                  <c:v>47.89</c:v>
                </c:pt>
                <c:pt idx="280">
                  <c:v>47.86</c:v>
                </c:pt>
                <c:pt idx="281">
                  <c:v>47.31</c:v>
                </c:pt>
                <c:pt idx="282">
                  <c:v>47.53</c:v>
                </c:pt>
                <c:pt idx="283">
                  <c:v>47.92</c:v>
                </c:pt>
                <c:pt idx="284">
                  <c:v>46.75</c:v>
                </c:pt>
                <c:pt idx="285">
                  <c:v>45.83</c:v>
                </c:pt>
                <c:pt idx="286">
                  <c:v>45.74</c:v>
                </c:pt>
                <c:pt idx="287">
                  <c:v>46.15</c:v>
                </c:pt>
                <c:pt idx="288">
                  <c:v>46.91</c:v>
                </c:pt>
                <c:pt idx="289">
                  <c:v>45.91</c:v>
                </c:pt>
                <c:pt idx="290">
                  <c:v>45.62</c:v>
                </c:pt>
                <c:pt idx="291">
                  <c:v>45.83</c:v>
                </c:pt>
                <c:pt idx="292">
                  <c:v>46.12</c:v>
                </c:pt>
                <c:pt idx="293">
                  <c:v>46.55</c:v>
                </c:pt>
                <c:pt idx="294">
                  <c:v>46.72</c:v>
                </c:pt>
                <c:pt idx="295">
                  <c:v>46.67</c:v>
                </c:pt>
                <c:pt idx="296">
                  <c:v>46.83</c:v>
                </c:pt>
                <c:pt idx="297">
                  <c:v>46.83</c:v>
                </c:pt>
                <c:pt idx="298">
                  <c:v>46.63</c:v>
                </c:pt>
                <c:pt idx="299">
                  <c:v>46.49</c:v>
                </c:pt>
                <c:pt idx="300">
                  <c:v>46.3</c:v>
                </c:pt>
                <c:pt idx="301">
                  <c:v>46.15</c:v>
                </c:pt>
                <c:pt idx="302">
                  <c:v>46.4</c:v>
                </c:pt>
                <c:pt idx="303">
                  <c:v>46.17</c:v>
                </c:pt>
                <c:pt idx="304">
                  <c:v>45.57</c:v>
                </c:pt>
                <c:pt idx="305">
                  <c:v>45.18</c:v>
                </c:pt>
                <c:pt idx="306">
                  <c:v>44.8</c:v>
                </c:pt>
                <c:pt idx="307">
                  <c:v>44.23</c:v>
                </c:pt>
                <c:pt idx="308">
                  <c:v>44.98</c:v>
                </c:pt>
                <c:pt idx="309">
                  <c:v>45.21</c:v>
                </c:pt>
                <c:pt idx="310">
                  <c:v>45.87</c:v>
                </c:pt>
                <c:pt idx="311">
                  <c:v>45.7</c:v>
                </c:pt>
                <c:pt idx="312">
                  <c:v>45.07</c:v>
                </c:pt>
                <c:pt idx="313">
                  <c:v>45.39</c:v>
                </c:pt>
                <c:pt idx="314">
                  <c:v>45.8</c:v>
                </c:pt>
                <c:pt idx="315">
                  <c:v>46.1</c:v>
                </c:pt>
                <c:pt idx="316">
                  <c:v>45.37</c:v>
                </c:pt>
                <c:pt idx="317">
                  <c:v>45.4</c:v>
                </c:pt>
                <c:pt idx="318">
                  <c:v>46.71</c:v>
                </c:pt>
                <c:pt idx="319">
                  <c:v>46.04</c:v>
                </c:pt>
                <c:pt idx="320">
                  <c:v>46.19</c:v>
                </c:pt>
                <c:pt idx="321">
                  <c:v>46.12</c:v>
                </c:pt>
                <c:pt idx="322">
                  <c:v>46.82</c:v>
                </c:pt>
                <c:pt idx="323">
                  <c:v>47.27</c:v>
                </c:pt>
                <c:pt idx="324">
                  <c:v>47.05</c:v>
                </c:pt>
                <c:pt idx="325">
                  <c:v>46.86</c:v>
                </c:pt>
                <c:pt idx="326">
                  <c:v>46.35</c:v>
                </c:pt>
                <c:pt idx="327">
                  <c:v>47.08</c:v>
                </c:pt>
                <c:pt idx="328">
                  <c:v>48.06</c:v>
                </c:pt>
                <c:pt idx="329">
                  <c:v>48.48</c:v>
                </c:pt>
                <c:pt idx="330">
                  <c:v>48.15</c:v>
                </c:pt>
                <c:pt idx="331">
                  <c:v>49.9</c:v>
                </c:pt>
                <c:pt idx="332">
                  <c:v>47.75</c:v>
                </c:pt>
                <c:pt idx="333">
                  <c:v>47.24</c:v>
                </c:pt>
                <c:pt idx="334">
                  <c:v>46.2</c:v>
                </c:pt>
                <c:pt idx="335">
                  <c:v>46.29</c:v>
                </c:pt>
                <c:pt idx="336">
                  <c:v>46.63</c:v>
                </c:pt>
                <c:pt idx="337">
                  <c:v>46.18</c:v>
                </c:pt>
                <c:pt idx="338">
                  <c:v>45.5</c:v>
                </c:pt>
                <c:pt idx="339">
                  <c:v>44.88</c:v>
                </c:pt>
                <c:pt idx="340">
                  <c:v>45.67</c:v>
                </c:pt>
                <c:pt idx="341">
                  <c:v>47.05</c:v>
                </c:pt>
                <c:pt idx="342">
                  <c:v>46.92</c:v>
                </c:pt>
                <c:pt idx="343">
                  <c:v>46.24</c:v>
                </c:pt>
                <c:pt idx="344">
                  <c:v>46.31</c:v>
                </c:pt>
                <c:pt idx="345">
                  <c:v>46.3</c:v>
                </c:pt>
                <c:pt idx="346">
                  <c:v>46.19</c:v>
                </c:pt>
                <c:pt idx="347">
                  <c:v>46.86</c:v>
                </c:pt>
                <c:pt idx="348">
                  <c:v>47.23</c:v>
                </c:pt>
                <c:pt idx="349">
                  <c:v>47.02</c:v>
                </c:pt>
                <c:pt idx="350">
                  <c:v>47.07</c:v>
                </c:pt>
                <c:pt idx="351">
                  <c:v>46.95</c:v>
                </c:pt>
                <c:pt idx="352">
                  <c:v>46.64</c:v>
                </c:pt>
                <c:pt idx="353">
                  <c:v>47.03</c:v>
                </c:pt>
                <c:pt idx="354">
                  <c:v>46.13</c:v>
                </c:pt>
                <c:pt idx="355">
                  <c:v>46.26</c:v>
                </c:pt>
                <c:pt idx="356">
                  <c:v>46.27</c:v>
                </c:pt>
                <c:pt idx="357">
                  <c:v>46.42</c:v>
                </c:pt>
                <c:pt idx="358">
                  <c:v>46.84</c:v>
                </c:pt>
                <c:pt idx="359">
                  <c:v>47.42</c:v>
                </c:pt>
                <c:pt idx="360">
                  <c:v>47.59</c:v>
                </c:pt>
                <c:pt idx="361">
                  <c:v>47.7</c:v>
                </c:pt>
                <c:pt idx="362">
                  <c:v>47.23</c:v>
                </c:pt>
                <c:pt idx="363">
                  <c:v>45.87</c:v>
                </c:pt>
                <c:pt idx="364">
                  <c:v>46.27</c:v>
                </c:pt>
                <c:pt idx="365">
                  <c:v>46.5</c:v>
                </c:pt>
                <c:pt idx="366">
                  <c:v>45.92</c:v>
                </c:pt>
                <c:pt idx="367">
                  <c:v>46.93</c:v>
                </c:pt>
                <c:pt idx="368">
                  <c:v>46.53</c:v>
                </c:pt>
                <c:pt idx="369">
                  <c:v>47.06</c:v>
                </c:pt>
                <c:pt idx="370">
                  <c:v>48.15</c:v>
                </c:pt>
                <c:pt idx="371">
                  <c:v>47.99</c:v>
                </c:pt>
                <c:pt idx="372">
                  <c:v>47.7</c:v>
                </c:pt>
                <c:pt idx="373">
                  <c:v>47.71</c:v>
                </c:pt>
                <c:pt idx="374">
                  <c:v>49.21</c:v>
                </c:pt>
                <c:pt idx="375">
                  <c:v>48.68</c:v>
                </c:pt>
                <c:pt idx="376">
                  <c:v>48.79</c:v>
                </c:pt>
                <c:pt idx="377">
                  <c:v>49.06</c:v>
                </c:pt>
                <c:pt idx="378">
                  <c:v>49.62</c:v>
                </c:pt>
                <c:pt idx="379">
                  <c:v>49.81</c:v>
                </c:pt>
                <c:pt idx="380">
                  <c:v>49.67</c:v>
                </c:pt>
                <c:pt idx="381">
                  <c:v>50.25</c:v>
                </c:pt>
                <c:pt idx="382">
                  <c:v>50.25</c:v>
                </c:pt>
                <c:pt idx="383">
                  <c:v>50.16</c:v>
                </c:pt>
                <c:pt idx="384">
                  <c:v>50.32</c:v>
                </c:pt>
                <c:pt idx="385">
                  <c:v>50.5</c:v>
                </c:pt>
                <c:pt idx="386">
                  <c:v>50.34</c:v>
                </c:pt>
                <c:pt idx="387">
                  <c:v>50.06</c:v>
                </c:pt>
                <c:pt idx="388">
                  <c:v>49.68</c:v>
                </c:pt>
                <c:pt idx="389">
                  <c:v>49.55</c:v>
                </c:pt>
                <c:pt idx="390">
                  <c:v>49.68</c:v>
                </c:pt>
                <c:pt idx="391">
                  <c:v>50.42</c:v>
                </c:pt>
                <c:pt idx="392">
                  <c:v>49.83</c:v>
                </c:pt>
                <c:pt idx="393">
                  <c:v>50.1</c:v>
                </c:pt>
                <c:pt idx="394">
                  <c:v>50.91</c:v>
                </c:pt>
                <c:pt idx="395">
                  <c:v>51.38</c:v>
                </c:pt>
                <c:pt idx="396">
                  <c:v>50.55</c:v>
                </c:pt>
                <c:pt idx="397">
                  <c:v>50.64</c:v>
                </c:pt>
                <c:pt idx="398">
                  <c:v>50.88</c:v>
                </c:pt>
                <c:pt idx="399">
                  <c:v>51.16</c:v>
                </c:pt>
                <c:pt idx="400">
                  <c:v>51.37</c:v>
                </c:pt>
                <c:pt idx="401">
                  <c:v>51.35</c:v>
                </c:pt>
                <c:pt idx="402">
                  <c:v>51.59</c:v>
                </c:pt>
                <c:pt idx="403">
                  <c:v>51.89</c:v>
                </c:pt>
                <c:pt idx="404">
                  <c:v>51.36</c:v>
                </c:pt>
                <c:pt idx="405">
                  <c:v>51.12</c:v>
                </c:pt>
                <c:pt idx="406">
                  <c:v>51.75</c:v>
                </c:pt>
                <c:pt idx="407">
                  <c:v>52.11</c:v>
                </c:pt>
                <c:pt idx="408">
                  <c:v>53.12</c:v>
                </c:pt>
                <c:pt idx="409">
                  <c:v>53.63</c:v>
                </c:pt>
                <c:pt idx="410">
                  <c:v>53.49</c:v>
                </c:pt>
                <c:pt idx="411">
                  <c:v>53.75</c:v>
                </c:pt>
                <c:pt idx="412">
                  <c:v>52.99</c:v>
                </c:pt>
                <c:pt idx="413">
                  <c:v>53.13</c:v>
                </c:pt>
                <c:pt idx="414">
                  <c:v>53.62</c:v>
                </c:pt>
                <c:pt idx="415">
                  <c:v>53.69</c:v>
                </c:pt>
                <c:pt idx="416">
                  <c:v>53.49</c:v>
                </c:pt>
                <c:pt idx="417">
                  <c:v>53.42</c:v>
                </c:pt>
                <c:pt idx="418">
                  <c:v>53.59</c:v>
                </c:pt>
                <c:pt idx="419">
                  <c:v>53.22</c:v>
                </c:pt>
                <c:pt idx="420">
                  <c:v>52.06</c:v>
                </c:pt>
                <c:pt idx="421">
                  <c:v>52.68</c:v>
                </c:pt>
                <c:pt idx="422">
                  <c:v>53.14</c:v>
                </c:pt>
                <c:pt idx="423">
                  <c:v>52.86</c:v>
                </c:pt>
                <c:pt idx="424">
                  <c:v>52.97</c:v>
                </c:pt>
                <c:pt idx="425">
                  <c:v>53.56</c:v>
                </c:pt>
                <c:pt idx="426">
                  <c:v>53.81</c:v>
                </c:pt>
                <c:pt idx="427">
                  <c:v>53.78</c:v>
                </c:pt>
                <c:pt idx="428">
                  <c:v>53.4</c:v>
                </c:pt>
                <c:pt idx="429">
                  <c:v>53.54</c:v>
                </c:pt>
                <c:pt idx="430">
                  <c:v>53.24</c:v>
                </c:pt>
                <c:pt idx="431">
                  <c:v>52.37</c:v>
                </c:pt>
                <c:pt idx="432">
                  <c:v>52.81</c:v>
                </c:pt>
                <c:pt idx="433">
                  <c:v>53.27</c:v>
                </c:pt>
                <c:pt idx="434">
                  <c:v>52.41</c:v>
                </c:pt>
                <c:pt idx="435">
                  <c:v>51.93</c:v>
                </c:pt>
                <c:pt idx="436">
                  <c:v>52.02</c:v>
                </c:pt>
                <c:pt idx="437">
                  <c:v>52.46</c:v>
                </c:pt>
                <c:pt idx="438">
                  <c:v>52.26</c:v>
                </c:pt>
                <c:pt idx="439">
                  <c:v>52.7</c:v>
                </c:pt>
                <c:pt idx="440">
                  <c:v>53.27</c:v>
                </c:pt>
                <c:pt idx="441">
                  <c:v>53.14</c:v>
                </c:pt>
                <c:pt idx="442">
                  <c:v>53.86</c:v>
                </c:pt>
                <c:pt idx="443">
                  <c:v>53.78</c:v>
                </c:pt>
                <c:pt idx="444">
                  <c:v>53.86</c:v>
                </c:pt>
                <c:pt idx="445">
                  <c:v>54.42</c:v>
                </c:pt>
                <c:pt idx="446">
                  <c:v>53.77</c:v>
                </c:pt>
                <c:pt idx="447">
                  <c:v>52.78</c:v>
                </c:pt>
                <c:pt idx="448">
                  <c:v>53.18</c:v>
                </c:pt>
                <c:pt idx="449">
                  <c:v>53.05</c:v>
                </c:pt>
                <c:pt idx="450">
                  <c:v>53.15</c:v>
                </c:pt>
                <c:pt idx="451">
                  <c:v>53.4</c:v>
                </c:pt>
                <c:pt idx="452">
                  <c:v>54.09</c:v>
                </c:pt>
                <c:pt idx="453">
                  <c:v>54.33</c:v>
                </c:pt>
                <c:pt idx="454">
                  <c:v>54.41</c:v>
                </c:pt>
                <c:pt idx="455">
                  <c:v>56.62</c:v>
                </c:pt>
                <c:pt idx="456">
                  <c:v>56.83</c:v>
                </c:pt>
                <c:pt idx="457">
                  <c:v>55.85</c:v>
                </c:pt>
                <c:pt idx="458">
                  <c:v>54.94</c:v>
                </c:pt>
                <c:pt idx="459">
                  <c:v>55.9</c:v>
                </c:pt>
                <c:pt idx="460">
                  <c:v>57.58</c:v>
                </c:pt>
                <c:pt idx="461">
                  <c:v>56.5</c:v>
                </c:pt>
                <c:pt idx="462">
                  <c:v>55.47</c:v>
                </c:pt>
                <c:pt idx="463">
                  <c:v>56.05</c:v>
                </c:pt>
                <c:pt idx="464">
                  <c:v>56.62</c:v>
                </c:pt>
                <c:pt idx="465">
                  <c:v>56.62</c:v>
                </c:pt>
                <c:pt idx="466">
                  <c:v>57.06</c:v>
                </c:pt>
                <c:pt idx="467">
                  <c:v>57.67</c:v>
                </c:pt>
                <c:pt idx="468">
                  <c:v>57.86</c:v>
                </c:pt>
                <c:pt idx="469">
                  <c:v>58.11</c:v>
                </c:pt>
                <c:pt idx="470">
                  <c:v>58.05</c:v>
                </c:pt>
                <c:pt idx="471">
                  <c:v>58.33</c:v>
                </c:pt>
                <c:pt idx="472">
                  <c:v>58.47</c:v>
                </c:pt>
                <c:pt idx="473">
                  <c:v>59.59</c:v>
                </c:pt>
                <c:pt idx="474">
                  <c:v>59.99</c:v>
                </c:pt>
                <c:pt idx="475">
                  <c:v>58.85</c:v>
                </c:pt>
                <c:pt idx="476">
                  <c:v>58.55</c:v>
                </c:pt>
                <c:pt idx="477">
                  <c:v>58.03</c:v>
                </c:pt>
                <c:pt idx="478">
                  <c:v>58.56</c:v>
                </c:pt>
                <c:pt idx="479">
                  <c:v>60.02</c:v>
                </c:pt>
                <c:pt idx="480">
                  <c:v>59.44</c:v>
                </c:pt>
                <c:pt idx="481">
                  <c:v>58.84</c:v>
                </c:pt>
                <c:pt idx="482">
                  <c:v>59.68</c:v>
                </c:pt>
                <c:pt idx="483">
                  <c:v>57.56</c:v>
                </c:pt>
                <c:pt idx="484">
                  <c:v>57.49</c:v>
                </c:pt>
                <c:pt idx="485">
                  <c:v>57.48</c:v>
                </c:pt>
                <c:pt idx="486">
                  <c:v>57.08</c:v>
                </c:pt>
                <c:pt idx="487">
                  <c:v>57.67</c:v>
                </c:pt>
                <c:pt idx="488">
                  <c:v>58.24</c:v>
                </c:pt>
                <c:pt idx="489">
                  <c:v>56.66</c:v>
                </c:pt>
                <c:pt idx="490">
                  <c:v>56.5</c:v>
                </c:pt>
                <c:pt idx="491">
                  <c:v>56.49</c:v>
                </c:pt>
                <c:pt idx="492">
                  <c:v>55.37</c:v>
                </c:pt>
                <c:pt idx="493">
                  <c:v>55.08</c:v>
                </c:pt>
                <c:pt idx="494">
                  <c:v>55.28</c:v>
                </c:pt>
                <c:pt idx="495">
                  <c:v>54.5</c:v>
                </c:pt>
                <c:pt idx="496">
                  <c:v>54.35</c:v>
                </c:pt>
                <c:pt idx="497">
                  <c:v>52.5</c:v>
                </c:pt>
                <c:pt idx="498">
                  <c:v>53.88</c:v>
                </c:pt>
                <c:pt idx="499">
                  <c:v>54.58</c:v>
                </c:pt>
                <c:pt idx="500">
                  <c:v>54.7</c:v>
                </c:pt>
                <c:pt idx="501">
                  <c:v>55.64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A88-4627-A9B5-13E947E20CD9}"/>
            </c:ext>
          </c:extLst>
        </c:ser>
        <c:ser>
          <c:idx val="27"/>
          <c:order val="27"/>
          <c:tx>
            <c:strRef>
              <c:f>wide_company_closes_reorder!$AC$1</c:f>
              <c:strCache>
                <c:ptCount val="1"/>
                <c:pt idx="0">
                  <c:v>WBA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wide_company_closes_reorder!$AC$2:$AC$503</c:f>
              <c:numCache>
                <c:formatCode>General</c:formatCode>
                <c:ptCount val="502"/>
                <c:pt idx="0">
                  <c:v>78.959999999999994</c:v>
                </c:pt>
                <c:pt idx="1">
                  <c:v>78.98</c:v>
                </c:pt>
                <c:pt idx="2">
                  <c:v>79.02</c:v>
                </c:pt>
                <c:pt idx="3">
                  <c:v>79.09</c:v>
                </c:pt>
                <c:pt idx="4">
                  <c:v>78.569999999999993</c:v>
                </c:pt>
                <c:pt idx="5">
                  <c:v>78.680000000000007</c:v>
                </c:pt>
                <c:pt idx="6">
                  <c:v>80.36</c:v>
                </c:pt>
                <c:pt idx="7">
                  <c:v>79.87</c:v>
                </c:pt>
                <c:pt idx="8">
                  <c:v>79.78</c:v>
                </c:pt>
                <c:pt idx="9">
                  <c:v>80.16</c:v>
                </c:pt>
                <c:pt idx="10">
                  <c:v>80.06</c:v>
                </c:pt>
                <c:pt idx="11">
                  <c:v>79.459999999999994</c:v>
                </c:pt>
                <c:pt idx="12">
                  <c:v>77.78</c:v>
                </c:pt>
                <c:pt idx="13">
                  <c:v>77.62</c:v>
                </c:pt>
                <c:pt idx="14">
                  <c:v>77.31</c:v>
                </c:pt>
                <c:pt idx="15">
                  <c:v>78.069999999999993</c:v>
                </c:pt>
                <c:pt idx="16">
                  <c:v>77.349999999999994</c:v>
                </c:pt>
                <c:pt idx="17">
                  <c:v>77.569999999999993</c:v>
                </c:pt>
                <c:pt idx="18">
                  <c:v>77.55</c:v>
                </c:pt>
                <c:pt idx="19">
                  <c:v>77.989999999999995</c:v>
                </c:pt>
                <c:pt idx="20">
                  <c:v>77.13</c:v>
                </c:pt>
                <c:pt idx="21">
                  <c:v>76.7</c:v>
                </c:pt>
                <c:pt idx="22">
                  <c:v>76.59</c:v>
                </c:pt>
                <c:pt idx="23">
                  <c:v>76.900000000000006</c:v>
                </c:pt>
                <c:pt idx="24">
                  <c:v>77.5</c:v>
                </c:pt>
                <c:pt idx="25">
                  <c:v>77.599999999999994</c:v>
                </c:pt>
                <c:pt idx="26">
                  <c:v>78.41</c:v>
                </c:pt>
                <c:pt idx="27">
                  <c:v>79.290000000000006</c:v>
                </c:pt>
                <c:pt idx="28">
                  <c:v>79.760000000000005</c:v>
                </c:pt>
                <c:pt idx="29">
                  <c:v>80.11</c:v>
                </c:pt>
                <c:pt idx="30">
                  <c:v>80.55</c:v>
                </c:pt>
                <c:pt idx="31">
                  <c:v>81.89</c:v>
                </c:pt>
                <c:pt idx="32">
                  <c:v>82.09</c:v>
                </c:pt>
                <c:pt idx="33">
                  <c:v>82.61</c:v>
                </c:pt>
                <c:pt idx="34">
                  <c:v>82.5</c:v>
                </c:pt>
                <c:pt idx="35">
                  <c:v>83.17</c:v>
                </c:pt>
                <c:pt idx="36">
                  <c:v>83.76</c:v>
                </c:pt>
                <c:pt idx="37">
                  <c:v>83.39</c:v>
                </c:pt>
                <c:pt idx="38">
                  <c:v>82.58</c:v>
                </c:pt>
                <c:pt idx="39">
                  <c:v>82.96</c:v>
                </c:pt>
                <c:pt idx="40">
                  <c:v>82.93</c:v>
                </c:pt>
                <c:pt idx="41">
                  <c:v>82.12</c:v>
                </c:pt>
                <c:pt idx="42">
                  <c:v>82.11</c:v>
                </c:pt>
                <c:pt idx="43">
                  <c:v>82.21</c:v>
                </c:pt>
                <c:pt idx="44">
                  <c:v>81.42</c:v>
                </c:pt>
                <c:pt idx="45">
                  <c:v>81.56</c:v>
                </c:pt>
                <c:pt idx="46">
                  <c:v>81.87</c:v>
                </c:pt>
                <c:pt idx="47">
                  <c:v>81.849999999999994</c:v>
                </c:pt>
                <c:pt idx="48">
                  <c:v>81.650000000000006</c:v>
                </c:pt>
                <c:pt idx="49">
                  <c:v>82.03</c:v>
                </c:pt>
                <c:pt idx="50">
                  <c:v>81.91</c:v>
                </c:pt>
                <c:pt idx="51">
                  <c:v>82.14</c:v>
                </c:pt>
                <c:pt idx="52">
                  <c:v>80.91</c:v>
                </c:pt>
                <c:pt idx="53">
                  <c:v>79.55</c:v>
                </c:pt>
                <c:pt idx="54">
                  <c:v>79.38</c:v>
                </c:pt>
                <c:pt idx="55">
                  <c:v>79.33</c:v>
                </c:pt>
                <c:pt idx="56">
                  <c:v>79.319999999999993</c:v>
                </c:pt>
                <c:pt idx="57">
                  <c:v>79.89</c:v>
                </c:pt>
                <c:pt idx="58">
                  <c:v>80.06</c:v>
                </c:pt>
                <c:pt idx="59">
                  <c:v>80.09</c:v>
                </c:pt>
                <c:pt idx="60">
                  <c:v>79.650000000000006</c:v>
                </c:pt>
                <c:pt idx="61">
                  <c:v>79.400000000000006</c:v>
                </c:pt>
                <c:pt idx="62">
                  <c:v>79.31</c:v>
                </c:pt>
                <c:pt idx="63">
                  <c:v>78.88</c:v>
                </c:pt>
                <c:pt idx="64">
                  <c:v>77.599999999999994</c:v>
                </c:pt>
                <c:pt idx="65">
                  <c:v>78.069999999999993</c:v>
                </c:pt>
                <c:pt idx="66">
                  <c:v>78.709999999999994</c:v>
                </c:pt>
                <c:pt idx="67">
                  <c:v>78.88</c:v>
                </c:pt>
                <c:pt idx="68">
                  <c:v>79.05</c:v>
                </c:pt>
                <c:pt idx="69">
                  <c:v>78.94</c:v>
                </c:pt>
                <c:pt idx="70">
                  <c:v>78.86</c:v>
                </c:pt>
                <c:pt idx="71">
                  <c:v>79.48</c:v>
                </c:pt>
                <c:pt idx="72">
                  <c:v>79.180000000000007</c:v>
                </c:pt>
                <c:pt idx="73">
                  <c:v>79.84</c:v>
                </c:pt>
                <c:pt idx="74">
                  <c:v>80.44</c:v>
                </c:pt>
                <c:pt idx="75">
                  <c:v>80.34</c:v>
                </c:pt>
                <c:pt idx="76">
                  <c:v>80.58</c:v>
                </c:pt>
                <c:pt idx="77">
                  <c:v>82.14</c:v>
                </c:pt>
                <c:pt idx="78">
                  <c:v>82.14</c:v>
                </c:pt>
                <c:pt idx="79">
                  <c:v>82.12</c:v>
                </c:pt>
                <c:pt idx="80">
                  <c:v>82.74</c:v>
                </c:pt>
                <c:pt idx="81">
                  <c:v>82.66</c:v>
                </c:pt>
                <c:pt idx="82">
                  <c:v>82.04</c:v>
                </c:pt>
                <c:pt idx="83">
                  <c:v>82.02</c:v>
                </c:pt>
                <c:pt idx="84">
                  <c:v>82.27</c:v>
                </c:pt>
                <c:pt idx="85">
                  <c:v>82.12</c:v>
                </c:pt>
                <c:pt idx="86">
                  <c:v>82.07</c:v>
                </c:pt>
                <c:pt idx="87">
                  <c:v>82.2</c:v>
                </c:pt>
                <c:pt idx="88">
                  <c:v>81.86</c:v>
                </c:pt>
                <c:pt idx="89">
                  <c:v>81.739999999999995</c:v>
                </c:pt>
                <c:pt idx="90">
                  <c:v>81.5</c:v>
                </c:pt>
                <c:pt idx="91">
                  <c:v>81.23</c:v>
                </c:pt>
                <c:pt idx="92">
                  <c:v>81.16</c:v>
                </c:pt>
                <c:pt idx="93">
                  <c:v>78.489999999999995</c:v>
                </c:pt>
                <c:pt idx="94">
                  <c:v>78.22</c:v>
                </c:pt>
                <c:pt idx="95">
                  <c:v>77.41</c:v>
                </c:pt>
                <c:pt idx="96">
                  <c:v>78.11</c:v>
                </c:pt>
                <c:pt idx="97">
                  <c:v>78.010000000000005</c:v>
                </c:pt>
                <c:pt idx="98">
                  <c:v>77.38</c:v>
                </c:pt>
                <c:pt idx="99">
                  <c:v>77.540000000000006</c:v>
                </c:pt>
                <c:pt idx="100">
                  <c:v>78.02</c:v>
                </c:pt>
                <c:pt idx="101">
                  <c:v>76.98</c:v>
                </c:pt>
                <c:pt idx="102">
                  <c:v>77.8</c:v>
                </c:pt>
                <c:pt idx="103">
                  <c:v>78.92</c:v>
                </c:pt>
                <c:pt idx="104">
                  <c:v>79.8</c:v>
                </c:pt>
                <c:pt idx="105">
                  <c:v>80.069999999999993</c:v>
                </c:pt>
                <c:pt idx="106">
                  <c:v>78.22</c:v>
                </c:pt>
                <c:pt idx="107">
                  <c:v>78.23</c:v>
                </c:pt>
                <c:pt idx="108">
                  <c:v>78.239999999999995</c:v>
                </c:pt>
                <c:pt idx="109">
                  <c:v>77.77</c:v>
                </c:pt>
                <c:pt idx="110">
                  <c:v>78.56</c:v>
                </c:pt>
                <c:pt idx="111">
                  <c:v>78.55</c:v>
                </c:pt>
                <c:pt idx="112">
                  <c:v>79.59</c:v>
                </c:pt>
                <c:pt idx="113">
                  <c:v>79.28</c:v>
                </c:pt>
                <c:pt idx="114">
                  <c:v>75.33</c:v>
                </c:pt>
                <c:pt idx="115">
                  <c:v>76.64</c:v>
                </c:pt>
                <c:pt idx="116">
                  <c:v>75.19</c:v>
                </c:pt>
                <c:pt idx="117">
                  <c:v>75.02</c:v>
                </c:pt>
                <c:pt idx="118">
                  <c:v>73.34</c:v>
                </c:pt>
                <c:pt idx="119">
                  <c:v>73.31</c:v>
                </c:pt>
                <c:pt idx="120">
                  <c:v>74.45</c:v>
                </c:pt>
                <c:pt idx="121">
                  <c:v>74.19</c:v>
                </c:pt>
                <c:pt idx="122">
                  <c:v>74.03</c:v>
                </c:pt>
                <c:pt idx="123">
                  <c:v>75.260000000000005</c:v>
                </c:pt>
                <c:pt idx="124">
                  <c:v>75.2</c:v>
                </c:pt>
                <c:pt idx="125">
                  <c:v>75.03</c:v>
                </c:pt>
                <c:pt idx="126">
                  <c:v>75.52</c:v>
                </c:pt>
                <c:pt idx="127">
                  <c:v>74.63</c:v>
                </c:pt>
                <c:pt idx="128">
                  <c:v>74.39</c:v>
                </c:pt>
                <c:pt idx="129">
                  <c:v>74.099999999999994</c:v>
                </c:pt>
                <c:pt idx="130">
                  <c:v>74.22</c:v>
                </c:pt>
                <c:pt idx="131">
                  <c:v>74.44</c:v>
                </c:pt>
                <c:pt idx="132">
                  <c:v>74.91</c:v>
                </c:pt>
                <c:pt idx="133">
                  <c:v>75.78</c:v>
                </c:pt>
                <c:pt idx="134">
                  <c:v>76.040000000000006</c:v>
                </c:pt>
                <c:pt idx="135">
                  <c:v>75.55</c:v>
                </c:pt>
                <c:pt idx="136">
                  <c:v>76.400000000000006</c:v>
                </c:pt>
                <c:pt idx="137">
                  <c:v>76.63</c:v>
                </c:pt>
                <c:pt idx="138">
                  <c:v>75.77</c:v>
                </c:pt>
                <c:pt idx="139">
                  <c:v>76.44</c:v>
                </c:pt>
                <c:pt idx="140">
                  <c:v>76.88</c:v>
                </c:pt>
                <c:pt idx="141">
                  <c:v>75.56</c:v>
                </c:pt>
                <c:pt idx="142">
                  <c:v>75.650000000000006</c:v>
                </c:pt>
                <c:pt idx="143">
                  <c:v>76.459999999999994</c:v>
                </c:pt>
                <c:pt idx="144">
                  <c:v>77.47</c:v>
                </c:pt>
                <c:pt idx="145">
                  <c:v>77.91</c:v>
                </c:pt>
                <c:pt idx="146">
                  <c:v>77.81</c:v>
                </c:pt>
                <c:pt idx="147">
                  <c:v>77.83</c:v>
                </c:pt>
                <c:pt idx="148">
                  <c:v>77.84</c:v>
                </c:pt>
                <c:pt idx="149">
                  <c:v>78.27</c:v>
                </c:pt>
                <c:pt idx="150">
                  <c:v>77.86</c:v>
                </c:pt>
                <c:pt idx="151">
                  <c:v>78.05</c:v>
                </c:pt>
                <c:pt idx="152">
                  <c:v>76.58</c:v>
                </c:pt>
                <c:pt idx="153">
                  <c:v>77.52</c:v>
                </c:pt>
                <c:pt idx="154">
                  <c:v>78.290000000000006</c:v>
                </c:pt>
                <c:pt idx="155">
                  <c:v>77.91</c:v>
                </c:pt>
                <c:pt idx="156">
                  <c:v>78.42</c:v>
                </c:pt>
                <c:pt idx="157">
                  <c:v>78.06</c:v>
                </c:pt>
                <c:pt idx="158">
                  <c:v>77.23</c:v>
                </c:pt>
                <c:pt idx="159">
                  <c:v>77.78</c:v>
                </c:pt>
                <c:pt idx="160">
                  <c:v>78.44</c:v>
                </c:pt>
                <c:pt idx="161">
                  <c:v>78.52</c:v>
                </c:pt>
                <c:pt idx="162">
                  <c:v>77.69</c:v>
                </c:pt>
                <c:pt idx="163">
                  <c:v>78.3</c:v>
                </c:pt>
                <c:pt idx="164">
                  <c:v>78.319999999999993</c:v>
                </c:pt>
                <c:pt idx="165">
                  <c:v>78.58</c:v>
                </c:pt>
                <c:pt idx="166">
                  <c:v>78.92</c:v>
                </c:pt>
                <c:pt idx="167">
                  <c:v>78.650000000000006</c:v>
                </c:pt>
                <c:pt idx="168">
                  <c:v>78.38</c:v>
                </c:pt>
                <c:pt idx="169">
                  <c:v>78.61</c:v>
                </c:pt>
                <c:pt idx="170">
                  <c:v>78.900000000000006</c:v>
                </c:pt>
                <c:pt idx="171">
                  <c:v>78.709999999999994</c:v>
                </c:pt>
                <c:pt idx="172">
                  <c:v>78.55</c:v>
                </c:pt>
                <c:pt idx="173">
                  <c:v>79.41</c:v>
                </c:pt>
                <c:pt idx="174">
                  <c:v>79.849999999999994</c:v>
                </c:pt>
                <c:pt idx="175">
                  <c:v>79.84</c:v>
                </c:pt>
                <c:pt idx="176">
                  <c:v>79.14</c:v>
                </c:pt>
                <c:pt idx="177">
                  <c:v>79.62</c:v>
                </c:pt>
                <c:pt idx="178">
                  <c:v>79.709999999999994</c:v>
                </c:pt>
                <c:pt idx="179">
                  <c:v>78.37</c:v>
                </c:pt>
                <c:pt idx="180">
                  <c:v>76.09</c:v>
                </c:pt>
                <c:pt idx="181">
                  <c:v>75.47</c:v>
                </c:pt>
                <c:pt idx="182">
                  <c:v>75.67</c:v>
                </c:pt>
                <c:pt idx="183">
                  <c:v>76.2</c:v>
                </c:pt>
                <c:pt idx="184">
                  <c:v>76.319999999999993</c:v>
                </c:pt>
                <c:pt idx="185">
                  <c:v>75.42</c:v>
                </c:pt>
                <c:pt idx="186">
                  <c:v>74.81</c:v>
                </c:pt>
                <c:pt idx="187">
                  <c:v>74.52</c:v>
                </c:pt>
                <c:pt idx="188">
                  <c:v>73.92</c:v>
                </c:pt>
                <c:pt idx="189">
                  <c:v>74.11</c:v>
                </c:pt>
                <c:pt idx="190">
                  <c:v>73.180000000000007</c:v>
                </c:pt>
                <c:pt idx="191">
                  <c:v>74.260000000000005</c:v>
                </c:pt>
                <c:pt idx="192">
                  <c:v>70.64</c:v>
                </c:pt>
                <c:pt idx="193">
                  <c:v>68.39</c:v>
                </c:pt>
                <c:pt idx="194">
                  <c:v>67.41</c:v>
                </c:pt>
                <c:pt idx="195">
                  <c:v>66.510000000000005</c:v>
                </c:pt>
                <c:pt idx="196">
                  <c:v>66.59</c:v>
                </c:pt>
                <c:pt idx="197">
                  <c:v>65.2</c:v>
                </c:pt>
                <c:pt idx="198">
                  <c:v>64.959999999999994</c:v>
                </c:pt>
                <c:pt idx="199">
                  <c:v>65.05</c:v>
                </c:pt>
                <c:pt idx="200">
                  <c:v>65.37</c:v>
                </c:pt>
                <c:pt idx="201">
                  <c:v>64.849999999999994</c:v>
                </c:pt>
                <c:pt idx="202">
                  <c:v>65.680000000000007</c:v>
                </c:pt>
                <c:pt idx="203">
                  <c:v>65.150000000000006</c:v>
                </c:pt>
                <c:pt idx="204">
                  <c:v>64.94</c:v>
                </c:pt>
                <c:pt idx="205">
                  <c:v>66.94</c:v>
                </c:pt>
                <c:pt idx="206">
                  <c:v>64.77</c:v>
                </c:pt>
                <c:pt idx="207">
                  <c:v>62.23</c:v>
                </c:pt>
                <c:pt idx="208">
                  <c:v>63.94</c:v>
                </c:pt>
                <c:pt idx="209">
                  <c:v>63.95</c:v>
                </c:pt>
                <c:pt idx="210">
                  <c:v>64.67</c:v>
                </c:pt>
                <c:pt idx="211">
                  <c:v>64.45</c:v>
                </c:pt>
                <c:pt idx="212">
                  <c:v>64.53</c:v>
                </c:pt>
                <c:pt idx="213">
                  <c:v>63.64</c:v>
                </c:pt>
                <c:pt idx="214">
                  <c:v>65.55</c:v>
                </c:pt>
                <c:pt idx="215">
                  <c:v>66.489999999999995</c:v>
                </c:pt>
                <c:pt idx="216">
                  <c:v>67.11</c:v>
                </c:pt>
                <c:pt idx="217">
                  <c:v>68.91</c:v>
                </c:pt>
                <c:pt idx="218">
                  <c:v>68.3</c:v>
                </c:pt>
                <c:pt idx="219">
                  <c:v>68.52</c:v>
                </c:pt>
                <c:pt idx="220">
                  <c:v>68.14</c:v>
                </c:pt>
                <c:pt idx="221">
                  <c:v>69.209999999999994</c:v>
                </c:pt>
                <c:pt idx="222">
                  <c:v>69.16</c:v>
                </c:pt>
                <c:pt idx="223">
                  <c:v>68.7</c:v>
                </c:pt>
                <c:pt idx="224">
                  <c:v>69.069999999999993</c:v>
                </c:pt>
                <c:pt idx="225">
                  <c:v>69.239999999999995</c:v>
                </c:pt>
                <c:pt idx="226">
                  <c:v>68.22</c:v>
                </c:pt>
                <c:pt idx="227">
                  <c:v>67.349999999999994</c:v>
                </c:pt>
                <c:pt idx="228">
                  <c:v>70.12</c:v>
                </c:pt>
                <c:pt idx="229">
                  <c:v>69.81</c:v>
                </c:pt>
                <c:pt idx="230">
                  <c:v>70.62</c:v>
                </c:pt>
                <c:pt idx="231">
                  <c:v>69.349999999999994</c:v>
                </c:pt>
                <c:pt idx="232">
                  <c:v>69.47</c:v>
                </c:pt>
                <c:pt idx="233">
                  <c:v>68.12</c:v>
                </c:pt>
                <c:pt idx="234">
                  <c:v>68.959999999999994</c:v>
                </c:pt>
                <c:pt idx="235">
                  <c:v>67.569999999999993</c:v>
                </c:pt>
                <c:pt idx="236">
                  <c:v>69.45</c:v>
                </c:pt>
                <c:pt idx="237">
                  <c:v>69.77</c:v>
                </c:pt>
                <c:pt idx="238">
                  <c:v>69.900000000000006</c:v>
                </c:pt>
                <c:pt idx="239">
                  <c:v>69.61</c:v>
                </c:pt>
                <c:pt idx="240">
                  <c:v>68.290000000000006</c:v>
                </c:pt>
                <c:pt idx="241">
                  <c:v>69.83</c:v>
                </c:pt>
                <c:pt idx="242">
                  <c:v>70.42</c:v>
                </c:pt>
                <c:pt idx="243">
                  <c:v>70.069999999999993</c:v>
                </c:pt>
                <c:pt idx="244">
                  <c:v>70.59</c:v>
                </c:pt>
                <c:pt idx="245">
                  <c:v>71.099999999999994</c:v>
                </c:pt>
                <c:pt idx="246">
                  <c:v>70.58</c:v>
                </c:pt>
                <c:pt idx="247">
                  <c:v>71.150000000000006</c:v>
                </c:pt>
                <c:pt idx="248">
                  <c:v>70.72</c:v>
                </c:pt>
                <c:pt idx="249">
                  <c:v>70.8</c:v>
                </c:pt>
                <c:pt idx="250">
                  <c:v>70.489999999999995</c:v>
                </c:pt>
                <c:pt idx="251">
                  <c:v>72.75</c:v>
                </c:pt>
                <c:pt idx="252">
                  <c:v>73.290000000000006</c:v>
                </c:pt>
                <c:pt idx="253">
                  <c:v>69.5</c:v>
                </c:pt>
                <c:pt idx="254">
                  <c:v>70.78</c:v>
                </c:pt>
                <c:pt idx="255">
                  <c:v>71.680000000000007</c:v>
                </c:pt>
                <c:pt idx="256">
                  <c:v>71.260000000000005</c:v>
                </c:pt>
                <c:pt idx="257">
                  <c:v>71.91</c:v>
                </c:pt>
                <c:pt idx="258">
                  <c:v>73.17</c:v>
                </c:pt>
                <c:pt idx="259">
                  <c:v>73.84</c:v>
                </c:pt>
                <c:pt idx="260">
                  <c:v>73.8</c:v>
                </c:pt>
                <c:pt idx="261">
                  <c:v>73.56</c:v>
                </c:pt>
                <c:pt idx="262">
                  <c:v>73.77</c:v>
                </c:pt>
                <c:pt idx="263">
                  <c:v>74.23</c:v>
                </c:pt>
                <c:pt idx="264">
                  <c:v>75.13</c:v>
                </c:pt>
                <c:pt idx="265">
                  <c:v>74.760000000000005</c:v>
                </c:pt>
                <c:pt idx="266">
                  <c:v>75.06</c:v>
                </c:pt>
                <c:pt idx="267">
                  <c:v>75.97</c:v>
                </c:pt>
                <c:pt idx="268">
                  <c:v>76.83</c:v>
                </c:pt>
                <c:pt idx="269">
                  <c:v>77.91</c:v>
                </c:pt>
                <c:pt idx="270">
                  <c:v>73.900000000000006</c:v>
                </c:pt>
                <c:pt idx="271">
                  <c:v>73.05</c:v>
                </c:pt>
                <c:pt idx="272">
                  <c:v>73.83</c:v>
                </c:pt>
                <c:pt idx="273">
                  <c:v>71.400000000000006</c:v>
                </c:pt>
                <c:pt idx="274">
                  <c:v>68.36</c:v>
                </c:pt>
                <c:pt idx="275">
                  <c:v>69.680000000000007</c:v>
                </c:pt>
                <c:pt idx="276">
                  <c:v>69.430000000000007</c:v>
                </c:pt>
                <c:pt idx="277">
                  <c:v>66.22</c:v>
                </c:pt>
                <c:pt idx="278">
                  <c:v>66.45</c:v>
                </c:pt>
                <c:pt idx="279">
                  <c:v>66.45</c:v>
                </c:pt>
                <c:pt idx="280">
                  <c:v>66.290000000000006</c:v>
                </c:pt>
                <c:pt idx="281">
                  <c:v>66.87</c:v>
                </c:pt>
                <c:pt idx="282">
                  <c:v>68.13</c:v>
                </c:pt>
                <c:pt idx="283">
                  <c:v>69.239999999999995</c:v>
                </c:pt>
                <c:pt idx="284">
                  <c:v>69.23</c:v>
                </c:pt>
                <c:pt idx="285">
                  <c:v>67.98</c:v>
                </c:pt>
                <c:pt idx="286">
                  <c:v>68.02</c:v>
                </c:pt>
                <c:pt idx="287">
                  <c:v>68.7</c:v>
                </c:pt>
                <c:pt idx="288">
                  <c:v>68.930000000000007</c:v>
                </c:pt>
                <c:pt idx="289">
                  <c:v>67.510000000000005</c:v>
                </c:pt>
                <c:pt idx="290">
                  <c:v>67.260000000000005</c:v>
                </c:pt>
                <c:pt idx="291">
                  <c:v>68.540000000000006</c:v>
                </c:pt>
                <c:pt idx="292">
                  <c:v>68.91</c:v>
                </c:pt>
                <c:pt idx="293">
                  <c:v>68.88</c:v>
                </c:pt>
                <c:pt idx="294">
                  <c:v>68.14</c:v>
                </c:pt>
                <c:pt idx="295">
                  <c:v>67.86</c:v>
                </c:pt>
                <c:pt idx="296">
                  <c:v>67.34</c:v>
                </c:pt>
                <c:pt idx="297">
                  <c:v>68.930000000000007</c:v>
                </c:pt>
                <c:pt idx="298">
                  <c:v>68.489999999999995</c:v>
                </c:pt>
                <c:pt idx="299">
                  <c:v>68.209999999999994</c:v>
                </c:pt>
                <c:pt idx="300">
                  <c:v>66.930000000000007</c:v>
                </c:pt>
                <c:pt idx="301">
                  <c:v>65.790000000000006</c:v>
                </c:pt>
                <c:pt idx="302">
                  <c:v>65.97</c:v>
                </c:pt>
                <c:pt idx="303">
                  <c:v>65.05</c:v>
                </c:pt>
                <c:pt idx="304">
                  <c:v>64.489999999999995</c:v>
                </c:pt>
                <c:pt idx="305">
                  <c:v>64.7</c:v>
                </c:pt>
                <c:pt idx="306">
                  <c:v>64.27</c:v>
                </c:pt>
                <c:pt idx="307">
                  <c:v>63.88</c:v>
                </c:pt>
                <c:pt idx="308">
                  <c:v>65.88</c:v>
                </c:pt>
                <c:pt idx="309">
                  <c:v>64.400000000000006</c:v>
                </c:pt>
                <c:pt idx="310">
                  <c:v>65.989999999999995</c:v>
                </c:pt>
                <c:pt idx="311">
                  <c:v>63.92</c:v>
                </c:pt>
                <c:pt idx="312">
                  <c:v>61.61</c:v>
                </c:pt>
                <c:pt idx="313">
                  <c:v>61.68</c:v>
                </c:pt>
                <c:pt idx="314">
                  <c:v>63.96</c:v>
                </c:pt>
                <c:pt idx="315">
                  <c:v>63.12</c:v>
                </c:pt>
                <c:pt idx="316">
                  <c:v>61.97</c:v>
                </c:pt>
                <c:pt idx="317">
                  <c:v>61.36</c:v>
                </c:pt>
                <c:pt idx="318">
                  <c:v>62.25</c:v>
                </c:pt>
                <c:pt idx="319">
                  <c:v>62.59</c:v>
                </c:pt>
                <c:pt idx="320">
                  <c:v>62.53</c:v>
                </c:pt>
                <c:pt idx="321">
                  <c:v>62.31</c:v>
                </c:pt>
                <c:pt idx="322">
                  <c:v>64.650000000000006</c:v>
                </c:pt>
                <c:pt idx="323">
                  <c:v>64.41</c:v>
                </c:pt>
                <c:pt idx="324">
                  <c:v>64.69</c:v>
                </c:pt>
                <c:pt idx="325">
                  <c:v>63.74</c:v>
                </c:pt>
                <c:pt idx="326">
                  <c:v>62.41</c:v>
                </c:pt>
                <c:pt idx="327">
                  <c:v>63.07</c:v>
                </c:pt>
                <c:pt idx="328">
                  <c:v>63.46</c:v>
                </c:pt>
                <c:pt idx="329">
                  <c:v>64.39</c:v>
                </c:pt>
                <c:pt idx="330">
                  <c:v>65.16</c:v>
                </c:pt>
                <c:pt idx="331">
                  <c:v>65.52</c:v>
                </c:pt>
                <c:pt idx="332">
                  <c:v>64.88</c:v>
                </c:pt>
                <c:pt idx="333">
                  <c:v>63.87</c:v>
                </c:pt>
                <c:pt idx="334">
                  <c:v>62.15</c:v>
                </c:pt>
                <c:pt idx="335">
                  <c:v>60.76</c:v>
                </c:pt>
                <c:pt idx="336">
                  <c:v>62.3</c:v>
                </c:pt>
                <c:pt idx="337">
                  <c:v>60.83</c:v>
                </c:pt>
                <c:pt idx="338">
                  <c:v>60.89</c:v>
                </c:pt>
                <c:pt idx="339">
                  <c:v>61.45</c:v>
                </c:pt>
                <c:pt idx="340">
                  <c:v>62.3</c:v>
                </c:pt>
                <c:pt idx="341">
                  <c:v>62.58</c:v>
                </c:pt>
                <c:pt idx="342">
                  <c:v>63.56</c:v>
                </c:pt>
                <c:pt idx="343">
                  <c:v>63.08</c:v>
                </c:pt>
                <c:pt idx="344">
                  <c:v>64.19</c:v>
                </c:pt>
                <c:pt idx="345">
                  <c:v>64.819999999999993</c:v>
                </c:pt>
                <c:pt idx="346">
                  <c:v>63.2</c:v>
                </c:pt>
                <c:pt idx="347">
                  <c:v>63.36</c:v>
                </c:pt>
                <c:pt idx="348">
                  <c:v>63.1</c:v>
                </c:pt>
                <c:pt idx="349">
                  <c:v>62.78</c:v>
                </c:pt>
                <c:pt idx="350">
                  <c:v>62.29</c:v>
                </c:pt>
                <c:pt idx="351">
                  <c:v>62.41</c:v>
                </c:pt>
                <c:pt idx="352">
                  <c:v>61.59</c:v>
                </c:pt>
                <c:pt idx="353">
                  <c:v>62.42</c:v>
                </c:pt>
                <c:pt idx="354">
                  <c:v>61.29</c:v>
                </c:pt>
                <c:pt idx="355">
                  <c:v>61.75</c:v>
                </c:pt>
                <c:pt idx="356">
                  <c:v>62.18</c:v>
                </c:pt>
                <c:pt idx="357">
                  <c:v>61.78</c:v>
                </c:pt>
                <c:pt idx="358">
                  <c:v>62.03</c:v>
                </c:pt>
                <c:pt idx="359">
                  <c:v>62.48</c:v>
                </c:pt>
                <c:pt idx="360">
                  <c:v>62.28</c:v>
                </c:pt>
                <c:pt idx="361">
                  <c:v>62.93</c:v>
                </c:pt>
                <c:pt idx="362">
                  <c:v>62.57</c:v>
                </c:pt>
                <c:pt idx="363">
                  <c:v>62.78</c:v>
                </c:pt>
                <c:pt idx="364">
                  <c:v>63.72</c:v>
                </c:pt>
                <c:pt idx="365">
                  <c:v>64.64</c:v>
                </c:pt>
                <c:pt idx="366">
                  <c:v>63.02</c:v>
                </c:pt>
                <c:pt idx="367">
                  <c:v>63.47</c:v>
                </c:pt>
                <c:pt idx="368">
                  <c:v>66.8</c:v>
                </c:pt>
                <c:pt idx="369">
                  <c:v>66.59</c:v>
                </c:pt>
                <c:pt idx="370">
                  <c:v>66.42</c:v>
                </c:pt>
                <c:pt idx="371">
                  <c:v>66.05</c:v>
                </c:pt>
                <c:pt idx="372">
                  <c:v>65.39</c:v>
                </c:pt>
                <c:pt idx="373">
                  <c:v>65.09</c:v>
                </c:pt>
                <c:pt idx="374">
                  <c:v>58.65</c:v>
                </c:pt>
                <c:pt idx="375">
                  <c:v>58.96</c:v>
                </c:pt>
                <c:pt idx="376">
                  <c:v>60.05</c:v>
                </c:pt>
                <c:pt idx="377">
                  <c:v>59.69</c:v>
                </c:pt>
                <c:pt idx="378">
                  <c:v>61.28</c:v>
                </c:pt>
                <c:pt idx="379">
                  <c:v>62.18</c:v>
                </c:pt>
                <c:pt idx="380">
                  <c:v>62.6</c:v>
                </c:pt>
                <c:pt idx="381">
                  <c:v>62.08</c:v>
                </c:pt>
                <c:pt idx="382">
                  <c:v>62.54</c:v>
                </c:pt>
                <c:pt idx="383">
                  <c:v>62.75</c:v>
                </c:pt>
                <c:pt idx="384">
                  <c:v>64.02</c:v>
                </c:pt>
                <c:pt idx="385">
                  <c:v>64.010000000000005</c:v>
                </c:pt>
                <c:pt idx="386">
                  <c:v>64.47</c:v>
                </c:pt>
                <c:pt idx="387">
                  <c:v>64.989999999999995</c:v>
                </c:pt>
                <c:pt idx="388">
                  <c:v>63.78</c:v>
                </c:pt>
                <c:pt idx="389">
                  <c:v>63.83</c:v>
                </c:pt>
                <c:pt idx="390">
                  <c:v>64.19</c:v>
                </c:pt>
                <c:pt idx="391">
                  <c:v>64.349999999999994</c:v>
                </c:pt>
                <c:pt idx="392">
                  <c:v>65.52</c:v>
                </c:pt>
                <c:pt idx="393">
                  <c:v>66.349999999999994</c:v>
                </c:pt>
                <c:pt idx="394">
                  <c:v>67.430000000000007</c:v>
                </c:pt>
                <c:pt idx="395">
                  <c:v>67.94</c:v>
                </c:pt>
                <c:pt idx="396">
                  <c:v>66.430000000000007</c:v>
                </c:pt>
                <c:pt idx="397">
                  <c:v>65.27</c:v>
                </c:pt>
                <c:pt idx="398">
                  <c:v>65.8</c:v>
                </c:pt>
                <c:pt idx="399">
                  <c:v>66.03</c:v>
                </c:pt>
                <c:pt idx="400">
                  <c:v>66.23</c:v>
                </c:pt>
                <c:pt idx="401">
                  <c:v>65.87</c:v>
                </c:pt>
                <c:pt idx="402">
                  <c:v>65.319999999999993</c:v>
                </c:pt>
                <c:pt idx="403">
                  <c:v>65</c:v>
                </c:pt>
                <c:pt idx="404">
                  <c:v>65.319999999999993</c:v>
                </c:pt>
                <c:pt idx="405">
                  <c:v>65.31</c:v>
                </c:pt>
                <c:pt idx="406">
                  <c:v>67.45</c:v>
                </c:pt>
                <c:pt idx="407">
                  <c:v>67.52</c:v>
                </c:pt>
                <c:pt idx="408">
                  <c:v>68.39</c:v>
                </c:pt>
                <c:pt idx="409">
                  <c:v>69.19</c:v>
                </c:pt>
                <c:pt idx="410">
                  <c:v>69.19</c:v>
                </c:pt>
                <c:pt idx="411">
                  <c:v>69.45</c:v>
                </c:pt>
                <c:pt idx="412">
                  <c:v>68.849999999999994</c:v>
                </c:pt>
                <c:pt idx="413">
                  <c:v>68.489999999999995</c:v>
                </c:pt>
                <c:pt idx="414">
                  <c:v>68.42</c:v>
                </c:pt>
                <c:pt idx="415">
                  <c:v>68.650000000000006</c:v>
                </c:pt>
                <c:pt idx="416">
                  <c:v>68.489999999999995</c:v>
                </c:pt>
                <c:pt idx="417">
                  <c:v>67.88</c:v>
                </c:pt>
                <c:pt idx="418">
                  <c:v>67.03</c:v>
                </c:pt>
                <c:pt idx="419">
                  <c:v>67.78</c:v>
                </c:pt>
                <c:pt idx="420">
                  <c:v>66.849999999999994</c:v>
                </c:pt>
                <c:pt idx="421">
                  <c:v>67.459999999999994</c:v>
                </c:pt>
                <c:pt idx="422">
                  <c:v>67.25</c:v>
                </c:pt>
                <c:pt idx="423">
                  <c:v>67.41</c:v>
                </c:pt>
                <c:pt idx="424">
                  <c:v>68.010000000000005</c:v>
                </c:pt>
                <c:pt idx="425">
                  <c:v>67.959999999999994</c:v>
                </c:pt>
                <c:pt idx="426">
                  <c:v>69.58</c:v>
                </c:pt>
                <c:pt idx="427">
                  <c:v>69.680000000000007</c:v>
                </c:pt>
                <c:pt idx="428">
                  <c:v>69.48</c:v>
                </c:pt>
                <c:pt idx="429">
                  <c:v>69.650000000000006</c:v>
                </c:pt>
                <c:pt idx="430">
                  <c:v>70.069999999999993</c:v>
                </c:pt>
                <c:pt idx="431">
                  <c:v>70.47</c:v>
                </c:pt>
                <c:pt idx="432">
                  <c:v>72.06</c:v>
                </c:pt>
                <c:pt idx="433">
                  <c:v>72.17</c:v>
                </c:pt>
                <c:pt idx="434">
                  <c:v>71.38</c:v>
                </c:pt>
                <c:pt idx="435">
                  <c:v>71.39</c:v>
                </c:pt>
                <c:pt idx="436">
                  <c:v>72.13</c:v>
                </c:pt>
                <c:pt idx="437">
                  <c:v>72.97</c:v>
                </c:pt>
                <c:pt idx="438">
                  <c:v>72.069999999999993</c:v>
                </c:pt>
                <c:pt idx="439">
                  <c:v>71.63</c:v>
                </c:pt>
                <c:pt idx="440">
                  <c:v>72.650000000000006</c:v>
                </c:pt>
                <c:pt idx="441">
                  <c:v>72.959999999999994</c:v>
                </c:pt>
                <c:pt idx="442">
                  <c:v>72.5</c:v>
                </c:pt>
                <c:pt idx="443">
                  <c:v>71.680000000000007</c:v>
                </c:pt>
                <c:pt idx="444">
                  <c:v>73.3</c:v>
                </c:pt>
                <c:pt idx="445">
                  <c:v>72.72</c:v>
                </c:pt>
                <c:pt idx="446">
                  <c:v>71.48</c:v>
                </c:pt>
                <c:pt idx="447">
                  <c:v>70.09</c:v>
                </c:pt>
                <c:pt idx="448">
                  <c:v>72.66</c:v>
                </c:pt>
                <c:pt idx="449">
                  <c:v>73.87</c:v>
                </c:pt>
                <c:pt idx="450">
                  <c:v>75.41</c:v>
                </c:pt>
                <c:pt idx="451">
                  <c:v>76.099999999999994</c:v>
                </c:pt>
                <c:pt idx="452">
                  <c:v>75.709999999999994</c:v>
                </c:pt>
                <c:pt idx="453">
                  <c:v>76.47</c:v>
                </c:pt>
                <c:pt idx="454">
                  <c:v>76.760000000000005</c:v>
                </c:pt>
                <c:pt idx="455">
                  <c:v>76.38</c:v>
                </c:pt>
                <c:pt idx="456">
                  <c:v>73.349999999999994</c:v>
                </c:pt>
                <c:pt idx="457">
                  <c:v>74.88</c:v>
                </c:pt>
                <c:pt idx="458">
                  <c:v>75.36</c:v>
                </c:pt>
                <c:pt idx="459">
                  <c:v>75.94</c:v>
                </c:pt>
                <c:pt idx="460">
                  <c:v>77.900000000000006</c:v>
                </c:pt>
                <c:pt idx="461">
                  <c:v>78.86</c:v>
                </c:pt>
                <c:pt idx="462">
                  <c:v>78.989999999999995</c:v>
                </c:pt>
                <c:pt idx="463">
                  <c:v>78.39</c:v>
                </c:pt>
                <c:pt idx="464">
                  <c:v>79.06</c:v>
                </c:pt>
                <c:pt idx="465">
                  <c:v>79.680000000000007</c:v>
                </c:pt>
                <c:pt idx="466">
                  <c:v>80.98</c:v>
                </c:pt>
                <c:pt idx="467">
                  <c:v>81.94</c:v>
                </c:pt>
                <c:pt idx="468">
                  <c:v>81.89</c:v>
                </c:pt>
                <c:pt idx="469">
                  <c:v>81.31</c:v>
                </c:pt>
                <c:pt idx="470">
                  <c:v>81.42</c:v>
                </c:pt>
                <c:pt idx="471">
                  <c:v>81.02</c:v>
                </c:pt>
                <c:pt idx="472">
                  <c:v>81.790000000000006</c:v>
                </c:pt>
                <c:pt idx="473">
                  <c:v>82.02</c:v>
                </c:pt>
                <c:pt idx="474">
                  <c:v>81.42</c:v>
                </c:pt>
                <c:pt idx="475">
                  <c:v>79.31</c:v>
                </c:pt>
                <c:pt idx="476">
                  <c:v>79.28</c:v>
                </c:pt>
                <c:pt idx="477">
                  <c:v>80.319999999999993</c:v>
                </c:pt>
                <c:pt idx="478">
                  <c:v>81.2</c:v>
                </c:pt>
                <c:pt idx="479">
                  <c:v>83.01</c:v>
                </c:pt>
                <c:pt idx="480">
                  <c:v>84.13</c:v>
                </c:pt>
                <c:pt idx="481">
                  <c:v>84.33</c:v>
                </c:pt>
                <c:pt idx="482">
                  <c:v>84.16</c:v>
                </c:pt>
                <c:pt idx="483">
                  <c:v>85.17</c:v>
                </c:pt>
                <c:pt idx="484">
                  <c:v>82.32</c:v>
                </c:pt>
                <c:pt idx="485">
                  <c:v>82.44</c:v>
                </c:pt>
                <c:pt idx="486">
                  <c:v>80.7</c:v>
                </c:pt>
                <c:pt idx="487">
                  <c:v>80.67</c:v>
                </c:pt>
                <c:pt idx="488">
                  <c:v>81.31</c:v>
                </c:pt>
                <c:pt idx="489">
                  <c:v>81.94</c:v>
                </c:pt>
                <c:pt idx="490">
                  <c:v>81.819999999999993</c:v>
                </c:pt>
                <c:pt idx="491">
                  <c:v>78.260000000000005</c:v>
                </c:pt>
                <c:pt idx="492">
                  <c:v>75.760000000000005</c:v>
                </c:pt>
                <c:pt idx="493">
                  <c:v>75.02</c:v>
                </c:pt>
                <c:pt idx="494">
                  <c:v>72.84</c:v>
                </c:pt>
                <c:pt idx="495">
                  <c:v>69.19</c:v>
                </c:pt>
                <c:pt idx="496">
                  <c:v>66.849999999999994</c:v>
                </c:pt>
                <c:pt idx="497">
                  <c:v>64.86</c:v>
                </c:pt>
                <c:pt idx="498">
                  <c:v>67.31</c:v>
                </c:pt>
                <c:pt idx="499">
                  <c:v>67.94</c:v>
                </c:pt>
                <c:pt idx="500">
                  <c:v>67.64</c:v>
                </c:pt>
                <c:pt idx="501">
                  <c:v>67.91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A88-4627-A9B5-13E947E20CD9}"/>
            </c:ext>
          </c:extLst>
        </c:ser>
        <c:ser>
          <c:idx val="28"/>
          <c:order val="28"/>
          <c:tx>
            <c:strRef>
              <c:f>wide_company_closes_reorder!$AD$1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wide_company_closes_reorder!$AD$2:$AD$503</c:f>
              <c:numCache>
                <c:formatCode>General</c:formatCode>
                <c:ptCount val="502"/>
                <c:pt idx="0">
                  <c:v>65.38</c:v>
                </c:pt>
                <c:pt idx="1">
                  <c:v>65.760000000000005</c:v>
                </c:pt>
                <c:pt idx="2">
                  <c:v>65.900000000000006</c:v>
                </c:pt>
                <c:pt idx="3">
                  <c:v>65</c:v>
                </c:pt>
                <c:pt idx="4">
                  <c:v>65.430000000000007</c:v>
                </c:pt>
                <c:pt idx="5">
                  <c:v>64.97</c:v>
                </c:pt>
                <c:pt idx="6">
                  <c:v>65.25</c:v>
                </c:pt>
                <c:pt idx="7">
                  <c:v>64.72</c:v>
                </c:pt>
                <c:pt idx="8">
                  <c:v>63.92</c:v>
                </c:pt>
                <c:pt idx="9">
                  <c:v>65.150000000000006</c:v>
                </c:pt>
                <c:pt idx="10">
                  <c:v>64.849999999999994</c:v>
                </c:pt>
                <c:pt idx="11">
                  <c:v>64.39</c:v>
                </c:pt>
                <c:pt idx="12">
                  <c:v>63.97</c:v>
                </c:pt>
                <c:pt idx="13">
                  <c:v>63.46</c:v>
                </c:pt>
                <c:pt idx="14">
                  <c:v>64.180000000000007</c:v>
                </c:pt>
                <c:pt idx="15">
                  <c:v>63.69</c:v>
                </c:pt>
                <c:pt idx="16">
                  <c:v>63.54</c:v>
                </c:pt>
                <c:pt idx="17">
                  <c:v>62.52</c:v>
                </c:pt>
                <c:pt idx="18">
                  <c:v>63.25</c:v>
                </c:pt>
                <c:pt idx="19">
                  <c:v>63.55</c:v>
                </c:pt>
                <c:pt idx="20">
                  <c:v>63.06</c:v>
                </c:pt>
                <c:pt idx="21">
                  <c:v>63.51</c:v>
                </c:pt>
                <c:pt idx="22">
                  <c:v>63.32</c:v>
                </c:pt>
                <c:pt idx="23">
                  <c:v>63.23</c:v>
                </c:pt>
                <c:pt idx="24">
                  <c:v>63.69</c:v>
                </c:pt>
                <c:pt idx="25">
                  <c:v>64.569999999999993</c:v>
                </c:pt>
                <c:pt idx="26">
                  <c:v>65.78</c:v>
                </c:pt>
                <c:pt idx="27">
                  <c:v>64.77</c:v>
                </c:pt>
                <c:pt idx="28">
                  <c:v>64.53</c:v>
                </c:pt>
                <c:pt idx="29">
                  <c:v>65.38</c:v>
                </c:pt>
                <c:pt idx="30">
                  <c:v>65.41</c:v>
                </c:pt>
                <c:pt idx="31">
                  <c:v>65.58</c:v>
                </c:pt>
                <c:pt idx="32">
                  <c:v>66.05</c:v>
                </c:pt>
                <c:pt idx="33">
                  <c:v>68.03</c:v>
                </c:pt>
                <c:pt idx="34">
                  <c:v>68.28</c:v>
                </c:pt>
                <c:pt idx="35">
                  <c:v>67.900000000000006</c:v>
                </c:pt>
                <c:pt idx="36">
                  <c:v>68.930000000000007</c:v>
                </c:pt>
                <c:pt idx="37">
                  <c:v>68.31</c:v>
                </c:pt>
                <c:pt idx="38">
                  <c:v>67.540000000000006</c:v>
                </c:pt>
                <c:pt idx="39">
                  <c:v>67.08</c:v>
                </c:pt>
                <c:pt idx="40">
                  <c:v>67.38</c:v>
                </c:pt>
                <c:pt idx="41">
                  <c:v>66.680000000000007</c:v>
                </c:pt>
                <c:pt idx="42">
                  <c:v>66.540000000000006</c:v>
                </c:pt>
                <c:pt idx="43">
                  <c:v>66.53</c:v>
                </c:pt>
                <c:pt idx="44">
                  <c:v>66.95</c:v>
                </c:pt>
                <c:pt idx="45">
                  <c:v>67.010000000000005</c:v>
                </c:pt>
                <c:pt idx="46">
                  <c:v>67.239999999999995</c:v>
                </c:pt>
                <c:pt idx="47">
                  <c:v>67.099999999999994</c:v>
                </c:pt>
                <c:pt idx="48">
                  <c:v>67.83</c:v>
                </c:pt>
                <c:pt idx="49">
                  <c:v>67.7</c:v>
                </c:pt>
                <c:pt idx="50">
                  <c:v>67.569999999999993</c:v>
                </c:pt>
                <c:pt idx="51">
                  <c:v>67.040000000000006</c:v>
                </c:pt>
                <c:pt idx="52">
                  <c:v>67.12</c:v>
                </c:pt>
                <c:pt idx="53">
                  <c:v>67.05</c:v>
                </c:pt>
                <c:pt idx="54">
                  <c:v>67.38</c:v>
                </c:pt>
                <c:pt idx="55">
                  <c:v>67.010000000000005</c:v>
                </c:pt>
                <c:pt idx="56">
                  <c:v>66.77</c:v>
                </c:pt>
                <c:pt idx="57">
                  <c:v>66.819999999999993</c:v>
                </c:pt>
                <c:pt idx="58">
                  <c:v>67.45</c:v>
                </c:pt>
                <c:pt idx="59">
                  <c:v>67.849999999999994</c:v>
                </c:pt>
                <c:pt idx="60">
                  <c:v>68.67</c:v>
                </c:pt>
                <c:pt idx="61">
                  <c:v>69.14</c:v>
                </c:pt>
                <c:pt idx="62">
                  <c:v>68.900000000000006</c:v>
                </c:pt>
                <c:pt idx="63">
                  <c:v>69.069999999999993</c:v>
                </c:pt>
                <c:pt idx="64">
                  <c:v>68.73</c:v>
                </c:pt>
                <c:pt idx="65">
                  <c:v>68.52</c:v>
                </c:pt>
                <c:pt idx="66">
                  <c:v>69.930000000000007</c:v>
                </c:pt>
                <c:pt idx="67">
                  <c:v>70.08</c:v>
                </c:pt>
                <c:pt idx="68">
                  <c:v>70.430000000000007</c:v>
                </c:pt>
                <c:pt idx="69">
                  <c:v>70.44</c:v>
                </c:pt>
                <c:pt idx="70">
                  <c:v>70.17</c:v>
                </c:pt>
                <c:pt idx="71">
                  <c:v>70.489999999999995</c:v>
                </c:pt>
                <c:pt idx="72">
                  <c:v>70.88</c:v>
                </c:pt>
                <c:pt idx="73">
                  <c:v>71.05</c:v>
                </c:pt>
                <c:pt idx="74">
                  <c:v>71.75</c:v>
                </c:pt>
                <c:pt idx="75">
                  <c:v>71.88</c:v>
                </c:pt>
                <c:pt idx="76">
                  <c:v>71.73</c:v>
                </c:pt>
                <c:pt idx="77">
                  <c:v>71.989999999999995</c:v>
                </c:pt>
                <c:pt idx="78">
                  <c:v>72.349999999999994</c:v>
                </c:pt>
                <c:pt idx="79">
                  <c:v>72.36</c:v>
                </c:pt>
                <c:pt idx="80">
                  <c:v>72.11</c:v>
                </c:pt>
                <c:pt idx="81">
                  <c:v>72.16</c:v>
                </c:pt>
                <c:pt idx="82">
                  <c:v>72.44</c:v>
                </c:pt>
                <c:pt idx="83">
                  <c:v>72.67</c:v>
                </c:pt>
                <c:pt idx="84">
                  <c:v>73.23</c:v>
                </c:pt>
                <c:pt idx="85">
                  <c:v>73.38</c:v>
                </c:pt>
                <c:pt idx="86">
                  <c:v>73.010000000000005</c:v>
                </c:pt>
                <c:pt idx="87">
                  <c:v>73.59</c:v>
                </c:pt>
                <c:pt idx="88">
                  <c:v>74.06</c:v>
                </c:pt>
                <c:pt idx="89">
                  <c:v>73.510000000000005</c:v>
                </c:pt>
                <c:pt idx="90">
                  <c:v>73.11</c:v>
                </c:pt>
                <c:pt idx="91">
                  <c:v>73.67</c:v>
                </c:pt>
                <c:pt idx="92">
                  <c:v>72.53</c:v>
                </c:pt>
                <c:pt idx="93">
                  <c:v>72.540000000000006</c:v>
                </c:pt>
                <c:pt idx="94">
                  <c:v>74.87</c:v>
                </c:pt>
                <c:pt idx="95">
                  <c:v>76.06</c:v>
                </c:pt>
                <c:pt idx="96">
                  <c:v>75.849999999999994</c:v>
                </c:pt>
                <c:pt idx="97">
                  <c:v>75.790000000000006</c:v>
                </c:pt>
                <c:pt idx="98">
                  <c:v>75.459999999999994</c:v>
                </c:pt>
                <c:pt idx="99">
                  <c:v>75.62</c:v>
                </c:pt>
                <c:pt idx="100">
                  <c:v>75.44</c:v>
                </c:pt>
                <c:pt idx="101">
                  <c:v>75.459999999999994</c:v>
                </c:pt>
                <c:pt idx="102">
                  <c:v>75.900000000000006</c:v>
                </c:pt>
                <c:pt idx="103">
                  <c:v>77.069999999999993</c:v>
                </c:pt>
                <c:pt idx="104">
                  <c:v>76.88</c:v>
                </c:pt>
                <c:pt idx="105">
                  <c:v>77.5</c:v>
                </c:pt>
                <c:pt idx="106">
                  <c:v>76.22</c:v>
                </c:pt>
                <c:pt idx="107">
                  <c:v>76.430000000000007</c:v>
                </c:pt>
                <c:pt idx="108">
                  <c:v>76.22</c:v>
                </c:pt>
                <c:pt idx="109">
                  <c:v>76.69</c:v>
                </c:pt>
                <c:pt idx="110">
                  <c:v>76.52</c:v>
                </c:pt>
                <c:pt idx="111">
                  <c:v>76.790000000000006</c:v>
                </c:pt>
                <c:pt idx="112">
                  <c:v>77.150000000000006</c:v>
                </c:pt>
                <c:pt idx="113">
                  <c:v>76.2</c:v>
                </c:pt>
                <c:pt idx="114">
                  <c:v>72.650000000000006</c:v>
                </c:pt>
                <c:pt idx="115">
                  <c:v>72.900000000000006</c:v>
                </c:pt>
                <c:pt idx="116">
                  <c:v>72.94</c:v>
                </c:pt>
                <c:pt idx="117">
                  <c:v>73.62</c:v>
                </c:pt>
                <c:pt idx="118">
                  <c:v>72.92</c:v>
                </c:pt>
                <c:pt idx="119">
                  <c:v>72.27</c:v>
                </c:pt>
                <c:pt idx="120">
                  <c:v>72.900000000000006</c:v>
                </c:pt>
                <c:pt idx="121">
                  <c:v>73.400000000000006</c:v>
                </c:pt>
                <c:pt idx="122">
                  <c:v>73.88</c:v>
                </c:pt>
                <c:pt idx="123">
                  <c:v>73.319999999999993</c:v>
                </c:pt>
                <c:pt idx="124">
                  <c:v>73.08</c:v>
                </c:pt>
                <c:pt idx="125">
                  <c:v>72.77</c:v>
                </c:pt>
                <c:pt idx="126">
                  <c:v>72.73</c:v>
                </c:pt>
                <c:pt idx="127">
                  <c:v>72.88</c:v>
                </c:pt>
                <c:pt idx="128">
                  <c:v>72.739999999999995</c:v>
                </c:pt>
                <c:pt idx="129">
                  <c:v>70.709999999999994</c:v>
                </c:pt>
                <c:pt idx="130">
                  <c:v>70.94</c:v>
                </c:pt>
                <c:pt idx="131">
                  <c:v>71.400000000000006</c:v>
                </c:pt>
                <c:pt idx="132">
                  <c:v>72.47</c:v>
                </c:pt>
                <c:pt idx="133">
                  <c:v>73.72</c:v>
                </c:pt>
                <c:pt idx="134">
                  <c:v>73.739999999999995</c:v>
                </c:pt>
                <c:pt idx="135">
                  <c:v>73.58</c:v>
                </c:pt>
                <c:pt idx="136">
                  <c:v>73.260000000000005</c:v>
                </c:pt>
                <c:pt idx="137">
                  <c:v>73.41</c:v>
                </c:pt>
                <c:pt idx="138">
                  <c:v>73.53</c:v>
                </c:pt>
                <c:pt idx="139">
                  <c:v>74.25</c:v>
                </c:pt>
                <c:pt idx="140">
                  <c:v>75.819999999999993</c:v>
                </c:pt>
                <c:pt idx="141">
                  <c:v>76.19</c:v>
                </c:pt>
                <c:pt idx="142">
                  <c:v>77.040000000000006</c:v>
                </c:pt>
                <c:pt idx="143">
                  <c:v>77.069999999999993</c:v>
                </c:pt>
                <c:pt idx="144">
                  <c:v>77.239999999999995</c:v>
                </c:pt>
                <c:pt idx="145">
                  <c:v>77.73</c:v>
                </c:pt>
                <c:pt idx="146">
                  <c:v>77.760000000000005</c:v>
                </c:pt>
                <c:pt idx="147">
                  <c:v>78.09</c:v>
                </c:pt>
                <c:pt idx="148">
                  <c:v>77.709999999999994</c:v>
                </c:pt>
                <c:pt idx="149">
                  <c:v>78.489999999999995</c:v>
                </c:pt>
                <c:pt idx="150">
                  <c:v>78.78</c:v>
                </c:pt>
                <c:pt idx="151">
                  <c:v>79.3</c:v>
                </c:pt>
                <c:pt idx="152">
                  <c:v>78.38</c:v>
                </c:pt>
                <c:pt idx="153">
                  <c:v>78.12</c:v>
                </c:pt>
                <c:pt idx="154">
                  <c:v>78.42</c:v>
                </c:pt>
                <c:pt idx="155">
                  <c:v>78.48</c:v>
                </c:pt>
                <c:pt idx="156">
                  <c:v>78.69</c:v>
                </c:pt>
                <c:pt idx="157">
                  <c:v>77.44</c:v>
                </c:pt>
                <c:pt idx="158">
                  <c:v>77.069999999999993</c:v>
                </c:pt>
                <c:pt idx="159">
                  <c:v>77.45</c:v>
                </c:pt>
                <c:pt idx="160">
                  <c:v>77.760000000000005</c:v>
                </c:pt>
                <c:pt idx="161">
                  <c:v>77.7</c:v>
                </c:pt>
                <c:pt idx="162">
                  <c:v>76.12</c:v>
                </c:pt>
                <c:pt idx="163">
                  <c:v>76.400000000000006</c:v>
                </c:pt>
                <c:pt idx="164">
                  <c:v>75.819999999999993</c:v>
                </c:pt>
                <c:pt idx="165">
                  <c:v>76.540000000000006</c:v>
                </c:pt>
                <c:pt idx="166">
                  <c:v>76.319999999999993</c:v>
                </c:pt>
                <c:pt idx="167">
                  <c:v>75.86</c:v>
                </c:pt>
                <c:pt idx="168">
                  <c:v>76.150000000000006</c:v>
                </c:pt>
                <c:pt idx="169">
                  <c:v>77.540000000000006</c:v>
                </c:pt>
                <c:pt idx="170">
                  <c:v>77.81</c:v>
                </c:pt>
                <c:pt idx="171">
                  <c:v>77.849999999999994</c:v>
                </c:pt>
                <c:pt idx="172">
                  <c:v>76.650000000000006</c:v>
                </c:pt>
                <c:pt idx="173">
                  <c:v>76.84</c:v>
                </c:pt>
                <c:pt idx="174">
                  <c:v>77.36</c:v>
                </c:pt>
                <c:pt idx="175">
                  <c:v>77.599999999999994</c:v>
                </c:pt>
                <c:pt idx="176">
                  <c:v>77.42</c:v>
                </c:pt>
                <c:pt idx="177">
                  <c:v>78.099999999999994</c:v>
                </c:pt>
                <c:pt idx="178">
                  <c:v>77.739999999999995</c:v>
                </c:pt>
                <c:pt idx="179">
                  <c:v>77.78</c:v>
                </c:pt>
                <c:pt idx="180">
                  <c:v>78.22</c:v>
                </c:pt>
                <c:pt idx="181">
                  <c:v>77.75</c:v>
                </c:pt>
                <c:pt idx="182">
                  <c:v>77.28</c:v>
                </c:pt>
                <c:pt idx="183">
                  <c:v>76.91</c:v>
                </c:pt>
                <c:pt idx="184">
                  <c:v>77.14</c:v>
                </c:pt>
                <c:pt idx="185">
                  <c:v>77.05</c:v>
                </c:pt>
                <c:pt idx="186">
                  <c:v>76.72</c:v>
                </c:pt>
                <c:pt idx="187">
                  <c:v>75.930000000000007</c:v>
                </c:pt>
                <c:pt idx="188">
                  <c:v>76.23</c:v>
                </c:pt>
                <c:pt idx="189">
                  <c:v>76.98</c:v>
                </c:pt>
                <c:pt idx="190">
                  <c:v>76.849999999999994</c:v>
                </c:pt>
                <c:pt idx="191">
                  <c:v>77.16</c:v>
                </c:pt>
                <c:pt idx="192">
                  <c:v>76.760000000000005</c:v>
                </c:pt>
                <c:pt idx="193">
                  <c:v>78.25</c:v>
                </c:pt>
                <c:pt idx="194">
                  <c:v>81.75</c:v>
                </c:pt>
                <c:pt idx="195">
                  <c:v>83.3</c:v>
                </c:pt>
                <c:pt idx="196">
                  <c:v>83.66</c:v>
                </c:pt>
                <c:pt idx="197">
                  <c:v>84.17</c:v>
                </c:pt>
                <c:pt idx="198">
                  <c:v>83.31</c:v>
                </c:pt>
                <c:pt idx="199">
                  <c:v>83.55</c:v>
                </c:pt>
                <c:pt idx="200">
                  <c:v>83.78</c:v>
                </c:pt>
                <c:pt idx="201">
                  <c:v>83.95</c:v>
                </c:pt>
                <c:pt idx="202">
                  <c:v>84.96</c:v>
                </c:pt>
                <c:pt idx="203">
                  <c:v>86.14</c:v>
                </c:pt>
                <c:pt idx="204">
                  <c:v>85.49</c:v>
                </c:pt>
                <c:pt idx="205">
                  <c:v>85.98</c:v>
                </c:pt>
                <c:pt idx="206">
                  <c:v>86.11</c:v>
                </c:pt>
                <c:pt idx="207">
                  <c:v>85.67</c:v>
                </c:pt>
                <c:pt idx="208">
                  <c:v>84.49</c:v>
                </c:pt>
                <c:pt idx="209">
                  <c:v>84.84</c:v>
                </c:pt>
                <c:pt idx="210">
                  <c:v>85.45</c:v>
                </c:pt>
                <c:pt idx="211">
                  <c:v>86.29</c:v>
                </c:pt>
                <c:pt idx="212">
                  <c:v>87.14</c:v>
                </c:pt>
                <c:pt idx="213">
                  <c:v>86.19</c:v>
                </c:pt>
                <c:pt idx="214">
                  <c:v>86.43</c:v>
                </c:pt>
                <c:pt idx="215">
                  <c:v>87.71</c:v>
                </c:pt>
                <c:pt idx="216">
                  <c:v>87.74</c:v>
                </c:pt>
                <c:pt idx="217">
                  <c:v>88.35</c:v>
                </c:pt>
                <c:pt idx="218">
                  <c:v>88.41</c:v>
                </c:pt>
                <c:pt idx="219">
                  <c:v>88.51</c:v>
                </c:pt>
                <c:pt idx="220">
                  <c:v>87.29</c:v>
                </c:pt>
                <c:pt idx="221">
                  <c:v>96.8</c:v>
                </c:pt>
                <c:pt idx="222">
                  <c:v>94.71</c:v>
                </c:pt>
                <c:pt idx="223">
                  <c:v>94.72</c:v>
                </c:pt>
                <c:pt idx="224">
                  <c:v>93.79</c:v>
                </c:pt>
                <c:pt idx="225">
                  <c:v>93.68</c:v>
                </c:pt>
                <c:pt idx="226">
                  <c:v>93.89</c:v>
                </c:pt>
                <c:pt idx="227">
                  <c:v>93.89</c:v>
                </c:pt>
                <c:pt idx="228">
                  <c:v>94.03</c:v>
                </c:pt>
                <c:pt idx="229">
                  <c:v>94.8</c:v>
                </c:pt>
                <c:pt idx="230">
                  <c:v>94.48</c:v>
                </c:pt>
                <c:pt idx="231">
                  <c:v>94.59</c:v>
                </c:pt>
                <c:pt idx="232">
                  <c:v>94.26</c:v>
                </c:pt>
                <c:pt idx="233">
                  <c:v>95.06</c:v>
                </c:pt>
                <c:pt idx="234">
                  <c:v>94.53</c:v>
                </c:pt>
                <c:pt idx="235">
                  <c:v>94.54</c:v>
                </c:pt>
                <c:pt idx="236">
                  <c:v>94.31</c:v>
                </c:pt>
                <c:pt idx="237">
                  <c:v>94.68</c:v>
                </c:pt>
                <c:pt idx="238">
                  <c:v>94.46</c:v>
                </c:pt>
                <c:pt idx="239">
                  <c:v>95.49</c:v>
                </c:pt>
                <c:pt idx="240">
                  <c:v>94.88</c:v>
                </c:pt>
                <c:pt idx="241">
                  <c:v>94.86</c:v>
                </c:pt>
                <c:pt idx="242">
                  <c:v>95.63</c:v>
                </c:pt>
                <c:pt idx="243">
                  <c:v>96.51</c:v>
                </c:pt>
                <c:pt idx="244">
                  <c:v>96.46</c:v>
                </c:pt>
                <c:pt idx="245">
                  <c:v>95.79</c:v>
                </c:pt>
                <c:pt idx="246">
                  <c:v>95.93</c:v>
                </c:pt>
                <c:pt idx="247">
                  <c:v>96.86</c:v>
                </c:pt>
                <c:pt idx="248">
                  <c:v>96.96</c:v>
                </c:pt>
                <c:pt idx="249">
                  <c:v>97.1</c:v>
                </c:pt>
                <c:pt idx="250">
                  <c:v>96.46</c:v>
                </c:pt>
                <c:pt idx="251">
                  <c:v>96.3</c:v>
                </c:pt>
                <c:pt idx="252">
                  <c:v>97.14</c:v>
                </c:pt>
                <c:pt idx="253">
                  <c:v>97.23</c:v>
                </c:pt>
                <c:pt idx="254">
                  <c:v>97.81</c:v>
                </c:pt>
                <c:pt idx="255">
                  <c:v>99.25</c:v>
                </c:pt>
                <c:pt idx="256">
                  <c:v>98.06</c:v>
                </c:pt>
                <c:pt idx="257">
                  <c:v>97.36</c:v>
                </c:pt>
                <c:pt idx="258">
                  <c:v>97.7</c:v>
                </c:pt>
                <c:pt idx="259">
                  <c:v>98.53</c:v>
                </c:pt>
                <c:pt idx="260">
                  <c:v>98.36</c:v>
                </c:pt>
                <c:pt idx="261">
                  <c:v>100.32</c:v>
                </c:pt>
                <c:pt idx="262">
                  <c:v>101.88</c:v>
                </c:pt>
                <c:pt idx="263">
                  <c:v>102.17</c:v>
                </c:pt>
                <c:pt idx="264">
                  <c:v>103.01</c:v>
                </c:pt>
                <c:pt idx="265">
                  <c:v>103.44</c:v>
                </c:pt>
                <c:pt idx="266">
                  <c:v>103.34</c:v>
                </c:pt>
                <c:pt idx="267">
                  <c:v>104.13</c:v>
                </c:pt>
                <c:pt idx="268">
                  <c:v>105.88</c:v>
                </c:pt>
                <c:pt idx="269">
                  <c:v>107.01</c:v>
                </c:pt>
                <c:pt idx="270">
                  <c:v>105.23</c:v>
                </c:pt>
                <c:pt idx="271">
                  <c:v>104.13</c:v>
                </c:pt>
                <c:pt idx="272">
                  <c:v>103.07</c:v>
                </c:pt>
                <c:pt idx="273">
                  <c:v>102.06</c:v>
                </c:pt>
                <c:pt idx="274">
                  <c:v>97.77</c:v>
                </c:pt>
                <c:pt idx="275">
                  <c:v>98.56</c:v>
                </c:pt>
                <c:pt idx="276">
                  <c:v>100.47</c:v>
                </c:pt>
                <c:pt idx="277">
                  <c:v>97.7</c:v>
                </c:pt>
                <c:pt idx="278">
                  <c:v>97.07</c:v>
                </c:pt>
                <c:pt idx="279">
                  <c:v>97.24</c:v>
                </c:pt>
                <c:pt idx="280">
                  <c:v>98.64</c:v>
                </c:pt>
                <c:pt idx="281">
                  <c:v>99.34</c:v>
                </c:pt>
                <c:pt idx="282">
                  <c:v>100.84</c:v>
                </c:pt>
                <c:pt idx="283">
                  <c:v>102.35</c:v>
                </c:pt>
                <c:pt idx="284">
                  <c:v>91.93</c:v>
                </c:pt>
                <c:pt idx="285">
                  <c:v>89.4</c:v>
                </c:pt>
                <c:pt idx="286">
                  <c:v>90.62</c:v>
                </c:pt>
                <c:pt idx="287">
                  <c:v>90.74</c:v>
                </c:pt>
                <c:pt idx="288">
                  <c:v>90.96</c:v>
                </c:pt>
                <c:pt idx="289">
                  <c:v>89.4</c:v>
                </c:pt>
                <c:pt idx="290">
                  <c:v>87.92</c:v>
                </c:pt>
                <c:pt idx="291">
                  <c:v>87.01</c:v>
                </c:pt>
                <c:pt idx="292">
                  <c:v>86.71</c:v>
                </c:pt>
                <c:pt idx="293">
                  <c:v>87.89</c:v>
                </c:pt>
                <c:pt idx="294">
                  <c:v>87</c:v>
                </c:pt>
                <c:pt idx="295">
                  <c:v>85.71</c:v>
                </c:pt>
                <c:pt idx="296">
                  <c:v>86.39</c:v>
                </c:pt>
                <c:pt idx="297">
                  <c:v>87.18</c:v>
                </c:pt>
                <c:pt idx="298">
                  <c:v>86.54</c:v>
                </c:pt>
                <c:pt idx="299">
                  <c:v>86.77</c:v>
                </c:pt>
                <c:pt idx="300">
                  <c:v>86.15</c:v>
                </c:pt>
                <c:pt idx="301">
                  <c:v>85.99</c:v>
                </c:pt>
                <c:pt idx="302">
                  <c:v>87.62</c:v>
                </c:pt>
                <c:pt idx="303">
                  <c:v>85.93</c:v>
                </c:pt>
                <c:pt idx="304">
                  <c:v>86.42</c:v>
                </c:pt>
                <c:pt idx="305">
                  <c:v>86.65</c:v>
                </c:pt>
                <c:pt idx="306">
                  <c:v>85.63</c:v>
                </c:pt>
                <c:pt idx="307">
                  <c:v>83.94</c:v>
                </c:pt>
                <c:pt idx="308">
                  <c:v>85.98</c:v>
                </c:pt>
                <c:pt idx="309">
                  <c:v>84.56</c:v>
                </c:pt>
                <c:pt idx="310">
                  <c:v>86.25</c:v>
                </c:pt>
                <c:pt idx="311">
                  <c:v>87.43</c:v>
                </c:pt>
                <c:pt idx="312">
                  <c:v>84.06</c:v>
                </c:pt>
                <c:pt idx="313">
                  <c:v>85.29</c:v>
                </c:pt>
                <c:pt idx="314">
                  <c:v>85.71</c:v>
                </c:pt>
                <c:pt idx="315">
                  <c:v>86.29</c:v>
                </c:pt>
                <c:pt idx="316">
                  <c:v>85.19</c:v>
                </c:pt>
                <c:pt idx="317">
                  <c:v>84.78</c:v>
                </c:pt>
                <c:pt idx="318">
                  <c:v>84.95</c:v>
                </c:pt>
                <c:pt idx="319">
                  <c:v>84.42</c:v>
                </c:pt>
                <c:pt idx="320">
                  <c:v>83.95</c:v>
                </c:pt>
                <c:pt idx="321">
                  <c:v>84.53</c:v>
                </c:pt>
                <c:pt idx="322">
                  <c:v>85.33</c:v>
                </c:pt>
                <c:pt idx="323">
                  <c:v>86.37</c:v>
                </c:pt>
                <c:pt idx="324">
                  <c:v>86.05</c:v>
                </c:pt>
                <c:pt idx="325">
                  <c:v>86.36</c:v>
                </c:pt>
                <c:pt idx="326">
                  <c:v>85.47</c:v>
                </c:pt>
                <c:pt idx="327">
                  <c:v>84.61</c:v>
                </c:pt>
                <c:pt idx="328">
                  <c:v>85.03</c:v>
                </c:pt>
                <c:pt idx="329">
                  <c:v>85.66</c:v>
                </c:pt>
                <c:pt idx="330">
                  <c:v>86.41</c:v>
                </c:pt>
                <c:pt idx="331">
                  <c:v>85.77</c:v>
                </c:pt>
                <c:pt idx="332">
                  <c:v>86.92</c:v>
                </c:pt>
                <c:pt idx="333">
                  <c:v>85.89</c:v>
                </c:pt>
                <c:pt idx="334">
                  <c:v>84.84</c:v>
                </c:pt>
                <c:pt idx="335">
                  <c:v>84.73</c:v>
                </c:pt>
                <c:pt idx="336">
                  <c:v>86.01</c:v>
                </c:pt>
                <c:pt idx="337">
                  <c:v>83.99</c:v>
                </c:pt>
                <c:pt idx="338">
                  <c:v>84.25</c:v>
                </c:pt>
                <c:pt idx="339">
                  <c:v>81.62</c:v>
                </c:pt>
                <c:pt idx="340">
                  <c:v>81.77</c:v>
                </c:pt>
                <c:pt idx="341">
                  <c:v>82.45</c:v>
                </c:pt>
                <c:pt idx="342">
                  <c:v>83.45</c:v>
                </c:pt>
                <c:pt idx="343">
                  <c:v>83.58</c:v>
                </c:pt>
                <c:pt idx="344">
                  <c:v>85.17</c:v>
                </c:pt>
                <c:pt idx="345">
                  <c:v>83.55</c:v>
                </c:pt>
                <c:pt idx="346">
                  <c:v>82.71</c:v>
                </c:pt>
                <c:pt idx="347">
                  <c:v>83.57</c:v>
                </c:pt>
                <c:pt idx="348">
                  <c:v>82.44</c:v>
                </c:pt>
                <c:pt idx="349">
                  <c:v>82.08</c:v>
                </c:pt>
                <c:pt idx="350">
                  <c:v>81.92</c:v>
                </c:pt>
                <c:pt idx="351">
                  <c:v>81.540000000000006</c:v>
                </c:pt>
                <c:pt idx="352">
                  <c:v>81.48</c:v>
                </c:pt>
                <c:pt idx="353">
                  <c:v>83.18</c:v>
                </c:pt>
                <c:pt idx="354">
                  <c:v>81.62</c:v>
                </c:pt>
                <c:pt idx="355">
                  <c:v>82.06</c:v>
                </c:pt>
                <c:pt idx="356">
                  <c:v>84.47</c:v>
                </c:pt>
                <c:pt idx="357">
                  <c:v>83.67</c:v>
                </c:pt>
                <c:pt idx="358">
                  <c:v>83.62</c:v>
                </c:pt>
                <c:pt idx="359">
                  <c:v>84</c:v>
                </c:pt>
                <c:pt idx="360">
                  <c:v>83.42</c:v>
                </c:pt>
                <c:pt idx="361">
                  <c:v>83.36</c:v>
                </c:pt>
                <c:pt idx="362">
                  <c:v>83.16</c:v>
                </c:pt>
                <c:pt idx="363">
                  <c:v>83.15</c:v>
                </c:pt>
                <c:pt idx="364">
                  <c:v>82.85</c:v>
                </c:pt>
                <c:pt idx="365">
                  <c:v>82.77</c:v>
                </c:pt>
                <c:pt idx="366">
                  <c:v>82.07</c:v>
                </c:pt>
                <c:pt idx="367">
                  <c:v>82.68</c:v>
                </c:pt>
                <c:pt idx="368">
                  <c:v>82.68</c:v>
                </c:pt>
                <c:pt idx="369">
                  <c:v>83.27</c:v>
                </c:pt>
                <c:pt idx="370">
                  <c:v>83.87</c:v>
                </c:pt>
                <c:pt idx="371">
                  <c:v>85.5</c:v>
                </c:pt>
                <c:pt idx="372">
                  <c:v>85.02</c:v>
                </c:pt>
                <c:pt idx="373">
                  <c:v>85.92</c:v>
                </c:pt>
                <c:pt idx="374">
                  <c:v>84.9</c:v>
                </c:pt>
                <c:pt idx="375">
                  <c:v>84.69</c:v>
                </c:pt>
                <c:pt idx="376">
                  <c:v>83.06</c:v>
                </c:pt>
                <c:pt idx="377">
                  <c:v>83.5</c:v>
                </c:pt>
                <c:pt idx="378">
                  <c:v>83.63</c:v>
                </c:pt>
                <c:pt idx="379">
                  <c:v>83.57</c:v>
                </c:pt>
                <c:pt idx="380">
                  <c:v>84.97</c:v>
                </c:pt>
                <c:pt idx="381">
                  <c:v>86.24</c:v>
                </c:pt>
                <c:pt idx="382">
                  <c:v>85.56</c:v>
                </c:pt>
                <c:pt idx="383">
                  <c:v>85.55</c:v>
                </c:pt>
                <c:pt idx="384">
                  <c:v>86.72</c:v>
                </c:pt>
                <c:pt idx="385">
                  <c:v>86.66</c:v>
                </c:pt>
                <c:pt idx="386">
                  <c:v>87.2</c:v>
                </c:pt>
                <c:pt idx="387">
                  <c:v>87.09</c:v>
                </c:pt>
                <c:pt idx="388">
                  <c:v>86.74</c:v>
                </c:pt>
                <c:pt idx="389">
                  <c:v>87.08</c:v>
                </c:pt>
                <c:pt idx="390">
                  <c:v>86.65</c:v>
                </c:pt>
                <c:pt idx="391">
                  <c:v>86.98</c:v>
                </c:pt>
                <c:pt idx="392">
                  <c:v>86.92</c:v>
                </c:pt>
                <c:pt idx="393">
                  <c:v>87.24</c:v>
                </c:pt>
                <c:pt idx="394">
                  <c:v>87.15</c:v>
                </c:pt>
                <c:pt idx="395">
                  <c:v>87.89</c:v>
                </c:pt>
                <c:pt idx="396">
                  <c:v>88.23</c:v>
                </c:pt>
                <c:pt idx="397">
                  <c:v>87.25</c:v>
                </c:pt>
                <c:pt idx="398">
                  <c:v>87.77</c:v>
                </c:pt>
                <c:pt idx="399">
                  <c:v>88.6</c:v>
                </c:pt>
                <c:pt idx="400">
                  <c:v>88.67</c:v>
                </c:pt>
                <c:pt idx="401">
                  <c:v>88.77</c:v>
                </c:pt>
                <c:pt idx="402">
                  <c:v>89.04</c:v>
                </c:pt>
                <c:pt idx="403">
                  <c:v>88.53</c:v>
                </c:pt>
                <c:pt idx="404">
                  <c:v>89.69</c:v>
                </c:pt>
                <c:pt idx="405">
                  <c:v>89.15</c:v>
                </c:pt>
                <c:pt idx="406">
                  <c:v>90.36</c:v>
                </c:pt>
                <c:pt idx="407">
                  <c:v>89.73</c:v>
                </c:pt>
                <c:pt idx="408">
                  <c:v>98.1</c:v>
                </c:pt>
                <c:pt idx="409">
                  <c:v>97.32</c:v>
                </c:pt>
                <c:pt idx="410">
                  <c:v>95.48</c:v>
                </c:pt>
                <c:pt idx="411">
                  <c:v>95.56</c:v>
                </c:pt>
                <c:pt idx="412">
                  <c:v>95.15</c:v>
                </c:pt>
                <c:pt idx="413">
                  <c:v>94.66</c:v>
                </c:pt>
                <c:pt idx="414">
                  <c:v>94.43</c:v>
                </c:pt>
                <c:pt idx="415">
                  <c:v>94.03</c:v>
                </c:pt>
                <c:pt idx="416">
                  <c:v>95.55</c:v>
                </c:pt>
                <c:pt idx="417">
                  <c:v>95.12</c:v>
                </c:pt>
                <c:pt idx="418">
                  <c:v>95.58</c:v>
                </c:pt>
                <c:pt idx="419">
                  <c:v>95.34</c:v>
                </c:pt>
                <c:pt idx="420">
                  <c:v>94.84</c:v>
                </c:pt>
                <c:pt idx="421">
                  <c:v>96.1</c:v>
                </c:pt>
                <c:pt idx="422">
                  <c:v>95.93</c:v>
                </c:pt>
                <c:pt idx="423">
                  <c:v>95.31</c:v>
                </c:pt>
                <c:pt idx="424">
                  <c:v>96.37</c:v>
                </c:pt>
                <c:pt idx="425">
                  <c:v>96.12</c:v>
                </c:pt>
                <c:pt idx="426">
                  <c:v>95.45</c:v>
                </c:pt>
                <c:pt idx="427">
                  <c:v>94.6</c:v>
                </c:pt>
                <c:pt idx="428">
                  <c:v>94.08</c:v>
                </c:pt>
                <c:pt idx="429">
                  <c:v>94.31</c:v>
                </c:pt>
                <c:pt idx="430">
                  <c:v>94.91</c:v>
                </c:pt>
                <c:pt idx="431">
                  <c:v>94.72</c:v>
                </c:pt>
                <c:pt idx="432">
                  <c:v>95.23</c:v>
                </c:pt>
                <c:pt idx="433">
                  <c:v>95.38</c:v>
                </c:pt>
                <c:pt idx="434">
                  <c:v>94.4</c:v>
                </c:pt>
                <c:pt idx="435">
                  <c:v>94.58</c:v>
                </c:pt>
                <c:pt idx="436">
                  <c:v>94.08</c:v>
                </c:pt>
                <c:pt idx="437">
                  <c:v>93.62</c:v>
                </c:pt>
                <c:pt idx="438">
                  <c:v>93.4</c:v>
                </c:pt>
                <c:pt idx="439">
                  <c:v>93.89</c:v>
                </c:pt>
                <c:pt idx="440">
                  <c:v>94.63</c:v>
                </c:pt>
                <c:pt idx="441">
                  <c:v>93.56</c:v>
                </c:pt>
                <c:pt idx="442">
                  <c:v>93.7</c:v>
                </c:pt>
                <c:pt idx="443">
                  <c:v>92.8</c:v>
                </c:pt>
                <c:pt idx="444">
                  <c:v>94.18</c:v>
                </c:pt>
                <c:pt idx="445">
                  <c:v>96.55</c:v>
                </c:pt>
                <c:pt idx="446">
                  <c:v>95.24</c:v>
                </c:pt>
                <c:pt idx="447">
                  <c:v>93.41</c:v>
                </c:pt>
                <c:pt idx="448">
                  <c:v>94.3</c:v>
                </c:pt>
                <c:pt idx="449">
                  <c:v>93.31</c:v>
                </c:pt>
                <c:pt idx="450">
                  <c:v>95.29</c:v>
                </c:pt>
                <c:pt idx="451">
                  <c:v>96.04</c:v>
                </c:pt>
                <c:pt idx="452">
                  <c:v>95.65</c:v>
                </c:pt>
                <c:pt idx="453">
                  <c:v>96.62</c:v>
                </c:pt>
                <c:pt idx="454">
                  <c:v>96.61</c:v>
                </c:pt>
                <c:pt idx="455">
                  <c:v>97.27</c:v>
                </c:pt>
                <c:pt idx="456">
                  <c:v>97.03</c:v>
                </c:pt>
                <c:pt idx="457">
                  <c:v>98.64</c:v>
                </c:pt>
                <c:pt idx="458">
                  <c:v>98.4</c:v>
                </c:pt>
                <c:pt idx="459">
                  <c:v>99.26</c:v>
                </c:pt>
                <c:pt idx="460">
                  <c:v>101.86</c:v>
                </c:pt>
                <c:pt idx="461">
                  <c:v>99.74</c:v>
                </c:pt>
                <c:pt idx="462">
                  <c:v>100.03</c:v>
                </c:pt>
                <c:pt idx="463">
                  <c:v>100.79</c:v>
                </c:pt>
                <c:pt idx="464">
                  <c:v>102.35</c:v>
                </c:pt>
                <c:pt idx="465">
                  <c:v>102.77</c:v>
                </c:pt>
                <c:pt idx="466">
                  <c:v>103.75</c:v>
                </c:pt>
                <c:pt idx="467">
                  <c:v>104.31</c:v>
                </c:pt>
                <c:pt idx="468">
                  <c:v>104.99</c:v>
                </c:pt>
                <c:pt idx="469">
                  <c:v>103.31</c:v>
                </c:pt>
                <c:pt idx="470">
                  <c:v>102.38</c:v>
                </c:pt>
                <c:pt idx="471">
                  <c:v>100.98</c:v>
                </c:pt>
                <c:pt idx="472">
                  <c:v>99</c:v>
                </c:pt>
                <c:pt idx="473">
                  <c:v>97.16</c:v>
                </c:pt>
                <c:pt idx="474">
                  <c:v>96.25</c:v>
                </c:pt>
                <c:pt idx="475">
                  <c:v>93.65</c:v>
                </c:pt>
                <c:pt idx="476">
                  <c:v>93.66</c:v>
                </c:pt>
                <c:pt idx="477">
                  <c:v>94.58</c:v>
                </c:pt>
                <c:pt idx="478">
                  <c:v>94.63</c:v>
                </c:pt>
                <c:pt idx="479">
                  <c:v>94.52</c:v>
                </c:pt>
                <c:pt idx="480">
                  <c:v>96.93</c:v>
                </c:pt>
                <c:pt idx="481">
                  <c:v>96.76</c:v>
                </c:pt>
                <c:pt idx="482">
                  <c:v>97.12</c:v>
                </c:pt>
                <c:pt idx="483">
                  <c:v>98.21</c:v>
                </c:pt>
                <c:pt idx="484">
                  <c:v>95.29</c:v>
                </c:pt>
                <c:pt idx="485">
                  <c:v>94.77</c:v>
                </c:pt>
                <c:pt idx="486">
                  <c:v>93.19</c:v>
                </c:pt>
                <c:pt idx="487">
                  <c:v>93.94</c:v>
                </c:pt>
                <c:pt idx="488">
                  <c:v>93.85</c:v>
                </c:pt>
                <c:pt idx="489">
                  <c:v>93.11</c:v>
                </c:pt>
                <c:pt idx="490">
                  <c:v>92.96</c:v>
                </c:pt>
                <c:pt idx="491">
                  <c:v>91.85</c:v>
                </c:pt>
                <c:pt idx="492">
                  <c:v>90.77</c:v>
                </c:pt>
                <c:pt idx="493">
                  <c:v>91.08</c:v>
                </c:pt>
                <c:pt idx="494">
                  <c:v>90.55</c:v>
                </c:pt>
                <c:pt idx="495">
                  <c:v>87.28</c:v>
                </c:pt>
                <c:pt idx="496">
                  <c:v>87.13</c:v>
                </c:pt>
                <c:pt idx="497">
                  <c:v>85.82</c:v>
                </c:pt>
                <c:pt idx="498">
                  <c:v>90.41</c:v>
                </c:pt>
                <c:pt idx="499">
                  <c:v>91.59</c:v>
                </c:pt>
                <c:pt idx="500">
                  <c:v>92.13</c:v>
                </c:pt>
                <c:pt idx="501">
                  <c:v>93.15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A88-4627-A9B5-13E947E20CD9}"/>
            </c:ext>
          </c:extLst>
        </c:ser>
        <c:ser>
          <c:idx val="29"/>
          <c:order val="29"/>
          <c:tx>
            <c:strRef>
              <c:f>wide_company_closes_reorder!$AE$1</c:f>
              <c:strCache>
                <c:ptCount val="1"/>
                <c:pt idx="0">
                  <c:v>XOM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wide_company_closes_reorder!$A$2:$A$503</c:f>
              <c:numCache>
                <c:formatCode>m/d/yyyy</c:formatCode>
                <c:ptCount val="502"/>
                <c:pt idx="0">
                  <c:v>42738</c:v>
                </c:pt>
                <c:pt idx="1">
                  <c:v>42739</c:v>
                </c:pt>
                <c:pt idx="2">
                  <c:v>42740</c:v>
                </c:pt>
                <c:pt idx="3">
                  <c:v>42741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42752</c:v>
                </c:pt>
                <c:pt idx="10">
                  <c:v>42753</c:v>
                </c:pt>
                <c:pt idx="11">
                  <c:v>42754</c:v>
                </c:pt>
                <c:pt idx="12">
                  <c:v>42755</c:v>
                </c:pt>
                <c:pt idx="13">
                  <c:v>42758</c:v>
                </c:pt>
                <c:pt idx="14">
                  <c:v>42759</c:v>
                </c:pt>
                <c:pt idx="15">
                  <c:v>42760</c:v>
                </c:pt>
                <c:pt idx="16">
                  <c:v>42761</c:v>
                </c:pt>
                <c:pt idx="17">
                  <c:v>42762</c:v>
                </c:pt>
                <c:pt idx="18">
                  <c:v>42765</c:v>
                </c:pt>
                <c:pt idx="19">
                  <c:v>42766</c:v>
                </c:pt>
                <c:pt idx="20">
                  <c:v>42767</c:v>
                </c:pt>
                <c:pt idx="21">
                  <c:v>42768</c:v>
                </c:pt>
                <c:pt idx="22">
                  <c:v>42769</c:v>
                </c:pt>
                <c:pt idx="23">
                  <c:v>42772</c:v>
                </c:pt>
                <c:pt idx="24">
                  <c:v>42773</c:v>
                </c:pt>
                <c:pt idx="25">
                  <c:v>42774</c:v>
                </c:pt>
                <c:pt idx="26">
                  <c:v>42775</c:v>
                </c:pt>
                <c:pt idx="27">
                  <c:v>42776</c:v>
                </c:pt>
                <c:pt idx="28">
                  <c:v>42779</c:v>
                </c:pt>
                <c:pt idx="29">
                  <c:v>42780</c:v>
                </c:pt>
                <c:pt idx="30">
                  <c:v>42781</c:v>
                </c:pt>
                <c:pt idx="31">
                  <c:v>42782</c:v>
                </c:pt>
                <c:pt idx="32">
                  <c:v>42783</c:v>
                </c:pt>
                <c:pt idx="33">
                  <c:v>42787</c:v>
                </c:pt>
                <c:pt idx="34">
                  <c:v>42788</c:v>
                </c:pt>
                <c:pt idx="35">
                  <c:v>42789</c:v>
                </c:pt>
                <c:pt idx="36">
                  <c:v>42790</c:v>
                </c:pt>
                <c:pt idx="37">
                  <c:v>42793</c:v>
                </c:pt>
                <c:pt idx="38">
                  <c:v>42794</c:v>
                </c:pt>
                <c:pt idx="39">
                  <c:v>42795</c:v>
                </c:pt>
                <c:pt idx="40">
                  <c:v>42796</c:v>
                </c:pt>
                <c:pt idx="41">
                  <c:v>42797</c:v>
                </c:pt>
                <c:pt idx="42">
                  <c:v>42800</c:v>
                </c:pt>
                <c:pt idx="43">
                  <c:v>42801</c:v>
                </c:pt>
                <c:pt idx="44">
                  <c:v>42802</c:v>
                </c:pt>
                <c:pt idx="45">
                  <c:v>42803</c:v>
                </c:pt>
                <c:pt idx="46">
                  <c:v>42804</c:v>
                </c:pt>
                <c:pt idx="47">
                  <c:v>42807</c:v>
                </c:pt>
                <c:pt idx="48">
                  <c:v>42808</c:v>
                </c:pt>
                <c:pt idx="49">
                  <c:v>42809</c:v>
                </c:pt>
                <c:pt idx="50">
                  <c:v>42810</c:v>
                </c:pt>
                <c:pt idx="51">
                  <c:v>42811</c:v>
                </c:pt>
                <c:pt idx="52">
                  <c:v>42814</c:v>
                </c:pt>
                <c:pt idx="53">
                  <c:v>42815</c:v>
                </c:pt>
                <c:pt idx="54">
                  <c:v>42816</c:v>
                </c:pt>
                <c:pt idx="55">
                  <c:v>42817</c:v>
                </c:pt>
                <c:pt idx="56">
                  <c:v>42818</c:v>
                </c:pt>
                <c:pt idx="57">
                  <c:v>42821</c:v>
                </c:pt>
                <c:pt idx="58">
                  <c:v>42822</c:v>
                </c:pt>
                <c:pt idx="59">
                  <c:v>42823</c:v>
                </c:pt>
                <c:pt idx="60">
                  <c:v>42824</c:v>
                </c:pt>
                <c:pt idx="61">
                  <c:v>42825</c:v>
                </c:pt>
                <c:pt idx="62">
                  <c:v>42828</c:v>
                </c:pt>
                <c:pt idx="63">
                  <c:v>42829</c:v>
                </c:pt>
                <c:pt idx="64">
                  <c:v>42830</c:v>
                </c:pt>
                <c:pt idx="65">
                  <c:v>42831</c:v>
                </c:pt>
                <c:pt idx="66">
                  <c:v>42832</c:v>
                </c:pt>
                <c:pt idx="67">
                  <c:v>42835</c:v>
                </c:pt>
                <c:pt idx="68">
                  <c:v>42836</c:v>
                </c:pt>
                <c:pt idx="69">
                  <c:v>42837</c:v>
                </c:pt>
                <c:pt idx="70">
                  <c:v>42838</c:v>
                </c:pt>
                <c:pt idx="71">
                  <c:v>42842</c:v>
                </c:pt>
                <c:pt idx="72">
                  <c:v>42843</c:v>
                </c:pt>
                <c:pt idx="73">
                  <c:v>42844</c:v>
                </c:pt>
                <c:pt idx="74">
                  <c:v>42845</c:v>
                </c:pt>
                <c:pt idx="75">
                  <c:v>42846</c:v>
                </c:pt>
                <c:pt idx="76">
                  <c:v>42849</c:v>
                </c:pt>
                <c:pt idx="77">
                  <c:v>42850</c:v>
                </c:pt>
                <c:pt idx="78">
                  <c:v>42851</c:v>
                </c:pt>
                <c:pt idx="79">
                  <c:v>42852</c:v>
                </c:pt>
                <c:pt idx="80">
                  <c:v>42853</c:v>
                </c:pt>
                <c:pt idx="81">
                  <c:v>42856</c:v>
                </c:pt>
                <c:pt idx="82">
                  <c:v>42857</c:v>
                </c:pt>
                <c:pt idx="83">
                  <c:v>42858</c:v>
                </c:pt>
                <c:pt idx="84">
                  <c:v>42859</c:v>
                </c:pt>
                <c:pt idx="85">
                  <c:v>42860</c:v>
                </c:pt>
                <c:pt idx="86">
                  <c:v>42863</c:v>
                </c:pt>
                <c:pt idx="87">
                  <c:v>42864</c:v>
                </c:pt>
                <c:pt idx="88">
                  <c:v>42865</c:v>
                </c:pt>
                <c:pt idx="89">
                  <c:v>42866</c:v>
                </c:pt>
                <c:pt idx="90">
                  <c:v>42867</c:v>
                </c:pt>
                <c:pt idx="91">
                  <c:v>42870</c:v>
                </c:pt>
                <c:pt idx="92">
                  <c:v>42871</c:v>
                </c:pt>
                <c:pt idx="93">
                  <c:v>42872</c:v>
                </c:pt>
                <c:pt idx="94">
                  <c:v>42873</c:v>
                </c:pt>
                <c:pt idx="95">
                  <c:v>42874</c:v>
                </c:pt>
                <c:pt idx="96">
                  <c:v>42877</c:v>
                </c:pt>
                <c:pt idx="97">
                  <c:v>42878</c:v>
                </c:pt>
                <c:pt idx="98">
                  <c:v>42879</c:v>
                </c:pt>
                <c:pt idx="99">
                  <c:v>42880</c:v>
                </c:pt>
                <c:pt idx="100">
                  <c:v>42881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42901</c:v>
                </c:pt>
                <c:pt idx="114">
                  <c:v>42902</c:v>
                </c:pt>
                <c:pt idx="115">
                  <c:v>42905</c:v>
                </c:pt>
                <c:pt idx="116">
                  <c:v>42906</c:v>
                </c:pt>
                <c:pt idx="117">
                  <c:v>42907</c:v>
                </c:pt>
                <c:pt idx="118">
                  <c:v>42908</c:v>
                </c:pt>
                <c:pt idx="119">
                  <c:v>42909</c:v>
                </c:pt>
                <c:pt idx="120">
                  <c:v>42912</c:v>
                </c:pt>
                <c:pt idx="121">
                  <c:v>42913</c:v>
                </c:pt>
                <c:pt idx="122">
                  <c:v>42914</c:v>
                </c:pt>
                <c:pt idx="123">
                  <c:v>42915</c:v>
                </c:pt>
                <c:pt idx="124">
                  <c:v>42916</c:v>
                </c:pt>
                <c:pt idx="125">
                  <c:v>42919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42962</c:v>
                </c:pt>
                <c:pt idx="156">
                  <c:v>42963</c:v>
                </c:pt>
                <c:pt idx="157">
                  <c:v>42964</c:v>
                </c:pt>
                <c:pt idx="158">
                  <c:v>42965</c:v>
                </c:pt>
                <c:pt idx="159">
                  <c:v>42968</c:v>
                </c:pt>
                <c:pt idx="160">
                  <c:v>42969</c:v>
                </c:pt>
                <c:pt idx="161">
                  <c:v>42970</c:v>
                </c:pt>
                <c:pt idx="162">
                  <c:v>42971</c:v>
                </c:pt>
                <c:pt idx="163">
                  <c:v>42972</c:v>
                </c:pt>
                <c:pt idx="164">
                  <c:v>42975</c:v>
                </c:pt>
                <c:pt idx="165">
                  <c:v>42976</c:v>
                </c:pt>
                <c:pt idx="166">
                  <c:v>42977</c:v>
                </c:pt>
                <c:pt idx="167">
                  <c:v>42978</c:v>
                </c:pt>
                <c:pt idx="168">
                  <c:v>42979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43040</c:v>
                </c:pt>
                <c:pt idx="211">
                  <c:v>43041</c:v>
                </c:pt>
                <c:pt idx="212">
                  <c:v>43042</c:v>
                </c:pt>
                <c:pt idx="213">
                  <c:v>43045</c:v>
                </c:pt>
                <c:pt idx="214">
                  <c:v>43046</c:v>
                </c:pt>
                <c:pt idx="215">
                  <c:v>43047</c:v>
                </c:pt>
                <c:pt idx="216">
                  <c:v>43048</c:v>
                </c:pt>
                <c:pt idx="217">
                  <c:v>43049</c:v>
                </c:pt>
                <c:pt idx="218">
                  <c:v>43052</c:v>
                </c:pt>
                <c:pt idx="219">
                  <c:v>43053</c:v>
                </c:pt>
                <c:pt idx="220">
                  <c:v>43054</c:v>
                </c:pt>
                <c:pt idx="221">
                  <c:v>43055</c:v>
                </c:pt>
                <c:pt idx="222">
                  <c:v>43056</c:v>
                </c:pt>
                <c:pt idx="223">
                  <c:v>43059</c:v>
                </c:pt>
                <c:pt idx="224">
                  <c:v>43060</c:v>
                </c:pt>
                <c:pt idx="225">
                  <c:v>43061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43095</c:v>
                </c:pt>
                <c:pt idx="248">
                  <c:v>43096</c:v>
                </c:pt>
                <c:pt idx="249">
                  <c:v>43097</c:v>
                </c:pt>
                <c:pt idx="250">
                  <c:v>43098</c:v>
                </c:pt>
                <c:pt idx="251">
                  <c:v>43102</c:v>
                </c:pt>
                <c:pt idx="252">
                  <c:v>43103</c:v>
                </c:pt>
                <c:pt idx="253">
                  <c:v>43104</c:v>
                </c:pt>
                <c:pt idx="254">
                  <c:v>43105</c:v>
                </c:pt>
                <c:pt idx="255">
                  <c:v>43108</c:v>
                </c:pt>
                <c:pt idx="256">
                  <c:v>43109</c:v>
                </c:pt>
                <c:pt idx="257">
                  <c:v>43110</c:v>
                </c:pt>
                <c:pt idx="258">
                  <c:v>43111</c:v>
                </c:pt>
                <c:pt idx="259">
                  <c:v>43112</c:v>
                </c:pt>
                <c:pt idx="260">
                  <c:v>43116</c:v>
                </c:pt>
                <c:pt idx="261">
                  <c:v>43117</c:v>
                </c:pt>
                <c:pt idx="262">
                  <c:v>43118</c:v>
                </c:pt>
                <c:pt idx="263">
                  <c:v>43119</c:v>
                </c:pt>
                <c:pt idx="264">
                  <c:v>43122</c:v>
                </c:pt>
                <c:pt idx="265">
                  <c:v>43123</c:v>
                </c:pt>
                <c:pt idx="266">
                  <c:v>43124</c:v>
                </c:pt>
                <c:pt idx="267">
                  <c:v>43125</c:v>
                </c:pt>
                <c:pt idx="268">
                  <c:v>43126</c:v>
                </c:pt>
                <c:pt idx="269">
                  <c:v>43129</c:v>
                </c:pt>
                <c:pt idx="270">
                  <c:v>43130</c:v>
                </c:pt>
                <c:pt idx="271">
                  <c:v>43131</c:v>
                </c:pt>
                <c:pt idx="272">
                  <c:v>43132</c:v>
                </c:pt>
                <c:pt idx="273">
                  <c:v>43133</c:v>
                </c:pt>
                <c:pt idx="274">
                  <c:v>43136</c:v>
                </c:pt>
                <c:pt idx="275">
                  <c:v>43137</c:v>
                </c:pt>
                <c:pt idx="276">
                  <c:v>43138</c:v>
                </c:pt>
                <c:pt idx="277">
                  <c:v>43139</c:v>
                </c:pt>
                <c:pt idx="278">
                  <c:v>43140</c:v>
                </c:pt>
                <c:pt idx="279">
                  <c:v>43143</c:v>
                </c:pt>
                <c:pt idx="280">
                  <c:v>43144</c:v>
                </c:pt>
                <c:pt idx="281">
                  <c:v>43145</c:v>
                </c:pt>
                <c:pt idx="282">
                  <c:v>43146</c:v>
                </c:pt>
                <c:pt idx="283">
                  <c:v>43147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43192</c:v>
                </c:pt>
                <c:pt idx="313">
                  <c:v>43193</c:v>
                </c:pt>
                <c:pt idx="314">
                  <c:v>43194</c:v>
                </c:pt>
                <c:pt idx="315">
                  <c:v>43195</c:v>
                </c:pt>
                <c:pt idx="316">
                  <c:v>43196</c:v>
                </c:pt>
                <c:pt idx="317">
                  <c:v>43199</c:v>
                </c:pt>
                <c:pt idx="318">
                  <c:v>43200</c:v>
                </c:pt>
                <c:pt idx="319">
                  <c:v>43201</c:v>
                </c:pt>
                <c:pt idx="320">
                  <c:v>43202</c:v>
                </c:pt>
                <c:pt idx="321">
                  <c:v>43203</c:v>
                </c:pt>
                <c:pt idx="322">
                  <c:v>43206</c:v>
                </c:pt>
                <c:pt idx="323">
                  <c:v>43207</c:v>
                </c:pt>
                <c:pt idx="324">
                  <c:v>43208</c:v>
                </c:pt>
                <c:pt idx="325">
                  <c:v>43209</c:v>
                </c:pt>
                <c:pt idx="326">
                  <c:v>43210</c:v>
                </c:pt>
                <c:pt idx="327">
                  <c:v>43213</c:v>
                </c:pt>
                <c:pt idx="328">
                  <c:v>43214</c:v>
                </c:pt>
                <c:pt idx="329">
                  <c:v>43215</c:v>
                </c:pt>
                <c:pt idx="330">
                  <c:v>43216</c:v>
                </c:pt>
                <c:pt idx="331">
                  <c:v>43217</c:v>
                </c:pt>
                <c:pt idx="332">
                  <c:v>43220</c:v>
                </c:pt>
                <c:pt idx="333">
                  <c:v>43221</c:v>
                </c:pt>
                <c:pt idx="334">
                  <c:v>43222</c:v>
                </c:pt>
                <c:pt idx="335">
                  <c:v>43223</c:v>
                </c:pt>
                <c:pt idx="336">
                  <c:v>43224</c:v>
                </c:pt>
                <c:pt idx="337">
                  <c:v>43227</c:v>
                </c:pt>
                <c:pt idx="338">
                  <c:v>43228</c:v>
                </c:pt>
                <c:pt idx="339">
                  <c:v>43229</c:v>
                </c:pt>
                <c:pt idx="340">
                  <c:v>43230</c:v>
                </c:pt>
                <c:pt idx="341">
                  <c:v>43231</c:v>
                </c:pt>
                <c:pt idx="342">
                  <c:v>43234</c:v>
                </c:pt>
                <c:pt idx="343">
                  <c:v>43235</c:v>
                </c:pt>
                <c:pt idx="344">
                  <c:v>43236</c:v>
                </c:pt>
                <c:pt idx="345">
                  <c:v>43237</c:v>
                </c:pt>
                <c:pt idx="346">
                  <c:v>43238</c:v>
                </c:pt>
                <c:pt idx="347">
                  <c:v>43241</c:v>
                </c:pt>
                <c:pt idx="348">
                  <c:v>43242</c:v>
                </c:pt>
                <c:pt idx="349">
                  <c:v>43243</c:v>
                </c:pt>
                <c:pt idx="350">
                  <c:v>43244</c:v>
                </c:pt>
                <c:pt idx="351">
                  <c:v>43245</c:v>
                </c:pt>
                <c:pt idx="352">
                  <c:v>43249</c:v>
                </c:pt>
                <c:pt idx="353">
                  <c:v>43250</c:v>
                </c:pt>
                <c:pt idx="354">
                  <c:v>43251</c:v>
                </c:pt>
                <c:pt idx="355">
                  <c:v>43252</c:v>
                </c:pt>
                <c:pt idx="356">
                  <c:v>43255</c:v>
                </c:pt>
                <c:pt idx="357">
                  <c:v>43256</c:v>
                </c:pt>
                <c:pt idx="358">
                  <c:v>43257</c:v>
                </c:pt>
                <c:pt idx="359">
                  <c:v>43258</c:v>
                </c:pt>
                <c:pt idx="360">
                  <c:v>43259</c:v>
                </c:pt>
                <c:pt idx="361">
                  <c:v>43262</c:v>
                </c:pt>
                <c:pt idx="362">
                  <c:v>43263</c:v>
                </c:pt>
                <c:pt idx="363">
                  <c:v>43264</c:v>
                </c:pt>
                <c:pt idx="364">
                  <c:v>43265</c:v>
                </c:pt>
                <c:pt idx="365">
                  <c:v>43266</c:v>
                </c:pt>
                <c:pt idx="366">
                  <c:v>43269</c:v>
                </c:pt>
                <c:pt idx="367">
                  <c:v>43270</c:v>
                </c:pt>
                <c:pt idx="368">
                  <c:v>43271</c:v>
                </c:pt>
                <c:pt idx="369">
                  <c:v>43272</c:v>
                </c:pt>
                <c:pt idx="370">
                  <c:v>43273</c:v>
                </c:pt>
                <c:pt idx="371">
                  <c:v>43276</c:v>
                </c:pt>
                <c:pt idx="372">
                  <c:v>43277</c:v>
                </c:pt>
                <c:pt idx="373">
                  <c:v>43278</c:v>
                </c:pt>
                <c:pt idx="374">
                  <c:v>43279</c:v>
                </c:pt>
                <c:pt idx="375">
                  <c:v>43280</c:v>
                </c:pt>
                <c:pt idx="376">
                  <c:v>43283</c:v>
                </c:pt>
                <c:pt idx="377">
                  <c:v>43284</c:v>
                </c:pt>
                <c:pt idx="378">
                  <c:v>43286</c:v>
                </c:pt>
                <c:pt idx="379">
                  <c:v>43287</c:v>
                </c:pt>
                <c:pt idx="380">
                  <c:v>43290</c:v>
                </c:pt>
                <c:pt idx="381">
                  <c:v>43291</c:v>
                </c:pt>
                <c:pt idx="382">
                  <c:v>43292</c:v>
                </c:pt>
                <c:pt idx="383">
                  <c:v>43293</c:v>
                </c:pt>
                <c:pt idx="384">
                  <c:v>43294</c:v>
                </c:pt>
                <c:pt idx="385">
                  <c:v>43297</c:v>
                </c:pt>
                <c:pt idx="386">
                  <c:v>43298</c:v>
                </c:pt>
                <c:pt idx="387">
                  <c:v>43299</c:v>
                </c:pt>
                <c:pt idx="388">
                  <c:v>43300</c:v>
                </c:pt>
                <c:pt idx="389">
                  <c:v>43301</c:v>
                </c:pt>
                <c:pt idx="390">
                  <c:v>43304</c:v>
                </c:pt>
                <c:pt idx="391">
                  <c:v>43305</c:v>
                </c:pt>
                <c:pt idx="392">
                  <c:v>43306</c:v>
                </c:pt>
                <c:pt idx="393">
                  <c:v>43307</c:v>
                </c:pt>
                <c:pt idx="394">
                  <c:v>43308</c:v>
                </c:pt>
                <c:pt idx="395">
                  <c:v>43311</c:v>
                </c:pt>
                <c:pt idx="396">
                  <c:v>43312</c:v>
                </c:pt>
                <c:pt idx="397">
                  <c:v>43313</c:v>
                </c:pt>
                <c:pt idx="398">
                  <c:v>43314</c:v>
                </c:pt>
                <c:pt idx="399">
                  <c:v>43315</c:v>
                </c:pt>
                <c:pt idx="400">
                  <c:v>43318</c:v>
                </c:pt>
                <c:pt idx="401">
                  <c:v>43319</c:v>
                </c:pt>
                <c:pt idx="402">
                  <c:v>43320</c:v>
                </c:pt>
                <c:pt idx="403">
                  <c:v>43321</c:v>
                </c:pt>
                <c:pt idx="404">
                  <c:v>43322</c:v>
                </c:pt>
                <c:pt idx="405">
                  <c:v>43325</c:v>
                </c:pt>
                <c:pt idx="406">
                  <c:v>43326</c:v>
                </c:pt>
                <c:pt idx="407">
                  <c:v>43327</c:v>
                </c:pt>
                <c:pt idx="408">
                  <c:v>43328</c:v>
                </c:pt>
                <c:pt idx="409">
                  <c:v>43329</c:v>
                </c:pt>
                <c:pt idx="410">
                  <c:v>43332</c:v>
                </c:pt>
                <c:pt idx="411">
                  <c:v>43333</c:v>
                </c:pt>
                <c:pt idx="412">
                  <c:v>43334</c:v>
                </c:pt>
                <c:pt idx="413">
                  <c:v>43335</c:v>
                </c:pt>
                <c:pt idx="414">
                  <c:v>43336</c:v>
                </c:pt>
                <c:pt idx="415">
                  <c:v>43339</c:v>
                </c:pt>
                <c:pt idx="416">
                  <c:v>43340</c:v>
                </c:pt>
                <c:pt idx="417">
                  <c:v>43341</c:v>
                </c:pt>
                <c:pt idx="418">
                  <c:v>43342</c:v>
                </c:pt>
                <c:pt idx="419">
                  <c:v>43343</c:v>
                </c:pt>
                <c:pt idx="420">
                  <c:v>43347</c:v>
                </c:pt>
                <c:pt idx="421">
                  <c:v>43348</c:v>
                </c:pt>
                <c:pt idx="422">
                  <c:v>43349</c:v>
                </c:pt>
                <c:pt idx="423">
                  <c:v>43350</c:v>
                </c:pt>
                <c:pt idx="424">
                  <c:v>43353</c:v>
                </c:pt>
                <c:pt idx="425">
                  <c:v>43354</c:v>
                </c:pt>
                <c:pt idx="426">
                  <c:v>43355</c:v>
                </c:pt>
                <c:pt idx="427">
                  <c:v>43356</c:v>
                </c:pt>
                <c:pt idx="428">
                  <c:v>43357</c:v>
                </c:pt>
                <c:pt idx="429">
                  <c:v>43360</c:v>
                </c:pt>
                <c:pt idx="430">
                  <c:v>43361</c:v>
                </c:pt>
                <c:pt idx="431">
                  <c:v>43362</c:v>
                </c:pt>
                <c:pt idx="432">
                  <c:v>43363</c:v>
                </c:pt>
                <c:pt idx="433">
                  <c:v>43364</c:v>
                </c:pt>
                <c:pt idx="434">
                  <c:v>43367</c:v>
                </c:pt>
                <c:pt idx="435">
                  <c:v>43368</c:v>
                </c:pt>
                <c:pt idx="436">
                  <c:v>43369</c:v>
                </c:pt>
                <c:pt idx="437">
                  <c:v>43370</c:v>
                </c:pt>
                <c:pt idx="438">
                  <c:v>43371</c:v>
                </c:pt>
                <c:pt idx="439">
                  <c:v>43374</c:v>
                </c:pt>
                <c:pt idx="440">
                  <c:v>43375</c:v>
                </c:pt>
                <c:pt idx="441">
                  <c:v>43376</c:v>
                </c:pt>
                <c:pt idx="442">
                  <c:v>43377</c:v>
                </c:pt>
                <c:pt idx="443">
                  <c:v>43378</c:v>
                </c:pt>
                <c:pt idx="444">
                  <c:v>43381</c:v>
                </c:pt>
                <c:pt idx="445">
                  <c:v>43382</c:v>
                </c:pt>
                <c:pt idx="446">
                  <c:v>43383</c:v>
                </c:pt>
                <c:pt idx="447">
                  <c:v>43384</c:v>
                </c:pt>
                <c:pt idx="448">
                  <c:v>43385</c:v>
                </c:pt>
                <c:pt idx="449">
                  <c:v>43388</c:v>
                </c:pt>
                <c:pt idx="450">
                  <c:v>43389</c:v>
                </c:pt>
                <c:pt idx="451">
                  <c:v>43390</c:v>
                </c:pt>
                <c:pt idx="452">
                  <c:v>43391</c:v>
                </c:pt>
                <c:pt idx="453">
                  <c:v>43392</c:v>
                </c:pt>
                <c:pt idx="454">
                  <c:v>43395</c:v>
                </c:pt>
                <c:pt idx="455">
                  <c:v>43396</c:v>
                </c:pt>
                <c:pt idx="456">
                  <c:v>43397</c:v>
                </c:pt>
                <c:pt idx="457">
                  <c:v>43398</c:v>
                </c:pt>
                <c:pt idx="458">
                  <c:v>43399</c:v>
                </c:pt>
                <c:pt idx="459">
                  <c:v>43402</c:v>
                </c:pt>
                <c:pt idx="460">
                  <c:v>43403</c:v>
                </c:pt>
                <c:pt idx="461">
                  <c:v>43404</c:v>
                </c:pt>
                <c:pt idx="462">
                  <c:v>43405</c:v>
                </c:pt>
                <c:pt idx="463">
                  <c:v>43406</c:v>
                </c:pt>
                <c:pt idx="464">
                  <c:v>43409</c:v>
                </c:pt>
                <c:pt idx="465">
                  <c:v>43410</c:v>
                </c:pt>
                <c:pt idx="466">
                  <c:v>43411</c:v>
                </c:pt>
                <c:pt idx="467">
                  <c:v>43412</c:v>
                </c:pt>
                <c:pt idx="468">
                  <c:v>43413</c:v>
                </c:pt>
                <c:pt idx="469">
                  <c:v>43416</c:v>
                </c:pt>
                <c:pt idx="470">
                  <c:v>43417</c:v>
                </c:pt>
                <c:pt idx="471">
                  <c:v>43418</c:v>
                </c:pt>
                <c:pt idx="472">
                  <c:v>43419</c:v>
                </c:pt>
                <c:pt idx="473">
                  <c:v>43420</c:v>
                </c:pt>
                <c:pt idx="474">
                  <c:v>43423</c:v>
                </c:pt>
                <c:pt idx="475">
                  <c:v>43424</c:v>
                </c:pt>
                <c:pt idx="476">
                  <c:v>43425</c:v>
                </c:pt>
                <c:pt idx="477">
                  <c:v>43427</c:v>
                </c:pt>
                <c:pt idx="478">
                  <c:v>43430</c:v>
                </c:pt>
                <c:pt idx="479">
                  <c:v>43431</c:v>
                </c:pt>
                <c:pt idx="480">
                  <c:v>43432</c:v>
                </c:pt>
                <c:pt idx="481">
                  <c:v>43433</c:v>
                </c:pt>
                <c:pt idx="482">
                  <c:v>43434</c:v>
                </c:pt>
                <c:pt idx="483">
                  <c:v>43437</c:v>
                </c:pt>
                <c:pt idx="484">
                  <c:v>43438</c:v>
                </c:pt>
                <c:pt idx="485">
                  <c:v>43440</c:v>
                </c:pt>
                <c:pt idx="486">
                  <c:v>43441</c:v>
                </c:pt>
                <c:pt idx="487">
                  <c:v>43444</c:v>
                </c:pt>
                <c:pt idx="488">
                  <c:v>43445</c:v>
                </c:pt>
                <c:pt idx="489">
                  <c:v>43446</c:v>
                </c:pt>
                <c:pt idx="490">
                  <c:v>43447</c:v>
                </c:pt>
                <c:pt idx="491">
                  <c:v>43448</c:v>
                </c:pt>
                <c:pt idx="492">
                  <c:v>43451</c:v>
                </c:pt>
                <c:pt idx="493">
                  <c:v>43452</c:v>
                </c:pt>
                <c:pt idx="494">
                  <c:v>43453</c:v>
                </c:pt>
                <c:pt idx="495">
                  <c:v>43454</c:v>
                </c:pt>
                <c:pt idx="496">
                  <c:v>43455</c:v>
                </c:pt>
                <c:pt idx="497">
                  <c:v>43458</c:v>
                </c:pt>
                <c:pt idx="498">
                  <c:v>43460</c:v>
                </c:pt>
                <c:pt idx="499">
                  <c:v>43461</c:v>
                </c:pt>
                <c:pt idx="500">
                  <c:v>43462</c:v>
                </c:pt>
                <c:pt idx="501">
                  <c:v>43465</c:v>
                </c:pt>
              </c:numCache>
            </c:numRef>
          </c:cat>
          <c:val>
            <c:numRef>
              <c:f>wide_company_closes_reorder!$AE$2:$AE$503</c:f>
              <c:numCache>
                <c:formatCode>General</c:formatCode>
                <c:ptCount val="502"/>
                <c:pt idx="0">
                  <c:v>83.15</c:v>
                </c:pt>
                <c:pt idx="1">
                  <c:v>82.23</c:v>
                </c:pt>
                <c:pt idx="2">
                  <c:v>81.010000000000005</c:v>
                </c:pt>
                <c:pt idx="3">
                  <c:v>80.959999999999994</c:v>
                </c:pt>
                <c:pt idx="4">
                  <c:v>79.63</c:v>
                </c:pt>
                <c:pt idx="5">
                  <c:v>78.61</c:v>
                </c:pt>
                <c:pt idx="6">
                  <c:v>79.42</c:v>
                </c:pt>
                <c:pt idx="7">
                  <c:v>78.989999999999995</c:v>
                </c:pt>
                <c:pt idx="8">
                  <c:v>79</c:v>
                </c:pt>
                <c:pt idx="9">
                  <c:v>79.92</c:v>
                </c:pt>
                <c:pt idx="10">
                  <c:v>78.930000000000007</c:v>
                </c:pt>
                <c:pt idx="11">
                  <c:v>77.510000000000005</c:v>
                </c:pt>
                <c:pt idx="12">
                  <c:v>78.58</c:v>
                </c:pt>
                <c:pt idx="13">
                  <c:v>77.73</c:v>
                </c:pt>
                <c:pt idx="14">
                  <c:v>77.84</c:v>
                </c:pt>
                <c:pt idx="15">
                  <c:v>78.069999999999993</c:v>
                </c:pt>
                <c:pt idx="16">
                  <c:v>78.31</c:v>
                </c:pt>
                <c:pt idx="17">
                  <c:v>78.23</c:v>
                </c:pt>
                <c:pt idx="18">
                  <c:v>77.63</c:v>
                </c:pt>
                <c:pt idx="19">
                  <c:v>76.75</c:v>
                </c:pt>
                <c:pt idx="20">
                  <c:v>75.88</c:v>
                </c:pt>
                <c:pt idx="21">
                  <c:v>76.34</c:v>
                </c:pt>
                <c:pt idx="22">
                  <c:v>76.430000000000007</c:v>
                </c:pt>
                <c:pt idx="23">
                  <c:v>76.22</c:v>
                </c:pt>
                <c:pt idx="24">
                  <c:v>75.72</c:v>
                </c:pt>
                <c:pt idx="25">
                  <c:v>75.22</c:v>
                </c:pt>
                <c:pt idx="26">
                  <c:v>75.56</c:v>
                </c:pt>
                <c:pt idx="27">
                  <c:v>76.180000000000007</c:v>
                </c:pt>
                <c:pt idx="28">
                  <c:v>76.63</c:v>
                </c:pt>
                <c:pt idx="29">
                  <c:v>76.459999999999994</c:v>
                </c:pt>
                <c:pt idx="30">
                  <c:v>76.77</c:v>
                </c:pt>
                <c:pt idx="31">
                  <c:v>75.98</c:v>
                </c:pt>
                <c:pt idx="32">
                  <c:v>75.48</c:v>
                </c:pt>
                <c:pt idx="33">
                  <c:v>75.599999999999994</c:v>
                </c:pt>
                <c:pt idx="34">
                  <c:v>74.709999999999994</c:v>
                </c:pt>
                <c:pt idx="35">
                  <c:v>75.5</c:v>
                </c:pt>
                <c:pt idx="36">
                  <c:v>74.849999999999994</c:v>
                </c:pt>
                <c:pt idx="37">
                  <c:v>75.28</c:v>
                </c:pt>
                <c:pt idx="38">
                  <c:v>75.08</c:v>
                </c:pt>
                <c:pt idx="39">
                  <c:v>76.64</c:v>
                </c:pt>
                <c:pt idx="40">
                  <c:v>76.900000000000006</c:v>
                </c:pt>
                <c:pt idx="41">
                  <c:v>76.13</c:v>
                </c:pt>
                <c:pt idx="42">
                  <c:v>76.47</c:v>
                </c:pt>
                <c:pt idx="43">
                  <c:v>76.180000000000007</c:v>
                </c:pt>
                <c:pt idx="44">
                  <c:v>74.81</c:v>
                </c:pt>
                <c:pt idx="45">
                  <c:v>75.400000000000006</c:v>
                </c:pt>
                <c:pt idx="46">
                  <c:v>75.34</c:v>
                </c:pt>
                <c:pt idx="47">
                  <c:v>75.17</c:v>
                </c:pt>
                <c:pt idx="48">
                  <c:v>74.77</c:v>
                </c:pt>
                <c:pt idx="49">
                  <c:v>75.7</c:v>
                </c:pt>
                <c:pt idx="50">
                  <c:v>75.77</c:v>
                </c:pt>
                <c:pt idx="51">
                  <c:v>75.7</c:v>
                </c:pt>
                <c:pt idx="52">
                  <c:v>75.7</c:v>
                </c:pt>
                <c:pt idx="53">
                  <c:v>75.55</c:v>
                </c:pt>
                <c:pt idx="54">
                  <c:v>75.48</c:v>
                </c:pt>
                <c:pt idx="55">
                  <c:v>75.569999999999993</c:v>
                </c:pt>
                <c:pt idx="56">
                  <c:v>74.989999999999995</c:v>
                </c:pt>
                <c:pt idx="57">
                  <c:v>75.010000000000005</c:v>
                </c:pt>
                <c:pt idx="58">
                  <c:v>75.56</c:v>
                </c:pt>
                <c:pt idx="59">
                  <c:v>75.72</c:v>
                </c:pt>
                <c:pt idx="60">
                  <c:v>77.27</c:v>
                </c:pt>
                <c:pt idx="61">
                  <c:v>75.709999999999994</c:v>
                </c:pt>
                <c:pt idx="62">
                  <c:v>75.77</c:v>
                </c:pt>
                <c:pt idx="63">
                  <c:v>76.040000000000006</c:v>
                </c:pt>
                <c:pt idx="64">
                  <c:v>76.19</c:v>
                </c:pt>
                <c:pt idx="65">
                  <c:v>76.64</c:v>
                </c:pt>
                <c:pt idx="66">
                  <c:v>76.400000000000006</c:v>
                </c:pt>
                <c:pt idx="67">
                  <c:v>76.75</c:v>
                </c:pt>
                <c:pt idx="68">
                  <c:v>76.48</c:v>
                </c:pt>
                <c:pt idx="69">
                  <c:v>76.599999999999994</c:v>
                </c:pt>
                <c:pt idx="70">
                  <c:v>75.42</c:v>
                </c:pt>
                <c:pt idx="71">
                  <c:v>75.319999999999993</c:v>
                </c:pt>
                <c:pt idx="72">
                  <c:v>74.83</c:v>
                </c:pt>
                <c:pt idx="73">
                  <c:v>74.31</c:v>
                </c:pt>
                <c:pt idx="74">
                  <c:v>74.790000000000006</c:v>
                </c:pt>
                <c:pt idx="75">
                  <c:v>74.489999999999995</c:v>
                </c:pt>
                <c:pt idx="76">
                  <c:v>74.88</c:v>
                </c:pt>
                <c:pt idx="77">
                  <c:v>75.45</c:v>
                </c:pt>
                <c:pt idx="78">
                  <c:v>75.150000000000006</c:v>
                </c:pt>
                <c:pt idx="79">
                  <c:v>75.02</c:v>
                </c:pt>
                <c:pt idx="80">
                  <c:v>75.38</c:v>
                </c:pt>
                <c:pt idx="81">
                  <c:v>75.760000000000005</c:v>
                </c:pt>
                <c:pt idx="82">
                  <c:v>75.75</c:v>
                </c:pt>
                <c:pt idx="83">
                  <c:v>76.349999999999994</c:v>
                </c:pt>
                <c:pt idx="84">
                  <c:v>75.37</c:v>
                </c:pt>
                <c:pt idx="85">
                  <c:v>75.72</c:v>
                </c:pt>
                <c:pt idx="86">
                  <c:v>76.52</c:v>
                </c:pt>
                <c:pt idx="87">
                  <c:v>75.989999999999995</c:v>
                </c:pt>
                <c:pt idx="88">
                  <c:v>76.33</c:v>
                </c:pt>
                <c:pt idx="89">
                  <c:v>76.989999999999995</c:v>
                </c:pt>
                <c:pt idx="90">
                  <c:v>76.930000000000007</c:v>
                </c:pt>
                <c:pt idx="91">
                  <c:v>77.16</c:v>
                </c:pt>
                <c:pt idx="92">
                  <c:v>76.930000000000007</c:v>
                </c:pt>
                <c:pt idx="93">
                  <c:v>76.41</c:v>
                </c:pt>
                <c:pt idx="94">
                  <c:v>76.180000000000007</c:v>
                </c:pt>
                <c:pt idx="95">
                  <c:v>76.349999999999994</c:v>
                </c:pt>
                <c:pt idx="96">
                  <c:v>76.69</c:v>
                </c:pt>
                <c:pt idx="97">
                  <c:v>76.959999999999994</c:v>
                </c:pt>
                <c:pt idx="98">
                  <c:v>76.69</c:v>
                </c:pt>
                <c:pt idx="99">
                  <c:v>76.180000000000007</c:v>
                </c:pt>
                <c:pt idx="100">
                  <c:v>76</c:v>
                </c:pt>
                <c:pt idx="101">
                  <c:v>75.58</c:v>
                </c:pt>
                <c:pt idx="102">
                  <c:v>75.02</c:v>
                </c:pt>
                <c:pt idx="103">
                  <c:v>75.209999999999994</c:v>
                </c:pt>
                <c:pt idx="104">
                  <c:v>74.09</c:v>
                </c:pt>
                <c:pt idx="105">
                  <c:v>74.67</c:v>
                </c:pt>
                <c:pt idx="106">
                  <c:v>75.680000000000007</c:v>
                </c:pt>
                <c:pt idx="107">
                  <c:v>75.400000000000006</c:v>
                </c:pt>
                <c:pt idx="108">
                  <c:v>75.13</c:v>
                </c:pt>
                <c:pt idx="109">
                  <c:v>76.540000000000006</c:v>
                </c:pt>
                <c:pt idx="110">
                  <c:v>77.28</c:v>
                </c:pt>
                <c:pt idx="111">
                  <c:v>77.31</c:v>
                </c:pt>
                <c:pt idx="112">
                  <c:v>76.48</c:v>
                </c:pt>
                <c:pt idx="113">
                  <c:v>76.66</c:v>
                </c:pt>
                <c:pt idx="114">
                  <c:v>77.81</c:v>
                </c:pt>
                <c:pt idx="115">
                  <c:v>77.13</c:v>
                </c:pt>
                <c:pt idx="116">
                  <c:v>76.709999999999994</c:v>
                </c:pt>
                <c:pt idx="117">
                  <c:v>75.900000000000006</c:v>
                </c:pt>
                <c:pt idx="118">
                  <c:v>75.56</c:v>
                </c:pt>
                <c:pt idx="119">
                  <c:v>76.05</c:v>
                </c:pt>
                <c:pt idx="120">
                  <c:v>75.709999999999994</c:v>
                </c:pt>
                <c:pt idx="121">
                  <c:v>75.59</c:v>
                </c:pt>
                <c:pt idx="122">
                  <c:v>75.98</c:v>
                </c:pt>
                <c:pt idx="123">
                  <c:v>75.209999999999994</c:v>
                </c:pt>
                <c:pt idx="124">
                  <c:v>75.23</c:v>
                </c:pt>
                <c:pt idx="125">
                  <c:v>76.510000000000005</c:v>
                </c:pt>
                <c:pt idx="126">
                  <c:v>75.349999999999994</c:v>
                </c:pt>
                <c:pt idx="127">
                  <c:v>74.67</c:v>
                </c:pt>
                <c:pt idx="128">
                  <c:v>74.760000000000005</c:v>
                </c:pt>
                <c:pt idx="129">
                  <c:v>74.7</c:v>
                </c:pt>
                <c:pt idx="130">
                  <c:v>75.11</c:v>
                </c:pt>
                <c:pt idx="131">
                  <c:v>75.45</c:v>
                </c:pt>
                <c:pt idx="132">
                  <c:v>75.459999999999994</c:v>
                </c:pt>
                <c:pt idx="133">
                  <c:v>75.75</c:v>
                </c:pt>
                <c:pt idx="134">
                  <c:v>75.36</c:v>
                </c:pt>
                <c:pt idx="135">
                  <c:v>75.11</c:v>
                </c:pt>
                <c:pt idx="136">
                  <c:v>75.349999999999994</c:v>
                </c:pt>
                <c:pt idx="137">
                  <c:v>75.36</c:v>
                </c:pt>
                <c:pt idx="138">
                  <c:v>74.67</c:v>
                </c:pt>
                <c:pt idx="139">
                  <c:v>74.430000000000007</c:v>
                </c:pt>
                <c:pt idx="140">
                  <c:v>74.81</c:v>
                </c:pt>
                <c:pt idx="141">
                  <c:v>74.900000000000006</c:v>
                </c:pt>
                <c:pt idx="142">
                  <c:v>75.33</c:v>
                </c:pt>
                <c:pt idx="143">
                  <c:v>74.180000000000007</c:v>
                </c:pt>
                <c:pt idx="144">
                  <c:v>74.59</c:v>
                </c:pt>
                <c:pt idx="145">
                  <c:v>74.709999999999994</c:v>
                </c:pt>
                <c:pt idx="146">
                  <c:v>75.11</c:v>
                </c:pt>
                <c:pt idx="147">
                  <c:v>75.010000000000005</c:v>
                </c:pt>
                <c:pt idx="148">
                  <c:v>74.75</c:v>
                </c:pt>
                <c:pt idx="149">
                  <c:v>74.7</c:v>
                </c:pt>
                <c:pt idx="150">
                  <c:v>74.52</c:v>
                </c:pt>
                <c:pt idx="151">
                  <c:v>74.75</c:v>
                </c:pt>
                <c:pt idx="152">
                  <c:v>74.31</c:v>
                </c:pt>
                <c:pt idx="153">
                  <c:v>73.59</c:v>
                </c:pt>
                <c:pt idx="154">
                  <c:v>73.61</c:v>
                </c:pt>
                <c:pt idx="155">
                  <c:v>73.430000000000007</c:v>
                </c:pt>
                <c:pt idx="156">
                  <c:v>72.900000000000006</c:v>
                </c:pt>
                <c:pt idx="157">
                  <c:v>71.760000000000005</c:v>
                </c:pt>
                <c:pt idx="158">
                  <c:v>72.11</c:v>
                </c:pt>
                <c:pt idx="159">
                  <c:v>71.87</c:v>
                </c:pt>
                <c:pt idx="160">
                  <c:v>72.209999999999994</c:v>
                </c:pt>
                <c:pt idx="161">
                  <c:v>72.09</c:v>
                </c:pt>
                <c:pt idx="162">
                  <c:v>71.819999999999993</c:v>
                </c:pt>
                <c:pt idx="163">
                  <c:v>72.19</c:v>
                </c:pt>
                <c:pt idx="164">
                  <c:v>71.95</c:v>
                </c:pt>
                <c:pt idx="165">
                  <c:v>71.94</c:v>
                </c:pt>
                <c:pt idx="166">
                  <c:v>71.61</c:v>
                </c:pt>
                <c:pt idx="167">
                  <c:v>71.819999999999993</c:v>
                </c:pt>
                <c:pt idx="168">
                  <c:v>72.05</c:v>
                </c:pt>
                <c:pt idx="169">
                  <c:v>72.62</c:v>
                </c:pt>
                <c:pt idx="170">
                  <c:v>74.13</c:v>
                </c:pt>
                <c:pt idx="171">
                  <c:v>74.36</c:v>
                </c:pt>
                <c:pt idx="172">
                  <c:v>74.17</c:v>
                </c:pt>
                <c:pt idx="173">
                  <c:v>74.569999999999993</c:v>
                </c:pt>
                <c:pt idx="174">
                  <c:v>74.81</c:v>
                </c:pt>
                <c:pt idx="175">
                  <c:v>75.06</c:v>
                </c:pt>
                <c:pt idx="176">
                  <c:v>75.36</c:v>
                </c:pt>
                <c:pt idx="177">
                  <c:v>75.34</c:v>
                </c:pt>
                <c:pt idx="178">
                  <c:v>75.36</c:v>
                </c:pt>
                <c:pt idx="179">
                  <c:v>75.48</c:v>
                </c:pt>
                <c:pt idx="180">
                  <c:v>75.790000000000006</c:v>
                </c:pt>
                <c:pt idx="181">
                  <c:v>75.17</c:v>
                </c:pt>
                <c:pt idx="182">
                  <c:v>75.2</c:v>
                </c:pt>
                <c:pt idx="183">
                  <c:v>76.2</c:v>
                </c:pt>
                <c:pt idx="184">
                  <c:v>76.11</c:v>
                </c:pt>
                <c:pt idx="185">
                  <c:v>76.62</c:v>
                </c:pt>
                <c:pt idx="186">
                  <c:v>77.34</c:v>
                </c:pt>
                <c:pt idx="187">
                  <c:v>77.14</c:v>
                </c:pt>
                <c:pt idx="188">
                  <c:v>76.81</c:v>
                </c:pt>
                <c:pt idx="189">
                  <c:v>76.930000000000007</c:v>
                </c:pt>
                <c:pt idx="190">
                  <c:v>76.959999999999994</c:v>
                </c:pt>
                <c:pt idx="191">
                  <c:v>77.180000000000007</c:v>
                </c:pt>
                <c:pt idx="192">
                  <c:v>76.89</c:v>
                </c:pt>
                <c:pt idx="193">
                  <c:v>77.19</c:v>
                </c:pt>
                <c:pt idx="194">
                  <c:v>77.400000000000006</c:v>
                </c:pt>
                <c:pt idx="195">
                  <c:v>77.72</c:v>
                </c:pt>
                <c:pt idx="196">
                  <c:v>77.56</c:v>
                </c:pt>
                <c:pt idx="197">
                  <c:v>77.540000000000006</c:v>
                </c:pt>
                <c:pt idx="198">
                  <c:v>77.92</c:v>
                </c:pt>
                <c:pt idx="199">
                  <c:v>78.06</c:v>
                </c:pt>
                <c:pt idx="200">
                  <c:v>77.87</c:v>
                </c:pt>
                <c:pt idx="201">
                  <c:v>77.849999999999994</c:v>
                </c:pt>
                <c:pt idx="202">
                  <c:v>78.2</c:v>
                </c:pt>
                <c:pt idx="203">
                  <c:v>78.33</c:v>
                </c:pt>
                <c:pt idx="204">
                  <c:v>78.540000000000006</c:v>
                </c:pt>
                <c:pt idx="205">
                  <c:v>78.260000000000005</c:v>
                </c:pt>
                <c:pt idx="206">
                  <c:v>78.540000000000006</c:v>
                </c:pt>
                <c:pt idx="207">
                  <c:v>78.77</c:v>
                </c:pt>
                <c:pt idx="208">
                  <c:v>78.61</c:v>
                </c:pt>
                <c:pt idx="209">
                  <c:v>78.430000000000007</c:v>
                </c:pt>
                <c:pt idx="210">
                  <c:v>78.92</c:v>
                </c:pt>
                <c:pt idx="211">
                  <c:v>78.599999999999994</c:v>
                </c:pt>
                <c:pt idx="212">
                  <c:v>78.27</c:v>
                </c:pt>
                <c:pt idx="213">
                  <c:v>78.81</c:v>
                </c:pt>
                <c:pt idx="214">
                  <c:v>78.650000000000006</c:v>
                </c:pt>
                <c:pt idx="215">
                  <c:v>78.540000000000006</c:v>
                </c:pt>
                <c:pt idx="216">
                  <c:v>79.010000000000005</c:v>
                </c:pt>
                <c:pt idx="217">
                  <c:v>78.77</c:v>
                </c:pt>
                <c:pt idx="218">
                  <c:v>78.72</c:v>
                </c:pt>
                <c:pt idx="219">
                  <c:v>78.099999999999994</c:v>
                </c:pt>
                <c:pt idx="220">
                  <c:v>77.12</c:v>
                </c:pt>
                <c:pt idx="221">
                  <c:v>76.5</c:v>
                </c:pt>
                <c:pt idx="222">
                  <c:v>76.2</c:v>
                </c:pt>
                <c:pt idx="223">
                  <c:v>76.5</c:v>
                </c:pt>
                <c:pt idx="224">
                  <c:v>76.8</c:v>
                </c:pt>
                <c:pt idx="225">
                  <c:v>77.02</c:v>
                </c:pt>
                <c:pt idx="226">
                  <c:v>77.319999999999993</c:v>
                </c:pt>
                <c:pt idx="227">
                  <c:v>77.03</c:v>
                </c:pt>
                <c:pt idx="228">
                  <c:v>77.56</c:v>
                </c:pt>
                <c:pt idx="229">
                  <c:v>78.13</c:v>
                </c:pt>
                <c:pt idx="230">
                  <c:v>79.099999999999994</c:v>
                </c:pt>
                <c:pt idx="231">
                  <c:v>79.260000000000005</c:v>
                </c:pt>
                <c:pt idx="232">
                  <c:v>79.36</c:v>
                </c:pt>
                <c:pt idx="233">
                  <c:v>78.72</c:v>
                </c:pt>
                <c:pt idx="234">
                  <c:v>78.14</c:v>
                </c:pt>
                <c:pt idx="235">
                  <c:v>78.39</c:v>
                </c:pt>
                <c:pt idx="236">
                  <c:v>78.5</c:v>
                </c:pt>
                <c:pt idx="237">
                  <c:v>78.849999999999994</c:v>
                </c:pt>
                <c:pt idx="238">
                  <c:v>78.59</c:v>
                </c:pt>
                <c:pt idx="239">
                  <c:v>78.94</c:v>
                </c:pt>
                <c:pt idx="240">
                  <c:v>78.73</c:v>
                </c:pt>
                <c:pt idx="241">
                  <c:v>78.849999999999994</c:v>
                </c:pt>
                <c:pt idx="242">
                  <c:v>78.77</c:v>
                </c:pt>
                <c:pt idx="243">
                  <c:v>78.290000000000006</c:v>
                </c:pt>
                <c:pt idx="244">
                  <c:v>78.7</c:v>
                </c:pt>
                <c:pt idx="245">
                  <c:v>79.63</c:v>
                </c:pt>
                <c:pt idx="246">
                  <c:v>79.739999999999995</c:v>
                </c:pt>
                <c:pt idx="247">
                  <c:v>79.75</c:v>
                </c:pt>
                <c:pt idx="248">
                  <c:v>79.680000000000007</c:v>
                </c:pt>
                <c:pt idx="249">
                  <c:v>79.790000000000006</c:v>
                </c:pt>
                <c:pt idx="250">
                  <c:v>79.430000000000007</c:v>
                </c:pt>
                <c:pt idx="251">
                  <c:v>80.75</c:v>
                </c:pt>
                <c:pt idx="252">
                  <c:v>82.34</c:v>
                </c:pt>
                <c:pt idx="253">
                  <c:v>82.45</c:v>
                </c:pt>
                <c:pt idx="254">
                  <c:v>82.38</c:v>
                </c:pt>
                <c:pt idx="255">
                  <c:v>82.75</c:v>
                </c:pt>
                <c:pt idx="256">
                  <c:v>82.4</c:v>
                </c:pt>
                <c:pt idx="257">
                  <c:v>81.75</c:v>
                </c:pt>
                <c:pt idx="258">
                  <c:v>82.55</c:v>
                </c:pt>
                <c:pt idx="259">
                  <c:v>83.11</c:v>
                </c:pt>
                <c:pt idx="260">
                  <c:v>82.59</c:v>
                </c:pt>
                <c:pt idx="261">
                  <c:v>83.57</c:v>
                </c:pt>
                <c:pt idx="262">
                  <c:v>83.03</c:v>
                </c:pt>
                <c:pt idx="263">
                  <c:v>82.76</c:v>
                </c:pt>
                <c:pt idx="264">
                  <c:v>83.81</c:v>
                </c:pt>
                <c:pt idx="265">
                  <c:v>83.86</c:v>
                </c:pt>
                <c:pt idx="266">
                  <c:v>84.07</c:v>
                </c:pt>
                <c:pt idx="267">
                  <c:v>83.92</c:v>
                </c:pt>
                <c:pt idx="268">
                  <c:v>84.52</c:v>
                </c:pt>
                <c:pt idx="269">
                  <c:v>83.58</c:v>
                </c:pt>
                <c:pt idx="270">
                  <c:v>82.41</c:v>
                </c:pt>
                <c:pt idx="271">
                  <c:v>82.91</c:v>
                </c:pt>
                <c:pt idx="272">
                  <c:v>84.59</c:v>
                </c:pt>
                <c:pt idx="273">
                  <c:v>80.28</c:v>
                </c:pt>
                <c:pt idx="274">
                  <c:v>75.709999999999994</c:v>
                </c:pt>
                <c:pt idx="275">
                  <c:v>74.41</c:v>
                </c:pt>
                <c:pt idx="276">
                  <c:v>73.069999999999993</c:v>
                </c:pt>
                <c:pt idx="277">
                  <c:v>72.239999999999995</c:v>
                </c:pt>
                <c:pt idx="278">
                  <c:v>72.7</c:v>
                </c:pt>
                <c:pt idx="279">
                  <c:v>73.319999999999993</c:v>
                </c:pt>
                <c:pt idx="280">
                  <c:v>73.2</c:v>
                </c:pt>
                <c:pt idx="281">
                  <c:v>73.349999999999994</c:v>
                </c:pt>
                <c:pt idx="282">
                  <c:v>73.11</c:v>
                </c:pt>
                <c:pt idx="283">
                  <c:v>73.430000000000007</c:v>
                </c:pt>
                <c:pt idx="284">
                  <c:v>72.67</c:v>
                </c:pt>
                <c:pt idx="285">
                  <c:v>71.849999999999994</c:v>
                </c:pt>
                <c:pt idx="286">
                  <c:v>72.78</c:v>
                </c:pt>
                <c:pt idx="287">
                  <c:v>74.38</c:v>
                </c:pt>
                <c:pt idx="288">
                  <c:v>75.64</c:v>
                </c:pt>
                <c:pt idx="289">
                  <c:v>74.349999999999994</c:v>
                </c:pt>
                <c:pt idx="290">
                  <c:v>72.66</c:v>
                </c:pt>
                <c:pt idx="291">
                  <c:v>72.150000000000006</c:v>
                </c:pt>
                <c:pt idx="292">
                  <c:v>72.48</c:v>
                </c:pt>
                <c:pt idx="293">
                  <c:v>73.17</c:v>
                </c:pt>
                <c:pt idx="294">
                  <c:v>73.09</c:v>
                </c:pt>
                <c:pt idx="295">
                  <c:v>71.239999999999995</c:v>
                </c:pt>
                <c:pt idx="296">
                  <c:v>71.11</c:v>
                </c:pt>
                <c:pt idx="297">
                  <c:v>71.53</c:v>
                </c:pt>
                <c:pt idx="298">
                  <c:v>72.180000000000007</c:v>
                </c:pt>
                <c:pt idx="299">
                  <c:v>71.5</c:v>
                </c:pt>
                <c:pt idx="300">
                  <c:v>70.61</c:v>
                </c:pt>
                <c:pt idx="301">
                  <c:v>71.400000000000006</c:v>
                </c:pt>
                <c:pt idx="302">
                  <c:v>72.069999999999993</c:v>
                </c:pt>
                <c:pt idx="303">
                  <c:v>71.14</c:v>
                </c:pt>
                <c:pt idx="304">
                  <c:v>70.98</c:v>
                </c:pt>
                <c:pt idx="305">
                  <c:v>71.989999999999995</c:v>
                </c:pt>
                <c:pt idx="306">
                  <c:v>70.510000000000005</c:v>
                </c:pt>
                <c:pt idx="307">
                  <c:v>69.930000000000007</c:v>
                </c:pt>
                <c:pt idx="308">
                  <c:v>70.989999999999995</c:v>
                </c:pt>
                <c:pt idx="309">
                  <c:v>70.709999999999994</c:v>
                </c:pt>
                <c:pt idx="310">
                  <c:v>69.849999999999994</c:v>
                </c:pt>
                <c:pt idx="311">
                  <c:v>71.58</c:v>
                </c:pt>
                <c:pt idx="312">
                  <c:v>70.25</c:v>
                </c:pt>
                <c:pt idx="313">
                  <c:v>71.97</c:v>
                </c:pt>
                <c:pt idx="314">
                  <c:v>71.83</c:v>
                </c:pt>
                <c:pt idx="315">
                  <c:v>72.930000000000007</c:v>
                </c:pt>
                <c:pt idx="316">
                  <c:v>71.83</c:v>
                </c:pt>
                <c:pt idx="317">
                  <c:v>71.83</c:v>
                </c:pt>
                <c:pt idx="318">
                  <c:v>73.94</c:v>
                </c:pt>
                <c:pt idx="319">
                  <c:v>74.28</c:v>
                </c:pt>
                <c:pt idx="320">
                  <c:v>74.08</c:v>
                </c:pt>
                <c:pt idx="321">
                  <c:v>74.680000000000007</c:v>
                </c:pt>
                <c:pt idx="322">
                  <c:v>75.349999999999994</c:v>
                </c:pt>
                <c:pt idx="323">
                  <c:v>75.150000000000006</c:v>
                </c:pt>
                <c:pt idx="324">
                  <c:v>76</c:v>
                </c:pt>
                <c:pt idx="325">
                  <c:v>76.19</c:v>
                </c:pt>
                <c:pt idx="326">
                  <c:v>75.790000000000006</c:v>
                </c:pt>
                <c:pt idx="327">
                  <c:v>76.34</c:v>
                </c:pt>
                <c:pt idx="328">
                  <c:v>75.17</c:v>
                </c:pt>
                <c:pt idx="329">
                  <c:v>76.27</c:v>
                </c:pt>
                <c:pt idx="330">
                  <c:v>77.58</c:v>
                </c:pt>
                <c:pt idx="331">
                  <c:v>74.63</c:v>
                </c:pt>
                <c:pt idx="332">
                  <c:v>74.59</c:v>
                </c:pt>
                <c:pt idx="333">
                  <c:v>73.819999999999993</c:v>
                </c:pt>
                <c:pt idx="334">
                  <c:v>73.680000000000007</c:v>
                </c:pt>
                <c:pt idx="335">
                  <c:v>73.430000000000007</c:v>
                </c:pt>
                <c:pt idx="336">
                  <c:v>73.78</c:v>
                </c:pt>
                <c:pt idx="337">
                  <c:v>74.58</c:v>
                </c:pt>
                <c:pt idx="338">
                  <c:v>74.92</c:v>
                </c:pt>
                <c:pt idx="339">
                  <c:v>76.680000000000007</c:v>
                </c:pt>
                <c:pt idx="340">
                  <c:v>78.400000000000006</c:v>
                </c:pt>
                <c:pt idx="341">
                  <c:v>78.77</c:v>
                </c:pt>
                <c:pt idx="342">
                  <c:v>79.3</c:v>
                </c:pt>
                <c:pt idx="343">
                  <c:v>79.260000000000005</c:v>
                </c:pt>
                <c:pt idx="344">
                  <c:v>79.489999999999995</c:v>
                </c:pt>
                <c:pt idx="345">
                  <c:v>79.349999999999994</c:v>
                </c:pt>
                <c:pt idx="346">
                  <c:v>78.790000000000006</c:v>
                </c:pt>
                <c:pt idx="347">
                  <c:v>79.739999999999995</c:v>
                </c:pt>
                <c:pt idx="348">
                  <c:v>79.12</c:v>
                </c:pt>
                <c:pt idx="349">
                  <c:v>79.61</c:v>
                </c:pt>
                <c:pt idx="350">
                  <c:v>77.790000000000006</c:v>
                </c:pt>
                <c:pt idx="351">
                  <c:v>76.28</c:v>
                </c:pt>
                <c:pt idx="352">
                  <c:v>76</c:v>
                </c:pt>
                <c:pt idx="353">
                  <c:v>78.98</c:v>
                </c:pt>
                <c:pt idx="354">
                  <c:v>78.73</c:v>
                </c:pt>
                <c:pt idx="355">
                  <c:v>79.3</c:v>
                </c:pt>
                <c:pt idx="356">
                  <c:v>78.47</c:v>
                </c:pt>
                <c:pt idx="357">
                  <c:v>78.19</c:v>
                </c:pt>
                <c:pt idx="358">
                  <c:v>79.52</c:v>
                </c:pt>
                <c:pt idx="359">
                  <c:v>80.319999999999993</c:v>
                </c:pt>
                <c:pt idx="360">
                  <c:v>81.02</c:v>
                </c:pt>
                <c:pt idx="361">
                  <c:v>80.53</c:v>
                </c:pt>
                <c:pt idx="362">
                  <c:v>79.87</c:v>
                </c:pt>
                <c:pt idx="363">
                  <c:v>78.989999999999995</c:v>
                </c:pt>
                <c:pt idx="364">
                  <c:v>79.36</c:v>
                </c:pt>
                <c:pt idx="365">
                  <c:v>78.17</c:v>
                </c:pt>
                <c:pt idx="366">
                  <c:v>78.319999999999993</c:v>
                </c:pt>
                <c:pt idx="367">
                  <c:v>78.209999999999994</c:v>
                </c:pt>
                <c:pt idx="368">
                  <c:v>77.959999999999994</c:v>
                </c:pt>
                <c:pt idx="369">
                  <c:v>77.23</c:v>
                </c:pt>
                <c:pt idx="370">
                  <c:v>78.87</c:v>
                </c:pt>
                <c:pt idx="371">
                  <c:v>77.28</c:v>
                </c:pt>
                <c:pt idx="372">
                  <c:v>78.150000000000006</c:v>
                </c:pt>
                <c:pt idx="373">
                  <c:v>79.19</c:v>
                </c:pt>
                <c:pt idx="374">
                  <c:v>79.44</c:v>
                </c:pt>
                <c:pt idx="375">
                  <c:v>80.17</c:v>
                </c:pt>
                <c:pt idx="376">
                  <c:v>79.23</c:v>
                </c:pt>
                <c:pt idx="377">
                  <c:v>79.7</c:v>
                </c:pt>
                <c:pt idx="378">
                  <c:v>79.77</c:v>
                </c:pt>
                <c:pt idx="379">
                  <c:v>79.790000000000006</c:v>
                </c:pt>
                <c:pt idx="380">
                  <c:v>80.34</c:v>
                </c:pt>
                <c:pt idx="381">
                  <c:v>81.069999999999993</c:v>
                </c:pt>
                <c:pt idx="382">
                  <c:v>80.040000000000006</c:v>
                </c:pt>
                <c:pt idx="383">
                  <c:v>80.13</c:v>
                </c:pt>
                <c:pt idx="384">
                  <c:v>80.739999999999995</c:v>
                </c:pt>
                <c:pt idx="385">
                  <c:v>79.94</c:v>
                </c:pt>
                <c:pt idx="386">
                  <c:v>79.77</c:v>
                </c:pt>
                <c:pt idx="387">
                  <c:v>79.680000000000007</c:v>
                </c:pt>
                <c:pt idx="388">
                  <c:v>79.48</c:v>
                </c:pt>
                <c:pt idx="389">
                  <c:v>78.88</c:v>
                </c:pt>
                <c:pt idx="390">
                  <c:v>78.88</c:v>
                </c:pt>
                <c:pt idx="391">
                  <c:v>80.44</c:v>
                </c:pt>
                <c:pt idx="392">
                  <c:v>81.010000000000005</c:v>
                </c:pt>
                <c:pt idx="393">
                  <c:v>81.64</c:v>
                </c:pt>
                <c:pt idx="394">
                  <c:v>79.39</c:v>
                </c:pt>
                <c:pt idx="395">
                  <c:v>79.209999999999994</c:v>
                </c:pt>
                <c:pt idx="396">
                  <c:v>78.989999999999995</c:v>
                </c:pt>
                <c:pt idx="397">
                  <c:v>77.91</c:v>
                </c:pt>
                <c:pt idx="398">
                  <c:v>77.44</c:v>
                </c:pt>
                <c:pt idx="399">
                  <c:v>77.72</c:v>
                </c:pt>
                <c:pt idx="400">
                  <c:v>77.7</c:v>
                </c:pt>
                <c:pt idx="401">
                  <c:v>78.760000000000005</c:v>
                </c:pt>
                <c:pt idx="402">
                  <c:v>78.239999999999995</c:v>
                </c:pt>
                <c:pt idx="403">
                  <c:v>77.84</c:v>
                </c:pt>
                <c:pt idx="404">
                  <c:v>77.760000000000005</c:v>
                </c:pt>
                <c:pt idx="405">
                  <c:v>76.92</c:v>
                </c:pt>
                <c:pt idx="406">
                  <c:v>76.67</c:v>
                </c:pt>
                <c:pt idx="407">
                  <c:v>75.33</c:v>
                </c:pt>
                <c:pt idx="408">
                  <c:v>76.37</c:v>
                </c:pt>
                <c:pt idx="409">
                  <c:v>76.62</c:v>
                </c:pt>
                <c:pt idx="410">
                  <c:v>77.16</c:v>
                </c:pt>
                <c:pt idx="411">
                  <c:v>77.180000000000007</c:v>
                </c:pt>
                <c:pt idx="412">
                  <c:v>78.290000000000006</c:v>
                </c:pt>
                <c:pt idx="413">
                  <c:v>77.430000000000007</c:v>
                </c:pt>
                <c:pt idx="414">
                  <c:v>77.959999999999994</c:v>
                </c:pt>
                <c:pt idx="415">
                  <c:v>78.72</c:v>
                </c:pt>
                <c:pt idx="416">
                  <c:v>78.599999999999994</c:v>
                </c:pt>
                <c:pt idx="417">
                  <c:v>79.17</c:v>
                </c:pt>
                <c:pt idx="418">
                  <c:v>78.83</c:v>
                </c:pt>
                <c:pt idx="419">
                  <c:v>78.489999999999995</c:v>
                </c:pt>
                <c:pt idx="420">
                  <c:v>78.61</c:v>
                </c:pt>
                <c:pt idx="421">
                  <c:v>79.66</c:v>
                </c:pt>
                <c:pt idx="422">
                  <c:v>78.78</c:v>
                </c:pt>
                <c:pt idx="423">
                  <c:v>80.12</c:v>
                </c:pt>
                <c:pt idx="424">
                  <c:v>80</c:v>
                </c:pt>
                <c:pt idx="425">
                  <c:v>81.13</c:v>
                </c:pt>
                <c:pt idx="426">
                  <c:v>81.39</c:v>
                </c:pt>
                <c:pt idx="427">
                  <c:v>80.599999999999994</c:v>
                </c:pt>
                <c:pt idx="428">
                  <c:v>81.19</c:v>
                </c:pt>
                <c:pt idx="429">
                  <c:v>81.67</c:v>
                </c:pt>
                <c:pt idx="430">
                  <c:v>81.88</c:v>
                </c:pt>
                <c:pt idx="431">
                  <c:v>82.86</c:v>
                </c:pt>
                <c:pt idx="432">
                  <c:v>83.05</c:v>
                </c:pt>
                <c:pt idx="433">
                  <c:v>83.39</c:v>
                </c:pt>
                <c:pt idx="434">
                  <c:v>84.79</c:v>
                </c:pt>
                <c:pt idx="435">
                  <c:v>84.69</c:v>
                </c:pt>
                <c:pt idx="436">
                  <c:v>83.99</c:v>
                </c:pt>
                <c:pt idx="437">
                  <c:v>83.98</c:v>
                </c:pt>
                <c:pt idx="438">
                  <c:v>83.24</c:v>
                </c:pt>
                <c:pt idx="439">
                  <c:v>84.02</c:v>
                </c:pt>
                <c:pt idx="440">
                  <c:v>84.65</c:v>
                </c:pt>
                <c:pt idx="441">
                  <c:v>84.35</c:v>
                </c:pt>
                <c:pt idx="442">
                  <c:v>83.79</c:v>
                </c:pt>
                <c:pt idx="443">
                  <c:v>83.56</c:v>
                </c:pt>
                <c:pt idx="444">
                  <c:v>84.33</c:v>
                </c:pt>
                <c:pt idx="445">
                  <c:v>84.7</c:v>
                </c:pt>
                <c:pt idx="446">
                  <c:v>82.75</c:v>
                </c:pt>
                <c:pt idx="447">
                  <c:v>79.89</c:v>
                </c:pt>
                <c:pt idx="448">
                  <c:v>79.680000000000007</c:v>
                </c:pt>
                <c:pt idx="449">
                  <c:v>79.13</c:v>
                </c:pt>
                <c:pt idx="450">
                  <c:v>79.5</c:v>
                </c:pt>
                <c:pt idx="451">
                  <c:v>79.8</c:v>
                </c:pt>
                <c:pt idx="452">
                  <c:v>80.14</c:v>
                </c:pt>
                <c:pt idx="453">
                  <c:v>80.260000000000005</c:v>
                </c:pt>
                <c:pt idx="454">
                  <c:v>79.45</c:v>
                </c:pt>
                <c:pt idx="455">
                  <c:v>78.17</c:v>
                </c:pt>
                <c:pt idx="456">
                  <c:v>76</c:v>
                </c:pt>
                <c:pt idx="457">
                  <c:v>76.67</c:v>
                </c:pt>
                <c:pt idx="458">
                  <c:v>75.91</c:v>
                </c:pt>
                <c:pt idx="459">
                  <c:v>75.44</c:v>
                </c:pt>
                <c:pt idx="460">
                  <c:v>77.13</c:v>
                </c:pt>
                <c:pt idx="461">
                  <c:v>78.010000000000005</c:v>
                </c:pt>
                <c:pt idx="462">
                  <c:v>78.98</c:v>
                </c:pt>
                <c:pt idx="463">
                  <c:v>80.239999999999995</c:v>
                </c:pt>
                <c:pt idx="464">
                  <c:v>79.930000000000007</c:v>
                </c:pt>
                <c:pt idx="465">
                  <c:v>80.28</c:v>
                </c:pt>
                <c:pt idx="466">
                  <c:v>81.290000000000006</c:v>
                </c:pt>
                <c:pt idx="467">
                  <c:v>80</c:v>
                </c:pt>
                <c:pt idx="468">
                  <c:v>79.98</c:v>
                </c:pt>
                <c:pt idx="469">
                  <c:v>78.95</c:v>
                </c:pt>
                <c:pt idx="470">
                  <c:v>77.14</c:v>
                </c:pt>
                <c:pt idx="471">
                  <c:v>76.540000000000006</c:v>
                </c:pt>
                <c:pt idx="472">
                  <c:v>77.33</c:v>
                </c:pt>
                <c:pt idx="473">
                  <c:v>78.09</c:v>
                </c:pt>
                <c:pt idx="474">
                  <c:v>78.349999999999994</c:v>
                </c:pt>
                <c:pt idx="475">
                  <c:v>76.12</c:v>
                </c:pt>
                <c:pt idx="476">
                  <c:v>76.709999999999994</c:v>
                </c:pt>
                <c:pt idx="477">
                  <c:v>74.66</c:v>
                </c:pt>
                <c:pt idx="478">
                  <c:v>76.13</c:v>
                </c:pt>
                <c:pt idx="479">
                  <c:v>76.2</c:v>
                </c:pt>
                <c:pt idx="480">
                  <c:v>77.59</c:v>
                </c:pt>
                <c:pt idx="481">
                  <c:v>78.19</c:v>
                </c:pt>
                <c:pt idx="482">
                  <c:v>78.63</c:v>
                </c:pt>
                <c:pt idx="483">
                  <c:v>80.33</c:v>
                </c:pt>
                <c:pt idx="484">
                  <c:v>78.56</c:v>
                </c:pt>
                <c:pt idx="485">
                  <c:v>77.53</c:v>
                </c:pt>
                <c:pt idx="486">
                  <c:v>76.790000000000006</c:v>
                </c:pt>
                <c:pt idx="487">
                  <c:v>75.7</c:v>
                </c:pt>
                <c:pt idx="488">
                  <c:v>75.84</c:v>
                </c:pt>
                <c:pt idx="489">
                  <c:v>75.19</c:v>
                </c:pt>
                <c:pt idx="490">
                  <c:v>76.13</c:v>
                </c:pt>
                <c:pt idx="491">
                  <c:v>74.75</c:v>
                </c:pt>
                <c:pt idx="492">
                  <c:v>73.23</c:v>
                </c:pt>
                <c:pt idx="493">
                  <c:v>71.209999999999994</c:v>
                </c:pt>
                <c:pt idx="494">
                  <c:v>70</c:v>
                </c:pt>
                <c:pt idx="495">
                  <c:v>67.88</c:v>
                </c:pt>
                <c:pt idx="496">
                  <c:v>67.37</c:v>
                </c:pt>
                <c:pt idx="497">
                  <c:v>64.790000000000006</c:v>
                </c:pt>
                <c:pt idx="498">
                  <c:v>67.89</c:v>
                </c:pt>
                <c:pt idx="499">
                  <c:v>68.180000000000007</c:v>
                </c:pt>
                <c:pt idx="500">
                  <c:v>67.42</c:v>
                </c:pt>
                <c:pt idx="501">
                  <c:v>67.44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A88-4627-A9B5-13E947E20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776600"/>
        <c:axId val="669777256"/>
      </c:lineChart>
      <c:dateAx>
        <c:axId val="669776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777256"/>
        <c:crosses val="autoZero"/>
        <c:auto val="1"/>
        <c:lblOffset val="100"/>
        <c:baseTimeUnit val="days"/>
      </c:dateAx>
      <c:valAx>
        <c:axId val="66977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77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244475</xdr:colOff>
      <xdr:row>5</xdr:row>
      <xdr:rowOff>53974</xdr:rowOff>
    </xdr:from>
    <xdr:to>
      <xdr:col>27</xdr:col>
      <xdr:colOff>82550</xdr:colOff>
      <xdr:row>36</xdr:row>
      <xdr:rowOff>120649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01FDF8-AB3C-4F81-BF1E-1F252E0898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Y1954"/>
  <sheetViews>
    <sheetView tabSelected="1" zoomScale="75" zoomScaleNormal="75" workbookViewId="0">
      <pane ySplit="1" topLeftCell="A2" activePane="bottomLeft" state="frozen"/>
      <selection activeCell="AE1" sqref="AE1"/>
      <selection pane="bottomLeft" activeCell="A2" sqref="A2"/>
    </sheetView>
  </sheetViews>
  <sheetFormatPr defaultRowHeight="15" x14ac:dyDescent="0.25"/>
  <cols>
    <col min="1" max="1" width="12.140625" bestFit="1" customWidth="1"/>
    <col min="65" max="65" width="12" bestFit="1" customWidth="1"/>
    <col min="66" max="66" width="12.28515625" customWidth="1"/>
    <col min="67" max="67" width="10.85546875" bestFit="1" customWidth="1"/>
    <col min="68" max="70" width="9.7109375" bestFit="1" customWidth="1"/>
    <col min="71" max="71" width="8.5703125" bestFit="1" customWidth="1"/>
    <col min="72" max="73" width="9.7109375" bestFit="1" customWidth="1"/>
    <col min="74" max="74" width="8.5703125" bestFit="1" customWidth="1"/>
    <col min="75" max="77" width="9.7109375" bestFit="1" customWidth="1"/>
    <col min="78" max="78" width="8.5703125" bestFit="1" customWidth="1"/>
    <col min="79" max="79" width="19.7109375" customWidth="1"/>
    <col min="80" max="80" width="13.85546875" bestFit="1" customWidth="1"/>
    <col min="81" max="81" width="8.5703125" bestFit="1" customWidth="1"/>
    <col min="82" max="83" width="9.7109375" bestFit="1" customWidth="1"/>
    <col min="84" max="86" width="8.5703125" bestFit="1" customWidth="1"/>
    <col min="87" max="89" width="9.7109375" bestFit="1" customWidth="1"/>
    <col min="90" max="90" width="10.85546875" bestFit="1" customWidth="1"/>
    <col min="91" max="94" width="9.7109375" bestFit="1" customWidth="1"/>
    <col min="95" max="96" width="8.5703125" bestFit="1" customWidth="1"/>
    <col min="103" max="103" width="10.85546875" customWidth="1"/>
  </cols>
  <sheetData>
    <row r="1" spans="1:1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G1" t="s">
        <v>31</v>
      </c>
      <c r="AI1" t="s">
        <v>1</v>
      </c>
      <c r="AJ1" t="s">
        <v>2</v>
      </c>
      <c r="AK1" t="s">
        <v>3</v>
      </c>
      <c r="AL1" t="s">
        <v>4</v>
      </c>
      <c r="AM1" t="s">
        <v>5</v>
      </c>
      <c r="AN1" t="s">
        <v>6</v>
      </c>
      <c r="AO1" t="s">
        <v>7</v>
      </c>
      <c r="AP1" t="s">
        <v>8</v>
      </c>
      <c r="AQ1" t="s">
        <v>9</v>
      </c>
      <c r="AR1" t="s">
        <v>10</v>
      </c>
      <c r="AS1" t="s">
        <v>11</v>
      </c>
      <c r="AT1" t="s">
        <v>12</v>
      </c>
      <c r="AU1" t="s">
        <v>13</v>
      </c>
      <c r="AV1" t="s">
        <v>14</v>
      </c>
      <c r="AW1" t="s">
        <v>15</v>
      </c>
      <c r="AX1" t="s">
        <v>16</v>
      </c>
      <c r="AY1" t="s">
        <v>17</v>
      </c>
      <c r="AZ1" t="s">
        <v>18</v>
      </c>
      <c r="BA1" t="s">
        <v>19</v>
      </c>
      <c r="BB1" t="s">
        <v>20</v>
      </c>
      <c r="BC1" t="s">
        <v>21</v>
      </c>
      <c r="BD1" t="s">
        <v>22</v>
      </c>
      <c r="BE1" t="s">
        <v>23</v>
      </c>
      <c r="BF1" t="s">
        <v>24</v>
      </c>
      <c r="BG1" t="s">
        <v>25</v>
      </c>
      <c r="BH1" t="s">
        <v>26</v>
      </c>
      <c r="BI1" t="s">
        <v>27</v>
      </c>
      <c r="BJ1" t="s">
        <v>28</v>
      </c>
      <c r="BK1" t="s">
        <v>29</v>
      </c>
      <c r="BL1" t="s">
        <v>30</v>
      </c>
      <c r="BN1" t="s">
        <v>32</v>
      </c>
      <c r="BO1" s="2" t="s">
        <v>1</v>
      </c>
      <c r="BP1" s="2" t="s">
        <v>2</v>
      </c>
      <c r="BQ1" s="2" t="s">
        <v>3</v>
      </c>
      <c r="BR1" s="2" t="s">
        <v>4</v>
      </c>
      <c r="BS1" s="2" t="s">
        <v>5</v>
      </c>
      <c r="BT1" s="2" t="s">
        <v>6</v>
      </c>
      <c r="BU1" s="2" t="s">
        <v>7</v>
      </c>
      <c r="BV1" s="2" t="s">
        <v>8</v>
      </c>
      <c r="BW1" s="2" t="s">
        <v>9</v>
      </c>
      <c r="BX1" s="2" t="s">
        <v>10</v>
      </c>
      <c r="BY1" s="2" t="s">
        <v>11</v>
      </c>
      <c r="BZ1" s="2" t="s">
        <v>12</v>
      </c>
      <c r="CA1" s="2" t="s">
        <v>13</v>
      </c>
      <c r="CB1" s="2" t="s">
        <v>14</v>
      </c>
      <c r="CC1" s="2" t="s">
        <v>15</v>
      </c>
      <c r="CD1" s="2" t="s">
        <v>16</v>
      </c>
      <c r="CE1" s="2" t="s">
        <v>17</v>
      </c>
      <c r="CF1" s="2" t="s">
        <v>18</v>
      </c>
      <c r="CG1" s="2" t="s">
        <v>19</v>
      </c>
      <c r="CH1" s="2" t="s">
        <v>20</v>
      </c>
      <c r="CI1" s="2" t="s">
        <v>21</v>
      </c>
      <c r="CJ1" s="2" t="s">
        <v>22</v>
      </c>
      <c r="CK1" s="2" t="s">
        <v>23</v>
      </c>
      <c r="CL1" s="2" t="s">
        <v>24</v>
      </c>
      <c r="CM1" s="2" t="s">
        <v>25</v>
      </c>
      <c r="CN1" s="2" t="s">
        <v>26</v>
      </c>
      <c r="CO1" s="2" t="s">
        <v>27</v>
      </c>
      <c r="CP1" s="2" t="s">
        <v>28</v>
      </c>
      <c r="CQ1" s="2" t="s">
        <v>29</v>
      </c>
      <c r="CR1" s="2" t="s">
        <v>30</v>
      </c>
      <c r="CT1" t="s">
        <v>53</v>
      </c>
      <c r="CU1" s="2"/>
      <c r="CV1" t="s">
        <v>54</v>
      </c>
      <c r="CW1" t="s">
        <v>55</v>
      </c>
      <c r="CX1" t="s">
        <v>56</v>
      </c>
      <c r="CY1" t="s">
        <v>71</v>
      </c>
      <c r="CZ1" t="s">
        <v>57</v>
      </c>
      <c r="DA1" t="s">
        <v>58</v>
      </c>
      <c r="DB1" t="s">
        <v>59</v>
      </c>
      <c r="DC1" t="s">
        <v>60</v>
      </c>
      <c r="DD1" t="s">
        <v>61</v>
      </c>
      <c r="DE1" t="s">
        <v>62</v>
      </c>
      <c r="DF1" t="s">
        <v>63</v>
      </c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</row>
    <row r="2" spans="1:129" x14ac:dyDescent="0.25">
      <c r="A2" s="1">
        <v>42738</v>
      </c>
      <c r="B2">
        <v>112.14</v>
      </c>
      <c r="C2">
        <v>73.06</v>
      </c>
      <c r="D2">
        <v>149.02000000000001</v>
      </c>
      <c r="E2">
        <v>88.68</v>
      </c>
      <c r="F2">
        <v>28.4</v>
      </c>
      <c r="G2">
        <v>108.05</v>
      </c>
      <c r="H2">
        <v>102.83</v>
      </c>
      <c r="I2">
        <v>1</v>
      </c>
      <c r="J2">
        <v>235.32</v>
      </c>
      <c r="K2">
        <v>128.38</v>
      </c>
      <c r="L2">
        <v>152.21</v>
      </c>
      <c r="M2">
        <v>34.5</v>
      </c>
      <c r="N2">
        <v>109.92</v>
      </c>
      <c r="O2">
        <v>82.7</v>
      </c>
      <c r="P2">
        <v>39.090000000000003</v>
      </c>
      <c r="Q2">
        <v>113.73</v>
      </c>
      <c r="R2">
        <v>168.31</v>
      </c>
      <c r="S2">
        <v>56.63</v>
      </c>
      <c r="T2">
        <v>60.17</v>
      </c>
      <c r="U2">
        <v>50.72</v>
      </c>
      <c r="V2">
        <v>30.39</v>
      </c>
      <c r="W2">
        <v>78.25</v>
      </c>
      <c r="X2">
        <v>115.46</v>
      </c>
      <c r="Y2">
        <v>156.93</v>
      </c>
      <c r="Z2">
        <v>105.26</v>
      </c>
      <c r="AA2">
        <v>78.28</v>
      </c>
      <c r="AB2">
        <v>49.18</v>
      </c>
      <c r="AC2">
        <v>78.959999999999994</v>
      </c>
      <c r="AD2">
        <v>65.38</v>
      </c>
      <c r="AE2">
        <v>83.15</v>
      </c>
      <c r="AF2" s="1"/>
      <c r="AI2" s="2">
        <v>1000</v>
      </c>
      <c r="AJ2" s="2">
        <v>1000</v>
      </c>
      <c r="AK2" s="2">
        <v>1000</v>
      </c>
      <c r="AL2" s="2">
        <v>1000</v>
      </c>
      <c r="AM2" s="2">
        <v>1000</v>
      </c>
      <c r="AN2" s="2">
        <v>1000</v>
      </c>
      <c r="AO2" s="2">
        <v>1000</v>
      </c>
      <c r="AP2" s="2">
        <v>0</v>
      </c>
      <c r="AQ2" s="2">
        <v>1000</v>
      </c>
      <c r="AR2" s="2">
        <v>1000</v>
      </c>
      <c r="AS2" s="2">
        <v>1000</v>
      </c>
      <c r="AT2" s="2">
        <v>1000</v>
      </c>
      <c r="AU2" s="2">
        <v>1000</v>
      </c>
      <c r="AV2" s="2">
        <v>1000</v>
      </c>
      <c r="AW2" s="2">
        <v>1000</v>
      </c>
      <c r="AX2" s="2">
        <v>1000</v>
      </c>
      <c r="AY2" s="2">
        <v>1000</v>
      </c>
      <c r="AZ2" s="2">
        <v>1000</v>
      </c>
      <c r="BA2" s="2">
        <v>1000</v>
      </c>
      <c r="BB2" s="2">
        <v>1000</v>
      </c>
      <c r="BC2" s="2">
        <v>1000</v>
      </c>
      <c r="BD2" s="2">
        <v>1000</v>
      </c>
      <c r="BE2" s="2">
        <v>1000</v>
      </c>
      <c r="BF2" s="2">
        <v>1000</v>
      </c>
      <c r="BG2" s="2">
        <v>1000</v>
      </c>
      <c r="BH2" s="2">
        <v>1000</v>
      </c>
      <c r="BI2" s="2">
        <v>1000</v>
      </c>
      <c r="BJ2" s="2">
        <v>1000</v>
      </c>
      <c r="BK2" s="2">
        <v>1000</v>
      </c>
      <c r="BL2" s="2">
        <v>1000</v>
      </c>
      <c r="BO2" s="2">
        <f>-AI2*B2</f>
        <v>-112140</v>
      </c>
      <c r="BP2" s="2">
        <f t="shared" ref="BP2:CR2" si="0">-AJ2*C2</f>
        <v>-73060</v>
      </c>
      <c r="BQ2" s="2">
        <f t="shared" si="0"/>
        <v>-149020</v>
      </c>
      <c r="BR2" s="2">
        <f t="shared" si="0"/>
        <v>-88680</v>
      </c>
      <c r="BS2" s="2">
        <f t="shared" si="0"/>
        <v>-28400</v>
      </c>
      <c r="BT2" s="2">
        <f t="shared" si="0"/>
        <v>-108050</v>
      </c>
      <c r="BU2" s="2">
        <f t="shared" si="0"/>
        <v>-102830</v>
      </c>
      <c r="BV2" s="2">
        <f t="shared" si="0"/>
        <v>0</v>
      </c>
      <c r="BW2" s="2">
        <f t="shared" si="0"/>
        <v>-235320</v>
      </c>
      <c r="BX2" s="2">
        <f t="shared" si="0"/>
        <v>-128380</v>
      </c>
      <c r="BY2" s="2">
        <f t="shared" si="0"/>
        <v>-152210</v>
      </c>
      <c r="BZ2" s="2">
        <f t="shared" si="0"/>
        <v>-34500</v>
      </c>
      <c r="CA2" s="2">
        <f t="shared" si="0"/>
        <v>-109920</v>
      </c>
      <c r="CB2" s="2">
        <f t="shared" si="0"/>
        <v>-82700</v>
      </c>
      <c r="CC2" s="2">
        <f t="shared" si="0"/>
        <v>-39090</v>
      </c>
      <c r="CD2" s="2">
        <f t="shared" si="0"/>
        <v>-113730</v>
      </c>
      <c r="CE2" s="2">
        <f t="shared" si="0"/>
        <v>-168310</v>
      </c>
      <c r="CF2" s="2">
        <f t="shared" si="0"/>
        <v>-56630</v>
      </c>
      <c r="CG2" s="2">
        <f t="shared" si="0"/>
        <v>-60170</v>
      </c>
      <c r="CH2" s="2">
        <f t="shared" si="0"/>
        <v>-50720</v>
      </c>
      <c r="CI2" s="2">
        <f t="shared" si="0"/>
        <v>-30390</v>
      </c>
      <c r="CJ2" s="2">
        <f t="shared" si="0"/>
        <v>-78250</v>
      </c>
      <c r="CK2" s="2">
        <f t="shared" si="0"/>
        <v>-115460</v>
      </c>
      <c r="CL2" s="2">
        <f t="shared" si="0"/>
        <v>-156930</v>
      </c>
      <c r="CM2" s="2">
        <f t="shared" si="0"/>
        <v>-105260</v>
      </c>
      <c r="CN2" s="2">
        <f t="shared" si="0"/>
        <v>-78280</v>
      </c>
      <c r="CO2" s="2">
        <f t="shared" si="0"/>
        <v>-49180</v>
      </c>
      <c r="CP2" s="2">
        <f t="shared" si="0"/>
        <v>-78960</v>
      </c>
      <c r="CQ2" s="2">
        <f t="shared" si="0"/>
        <v>-65379.999999999993</v>
      </c>
      <c r="CR2" s="2">
        <f t="shared" si="0"/>
        <v>-83150</v>
      </c>
      <c r="CV2" t="s">
        <v>64</v>
      </c>
      <c r="CW2" t="s">
        <v>75</v>
      </c>
      <c r="CX2" t="s">
        <v>1</v>
      </c>
      <c r="CY2" s="4">
        <v>42738</v>
      </c>
      <c r="CZ2" t="s">
        <v>65</v>
      </c>
      <c r="DA2" t="s">
        <v>66</v>
      </c>
      <c r="DB2">
        <v>1000</v>
      </c>
      <c r="DC2">
        <v>112.14</v>
      </c>
      <c r="DD2" t="s">
        <v>69</v>
      </c>
      <c r="DE2" t="s">
        <v>70</v>
      </c>
      <c r="DF2">
        <v>112140</v>
      </c>
    </row>
    <row r="3" spans="1:129" x14ac:dyDescent="0.25">
      <c r="A3" s="1">
        <v>42739</v>
      </c>
      <c r="B3">
        <v>112.01</v>
      </c>
      <c r="C3">
        <v>74.25</v>
      </c>
      <c r="D3">
        <v>150.59</v>
      </c>
      <c r="E3">
        <v>88.28</v>
      </c>
      <c r="F3">
        <v>28.23</v>
      </c>
      <c r="G3">
        <v>108.02</v>
      </c>
      <c r="H3">
        <v>104.14</v>
      </c>
      <c r="I3">
        <v>1</v>
      </c>
      <c r="J3">
        <v>236.84</v>
      </c>
      <c r="K3">
        <v>129.52000000000001</v>
      </c>
      <c r="L3">
        <v>154.09</v>
      </c>
      <c r="M3">
        <v>34.32</v>
      </c>
      <c r="N3">
        <v>109.74</v>
      </c>
      <c r="O3">
        <v>82.85</v>
      </c>
      <c r="P3">
        <v>38.950000000000003</v>
      </c>
      <c r="Q3">
        <v>113.6</v>
      </c>
      <c r="R3">
        <v>168.56</v>
      </c>
      <c r="S3">
        <v>56.61</v>
      </c>
      <c r="T3">
        <v>59.9</v>
      </c>
      <c r="U3">
        <v>51.79</v>
      </c>
      <c r="V3">
        <v>30.66</v>
      </c>
      <c r="W3">
        <v>78.53</v>
      </c>
      <c r="X3">
        <v>114.84</v>
      </c>
      <c r="Y3">
        <v>157.38</v>
      </c>
      <c r="Z3">
        <v>105.33</v>
      </c>
      <c r="AA3">
        <v>78.92</v>
      </c>
      <c r="AB3">
        <v>49.13</v>
      </c>
      <c r="AC3">
        <v>78.98</v>
      </c>
      <c r="AD3">
        <v>65.760000000000005</v>
      </c>
      <c r="AE3">
        <v>82.23</v>
      </c>
      <c r="AI3" s="2">
        <v>5000</v>
      </c>
      <c r="AJ3" s="2">
        <f t="shared" ref="AJ3:AO3" si="1">AJ2</f>
        <v>1000</v>
      </c>
      <c r="AK3" s="2">
        <f t="shared" si="1"/>
        <v>1000</v>
      </c>
      <c r="AL3" s="2">
        <f t="shared" si="1"/>
        <v>1000</v>
      </c>
      <c r="AM3" s="2">
        <f t="shared" si="1"/>
        <v>1000</v>
      </c>
      <c r="AN3" s="2">
        <f t="shared" si="1"/>
        <v>1000</v>
      </c>
      <c r="AO3" s="2">
        <f t="shared" si="1"/>
        <v>1000</v>
      </c>
      <c r="AP3" s="2">
        <v>0</v>
      </c>
      <c r="AQ3" s="2">
        <v>1000</v>
      </c>
      <c r="AR3" s="2">
        <v>1000</v>
      </c>
      <c r="AS3" s="2">
        <v>1000</v>
      </c>
      <c r="AT3" s="2">
        <v>1000</v>
      </c>
      <c r="AU3" s="2">
        <v>1000</v>
      </c>
      <c r="AV3" s="2">
        <v>1000</v>
      </c>
      <c r="AW3" s="2">
        <v>1000</v>
      </c>
      <c r="AX3" s="2">
        <v>1000</v>
      </c>
      <c r="AY3" s="2">
        <v>1000</v>
      </c>
      <c r="AZ3" s="2">
        <v>958</v>
      </c>
      <c r="BA3" s="2">
        <v>1046</v>
      </c>
      <c r="BB3" s="2">
        <v>1025</v>
      </c>
      <c r="BC3" s="2">
        <v>1000</v>
      </c>
      <c r="BD3" s="2">
        <v>1000</v>
      </c>
      <c r="BE3" s="2">
        <v>5000</v>
      </c>
      <c r="BF3" s="2">
        <v>3000</v>
      </c>
      <c r="BG3" s="2">
        <v>2000</v>
      </c>
      <c r="BH3" s="2">
        <v>2500</v>
      </c>
      <c r="BI3" s="2">
        <v>3000</v>
      </c>
      <c r="BJ3" s="2">
        <v>1000</v>
      </c>
      <c r="BK3" s="2">
        <v>1000</v>
      </c>
      <c r="BL3" s="2">
        <v>1000</v>
      </c>
      <c r="BO3" s="2">
        <f>(AI2-AI3)*B3</f>
        <v>-448040</v>
      </c>
      <c r="BP3" s="2">
        <f t="shared" ref="BP3:CR11" si="2">(AJ2-AJ3)*C3</f>
        <v>0</v>
      </c>
      <c r="BQ3" s="2">
        <f t="shared" si="2"/>
        <v>0</v>
      </c>
      <c r="BR3" s="2">
        <f t="shared" si="2"/>
        <v>0</v>
      </c>
      <c r="BS3" s="2">
        <f t="shared" si="2"/>
        <v>0</v>
      </c>
      <c r="BT3" s="2">
        <f t="shared" si="2"/>
        <v>0</v>
      </c>
      <c r="BU3" s="2">
        <f t="shared" si="2"/>
        <v>0</v>
      </c>
      <c r="BV3" s="2">
        <f t="shared" si="2"/>
        <v>0</v>
      </c>
      <c r="BW3" s="2">
        <f t="shared" si="2"/>
        <v>0</v>
      </c>
      <c r="BX3" s="2">
        <f t="shared" si="2"/>
        <v>0</v>
      </c>
      <c r="BY3" s="2">
        <f t="shared" si="2"/>
        <v>0</v>
      </c>
      <c r="BZ3" s="2">
        <f t="shared" si="2"/>
        <v>0</v>
      </c>
      <c r="CA3" s="2">
        <f t="shared" si="2"/>
        <v>0</v>
      </c>
      <c r="CB3" s="2">
        <f t="shared" si="2"/>
        <v>0</v>
      </c>
      <c r="CC3" s="2">
        <f t="shared" si="2"/>
        <v>0</v>
      </c>
      <c r="CD3" s="2">
        <f t="shared" si="2"/>
        <v>0</v>
      </c>
      <c r="CE3" s="2">
        <f t="shared" si="2"/>
        <v>0</v>
      </c>
      <c r="CF3" s="2">
        <f t="shared" si="2"/>
        <v>2377.62</v>
      </c>
      <c r="CG3" s="2">
        <f t="shared" si="2"/>
        <v>-2755.4</v>
      </c>
      <c r="CH3" s="2">
        <f t="shared" si="2"/>
        <v>-1294.75</v>
      </c>
      <c r="CI3" s="2">
        <f t="shared" si="2"/>
        <v>0</v>
      </c>
      <c r="CJ3" s="2">
        <f t="shared" si="2"/>
        <v>0</v>
      </c>
      <c r="CK3" s="2">
        <f t="shared" si="2"/>
        <v>-459360</v>
      </c>
      <c r="CL3" s="2">
        <f t="shared" si="2"/>
        <v>-314760</v>
      </c>
      <c r="CM3" s="2">
        <f t="shared" si="2"/>
        <v>-105330</v>
      </c>
      <c r="CN3" s="2">
        <f t="shared" si="2"/>
        <v>-118380</v>
      </c>
      <c r="CO3" s="2">
        <f t="shared" si="2"/>
        <v>-98260</v>
      </c>
      <c r="CP3" s="2">
        <f t="shared" si="2"/>
        <v>0</v>
      </c>
      <c r="CQ3" s="2">
        <f t="shared" si="2"/>
        <v>0</v>
      </c>
      <c r="CR3" s="2">
        <f t="shared" si="2"/>
        <v>0</v>
      </c>
      <c r="CV3" t="s">
        <v>64</v>
      </c>
      <c r="CW3" t="s">
        <v>76</v>
      </c>
      <c r="CX3" t="s">
        <v>1</v>
      </c>
      <c r="CY3" s="4">
        <v>42739</v>
      </c>
      <c r="CZ3" t="s">
        <v>65</v>
      </c>
      <c r="DA3" t="s">
        <v>66</v>
      </c>
      <c r="DB3">
        <v>4000</v>
      </c>
      <c r="DC3">
        <v>112.01</v>
      </c>
      <c r="DD3" t="s">
        <v>69</v>
      </c>
      <c r="DE3" t="s">
        <v>70</v>
      </c>
      <c r="DF3">
        <v>448040</v>
      </c>
    </row>
    <row r="4" spans="1:129" x14ac:dyDescent="0.25">
      <c r="A4" s="1">
        <v>42740</v>
      </c>
      <c r="B4">
        <v>112.58</v>
      </c>
      <c r="C4">
        <v>73.34</v>
      </c>
      <c r="D4">
        <v>150.68</v>
      </c>
      <c r="E4">
        <v>87.74</v>
      </c>
      <c r="F4">
        <v>28.29</v>
      </c>
      <c r="G4">
        <v>107.55</v>
      </c>
      <c r="H4">
        <v>104.09</v>
      </c>
      <c r="I4">
        <v>1</v>
      </c>
      <c r="J4">
        <v>235.08</v>
      </c>
      <c r="K4">
        <v>127.99</v>
      </c>
      <c r="L4">
        <v>153.58000000000001</v>
      </c>
      <c r="M4">
        <v>34.270000000000003</v>
      </c>
      <c r="N4">
        <v>110.89</v>
      </c>
      <c r="O4">
        <v>82.09</v>
      </c>
      <c r="P4">
        <v>39.04</v>
      </c>
      <c r="Q4">
        <v>113.81</v>
      </c>
      <c r="R4">
        <v>167.98</v>
      </c>
      <c r="S4">
        <v>56.59</v>
      </c>
      <c r="T4">
        <v>59.9</v>
      </c>
      <c r="U4">
        <v>51.78</v>
      </c>
      <c r="V4">
        <v>30.95</v>
      </c>
      <c r="W4">
        <v>79.05</v>
      </c>
      <c r="X4">
        <v>113.01</v>
      </c>
      <c r="Y4">
        <v>157.63999999999999</v>
      </c>
      <c r="Z4">
        <v>105.76</v>
      </c>
      <c r="AA4">
        <v>79.849999999999994</v>
      </c>
      <c r="AB4">
        <v>49.24</v>
      </c>
      <c r="AC4">
        <v>79.02</v>
      </c>
      <c r="AD4">
        <v>65.900000000000006</v>
      </c>
      <c r="AE4">
        <v>81.010000000000005</v>
      </c>
      <c r="AI4" s="2">
        <v>5000</v>
      </c>
      <c r="AJ4" s="2">
        <f t="shared" ref="AJ4:AO29" si="3">AJ3</f>
        <v>1000</v>
      </c>
      <c r="AK4" s="2">
        <f t="shared" si="3"/>
        <v>1000</v>
      </c>
      <c r="AL4" s="2">
        <f t="shared" si="3"/>
        <v>1000</v>
      </c>
      <c r="AM4" s="2">
        <f t="shared" si="3"/>
        <v>1000</v>
      </c>
      <c r="AN4" s="2">
        <f t="shared" si="3"/>
        <v>1000</v>
      </c>
      <c r="AO4" s="2">
        <f t="shared" si="3"/>
        <v>1000</v>
      </c>
      <c r="AP4" s="2">
        <v>0</v>
      </c>
      <c r="AQ4" s="2">
        <v>1000</v>
      </c>
      <c r="AR4" s="2">
        <v>1000</v>
      </c>
      <c r="AS4" s="2">
        <v>1000</v>
      </c>
      <c r="AT4" s="2">
        <v>1000</v>
      </c>
      <c r="AU4" s="2">
        <v>1000</v>
      </c>
      <c r="AV4" s="2">
        <v>1000</v>
      </c>
      <c r="AW4" s="2">
        <v>1000</v>
      </c>
      <c r="AX4" s="2">
        <v>1000</v>
      </c>
      <c r="AY4" s="2">
        <v>1000</v>
      </c>
      <c r="AZ4" s="2">
        <v>967</v>
      </c>
      <c r="BA4" s="2">
        <v>970</v>
      </c>
      <c r="BB4" s="2">
        <v>1059</v>
      </c>
      <c r="BC4" s="2">
        <v>1000</v>
      </c>
      <c r="BD4" s="2">
        <v>1000</v>
      </c>
      <c r="BE4" s="2">
        <v>5000</v>
      </c>
      <c r="BF4" s="2">
        <v>3000</v>
      </c>
      <c r="BG4" s="2">
        <v>2000</v>
      </c>
      <c r="BH4" s="2">
        <v>2500</v>
      </c>
      <c r="BI4" s="2">
        <v>3000</v>
      </c>
      <c r="BJ4" s="2">
        <v>1000</v>
      </c>
      <c r="BK4" s="2">
        <v>1000</v>
      </c>
      <c r="BL4" s="2">
        <v>1000</v>
      </c>
      <c r="BO4" s="2">
        <f t="shared" ref="BO4:BO67" si="4">(AI3-AI4)*B4</f>
        <v>0</v>
      </c>
      <c r="BP4" s="2">
        <f t="shared" si="2"/>
        <v>0</v>
      </c>
      <c r="BQ4" s="2">
        <f t="shared" si="2"/>
        <v>0</v>
      </c>
      <c r="BR4" s="2">
        <f t="shared" si="2"/>
        <v>0</v>
      </c>
      <c r="BS4" s="2">
        <f t="shared" si="2"/>
        <v>0</v>
      </c>
      <c r="BT4" s="2">
        <f t="shared" si="2"/>
        <v>0</v>
      </c>
      <c r="BU4" s="2">
        <f t="shared" si="2"/>
        <v>0</v>
      </c>
      <c r="BV4" s="2">
        <f t="shared" si="2"/>
        <v>0</v>
      </c>
      <c r="BW4" s="2">
        <f t="shared" si="2"/>
        <v>0</v>
      </c>
      <c r="BX4" s="2">
        <f t="shared" si="2"/>
        <v>0</v>
      </c>
      <c r="BY4" s="2">
        <f t="shared" si="2"/>
        <v>0</v>
      </c>
      <c r="BZ4" s="2">
        <f t="shared" si="2"/>
        <v>0</v>
      </c>
      <c r="CA4" s="2">
        <f t="shared" si="2"/>
        <v>0</v>
      </c>
      <c r="CB4" s="2">
        <f t="shared" si="2"/>
        <v>0</v>
      </c>
      <c r="CC4" s="2">
        <f t="shared" si="2"/>
        <v>0</v>
      </c>
      <c r="CD4" s="2">
        <f t="shared" si="2"/>
        <v>0</v>
      </c>
      <c r="CE4" s="2">
        <f t="shared" si="2"/>
        <v>0</v>
      </c>
      <c r="CF4" s="2">
        <f t="shared" si="2"/>
        <v>-509.31000000000006</v>
      </c>
      <c r="CG4" s="2">
        <f t="shared" si="2"/>
        <v>4552.3999999999996</v>
      </c>
      <c r="CH4" s="2">
        <f t="shared" si="2"/>
        <v>-1760.52</v>
      </c>
      <c r="CI4" s="2">
        <f t="shared" si="2"/>
        <v>0</v>
      </c>
      <c r="CJ4" s="2">
        <f t="shared" si="2"/>
        <v>0</v>
      </c>
      <c r="CK4" s="2">
        <f t="shared" si="2"/>
        <v>0</v>
      </c>
      <c r="CL4" s="2">
        <f t="shared" si="2"/>
        <v>0</v>
      </c>
      <c r="CM4" s="2">
        <f t="shared" si="2"/>
        <v>0</v>
      </c>
      <c r="CN4" s="2">
        <f t="shared" si="2"/>
        <v>0</v>
      </c>
      <c r="CO4" s="2">
        <f t="shared" si="2"/>
        <v>0</v>
      </c>
      <c r="CP4" s="2">
        <f t="shared" si="2"/>
        <v>0</v>
      </c>
      <c r="CQ4" s="2">
        <f t="shared" si="2"/>
        <v>0</v>
      </c>
      <c r="CR4" s="2">
        <f t="shared" si="2"/>
        <v>0</v>
      </c>
      <c r="CV4" t="s">
        <v>64</v>
      </c>
      <c r="CW4" t="s">
        <v>77</v>
      </c>
      <c r="CX4" t="s">
        <v>1</v>
      </c>
      <c r="CY4" s="4">
        <v>42741</v>
      </c>
      <c r="CZ4" t="s">
        <v>67</v>
      </c>
      <c r="DA4" t="s">
        <v>68</v>
      </c>
      <c r="DB4">
        <v>2500</v>
      </c>
      <c r="DC4">
        <v>113.84</v>
      </c>
      <c r="DD4" t="s">
        <v>69</v>
      </c>
      <c r="DE4" t="s">
        <v>70</v>
      </c>
      <c r="DF4">
        <v>284600</v>
      </c>
    </row>
    <row r="5" spans="1:129" x14ac:dyDescent="0.25">
      <c r="A5" s="1">
        <v>42741</v>
      </c>
      <c r="B5">
        <v>113.84</v>
      </c>
      <c r="C5">
        <v>73.48</v>
      </c>
      <c r="D5">
        <v>151.05000000000001</v>
      </c>
      <c r="E5">
        <v>87.78</v>
      </c>
      <c r="F5">
        <v>28.35</v>
      </c>
      <c r="G5">
        <v>107.12</v>
      </c>
      <c r="H5">
        <v>105.64</v>
      </c>
      <c r="I5">
        <v>1</v>
      </c>
      <c r="J5">
        <v>238.57</v>
      </c>
      <c r="K5">
        <v>127.64</v>
      </c>
      <c r="L5">
        <v>154.34</v>
      </c>
      <c r="M5">
        <v>34.39</v>
      </c>
      <c r="N5">
        <v>110.36</v>
      </c>
      <c r="O5">
        <v>82.1</v>
      </c>
      <c r="P5">
        <v>39.03</v>
      </c>
      <c r="Q5">
        <v>114.82</v>
      </c>
      <c r="R5">
        <v>168.48</v>
      </c>
      <c r="S5">
        <v>56.74</v>
      </c>
      <c r="T5">
        <v>60.42</v>
      </c>
      <c r="U5">
        <v>52.61</v>
      </c>
      <c r="V5">
        <v>30.83</v>
      </c>
      <c r="W5">
        <v>79.02</v>
      </c>
      <c r="X5">
        <v>112.95</v>
      </c>
      <c r="Y5">
        <v>157.86000000000001</v>
      </c>
      <c r="Z5">
        <v>106.9</v>
      </c>
      <c r="AA5">
        <v>80.95</v>
      </c>
      <c r="AB5">
        <v>48.5</v>
      </c>
      <c r="AC5">
        <v>79.09</v>
      </c>
      <c r="AD5">
        <v>65</v>
      </c>
      <c r="AE5">
        <v>80.959999999999994</v>
      </c>
      <c r="AI5" s="2">
        <v>2500</v>
      </c>
      <c r="AJ5" s="2">
        <f t="shared" si="3"/>
        <v>1000</v>
      </c>
      <c r="AK5" s="2">
        <f t="shared" si="3"/>
        <v>1000</v>
      </c>
      <c r="AL5" s="2">
        <f t="shared" si="3"/>
        <v>1000</v>
      </c>
      <c r="AM5" s="2">
        <f t="shared" si="3"/>
        <v>1000</v>
      </c>
      <c r="AN5" s="2">
        <f t="shared" si="3"/>
        <v>1000</v>
      </c>
      <c r="AO5" s="2">
        <f t="shared" si="3"/>
        <v>1000</v>
      </c>
      <c r="AP5" s="2">
        <v>0</v>
      </c>
      <c r="AQ5" s="2">
        <v>1000</v>
      </c>
      <c r="AR5" s="2">
        <v>1000</v>
      </c>
      <c r="AS5" s="2">
        <v>1000</v>
      </c>
      <c r="AT5" s="2">
        <v>1000</v>
      </c>
      <c r="AU5" s="2">
        <v>1000</v>
      </c>
      <c r="AV5" s="2">
        <v>1000</v>
      </c>
      <c r="AW5" s="2">
        <v>1000</v>
      </c>
      <c r="AX5" s="2">
        <v>1000</v>
      </c>
      <c r="AY5" s="2">
        <v>1000</v>
      </c>
      <c r="AZ5" s="2">
        <v>975</v>
      </c>
      <c r="BA5" s="2">
        <v>919</v>
      </c>
      <c r="BB5" s="2">
        <v>1072</v>
      </c>
      <c r="BC5" s="2">
        <v>1000</v>
      </c>
      <c r="BD5" s="2">
        <v>1000</v>
      </c>
      <c r="BE5" s="2">
        <v>5000</v>
      </c>
      <c r="BF5" s="2">
        <v>3000</v>
      </c>
      <c r="BG5" s="2">
        <v>2000</v>
      </c>
      <c r="BH5" s="2">
        <v>2500</v>
      </c>
      <c r="BI5" s="2">
        <v>3000</v>
      </c>
      <c r="BJ5" s="2">
        <v>1000</v>
      </c>
      <c r="BK5" s="2">
        <v>1000</v>
      </c>
      <c r="BL5" s="2">
        <v>1000</v>
      </c>
      <c r="BO5" s="2">
        <f t="shared" si="4"/>
        <v>284600</v>
      </c>
      <c r="BP5" s="2">
        <f t="shared" si="2"/>
        <v>0</v>
      </c>
      <c r="BQ5" s="2">
        <f t="shared" si="2"/>
        <v>0</v>
      </c>
      <c r="BR5" s="2">
        <f t="shared" si="2"/>
        <v>0</v>
      </c>
      <c r="BS5" s="2">
        <f t="shared" si="2"/>
        <v>0</v>
      </c>
      <c r="BT5" s="2">
        <f t="shared" si="2"/>
        <v>0</v>
      </c>
      <c r="BU5" s="2">
        <f t="shared" si="2"/>
        <v>0</v>
      </c>
      <c r="BV5" s="2">
        <f t="shared" si="2"/>
        <v>0</v>
      </c>
      <c r="BW5" s="2">
        <f t="shared" si="2"/>
        <v>0</v>
      </c>
      <c r="BX5" s="2">
        <f t="shared" si="2"/>
        <v>0</v>
      </c>
      <c r="BY5" s="2">
        <f t="shared" si="2"/>
        <v>0</v>
      </c>
      <c r="BZ5" s="2">
        <f t="shared" si="2"/>
        <v>0</v>
      </c>
      <c r="CA5" s="2">
        <f t="shared" si="2"/>
        <v>0</v>
      </c>
      <c r="CB5" s="2">
        <f t="shared" si="2"/>
        <v>0</v>
      </c>
      <c r="CC5" s="2">
        <f t="shared" si="2"/>
        <v>0</v>
      </c>
      <c r="CD5" s="2">
        <f t="shared" si="2"/>
        <v>0</v>
      </c>
      <c r="CE5" s="2">
        <f t="shared" si="2"/>
        <v>0</v>
      </c>
      <c r="CF5" s="2">
        <f t="shared" si="2"/>
        <v>-453.92</v>
      </c>
      <c r="CG5" s="2">
        <f t="shared" si="2"/>
        <v>3081.42</v>
      </c>
      <c r="CH5" s="2">
        <f t="shared" si="2"/>
        <v>-683.93</v>
      </c>
      <c r="CI5" s="2">
        <f t="shared" si="2"/>
        <v>0</v>
      </c>
      <c r="CJ5" s="2">
        <f t="shared" si="2"/>
        <v>0</v>
      </c>
      <c r="CK5" s="2">
        <f t="shared" si="2"/>
        <v>0</v>
      </c>
      <c r="CL5" s="2">
        <f t="shared" si="2"/>
        <v>0</v>
      </c>
      <c r="CM5" s="2">
        <f t="shared" si="2"/>
        <v>0</v>
      </c>
      <c r="CN5" s="2">
        <f t="shared" si="2"/>
        <v>0</v>
      </c>
      <c r="CO5" s="2">
        <f t="shared" si="2"/>
        <v>0</v>
      </c>
      <c r="CP5" s="2">
        <f t="shared" si="2"/>
        <v>0</v>
      </c>
      <c r="CQ5" s="2">
        <f t="shared" si="2"/>
        <v>0</v>
      </c>
      <c r="CR5" s="2">
        <f t="shared" si="2"/>
        <v>0</v>
      </c>
      <c r="CV5" t="s">
        <v>64</v>
      </c>
      <c r="CW5" t="s">
        <v>78</v>
      </c>
      <c r="CX5" t="s">
        <v>1</v>
      </c>
      <c r="CY5" s="4">
        <v>42744</v>
      </c>
      <c r="CZ5" t="s">
        <v>67</v>
      </c>
      <c r="DA5" t="s">
        <v>68</v>
      </c>
      <c r="DB5">
        <v>1000</v>
      </c>
      <c r="DC5">
        <v>114.88</v>
      </c>
      <c r="DD5" t="s">
        <v>69</v>
      </c>
      <c r="DE5" t="s">
        <v>70</v>
      </c>
      <c r="DF5">
        <v>114880</v>
      </c>
    </row>
    <row r="6" spans="1:129" x14ac:dyDescent="0.25">
      <c r="A6" s="1">
        <v>42744</v>
      </c>
      <c r="B6">
        <v>114.88</v>
      </c>
      <c r="C6">
        <v>73.86</v>
      </c>
      <c r="D6">
        <v>150.31</v>
      </c>
      <c r="E6">
        <v>87.15</v>
      </c>
      <c r="F6">
        <v>28.3</v>
      </c>
      <c r="G6">
        <v>106.21</v>
      </c>
      <c r="H6">
        <v>105.04</v>
      </c>
      <c r="I6">
        <v>1</v>
      </c>
      <c r="J6">
        <v>236.61</v>
      </c>
      <c r="K6">
        <v>128.38</v>
      </c>
      <c r="L6">
        <v>152.63</v>
      </c>
      <c r="M6">
        <v>34.51</v>
      </c>
      <c r="N6">
        <v>110.34</v>
      </c>
      <c r="O6">
        <v>82.16</v>
      </c>
      <c r="P6">
        <v>38.64</v>
      </c>
      <c r="Q6">
        <v>114.5</v>
      </c>
      <c r="R6">
        <v>167.57</v>
      </c>
      <c r="S6">
        <v>57.52</v>
      </c>
      <c r="T6">
        <v>60.23</v>
      </c>
      <c r="U6">
        <v>52.09</v>
      </c>
      <c r="V6">
        <v>30.82</v>
      </c>
      <c r="W6">
        <v>78.430000000000007</v>
      </c>
      <c r="X6">
        <v>112.04</v>
      </c>
      <c r="Y6">
        <v>157.41999999999999</v>
      </c>
      <c r="Z6">
        <v>105.9</v>
      </c>
      <c r="AA6">
        <v>80.5</v>
      </c>
      <c r="AB6">
        <v>47.98</v>
      </c>
      <c r="AC6">
        <v>78.569999999999993</v>
      </c>
      <c r="AD6">
        <v>65.430000000000007</v>
      </c>
      <c r="AE6">
        <v>79.63</v>
      </c>
      <c r="AI6" s="2">
        <v>1500</v>
      </c>
      <c r="AJ6" s="2">
        <f t="shared" si="3"/>
        <v>1000</v>
      </c>
      <c r="AK6" s="2">
        <f t="shared" si="3"/>
        <v>1000</v>
      </c>
      <c r="AL6" s="2">
        <f t="shared" si="3"/>
        <v>1000</v>
      </c>
      <c r="AM6" s="2">
        <f t="shared" si="3"/>
        <v>1000</v>
      </c>
      <c r="AN6" s="2">
        <f t="shared" si="3"/>
        <v>1000</v>
      </c>
      <c r="AO6" s="2">
        <f t="shared" si="3"/>
        <v>1000</v>
      </c>
      <c r="AP6" s="2">
        <v>0</v>
      </c>
      <c r="AQ6" s="2">
        <v>1000</v>
      </c>
      <c r="AR6" s="2">
        <v>1000</v>
      </c>
      <c r="AS6" s="2">
        <v>1000</v>
      </c>
      <c r="AT6" s="2">
        <v>1000</v>
      </c>
      <c r="AU6" s="2">
        <v>1000</v>
      </c>
      <c r="AV6" s="2">
        <v>1000</v>
      </c>
      <c r="AW6" s="2">
        <v>1000</v>
      </c>
      <c r="AX6" s="2">
        <v>1000</v>
      </c>
      <c r="AY6" s="2">
        <v>1000</v>
      </c>
      <c r="AZ6" s="2">
        <v>959</v>
      </c>
      <c r="BA6" s="2">
        <v>1015</v>
      </c>
      <c r="BB6" s="2">
        <v>1012</v>
      </c>
      <c r="BC6" s="2">
        <v>1000</v>
      </c>
      <c r="BD6" s="2">
        <v>1000</v>
      </c>
      <c r="BE6" s="2">
        <v>5000</v>
      </c>
      <c r="BF6" s="2">
        <v>3000</v>
      </c>
      <c r="BG6" s="2">
        <v>2000</v>
      </c>
      <c r="BH6" s="2">
        <v>2500</v>
      </c>
      <c r="BI6" s="2">
        <v>3000</v>
      </c>
      <c r="BJ6" s="2">
        <v>1000</v>
      </c>
      <c r="BK6" s="2">
        <v>1000</v>
      </c>
      <c r="BL6" s="2">
        <v>1000</v>
      </c>
      <c r="BO6" s="2">
        <f t="shared" si="4"/>
        <v>114880</v>
      </c>
      <c r="BP6" s="2">
        <f t="shared" si="2"/>
        <v>0</v>
      </c>
      <c r="BQ6" s="2">
        <f t="shared" si="2"/>
        <v>0</v>
      </c>
      <c r="BR6" s="2">
        <f t="shared" si="2"/>
        <v>0</v>
      </c>
      <c r="BS6" s="2">
        <f t="shared" si="2"/>
        <v>0</v>
      </c>
      <c r="BT6" s="2">
        <f t="shared" si="2"/>
        <v>0</v>
      </c>
      <c r="BU6" s="2">
        <f t="shared" si="2"/>
        <v>0</v>
      </c>
      <c r="BV6" s="2">
        <f t="shared" si="2"/>
        <v>0</v>
      </c>
      <c r="BW6" s="2">
        <f t="shared" si="2"/>
        <v>0</v>
      </c>
      <c r="BX6" s="2">
        <f t="shared" si="2"/>
        <v>0</v>
      </c>
      <c r="BY6" s="2">
        <f t="shared" si="2"/>
        <v>0</v>
      </c>
      <c r="BZ6" s="2">
        <f t="shared" si="2"/>
        <v>0</v>
      </c>
      <c r="CA6" s="2">
        <f t="shared" si="2"/>
        <v>0</v>
      </c>
      <c r="CB6" s="2">
        <f t="shared" si="2"/>
        <v>0</v>
      </c>
      <c r="CC6" s="2">
        <f t="shared" si="2"/>
        <v>0</v>
      </c>
      <c r="CD6" s="2">
        <f t="shared" si="2"/>
        <v>0</v>
      </c>
      <c r="CE6" s="2">
        <f t="shared" si="2"/>
        <v>0</v>
      </c>
      <c r="CF6" s="2">
        <f t="shared" si="2"/>
        <v>920.32</v>
      </c>
      <c r="CG6" s="2">
        <f t="shared" si="2"/>
        <v>-5782.08</v>
      </c>
      <c r="CH6" s="2">
        <f t="shared" si="2"/>
        <v>3125.4</v>
      </c>
      <c r="CI6" s="2">
        <f t="shared" si="2"/>
        <v>0</v>
      </c>
      <c r="CJ6" s="2">
        <f t="shared" si="2"/>
        <v>0</v>
      </c>
      <c r="CK6" s="2">
        <f t="shared" si="2"/>
        <v>0</v>
      </c>
      <c r="CL6" s="2">
        <f t="shared" si="2"/>
        <v>0</v>
      </c>
      <c r="CM6" s="2">
        <f t="shared" si="2"/>
        <v>0</v>
      </c>
      <c r="CN6" s="2">
        <f t="shared" si="2"/>
        <v>0</v>
      </c>
      <c r="CO6" s="2">
        <f t="shared" si="2"/>
        <v>0</v>
      </c>
      <c r="CP6" s="2">
        <f t="shared" si="2"/>
        <v>0</v>
      </c>
      <c r="CQ6" s="2">
        <f t="shared" si="2"/>
        <v>0</v>
      </c>
      <c r="CR6" s="2">
        <f t="shared" si="2"/>
        <v>0</v>
      </c>
      <c r="CV6" t="s">
        <v>64</v>
      </c>
      <c r="CW6" t="s">
        <v>79</v>
      </c>
      <c r="CX6" t="s">
        <v>1</v>
      </c>
      <c r="CY6" s="4">
        <v>42747</v>
      </c>
      <c r="CZ6" t="s">
        <v>67</v>
      </c>
      <c r="DA6" t="s">
        <v>68</v>
      </c>
      <c r="DB6">
        <v>1000</v>
      </c>
      <c r="DC6">
        <v>115.13</v>
      </c>
      <c r="DD6" t="s">
        <v>69</v>
      </c>
      <c r="DE6" t="s">
        <v>70</v>
      </c>
      <c r="DF6">
        <v>115130</v>
      </c>
    </row>
    <row r="7" spans="1:129" x14ac:dyDescent="0.25">
      <c r="A7" s="1">
        <v>42745</v>
      </c>
      <c r="B7">
        <v>115</v>
      </c>
      <c r="C7">
        <v>74.63</v>
      </c>
      <c r="D7">
        <v>151.02000000000001</v>
      </c>
      <c r="E7">
        <v>88.52</v>
      </c>
      <c r="F7">
        <v>28.49</v>
      </c>
      <c r="G7">
        <v>105.4</v>
      </c>
      <c r="H7">
        <v>105.06</v>
      </c>
      <c r="I7">
        <v>1</v>
      </c>
      <c r="J7">
        <v>236.3</v>
      </c>
      <c r="K7">
        <v>130.09</v>
      </c>
      <c r="L7">
        <v>150.69</v>
      </c>
      <c r="M7">
        <v>34.44</v>
      </c>
      <c r="N7">
        <v>110.23</v>
      </c>
      <c r="O7">
        <v>82.4</v>
      </c>
      <c r="P7">
        <v>38.380000000000003</v>
      </c>
      <c r="Q7">
        <v>114.33</v>
      </c>
      <c r="R7">
        <v>166.92</v>
      </c>
      <c r="S7">
        <v>56.41</v>
      </c>
      <c r="T7">
        <v>60.21</v>
      </c>
      <c r="U7">
        <v>51.83</v>
      </c>
      <c r="V7">
        <v>30.8</v>
      </c>
      <c r="W7">
        <v>77.59</v>
      </c>
      <c r="X7">
        <v>111.91</v>
      </c>
      <c r="Y7">
        <v>157.06</v>
      </c>
      <c r="Z7">
        <v>105.67</v>
      </c>
      <c r="AA7">
        <v>80.06</v>
      </c>
      <c r="AB7">
        <v>48.05</v>
      </c>
      <c r="AC7">
        <v>78.680000000000007</v>
      </c>
      <c r="AD7">
        <v>64.97</v>
      </c>
      <c r="AE7">
        <v>78.61</v>
      </c>
      <c r="AI7" s="2">
        <v>1500</v>
      </c>
      <c r="AJ7" s="2">
        <f t="shared" si="3"/>
        <v>1000</v>
      </c>
      <c r="AK7" s="2">
        <f t="shared" si="3"/>
        <v>1000</v>
      </c>
      <c r="AL7" s="2">
        <f t="shared" si="3"/>
        <v>1000</v>
      </c>
      <c r="AM7" s="2">
        <f t="shared" si="3"/>
        <v>1000</v>
      </c>
      <c r="AN7" s="2">
        <f t="shared" si="3"/>
        <v>1000</v>
      </c>
      <c r="AO7" s="2">
        <f t="shared" si="3"/>
        <v>1000</v>
      </c>
      <c r="AP7" s="2">
        <v>0</v>
      </c>
      <c r="AQ7" s="2">
        <v>1000</v>
      </c>
      <c r="AR7" s="2">
        <v>1000</v>
      </c>
      <c r="AS7" s="2">
        <v>1000</v>
      </c>
      <c r="AT7" s="2">
        <v>1000</v>
      </c>
      <c r="AU7" s="2">
        <v>1000</v>
      </c>
      <c r="AV7" s="2">
        <v>1000</v>
      </c>
      <c r="AW7" s="2">
        <v>1000</v>
      </c>
      <c r="AX7" s="2">
        <v>1000</v>
      </c>
      <c r="AY7" s="2">
        <v>1000</v>
      </c>
      <c r="AZ7" s="2">
        <v>1046</v>
      </c>
      <c r="BA7" s="2">
        <v>998</v>
      </c>
      <c r="BB7" s="2">
        <v>953</v>
      </c>
      <c r="BC7" s="2">
        <v>1000</v>
      </c>
      <c r="BD7" s="2">
        <v>1000</v>
      </c>
      <c r="BE7" s="2">
        <v>5000</v>
      </c>
      <c r="BF7" s="2">
        <v>3000</v>
      </c>
      <c r="BG7" s="2">
        <v>2000</v>
      </c>
      <c r="BH7" s="2">
        <v>2500</v>
      </c>
      <c r="BI7" s="2">
        <v>3000</v>
      </c>
      <c r="BJ7" s="2">
        <v>1000</v>
      </c>
      <c r="BK7" s="2">
        <v>1000</v>
      </c>
      <c r="BL7" s="2">
        <v>1000</v>
      </c>
      <c r="BO7" s="2">
        <f t="shared" si="4"/>
        <v>0</v>
      </c>
      <c r="BP7" s="2">
        <f t="shared" si="2"/>
        <v>0</v>
      </c>
      <c r="BQ7" s="2">
        <f t="shared" si="2"/>
        <v>0</v>
      </c>
      <c r="BR7" s="2">
        <f t="shared" si="2"/>
        <v>0</v>
      </c>
      <c r="BS7" s="2">
        <f t="shared" si="2"/>
        <v>0</v>
      </c>
      <c r="BT7" s="2">
        <f t="shared" si="2"/>
        <v>0</v>
      </c>
      <c r="BU7" s="2">
        <f t="shared" si="2"/>
        <v>0</v>
      </c>
      <c r="BV7" s="2">
        <f t="shared" si="2"/>
        <v>0</v>
      </c>
      <c r="BW7" s="2">
        <f t="shared" si="2"/>
        <v>0</v>
      </c>
      <c r="BX7" s="2">
        <f t="shared" si="2"/>
        <v>0</v>
      </c>
      <c r="BY7" s="2">
        <f t="shared" si="2"/>
        <v>0</v>
      </c>
      <c r="BZ7" s="2">
        <f t="shared" si="2"/>
        <v>0</v>
      </c>
      <c r="CA7" s="2">
        <f t="shared" si="2"/>
        <v>0</v>
      </c>
      <c r="CB7" s="2">
        <f t="shared" si="2"/>
        <v>0</v>
      </c>
      <c r="CC7" s="2">
        <f t="shared" si="2"/>
        <v>0</v>
      </c>
      <c r="CD7" s="2">
        <f t="shared" si="2"/>
        <v>0</v>
      </c>
      <c r="CE7" s="2">
        <f t="shared" si="2"/>
        <v>0</v>
      </c>
      <c r="CF7" s="2">
        <f t="shared" si="2"/>
        <v>-4907.67</v>
      </c>
      <c r="CG7" s="2">
        <f t="shared" si="2"/>
        <v>1023.57</v>
      </c>
      <c r="CH7" s="2">
        <f t="shared" si="2"/>
        <v>3057.97</v>
      </c>
      <c r="CI7" s="2">
        <f t="shared" si="2"/>
        <v>0</v>
      </c>
      <c r="CJ7" s="2">
        <f t="shared" si="2"/>
        <v>0</v>
      </c>
      <c r="CK7" s="2">
        <f t="shared" si="2"/>
        <v>0</v>
      </c>
      <c r="CL7" s="2">
        <f t="shared" si="2"/>
        <v>0</v>
      </c>
      <c r="CM7" s="2">
        <f t="shared" si="2"/>
        <v>0</v>
      </c>
      <c r="CN7" s="2">
        <f t="shared" si="2"/>
        <v>0</v>
      </c>
      <c r="CO7" s="2">
        <f t="shared" si="2"/>
        <v>0</v>
      </c>
      <c r="CP7" s="2">
        <f t="shared" si="2"/>
        <v>0</v>
      </c>
      <c r="CQ7" s="2">
        <f t="shared" si="2"/>
        <v>0</v>
      </c>
      <c r="CR7" s="2">
        <f t="shared" si="2"/>
        <v>0</v>
      </c>
      <c r="CV7" t="s">
        <v>64</v>
      </c>
      <c r="CW7" t="s">
        <v>80</v>
      </c>
      <c r="CX7" t="s">
        <v>1</v>
      </c>
      <c r="CY7" s="4">
        <v>42752</v>
      </c>
      <c r="CZ7" t="s">
        <v>67</v>
      </c>
      <c r="DA7" t="s">
        <v>68</v>
      </c>
      <c r="DB7">
        <v>500</v>
      </c>
      <c r="DC7">
        <v>115.86</v>
      </c>
      <c r="DD7" t="s">
        <v>69</v>
      </c>
      <c r="DE7" t="s">
        <v>70</v>
      </c>
      <c r="DF7">
        <v>57930</v>
      </c>
    </row>
    <row r="8" spans="1:129" x14ac:dyDescent="0.25">
      <c r="A8" s="1">
        <v>42746</v>
      </c>
      <c r="B8">
        <v>115.62</v>
      </c>
      <c r="C8">
        <v>74.89</v>
      </c>
      <c r="D8">
        <v>151.33000000000001</v>
      </c>
      <c r="E8">
        <v>89.3</v>
      </c>
      <c r="F8">
        <v>28.27</v>
      </c>
      <c r="G8">
        <v>106.29</v>
      </c>
      <c r="H8">
        <v>106.08</v>
      </c>
      <c r="I8">
        <v>1</v>
      </c>
      <c r="J8">
        <v>239.4</v>
      </c>
      <c r="K8">
        <v>129.71</v>
      </c>
      <c r="L8">
        <v>152.72</v>
      </c>
      <c r="M8">
        <v>34.83</v>
      </c>
      <c r="N8">
        <v>108.87</v>
      </c>
      <c r="O8">
        <v>83.02</v>
      </c>
      <c r="P8">
        <v>38.39</v>
      </c>
      <c r="Q8">
        <v>114.93</v>
      </c>
      <c r="R8">
        <v>168.15</v>
      </c>
      <c r="S8">
        <v>58.02</v>
      </c>
      <c r="T8">
        <v>60.76</v>
      </c>
      <c r="U8">
        <v>51.42</v>
      </c>
      <c r="V8">
        <v>30.23</v>
      </c>
      <c r="W8">
        <v>77.83</v>
      </c>
      <c r="X8">
        <v>112.36</v>
      </c>
      <c r="Y8">
        <v>157.36000000000001</v>
      </c>
      <c r="Z8">
        <v>105.42</v>
      </c>
      <c r="AA8">
        <v>80.55</v>
      </c>
      <c r="AB8">
        <v>47.78</v>
      </c>
      <c r="AC8">
        <v>80.36</v>
      </c>
      <c r="AD8">
        <v>65.25</v>
      </c>
      <c r="AE8">
        <v>79.42</v>
      </c>
      <c r="AI8" s="2">
        <v>1500</v>
      </c>
      <c r="AJ8" s="2">
        <f t="shared" si="3"/>
        <v>1000</v>
      </c>
      <c r="AK8" s="2">
        <f t="shared" si="3"/>
        <v>1000</v>
      </c>
      <c r="AL8" s="2">
        <f t="shared" si="3"/>
        <v>1000</v>
      </c>
      <c r="AM8" s="2">
        <f t="shared" si="3"/>
        <v>1000</v>
      </c>
      <c r="AN8" s="2">
        <f t="shared" si="3"/>
        <v>1000</v>
      </c>
      <c r="AO8" s="2">
        <f t="shared" si="3"/>
        <v>1000</v>
      </c>
      <c r="AP8" s="2">
        <v>0</v>
      </c>
      <c r="AQ8" s="2">
        <v>1000</v>
      </c>
      <c r="AR8" s="2">
        <v>1000</v>
      </c>
      <c r="AS8" s="2">
        <v>1000</v>
      </c>
      <c r="AT8" s="2">
        <v>1000</v>
      </c>
      <c r="AU8" s="2">
        <v>1000</v>
      </c>
      <c r="AV8" s="2">
        <v>1000</v>
      </c>
      <c r="AW8" s="2">
        <v>1000</v>
      </c>
      <c r="AX8" s="2">
        <v>1000</v>
      </c>
      <c r="AY8" s="2">
        <v>1000</v>
      </c>
      <c r="AZ8" s="2">
        <v>967</v>
      </c>
      <c r="BA8" s="2">
        <v>1073</v>
      </c>
      <c r="BB8" s="2">
        <v>909</v>
      </c>
      <c r="BC8" s="2">
        <v>1000</v>
      </c>
      <c r="BD8" s="2">
        <v>1000</v>
      </c>
      <c r="BE8" s="2">
        <v>5000</v>
      </c>
      <c r="BF8" s="2">
        <v>3000</v>
      </c>
      <c r="BG8" s="2">
        <v>2000</v>
      </c>
      <c r="BH8" s="2">
        <v>2500</v>
      </c>
      <c r="BI8" s="2">
        <v>3000</v>
      </c>
      <c r="BJ8" s="2">
        <v>1000</v>
      </c>
      <c r="BK8" s="2">
        <v>1000</v>
      </c>
      <c r="BL8" s="2">
        <v>1000</v>
      </c>
      <c r="BO8" s="2">
        <f t="shared" si="4"/>
        <v>0</v>
      </c>
      <c r="BP8" s="2">
        <f t="shared" si="2"/>
        <v>0</v>
      </c>
      <c r="BQ8" s="2">
        <f t="shared" si="2"/>
        <v>0</v>
      </c>
      <c r="BR8" s="2">
        <f t="shared" si="2"/>
        <v>0</v>
      </c>
      <c r="BS8" s="2">
        <f t="shared" si="2"/>
        <v>0</v>
      </c>
      <c r="BT8" s="2">
        <f t="shared" si="2"/>
        <v>0</v>
      </c>
      <c r="BU8" s="2">
        <f t="shared" si="2"/>
        <v>0</v>
      </c>
      <c r="BV8" s="2">
        <f t="shared" si="2"/>
        <v>0</v>
      </c>
      <c r="BW8" s="2">
        <f t="shared" si="2"/>
        <v>0</v>
      </c>
      <c r="BX8" s="2">
        <f t="shared" si="2"/>
        <v>0</v>
      </c>
      <c r="BY8" s="2">
        <f t="shared" si="2"/>
        <v>0</v>
      </c>
      <c r="BZ8" s="2">
        <f t="shared" si="2"/>
        <v>0</v>
      </c>
      <c r="CA8" s="2">
        <f t="shared" si="2"/>
        <v>0</v>
      </c>
      <c r="CB8" s="2">
        <f t="shared" si="2"/>
        <v>0</v>
      </c>
      <c r="CC8" s="2">
        <f t="shared" si="2"/>
        <v>0</v>
      </c>
      <c r="CD8" s="2">
        <f t="shared" si="2"/>
        <v>0</v>
      </c>
      <c r="CE8" s="2">
        <f t="shared" si="2"/>
        <v>0</v>
      </c>
      <c r="CF8" s="2">
        <f t="shared" si="2"/>
        <v>4583.58</v>
      </c>
      <c r="CG8" s="2">
        <f t="shared" si="2"/>
        <v>-4557</v>
      </c>
      <c r="CH8" s="2">
        <f t="shared" si="2"/>
        <v>2262.48</v>
      </c>
      <c r="CI8" s="2">
        <f t="shared" si="2"/>
        <v>0</v>
      </c>
      <c r="CJ8" s="2">
        <f t="shared" si="2"/>
        <v>0</v>
      </c>
      <c r="CK8" s="2">
        <f t="shared" si="2"/>
        <v>0</v>
      </c>
      <c r="CL8" s="2">
        <f t="shared" si="2"/>
        <v>0</v>
      </c>
      <c r="CM8" s="2">
        <f t="shared" si="2"/>
        <v>0</v>
      </c>
      <c r="CN8" s="2">
        <f t="shared" si="2"/>
        <v>0</v>
      </c>
      <c r="CO8" s="2">
        <f t="shared" si="2"/>
        <v>0</v>
      </c>
      <c r="CP8" s="2">
        <f t="shared" si="2"/>
        <v>0</v>
      </c>
      <c r="CQ8" s="2">
        <f t="shared" si="2"/>
        <v>0</v>
      </c>
      <c r="CR8" s="2">
        <f t="shared" si="2"/>
        <v>0</v>
      </c>
      <c r="CV8" t="s">
        <v>64</v>
      </c>
      <c r="CW8" t="s">
        <v>81</v>
      </c>
      <c r="CX8" t="s">
        <v>1</v>
      </c>
      <c r="CY8" s="4">
        <v>42754</v>
      </c>
      <c r="CZ8" t="s">
        <v>67</v>
      </c>
      <c r="DA8" t="s">
        <v>68</v>
      </c>
      <c r="DB8">
        <v>250</v>
      </c>
      <c r="DC8">
        <v>115.64</v>
      </c>
      <c r="DD8" t="s">
        <v>69</v>
      </c>
      <c r="DE8" t="s">
        <v>70</v>
      </c>
      <c r="DF8">
        <v>28910</v>
      </c>
    </row>
    <row r="9" spans="1:129" x14ac:dyDescent="0.25">
      <c r="A9" s="1">
        <v>42747</v>
      </c>
      <c r="B9">
        <v>115.13</v>
      </c>
      <c r="C9">
        <v>74.86</v>
      </c>
      <c r="D9">
        <v>150.28</v>
      </c>
      <c r="E9">
        <v>88.68</v>
      </c>
      <c r="F9">
        <v>28.17</v>
      </c>
      <c r="G9">
        <v>106.5</v>
      </c>
      <c r="H9">
        <v>104.23</v>
      </c>
      <c r="I9">
        <v>1</v>
      </c>
      <c r="J9">
        <v>237.53</v>
      </c>
      <c r="K9">
        <v>129.11000000000001</v>
      </c>
      <c r="L9">
        <v>152.9</v>
      </c>
      <c r="M9">
        <v>34.61</v>
      </c>
      <c r="N9">
        <v>108.77</v>
      </c>
      <c r="O9">
        <v>82.22</v>
      </c>
      <c r="P9">
        <v>38.29</v>
      </c>
      <c r="Q9">
        <v>116.09</v>
      </c>
      <c r="R9">
        <v>167.73</v>
      </c>
      <c r="S9">
        <v>58.56</v>
      </c>
      <c r="T9">
        <v>60.2</v>
      </c>
      <c r="U9">
        <v>51.13</v>
      </c>
      <c r="V9">
        <v>30.02</v>
      </c>
      <c r="W9">
        <v>77.91</v>
      </c>
      <c r="X9">
        <v>111.5</v>
      </c>
      <c r="Y9">
        <v>157.81</v>
      </c>
      <c r="Z9">
        <v>105.25</v>
      </c>
      <c r="AA9">
        <v>80.12</v>
      </c>
      <c r="AB9">
        <v>47.98</v>
      </c>
      <c r="AC9">
        <v>79.87</v>
      </c>
      <c r="AD9">
        <v>64.72</v>
      </c>
      <c r="AE9">
        <v>78.989999999999995</v>
      </c>
      <c r="AI9" s="2">
        <v>500</v>
      </c>
      <c r="AJ9" s="2">
        <f t="shared" si="3"/>
        <v>1000</v>
      </c>
      <c r="AK9" s="2">
        <f t="shared" si="3"/>
        <v>1000</v>
      </c>
      <c r="AL9" s="2">
        <f t="shared" si="3"/>
        <v>1000</v>
      </c>
      <c r="AM9" s="2">
        <f t="shared" si="3"/>
        <v>1000</v>
      </c>
      <c r="AN9" s="2">
        <f t="shared" si="3"/>
        <v>1000</v>
      </c>
      <c r="AO9" s="2">
        <f t="shared" si="3"/>
        <v>1000</v>
      </c>
      <c r="AP9" s="2">
        <v>0</v>
      </c>
      <c r="AQ9" s="2">
        <v>1000</v>
      </c>
      <c r="AR9" s="2">
        <v>1000</v>
      </c>
      <c r="AS9" s="2">
        <v>1000</v>
      </c>
      <c r="AT9" s="2">
        <v>1000</v>
      </c>
      <c r="AU9" s="2">
        <v>1000</v>
      </c>
      <c r="AV9" s="2">
        <v>1000</v>
      </c>
      <c r="AW9" s="2">
        <v>1000</v>
      </c>
      <c r="AX9" s="2">
        <v>1000</v>
      </c>
      <c r="AY9" s="2">
        <v>1000</v>
      </c>
      <c r="AZ9" s="2">
        <v>1013</v>
      </c>
      <c r="BA9" s="2">
        <v>981</v>
      </c>
      <c r="BB9" s="2">
        <v>1081</v>
      </c>
      <c r="BC9" s="2">
        <v>1000</v>
      </c>
      <c r="BD9" s="2">
        <v>1000</v>
      </c>
      <c r="BE9" s="2">
        <v>5000</v>
      </c>
      <c r="BF9" s="2">
        <v>3000</v>
      </c>
      <c r="BG9" s="2">
        <v>2000</v>
      </c>
      <c r="BH9" s="2">
        <v>2500</v>
      </c>
      <c r="BI9" s="2">
        <v>3000</v>
      </c>
      <c r="BJ9" s="2">
        <v>1000</v>
      </c>
      <c r="BK9" s="2">
        <v>1000</v>
      </c>
      <c r="BL9" s="2">
        <v>1000</v>
      </c>
      <c r="BO9" s="2">
        <f t="shared" si="4"/>
        <v>115130</v>
      </c>
      <c r="BP9" s="2">
        <f t="shared" si="2"/>
        <v>0</v>
      </c>
      <c r="BQ9" s="2">
        <f t="shared" si="2"/>
        <v>0</v>
      </c>
      <c r="BR9" s="2">
        <f t="shared" si="2"/>
        <v>0</v>
      </c>
      <c r="BS9" s="2">
        <f t="shared" si="2"/>
        <v>0</v>
      </c>
      <c r="BT9" s="2">
        <f t="shared" si="2"/>
        <v>0</v>
      </c>
      <c r="BU9" s="2">
        <f t="shared" si="2"/>
        <v>0</v>
      </c>
      <c r="BV9" s="2">
        <f t="shared" si="2"/>
        <v>0</v>
      </c>
      <c r="BW9" s="2">
        <f t="shared" si="2"/>
        <v>0</v>
      </c>
      <c r="BX9" s="2">
        <f t="shared" si="2"/>
        <v>0</v>
      </c>
      <c r="BY9" s="2">
        <f t="shared" si="2"/>
        <v>0</v>
      </c>
      <c r="BZ9" s="2">
        <f t="shared" si="2"/>
        <v>0</v>
      </c>
      <c r="CA9" s="2">
        <f t="shared" si="2"/>
        <v>0</v>
      </c>
      <c r="CB9" s="2">
        <f t="shared" si="2"/>
        <v>0</v>
      </c>
      <c r="CC9" s="2">
        <f t="shared" si="2"/>
        <v>0</v>
      </c>
      <c r="CD9" s="2">
        <f t="shared" si="2"/>
        <v>0</v>
      </c>
      <c r="CE9" s="2">
        <f t="shared" si="2"/>
        <v>0</v>
      </c>
      <c r="CF9" s="2">
        <f t="shared" si="2"/>
        <v>-2693.76</v>
      </c>
      <c r="CG9" s="2">
        <f t="shared" si="2"/>
        <v>5538.4000000000005</v>
      </c>
      <c r="CH9" s="2">
        <f t="shared" si="2"/>
        <v>-8794.36</v>
      </c>
      <c r="CI9" s="2">
        <f t="shared" si="2"/>
        <v>0</v>
      </c>
      <c r="CJ9" s="2">
        <f t="shared" si="2"/>
        <v>0</v>
      </c>
      <c r="CK9" s="2">
        <f t="shared" si="2"/>
        <v>0</v>
      </c>
      <c r="CL9" s="2">
        <f t="shared" si="2"/>
        <v>0</v>
      </c>
      <c r="CM9" s="2">
        <f t="shared" si="2"/>
        <v>0</v>
      </c>
      <c r="CN9" s="2">
        <f t="shared" si="2"/>
        <v>0</v>
      </c>
      <c r="CO9" s="2">
        <f t="shared" si="2"/>
        <v>0</v>
      </c>
      <c r="CP9" s="2">
        <f t="shared" si="2"/>
        <v>0</v>
      </c>
      <c r="CQ9" s="2">
        <f t="shared" si="2"/>
        <v>0</v>
      </c>
      <c r="CR9" s="2">
        <f t="shared" si="2"/>
        <v>0</v>
      </c>
      <c r="CV9" t="s">
        <v>64</v>
      </c>
      <c r="CW9" t="s">
        <v>82</v>
      </c>
      <c r="CX9" t="s">
        <v>1</v>
      </c>
      <c r="CY9" s="4">
        <v>42755</v>
      </c>
      <c r="CZ9" t="s">
        <v>67</v>
      </c>
      <c r="DA9" t="s">
        <v>68</v>
      </c>
      <c r="DB9">
        <v>250</v>
      </c>
      <c r="DC9">
        <v>115.86</v>
      </c>
      <c r="DD9" t="s">
        <v>69</v>
      </c>
      <c r="DE9" t="s">
        <v>70</v>
      </c>
      <c r="DF9">
        <v>28965</v>
      </c>
    </row>
    <row r="10" spans="1:129" x14ac:dyDescent="0.25">
      <c r="A10" s="1">
        <v>42748</v>
      </c>
      <c r="B10">
        <v>114.93</v>
      </c>
      <c r="C10">
        <v>74.599999999999994</v>
      </c>
      <c r="D10">
        <v>150.79</v>
      </c>
      <c r="E10">
        <v>89.14</v>
      </c>
      <c r="F10">
        <v>28.2</v>
      </c>
      <c r="G10">
        <v>106.7</v>
      </c>
      <c r="H10">
        <v>104.75</v>
      </c>
      <c r="I10">
        <v>1</v>
      </c>
      <c r="J10">
        <v>237.98</v>
      </c>
      <c r="K10">
        <v>129.08000000000001</v>
      </c>
      <c r="L10">
        <v>152.35</v>
      </c>
      <c r="M10">
        <v>34.68</v>
      </c>
      <c r="N10">
        <v>108.75</v>
      </c>
      <c r="O10">
        <v>82.65</v>
      </c>
      <c r="P10">
        <v>38.229999999999997</v>
      </c>
      <c r="Q10">
        <v>115.52</v>
      </c>
      <c r="R10">
        <v>167.68</v>
      </c>
      <c r="S10">
        <v>58.69</v>
      </c>
      <c r="T10">
        <v>60.29</v>
      </c>
      <c r="U10">
        <v>51.64</v>
      </c>
      <c r="V10">
        <v>29.95</v>
      </c>
      <c r="W10">
        <v>78.069999999999993</v>
      </c>
      <c r="X10">
        <v>111.79</v>
      </c>
      <c r="Y10">
        <v>157.27000000000001</v>
      </c>
      <c r="Z10">
        <v>104.68</v>
      </c>
      <c r="AA10">
        <v>79.930000000000007</v>
      </c>
      <c r="AB10">
        <v>47.86</v>
      </c>
      <c r="AC10">
        <v>79.78</v>
      </c>
      <c r="AD10">
        <v>63.92</v>
      </c>
      <c r="AE10">
        <v>79</v>
      </c>
      <c r="AI10" s="2">
        <v>500</v>
      </c>
      <c r="AJ10" s="2">
        <f t="shared" si="3"/>
        <v>1000</v>
      </c>
      <c r="AK10" s="2">
        <f t="shared" si="3"/>
        <v>1000</v>
      </c>
      <c r="AL10" s="2">
        <f t="shared" si="3"/>
        <v>1000</v>
      </c>
      <c r="AM10" s="2">
        <f t="shared" si="3"/>
        <v>1000</v>
      </c>
      <c r="AN10" s="2">
        <f t="shared" si="3"/>
        <v>1000</v>
      </c>
      <c r="AO10" s="2">
        <f t="shared" si="3"/>
        <v>1000</v>
      </c>
      <c r="AP10" s="2">
        <v>0</v>
      </c>
      <c r="AQ10" s="2">
        <v>1000</v>
      </c>
      <c r="AR10" s="2">
        <v>1000</v>
      </c>
      <c r="AS10" s="2">
        <v>1000</v>
      </c>
      <c r="AT10" s="2">
        <v>1000</v>
      </c>
      <c r="AU10" s="2">
        <v>1000</v>
      </c>
      <c r="AV10" s="2">
        <v>1000</v>
      </c>
      <c r="AW10" s="2">
        <v>1000</v>
      </c>
      <c r="AX10" s="2">
        <v>1000</v>
      </c>
      <c r="AY10" s="2">
        <v>1000</v>
      </c>
      <c r="AZ10" s="2">
        <v>1005</v>
      </c>
      <c r="BA10" s="2">
        <v>980</v>
      </c>
      <c r="BB10" s="2">
        <v>1002</v>
      </c>
      <c r="BC10" s="2">
        <v>1000</v>
      </c>
      <c r="BD10" s="2">
        <v>1000</v>
      </c>
      <c r="BE10" s="2">
        <v>5000</v>
      </c>
      <c r="BF10" s="2">
        <v>3000</v>
      </c>
      <c r="BG10" s="2">
        <v>2000</v>
      </c>
      <c r="BH10" s="2">
        <v>2500</v>
      </c>
      <c r="BI10" s="2">
        <v>3000</v>
      </c>
      <c r="BJ10" s="2">
        <v>0</v>
      </c>
      <c r="BK10" s="2">
        <v>1000</v>
      </c>
      <c r="BL10" s="2">
        <v>1000</v>
      </c>
      <c r="BO10" s="2">
        <f t="shared" si="4"/>
        <v>0</v>
      </c>
      <c r="BP10" s="2">
        <f t="shared" si="2"/>
        <v>0</v>
      </c>
      <c r="BQ10" s="2">
        <f t="shared" si="2"/>
        <v>0</v>
      </c>
      <c r="BR10" s="2">
        <f t="shared" si="2"/>
        <v>0</v>
      </c>
      <c r="BS10" s="2">
        <f t="shared" si="2"/>
        <v>0</v>
      </c>
      <c r="BT10" s="2">
        <f t="shared" si="2"/>
        <v>0</v>
      </c>
      <c r="BU10" s="2">
        <f t="shared" si="2"/>
        <v>0</v>
      </c>
      <c r="BV10" s="2">
        <f t="shared" si="2"/>
        <v>0</v>
      </c>
      <c r="BW10" s="2">
        <f t="shared" si="2"/>
        <v>0</v>
      </c>
      <c r="BX10" s="2">
        <f t="shared" si="2"/>
        <v>0</v>
      </c>
      <c r="BY10" s="2">
        <f t="shared" si="2"/>
        <v>0</v>
      </c>
      <c r="BZ10" s="2">
        <f t="shared" si="2"/>
        <v>0</v>
      </c>
      <c r="CA10" s="2">
        <f t="shared" si="2"/>
        <v>0</v>
      </c>
      <c r="CB10" s="2">
        <f t="shared" si="2"/>
        <v>0</v>
      </c>
      <c r="CC10" s="2">
        <f t="shared" si="2"/>
        <v>0</v>
      </c>
      <c r="CD10" s="2">
        <f t="shared" si="2"/>
        <v>0</v>
      </c>
      <c r="CE10" s="2">
        <f t="shared" si="2"/>
        <v>0</v>
      </c>
      <c r="CF10" s="2">
        <f t="shared" si="2"/>
        <v>469.52</v>
      </c>
      <c r="CG10" s="2">
        <f t="shared" si="2"/>
        <v>60.29</v>
      </c>
      <c r="CH10" s="2">
        <f t="shared" si="2"/>
        <v>4079.56</v>
      </c>
      <c r="CI10" s="2">
        <f t="shared" si="2"/>
        <v>0</v>
      </c>
      <c r="CJ10" s="2">
        <f t="shared" si="2"/>
        <v>0</v>
      </c>
      <c r="CK10" s="2">
        <f t="shared" si="2"/>
        <v>0</v>
      </c>
      <c r="CL10" s="2">
        <f t="shared" si="2"/>
        <v>0</v>
      </c>
      <c r="CM10" s="2">
        <f t="shared" si="2"/>
        <v>0</v>
      </c>
      <c r="CN10" s="2">
        <f t="shared" si="2"/>
        <v>0</v>
      </c>
      <c r="CO10" s="2">
        <f t="shared" si="2"/>
        <v>0</v>
      </c>
      <c r="CP10" s="2">
        <f t="shared" si="2"/>
        <v>79780</v>
      </c>
      <c r="CQ10" s="2">
        <f t="shared" si="2"/>
        <v>0</v>
      </c>
      <c r="CR10" s="2">
        <f t="shared" si="2"/>
        <v>0</v>
      </c>
      <c r="CV10" t="s">
        <v>64</v>
      </c>
      <c r="CW10" t="s">
        <v>83</v>
      </c>
      <c r="CX10" t="s">
        <v>1</v>
      </c>
      <c r="CY10" s="4">
        <v>42760</v>
      </c>
      <c r="CZ10" t="s">
        <v>65</v>
      </c>
      <c r="DA10" t="s">
        <v>66</v>
      </c>
      <c r="DB10">
        <v>3000</v>
      </c>
      <c r="DC10">
        <v>117.67</v>
      </c>
      <c r="DD10" t="s">
        <v>69</v>
      </c>
      <c r="DE10" t="s">
        <v>70</v>
      </c>
      <c r="DF10">
        <v>353010</v>
      </c>
    </row>
    <row r="11" spans="1:129" x14ac:dyDescent="0.25">
      <c r="A11" s="1">
        <v>42752</v>
      </c>
      <c r="B11">
        <v>115.86</v>
      </c>
      <c r="C11">
        <v>74.59</v>
      </c>
      <c r="D11">
        <v>149.69</v>
      </c>
      <c r="E11">
        <v>88.28</v>
      </c>
      <c r="F11">
        <v>28.12</v>
      </c>
      <c r="G11">
        <v>106.61</v>
      </c>
      <c r="H11">
        <v>104.66</v>
      </c>
      <c r="I11">
        <v>1</v>
      </c>
      <c r="J11">
        <v>229.64</v>
      </c>
      <c r="K11">
        <v>129.93</v>
      </c>
      <c r="L11">
        <v>152.85</v>
      </c>
      <c r="M11">
        <v>34.69</v>
      </c>
      <c r="N11">
        <v>109</v>
      </c>
      <c r="O11">
        <v>79.650000000000006</v>
      </c>
      <c r="P11">
        <v>38.549999999999997</v>
      </c>
      <c r="Q11">
        <v>116.71</v>
      </c>
      <c r="R11">
        <v>167.56</v>
      </c>
      <c r="S11">
        <v>57.88</v>
      </c>
      <c r="T11">
        <v>60.12</v>
      </c>
      <c r="U11">
        <v>52.35</v>
      </c>
      <c r="V11">
        <v>29.52</v>
      </c>
      <c r="W11">
        <v>79.19</v>
      </c>
      <c r="X11">
        <v>112.18</v>
      </c>
      <c r="Y11">
        <v>156.16</v>
      </c>
      <c r="Z11">
        <v>104.44</v>
      </c>
      <c r="AA11">
        <v>80.02</v>
      </c>
      <c r="AB11">
        <v>48.03</v>
      </c>
      <c r="AC11">
        <v>80.16</v>
      </c>
      <c r="AD11">
        <v>65.150000000000006</v>
      </c>
      <c r="AE11">
        <v>79.92</v>
      </c>
      <c r="AI11" s="2">
        <v>0</v>
      </c>
      <c r="AJ11" s="2">
        <f t="shared" si="3"/>
        <v>1000</v>
      </c>
      <c r="AK11" s="2">
        <f t="shared" si="3"/>
        <v>1000</v>
      </c>
      <c r="AL11" s="2">
        <f t="shared" si="3"/>
        <v>1000</v>
      </c>
      <c r="AM11" s="2">
        <f t="shared" si="3"/>
        <v>1000</v>
      </c>
      <c r="AN11" s="2">
        <f t="shared" si="3"/>
        <v>1000</v>
      </c>
      <c r="AO11" s="2">
        <f t="shared" si="3"/>
        <v>1000</v>
      </c>
      <c r="AP11" s="2">
        <v>0</v>
      </c>
      <c r="AQ11" s="2">
        <v>1000</v>
      </c>
      <c r="AR11" s="2">
        <v>1000</v>
      </c>
      <c r="AS11" s="2">
        <v>1000</v>
      </c>
      <c r="AT11" s="2">
        <v>1000</v>
      </c>
      <c r="AU11" s="2">
        <v>1000</v>
      </c>
      <c r="AV11" s="2">
        <v>1000</v>
      </c>
      <c r="AW11" s="2">
        <v>1000</v>
      </c>
      <c r="AX11" s="2">
        <v>1000</v>
      </c>
      <c r="AY11" s="2">
        <v>1000</v>
      </c>
      <c r="AZ11" s="2">
        <v>970</v>
      </c>
      <c r="BA11" s="2">
        <v>969</v>
      </c>
      <c r="BB11" s="2">
        <v>1054</v>
      </c>
      <c r="BC11" s="2">
        <v>1000</v>
      </c>
      <c r="BD11" s="2">
        <v>1000</v>
      </c>
      <c r="BE11" s="2">
        <v>5000</v>
      </c>
      <c r="BF11" s="2">
        <v>3000</v>
      </c>
      <c r="BG11" s="2">
        <v>2000</v>
      </c>
      <c r="BH11" s="2">
        <v>2500</v>
      </c>
      <c r="BI11" s="2">
        <v>3000</v>
      </c>
      <c r="BJ11" s="2">
        <v>0</v>
      </c>
      <c r="BK11" s="2">
        <v>1000</v>
      </c>
      <c r="BL11" s="2">
        <v>1000</v>
      </c>
      <c r="BO11" s="2">
        <f t="shared" si="4"/>
        <v>57930</v>
      </c>
      <c r="BP11" s="2">
        <f t="shared" si="2"/>
        <v>0</v>
      </c>
      <c r="BQ11" s="2">
        <f t="shared" si="2"/>
        <v>0</v>
      </c>
      <c r="BR11" s="2">
        <f t="shared" si="2"/>
        <v>0</v>
      </c>
      <c r="BS11" s="2">
        <f t="shared" si="2"/>
        <v>0</v>
      </c>
      <c r="BT11" s="2">
        <f t="shared" si="2"/>
        <v>0</v>
      </c>
      <c r="BU11" s="2">
        <f t="shared" si="2"/>
        <v>0</v>
      </c>
      <c r="BV11" s="2">
        <f t="shared" si="2"/>
        <v>0</v>
      </c>
      <c r="BW11" s="2">
        <f t="shared" si="2"/>
        <v>0</v>
      </c>
      <c r="BX11" s="2">
        <f t="shared" si="2"/>
        <v>0</v>
      </c>
      <c r="BY11" s="2">
        <f t="shared" si="2"/>
        <v>0</v>
      </c>
      <c r="BZ11" s="2">
        <f t="shared" si="2"/>
        <v>0</v>
      </c>
      <c r="CA11" s="2">
        <f t="shared" si="2"/>
        <v>0</v>
      </c>
      <c r="CB11" s="2">
        <f t="shared" si="2"/>
        <v>0</v>
      </c>
      <c r="CC11" s="2">
        <f t="shared" si="2"/>
        <v>0</v>
      </c>
      <c r="CD11" s="2">
        <f t="shared" si="2"/>
        <v>0</v>
      </c>
      <c r="CE11" s="2">
        <f t="shared" si="2"/>
        <v>0</v>
      </c>
      <c r="CF11" s="2">
        <f t="shared" si="2"/>
        <v>2025.8000000000002</v>
      </c>
      <c r="CG11" s="2">
        <f t="shared" si="2"/>
        <v>661.31999999999994</v>
      </c>
      <c r="CH11" s="2">
        <f t="shared" si="2"/>
        <v>-2722.2000000000003</v>
      </c>
      <c r="CI11" s="2">
        <f t="shared" si="2"/>
        <v>0</v>
      </c>
      <c r="CJ11" s="2">
        <f t="shared" si="2"/>
        <v>0</v>
      </c>
      <c r="CK11" s="2">
        <f t="shared" si="2"/>
        <v>0</v>
      </c>
      <c r="CL11" s="2">
        <f t="shared" si="2"/>
        <v>0</v>
      </c>
      <c r="CM11" s="2">
        <f t="shared" ref="CM11:CM74" si="5">(BG10-BG11)*Z11</f>
        <v>0</v>
      </c>
      <c r="CN11" s="2">
        <f t="shared" ref="CN11:CN74" si="6">(BH10-BH11)*AA11</f>
        <v>0</v>
      </c>
      <c r="CO11" s="2">
        <f t="shared" ref="CO11:CO74" si="7">(BI10-BI11)*AB11</f>
        <v>0</v>
      </c>
      <c r="CP11" s="2">
        <f t="shared" ref="CP11:CP74" si="8">(BJ10-BJ11)*AC11</f>
        <v>0</v>
      </c>
      <c r="CQ11" s="2">
        <f t="shared" ref="CQ11:CQ74" si="9">(BK10-BK11)*AD11</f>
        <v>0</v>
      </c>
      <c r="CR11" s="2">
        <f t="shared" ref="CR11:CR74" si="10">(BL10-BL11)*AE11</f>
        <v>0</v>
      </c>
      <c r="CV11" t="s">
        <v>64</v>
      </c>
      <c r="CW11" t="s">
        <v>84</v>
      </c>
      <c r="CX11" t="s">
        <v>1</v>
      </c>
      <c r="CY11" s="4">
        <v>42761</v>
      </c>
      <c r="CZ11" t="s">
        <v>65</v>
      </c>
      <c r="DA11" t="s">
        <v>66</v>
      </c>
      <c r="DB11">
        <v>1250</v>
      </c>
      <c r="DC11">
        <v>117.73</v>
      </c>
      <c r="DD11" t="s">
        <v>69</v>
      </c>
      <c r="DE11" t="s">
        <v>70</v>
      </c>
      <c r="DF11">
        <v>147162.5</v>
      </c>
    </row>
    <row r="12" spans="1:129" x14ac:dyDescent="0.25">
      <c r="A12" s="1">
        <v>42753</v>
      </c>
      <c r="B12">
        <v>115.85</v>
      </c>
      <c r="C12">
        <v>75.45</v>
      </c>
      <c r="D12">
        <v>150.31</v>
      </c>
      <c r="E12">
        <v>88.78</v>
      </c>
      <c r="F12">
        <v>28.16</v>
      </c>
      <c r="G12">
        <v>106.3</v>
      </c>
      <c r="H12">
        <v>104.84</v>
      </c>
      <c r="I12">
        <v>1</v>
      </c>
      <c r="J12">
        <v>228.23</v>
      </c>
      <c r="K12">
        <v>130.15</v>
      </c>
      <c r="L12">
        <v>151.85</v>
      </c>
      <c r="M12">
        <v>34.65</v>
      </c>
      <c r="N12">
        <v>108.84</v>
      </c>
      <c r="O12">
        <v>80.02</v>
      </c>
      <c r="P12">
        <v>38.61</v>
      </c>
      <c r="Q12">
        <v>116.67</v>
      </c>
      <c r="R12">
        <v>168.72</v>
      </c>
      <c r="S12">
        <v>57.59</v>
      </c>
      <c r="T12">
        <v>60.09</v>
      </c>
      <c r="U12">
        <v>51.98</v>
      </c>
      <c r="V12">
        <v>29.5</v>
      </c>
      <c r="W12">
        <v>79.55</v>
      </c>
      <c r="X12">
        <v>113.21</v>
      </c>
      <c r="Y12">
        <v>153.32</v>
      </c>
      <c r="Z12">
        <v>104.87</v>
      </c>
      <c r="AA12">
        <v>80.34</v>
      </c>
      <c r="AB12">
        <v>47.58</v>
      </c>
      <c r="AC12">
        <v>80.06</v>
      </c>
      <c r="AD12">
        <v>64.849999999999994</v>
      </c>
      <c r="AE12">
        <v>78.930000000000007</v>
      </c>
      <c r="AI12" s="2">
        <v>0</v>
      </c>
      <c r="AJ12" s="2">
        <f t="shared" si="3"/>
        <v>1000</v>
      </c>
      <c r="AK12" s="2">
        <f t="shared" si="3"/>
        <v>1000</v>
      </c>
      <c r="AL12" s="2">
        <f t="shared" si="3"/>
        <v>1000</v>
      </c>
      <c r="AM12" s="2">
        <f t="shared" si="3"/>
        <v>1000</v>
      </c>
      <c r="AN12" s="2">
        <f t="shared" si="3"/>
        <v>1000</v>
      </c>
      <c r="AO12" s="2">
        <f t="shared" si="3"/>
        <v>1000</v>
      </c>
      <c r="AP12" s="2">
        <v>0</v>
      </c>
      <c r="AQ12" s="2">
        <v>1000</v>
      </c>
      <c r="AR12" s="2">
        <v>1000</v>
      </c>
      <c r="AS12" s="2">
        <v>1000</v>
      </c>
      <c r="AT12" s="2">
        <v>1000</v>
      </c>
      <c r="AU12" s="2">
        <v>1000</v>
      </c>
      <c r="AV12" s="2">
        <v>1000</v>
      </c>
      <c r="AW12" s="2">
        <v>1000</v>
      </c>
      <c r="AX12" s="2">
        <v>1000</v>
      </c>
      <c r="AY12" s="2">
        <v>1000</v>
      </c>
      <c r="AZ12" s="2">
        <v>1018</v>
      </c>
      <c r="BA12" s="2">
        <v>1015</v>
      </c>
      <c r="BB12" s="2">
        <v>947</v>
      </c>
      <c r="BC12" s="2">
        <v>1000</v>
      </c>
      <c r="BD12" s="2">
        <v>1000</v>
      </c>
      <c r="BE12" s="2">
        <v>5000</v>
      </c>
      <c r="BF12" s="2">
        <v>3000</v>
      </c>
      <c r="BG12" s="2">
        <v>2000</v>
      </c>
      <c r="BH12" s="2">
        <v>2500</v>
      </c>
      <c r="BI12" s="2">
        <v>3000</v>
      </c>
      <c r="BJ12" s="2">
        <v>0</v>
      </c>
      <c r="BK12" s="2">
        <v>1000</v>
      </c>
      <c r="BL12" s="2">
        <v>1000</v>
      </c>
      <c r="BO12" s="2">
        <f t="shared" si="4"/>
        <v>0</v>
      </c>
      <c r="BP12" s="2">
        <f t="shared" ref="BP12:BP75" si="11">(AJ11-AJ12)*C12</f>
        <v>0</v>
      </c>
      <c r="BQ12" s="2">
        <f t="shared" ref="BQ12:BQ75" si="12">(AK11-AK12)*D12</f>
        <v>0</v>
      </c>
      <c r="BR12" s="2">
        <f t="shared" ref="BR12:BR75" si="13">(AL11-AL12)*E12</f>
        <v>0</v>
      </c>
      <c r="BS12" s="2">
        <f t="shared" ref="BS12:BS75" si="14">(AM11-AM12)*F12</f>
        <v>0</v>
      </c>
      <c r="BT12" s="2">
        <f t="shared" ref="BT12:BT75" si="15">(AN11-AN12)*G12</f>
        <v>0</v>
      </c>
      <c r="BU12" s="2">
        <f t="shared" ref="BU12:BU75" si="16">(AO11-AO12)*H12</f>
        <v>0</v>
      </c>
      <c r="BV12" s="2">
        <f t="shared" ref="BV12:BV75" si="17">(AP11-AP12)*I12</f>
        <v>0</v>
      </c>
      <c r="BW12" s="2">
        <f t="shared" ref="BW12:BW75" si="18">(AQ11-AQ12)*J12</f>
        <v>0</v>
      </c>
      <c r="BX12" s="2">
        <f t="shared" ref="BX12:BX75" si="19">(AR11-AR12)*K12</f>
        <v>0</v>
      </c>
      <c r="BY12" s="2">
        <f t="shared" ref="BY12:BY75" si="20">(AS11-AS12)*L12</f>
        <v>0</v>
      </c>
      <c r="BZ12" s="2">
        <f t="shared" ref="BZ12:BZ75" si="21">(AT11-AT12)*M12</f>
        <v>0</v>
      </c>
      <c r="CA12" s="2">
        <f t="shared" ref="CA12:CA75" si="22">(AU11-AU12)*N12</f>
        <v>0</v>
      </c>
      <c r="CB12" s="2">
        <f t="shared" ref="CB12:CB75" si="23">(AV11-AV12)*O12</f>
        <v>0</v>
      </c>
      <c r="CC12" s="2">
        <f t="shared" ref="CC12:CC75" si="24">(AW11-AW12)*P12</f>
        <v>0</v>
      </c>
      <c r="CD12" s="2">
        <f t="shared" ref="CD12:CD75" si="25">(AX11-AX12)*Q12</f>
        <v>0</v>
      </c>
      <c r="CE12" s="2">
        <f t="shared" ref="CE12:CE75" si="26">(AY11-AY12)*R12</f>
        <v>0</v>
      </c>
      <c r="CF12" s="2">
        <f t="shared" ref="CF12:CF75" si="27">(AZ11-AZ12)*S12</f>
        <v>-2764.32</v>
      </c>
      <c r="CG12" s="2">
        <f t="shared" ref="CG12:CG75" si="28">(BA11-BA12)*T12</f>
        <v>-2764.1400000000003</v>
      </c>
      <c r="CH12" s="2">
        <f t="shared" ref="CH12:CH75" si="29">(BB11-BB12)*U12</f>
        <v>5561.86</v>
      </c>
      <c r="CI12" s="2">
        <f t="shared" ref="CI12:CI75" si="30">(BC11-BC12)*V12</f>
        <v>0</v>
      </c>
      <c r="CJ12" s="2">
        <f t="shared" ref="CJ12:CJ75" si="31">(BD11-BD12)*W12</f>
        <v>0</v>
      </c>
      <c r="CK12" s="2">
        <f t="shared" ref="CK12:CK75" si="32">(BE11-BE12)*X12</f>
        <v>0</v>
      </c>
      <c r="CL12" s="2">
        <f t="shared" ref="CL12:CL75" si="33">(BF11-BF12)*Y12</f>
        <v>0</v>
      </c>
      <c r="CM12" s="2">
        <f t="shared" si="5"/>
        <v>0</v>
      </c>
      <c r="CN12" s="2">
        <f t="shared" si="6"/>
        <v>0</v>
      </c>
      <c r="CO12" s="2">
        <f t="shared" si="7"/>
        <v>0</v>
      </c>
      <c r="CP12" s="2">
        <f t="shared" si="8"/>
        <v>0</v>
      </c>
      <c r="CQ12" s="2">
        <f t="shared" si="9"/>
        <v>0</v>
      </c>
      <c r="CR12" s="2">
        <f t="shared" si="10"/>
        <v>0</v>
      </c>
      <c r="CV12" t="s">
        <v>64</v>
      </c>
      <c r="CW12" t="s">
        <v>85</v>
      </c>
      <c r="CX12" t="s">
        <v>1</v>
      </c>
      <c r="CY12" s="4">
        <v>42765</v>
      </c>
      <c r="CZ12" t="s">
        <v>65</v>
      </c>
      <c r="DA12" t="s">
        <v>66</v>
      </c>
      <c r="DB12">
        <v>750</v>
      </c>
      <c r="DC12">
        <v>117.43</v>
      </c>
      <c r="DD12" t="s">
        <v>69</v>
      </c>
      <c r="DE12" t="s">
        <v>70</v>
      </c>
      <c r="DF12">
        <v>88072.5</v>
      </c>
    </row>
    <row r="13" spans="1:129" x14ac:dyDescent="0.25">
      <c r="A13" s="1">
        <v>42754</v>
      </c>
      <c r="B13">
        <v>115.64</v>
      </c>
      <c r="C13">
        <v>74.67</v>
      </c>
      <c r="D13">
        <v>150.94999999999999</v>
      </c>
      <c r="E13">
        <v>88.83</v>
      </c>
      <c r="F13">
        <v>28.11</v>
      </c>
      <c r="G13">
        <v>105.97</v>
      </c>
      <c r="H13">
        <v>103.99</v>
      </c>
      <c r="I13">
        <v>1</v>
      </c>
      <c r="J13">
        <v>225.43</v>
      </c>
      <c r="K13">
        <v>129.41999999999999</v>
      </c>
      <c r="L13">
        <v>151.86000000000001</v>
      </c>
      <c r="M13">
        <v>34.47</v>
      </c>
      <c r="N13">
        <v>108.37</v>
      </c>
      <c r="O13">
        <v>79.41</v>
      </c>
      <c r="P13">
        <v>38.47</v>
      </c>
      <c r="Q13">
        <v>116.17</v>
      </c>
      <c r="R13">
        <v>168.9</v>
      </c>
      <c r="S13">
        <v>56.79</v>
      </c>
      <c r="T13">
        <v>59.9</v>
      </c>
      <c r="U13">
        <v>51.65</v>
      </c>
      <c r="V13">
        <v>29.19</v>
      </c>
      <c r="W13">
        <v>79.34</v>
      </c>
      <c r="X13">
        <v>112.68</v>
      </c>
      <c r="Y13">
        <v>154.26</v>
      </c>
      <c r="Z13">
        <v>105.17</v>
      </c>
      <c r="AA13">
        <v>80.48</v>
      </c>
      <c r="AB13">
        <v>47.68</v>
      </c>
      <c r="AC13">
        <v>79.459999999999994</v>
      </c>
      <c r="AD13">
        <v>64.39</v>
      </c>
      <c r="AE13">
        <v>77.510000000000005</v>
      </c>
      <c r="AI13" s="2">
        <v>-250</v>
      </c>
      <c r="AJ13" s="2">
        <f t="shared" si="3"/>
        <v>1000</v>
      </c>
      <c r="AK13" s="2">
        <f t="shared" si="3"/>
        <v>1000</v>
      </c>
      <c r="AL13" s="2">
        <f t="shared" si="3"/>
        <v>1000</v>
      </c>
      <c r="AM13" s="2">
        <f t="shared" si="3"/>
        <v>1000</v>
      </c>
      <c r="AN13" s="2">
        <f t="shared" si="3"/>
        <v>1000</v>
      </c>
      <c r="AO13" s="2">
        <f t="shared" si="3"/>
        <v>1000</v>
      </c>
      <c r="AP13" s="2">
        <v>0</v>
      </c>
      <c r="AQ13" s="2">
        <v>1000</v>
      </c>
      <c r="AR13" s="2">
        <v>1000</v>
      </c>
      <c r="AS13" s="2">
        <v>1000</v>
      </c>
      <c r="AT13" s="2">
        <v>1000</v>
      </c>
      <c r="AU13" s="2">
        <v>1000</v>
      </c>
      <c r="AV13" s="2">
        <v>1000</v>
      </c>
      <c r="AW13" s="2">
        <v>1000</v>
      </c>
      <c r="AX13" s="2">
        <v>1000</v>
      </c>
      <c r="AY13" s="2">
        <v>1000</v>
      </c>
      <c r="AZ13" s="2">
        <v>1045</v>
      </c>
      <c r="BA13" s="2">
        <v>1005</v>
      </c>
      <c r="BB13" s="2">
        <v>913</v>
      </c>
      <c r="BC13" s="2">
        <v>1000</v>
      </c>
      <c r="BD13" s="2">
        <v>1000</v>
      </c>
      <c r="BE13" s="2">
        <v>5000</v>
      </c>
      <c r="BF13" s="2">
        <v>3000</v>
      </c>
      <c r="BG13" s="2">
        <v>2000</v>
      </c>
      <c r="BH13" s="2">
        <v>2500</v>
      </c>
      <c r="BI13" s="2">
        <v>3000</v>
      </c>
      <c r="BJ13" s="2">
        <v>0</v>
      </c>
      <c r="BK13" s="2">
        <v>1000</v>
      </c>
      <c r="BL13" s="2">
        <v>1000</v>
      </c>
      <c r="BO13" s="2">
        <f t="shared" si="4"/>
        <v>28910</v>
      </c>
      <c r="BP13" s="2">
        <f t="shared" si="11"/>
        <v>0</v>
      </c>
      <c r="BQ13" s="2">
        <f t="shared" si="12"/>
        <v>0</v>
      </c>
      <c r="BR13" s="2">
        <f t="shared" si="13"/>
        <v>0</v>
      </c>
      <c r="BS13" s="2">
        <f t="shared" si="14"/>
        <v>0</v>
      </c>
      <c r="BT13" s="2">
        <f t="shared" si="15"/>
        <v>0</v>
      </c>
      <c r="BU13" s="2">
        <f t="shared" si="16"/>
        <v>0</v>
      </c>
      <c r="BV13" s="2">
        <f t="shared" si="17"/>
        <v>0</v>
      </c>
      <c r="BW13" s="2">
        <f t="shared" si="18"/>
        <v>0</v>
      </c>
      <c r="BX13" s="2">
        <f t="shared" si="19"/>
        <v>0</v>
      </c>
      <c r="BY13" s="2">
        <f t="shared" si="20"/>
        <v>0</v>
      </c>
      <c r="BZ13" s="2">
        <f t="shared" si="21"/>
        <v>0</v>
      </c>
      <c r="CA13" s="2">
        <f t="shared" si="22"/>
        <v>0</v>
      </c>
      <c r="CB13" s="2">
        <f t="shared" si="23"/>
        <v>0</v>
      </c>
      <c r="CC13" s="2">
        <f t="shared" si="24"/>
        <v>0</v>
      </c>
      <c r="CD13" s="2">
        <f t="shared" si="25"/>
        <v>0</v>
      </c>
      <c r="CE13" s="2">
        <f t="shared" si="26"/>
        <v>0</v>
      </c>
      <c r="CF13" s="2">
        <f t="shared" si="27"/>
        <v>-1533.33</v>
      </c>
      <c r="CG13" s="2">
        <f t="shared" si="28"/>
        <v>599</v>
      </c>
      <c r="CH13" s="2">
        <f t="shared" si="29"/>
        <v>1756.1</v>
      </c>
      <c r="CI13" s="2">
        <f t="shared" si="30"/>
        <v>0</v>
      </c>
      <c r="CJ13" s="2">
        <f t="shared" si="31"/>
        <v>0</v>
      </c>
      <c r="CK13" s="2">
        <f t="shared" si="32"/>
        <v>0</v>
      </c>
      <c r="CL13" s="2">
        <f t="shared" si="33"/>
        <v>0</v>
      </c>
      <c r="CM13" s="2">
        <f t="shared" si="5"/>
        <v>0</v>
      </c>
      <c r="CN13" s="2">
        <f t="shared" si="6"/>
        <v>0</v>
      </c>
      <c r="CO13" s="2">
        <f t="shared" si="7"/>
        <v>0</v>
      </c>
      <c r="CP13" s="2">
        <f t="shared" si="8"/>
        <v>0</v>
      </c>
      <c r="CQ13" s="2">
        <f t="shared" si="9"/>
        <v>0</v>
      </c>
      <c r="CR13" s="2">
        <f t="shared" si="10"/>
        <v>0</v>
      </c>
      <c r="CV13" t="s">
        <v>64</v>
      </c>
      <c r="CW13" t="s">
        <v>86</v>
      </c>
      <c r="CX13" t="s">
        <v>1</v>
      </c>
      <c r="CY13" s="4">
        <v>42766</v>
      </c>
      <c r="CZ13" t="s">
        <v>65</v>
      </c>
      <c r="DA13" t="s">
        <v>66</v>
      </c>
      <c r="DB13">
        <v>500</v>
      </c>
      <c r="DC13">
        <v>117.16</v>
      </c>
      <c r="DD13" t="s">
        <v>69</v>
      </c>
      <c r="DE13" t="s">
        <v>70</v>
      </c>
      <c r="DF13">
        <v>58580</v>
      </c>
    </row>
    <row r="14" spans="1:129" x14ac:dyDescent="0.25">
      <c r="A14" s="1">
        <v>42755</v>
      </c>
      <c r="B14">
        <v>115.86</v>
      </c>
      <c r="C14">
        <v>74.2</v>
      </c>
      <c r="D14">
        <v>151.44999999999999</v>
      </c>
      <c r="E14">
        <v>89.97</v>
      </c>
      <c r="F14">
        <v>28.23</v>
      </c>
      <c r="G14">
        <v>105.99</v>
      </c>
      <c r="H14">
        <v>104.36</v>
      </c>
      <c r="I14">
        <v>1</v>
      </c>
      <c r="J14">
        <v>226.2</v>
      </c>
      <c r="K14">
        <v>129.62</v>
      </c>
      <c r="L14">
        <v>155.27000000000001</v>
      </c>
      <c r="M14">
        <v>34.82</v>
      </c>
      <c r="N14">
        <v>108.32</v>
      </c>
      <c r="O14">
        <v>79.77</v>
      </c>
      <c r="P14">
        <v>38.64</v>
      </c>
      <c r="Q14">
        <v>116.24</v>
      </c>
      <c r="R14">
        <v>168.72</v>
      </c>
      <c r="S14">
        <v>58.87</v>
      </c>
      <c r="T14">
        <v>60.33</v>
      </c>
      <c r="U14">
        <v>51.91</v>
      </c>
      <c r="V14">
        <v>29.26</v>
      </c>
      <c r="W14">
        <v>81.91</v>
      </c>
      <c r="X14">
        <v>112.71</v>
      </c>
      <c r="Y14">
        <v>154.22</v>
      </c>
      <c r="Z14">
        <v>105.22</v>
      </c>
      <c r="AA14">
        <v>80.59</v>
      </c>
      <c r="AB14">
        <v>48.01</v>
      </c>
      <c r="AC14">
        <v>77.78</v>
      </c>
      <c r="AD14">
        <v>63.97</v>
      </c>
      <c r="AE14">
        <v>78.58</v>
      </c>
      <c r="AI14" s="2">
        <v>-500</v>
      </c>
      <c r="AJ14" s="2">
        <f t="shared" si="3"/>
        <v>1000</v>
      </c>
      <c r="AK14" s="2">
        <f t="shared" si="3"/>
        <v>1000</v>
      </c>
      <c r="AL14" s="2">
        <f t="shared" si="3"/>
        <v>1000</v>
      </c>
      <c r="AM14" s="2">
        <f t="shared" si="3"/>
        <v>1000</v>
      </c>
      <c r="AN14" s="2">
        <f t="shared" si="3"/>
        <v>1000</v>
      </c>
      <c r="AO14" s="2">
        <f t="shared" si="3"/>
        <v>1000</v>
      </c>
      <c r="AP14" s="2">
        <v>0</v>
      </c>
      <c r="AQ14" s="2">
        <v>1000</v>
      </c>
      <c r="AR14" s="2">
        <v>1000</v>
      </c>
      <c r="AS14" s="2">
        <v>1000</v>
      </c>
      <c r="AT14" s="2">
        <v>1000</v>
      </c>
      <c r="AU14" s="2">
        <v>1000</v>
      </c>
      <c r="AV14" s="2">
        <v>1000</v>
      </c>
      <c r="AW14" s="2">
        <v>1000</v>
      </c>
      <c r="AX14" s="2">
        <v>1000</v>
      </c>
      <c r="AY14" s="2">
        <v>1000</v>
      </c>
      <c r="AZ14" s="2">
        <v>1013</v>
      </c>
      <c r="BA14" s="2">
        <v>982</v>
      </c>
      <c r="BB14" s="2">
        <v>1086</v>
      </c>
      <c r="BC14" s="2">
        <v>1000</v>
      </c>
      <c r="BD14" s="2">
        <v>1000</v>
      </c>
      <c r="BE14" s="2">
        <v>5000</v>
      </c>
      <c r="BF14" s="2">
        <v>3000</v>
      </c>
      <c r="BG14" s="2">
        <v>2000</v>
      </c>
      <c r="BH14" s="2">
        <v>2500</v>
      </c>
      <c r="BI14" s="2">
        <v>3000</v>
      </c>
      <c r="BJ14" s="2">
        <v>0</v>
      </c>
      <c r="BK14" s="2">
        <v>1000</v>
      </c>
      <c r="BL14" s="2">
        <v>1000</v>
      </c>
      <c r="BO14" s="2">
        <f t="shared" si="4"/>
        <v>28965</v>
      </c>
      <c r="BP14" s="2">
        <f t="shared" si="11"/>
        <v>0</v>
      </c>
      <c r="BQ14" s="2">
        <f t="shared" si="12"/>
        <v>0</v>
      </c>
      <c r="BR14" s="2">
        <f t="shared" si="13"/>
        <v>0</v>
      </c>
      <c r="BS14" s="2">
        <f t="shared" si="14"/>
        <v>0</v>
      </c>
      <c r="BT14" s="2">
        <f t="shared" si="15"/>
        <v>0</v>
      </c>
      <c r="BU14" s="2">
        <f t="shared" si="16"/>
        <v>0</v>
      </c>
      <c r="BV14" s="2">
        <f t="shared" si="17"/>
        <v>0</v>
      </c>
      <c r="BW14" s="2">
        <f t="shared" si="18"/>
        <v>0</v>
      </c>
      <c r="BX14" s="2">
        <f t="shared" si="19"/>
        <v>0</v>
      </c>
      <c r="BY14" s="2">
        <f t="shared" si="20"/>
        <v>0</v>
      </c>
      <c r="BZ14" s="2">
        <f t="shared" si="21"/>
        <v>0</v>
      </c>
      <c r="CA14" s="2">
        <f t="shared" si="22"/>
        <v>0</v>
      </c>
      <c r="CB14" s="2">
        <f t="shared" si="23"/>
        <v>0</v>
      </c>
      <c r="CC14" s="2">
        <f t="shared" si="24"/>
        <v>0</v>
      </c>
      <c r="CD14" s="2">
        <f t="shared" si="25"/>
        <v>0</v>
      </c>
      <c r="CE14" s="2">
        <f t="shared" si="26"/>
        <v>0</v>
      </c>
      <c r="CF14" s="2">
        <f t="shared" si="27"/>
        <v>1883.84</v>
      </c>
      <c r="CG14" s="2">
        <f t="shared" si="28"/>
        <v>1387.59</v>
      </c>
      <c r="CH14" s="2">
        <f t="shared" si="29"/>
        <v>-8980.43</v>
      </c>
      <c r="CI14" s="2">
        <f t="shared" si="30"/>
        <v>0</v>
      </c>
      <c r="CJ14" s="2">
        <f t="shared" si="31"/>
        <v>0</v>
      </c>
      <c r="CK14" s="2">
        <f t="shared" si="32"/>
        <v>0</v>
      </c>
      <c r="CL14" s="2">
        <f t="shared" si="33"/>
        <v>0</v>
      </c>
      <c r="CM14" s="2">
        <f t="shared" si="5"/>
        <v>0</v>
      </c>
      <c r="CN14" s="2">
        <f t="shared" si="6"/>
        <v>0</v>
      </c>
      <c r="CO14" s="2">
        <f t="shared" si="7"/>
        <v>0</v>
      </c>
      <c r="CP14" s="2">
        <f t="shared" si="8"/>
        <v>0</v>
      </c>
      <c r="CQ14" s="2">
        <f t="shared" si="9"/>
        <v>0</v>
      </c>
      <c r="CR14" s="2">
        <f t="shared" si="10"/>
        <v>0</v>
      </c>
      <c r="CT14" s="2"/>
      <c r="CV14" t="s">
        <v>64</v>
      </c>
      <c r="CW14" t="s">
        <v>87</v>
      </c>
      <c r="CX14" t="s">
        <v>1</v>
      </c>
      <c r="CY14" s="4">
        <v>42859</v>
      </c>
      <c r="CZ14" t="s">
        <v>67</v>
      </c>
      <c r="DA14" t="s">
        <v>68</v>
      </c>
      <c r="DB14">
        <v>2500</v>
      </c>
      <c r="DC14">
        <v>142.08000000000001</v>
      </c>
      <c r="DD14" t="s">
        <v>69</v>
      </c>
      <c r="DE14" t="s">
        <v>70</v>
      </c>
      <c r="DF14">
        <v>355200.00000000006</v>
      </c>
    </row>
    <row r="15" spans="1:129" x14ac:dyDescent="0.25">
      <c r="A15" s="1">
        <v>42758</v>
      </c>
      <c r="B15">
        <v>115.93</v>
      </c>
      <c r="C15">
        <v>73.97</v>
      </c>
      <c r="D15">
        <v>149.85</v>
      </c>
      <c r="E15">
        <v>89.86</v>
      </c>
      <c r="F15">
        <v>28.39</v>
      </c>
      <c r="G15">
        <v>105.79</v>
      </c>
      <c r="H15">
        <v>103.83</v>
      </c>
      <c r="I15">
        <v>1</v>
      </c>
      <c r="J15">
        <v>226.65</v>
      </c>
      <c r="K15">
        <v>131.97999999999999</v>
      </c>
      <c r="L15">
        <v>155.71</v>
      </c>
      <c r="M15">
        <v>34.659999999999997</v>
      </c>
      <c r="N15">
        <v>108.09</v>
      </c>
      <c r="O15">
        <v>79.8</v>
      </c>
      <c r="P15">
        <v>38.74</v>
      </c>
      <c r="Q15">
        <v>115.41</v>
      </c>
      <c r="R15">
        <v>168.74</v>
      </c>
      <c r="S15">
        <v>58.19</v>
      </c>
      <c r="T15">
        <v>60.54</v>
      </c>
      <c r="U15">
        <v>51.95</v>
      </c>
      <c r="V15">
        <v>28.97</v>
      </c>
      <c r="W15">
        <v>81.45</v>
      </c>
      <c r="X15">
        <v>112.73</v>
      </c>
      <c r="Y15">
        <v>154.62</v>
      </c>
      <c r="Z15">
        <v>104.8</v>
      </c>
      <c r="AA15">
        <v>80.89</v>
      </c>
      <c r="AB15">
        <v>47.73</v>
      </c>
      <c r="AC15">
        <v>77.62</v>
      </c>
      <c r="AD15">
        <v>63.46</v>
      </c>
      <c r="AE15">
        <v>77.73</v>
      </c>
      <c r="AI15" s="2">
        <v>-500</v>
      </c>
      <c r="AJ15" s="2">
        <f t="shared" si="3"/>
        <v>1000</v>
      </c>
      <c r="AK15" s="2">
        <f t="shared" si="3"/>
        <v>1000</v>
      </c>
      <c r="AL15" s="2">
        <f t="shared" si="3"/>
        <v>1000</v>
      </c>
      <c r="AM15" s="2">
        <f t="shared" si="3"/>
        <v>1000</v>
      </c>
      <c r="AN15" s="2">
        <f t="shared" si="3"/>
        <v>1000</v>
      </c>
      <c r="AO15" s="2">
        <f t="shared" si="3"/>
        <v>1000</v>
      </c>
      <c r="AP15" s="2">
        <v>0</v>
      </c>
      <c r="AQ15" s="2">
        <v>1000</v>
      </c>
      <c r="AR15" s="2">
        <v>1000</v>
      </c>
      <c r="AS15" s="2">
        <v>1000</v>
      </c>
      <c r="AT15" s="2">
        <v>1000</v>
      </c>
      <c r="AU15" s="2">
        <v>1000</v>
      </c>
      <c r="AV15" s="2">
        <v>1000</v>
      </c>
      <c r="AW15" s="2">
        <v>1000</v>
      </c>
      <c r="AX15" s="2">
        <v>1000</v>
      </c>
      <c r="AY15" s="2">
        <v>1000</v>
      </c>
      <c r="AZ15" s="2">
        <v>1024</v>
      </c>
      <c r="BA15" s="2">
        <v>944</v>
      </c>
      <c r="BB15" s="2">
        <v>900</v>
      </c>
      <c r="BC15" s="2">
        <v>1000</v>
      </c>
      <c r="BD15" s="2">
        <v>1000</v>
      </c>
      <c r="BE15" s="2">
        <v>5000</v>
      </c>
      <c r="BF15" s="2">
        <v>3000</v>
      </c>
      <c r="BG15" s="2">
        <v>2000</v>
      </c>
      <c r="BH15" s="2">
        <v>2500</v>
      </c>
      <c r="BI15" s="2">
        <v>3000</v>
      </c>
      <c r="BJ15" s="2">
        <v>0</v>
      </c>
      <c r="BK15" s="2">
        <v>1000</v>
      </c>
      <c r="BL15" s="2">
        <v>1000</v>
      </c>
      <c r="BO15" s="2">
        <f t="shared" si="4"/>
        <v>0</v>
      </c>
      <c r="BP15" s="2">
        <f t="shared" si="11"/>
        <v>0</v>
      </c>
      <c r="BQ15" s="2">
        <f t="shared" si="12"/>
        <v>0</v>
      </c>
      <c r="BR15" s="2">
        <f t="shared" si="13"/>
        <v>0</v>
      </c>
      <c r="BS15" s="2">
        <f t="shared" si="14"/>
        <v>0</v>
      </c>
      <c r="BT15" s="2">
        <f t="shared" si="15"/>
        <v>0</v>
      </c>
      <c r="BU15" s="2">
        <f t="shared" si="16"/>
        <v>0</v>
      </c>
      <c r="BV15" s="2">
        <f t="shared" si="17"/>
        <v>0</v>
      </c>
      <c r="BW15" s="2">
        <f t="shared" si="18"/>
        <v>0</v>
      </c>
      <c r="BX15" s="2">
        <f t="shared" si="19"/>
        <v>0</v>
      </c>
      <c r="BY15" s="2">
        <f t="shared" si="20"/>
        <v>0</v>
      </c>
      <c r="BZ15" s="2">
        <f t="shared" si="21"/>
        <v>0</v>
      </c>
      <c r="CA15" s="2">
        <f t="shared" si="22"/>
        <v>0</v>
      </c>
      <c r="CB15" s="2">
        <f t="shared" si="23"/>
        <v>0</v>
      </c>
      <c r="CC15" s="2">
        <f t="shared" si="24"/>
        <v>0</v>
      </c>
      <c r="CD15" s="2">
        <f t="shared" si="25"/>
        <v>0</v>
      </c>
      <c r="CE15" s="2">
        <f t="shared" si="26"/>
        <v>0</v>
      </c>
      <c r="CF15" s="2">
        <f t="shared" si="27"/>
        <v>-640.08999999999992</v>
      </c>
      <c r="CG15" s="2">
        <f t="shared" si="28"/>
        <v>2300.52</v>
      </c>
      <c r="CH15" s="2">
        <f t="shared" si="29"/>
        <v>9662.7000000000007</v>
      </c>
      <c r="CI15" s="2">
        <f t="shared" si="30"/>
        <v>0</v>
      </c>
      <c r="CJ15" s="2">
        <f t="shared" si="31"/>
        <v>0</v>
      </c>
      <c r="CK15" s="2">
        <f t="shared" si="32"/>
        <v>0</v>
      </c>
      <c r="CL15" s="2">
        <f t="shared" si="33"/>
        <v>0</v>
      </c>
      <c r="CM15" s="2">
        <f t="shared" si="5"/>
        <v>0</v>
      </c>
      <c r="CN15" s="2">
        <f t="shared" si="6"/>
        <v>0</v>
      </c>
      <c r="CO15" s="2">
        <f t="shared" si="7"/>
        <v>0</v>
      </c>
      <c r="CP15" s="2">
        <f t="shared" si="8"/>
        <v>0</v>
      </c>
      <c r="CQ15" s="2">
        <f t="shared" si="9"/>
        <v>0</v>
      </c>
      <c r="CR15" s="2">
        <f t="shared" si="10"/>
        <v>0</v>
      </c>
      <c r="CV15" t="s">
        <v>64</v>
      </c>
      <c r="CW15" t="s">
        <v>88</v>
      </c>
      <c r="CX15" t="s">
        <v>1</v>
      </c>
      <c r="CY15" s="4">
        <v>42864</v>
      </c>
      <c r="CZ15" t="s">
        <v>67</v>
      </c>
      <c r="DA15" t="s">
        <v>68</v>
      </c>
      <c r="DB15">
        <v>1000</v>
      </c>
      <c r="DC15">
        <v>149.32</v>
      </c>
      <c r="DD15" t="s">
        <v>69</v>
      </c>
      <c r="DE15" t="s">
        <v>70</v>
      </c>
      <c r="DF15">
        <v>149320</v>
      </c>
    </row>
    <row r="16" spans="1:129" x14ac:dyDescent="0.25">
      <c r="A16" s="1">
        <v>42759</v>
      </c>
      <c r="B16">
        <v>115.83</v>
      </c>
      <c r="C16">
        <v>75.39</v>
      </c>
      <c r="D16">
        <v>152.41999999999999</v>
      </c>
      <c r="E16">
        <v>91.55</v>
      </c>
      <c r="F16">
        <v>28.7</v>
      </c>
      <c r="G16">
        <v>106.69</v>
      </c>
      <c r="H16">
        <v>104.59</v>
      </c>
      <c r="I16">
        <v>1</v>
      </c>
      <c r="J16">
        <v>227.64</v>
      </c>
      <c r="K16">
        <v>131.97</v>
      </c>
      <c r="L16">
        <v>160.13999999999999</v>
      </c>
      <c r="M16">
        <v>35.46</v>
      </c>
      <c r="N16">
        <v>106.05</v>
      </c>
      <c r="O16">
        <v>80.77</v>
      </c>
      <c r="P16">
        <v>39.18</v>
      </c>
      <c r="Q16">
        <v>115.09</v>
      </c>
      <c r="R16">
        <v>166.34</v>
      </c>
      <c r="S16">
        <v>57.62</v>
      </c>
      <c r="T16">
        <v>61.08</v>
      </c>
      <c r="U16">
        <v>52.16</v>
      </c>
      <c r="V16">
        <v>28.69</v>
      </c>
      <c r="W16">
        <v>82.3</v>
      </c>
      <c r="X16">
        <v>111.59</v>
      </c>
      <c r="Y16">
        <v>155.94</v>
      </c>
      <c r="Z16">
        <v>106</v>
      </c>
      <c r="AA16">
        <v>81.95</v>
      </c>
      <c r="AB16">
        <v>45.64</v>
      </c>
      <c r="AC16">
        <v>77.31</v>
      </c>
      <c r="AD16">
        <v>64.180000000000007</v>
      </c>
      <c r="AE16">
        <v>77.84</v>
      </c>
      <c r="AI16" s="2">
        <v>-500</v>
      </c>
      <c r="AJ16" s="2">
        <f t="shared" ref="AJ16:AO16" si="34">AJ15+10</f>
        <v>1010</v>
      </c>
      <c r="AK16" s="2">
        <f t="shared" si="34"/>
        <v>1010</v>
      </c>
      <c r="AL16" s="2">
        <f t="shared" si="34"/>
        <v>1010</v>
      </c>
      <c r="AM16" s="2">
        <f t="shared" si="34"/>
        <v>1010</v>
      </c>
      <c r="AN16" s="2">
        <f t="shared" si="34"/>
        <v>1010</v>
      </c>
      <c r="AO16" s="2">
        <f t="shared" si="34"/>
        <v>1010</v>
      </c>
      <c r="AP16" s="2">
        <v>0</v>
      </c>
      <c r="AQ16" s="2">
        <v>1000</v>
      </c>
      <c r="AR16" s="2">
        <v>1000</v>
      </c>
      <c r="AS16" s="2">
        <v>1000</v>
      </c>
      <c r="AT16" s="2">
        <v>1000</v>
      </c>
      <c r="AU16" s="2">
        <v>1000</v>
      </c>
      <c r="AV16" s="2">
        <v>1000</v>
      </c>
      <c r="AW16" s="2">
        <v>1000</v>
      </c>
      <c r="AX16" s="2">
        <v>1000</v>
      </c>
      <c r="AY16" s="2">
        <v>1000</v>
      </c>
      <c r="AZ16" s="2">
        <v>1025</v>
      </c>
      <c r="BA16" s="2">
        <v>927</v>
      </c>
      <c r="BB16" s="2">
        <v>1032</v>
      </c>
      <c r="BC16" s="2">
        <v>1000</v>
      </c>
      <c r="BD16" s="2">
        <v>1000</v>
      </c>
      <c r="BE16" s="2">
        <v>5000</v>
      </c>
      <c r="BF16" s="2">
        <v>3000</v>
      </c>
      <c r="BG16" s="2">
        <v>2000</v>
      </c>
      <c r="BH16" s="2">
        <v>2500</v>
      </c>
      <c r="BI16" s="2">
        <v>3000</v>
      </c>
      <c r="BJ16" s="2">
        <v>0</v>
      </c>
      <c r="BK16" s="2">
        <v>1000</v>
      </c>
      <c r="BL16" s="2">
        <v>1000</v>
      </c>
      <c r="BO16" s="2">
        <f t="shared" si="4"/>
        <v>0</v>
      </c>
      <c r="BP16" s="2">
        <f t="shared" si="11"/>
        <v>-753.9</v>
      </c>
      <c r="BQ16" s="2">
        <f t="shared" si="12"/>
        <v>-1524.1999999999998</v>
      </c>
      <c r="BR16" s="2">
        <f t="shared" si="13"/>
        <v>-915.5</v>
      </c>
      <c r="BS16" s="2">
        <f t="shared" si="14"/>
        <v>-287</v>
      </c>
      <c r="BT16" s="2">
        <f t="shared" si="15"/>
        <v>-1066.9000000000001</v>
      </c>
      <c r="BU16" s="2">
        <f t="shared" si="16"/>
        <v>-1045.9000000000001</v>
      </c>
      <c r="BV16" s="2">
        <f t="shared" si="17"/>
        <v>0</v>
      </c>
      <c r="BW16" s="2">
        <f t="shared" si="18"/>
        <v>0</v>
      </c>
      <c r="BX16" s="2">
        <f t="shared" si="19"/>
        <v>0</v>
      </c>
      <c r="BY16" s="2">
        <f t="shared" si="20"/>
        <v>0</v>
      </c>
      <c r="BZ16" s="2">
        <f t="shared" si="21"/>
        <v>0</v>
      </c>
      <c r="CA16" s="2">
        <f t="shared" si="22"/>
        <v>0</v>
      </c>
      <c r="CB16" s="2">
        <f t="shared" si="23"/>
        <v>0</v>
      </c>
      <c r="CC16" s="2">
        <f t="shared" si="24"/>
        <v>0</v>
      </c>
      <c r="CD16" s="2">
        <f t="shared" si="25"/>
        <v>0</v>
      </c>
      <c r="CE16" s="2">
        <f t="shared" si="26"/>
        <v>0</v>
      </c>
      <c r="CF16" s="2">
        <f t="shared" si="27"/>
        <v>-57.62</v>
      </c>
      <c r="CG16" s="2">
        <f t="shared" si="28"/>
        <v>1038.3599999999999</v>
      </c>
      <c r="CH16" s="2">
        <f t="shared" si="29"/>
        <v>-6885.12</v>
      </c>
      <c r="CI16" s="2">
        <f t="shared" si="30"/>
        <v>0</v>
      </c>
      <c r="CJ16" s="2">
        <f t="shared" si="31"/>
        <v>0</v>
      </c>
      <c r="CK16" s="2">
        <f t="shared" si="32"/>
        <v>0</v>
      </c>
      <c r="CL16" s="2">
        <f t="shared" si="33"/>
        <v>0</v>
      </c>
      <c r="CM16" s="2">
        <f t="shared" si="5"/>
        <v>0</v>
      </c>
      <c r="CN16" s="2">
        <f t="shared" si="6"/>
        <v>0</v>
      </c>
      <c r="CO16" s="2">
        <f t="shared" si="7"/>
        <v>0</v>
      </c>
      <c r="CP16" s="2">
        <f t="shared" si="8"/>
        <v>0</v>
      </c>
      <c r="CQ16" s="2">
        <f t="shared" si="9"/>
        <v>0</v>
      </c>
      <c r="CR16" s="2">
        <f t="shared" si="10"/>
        <v>0</v>
      </c>
      <c r="CV16" t="s">
        <v>64</v>
      </c>
      <c r="CW16" t="s">
        <v>89</v>
      </c>
      <c r="CX16" t="s">
        <v>1</v>
      </c>
      <c r="CY16" s="4">
        <v>42871</v>
      </c>
      <c r="CZ16" t="s">
        <v>67</v>
      </c>
      <c r="DA16" t="s">
        <v>68</v>
      </c>
      <c r="DB16">
        <v>250</v>
      </c>
      <c r="DC16">
        <v>151.38</v>
      </c>
      <c r="DD16" t="s">
        <v>69</v>
      </c>
      <c r="DE16" t="s">
        <v>70</v>
      </c>
      <c r="DF16">
        <v>37845</v>
      </c>
    </row>
    <row r="17" spans="1:110" x14ac:dyDescent="0.25">
      <c r="A17" s="1">
        <v>42760</v>
      </c>
      <c r="B17">
        <v>117.67</v>
      </c>
      <c r="C17">
        <v>74.87</v>
      </c>
      <c r="D17">
        <v>158.88999999999999</v>
      </c>
      <c r="E17">
        <v>93.37</v>
      </c>
      <c r="F17">
        <v>28.79</v>
      </c>
      <c r="G17">
        <v>107.49</v>
      </c>
      <c r="H17">
        <v>104.73</v>
      </c>
      <c r="I17">
        <v>1</v>
      </c>
      <c r="J17">
        <v>231.12</v>
      </c>
      <c r="K17">
        <v>131.41</v>
      </c>
      <c r="L17">
        <v>162.31</v>
      </c>
      <c r="M17">
        <v>35.630000000000003</v>
      </c>
      <c r="N17">
        <v>107.04</v>
      </c>
      <c r="O17">
        <v>82.02</v>
      </c>
      <c r="P17">
        <v>39.39</v>
      </c>
      <c r="Q17">
        <v>115.8</v>
      </c>
      <c r="R17">
        <v>167.06</v>
      </c>
      <c r="S17">
        <v>57.5</v>
      </c>
      <c r="T17">
        <v>61.23</v>
      </c>
      <c r="U17">
        <v>52.56</v>
      </c>
      <c r="V17">
        <v>28.82</v>
      </c>
      <c r="W17">
        <v>81.64</v>
      </c>
      <c r="X17">
        <v>112.38</v>
      </c>
      <c r="Y17">
        <v>156.72999999999999</v>
      </c>
      <c r="Z17">
        <v>105.39</v>
      </c>
      <c r="AA17">
        <v>82.61</v>
      </c>
      <c r="AB17">
        <v>45.33</v>
      </c>
      <c r="AC17">
        <v>78.069999999999993</v>
      </c>
      <c r="AD17">
        <v>63.69</v>
      </c>
      <c r="AE17">
        <v>78.069999999999993</v>
      </c>
      <c r="AI17" s="2">
        <v>2500</v>
      </c>
      <c r="AJ17" s="2">
        <f t="shared" ref="AJ17:AO17" si="35">AJ16</f>
        <v>1010</v>
      </c>
      <c r="AK17" s="2">
        <f t="shared" si="35"/>
        <v>1010</v>
      </c>
      <c r="AL17" s="2">
        <f t="shared" si="35"/>
        <v>1010</v>
      </c>
      <c r="AM17" s="2">
        <f t="shared" si="35"/>
        <v>1010</v>
      </c>
      <c r="AN17" s="2">
        <f t="shared" si="35"/>
        <v>1010</v>
      </c>
      <c r="AO17" s="2">
        <f t="shared" si="35"/>
        <v>1010</v>
      </c>
      <c r="AP17" s="2">
        <v>0</v>
      </c>
      <c r="AQ17" s="2">
        <v>1000</v>
      </c>
      <c r="AR17" s="2">
        <v>1000</v>
      </c>
      <c r="AS17" s="2">
        <v>1000</v>
      </c>
      <c r="AT17" s="2">
        <v>1000</v>
      </c>
      <c r="AU17" s="2">
        <v>1000</v>
      </c>
      <c r="AV17" s="2">
        <v>1000</v>
      </c>
      <c r="AW17" s="2">
        <v>1000</v>
      </c>
      <c r="AX17" s="2">
        <v>1000</v>
      </c>
      <c r="AY17" s="2">
        <v>1000</v>
      </c>
      <c r="AZ17" s="2">
        <v>1025</v>
      </c>
      <c r="BA17" s="2">
        <v>918</v>
      </c>
      <c r="BB17" s="2">
        <v>1030</v>
      </c>
      <c r="BC17" s="2">
        <v>1000</v>
      </c>
      <c r="BD17" s="2">
        <v>1000</v>
      </c>
      <c r="BE17" s="2">
        <v>5000</v>
      </c>
      <c r="BF17" s="2">
        <v>3000</v>
      </c>
      <c r="BG17" s="2">
        <v>2000</v>
      </c>
      <c r="BH17" s="2">
        <v>2500</v>
      </c>
      <c r="BI17" s="2">
        <v>3000</v>
      </c>
      <c r="BJ17" s="2">
        <v>0</v>
      </c>
      <c r="BK17" s="2">
        <v>1000</v>
      </c>
      <c r="BL17" s="2">
        <v>1000</v>
      </c>
      <c r="BO17" s="2">
        <f t="shared" si="4"/>
        <v>-353010</v>
      </c>
      <c r="BP17" s="2">
        <f t="shared" si="11"/>
        <v>0</v>
      </c>
      <c r="BQ17" s="2">
        <f t="shared" si="12"/>
        <v>0</v>
      </c>
      <c r="BR17" s="2">
        <f t="shared" si="13"/>
        <v>0</v>
      </c>
      <c r="BS17" s="2">
        <f t="shared" si="14"/>
        <v>0</v>
      </c>
      <c r="BT17" s="2">
        <f t="shared" si="15"/>
        <v>0</v>
      </c>
      <c r="BU17" s="2">
        <f t="shared" si="16"/>
        <v>0</v>
      </c>
      <c r="BV17" s="2">
        <f t="shared" si="17"/>
        <v>0</v>
      </c>
      <c r="BW17" s="2">
        <f t="shared" si="18"/>
        <v>0</v>
      </c>
      <c r="BX17" s="2">
        <f t="shared" si="19"/>
        <v>0</v>
      </c>
      <c r="BY17" s="2">
        <f t="shared" si="20"/>
        <v>0</v>
      </c>
      <c r="BZ17" s="2">
        <f t="shared" si="21"/>
        <v>0</v>
      </c>
      <c r="CA17" s="2">
        <f t="shared" si="22"/>
        <v>0</v>
      </c>
      <c r="CB17" s="2">
        <f t="shared" si="23"/>
        <v>0</v>
      </c>
      <c r="CC17" s="2">
        <f t="shared" si="24"/>
        <v>0</v>
      </c>
      <c r="CD17" s="2">
        <f t="shared" si="25"/>
        <v>0</v>
      </c>
      <c r="CE17" s="2">
        <f t="shared" si="26"/>
        <v>0</v>
      </c>
      <c r="CF17" s="2">
        <f t="shared" si="27"/>
        <v>0</v>
      </c>
      <c r="CG17" s="2">
        <f t="shared" si="28"/>
        <v>551.06999999999994</v>
      </c>
      <c r="CH17" s="2">
        <f t="shared" si="29"/>
        <v>105.12</v>
      </c>
      <c r="CI17" s="2">
        <f t="shared" si="30"/>
        <v>0</v>
      </c>
      <c r="CJ17" s="2">
        <f t="shared" si="31"/>
        <v>0</v>
      </c>
      <c r="CK17" s="2">
        <f t="shared" si="32"/>
        <v>0</v>
      </c>
      <c r="CL17" s="2">
        <f t="shared" si="33"/>
        <v>0</v>
      </c>
      <c r="CM17" s="2">
        <f t="shared" si="5"/>
        <v>0</v>
      </c>
      <c r="CN17" s="2">
        <f t="shared" si="6"/>
        <v>0</v>
      </c>
      <c r="CO17" s="2">
        <f t="shared" si="7"/>
        <v>0</v>
      </c>
      <c r="CP17" s="2">
        <f t="shared" si="8"/>
        <v>0</v>
      </c>
      <c r="CQ17" s="2">
        <f t="shared" si="9"/>
        <v>0</v>
      </c>
      <c r="CR17" s="2">
        <f t="shared" si="10"/>
        <v>0</v>
      </c>
      <c r="CV17" t="s">
        <v>64</v>
      </c>
      <c r="CW17" t="s">
        <v>90</v>
      </c>
      <c r="CX17" t="s">
        <v>1</v>
      </c>
      <c r="CY17" s="4">
        <v>42873</v>
      </c>
      <c r="CZ17" t="s">
        <v>65</v>
      </c>
      <c r="DA17" t="s">
        <v>66</v>
      </c>
      <c r="DB17">
        <v>1250</v>
      </c>
      <c r="DC17">
        <v>148.52000000000001</v>
      </c>
      <c r="DD17" t="s">
        <v>69</v>
      </c>
      <c r="DE17" t="s">
        <v>70</v>
      </c>
      <c r="DF17">
        <v>185650</v>
      </c>
    </row>
    <row r="18" spans="1:110" x14ac:dyDescent="0.25">
      <c r="A18" s="1">
        <v>42761</v>
      </c>
      <c r="B18">
        <v>117.73</v>
      </c>
      <c r="C18">
        <v>74.91</v>
      </c>
      <c r="D18">
        <v>160.56</v>
      </c>
      <c r="E18">
        <v>92.48</v>
      </c>
      <c r="F18">
        <v>28.83</v>
      </c>
      <c r="G18">
        <v>106.86</v>
      </c>
      <c r="H18">
        <v>104.75</v>
      </c>
      <c r="I18">
        <v>1</v>
      </c>
      <c r="J18">
        <v>233.38</v>
      </c>
      <c r="K18">
        <v>132.35</v>
      </c>
      <c r="L18">
        <v>162.65</v>
      </c>
      <c r="M18">
        <v>35.409999999999997</v>
      </c>
      <c r="N18">
        <v>106.13</v>
      </c>
      <c r="O18">
        <v>82.7</v>
      </c>
      <c r="P18">
        <v>39.1</v>
      </c>
      <c r="Q18">
        <v>115.88</v>
      </c>
      <c r="R18">
        <v>167.14</v>
      </c>
      <c r="S18">
        <v>57.61</v>
      </c>
      <c r="T18">
        <v>61.8</v>
      </c>
      <c r="U18">
        <v>52.35</v>
      </c>
      <c r="V18">
        <v>28.81</v>
      </c>
      <c r="W18">
        <v>81.12</v>
      </c>
      <c r="X18">
        <v>112.82</v>
      </c>
      <c r="Y18">
        <v>158.19</v>
      </c>
      <c r="Z18">
        <v>104.82</v>
      </c>
      <c r="AA18">
        <v>81.96</v>
      </c>
      <c r="AB18">
        <v>44.73</v>
      </c>
      <c r="AC18">
        <v>77.349999999999994</v>
      </c>
      <c r="AD18">
        <v>63.54</v>
      </c>
      <c r="AE18">
        <v>78.31</v>
      </c>
      <c r="AI18" s="2">
        <v>3750</v>
      </c>
      <c r="AJ18" s="2">
        <f t="shared" si="3"/>
        <v>1010</v>
      </c>
      <c r="AK18" s="2">
        <f t="shared" si="3"/>
        <v>1010</v>
      </c>
      <c r="AL18" s="2">
        <f t="shared" si="3"/>
        <v>1010</v>
      </c>
      <c r="AM18" s="2">
        <f t="shared" si="3"/>
        <v>1010</v>
      </c>
      <c r="AN18" s="2">
        <f t="shared" si="3"/>
        <v>1010</v>
      </c>
      <c r="AO18" s="2">
        <f t="shared" si="3"/>
        <v>1010</v>
      </c>
      <c r="AP18" s="2">
        <v>0</v>
      </c>
      <c r="AQ18" s="2">
        <v>1000</v>
      </c>
      <c r="AR18" s="2">
        <v>1000</v>
      </c>
      <c r="AS18" s="2">
        <v>1000</v>
      </c>
      <c r="AT18" s="2">
        <v>1000</v>
      </c>
      <c r="AU18" s="2">
        <v>1000</v>
      </c>
      <c r="AV18" s="2">
        <v>1000</v>
      </c>
      <c r="AW18" s="2">
        <v>1000</v>
      </c>
      <c r="AX18" s="2">
        <v>1000</v>
      </c>
      <c r="AY18" s="2">
        <v>1000</v>
      </c>
      <c r="AZ18" s="2">
        <v>974</v>
      </c>
      <c r="BA18" s="2">
        <v>984</v>
      </c>
      <c r="BB18" s="2">
        <v>944</v>
      </c>
      <c r="BC18" s="2">
        <v>1000</v>
      </c>
      <c r="BD18" s="2">
        <v>1000</v>
      </c>
      <c r="BE18" s="2">
        <v>5000</v>
      </c>
      <c r="BF18" s="2">
        <v>3000</v>
      </c>
      <c r="BG18" s="2">
        <v>2000</v>
      </c>
      <c r="BH18" s="2">
        <v>2500</v>
      </c>
      <c r="BI18" s="2">
        <v>3000</v>
      </c>
      <c r="BJ18" s="2">
        <v>0</v>
      </c>
      <c r="BK18" s="2">
        <v>1000</v>
      </c>
      <c r="BL18" s="2">
        <v>1000</v>
      </c>
      <c r="BO18" s="2">
        <f t="shared" si="4"/>
        <v>-147162.5</v>
      </c>
      <c r="BP18" s="2">
        <f t="shared" si="11"/>
        <v>0</v>
      </c>
      <c r="BQ18" s="2">
        <f t="shared" si="12"/>
        <v>0</v>
      </c>
      <c r="BR18" s="2">
        <f t="shared" si="13"/>
        <v>0</v>
      </c>
      <c r="BS18" s="2">
        <f t="shared" si="14"/>
        <v>0</v>
      </c>
      <c r="BT18" s="2">
        <f t="shared" si="15"/>
        <v>0</v>
      </c>
      <c r="BU18" s="2">
        <f t="shared" si="16"/>
        <v>0</v>
      </c>
      <c r="BV18" s="2">
        <f t="shared" si="17"/>
        <v>0</v>
      </c>
      <c r="BW18" s="2">
        <f t="shared" si="18"/>
        <v>0</v>
      </c>
      <c r="BX18" s="2">
        <f t="shared" si="19"/>
        <v>0</v>
      </c>
      <c r="BY18" s="2">
        <f t="shared" si="20"/>
        <v>0</v>
      </c>
      <c r="BZ18" s="2">
        <f t="shared" si="21"/>
        <v>0</v>
      </c>
      <c r="CA18" s="2">
        <f t="shared" si="22"/>
        <v>0</v>
      </c>
      <c r="CB18" s="2">
        <f t="shared" si="23"/>
        <v>0</v>
      </c>
      <c r="CC18" s="2">
        <f t="shared" si="24"/>
        <v>0</v>
      </c>
      <c r="CD18" s="2">
        <f t="shared" si="25"/>
        <v>0</v>
      </c>
      <c r="CE18" s="2">
        <f t="shared" si="26"/>
        <v>0</v>
      </c>
      <c r="CF18" s="2">
        <f t="shared" si="27"/>
        <v>2938.11</v>
      </c>
      <c r="CG18" s="2">
        <f t="shared" si="28"/>
        <v>-4078.7999999999997</v>
      </c>
      <c r="CH18" s="2">
        <f t="shared" si="29"/>
        <v>4502.1000000000004</v>
      </c>
      <c r="CI18" s="2">
        <f t="shared" si="30"/>
        <v>0</v>
      </c>
      <c r="CJ18" s="2">
        <f t="shared" si="31"/>
        <v>0</v>
      </c>
      <c r="CK18" s="2">
        <f t="shared" si="32"/>
        <v>0</v>
      </c>
      <c r="CL18" s="2">
        <f t="shared" si="33"/>
        <v>0</v>
      </c>
      <c r="CM18" s="2">
        <f t="shared" si="5"/>
        <v>0</v>
      </c>
      <c r="CN18" s="2">
        <f t="shared" si="6"/>
        <v>0</v>
      </c>
      <c r="CO18" s="2">
        <f t="shared" si="7"/>
        <v>0</v>
      </c>
      <c r="CP18" s="2">
        <f t="shared" si="8"/>
        <v>0</v>
      </c>
      <c r="CQ18" s="2">
        <f t="shared" si="9"/>
        <v>0</v>
      </c>
      <c r="CR18" s="2">
        <f t="shared" si="10"/>
        <v>0</v>
      </c>
      <c r="CV18" t="s">
        <v>64</v>
      </c>
      <c r="CW18" t="s">
        <v>91</v>
      </c>
      <c r="CX18" t="s">
        <v>1</v>
      </c>
      <c r="CY18" s="4">
        <v>42877</v>
      </c>
      <c r="CZ18" t="s">
        <v>65</v>
      </c>
      <c r="DA18" t="s">
        <v>66</v>
      </c>
      <c r="DB18">
        <v>1000</v>
      </c>
      <c r="DC18">
        <v>149.93</v>
      </c>
      <c r="DD18" t="s">
        <v>69</v>
      </c>
      <c r="DE18" t="s">
        <v>70</v>
      </c>
      <c r="DF18">
        <v>149930</v>
      </c>
    </row>
    <row r="19" spans="1:110" x14ac:dyDescent="0.25">
      <c r="A19" s="1">
        <v>42762</v>
      </c>
      <c r="B19">
        <v>117.74</v>
      </c>
      <c r="C19">
        <v>74.83</v>
      </c>
      <c r="D19">
        <v>159.21</v>
      </c>
      <c r="E19">
        <v>94.17</v>
      </c>
      <c r="F19">
        <v>29.05</v>
      </c>
      <c r="G19">
        <v>104.33</v>
      </c>
      <c r="H19">
        <v>105.95</v>
      </c>
      <c r="I19">
        <v>1</v>
      </c>
      <c r="J19">
        <v>230.82</v>
      </c>
      <c r="K19">
        <v>132.22999999999999</v>
      </c>
      <c r="L19">
        <v>161.41</v>
      </c>
      <c r="M19">
        <v>35.799999999999997</v>
      </c>
      <c r="N19">
        <v>107.59</v>
      </c>
      <c r="O19">
        <v>82.87</v>
      </c>
      <c r="P19">
        <v>38.76</v>
      </c>
      <c r="Q19">
        <v>116.82</v>
      </c>
      <c r="R19">
        <v>167.77</v>
      </c>
      <c r="S19">
        <v>58.13</v>
      </c>
      <c r="T19">
        <v>63.25</v>
      </c>
      <c r="U19">
        <v>51.9</v>
      </c>
      <c r="V19">
        <v>28.94</v>
      </c>
      <c r="W19">
        <v>81.23</v>
      </c>
      <c r="X19">
        <v>112.79</v>
      </c>
      <c r="Y19">
        <v>158.43</v>
      </c>
      <c r="Z19">
        <v>104.19</v>
      </c>
      <c r="AA19">
        <v>82.49</v>
      </c>
      <c r="AB19">
        <v>45.17</v>
      </c>
      <c r="AC19">
        <v>77.569999999999993</v>
      </c>
      <c r="AD19">
        <v>62.52</v>
      </c>
      <c r="AE19">
        <v>78.23</v>
      </c>
      <c r="AI19" s="2">
        <v>3750</v>
      </c>
      <c r="AJ19" s="2">
        <f t="shared" si="3"/>
        <v>1010</v>
      </c>
      <c r="AK19" s="2">
        <f t="shared" si="3"/>
        <v>1010</v>
      </c>
      <c r="AL19" s="2">
        <f t="shared" si="3"/>
        <v>1010</v>
      </c>
      <c r="AM19" s="2">
        <f t="shared" si="3"/>
        <v>1010</v>
      </c>
      <c r="AN19" s="2">
        <f t="shared" si="3"/>
        <v>1010</v>
      </c>
      <c r="AO19" s="2">
        <f t="shared" si="3"/>
        <v>1010</v>
      </c>
      <c r="AP19" s="2">
        <v>0</v>
      </c>
      <c r="AQ19" s="2">
        <v>1000</v>
      </c>
      <c r="AR19" s="2">
        <v>1000</v>
      </c>
      <c r="AS19" s="2">
        <v>1000</v>
      </c>
      <c r="AT19" s="2">
        <v>1000</v>
      </c>
      <c r="AU19" s="2">
        <v>1000</v>
      </c>
      <c r="AV19" s="2">
        <v>1000</v>
      </c>
      <c r="AW19" s="2">
        <v>1000</v>
      </c>
      <c r="AX19" s="2">
        <v>1000</v>
      </c>
      <c r="AY19" s="2">
        <v>1000</v>
      </c>
      <c r="AZ19" s="2">
        <v>1012</v>
      </c>
      <c r="BA19" s="2">
        <v>973</v>
      </c>
      <c r="BB19" s="2">
        <v>1074</v>
      </c>
      <c r="BC19" s="2">
        <v>1000</v>
      </c>
      <c r="BD19" s="2">
        <v>1000</v>
      </c>
      <c r="BE19" s="2">
        <v>5000</v>
      </c>
      <c r="BF19" s="2">
        <v>3000</v>
      </c>
      <c r="BG19" s="2">
        <v>2000</v>
      </c>
      <c r="BH19" s="2">
        <v>5000</v>
      </c>
      <c r="BI19" s="2">
        <v>3000</v>
      </c>
      <c r="BJ19" s="2">
        <v>0</v>
      </c>
      <c r="BK19" s="2">
        <v>1000</v>
      </c>
      <c r="BL19" s="2">
        <v>1000</v>
      </c>
      <c r="BO19" s="2">
        <f t="shared" si="4"/>
        <v>0</v>
      </c>
      <c r="BP19" s="2">
        <f t="shared" si="11"/>
        <v>0</v>
      </c>
      <c r="BQ19" s="2">
        <f t="shared" si="12"/>
        <v>0</v>
      </c>
      <c r="BR19" s="2">
        <f t="shared" si="13"/>
        <v>0</v>
      </c>
      <c r="BS19" s="2">
        <f t="shared" si="14"/>
        <v>0</v>
      </c>
      <c r="BT19" s="2">
        <f t="shared" si="15"/>
        <v>0</v>
      </c>
      <c r="BU19" s="2">
        <f t="shared" si="16"/>
        <v>0</v>
      </c>
      <c r="BV19" s="2">
        <f t="shared" si="17"/>
        <v>0</v>
      </c>
      <c r="BW19" s="2">
        <f t="shared" si="18"/>
        <v>0</v>
      </c>
      <c r="BX19" s="2">
        <f t="shared" si="19"/>
        <v>0</v>
      </c>
      <c r="BY19" s="2">
        <f t="shared" si="20"/>
        <v>0</v>
      </c>
      <c r="BZ19" s="2">
        <f t="shared" si="21"/>
        <v>0</v>
      </c>
      <c r="CA19" s="2">
        <f t="shared" si="22"/>
        <v>0</v>
      </c>
      <c r="CB19" s="2">
        <f t="shared" si="23"/>
        <v>0</v>
      </c>
      <c r="CC19" s="2">
        <f t="shared" si="24"/>
        <v>0</v>
      </c>
      <c r="CD19" s="2">
        <f t="shared" si="25"/>
        <v>0</v>
      </c>
      <c r="CE19" s="2">
        <f t="shared" si="26"/>
        <v>0</v>
      </c>
      <c r="CF19" s="2">
        <f t="shared" si="27"/>
        <v>-2208.94</v>
      </c>
      <c r="CG19" s="2">
        <f t="shared" si="28"/>
        <v>695.75</v>
      </c>
      <c r="CH19" s="2">
        <f t="shared" si="29"/>
        <v>-6747</v>
      </c>
      <c r="CI19" s="2">
        <f t="shared" si="30"/>
        <v>0</v>
      </c>
      <c r="CJ19" s="2">
        <f t="shared" si="31"/>
        <v>0</v>
      </c>
      <c r="CK19" s="2">
        <f t="shared" si="32"/>
        <v>0</v>
      </c>
      <c r="CL19" s="2">
        <f t="shared" si="33"/>
        <v>0</v>
      </c>
      <c r="CM19" s="2">
        <f t="shared" si="5"/>
        <v>0</v>
      </c>
      <c r="CN19" s="2">
        <f t="shared" si="6"/>
        <v>-206225</v>
      </c>
      <c r="CO19" s="2">
        <f t="shared" si="7"/>
        <v>0</v>
      </c>
      <c r="CP19" s="2">
        <f t="shared" si="8"/>
        <v>0</v>
      </c>
      <c r="CQ19" s="2">
        <f t="shared" si="9"/>
        <v>0</v>
      </c>
      <c r="CR19" s="2">
        <f t="shared" si="10"/>
        <v>0</v>
      </c>
      <c r="CV19" t="s">
        <v>64</v>
      </c>
      <c r="CW19" t="s">
        <v>92</v>
      </c>
      <c r="CX19" t="s">
        <v>1</v>
      </c>
      <c r="CY19" s="4">
        <v>42880</v>
      </c>
      <c r="CZ19" t="s">
        <v>65</v>
      </c>
      <c r="DA19" t="s">
        <v>66</v>
      </c>
      <c r="DB19">
        <v>750</v>
      </c>
      <c r="DC19">
        <v>149.82</v>
      </c>
      <c r="DD19" t="s">
        <v>69</v>
      </c>
      <c r="DE19" t="s">
        <v>70</v>
      </c>
      <c r="DF19">
        <v>112365</v>
      </c>
    </row>
    <row r="20" spans="1:110" x14ac:dyDescent="0.25">
      <c r="A20" s="1">
        <v>42765</v>
      </c>
      <c r="B20">
        <v>117.43</v>
      </c>
      <c r="C20">
        <v>75.25</v>
      </c>
      <c r="D20">
        <v>157.19</v>
      </c>
      <c r="E20">
        <v>92.07</v>
      </c>
      <c r="F20">
        <v>28.91</v>
      </c>
      <c r="G20">
        <v>102.52</v>
      </c>
      <c r="H20">
        <v>107.54</v>
      </c>
      <c r="I20">
        <v>1</v>
      </c>
      <c r="J20">
        <v>227.85</v>
      </c>
      <c r="K20">
        <v>132.36000000000001</v>
      </c>
      <c r="L20">
        <v>160.05000000000001</v>
      </c>
      <c r="M20">
        <v>35.270000000000003</v>
      </c>
      <c r="N20">
        <v>107.35</v>
      </c>
      <c r="O20">
        <v>82.02</v>
      </c>
      <c r="P20">
        <v>38.700000000000003</v>
      </c>
      <c r="Q20">
        <v>116.97</v>
      </c>
      <c r="R20">
        <v>165.82</v>
      </c>
      <c r="S20">
        <v>57.83</v>
      </c>
      <c r="T20">
        <v>62.62</v>
      </c>
      <c r="U20">
        <v>51.8</v>
      </c>
      <c r="V20">
        <v>28.83</v>
      </c>
      <c r="W20">
        <v>81.260000000000005</v>
      </c>
      <c r="X20">
        <v>112.23</v>
      </c>
      <c r="Y20">
        <v>157.55000000000001</v>
      </c>
      <c r="Z20">
        <v>103.69</v>
      </c>
      <c r="AA20">
        <v>82.42</v>
      </c>
      <c r="AB20">
        <v>44.96</v>
      </c>
      <c r="AC20">
        <v>77.55</v>
      </c>
      <c r="AD20">
        <v>63.25</v>
      </c>
      <c r="AE20">
        <v>77.63</v>
      </c>
      <c r="AI20" s="2">
        <v>4500</v>
      </c>
      <c r="AJ20" s="2">
        <f t="shared" si="3"/>
        <v>1010</v>
      </c>
      <c r="AK20" s="2">
        <f t="shared" si="3"/>
        <v>1010</v>
      </c>
      <c r="AL20" s="2">
        <f t="shared" si="3"/>
        <v>1010</v>
      </c>
      <c r="AM20" s="2">
        <f t="shared" si="3"/>
        <v>1010</v>
      </c>
      <c r="AN20" s="2">
        <f t="shared" si="3"/>
        <v>1010</v>
      </c>
      <c r="AO20" s="2">
        <f t="shared" si="3"/>
        <v>1010</v>
      </c>
      <c r="AP20" s="2">
        <v>0</v>
      </c>
      <c r="AQ20" s="2">
        <v>1000</v>
      </c>
      <c r="AR20" s="2">
        <v>1000</v>
      </c>
      <c r="AS20" s="2">
        <v>1000</v>
      </c>
      <c r="AT20" s="2">
        <v>1000</v>
      </c>
      <c r="AU20" s="2">
        <v>1000</v>
      </c>
      <c r="AV20" s="2">
        <v>1000</v>
      </c>
      <c r="AW20" s="2">
        <v>1000</v>
      </c>
      <c r="AX20" s="2">
        <v>1000</v>
      </c>
      <c r="AY20" s="2">
        <v>1000</v>
      </c>
      <c r="AZ20" s="2">
        <v>999</v>
      </c>
      <c r="BA20" s="2">
        <v>935</v>
      </c>
      <c r="BB20" s="2">
        <v>955</v>
      </c>
      <c r="BC20" s="2">
        <v>1000</v>
      </c>
      <c r="BD20" s="2">
        <v>1000</v>
      </c>
      <c r="BE20" s="2">
        <v>5000</v>
      </c>
      <c r="BF20" s="2">
        <v>3000</v>
      </c>
      <c r="BG20" s="2">
        <v>2000</v>
      </c>
      <c r="BH20" s="2">
        <v>5000</v>
      </c>
      <c r="BI20" s="2">
        <v>3000</v>
      </c>
      <c r="BJ20" s="2">
        <v>0</v>
      </c>
      <c r="BK20" s="2">
        <v>1000</v>
      </c>
      <c r="BL20" s="2">
        <v>1000</v>
      </c>
      <c r="BO20" s="2">
        <f t="shared" si="4"/>
        <v>-88072.5</v>
      </c>
      <c r="BP20" s="2">
        <f t="shared" si="11"/>
        <v>0</v>
      </c>
      <c r="BQ20" s="2">
        <f t="shared" si="12"/>
        <v>0</v>
      </c>
      <c r="BR20" s="2">
        <f t="shared" si="13"/>
        <v>0</v>
      </c>
      <c r="BS20" s="2">
        <f t="shared" si="14"/>
        <v>0</v>
      </c>
      <c r="BT20" s="2">
        <f t="shared" si="15"/>
        <v>0</v>
      </c>
      <c r="BU20" s="2">
        <f t="shared" si="16"/>
        <v>0</v>
      </c>
      <c r="BV20" s="2">
        <f t="shared" si="17"/>
        <v>0</v>
      </c>
      <c r="BW20" s="2">
        <f t="shared" si="18"/>
        <v>0</v>
      </c>
      <c r="BX20" s="2">
        <f t="shared" si="19"/>
        <v>0</v>
      </c>
      <c r="BY20" s="2">
        <f t="shared" si="20"/>
        <v>0</v>
      </c>
      <c r="BZ20" s="2">
        <f t="shared" si="21"/>
        <v>0</v>
      </c>
      <c r="CA20" s="2">
        <f t="shared" si="22"/>
        <v>0</v>
      </c>
      <c r="CB20" s="2">
        <f t="shared" si="23"/>
        <v>0</v>
      </c>
      <c r="CC20" s="2">
        <f t="shared" si="24"/>
        <v>0</v>
      </c>
      <c r="CD20" s="2">
        <f t="shared" si="25"/>
        <v>0</v>
      </c>
      <c r="CE20" s="2">
        <f t="shared" si="26"/>
        <v>0</v>
      </c>
      <c r="CF20" s="2">
        <f t="shared" si="27"/>
        <v>751.79</v>
      </c>
      <c r="CG20" s="2">
        <f t="shared" si="28"/>
        <v>2379.56</v>
      </c>
      <c r="CH20" s="2">
        <f t="shared" si="29"/>
        <v>6164.2</v>
      </c>
      <c r="CI20" s="2">
        <f t="shared" si="30"/>
        <v>0</v>
      </c>
      <c r="CJ20" s="2">
        <f t="shared" si="31"/>
        <v>0</v>
      </c>
      <c r="CK20" s="2">
        <f t="shared" si="32"/>
        <v>0</v>
      </c>
      <c r="CL20" s="2">
        <f t="shared" si="33"/>
        <v>0</v>
      </c>
      <c r="CM20" s="2">
        <f t="shared" si="5"/>
        <v>0</v>
      </c>
      <c r="CN20" s="2">
        <f t="shared" si="6"/>
        <v>0</v>
      </c>
      <c r="CO20" s="2">
        <f t="shared" si="7"/>
        <v>0</v>
      </c>
      <c r="CP20" s="2">
        <f t="shared" si="8"/>
        <v>0</v>
      </c>
      <c r="CQ20" s="2">
        <f t="shared" si="9"/>
        <v>0</v>
      </c>
      <c r="CR20" s="2">
        <f t="shared" si="10"/>
        <v>0</v>
      </c>
      <c r="CV20" t="s">
        <v>64</v>
      </c>
      <c r="CW20" t="s">
        <v>93</v>
      </c>
      <c r="CX20" t="s">
        <v>1</v>
      </c>
      <c r="CY20" s="4">
        <v>42885</v>
      </c>
      <c r="CZ20" t="s">
        <v>65</v>
      </c>
      <c r="DA20" t="s">
        <v>66</v>
      </c>
      <c r="DB20">
        <v>750</v>
      </c>
      <c r="DC20">
        <v>149.62</v>
      </c>
      <c r="DD20" t="s">
        <v>69</v>
      </c>
      <c r="DE20" t="s">
        <v>70</v>
      </c>
      <c r="DF20">
        <v>112215</v>
      </c>
    </row>
    <row r="21" spans="1:110" x14ac:dyDescent="0.25">
      <c r="A21" s="1">
        <v>42766</v>
      </c>
      <c r="B21">
        <v>117.16</v>
      </c>
      <c r="C21">
        <v>74.37</v>
      </c>
      <c r="D21">
        <v>155.15</v>
      </c>
      <c r="E21">
        <v>91</v>
      </c>
      <c r="F21">
        <v>28.81</v>
      </c>
      <c r="G21">
        <v>102.09</v>
      </c>
      <c r="H21">
        <v>107.26</v>
      </c>
      <c r="I21">
        <v>1</v>
      </c>
      <c r="J21">
        <v>223.39</v>
      </c>
      <c r="K21">
        <v>131.51</v>
      </c>
      <c r="L21">
        <v>158.88</v>
      </c>
      <c r="M21">
        <v>34.71</v>
      </c>
      <c r="N21">
        <v>107.47</v>
      </c>
      <c r="O21">
        <v>80.680000000000007</v>
      </c>
      <c r="P21">
        <v>38.869999999999997</v>
      </c>
      <c r="Q21">
        <v>116.54</v>
      </c>
      <c r="R21">
        <v>165.25</v>
      </c>
      <c r="S21">
        <v>58.36</v>
      </c>
      <c r="T21">
        <v>62.16</v>
      </c>
      <c r="U21">
        <v>51.62</v>
      </c>
      <c r="V21">
        <v>29.22</v>
      </c>
      <c r="W21">
        <v>82.05</v>
      </c>
      <c r="X21">
        <v>112.48</v>
      </c>
      <c r="Y21">
        <v>157.56</v>
      </c>
      <c r="Z21">
        <v>104.16</v>
      </c>
      <c r="AA21">
        <v>81.44</v>
      </c>
      <c r="AB21">
        <v>44.63</v>
      </c>
      <c r="AC21">
        <v>77.989999999999995</v>
      </c>
      <c r="AD21">
        <v>63.55</v>
      </c>
      <c r="AE21">
        <v>76.75</v>
      </c>
      <c r="AI21" s="2">
        <v>5000</v>
      </c>
      <c r="AJ21" s="2">
        <f t="shared" si="3"/>
        <v>1010</v>
      </c>
      <c r="AK21" s="2">
        <f t="shared" si="3"/>
        <v>1010</v>
      </c>
      <c r="AL21" s="2">
        <f t="shared" si="3"/>
        <v>1010</v>
      </c>
      <c r="AM21" s="2">
        <f t="shared" si="3"/>
        <v>1010</v>
      </c>
      <c r="AN21" s="2">
        <f t="shared" si="3"/>
        <v>1010</v>
      </c>
      <c r="AO21" s="2">
        <f t="shared" si="3"/>
        <v>1010</v>
      </c>
      <c r="AP21" s="2">
        <v>0</v>
      </c>
      <c r="AQ21" s="2">
        <v>1000</v>
      </c>
      <c r="AR21" s="2">
        <v>1000</v>
      </c>
      <c r="AS21" s="2">
        <v>1000</v>
      </c>
      <c r="AT21" s="2">
        <v>1000</v>
      </c>
      <c r="AU21" s="2">
        <v>1000</v>
      </c>
      <c r="AV21" s="2">
        <v>1000</v>
      </c>
      <c r="AW21" s="2">
        <v>1000</v>
      </c>
      <c r="AX21" s="2">
        <v>1000</v>
      </c>
      <c r="AY21" s="2">
        <v>1000</v>
      </c>
      <c r="AZ21" s="2">
        <v>971</v>
      </c>
      <c r="BA21" s="2">
        <v>968</v>
      </c>
      <c r="BB21" s="2">
        <v>1080</v>
      </c>
      <c r="BC21" s="2">
        <v>1000</v>
      </c>
      <c r="BD21" s="2">
        <v>1000</v>
      </c>
      <c r="BE21" s="2">
        <v>5000</v>
      </c>
      <c r="BF21" s="2">
        <v>3000</v>
      </c>
      <c r="BG21" s="2">
        <v>2000</v>
      </c>
      <c r="BH21" s="2">
        <v>5000</v>
      </c>
      <c r="BI21" s="2">
        <v>3000</v>
      </c>
      <c r="BJ21" s="2">
        <v>0</v>
      </c>
      <c r="BK21" s="2">
        <v>1000</v>
      </c>
      <c r="BL21" s="2">
        <v>1000</v>
      </c>
      <c r="BO21" s="2">
        <f t="shared" si="4"/>
        <v>-58580</v>
      </c>
      <c r="BP21" s="2">
        <f t="shared" si="11"/>
        <v>0</v>
      </c>
      <c r="BQ21" s="2">
        <f t="shared" si="12"/>
        <v>0</v>
      </c>
      <c r="BR21" s="2">
        <f t="shared" si="13"/>
        <v>0</v>
      </c>
      <c r="BS21" s="2">
        <f t="shared" si="14"/>
        <v>0</v>
      </c>
      <c r="BT21" s="2">
        <f t="shared" si="15"/>
        <v>0</v>
      </c>
      <c r="BU21" s="2">
        <f t="shared" si="16"/>
        <v>0</v>
      </c>
      <c r="BV21" s="2">
        <f t="shared" si="17"/>
        <v>0</v>
      </c>
      <c r="BW21" s="2">
        <f t="shared" si="18"/>
        <v>0</v>
      </c>
      <c r="BX21" s="2">
        <f t="shared" si="19"/>
        <v>0</v>
      </c>
      <c r="BY21" s="2">
        <f t="shared" si="20"/>
        <v>0</v>
      </c>
      <c r="BZ21" s="2">
        <f t="shared" si="21"/>
        <v>0</v>
      </c>
      <c r="CA21" s="2">
        <f t="shared" si="22"/>
        <v>0</v>
      </c>
      <c r="CB21" s="2">
        <f t="shared" si="23"/>
        <v>0</v>
      </c>
      <c r="CC21" s="2">
        <f t="shared" si="24"/>
        <v>0</v>
      </c>
      <c r="CD21" s="2">
        <f t="shared" si="25"/>
        <v>0</v>
      </c>
      <c r="CE21" s="2">
        <f t="shared" si="26"/>
        <v>0</v>
      </c>
      <c r="CF21" s="2">
        <f t="shared" si="27"/>
        <v>1634.08</v>
      </c>
      <c r="CG21" s="2">
        <f t="shared" si="28"/>
        <v>-2051.2799999999997</v>
      </c>
      <c r="CH21" s="2">
        <f t="shared" si="29"/>
        <v>-6452.5</v>
      </c>
      <c r="CI21" s="2">
        <f t="shared" si="30"/>
        <v>0</v>
      </c>
      <c r="CJ21" s="2">
        <f t="shared" si="31"/>
        <v>0</v>
      </c>
      <c r="CK21" s="2">
        <f t="shared" si="32"/>
        <v>0</v>
      </c>
      <c r="CL21" s="2">
        <f t="shared" si="33"/>
        <v>0</v>
      </c>
      <c r="CM21" s="2">
        <f t="shared" si="5"/>
        <v>0</v>
      </c>
      <c r="CN21" s="2">
        <f t="shared" si="6"/>
        <v>0</v>
      </c>
      <c r="CO21" s="2">
        <f t="shared" si="7"/>
        <v>0</v>
      </c>
      <c r="CP21" s="2">
        <f t="shared" si="8"/>
        <v>0</v>
      </c>
      <c r="CQ21" s="2">
        <f t="shared" si="9"/>
        <v>0</v>
      </c>
      <c r="CR21" s="2">
        <f t="shared" si="10"/>
        <v>0</v>
      </c>
      <c r="CV21" t="s">
        <v>64</v>
      </c>
      <c r="CW21" t="s">
        <v>94</v>
      </c>
      <c r="CX21" t="s">
        <v>1</v>
      </c>
      <c r="CY21" s="4">
        <v>42921</v>
      </c>
      <c r="CZ21" t="s">
        <v>67</v>
      </c>
      <c r="DA21" t="s">
        <v>68</v>
      </c>
      <c r="DB21">
        <v>1250</v>
      </c>
      <c r="DC21">
        <v>140.30000000000001</v>
      </c>
      <c r="DD21" t="s">
        <v>69</v>
      </c>
      <c r="DE21" t="s">
        <v>70</v>
      </c>
      <c r="DF21">
        <v>175375</v>
      </c>
    </row>
    <row r="22" spans="1:110" x14ac:dyDescent="0.25">
      <c r="A22" s="1">
        <v>42767</v>
      </c>
      <c r="B22">
        <v>124.31</v>
      </c>
      <c r="C22">
        <v>74.739999999999995</v>
      </c>
      <c r="D22">
        <v>155.66999999999999</v>
      </c>
      <c r="E22">
        <v>90.48</v>
      </c>
      <c r="F22">
        <v>28.6</v>
      </c>
      <c r="G22">
        <v>101.77</v>
      </c>
      <c r="H22">
        <v>107.89</v>
      </c>
      <c r="I22">
        <v>1</v>
      </c>
      <c r="J22">
        <v>224.71</v>
      </c>
      <c r="K22">
        <v>131.38</v>
      </c>
      <c r="L22">
        <v>158.66999999999999</v>
      </c>
      <c r="M22">
        <v>34.43</v>
      </c>
      <c r="N22">
        <v>107.45</v>
      </c>
      <c r="O22">
        <v>80.989999999999995</v>
      </c>
      <c r="P22">
        <v>38.58</v>
      </c>
      <c r="Q22">
        <v>116.4</v>
      </c>
      <c r="R22">
        <v>165.58</v>
      </c>
      <c r="S22">
        <v>58.46</v>
      </c>
      <c r="T22">
        <v>61.13</v>
      </c>
      <c r="U22">
        <v>51.74</v>
      </c>
      <c r="V22">
        <v>29.46</v>
      </c>
      <c r="W22">
        <v>81.8</v>
      </c>
      <c r="X22">
        <v>111.3</v>
      </c>
      <c r="Y22">
        <v>158.15</v>
      </c>
      <c r="Z22">
        <v>102.74</v>
      </c>
      <c r="AA22">
        <v>81.180000000000007</v>
      </c>
      <c r="AB22">
        <v>44.07</v>
      </c>
      <c r="AC22">
        <v>77.13</v>
      </c>
      <c r="AD22">
        <v>63.06</v>
      </c>
      <c r="AE22">
        <v>75.88</v>
      </c>
      <c r="AI22" s="2">
        <v>5000</v>
      </c>
      <c r="AJ22" s="2">
        <f t="shared" si="3"/>
        <v>1010</v>
      </c>
      <c r="AK22" s="2">
        <f t="shared" si="3"/>
        <v>1010</v>
      </c>
      <c r="AL22" s="2">
        <f t="shared" si="3"/>
        <v>1010</v>
      </c>
      <c r="AM22" s="2">
        <f t="shared" si="3"/>
        <v>1010</v>
      </c>
      <c r="AN22" s="2">
        <f t="shared" si="3"/>
        <v>1010</v>
      </c>
      <c r="AO22" s="2">
        <f t="shared" si="3"/>
        <v>1010</v>
      </c>
      <c r="AP22" s="2">
        <v>0</v>
      </c>
      <c r="AQ22" s="2">
        <v>1000</v>
      </c>
      <c r="AR22" s="2">
        <v>1000</v>
      </c>
      <c r="AS22" s="2">
        <v>1000</v>
      </c>
      <c r="AT22" s="2">
        <v>1000</v>
      </c>
      <c r="AU22" s="2">
        <v>1000</v>
      </c>
      <c r="AV22" s="2">
        <v>1000</v>
      </c>
      <c r="AW22" s="2">
        <v>1000</v>
      </c>
      <c r="AX22" s="2">
        <v>1000</v>
      </c>
      <c r="AY22" s="2">
        <v>1000</v>
      </c>
      <c r="AZ22" s="2">
        <v>991</v>
      </c>
      <c r="BA22" s="2">
        <v>962</v>
      </c>
      <c r="BB22" s="2">
        <v>1093</v>
      </c>
      <c r="BC22" s="2">
        <v>1000</v>
      </c>
      <c r="BD22" s="2">
        <v>1000</v>
      </c>
      <c r="BE22" s="2">
        <v>5000</v>
      </c>
      <c r="BF22" s="2">
        <v>3000</v>
      </c>
      <c r="BG22" s="2">
        <v>2000</v>
      </c>
      <c r="BH22" s="2">
        <v>5000</v>
      </c>
      <c r="BI22" s="2">
        <v>3000</v>
      </c>
      <c r="BJ22" s="2">
        <v>0</v>
      </c>
      <c r="BK22" s="2">
        <v>1000</v>
      </c>
      <c r="BL22" s="2">
        <v>1000</v>
      </c>
      <c r="BO22" s="2">
        <f t="shared" si="4"/>
        <v>0</v>
      </c>
      <c r="BP22" s="2">
        <f t="shared" si="11"/>
        <v>0</v>
      </c>
      <c r="BQ22" s="2">
        <f t="shared" si="12"/>
        <v>0</v>
      </c>
      <c r="BR22" s="2">
        <f t="shared" si="13"/>
        <v>0</v>
      </c>
      <c r="BS22" s="2">
        <f t="shared" si="14"/>
        <v>0</v>
      </c>
      <c r="BT22" s="2">
        <f t="shared" si="15"/>
        <v>0</v>
      </c>
      <c r="BU22" s="2">
        <f t="shared" si="16"/>
        <v>0</v>
      </c>
      <c r="BV22" s="2">
        <f t="shared" si="17"/>
        <v>0</v>
      </c>
      <c r="BW22" s="2">
        <f t="shared" si="18"/>
        <v>0</v>
      </c>
      <c r="BX22" s="2">
        <f t="shared" si="19"/>
        <v>0</v>
      </c>
      <c r="BY22" s="2">
        <f t="shared" si="20"/>
        <v>0</v>
      </c>
      <c r="BZ22" s="2">
        <f t="shared" si="21"/>
        <v>0</v>
      </c>
      <c r="CA22" s="2">
        <f t="shared" si="22"/>
        <v>0</v>
      </c>
      <c r="CB22" s="2">
        <f t="shared" si="23"/>
        <v>0</v>
      </c>
      <c r="CC22" s="2">
        <f t="shared" si="24"/>
        <v>0</v>
      </c>
      <c r="CD22" s="2">
        <f t="shared" si="25"/>
        <v>0</v>
      </c>
      <c r="CE22" s="2">
        <f t="shared" si="26"/>
        <v>0</v>
      </c>
      <c r="CF22" s="2">
        <f t="shared" si="27"/>
        <v>-1169.2</v>
      </c>
      <c r="CG22" s="2">
        <f t="shared" si="28"/>
        <v>366.78000000000003</v>
      </c>
      <c r="CH22" s="2">
        <f t="shared" si="29"/>
        <v>-672.62</v>
      </c>
      <c r="CI22" s="2">
        <f t="shared" si="30"/>
        <v>0</v>
      </c>
      <c r="CJ22" s="2">
        <f t="shared" si="31"/>
        <v>0</v>
      </c>
      <c r="CK22" s="2">
        <f t="shared" si="32"/>
        <v>0</v>
      </c>
      <c r="CL22" s="2">
        <f t="shared" si="33"/>
        <v>0</v>
      </c>
      <c r="CM22" s="2">
        <f t="shared" si="5"/>
        <v>0</v>
      </c>
      <c r="CN22" s="2">
        <f t="shared" si="6"/>
        <v>0</v>
      </c>
      <c r="CO22" s="2">
        <f t="shared" si="7"/>
        <v>0</v>
      </c>
      <c r="CP22" s="2">
        <f t="shared" si="8"/>
        <v>0</v>
      </c>
      <c r="CQ22" s="2">
        <f t="shared" si="9"/>
        <v>0</v>
      </c>
      <c r="CR22" s="2">
        <f t="shared" si="10"/>
        <v>0</v>
      </c>
      <c r="CV22" t="s">
        <v>64</v>
      </c>
      <c r="CW22" t="s">
        <v>95</v>
      </c>
      <c r="CX22" t="s">
        <v>1</v>
      </c>
      <c r="CY22" s="4">
        <v>42922</v>
      </c>
      <c r="CZ22" t="s">
        <v>67</v>
      </c>
      <c r="DA22" t="s">
        <v>68</v>
      </c>
      <c r="DB22">
        <v>1250</v>
      </c>
      <c r="DC22">
        <v>138.97</v>
      </c>
      <c r="DD22" t="s">
        <v>69</v>
      </c>
      <c r="DE22" t="s">
        <v>70</v>
      </c>
      <c r="DF22">
        <v>173712.5</v>
      </c>
    </row>
    <row r="23" spans="1:110" x14ac:dyDescent="0.25">
      <c r="A23" s="1">
        <v>42768</v>
      </c>
      <c r="B23">
        <v>124.09</v>
      </c>
      <c r="C23">
        <v>74.5</v>
      </c>
      <c r="D23">
        <v>154.05000000000001</v>
      </c>
      <c r="E23">
        <v>89.2</v>
      </c>
      <c r="F23">
        <v>29.24</v>
      </c>
      <c r="G23">
        <v>102.88</v>
      </c>
      <c r="H23">
        <v>107.22</v>
      </c>
      <c r="I23">
        <v>1</v>
      </c>
      <c r="J23">
        <v>224.45</v>
      </c>
      <c r="K23">
        <v>130.91</v>
      </c>
      <c r="L23">
        <v>158.94</v>
      </c>
      <c r="M23">
        <v>34.58</v>
      </c>
      <c r="N23">
        <v>107.77</v>
      </c>
      <c r="O23">
        <v>80.64</v>
      </c>
      <c r="P23">
        <v>38.71</v>
      </c>
      <c r="Q23">
        <v>117.16</v>
      </c>
      <c r="R23">
        <v>164.65</v>
      </c>
      <c r="S23">
        <v>60.42</v>
      </c>
      <c r="T23">
        <v>60.74</v>
      </c>
      <c r="U23">
        <v>51.52</v>
      </c>
      <c r="V23">
        <v>29.52</v>
      </c>
      <c r="W23">
        <v>82.2</v>
      </c>
      <c r="X23">
        <v>112.34</v>
      </c>
      <c r="Y23">
        <v>156.26</v>
      </c>
      <c r="Z23">
        <v>102.92</v>
      </c>
      <c r="AA23">
        <v>81.040000000000006</v>
      </c>
      <c r="AB23">
        <v>43.97</v>
      </c>
      <c r="AC23">
        <v>76.7</v>
      </c>
      <c r="AD23">
        <v>63.51</v>
      </c>
      <c r="AE23">
        <v>76.34</v>
      </c>
      <c r="AI23" s="2">
        <v>5000</v>
      </c>
      <c r="AJ23" s="2">
        <f t="shared" si="3"/>
        <v>1010</v>
      </c>
      <c r="AK23" s="2">
        <f t="shared" si="3"/>
        <v>1010</v>
      </c>
      <c r="AL23" s="2">
        <f t="shared" si="3"/>
        <v>1010</v>
      </c>
      <c r="AM23" s="2">
        <f t="shared" si="3"/>
        <v>1010</v>
      </c>
      <c r="AN23" s="2">
        <f t="shared" si="3"/>
        <v>1010</v>
      </c>
      <c r="AO23" s="2">
        <f t="shared" si="3"/>
        <v>1010</v>
      </c>
      <c r="AP23" s="2">
        <v>0</v>
      </c>
      <c r="AQ23" s="2">
        <v>1000</v>
      </c>
      <c r="AR23" s="2">
        <v>1000</v>
      </c>
      <c r="AS23" s="2">
        <v>1000</v>
      </c>
      <c r="AT23" s="2">
        <v>1000</v>
      </c>
      <c r="AU23" s="2">
        <v>1000</v>
      </c>
      <c r="AV23" s="2">
        <v>1000</v>
      </c>
      <c r="AW23" s="2">
        <v>1000</v>
      </c>
      <c r="AX23" s="2">
        <v>1000</v>
      </c>
      <c r="AY23" s="2">
        <v>1000</v>
      </c>
      <c r="AZ23" s="2">
        <v>1013</v>
      </c>
      <c r="BA23" s="2">
        <v>1098</v>
      </c>
      <c r="BB23" s="2">
        <v>1069</v>
      </c>
      <c r="BC23" s="2">
        <v>-1000</v>
      </c>
      <c r="BD23" s="2">
        <v>1000</v>
      </c>
      <c r="BE23" s="2">
        <v>5000</v>
      </c>
      <c r="BF23" s="2">
        <v>3000</v>
      </c>
      <c r="BG23" s="2">
        <v>2000</v>
      </c>
      <c r="BH23" s="2">
        <v>5000</v>
      </c>
      <c r="BI23" s="2">
        <v>3000</v>
      </c>
      <c r="BJ23" s="2">
        <v>0</v>
      </c>
      <c r="BK23" s="2">
        <v>1000</v>
      </c>
      <c r="BL23" s="2">
        <v>1000</v>
      </c>
      <c r="BO23" s="2">
        <f t="shared" si="4"/>
        <v>0</v>
      </c>
      <c r="BP23" s="2">
        <f t="shared" si="11"/>
        <v>0</v>
      </c>
      <c r="BQ23" s="2">
        <f t="shared" si="12"/>
        <v>0</v>
      </c>
      <c r="BR23" s="2">
        <f t="shared" si="13"/>
        <v>0</v>
      </c>
      <c r="BS23" s="2">
        <f t="shared" si="14"/>
        <v>0</v>
      </c>
      <c r="BT23" s="2">
        <f t="shared" si="15"/>
        <v>0</v>
      </c>
      <c r="BU23" s="2">
        <f t="shared" si="16"/>
        <v>0</v>
      </c>
      <c r="BV23" s="2">
        <f t="shared" si="17"/>
        <v>0</v>
      </c>
      <c r="BW23" s="2">
        <f t="shared" si="18"/>
        <v>0</v>
      </c>
      <c r="BX23" s="2">
        <f t="shared" si="19"/>
        <v>0</v>
      </c>
      <c r="BY23" s="2">
        <f t="shared" si="20"/>
        <v>0</v>
      </c>
      <c r="BZ23" s="2">
        <f t="shared" si="21"/>
        <v>0</v>
      </c>
      <c r="CA23" s="2">
        <f t="shared" si="22"/>
        <v>0</v>
      </c>
      <c r="CB23" s="2">
        <f t="shared" si="23"/>
        <v>0</v>
      </c>
      <c r="CC23" s="2">
        <f t="shared" si="24"/>
        <v>0</v>
      </c>
      <c r="CD23" s="2">
        <f t="shared" si="25"/>
        <v>0</v>
      </c>
      <c r="CE23" s="2">
        <f t="shared" si="26"/>
        <v>0</v>
      </c>
      <c r="CF23" s="2">
        <f t="shared" si="27"/>
        <v>-1329.24</v>
      </c>
      <c r="CG23" s="2">
        <f t="shared" si="28"/>
        <v>-8260.64</v>
      </c>
      <c r="CH23" s="2">
        <f t="shared" si="29"/>
        <v>1236.48</v>
      </c>
      <c r="CI23" s="2">
        <f t="shared" si="30"/>
        <v>59040</v>
      </c>
      <c r="CJ23" s="2">
        <f t="shared" si="31"/>
        <v>0</v>
      </c>
      <c r="CK23" s="2">
        <f t="shared" si="32"/>
        <v>0</v>
      </c>
      <c r="CL23" s="2">
        <f t="shared" si="33"/>
        <v>0</v>
      </c>
      <c r="CM23" s="2">
        <f t="shared" si="5"/>
        <v>0</v>
      </c>
      <c r="CN23" s="2">
        <f t="shared" si="6"/>
        <v>0</v>
      </c>
      <c r="CO23" s="2">
        <f t="shared" si="7"/>
        <v>0</v>
      </c>
      <c r="CP23" s="2">
        <f t="shared" si="8"/>
        <v>0</v>
      </c>
      <c r="CQ23" s="2">
        <f t="shared" si="9"/>
        <v>0</v>
      </c>
      <c r="CR23" s="2">
        <f t="shared" si="10"/>
        <v>0</v>
      </c>
      <c r="CV23" t="s">
        <v>64</v>
      </c>
      <c r="CW23" t="s">
        <v>96</v>
      </c>
      <c r="CX23" t="s">
        <v>1</v>
      </c>
      <c r="CY23" s="4">
        <v>42923</v>
      </c>
      <c r="CZ23" t="s">
        <v>67</v>
      </c>
      <c r="DA23" t="s">
        <v>68</v>
      </c>
      <c r="DB23">
        <v>5000</v>
      </c>
      <c r="DC23">
        <v>140.38</v>
      </c>
      <c r="DD23" t="s">
        <v>69</v>
      </c>
      <c r="DE23" t="s">
        <v>70</v>
      </c>
      <c r="DF23">
        <v>701900</v>
      </c>
    </row>
    <row r="24" spans="1:110" x14ac:dyDescent="0.25">
      <c r="A24" s="1">
        <v>42769</v>
      </c>
      <c r="B24">
        <v>124.62</v>
      </c>
      <c r="C24">
        <v>75.989999999999995</v>
      </c>
      <c r="D24">
        <v>154.18</v>
      </c>
      <c r="E24">
        <v>88.74</v>
      </c>
      <c r="F24">
        <v>29.37</v>
      </c>
      <c r="G24">
        <v>104.13</v>
      </c>
      <c r="H24">
        <v>106.92</v>
      </c>
      <c r="I24">
        <v>1</v>
      </c>
      <c r="J24">
        <v>234.72</v>
      </c>
      <c r="K24">
        <v>131.88999999999999</v>
      </c>
      <c r="L24">
        <v>160.07</v>
      </c>
      <c r="M24">
        <v>34.67</v>
      </c>
      <c r="N24">
        <v>107.84</v>
      </c>
      <c r="O24">
        <v>83.11</v>
      </c>
      <c r="P24">
        <v>38.85</v>
      </c>
      <c r="Q24">
        <v>118.13</v>
      </c>
      <c r="R24">
        <v>165.46</v>
      </c>
      <c r="S24">
        <v>60.52</v>
      </c>
      <c r="T24">
        <v>61.23</v>
      </c>
      <c r="U24">
        <v>51.09</v>
      </c>
      <c r="V24">
        <v>29.85</v>
      </c>
      <c r="W24">
        <v>81.88</v>
      </c>
      <c r="X24">
        <v>112.48</v>
      </c>
      <c r="Y24">
        <v>157.34</v>
      </c>
      <c r="Z24">
        <v>104.14</v>
      </c>
      <c r="AA24">
        <v>84.76</v>
      </c>
      <c r="AB24">
        <v>44.24</v>
      </c>
      <c r="AC24">
        <v>76.59</v>
      </c>
      <c r="AD24">
        <v>63.32</v>
      </c>
      <c r="AE24">
        <v>76.430000000000007</v>
      </c>
      <c r="AI24" s="2">
        <v>5000</v>
      </c>
      <c r="AJ24" s="2">
        <f t="shared" si="3"/>
        <v>1010</v>
      </c>
      <c r="AK24" s="2">
        <f t="shared" si="3"/>
        <v>1010</v>
      </c>
      <c r="AL24" s="2">
        <f t="shared" si="3"/>
        <v>1010</v>
      </c>
      <c r="AM24" s="2">
        <f t="shared" si="3"/>
        <v>1010</v>
      </c>
      <c r="AN24" s="2">
        <f t="shared" si="3"/>
        <v>1010</v>
      </c>
      <c r="AO24" s="2">
        <f t="shared" si="3"/>
        <v>1010</v>
      </c>
      <c r="AP24" s="2">
        <v>0</v>
      </c>
      <c r="AQ24" s="2">
        <v>1000</v>
      </c>
      <c r="AR24" s="2">
        <v>1000</v>
      </c>
      <c r="AS24" s="2">
        <v>1000</v>
      </c>
      <c r="AT24" s="2">
        <v>1000</v>
      </c>
      <c r="AU24" s="2">
        <v>1000</v>
      </c>
      <c r="AV24" s="2">
        <v>1000</v>
      </c>
      <c r="AW24" s="2">
        <v>1000</v>
      </c>
      <c r="AX24" s="2">
        <v>1000</v>
      </c>
      <c r="AY24" s="2">
        <v>1000</v>
      </c>
      <c r="AZ24" s="2">
        <v>1012</v>
      </c>
      <c r="BA24" s="2">
        <v>917</v>
      </c>
      <c r="BB24" s="2">
        <v>1071</v>
      </c>
      <c r="BC24" s="2">
        <v>-1000</v>
      </c>
      <c r="BD24" s="2">
        <v>1000</v>
      </c>
      <c r="BE24" s="2">
        <v>5000</v>
      </c>
      <c r="BF24" s="2">
        <v>3000</v>
      </c>
      <c r="BG24" s="2">
        <v>2000</v>
      </c>
      <c r="BH24" s="2">
        <v>-2500</v>
      </c>
      <c r="BI24" s="2">
        <v>3000</v>
      </c>
      <c r="BJ24" s="2">
        <v>0</v>
      </c>
      <c r="BK24" s="2">
        <v>1000</v>
      </c>
      <c r="BL24" s="2">
        <v>1000</v>
      </c>
      <c r="BO24" s="2">
        <f t="shared" si="4"/>
        <v>0</v>
      </c>
      <c r="BP24" s="2">
        <f t="shared" si="11"/>
        <v>0</v>
      </c>
      <c r="BQ24" s="2">
        <f t="shared" si="12"/>
        <v>0</v>
      </c>
      <c r="BR24" s="2">
        <f t="shared" si="13"/>
        <v>0</v>
      </c>
      <c r="BS24" s="2">
        <f t="shared" si="14"/>
        <v>0</v>
      </c>
      <c r="BT24" s="2">
        <f t="shared" si="15"/>
        <v>0</v>
      </c>
      <c r="BU24" s="2">
        <f t="shared" si="16"/>
        <v>0</v>
      </c>
      <c r="BV24" s="2">
        <f t="shared" si="17"/>
        <v>0</v>
      </c>
      <c r="BW24" s="2">
        <f t="shared" si="18"/>
        <v>0</v>
      </c>
      <c r="BX24" s="2">
        <f t="shared" si="19"/>
        <v>0</v>
      </c>
      <c r="BY24" s="2">
        <f t="shared" si="20"/>
        <v>0</v>
      </c>
      <c r="BZ24" s="2">
        <f t="shared" si="21"/>
        <v>0</v>
      </c>
      <c r="CA24" s="2">
        <f t="shared" si="22"/>
        <v>0</v>
      </c>
      <c r="CB24" s="2">
        <f t="shared" si="23"/>
        <v>0</v>
      </c>
      <c r="CC24" s="2">
        <f t="shared" si="24"/>
        <v>0</v>
      </c>
      <c r="CD24" s="2">
        <f t="shared" si="25"/>
        <v>0</v>
      </c>
      <c r="CE24" s="2">
        <f t="shared" si="26"/>
        <v>0</v>
      </c>
      <c r="CF24" s="2">
        <f t="shared" si="27"/>
        <v>60.52</v>
      </c>
      <c r="CG24" s="2">
        <f t="shared" si="28"/>
        <v>11082.63</v>
      </c>
      <c r="CH24" s="2">
        <f t="shared" si="29"/>
        <v>-102.18</v>
      </c>
      <c r="CI24" s="2">
        <f t="shared" si="30"/>
        <v>0</v>
      </c>
      <c r="CJ24" s="2">
        <f t="shared" si="31"/>
        <v>0</v>
      </c>
      <c r="CK24" s="2">
        <f t="shared" si="32"/>
        <v>0</v>
      </c>
      <c r="CL24" s="2">
        <f t="shared" si="33"/>
        <v>0</v>
      </c>
      <c r="CM24" s="2">
        <f t="shared" si="5"/>
        <v>0</v>
      </c>
      <c r="CN24" s="2">
        <f t="shared" si="6"/>
        <v>635700</v>
      </c>
      <c r="CO24" s="2">
        <f t="shared" si="7"/>
        <v>0</v>
      </c>
      <c r="CP24" s="2">
        <f t="shared" si="8"/>
        <v>0</v>
      </c>
      <c r="CQ24" s="2">
        <f t="shared" si="9"/>
        <v>0</v>
      </c>
      <c r="CR24" s="2">
        <f t="shared" si="10"/>
        <v>0</v>
      </c>
      <c r="CV24" t="s">
        <v>64</v>
      </c>
      <c r="CW24" t="s">
        <v>97</v>
      </c>
      <c r="CX24" t="s">
        <v>1</v>
      </c>
      <c r="CY24" s="4">
        <v>42926</v>
      </c>
      <c r="CZ24" t="s">
        <v>67</v>
      </c>
      <c r="DA24" t="s">
        <v>68</v>
      </c>
      <c r="DB24">
        <v>2500</v>
      </c>
      <c r="DC24">
        <v>141.24</v>
      </c>
      <c r="DD24" t="s">
        <v>69</v>
      </c>
      <c r="DE24" t="s">
        <v>70</v>
      </c>
      <c r="DF24">
        <v>353100</v>
      </c>
    </row>
    <row r="25" spans="1:110" x14ac:dyDescent="0.25">
      <c r="A25" s="1">
        <v>42772</v>
      </c>
      <c r="B25">
        <v>125.79</v>
      </c>
      <c r="C25">
        <v>75.77</v>
      </c>
      <c r="D25">
        <v>155.68</v>
      </c>
      <c r="E25">
        <v>88.35</v>
      </c>
      <c r="F25">
        <v>29.35</v>
      </c>
      <c r="G25">
        <v>103.58</v>
      </c>
      <c r="H25">
        <v>106.21</v>
      </c>
      <c r="I25">
        <v>1</v>
      </c>
      <c r="J25">
        <v>233.77</v>
      </c>
      <c r="K25">
        <v>130.47</v>
      </c>
      <c r="L25">
        <v>160.1</v>
      </c>
      <c r="M25">
        <v>34.43</v>
      </c>
      <c r="N25">
        <v>107.61</v>
      </c>
      <c r="O25">
        <v>82.72</v>
      </c>
      <c r="P25">
        <v>38.86</v>
      </c>
      <c r="Q25">
        <v>118.33</v>
      </c>
      <c r="R25">
        <v>165.52</v>
      </c>
      <c r="S25">
        <v>61.13</v>
      </c>
      <c r="T25">
        <v>61.19</v>
      </c>
      <c r="U25">
        <v>51.52</v>
      </c>
      <c r="V25">
        <v>29.98</v>
      </c>
      <c r="W25">
        <v>81.87</v>
      </c>
      <c r="X25">
        <v>112.38</v>
      </c>
      <c r="Y25">
        <v>156.02000000000001</v>
      </c>
      <c r="Z25">
        <v>105.12</v>
      </c>
      <c r="AA25">
        <v>84.52</v>
      </c>
      <c r="AB25">
        <v>43.74</v>
      </c>
      <c r="AC25">
        <v>76.900000000000006</v>
      </c>
      <c r="AD25">
        <v>63.23</v>
      </c>
      <c r="AE25">
        <v>76.22</v>
      </c>
      <c r="AI25" s="2">
        <v>5000</v>
      </c>
      <c r="AJ25" s="2">
        <f t="shared" si="3"/>
        <v>1010</v>
      </c>
      <c r="AK25" s="2">
        <f t="shared" si="3"/>
        <v>1010</v>
      </c>
      <c r="AL25" s="2">
        <f t="shared" si="3"/>
        <v>1010</v>
      </c>
      <c r="AM25" s="2">
        <f t="shared" si="3"/>
        <v>1010</v>
      </c>
      <c r="AN25" s="2">
        <f t="shared" si="3"/>
        <v>1010</v>
      </c>
      <c r="AO25" s="2">
        <f t="shared" si="3"/>
        <v>1010</v>
      </c>
      <c r="AP25" s="2">
        <v>0</v>
      </c>
      <c r="AQ25" s="2">
        <v>1000</v>
      </c>
      <c r="AR25" s="2">
        <v>1000</v>
      </c>
      <c r="AS25" s="2">
        <v>1000</v>
      </c>
      <c r="AT25" s="2">
        <v>1000</v>
      </c>
      <c r="AU25" s="2">
        <v>1000</v>
      </c>
      <c r="AV25" s="2">
        <v>1000</v>
      </c>
      <c r="AW25" s="2">
        <v>1000</v>
      </c>
      <c r="AX25" s="2">
        <v>1000</v>
      </c>
      <c r="AY25" s="2">
        <v>1000</v>
      </c>
      <c r="AZ25" s="2">
        <v>1015</v>
      </c>
      <c r="BA25" s="2">
        <v>985</v>
      </c>
      <c r="BB25" s="2">
        <v>955</v>
      </c>
      <c r="BC25" s="2">
        <v>-1000</v>
      </c>
      <c r="BD25" s="2">
        <v>1000</v>
      </c>
      <c r="BE25" s="2">
        <v>5000</v>
      </c>
      <c r="BF25" s="2">
        <v>3000</v>
      </c>
      <c r="BG25" s="2">
        <v>2000</v>
      </c>
      <c r="BH25" s="2">
        <v>-2500</v>
      </c>
      <c r="BI25" s="2">
        <v>3000</v>
      </c>
      <c r="BJ25" s="2">
        <v>0</v>
      </c>
      <c r="BK25" s="2">
        <v>1000</v>
      </c>
      <c r="BL25" s="2">
        <v>1000</v>
      </c>
      <c r="BO25" s="2">
        <f t="shared" si="4"/>
        <v>0</v>
      </c>
      <c r="BP25" s="2">
        <f t="shared" si="11"/>
        <v>0</v>
      </c>
      <c r="BQ25" s="2">
        <f t="shared" si="12"/>
        <v>0</v>
      </c>
      <c r="BR25" s="2">
        <f t="shared" si="13"/>
        <v>0</v>
      </c>
      <c r="BS25" s="2">
        <f t="shared" si="14"/>
        <v>0</v>
      </c>
      <c r="BT25" s="2">
        <f t="shared" si="15"/>
        <v>0</v>
      </c>
      <c r="BU25" s="2">
        <f t="shared" si="16"/>
        <v>0</v>
      </c>
      <c r="BV25" s="2">
        <f t="shared" si="17"/>
        <v>0</v>
      </c>
      <c r="BW25" s="2">
        <f t="shared" si="18"/>
        <v>0</v>
      </c>
      <c r="BX25" s="2">
        <f t="shared" si="19"/>
        <v>0</v>
      </c>
      <c r="BY25" s="2">
        <f t="shared" si="20"/>
        <v>0</v>
      </c>
      <c r="BZ25" s="2">
        <f t="shared" si="21"/>
        <v>0</v>
      </c>
      <c r="CA25" s="2">
        <f t="shared" si="22"/>
        <v>0</v>
      </c>
      <c r="CB25" s="2">
        <f t="shared" si="23"/>
        <v>0</v>
      </c>
      <c r="CC25" s="2">
        <f t="shared" si="24"/>
        <v>0</v>
      </c>
      <c r="CD25" s="2">
        <f t="shared" si="25"/>
        <v>0</v>
      </c>
      <c r="CE25" s="2">
        <f t="shared" si="26"/>
        <v>0</v>
      </c>
      <c r="CF25" s="2">
        <f t="shared" si="27"/>
        <v>-183.39000000000001</v>
      </c>
      <c r="CG25" s="2">
        <f t="shared" si="28"/>
        <v>-4160.92</v>
      </c>
      <c r="CH25" s="2">
        <f t="shared" si="29"/>
        <v>5976.3200000000006</v>
      </c>
      <c r="CI25" s="2">
        <f t="shared" si="30"/>
        <v>0</v>
      </c>
      <c r="CJ25" s="2">
        <f t="shared" si="31"/>
        <v>0</v>
      </c>
      <c r="CK25" s="2">
        <f t="shared" si="32"/>
        <v>0</v>
      </c>
      <c r="CL25" s="2">
        <f t="shared" si="33"/>
        <v>0</v>
      </c>
      <c r="CM25" s="2">
        <f t="shared" si="5"/>
        <v>0</v>
      </c>
      <c r="CN25" s="2">
        <f t="shared" si="6"/>
        <v>0</v>
      </c>
      <c r="CO25" s="2">
        <f t="shared" si="7"/>
        <v>0</v>
      </c>
      <c r="CP25" s="2">
        <f t="shared" si="8"/>
        <v>0</v>
      </c>
      <c r="CQ25" s="2">
        <f t="shared" si="9"/>
        <v>0</v>
      </c>
      <c r="CR25" s="2">
        <f t="shared" si="10"/>
        <v>0</v>
      </c>
      <c r="CV25" t="s">
        <v>64</v>
      </c>
      <c r="CW25" t="s">
        <v>98</v>
      </c>
      <c r="CX25" t="s">
        <v>1</v>
      </c>
      <c r="CY25" s="4">
        <v>42930</v>
      </c>
      <c r="CZ25" t="s">
        <v>65</v>
      </c>
      <c r="DA25" t="s">
        <v>66</v>
      </c>
      <c r="DB25">
        <v>5000</v>
      </c>
      <c r="DC25">
        <v>145.11000000000001</v>
      </c>
      <c r="DD25" t="s">
        <v>69</v>
      </c>
      <c r="DE25" t="s">
        <v>70</v>
      </c>
      <c r="DF25">
        <v>725550.00000000012</v>
      </c>
    </row>
    <row r="26" spans="1:110" x14ac:dyDescent="0.25">
      <c r="A26" s="1">
        <v>42773</v>
      </c>
      <c r="B26">
        <v>126.99</v>
      </c>
      <c r="C26">
        <v>75.680000000000007</v>
      </c>
      <c r="D26">
        <v>158.07</v>
      </c>
      <c r="E26">
        <v>88.76</v>
      </c>
      <c r="F26">
        <v>29.49</v>
      </c>
      <c r="G26">
        <v>102.13</v>
      </c>
      <c r="H26">
        <v>105.66</v>
      </c>
      <c r="I26">
        <v>1</v>
      </c>
      <c r="J26">
        <v>233.42</v>
      </c>
      <c r="K26">
        <v>130.62</v>
      </c>
      <c r="L26">
        <v>162.47</v>
      </c>
      <c r="M26">
        <v>34.51</v>
      </c>
      <c r="N26">
        <v>107.69</v>
      </c>
      <c r="O26">
        <v>82.67</v>
      </c>
      <c r="P26">
        <v>39.18</v>
      </c>
      <c r="Q26">
        <v>118.46</v>
      </c>
      <c r="R26">
        <v>166.14</v>
      </c>
      <c r="S26">
        <v>60.44</v>
      </c>
      <c r="T26">
        <v>60.99</v>
      </c>
      <c r="U26">
        <v>51.53</v>
      </c>
      <c r="V26">
        <v>29.84</v>
      </c>
      <c r="W26">
        <v>82.44</v>
      </c>
      <c r="X26">
        <v>112.46</v>
      </c>
      <c r="Y26">
        <v>156.04</v>
      </c>
      <c r="Z26">
        <v>105.66</v>
      </c>
      <c r="AA26">
        <v>84.47</v>
      </c>
      <c r="AB26">
        <v>43.75</v>
      </c>
      <c r="AC26">
        <v>77.5</v>
      </c>
      <c r="AD26">
        <v>63.69</v>
      </c>
      <c r="AE26">
        <v>75.72</v>
      </c>
      <c r="AI26" s="2">
        <v>5000</v>
      </c>
      <c r="AJ26" s="2">
        <f t="shared" si="3"/>
        <v>1010</v>
      </c>
      <c r="AK26" s="2">
        <f t="shared" si="3"/>
        <v>1010</v>
      </c>
      <c r="AL26" s="2">
        <f t="shared" si="3"/>
        <v>1010</v>
      </c>
      <c r="AM26" s="2">
        <f t="shared" si="3"/>
        <v>1010</v>
      </c>
      <c r="AN26" s="2">
        <f t="shared" si="3"/>
        <v>1010</v>
      </c>
      <c r="AO26" s="2">
        <f t="shared" si="3"/>
        <v>1010</v>
      </c>
      <c r="AP26" s="2">
        <v>0</v>
      </c>
      <c r="AQ26" s="2">
        <v>1000</v>
      </c>
      <c r="AR26" s="2">
        <v>1000</v>
      </c>
      <c r="AS26" s="2">
        <v>1000</v>
      </c>
      <c r="AT26" s="2">
        <v>1000</v>
      </c>
      <c r="AU26" s="2">
        <v>1000</v>
      </c>
      <c r="AV26" s="2">
        <v>1000</v>
      </c>
      <c r="AW26" s="2">
        <v>1000</v>
      </c>
      <c r="AX26" s="2">
        <v>1000</v>
      </c>
      <c r="AY26" s="2">
        <v>1000</v>
      </c>
      <c r="AZ26" s="2">
        <v>969</v>
      </c>
      <c r="BA26" s="2">
        <v>1014</v>
      </c>
      <c r="BB26" s="2">
        <v>941</v>
      </c>
      <c r="BC26" s="2">
        <v>-1000</v>
      </c>
      <c r="BD26" s="2">
        <v>1000</v>
      </c>
      <c r="BE26" s="2">
        <v>5000</v>
      </c>
      <c r="BF26" s="2">
        <v>3000</v>
      </c>
      <c r="BG26" s="2">
        <v>5000</v>
      </c>
      <c r="BH26" s="2">
        <v>-2500</v>
      </c>
      <c r="BI26" s="2">
        <v>3000</v>
      </c>
      <c r="BJ26" s="2">
        <v>0</v>
      </c>
      <c r="BK26" s="2">
        <v>1000</v>
      </c>
      <c r="BL26" s="2">
        <v>1000</v>
      </c>
      <c r="BO26" s="2">
        <f t="shared" si="4"/>
        <v>0</v>
      </c>
      <c r="BP26" s="2">
        <f t="shared" si="11"/>
        <v>0</v>
      </c>
      <c r="BQ26" s="2">
        <f t="shared" si="12"/>
        <v>0</v>
      </c>
      <c r="BR26" s="2">
        <f t="shared" si="13"/>
        <v>0</v>
      </c>
      <c r="BS26" s="2">
        <f t="shared" si="14"/>
        <v>0</v>
      </c>
      <c r="BT26" s="2">
        <f t="shared" si="15"/>
        <v>0</v>
      </c>
      <c r="BU26" s="2">
        <f t="shared" si="16"/>
        <v>0</v>
      </c>
      <c r="BV26" s="2">
        <f t="shared" si="17"/>
        <v>0</v>
      </c>
      <c r="BW26" s="2">
        <f t="shared" si="18"/>
        <v>0</v>
      </c>
      <c r="BX26" s="2">
        <f t="shared" si="19"/>
        <v>0</v>
      </c>
      <c r="BY26" s="2">
        <f t="shared" si="20"/>
        <v>0</v>
      </c>
      <c r="BZ26" s="2">
        <f t="shared" si="21"/>
        <v>0</v>
      </c>
      <c r="CA26" s="2">
        <f t="shared" si="22"/>
        <v>0</v>
      </c>
      <c r="CB26" s="2">
        <f t="shared" si="23"/>
        <v>0</v>
      </c>
      <c r="CC26" s="2">
        <f t="shared" si="24"/>
        <v>0</v>
      </c>
      <c r="CD26" s="2">
        <f t="shared" si="25"/>
        <v>0</v>
      </c>
      <c r="CE26" s="2">
        <f t="shared" si="26"/>
        <v>0</v>
      </c>
      <c r="CF26" s="2">
        <f t="shared" si="27"/>
        <v>2780.24</v>
      </c>
      <c r="CG26" s="2">
        <f t="shared" si="28"/>
        <v>-1768.71</v>
      </c>
      <c r="CH26" s="2">
        <f t="shared" si="29"/>
        <v>721.42000000000007</v>
      </c>
      <c r="CI26" s="2">
        <f t="shared" si="30"/>
        <v>0</v>
      </c>
      <c r="CJ26" s="2">
        <f t="shared" si="31"/>
        <v>0</v>
      </c>
      <c r="CK26" s="2">
        <f t="shared" si="32"/>
        <v>0</v>
      </c>
      <c r="CL26" s="2">
        <f t="shared" si="33"/>
        <v>0</v>
      </c>
      <c r="CM26" s="2">
        <f t="shared" si="5"/>
        <v>-316980</v>
      </c>
      <c r="CN26" s="2">
        <f t="shared" si="6"/>
        <v>0</v>
      </c>
      <c r="CO26" s="2">
        <f t="shared" si="7"/>
        <v>0</v>
      </c>
      <c r="CP26" s="2">
        <f t="shared" si="8"/>
        <v>0</v>
      </c>
      <c r="CQ26" s="2">
        <f t="shared" si="9"/>
        <v>0</v>
      </c>
      <c r="CR26" s="2">
        <f t="shared" si="10"/>
        <v>0</v>
      </c>
      <c r="CV26" t="s">
        <v>64</v>
      </c>
      <c r="CW26" t="s">
        <v>99</v>
      </c>
      <c r="CX26" t="s">
        <v>1</v>
      </c>
      <c r="CY26" s="4">
        <v>42936</v>
      </c>
      <c r="CZ26" t="s">
        <v>65</v>
      </c>
      <c r="DA26" t="s">
        <v>66</v>
      </c>
      <c r="DB26">
        <v>2500</v>
      </c>
      <c r="DC26">
        <v>146.38</v>
      </c>
      <c r="DD26" t="s">
        <v>69</v>
      </c>
      <c r="DE26" t="s">
        <v>70</v>
      </c>
      <c r="DF26">
        <v>365950</v>
      </c>
    </row>
    <row r="27" spans="1:110" x14ac:dyDescent="0.25">
      <c r="A27" s="1">
        <v>42774</v>
      </c>
      <c r="B27">
        <v>127.48</v>
      </c>
      <c r="C27">
        <v>75.75</v>
      </c>
      <c r="D27">
        <v>156.86000000000001</v>
      </c>
      <c r="E27">
        <v>88.38</v>
      </c>
      <c r="F27">
        <v>29.32</v>
      </c>
      <c r="G27">
        <v>102.3</v>
      </c>
      <c r="H27">
        <v>105.66</v>
      </c>
      <c r="I27">
        <v>1</v>
      </c>
      <c r="J27">
        <v>231.58</v>
      </c>
      <c r="K27">
        <v>131.80000000000001</v>
      </c>
      <c r="L27">
        <v>161.65</v>
      </c>
      <c r="M27">
        <v>34.54</v>
      </c>
      <c r="N27">
        <v>107.61</v>
      </c>
      <c r="O27">
        <v>81.95</v>
      </c>
      <c r="P27">
        <v>39.29</v>
      </c>
      <c r="Q27">
        <v>118.54</v>
      </c>
      <c r="R27">
        <v>167.38</v>
      </c>
      <c r="S27">
        <v>60.55</v>
      </c>
      <c r="T27">
        <v>60.9</v>
      </c>
      <c r="U27">
        <v>52.58</v>
      </c>
      <c r="V27">
        <v>29.9</v>
      </c>
      <c r="W27">
        <v>82.74</v>
      </c>
      <c r="X27">
        <v>112.51</v>
      </c>
      <c r="Y27">
        <v>155.82</v>
      </c>
      <c r="Z27">
        <v>104.85</v>
      </c>
      <c r="AA27">
        <v>83.79</v>
      </c>
      <c r="AB27">
        <v>44.05</v>
      </c>
      <c r="AC27">
        <v>77.599999999999994</v>
      </c>
      <c r="AD27">
        <v>64.569999999999993</v>
      </c>
      <c r="AE27">
        <v>75.22</v>
      </c>
      <c r="AI27" s="2">
        <v>5000</v>
      </c>
      <c r="AJ27" s="2">
        <f t="shared" si="3"/>
        <v>1010</v>
      </c>
      <c r="AK27" s="2">
        <f t="shared" si="3"/>
        <v>1010</v>
      </c>
      <c r="AL27" s="2">
        <f t="shared" si="3"/>
        <v>1010</v>
      </c>
      <c r="AM27" s="2">
        <f t="shared" si="3"/>
        <v>1010</v>
      </c>
      <c r="AN27" s="2">
        <f t="shared" si="3"/>
        <v>1010</v>
      </c>
      <c r="AO27" s="2">
        <f t="shared" si="3"/>
        <v>1010</v>
      </c>
      <c r="AP27" s="2">
        <v>0</v>
      </c>
      <c r="AQ27" s="2">
        <v>1000</v>
      </c>
      <c r="AR27" s="2">
        <v>1000</v>
      </c>
      <c r="AS27" s="2">
        <v>1000</v>
      </c>
      <c r="AT27" s="2">
        <v>1000</v>
      </c>
      <c r="AU27" s="2">
        <v>1000</v>
      </c>
      <c r="AV27" s="2">
        <v>1000</v>
      </c>
      <c r="AW27" s="2">
        <v>1000</v>
      </c>
      <c r="AX27" s="2">
        <v>1000</v>
      </c>
      <c r="AY27" s="2">
        <v>1000</v>
      </c>
      <c r="AZ27" s="2">
        <v>969</v>
      </c>
      <c r="BA27" s="2">
        <v>962</v>
      </c>
      <c r="BB27" s="2">
        <v>968</v>
      </c>
      <c r="BC27" s="2">
        <v>-1000</v>
      </c>
      <c r="BD27" s="2">
        <v>1000</v>
      </c>
      <c r="BE27" s="2">
        <v>5000</v>
      </c>
      <c r="BF27" s="2">
        <v>3000</v>
      </c>
      <c r="BG27" s="2">
        <v>5000</v>
      </c>
      <c r="BH27" s="2">
        <v>-2500</v>
      </c>
      <c r="BI27" s="2">
        <v>3000</v>
      </c>
      <c r="BJ27" s="2">
        <v>0</v>
      </c>
      <c r="BK27" s="2">
        <v>1000</v>
      </c>
      <c r="BL27" s="2">
        <v>1000</v>
      </c>
      <c r="BO27" s="2">
        <f t="shared" si="4"/>
        <v>0</v>
      </c>
      <c r="BP27" s="2">
        <f t="shared" si="11"/>
        <v>0</v>
      </c>
      <c r="BQ27" s="2">
        <f t="shared" si="12"/>
        <v>0</v>
      </c>
      <c r="BR27" s="2">
        <f t="shared" si="13"/>
        <v>0</v>
      </c>
      <c r="BS27" s="2">
        <f t="shared" si="14"/>
        <v>0</v>
      </c>
      <c r="BT27" s="2">
        <f t="shared" si="15"/>
        <v>0</v>
      </c>
      <c r="BU27" s="2">
        <f t="shared" si="16"/>
        <v>0</v>
      </c>
      <c r="BV27" s="2">
        <f t="shared" si="17"/>
        <v>0</v>
      </c>
      <c r="BW27" s="2">
        <f t="shared" si="18"/>
        <v>0</v>
      </c>
      <c r="BX27" s="2">
        <f t="shared" si="19"/>
        <v>0</v>
      </c>
      <c r="BY27" s="2">
        <f t="shared" si="20"/>
        <v>0</v>
      </c>
      <c r="BZ27" s="2">
        <f t="shared" si="21"/>
        <v>0</v>
      </c>
      <c r="CA27" s="2">
        <f t="shared" si="22"/>
        <v>0</v>
      </c>
      <c r="CB27" s="2">
        <f t="shared" si="23"/>
        <v>0</v>
      </c>
      <c r="CC27" s="2">
        <f t="shared" si="24"/>
        <v>0</v>
      </c>
      <c r="CD27" s="2">
        <f t="shared" si="25"/>
        <v>0</v>
      </c>
      <c r="CE27" s="2">
        <f t="shared" si="26"/>
        <v>0</v>
      </c>
      <c r="CF27" s="2">
        <f t="shared" si="27"/>
        <v>0</v>
      </c>
      <c r="CG27" s="2">
        <f t="shared" si="28"/>
        <v>3166.7999999999997</v>
      </c>
      <c r="CH27" s="2">
        <f t="shared" si="29"/>
        <v>-1419.6599999999999</v>
      </c>
      <c r="CI27" s="2">
        <f t="shared" si="30"/>
        <v>0</v>
      </c>
      <c r="CJ27" s="2">
        <f t="shared" si="31"/>
        <v>0</v>
      </c>
      <c r="CK27" s="2">
        <f t="shared" si="32"/>
        <v>0</v>
      </c>
      <c r="CL27" s="2">
        <f t="shared" si="33"/>
        <v>0</v>
      </c>
      <c r="CM27" s="2">
        <f t="shared" si="5"/>
        <v>0</v>
      </c>
      <c r="CN27" s="2">
        <f t="shared" si="6"/>
        <v>0</v>
      </c>
      <c r="CO27" s="2">
        <f t="shared" si="7"/>
        <v>0</v>
      </c>
      <c r="CP27" s="2">
        <f t="shared" si="8"/>
        <v>0</v>
      </c>
      <c r="CQ27" s="2">
        <f t="shared" si="9"/>
        <v>0</v>
      </c>
      <c r="CR27" s="2">
        <f t="shared" si="10"/>
        <v>0</v>
      </c>
      <c r="CV27" t="s">
        <v>64</v>
      </c>
      <c r="CW27" t="s">
        <v>100</v>
      </c>
      <c r="CX27" t="s">
        <v>1</v>
      </c>
      <c r="CY27" s="4">
        <v>42941</v>
      </c>
      <c r="CZ27" t="s">
        <v>65</v>
      </c>
      <c r="DA27" t="s">
        <v>66</v>
      </c>
      <c r="DB27">
        <v>2500</v>
      </c>
      <c r="DC27">
        <v>148.72</v>
      </c>
      <c r="DD27" t="s">
        <v>69</v>
      </c>
      <c r="DE27" t="s">
        <v>70</v>
      </c>
      <c r="DF27">
        <v>371800</v>
      </c>
    </row>
    <row r="28" spans="1:110" x14ac:dyDescent="0.25">
      <c r="A28" s="1">
        <v>42775</v>
      </c>
      <c r="B28">
        <v>128.4</v>
      </c>
      <c r="C28">
        <v>76.12</v>
      </c>
      <c r="D28">
        <v>157.31</v>
      </c>
      <c r="E28">
        <v>89.38</v>
      </c>
      <c r="F28">
        <v>29.54</v>
      </c>
      <c r="G28">
        <v>102.92</v>
      </c>
      <c r="H28">
        <v>106.13</v>
      </c>
      <c r="I28">
        <v>1</v>
      </c>
      <c r="J28">
        <v>235.3</v>
      </c>
      <c r="K28">
        <v>132.59</v>
      </c>
      <c r="L28">
        <v>162.61000000000001</v>
      </c>
      <c r="M28">
        <v>33.67</v>
      </c>
      <c r="N28">
        <v>108.25</v>
      </c>
      <c r="O28">
        <v>83.13</v>
      </c>
      <c r="P28">
        <v>38.57</v>
      </c>
      <c r="Q28">
        <v>118.36</v>
      </c>
      <c r="R28">
        <v>168.43</v>
      </c>
      <c r="S28">
        <v>60.62</v>
      </c>
      <c r="T28">
        <v>61.59</v>
      </c>
      <c r="U28">
        <v>53.97</v>
      </c>
      <c r="V28">
        <v>30.12</v>
      </c>
      <c r="W28">
        <v>83.06</v>
      </c>
      <c r="X28">
        <v>113.44</v>
      </c>
      <c r="Y28">
        <v>155.94999999999999</v>
      </c>
      <c r="Z28">
        <v>104.56</v>
      </c>
      <c r="AA28">
        <v>84.27</v>
      </c>
      <c r="AB28">
        <v>44.45</v>
      </c>
      <c r="AC28">
        <v>78.41</v>
      </c>
      <c r="AD28">
        <v>65.78</v>
      </c>
      <c r="AE28">
        <v>75.56</v>
      </c>
      <c r="AI28" s="2">
        <v>5000</v>
      </c>
      <c r="AJ28" s="2">
        <f t="shared" si="3"/>
        <v>1010</v>
      </c>
      <c r="AK28" s="2">
        <f t="shared" si="3"/>
        <v>1010</v>
      </c>
      <c r="AL28" s="2">
        <f t="shared" si="3"/>
        <v>1010</v>
      </c>
      <c r="AM28" s="2">
        <f t="shared" si="3"/>
        <v>1010</v>
      </c>
      <c r="AN28" s="2">
        <f t="shared" si="3"/>
        <v>1010</v>
      </c>
      <c r="AO28" s="2">
        <f t="shared" si="3"/>
        <v>1010</v>
      </c>
      <c r="AP28" s="2">
        <v>0</v>
      </c>
      <c r="AQ28" s="2">
        <v>1000</v>
      </c>
      <c r="AR28" s="2">
        <v>1000</v>
      </c>
      <c r="AS28" s="2">
        <v>1000</v>
      </c>
      <c r="AT28" s="2">
        <v>1000</v>
      </c>
      <c r="AU28" s="2">
        <v>1000</v>
      </c>
      <c r="AV28" s="2">
        <v>1000</v>
      </c>
      <c r="AW28" s="2">
        <v>1000</v>
      </c>
      <c r="AX28" s="2">
        <v>1000</v>
      </c>
      <c r="AY28" s="2">
        <v>1000</v>
      </c>
      <c r="AZ28" s="2">
        <v>970</v>
      </c>
      <c r="BA28" s="2">
        <v>1059</v>
      </c>
      <c r="BB28" s="2">
        <v>1100</v>
      </c>
      <c r="BC28" s="2">
        <v>-1000</v>
      </c>
      <c r="BD28" s="2">
        <v>1000</v>
      </c>
      <c r="BE28" s="2">
        <v>5000</v>
      </c>
      <c r="BF28" s="2">
        <v>3000</v>
      </c>
      <c r="BG28" s="2">
        <v>5000</v>
      </c>
      <c r="BH28" s="2">
        <v>-2500</v>
      </c>
      <c r="BI28" s="2">
        <v>3000</v>
      </c>
      <c r="BJ28" s="2">
        <v>0</v>
      </c>
      <c r="BK28" s="2">
        <v>1000</v>
      </c>
      <c r="BL28" s="2">
        <v>1000</v>
      </c>
      <c r="BO28" s="2">
        <f t="shared" si="4"/>
        <v>0</v>
      </c>
      <c r="BP28" s="2">
        <f t="shared" si="11"/>
        <v>0</v>
      </c>
      <c r="BQ28" s="2">
        <f t="shared" si="12"/>
        <v>0</v>
      </c>
      <c r="BR28" s="2">
        <f t="shared" si="13"/>
        <v>0</v>
      </c>
      <c r="BS28" s="2">
        <f t="shared" si="14"/>
        <v>0</v>
      </c>
      <c r="BT28" s="2">
        <f t="shared" si="15"/>
        <v>0</v>
      </c>
      <c r="BU28" s="2">
        <f t="shared" si="16"/>
        <v>0</v>
      </c>
      <c r="BV28" s="2">
        <f t="shared" si="17"/>
        <v>0</v>
      </c>
      <c r="BW28" s="2">
        <f t="shared" si="18"/>
        <v>0</v>
      </c>
      <c r="BX28" s="2">
        <f t="shared" si="19"/>
        <v>0</v>
      </c>
      <c r="BY28" s="2">
        <f t="shared" si="20"/>
        <v>0</v>
      </c>
      <c r="BZ28" s="2">
        <f t="shared" si="21"/>
        <v>0</v>
      </c>
      <c r="CA28" s="2">
        <f t="shared" si="22"/>
        <v>0</v>
      </c>
      <c r="CB28" s="2">
        <f t="shared" si="23"/>
        <v>0</v>
      </c>
      <c r="CC28" s="2">
        <f t="shared" si="24"/>
        <v>0</v>
      </c>
      <c r="CD28" s="2">
        <f t="shared" si="25"/>
        <v>0</v>
      </c>
      <c r="CE28" s="2">
        <f t="shared" si="26"/>
        <v>0</v>
      </c>
      <c r="CF28" s="2">
        <f t="shared" si="27"/>
        <v>-60.62</v>
      </c>
      <c r="CG28" s="2">
        <f t="shared" si="28"/>
        <v>-5974.2300000000005</v>
      </c>
      <c r="CH28" s="2">
        <f t="shared" si="29"/>
        <v>-7124.04</v>
      </c>
      <c r="CI28" s="2">
        <f t="shared" si="30"/>
        <v>0</v>
      </c>
      <c r="CJ28" s="2">
        <f t="shared" si="31"/>
        <v>0</v>
      </c>
      <c r="CK28" s="2">
        <f t="shared" si="32"/>
        <v>0</v>
      </c>
      <c r="CL28" s="2">
        <f t="shared" si="33"/>
        <v>0</v>
      </c>
      <c r="CM28" s="2">
        <f t="shared" si="5"/>
        <v>0</v>
      </c>
      <c r="CN28" s="2">
        <f t="shared" si="6"/>
        <v>0</v>
      </c>
      <c r="CO28" s="2">
        <f t="shared" si="7"/>
        <v>0</v>
      </c>
      <c r="CP28" s="2">
        <f t="shared" si="8"/>
        <v>0</v>
      </c>
      <c r="CQ28" s="2">
        <f t="shared" si="9"/>
        <v>0</v>
      </c>
      <c r="CR28" s="2">
        <f t="shared" si="10"/>
        <v>0</v>
      </c>
      <c r="CV28" t="s">
        <v>64</v>
      </c>
      <c r="CW28" t="s">
        <v>101</v>
      </c>
      <c r="CX28" t="s">
        <v>1</v>
      </c>
      <c r="CY28" s="4">
        <v>43011</v>
      </c>
      <c r="CZ28" t="s">
        <v>67</v>
      </c>
      <c r="DA28" t="s">
        <v>68</v>
      </c>
      <c r="DB28">
        <v>2500</v>
      </c>
      <c r="DC28">
        <v>151</v>
      </c>
      <c r="DD28" t="s">
        <v>69</v>
      </c>
      <c r="DE28" t="s">
        <v>70</v>
      </c>
      <c r="DF28">
        <v>377500</v>
      </c>
    </row>
    <row r="29" spans="1:110" x14ac:dyDescent="0.25">
      <c r="A29" s="1">
        <v>42776</v>
      </c>
      <c r="B29">
        <v>128.11000000000001</v>
      </c>
      <c r="C29">
        <v>76.42</v>
      </c>
      <c r="D29">
        <v>159.16999999999999</v>
      </c>
      <c r="E29">
        <v>91.62</v>
      </c>
      <c r="F29">
        <v>29.55</v>
      </c>
      <c r="G29">
        <v>103.65</v>
      </c>
      <c r="H29">
        <v>105.91</v>
      </c>
      <c r="I29">
        <v>1</v>
      </c>
      <c r="J29">
        <v>236.44</v>
      </c>
      <c r="K29">
        <v>133.68</v>
      </c>
      <c r="L29">
        <v>163.96</v>
      </c>
      <c r="M29">
        <v>33.549999999999997</v>
      </c>
      <c r="N29">
        <v>109.36</v>
      </c>
      <c r="O29">
        <v>82.94</v>
      </c>
      <c r="P29">
        <v>37.950000000000003</v>
      </c>
      <c r="Q29">
        <v>119.63</v>
      </c>
      <c r="R29">
        <v>169.2</v>
      </c>
      <c r="S29">
        <v>60.39</v>
      </c>
      <c r="T29">
        <v>61.54</v>
      </c>
      <c r="U29">
        <v>54.86</v>
      </c>
      <c r="V29">
        <v>30.1</v>
      </c>
      <c r="W29">
        <v>82.4</v>
      </c>
      <c r="X29">
        <v>114.35</v>
      </c>
      <c r="Y29">
        <v>156.25</v>
      </c>
      <c r="Z29">
        <v>105.47</v>
      </c>
      <c r="AA29">
        <v>84.58</v>
      </c>
      <c r="AB29">
        <v>44.61</v>
      </c>
      <c r="AC29">
        <v>79.290000000000006</v>
      </c>
      <c r="AD29">
        <v>64.77</v>
      </c>
      <c r="AE29">
        <v>76.180000000000007</v>
      </c>
      <c r="AI29" s="2">
        <v>5000</v>
      </c>
      <c r="AJ29" s="2">
        <f t="shared" si="3"/>
        <v>1010</v>
      </c>
      <c r="AK29" s="2">
        <f t="shared" si="3"/>
        <v>1010</v>
      </c>
      <c r="AL29" s="2">
        <f t="shared" si="3"/>
        <v>1010</v>
      </c>
      <c r="AM29" s="2">
        <f t="shared" si="3"/>
        <v>1010</v>
      </c>
      <c r="AN29" s="2">
        <f t="shared" si="3"/>
        <v>1010</v>
      </c>
      <c r="AO29" s="2">
        <f t="shared" si="3"/>
        <v>1010</v>
      </c>
      <c r="AP29" s="2">
        <v>0</v>
      </c>
      <c r="AQ29" s="2">
        <v>1000</v>
      </c>
      <c r="AR29" s="2">
        <v>1000</v>
      </c>
      <c r="AS29" s="2">
        <v>1000</v>
      </c>
      <c r="AT29" s="2">
        <v>1000</v>
      </c>
      <c r="AU29" s="2">
        <v>1000</v>
      </c>
      <c r="AV29" s="2">
        <v>1000</v>
      </c>
      <c r="AW29" s="2">
        <v>1000</v>
      </c>
      <c r="AX29" s="2">
        <v>1000</v>
      </c>
      <c r="AY29" s="2">
        <v>1000</v>
      </c>
      <c r="AZ29" s="2">
        <v>1011</v>
      </c>
      <c r="BA29" s="2">
        <v>999</v>
      </c>
      <c r="BB29" s="2">
        <v>992</v>
      </c>
      <c r="BC29" s="2">
        <v>-1000</v>
      </c>
      <c r="BD29" s="2">
        <v>1000</v>
      </c>
      <c r="BE29" s="2">
        <v>5000</v>
      </c>
      <c r="BF29" s="2">
        <v>3000</v>
      </c>
      <c r="BG29" s="2">
        <v>5000</v>
      </c>
      <c r="BH29" s="2">
        <v>-1250</v>
      </c>
      <c r="BI29" s="2">
        <v>3000</v>
      </c>
      <c r="BJ29" s="2">
        <v>0</v>
      </c>
      <c r="BK29" s="2">
        <v>1000</v>
      </c>
      <c r="BL29" s="2">
        <v>1000</v>
      </c>
      <c r="BO29" s="2">
        <f t="shared" si="4"/>
        <v>0</v>
      </c>
      <c r="BP29" s="2">
        <f t="shared" si="11"/>
        <v>0</v>
      </c>
      <c r="BQ29" s="2">
        <f t="shared" si="12"/>
        <v>0</v>
      </c>
      <c r="BR29" s="2">
        <f t="shared" si="13"/>
        <v>0</v>
      </c>
      <c r="BS29" s="2">
        <f t="shared" si="14"/>
        <v>0</v>
      </c>
      <c r="BT29" s="2">
        <f t="shared" si="15"/>
        <v>0</v>
      </c>
      <c r="BU29" s="2">
        <f t="shared" si="16"/>
        <v>0</v>
      </c>
      <c r="BV29" s="2">
        <f t="shared" si="17"/>
        <v>0</v>
      </c>
      <c r="BW29" s="2">
        <f t="shared" si="18"/>
        <v>0</v>
      </c>
      <c r="BX29" s="2">
        <f t="shared" si="19"/>
        <v>0</v>
      </c>
      <c r="BY29" s="2">
        <f t="shared" si="20"/>
        <v>0</v>
      </c>
      <c r="BZ29" s="2">
        <f t="shared" si="21"/>
        <v>0</v>
      </c>
      <c r="CA29" s="2">
        <f t="shared" si="22"/>
        <v>0</v>
      </c>
      <c r="CB29" s="2">
        <f t="shared" si="23"/>
        <v>0</v>
      </c>
      <c r="CC29" s="2">
        <f t="shared" si="24"/>
        <v>0</v>
      </c>
      <c r="CD29" s="2">
        <f t="shared" si="25"/>
        <v>0</v>
      </c>
      <c r="CE29" s="2">
        <f t="shared" si="26"/>
        <v>0</v>
      </c>
      <c r="CF29" s="2">
        <f t="shared" si="27"/>
        <v>-2475.9900000000002</v>
      </c>
      <c r="CG29" s="2">
        <f t="shared" si="28"/>
        <v>3692.4</v>
      </c>
      <c r="CH29" s="2">
        <f t="shared" si="29"/>
        <v>5924.88</v>
      </c>
      <c r="CI29" s="2">
        <f t="shared" si="30"/>
        <v>0</v>
      </c>
      <c r="CJ29" s="2">
        <f t="shared" si="31"/>
        <v>0</v>
      </c>
      <c r="CK29" s="2">
        <f t="shared" si="32"/>
        <v>0</v>
      </c>
      <c r="CL29" s="2">
        <f t="shared" si="33"/>
        <v>0</v>
      </c>
      <c r="CM29" s="2">
        <f t="shared" si="5"/>
        <v>0</v>
      </c>
      <c r="CN29" s="2">
        <f t="shared" si="6"/>
        <v>-105725</v>
      </c>
      <c r="CO29" s="2">
        <f t="shared" si="7"/>
        <v>0</v>
      </c>
      <c r="CP29" s="2">
        <f t="shared" si="8"/>
        <v>0</v>
      </c>
      <c r="CQ29" s="2">
        <f t="shared" si="9"/>
        <v>0</v>
      </c>
      <c r="CR29" s="2">
        <f t="shared" si="10"/>
        <v>0</v>
      </c>
      <c r="CV29" t="s">
        <v>64</v>
      </c>
      <c r="CW29" t="s">
        <v>102</v>
      </c>
      <c r="CX29" t="s">
        <v>1</v>
      </c>
      <c r="CY29" s="4">
        <v>43014</v>
      </c>
      <c r="CZ29" t="s">
        <v>67</v>
      </c>
      <c r="DA29" t="s">
        <v>68</v>
      </c>
      <c r="DB29">
        <v>2500</v>
      </c>
      <c r="DC29">
        <v>151.80000000000001</v>
      </c>
      <c r="DD29" t="s">
        <v>69</v>
      </c>
      <c r="DE29" t="s">
        <v>70</v>
      </c>
      <c r="DF29">
        <v>379500</v>
      </c>
    </row>
    <row r="30" spans="1:110" x14ac:dyDescent="0.25">
      <c r="A30" s="1">
        <v>42779</v>
      </c>
      <c r="B30">
        <v>129.25</v>
      </c>
      <c r="C30">
        <v>76.83</v>
      </c>
      <c r="D30">
        <v>160.9</v>
      </c>
      <c r="E30">
        <v>93.7</v>
      </c>
      <c r="F30">
        <v>29.98</v>
      </c>
      <c r="G30">
        <v>104.44</v>
      </c>
      <c r="H30">
        <v>106.29</v>
      </c>
      <c r="I30">
        <v>1</v>
      </c>
      <c r="J30">
        <v>239.9</v>
      </c>
      <c r="K30">
        <v>133.69999999999999</v>
      </c>
      <c r="L30">
        <v>164.58</v>
      </c>
      <c r="M30">
        <v>33.99</v>
      </c>
      <c r="N30">
        <v>109.96</v>
      </c>
      <c r="O30">
        <v>84.04</v>
      </c>
      <c r="P30">
        <v>37.979999999999997</v>
      </c>
      <c r="Q30">
        <v>119.36</v>
      </c>
      <c r="R30">
        <v>171.11</v>
      </c>
      <c r="S30">
        <v>60.97</v>
      </c>
      <c r="T30">
        <v>62.23</v>
      </c>
      <c r="U30">
        <v>54.73</v>
      </c>
      <c r="V30">
        <v>30.34</v>
      </c>
      <c r="W30">
        <v>82.72</v>
      </c>
      <c r="X30">
        <v>114.33</v>
      </c>
      <c r="Y30">
        <v>157.44999999999999</v>
      </c>
      <c r="Z30">
        <v>106.39</v>
      </c>
      <c r="AA30">
        <v>85.12</v>
      </c>
      <c r="AB30">
        <v>44.21</v>
      </c>
      <c r="AC30">
        <v>79.760000000000005</v>
      </c>
      <c r="AD30">
        <v>64.53</v>
      </c>
      <c r="AE30">
        <v>76.63</v>
      </c>
      <c r="AI30" s="2">
        <v>5000</v>
      </c>
      <c r="AJ30" s="2">
        <f t="shared" ref="AJ30:AO30" si="36">AJ29+10</f>
        <v>1020</v>
      </c>
      <c r="AK30" s="2">
        <f t="shared" si="36"/>
        <v>1020</v>
      </c>
      <c r="AL30" s="2">
        <f t="shared" si="36"/>
        <v>1020</v>
      </c>
      <c r="AM30" s="2">
        <f t="shared" si="36"/>
        <v>1020</v>
      </c>
      <c r="AN30" s="2">
        <f t="shared" si="36"/>
        <v>1020</v>
      </c>
      <c r="AO30" s="2">
        <f t="shared" si="36"/>
        <v>1020</v>
      </c>
      <c r="AP30" s="2">
        <v>0</v>
      </c>
      <c r="AQ30" s="2">
        <v>1000</v>
      </c>
      <c r="AR30" s="2">
        <v>1000</v>
      </c>
      <c r="AS30" s="2">
        <v>1000</v>
      </c>
      <c r="AT30" s="2">
        <v>1000</v>
      </c>
      <c r="AU30" s="2">
        <v>1000</v>
      </c>
      <c r="AV30" s="2">
        <v>1000</v>
      </c>
      <c r="AW30" s="2">
        <v>1000</v>
      </c>
      <c r="AX30" s="2">
        <v>1000</v>
      </c>
      <c r="AY30" s="2">
        <v>1000</v>
      </c>
      <c r="AZ30" s="2">
        <v>1032</v>
      </c>
      <c r="BA30" s="2">
        <v>993</v>
      </c>
      <c r="BB30" s="2">
        <v>997</v>
      </c>
      <c r="BC30" s="2">
        <v>-1000</v>
      </c>
      <c r="BD30" s="2">
        <v>1000</v>
      </c>
      <c r="BE30" s="2">
        <v>5000</v>
      </c>
      <c r="BF30" s="2">
        <v>3000</v>
      </c>
      <c r="BG30" s="2">
        <v>5000</v>
      </c>
      <c r="BH30" s="2">
        <v>0</v>
      </c>
      <c r="BI30" s="2">
        <v>3000</v>
      </c>
      <c r="BJ30" s="2">
        <v>0</v>
      </c>
      <c r="BK30" s="2">
        <v>1000</v>
      </c>
      <c r="BL30" s="2">
        <v>1000</v>
      </c>
      <c r="BO30" s="2">
        <f t="shared" si="4"/>
        <v>0</v>
      </c>
      <c r="BP30" s="2">
        <f t="shared" si="11"/>
        <v>-768.3</v>
      </c>
      <c r="BQ30" s="2">
        <f t="shared" si="12"/>
        <v>-1609</v>
      </c>
      <c r="BR30" s="2">
        <f t="shared" si="13"/>
        <v>-937</v>
      </c>
      <c r="BS30" s="2">
        <f t="shared" si="14"/>
        <v>-299.8</v>
      </c>
      <c r="BT30" s="2">
        <f t="shared" si="15"/>
        <v>-1044.4000000000001</v>
      </c>
      <c r="BU30" s="2">
        <f t="shared" si="16"/>
        <v>-1062.9000000000001</v>
      </c>
      <c r="BV30" s="2">
        <f t="shared" si="17"/>
        <v>0</v>
      </c>
      <c r="BW30" s="2">
        <f t="shared" si="18"/>
        <v>0</v>
      </c>
      <c r="BX30" s="2">
        <f t="shared" si="19"/>
        <v>0</v>
      </c>
      <c r="BY30" s="2">
        <f t="shared" si="20"/>
        <v>0</v>
      </c>
      <c r="BZ30" s="2">
        <f t="shared" si="21"/>
        <v>0</v>
      </c>
      <c r="CA30" s="2">
        <f t="shared" si="22"/>
        <v>0</v>
      </c>
      <c r="CB30" s="2">
        <f t="shared" si="23"/>
        <v>0</v>
      </c>
      <c r="CC30" s="2">
        <f t="shared" si="24"/>
        <v>0</v>
      </c>
      <c r="CD30" s="2">
        <f t="shared" si="25"/>
        <v>0</v>
      </c>
      <c r="CE30" s="2">
        <f t="shared" si="26"/>
        <v>0</v>
      </c>
      <c r="CF30" s="2">
        <f t="shared" si="27"/>
        <v>-1280.3699999999999</v>
      </c>
      <c r="CG30" s="2">
        <f t="shared" si="28"/>
        <v>373.38</v>
      </c>
      <c r="CH30" s="2">
        <f t="shared" si="29"/>
        <v>-273.64999999999998</v>
      </c>
      <c r="CI30" s="2">
        <f t="shared" si="30"/>
        <v>0</v>
      </c>
      <c r="CJ30" s="2">
        <f t="shared" si="31"/>
        <v>0</v>
      </c>
      <c r="CK30" s="2">
        <f t="shared" si="32"/>
        <v>0</v>
      </c>
      <c r="CL30" s="2">
        <f t="shared" si="33"/>
        <v>0</v>
      </c>
      <c r="CM30" s="2">
        <f t="shared" si="5"/>
        <v>0</v>
      </c>
      <c r="CN30" s="2">
        <f t="shared" si="6"/>
        <v>-106400</v>
      </c>
      <c r="CO30" s="2">
        <f t="shared" si="7"/>
        <v>0</v>
      </c>
      <c r="CP30" s="2">
        <f t="shared" si="8"/>
        <v>0</v>
      </c>
      <c r="CQ30" s="2">
        <f t="shared" si="9"/>
        <v>0</v>
      </c>
      <c r="CR30" s="2">
        <f t="shared" si="10"/>
        <v>0</v>
      </c>
      <c r="CV30" t="s">
        <v>64</v>
      </c>
      <c r="CW30" t="s">
        <v>103</v>
      </c>
      <c r="CX30" t="s">
        <v>1</v>
      </c>
      <c r="CY30" s="4">
        <v>43021</v>
      </c>
      <c r="CZ30" t="s">
        <v>65</v>
      </c>
      <c r="DA30" t="s">
        <v>66</v>
      </c>
      <c r="DB30">
        <v>2500</v>
      </c>
      <c r="DC30">
        <v>153.46</v>
      </c>
      <c r="DD30" t="s">
        <v>69</v>
      </c>
      <c r="DE30" t="s">
        <v>70</v>
      </c>
      <c r="DF30">
        <v>383650</v>
      </c>
    </row>
    <row r="31" spans="1:110" x14ac:dyDescent="0.25">
      <c r="A31" s="1">
        <v>42780</v>
      </c>
      <c r="B31">
        <v>130.91999999999999</v>
      </c>
      <c r="C31">
        <v>77.319999999999993</v>
      </c>
      <c r="D31">
        <v>161.35</v>
      </c>
      <c r="E31">
        <v>93.31</v>
      </c>
      <c r="F31">
        <v>30.3</v>
      </c>
      <c r="G31">
        <v>104.15</v>
      </c>
      <c r="H31">
        <v>106.95</v>
      </c>
      <c r="I31">
        <v>1</v>
      </c>
      <c r="J31">
        <v>243.01</v>
      </c>
      <c r="K31">
        <v>135.12</v>
      </c>
      <c r="L31">
        <v>165.29</v>
      </c>
      <c r="M31">
        <v>34.11</v>
      </c>
      <c r="N31">
        <v>110.42</v>
      </c>
      <c r="O31">
        <v>85.38</v>
      </c>
      <c r="P31">
        <v>37.9</v>
      </c>
      <c r="Q31">
        <v>119.62</v>
      </c>
      <c r="R31">
        <v>171.66</v>
      </c>
      <c r="S31">
        <v>61.81</v>
      </c>
      <c r="T31">
        <v>62.46</v>
      </c>
      <c r="U31">
        <v>55.08</v>
      </c>
      <c r="V31">
        <v>30.47</v>
      </c>
      <c r="W31">
        <v>82.3</v>
      </c>
      <c r="X31">
        <v>114.83</v>
      </c>
      <c r="Y31">
        <v>158.56</v>
      </c>
      <c r="Z31">
        <v>105.96</v>
      </c>
      <c r="AA31">
        <v>85.52</v>
      </c>
      <c r="AB31">
        <v>43.96</v>
      </c>
      <c r="AC31">
        <v>80.11</v>
      </c>
      <c r="AD31">
        <v>65.38</v>
      </c>
      <c r="AE31">
        <v>76.459999999999994</v>
      </c>
      <c r="AI31" s="2">
        <v>5000</v>
      </c>
      <c r="AJ31" s="2">
        <f t="shared" ref="AJ31:AO31" si="37">AJ30</f>
        <v>1020</v>
      </c>
      <c r="AK31" s="2">
        <f t="shared" si="37"/>
        <v>1020</v>
      </c>
      <c r="AL31" s="2">
        <f t="shared" si="37"/>
        <v>1020</v>
      </c>
      <c r="AM31" s="2">
        <f t="shared" si="37"/>
        <v>1020</v>
      </c>
      <c r="AN31" s="2">
        <f t="shared" si="37"/>
        <v>1020</v>
      </c>
      <c r="AO31" s="2">
        <f t="shared" si="37"/>
        <v>1020</v>
      </c>
      <c r="AP31" s="2">
        <v>0</v>
      </c>
      <c r="AQ31" s="2">
        <v>1000</v>
      </c>
      <c r="AR31" s="2">
        <v>1000</v>
      </c>
      <c r="AS31" s="2">
        <v>1000</v>
      </c>
      <c r="AT31" s="2">
        <v>1000</v>
      </c>
      <c r="AU31" s="2">
        <v>1000</v>
      </c>
      <c r="AV31" s="2">
        <v>1000</v>
      </c>
      <c r="AW31" s="2">
        <v>1000</v>
      </c>
      <c r="AX31" s="2">
        <v>1000</v>
      </c>
      <c r="AY31" s="2">
        <v>1000</v>
      </c>
      <c r="AZ31" s="2">
        <v>965</v>
      </c>
      <c r="BA31" s="2">
        <v>928</v>
      </c>
      <c r="BB31" s="2">
        <v>999</v>
      </c>
      <c r="BC31" s="2">
        <v>-1000</v>
      </c>
      <c r="BD31" s="2">
        <v>1000</v>
      </c>
      <c r="BE31" s="2">
        <v>5000</v>
      </c>
      <c r="BF31" s="2">
        <v>3000</v>
      </c>
      <c r="BG31" s="2">
        <v>5000</v>
      </c>
      <c r="BH31" s="2">
        <v>2500</v>
      </c>
      <c r="BI31" s="2">
        <v>3000</v>
      </c>
      <c r="BJ31" s="2">
        <v>0</v>
      </c>
      <c r="BK31" s="2">
        <v>1000</v>
      </c>
      <c r="BL31" s="2">
        <v>1000</v>
      </c>
      <c r="BO31" s="2">
        <f t="shared" si="4"/>
        <v>0</v>
      </c>
      <c r="BP31" s="2">
        <f t="shared" si="11"/>
        <v>0</v>
      </c>
      <c r="BQ31" s="2">
        <f t="shared" si="12"/>
        <v>0</v>
      </c>
      <c r="BR31" s="2">
        <f t="shared" si="13"/>
        <v>0</v>
      </c>
      <c r="BS31" s="2">
        <f t="shared" si="14"/>
        <v>0</v>
      </c>
      <c r="BT31" s="2">
        <f t="shared" si="15"/>
        <v>0</v>
      </c>
      <c r="BU31" s="2">
        <f t="shared" si="16"/>
        <v>0</v>
      </c>
      <c r="BV31" s="2">
        <f t="shared" si="17"/>
        <v>0</v>
      </c>
      <c r="BW31" s="2">
        <f t="shared" si="18"/>
        <v>0</v>
      </c>
      <c r="BX31" s="2">
        <f t="shared" si="19"/>
        <v>0</v>
      </c>
      <c r="BY31" s="2">
        <f t="shared" si="20"/>
        <v>0</v>
      </c>
      <c r="BZ31" s="2">
        <f t="shared" si="21"/>
        <v>0</v>
      </c>
      <c r="CA31" s="2">
        <f t="shared" si="22"/>
        <v>0</v>
      </c>
      <c r="CB31" s="2">
        <f t="shared" si="23"/>
        <v>0</v>
      </c>
      <c r="CC31" s="2">
        <f t="shared" si="24"/>
        <v>0</v>
      </c>
      <c r="CD31" s="2">
        <f t="shared" si="25"/>
        <v>0</v>
      </c>
      <c r="CE31" s="2">
        <f t="shared" si="26"/>
        <v>0</v>
      </c>
      <c r="CF31" s="2">
        <f t="shared" si="27"/>
        <v>4141.2700000000004</v>
      </c>
      <c r="CG31" s="2">
        <f t="shared" si="28"/>
        <v>4059.9</v>
      </c>
      <c r="CH31" s="2">
        <f t="shared" si="29"/>
        <v>-110.16</v>
      </c>
      <c r="CI31" s="2">
        <f t="shared" si="30"/>
        <v>0</v>
      </c>
      <c r="CJ31" s="2">
        <f t="shared" si="31"/>
        <v>0</v>
      </c>
      <c r="CK31" s="2">
        <f t="shared" si="32"/>
        <v>0</v>
      </c>
      <c r="CL31" s="2">
        <f t="shared" si="33"/>
        <v>0</v>
      </c>
      <c r="CM31" s="2">
        <f t="shared" si="5"/>
        <v>0</v>
      </c>
      <c r="CN31" s="2">
        <f t="shared" si="6"/>
        <v>-213800</v>
      </c>
      <c r="CO31" s="2">
        <f t="shared" si="7"/>
        <v>0</v>
      </c>
      <c r="CP31" s="2">
        <f t="shared" si="8"/>
        <v>0</v>
      </c>
      <c r="CQ31" s="2">
        <f t="shared" si="9"/>
        <v>0</v>
      </c>
      <c r="CR31" s="2">
        <f t="shared" si="10"/>
        <v>0</v>
      </c>
      <c r="CV31" t="s">
        <v>64</v>
      </c>
      <c r="CW31" t="s">
        <v>104</v>
      </c>
      <c r="CX31" t="s">
        <v>1</v>
      </c>
      <c r="CY31" s="4">
        <v>43031</v>
      </c>
      <c r="CZ31" t="s">
        <v>65</v>
      </c>
      <c r="DA31" t="s">
        <v>66</v>
      </c>
      <c r="DB31">
        <v>1250</v>
      </c>
      <c r="DC31">
        <v>152.65</v>
      </c>
      <c r="DD31" t="s">
        <v>69</v>
      </c>
      <c r="DE31" t="s">
        <v>70</v>
      </c>
      <c r="DF31">
        <v>190812.5</v>
      </c>
    </row>
    <row r="32" spans="1:110" x14ac:dyDescent="0.25">
      <c r="A32" s="1">
        <v>42781</v>
      </c>
      <c r="B32">
        <v>131.4</v>
      </c>
      <c r="C32">
        <v>77.510000000000005</v>
      </c>
      <c r="D32">
        <v>162.11000000000001</v>
      </c>
      <c r="E32">
        <v>94.2</v>
      </c>
      <c r="F32">
        <v>30.78</v>
      </c>
      <c r="G32">
        <v>104.2</v>
      </c>
      <c r="H32">
        <v>106.8</v>
      </c>
      <c r="I32">
        <v>1</v>
      </c>
      <c r="J32">
        <v>244.06</v>
      </c>
      <c r="K32">
        <v>135.91999999999999</v>
      </c>
      <c r="L32">
        <v>166.71</v>
      </c>
      <c r="M32">
        <v>34.229999999999997</v>
      </c>
      <c r="N32">
        <v>111.22</v>
      </c>
      <c r="O32">
        <v>86.36</v>
      </c>
      <c r="P32">
        <v>37.82</v>
      </c>
      <c r="Q32">
        <v>120.26</v>
      </c>
      <c r="R32">
        <v>172.87</v>
      </c>
      <c r="S32">
        <v>61.34</v>
      </c>
      <c r="T32">
        <v>62.42</v>
      </c>
      <c r="U32">
        <v>55.27</v>
      </c>
      <c r="V32">
        <v>31.17</v>
      </c>
      <c r="W32">
        <v>85.35</v>
      </c>
      <c r="X32">
        <v>115.54</v>
      </c>
      <c r="Y32">
        <v>159.69</v>
      </c>
      <c r="Z32">
        <v>106.92</v>
      </c>
      <c r="AA32">
        <v>86.36</v>
      </c>
      <c r="AB32">
        <v>43.79</v>
      </c>
      <c r="AC32">
        <v>80.55</v>
      </c>
      <c r="AD32">
        <v>65.41</v>
      </c>
      <c r="AE32">
        <v>76.77</v>
      </c>
      <c r="AI32" s="2">
        <v>5000</v>
      </c>
      <c r="AJ32" s="2">
        <f t="shared" ref="AJ32:AO57" si="38">AJ31</f>
        <v>1020</v>
      </c>
      <c r="AK32" s="2">
        <f t="shared" si="38"/>
        <v>1020</v>
      </c>
      <c r="AL32" s="2">
        <f t="shared" si="38"/>
        <v>1020</v>
      </c>
      <c r="AM32" s="2">
        <f t="shared" si="38"/>
        <v>1020</v>
      </c>
      <c r="AN32" s="2">
        <f t="shared" si="38"/>
        <v>1020</v>
      </c>
      <c r="AO32" s="2">
        <f t="shared" si="38"/>
        <v>1020</v>
      </c>
      <c r="AP32" s="2">
        <v>0</v>
      </c>
      <c r="AQ32" s="2">
        <v>1000</v>
      </c>
      <c r="AR32" s="2">
        <v>1000</v>
      </c>
      <c r="AS32" s="2">
        <v>1000</v>
      </c>
      <c r="AT32" s="2">
        <v>1000</v>
      </c>
      <c r="AU32" s="2">
        <v>1000</v>
      </c>
      <c r="AV32" s="2">
        <v>1000</v>
      </c>
      <c r="AW32" s="2">
        <v>1000</v>
      </c>
      <c r="AX32" s="2">
        <v>1000</v>
      </c>
      <c r="AY32" s="2">
        <v>1000</v>
      </c>
      <c r="AZ32" s="2">
        <v>963</v>
      </c>
      <c r="BA32" s="2">
        <v>1069</v>
      </c>
      <c r="BB32" s="2">
        <v>911</v>
      </c>
      <c r="BC32" s="2">
        <v>-1000</v>
      </c>
      <c r="BD32" s="2">
        <v>1000</v>
      </c>
      <c r="BE32" s="2">
        <v>5000</v>
      </c>
      <c r="BF32" s="2">
        <v>3000</v>
      </c>
      <c r="BG32" s="2">
        <v>5000</v>
      </c>
      <c r="BH32" s="2">
        <v>5000</v>
      </c>
      <c r="BI32" s="2">
        <v>3000</v>
      </c>
      <c r="BJ32" s="2">
        <v>0</v>
      </c>
      <c r="BK32" s="2">
        <v>1000</v>
      </c>
      <c r="BL32" s="2">
        <v>1000</v>
      </c>
      <c r="BO32" s="2">
        <f t="shared" si="4"/>
        <v>0</v>
      </c>
      <c r="BP32" s="2">
        <f t="shared" si="11"/>
        <v>0</v>
      </c>
      <c r="BQ32" s="2">
        <f t="shared" si="12"/>
        <v>0</v>
      </c>
      <c r="BR32" s="2">
        <f t="shared" si="13"/>
        <v>0</v>
      </c>
      <c r="BS32" s="2">
        <f t="shared" si="14"/>
        <v>0</v>
      </c>
      <c r="BT32" s="2">
        <f t="shared" si="15"/>
        <v>0</v>
      </c>
      <c r="BU32" s="2">
        <f t="shared" si="16"/>
        <v>0</v>
      </c>
      <c r="BV32" s="2">
        <f t="shared" si="17"/>
        <v>0</v>
      </c>
      <c r="BW32" s="2">
        <f t="shared" si="18"/>
        <v>0</v>
      </c>
      <c r="BX32" s="2">
        <f t="shared" si="19"/>
        <v>0</v>
      </c>
      <c r="BY32" s="2">
        <f t="shared" si="20"/>
        <v>0</v>
      </c>
      <c r="BZ32" s="2">
        <f t="shared" si="21"/>
        <v>0</v>
      </c>
      <c r="CA32" s="2">
        <f t="shared" si="22"/>
        <v>0</v>
      </c>
      <c r="CB32" s="2">
        <f t="shared" si="23"/>
        <v>0</v>
      </c>
      <c r="CC32" s="2">
        <f t="shared" si="24"/>
        <v>0</v>
      </c>
      <c r="CD32" s="2">
        <f t="shared" si="25"/>
        <v>0</v>
      </c>
      <c r="CE32" s="2">
        <f t="shared" si="26"/>
        <v>0</v>
      </c>
      <c r="CF32" s="2">
        <f t="shared" si="27"/>
        <v>122.68</v>
      </c>
      <c r="CG32" s="2">
        <f t="shared" si="28"/>
        <v>-8801.2199999999993</v>
      </c>
      <c r="CH32" s="2">
        <f t="shared" si="29"/>
        <v>4863.76</v>
      </c>
      <c r="CI32" s="2">
        <f t="shared" si="30"/>
        <v>0</v>
      </c>
      <c r="CJ32" s="2">
        <f t="shared" si="31"/>
        <v>0</v>
      </c>
      <c r="CK32" s="2">
        <f t="shared" si="32"/>
        <v>0</v>
      </c>
      <c r="CL32" s="2">
        <f t="shared" si="33"/>
        <v>0</v>
      </c>
      <c r="CM32" s="2">
        <f t="shared" si="5"/>
        <v>0</v>
      </c>
      <c r="CN32" s="2">
        <f t="shared" si="6"/>
        <v>-215900</v>
      </c>
      <c r="CO32" s="2">
        <f t="shared" si="7"/>
        <v>0</v>
      </c>
      <c r="CP32" s="2">
        <f t="shared" si="8"/>
        <v>0</v>
      </c>
      <c r="CQ32" s="2">
        <f t="shared" si="9"/>
        <v>0</v>
      </c>
      <c r="CR32" s="2">
        <f t="shared" si="10"/>
        <v>0</v>
      </c>
      <c r="CV32" t="s">
        <v>64</v>
      </c>
      <c r="CW32" t="s">
        <v>105</v>
      </c>
      <c r="CX32" t="s">
        <v>1</v>
      </c>
      <c r="CY32" s="4">
        <v>43033</v>
      </c>
      <c r="CZ32" t="s">
        <v>65</v>
      </c>
      <c r="DA32" t="s">
        <v>66</v>
      </c>
      <c r="DB32">
        <v>750</v>
      </c>
      <c r="DC32">
        <v>152.88999999999999</v>
      </c>
      <c r="DD32" t="s">
        <v>69</v>
      </c>
      <c r="DE32" t="s">
        <v>70</v>
      </c>
      <c r="DF32">
        <v>114667.49999999999</v>
      </c>
    </row>
    <row r="33" spans="1:110" x14ac:dyDescent="0.25">
      <c r="A33" s="1">
        <v>42782</v>
      </c>
      <c r="B33">
        <v>131.24</v>
      </c>
      <c r="C33">
        <v>77.42</v>
      </c>
      <c r="D33">
        <v>163.56</v>
      </c>
      <c r="E33">
        <v>93.47</v>
      </c>
      <c r="F33">
        <v>31.51</v>
      </c>
      <c r="G33">
        <v>102.45</v>
      </c>
      <c r="H33">
        <v>107.31</v>
      </c>
      <c r="I33">
        <v>1</v>
      </c>
      <c r="J33">
        <v>242.99</v>
      </c>
      <c r="K33">
        <v>135.29</v>
      </c>
      <c r="L33">
        <v>166.48</v>
      </c>
      <c r="M33">
        <v>34.57</v>
      </c>
      <c r="N33">
        <v>112.05</v>
      </c>
      <c r="O33">
        <v>86.31</v>
      </c>
      <c r="P33">
        <v>38.53</v>
      </c>
      <c r="Q33">
        <v>120.47</v>
      </c>
      <c r="R33">
        <v>174.5</v>
      </c>
      <c r="S33">
        <v>61.44</v>
      </c>
      <c r="T33">
        <v>62.41</v>
      </c>
      <c r="U33">
        <v>54.93</v>
      </c>
      <c r="V33">
        <v>31.28</v>
      </c>
      <c r="W33">
        <v>85.04</v>
      </c>
      <c r="X33">
        <v>116.31</v>
      </c>
      <c r="Y33">
        <v>159.07</v>
      </c>
      <c r="Z33">
        <v>107.07</v>
      </c>
      <c r="AA33">
        <v>86.23</v>
      </c>
      <c r="AB33">
        <v>44.13</v>
      </c>
      <c r="AC33">
        <v>81.89</v>
      </c>
      <c r="AD33">
        <v>65.58</v>
      </c>
      <c r="AE33">
        <v>75.98</v>
      </c>
      <c r="AI33" s="2">
        <v>5000</v>
      </c>
      <c r="AJ33" s="2">
        <f t="shared" si="38"/>
        <v>1020</v>
      </c>
      <c r="AK33" s="2">
        <f t="shared" si="38"/>
        <v>1020</v>
      </c>
      <c r="AL33" s="2">
        <f t="shared" si="38"/>
        <v>1020</v>
      </c>
      <c r="AM33" s="2">
        <f t="shared" si="38"/>
        <v>1020</v>
      </c>
      <c r="AN33" s="2">
        <f t="shared" si="38"/>
        <v>1020</v>
      </c>
      <c r="AO33" s="2">
        <f t="shared" si="38"/>
        <v>1020</v>
      </c>
      <c r="AP33" s="2">
        <v>0</v>
      </c>
      <c r="AQ33" s="2">
        <v>1000</v>
      </c>
      <c r="AR33" s="2">
        <v>1000</v>
      </c>
      <c r="AS33" s="2">
        <v>1000</v>
      </c>
      <c r="AT33" s="2">
        <v>1000</v>
      </c>
      <c r="AU33" s="2">
        <v>1000</v>
      </c>
      <c r="AV33" s="2">
        <v>1000</v>
      </c>
      <c r="AW33" s="2">
        <v>1000</v>
      </c>
      <c r="AX33" s="2">
        <v>1000</v>
      </c>
      <c r="AY33" s="2">
        <v>1000</v>
      </c>
      <c r="AZ33" s="2">
        <v>966</v>
      </c>
      <c r="BA33" s="2">
        <v>950</v>
      </c>
      <c r="BB33" s="2">
        <v>958</v>
      </c>
      <c r="BC33" s="2">
        <v>-1000</v>
      </c>
      <c r="BD33" s="2">
        <v>1000</v>
      </c>
      <c r="BE33" s="2">
        <v>5000</v>
      </c>
      <c r="BF33" s="2">
        <v>3000</v>
      </c>
      <c r="BG33" s="2">
        <v>5000</v>
      </c>
      <c r="BH33" s="2">
        <v>5000</v>
      </c>
      <c r="BI33" s="2">
        <v>3000</v>
      </c>
      <c r="BJ33" s="2">
        <v>0</v>
      </c>
      <c r="BK33" s="2">
        <v>1000</v>
      </c>
      <c r="BL33" s="2">
        <v>1000</v>
      </c>
      <c r="BO33" s="2">
        <f t="shared" si="4"/>
        <v>0</v>
      </c>
      <c r="BP33" s="2">
        <f t="shared" si="11"/>
        <v>0</v>
      </c>
      <c r="BQ33" s="2">
        <f t="shared" si="12"/>
        <v>0</v>
      </c>
      <c r="BR33" s="2">
        <f t="shared" si="13"/>
        <v>0</v>
      </c>
      <c r="BS33" s="2">
        <f t="shared" si="14"/>
        <v>0</v>
      </c>
      <c r="BT33" s="2">
        <f t="shared" si="15"/>
        <v>0</v>
      </c>
      <c r="BU33" s="2">
        <f t="shared" si="16"/>
        <v>0</v>
      </c>
      <c r="BV33" s="2">
        <f t="shared" si="17"/>
        <v>0</v>
      </c>
      <c r="BW33" s="2">
        <f t="shared" si="18"/>
        <v>0</v>
      </c>
      <c r="BX33" s="2">
        <f t="shared" si="19"/>
        <v>0</v>
      </c>
      <c r="BY33" s="2">
        <f t="shared" si="20"/>
        <v>0</v>
      </c>
      <c r="BZ33" s="2">
        <f t="shared" si="21"/>
        <v>0</v>
      </c>
      <c r="CA33" s="2">
        <f t="shared" si="22"/>
        <v>0</v>
      </c>
      <c r="CB33" s="2">
        <f t="shared" si="23"/>
        <v>0</v>
      </c>
      <c r="CC33" s="2">
        <f t="shared" si="24"/>
        <v>0</v>
      </c>
      <c r="CD33" s="2">
        <f t="shared" si="25"/>
        <v>0</v>
      </c>
      <c r="CE33" s="2">
        <f t="shared" si="26"/>
        <v>0</v>
      </c>
      <c r="CF33" s="2">
        <f t="shared" si="27"/>
        <v>-184.32</v>
      </c>
      <c r="CG33" s="2">
        <f t="shared" si="28"/>
        <v>7426.79</v>
      </c>
      <c r="CH33" s="2">
        <f t="shared" si="29"/>
        <v>-2581.71</v>
      </c>
      <c r="CI33" s="2">
        <f t="shared" si="30"/>
        <v>0</v>
      </c>
      <c r="CJ33" s="2">
        <f t="shared" si="31"/>
        <v>0</v>
      </c>
      <c r="CK33" s="2">
        <f t="shared" si="32"/>
        <v>0</v>
      </c>
      <c r="CL33" s="2">
        <f t="shared" si="33"/>
        <v>0</v>
      </c>
      <c r="CM33" s="2">
        <f t="shared" si="5"/>
        <v>0</v>
      </c>
      <c r="CN33" s="2">
        <f t="shared" si="6"/>
        <v>0</v>
      </c>
      <c r="CO33" s="2">
        <f t="shared" si="7"/>
        <v>0</v>
      </c>
      <c r="CP33" s="2">
        <f t="shared" si="8"/>
        <v>0</v>
      </c>
      <c r="CQ33" s="2">
        <f t="shared" si="9"/>
        <v>0</v>
      </c>
      <c r="CR33" s="2">
        <f t="shared" si="10"/>
        <v>0</v>
      </c>
      <c r="CV33" t="s">
        <v>64</v>
      </c>
      <c r="CW33" t="s">
        <v>106</v>
      </c>
      <c r="CX33" t="s">
        <v>1</v>
      </c>
      <c r="CY33" s="4">
        <v>43034</v>
      </c>
      <c r="CZ33" t="s">
        <v>65</v>
      </c>
      <c r="DA33" t="s">
        <v>66</v>
      </c>
      <c r="DB33">
        <v>500</v>
      </c>
      <c r="DC33">
        <v>153.87</v>
      </c>
      <c r="DD33" t="s">
        <v>69</v>
      </c>
      <c r="DE33" t="s">
        <v>70</v>
      </c>
      <c r="DF33">
        <v>76935</v>
      </c>
    </row>
    <row r="34" spans="1:110" x14ac:dyDescent="0.25">
      <c r="A34" s="1">
        <v>42783</v>
      </c>
      <c r="B34">
        <v>131.6</v>
      </c>
      <c r="C34">
        <v>77.61</v>
      </c>
      <c r="D34">
        <v>165.38</v>
      </c>
      <c r="E34">
        <v>94.03</v>
      </c>
      <c r="F34">
        <v>31.64</v>
      </c>
      <c r="G34">
        <v>102.12</v>
      </c>
      <c r="H34">
        <v>106.68</v>
      </c>
      <c r="I34">
        <v>1</v>
      </c>
      <c r="J34">
        <v>243.91</v>
      </c>
      <c r="K34">
        <v>136.69</v>
      </c>
      <c r="L34">
        <v>165.78</v>
      </c>
      <c r="M34">
        <v>34.630000000000003</v>
      </c>
      <c r="N34">
        <v>112.79</v>
      </c>
      <c r="O34">
        <v>86.02</v>
      </c>
      <c r="P34">
        <v>38.56</v>
      </c>
      <c r="Q34">
        <v>121.51</v>
      </c>
      <c r="R34">
        <v>174.06</v>
      </c>
      <c r="S34">
        <v>61.56</v>
      </c>
      <c r="T34">
        <v>62.51</v>
      </c>
      <c r="U34">
        <v>55.38</v>
      </c>
      <c r="V34">
        <v>31.28</v>
      </c>
      <c r="W34">
        <v>85.32</v>
      </c>
      <c r="X34">
        <v>116.47</v>
      </c>
      <c r="Y34">
        <v>153.21</v>
      </c>
      <c r="Z34">
        <v>107.15</v>
      </c>
      <c r="AA34">
        <v>86.28</v>
      </c>
      <c r="AB34">
        <v>44.8</v>
      </c>
      <c r="AC34">
        <v>82.09</v>
      </c>
      <c r="AD34">
        <v>66.05</v>
      </c>
      <c r="AE34">
        <v>75.48</v>
      </c>
      <c r="AI34" s="2">
        <v>5000</v>
      </c>
      <c r="AJ34" s="2">
        <f t="shared" si="38"/>
        <v>1020</v>
      </c>
      <c r="AK34" s="2">
        <f t="shared" si="38"/>
        <v>1020</v>
      </c>
      <c r="AL34" s="2">
        <f t="shared" si="38"/>
        <v>1020</v>
      </c>
      <c r="AM34" s="2">
        <f t="shared" si="38"/>
        <v>1020</v>
      </c>
      <c r="AN34" s="2">
        <f t="shared" si="38"/>
        <v>1020</v>
      </c>
      <c r="AO34" s="2">
        <f t="shared" si="38"/>
        <v>1020</v>
      </c>
      <c r="AP34" s="2">
        <v>0</v>
      </c>
      <c r="AQ34" s="2">
        <v>1000</v>
      </c>
      <c r="AR34" s="2">
        <v>1000</v>
      </c>
      <c r="AS34" s="2">
        <v>1000</v>
      </c>
      <c r="AT34" s="2">
        <v>1000</v>
      </c>
      <c r="AU34" s="2">
        <v>1000</v>
      </c>
      <c r="AV34" s="2">
        <v>1000</v>
      </c>
      <c r="AW34" s="2">
        <v>1000</v>
      </c>
      <c r="AX34" s="2">
        <v>1000</v>
      </c>
      <c r="AY34" s="2">
        <v>1000</v>
      </c>
      <c r="AZ34" s="2">
        <v>978</v>
      </c>
      <c r="BA34" s="2">
        <v>931</v>
      </c>
      <c r="BB34" s="2">
        <v>1099</v>
      </c>
      <c r="BC34" s="2">
        <v>-1000</v>
      </c>
      <c r="BD34" s="2">
        <v>1000</v>
      </c>
      <c r="BE34" s="2">
        <v>5000</v>
      </c>
      <c r="BF34" s="2">
        <v>3000</v>
      </c>
      <c r="BG34" s="2">
        <v>5000</v>
      </c>
      <c r="BH34" s="2">
        <v>5000</v>
      </c>
      <c r="BI34" s="2">
        <v>3000</v>
      </c>
      <c r="BJ34" s="2">
        <v>0</v>
      </c>
      <c r="BK34" s="2">
        <v>1000</v>
      </c>
      <c r="BL34" s="2">
        <v>1000</v>
      </c>
      <c r="BO34" s="2">
        <f t="shared" si="4"/>
        <v>0</v>
      </c>
      <c r="BP34" s="2">
        <f t="shared" si="11"/>
        <v>0</v>
      </c>
      <c r="BQ34" s="2">
        <f t="shared" si="12"/>
        <v>0</v>
      </c>
      <c r="BR34" s="2">
        <f t="shared" si="13"/>
        <v>0</v>
      </c>
      <c r="BS34" s="2">
        <f t="shared" si="14"/>
        <v>0</v>
      </c>
      <c r="BT34" s="2">
        <f t="shared" si="15"/>
        <v>0</v>
      </c>
      <c r="BU34" s="2">
        <f t="shared" si="16"/>
        <v>0</v>
      </c>
      <c r="BV34" s="2">
        <f t="shared" si="17"/>
        <v>0</v>
      </c>
      <c r="BW34" s="2">
        <f t="shared" si="18"/>
        <v>0</v>
      </c>
      <c r="BX34" s="2">
        <f t="shared" si="19"/>
        <v>0</v>
      </c>
      <c r="BY34" s="2">
        <f t="shared" si="20"/>
        <v>0</v>
      </c>
      <c r="BZ34" s="2">
        <f t="shared" si="21"/>
        <v>0</v>
      </c>
      <c r="CA34" s="2">
        <f t="shared" si="22"/>
        <v>0</v>
      </c>
      <c r="CB34" s="2">
        <f t="shared" si="23"/>
        <v>0</v>
      </c>
      <c r="CC34" s="2">
        <f t="shared" si="24"/>
        <v>0</v>
      </c>
      <c r="CD34" s="2">
        <f t="shared" si="25"/>
        <v>0</v>
      </c>
      <c r="CE34" s="2">
        <f t="shared" si="26"/>
        <v>0</v>
      </c>
      <c r="CF34" s="2">
        <f t="shared" si="27"/>
        <v>-738.72</v>
      </c>
      <c r="CG34" s="2">
        <f t="shared" si="28"/>
        <v>1187.69</v>
      </c>
      <c r="CH34" s="2">
        <f t="shared" si="29"/>
        <v>-7808.58</v>
      </c>
      <c r="CI34" s="2">
        <f t="shared" si="30"/>
        <v>0</v>
      </c>
      <c r="CJ34" s="2">
        <f t="shared" si="31"/>
        <v>0</v>
      </c>
      <c r="CK34" s="2">
        <f t="shared" si="32"/>
        <v>0</v>
      </c>
      <c r="CL34" s="2">
        <f t="shared" si="33"/>
        <v>0</v>
      </c>
      <c r="CM34" s="2">
        <f t="shared" si="5"/>
        <v>0</v>
      </c>
      <c r="CN34" s="2">
        <f t="shared" si="6"/>
        <v>0</v>
      </c>
      <c r="CO34" s="2">
        <f t="shared" si="7"/>
        <v>0</v>
      </c>
      <c r="CP34" s="2">
        <f t="shared" si="8"/>
        <v>0</v>
      </c>
      <c r="CQ34" s="2">
        <f t="shared" si="9"/>
        <v>0</v>
      </c>
      <c r="CR34" s="2">
        <f t="shared" si="10"/>
        <v>0</v>
      </c>
      <c r="CV34" t="s">
        <v>64</v>
      </c>
      <c r="CW34" t="s">
        <v>107</v>
      </c>
      <c r="CX34" t="s">
        <v>1</v>
      </c>
      <c r="CY34" s="4">
        <v>43161</v>
      </c>
      <c r="CZ34" t="s">
        <v>67</v>
      </c>
      <c r="DA34" t="s">
        <v>68</v>
      </c>
      <c r="DB34">
        <v>5000</v>
      </c>
      <c r="DC34">
        <v>173.57</v>
      </c>
      <c r="DD34" t="s">
        <v>69</v>
      </c>
      <c r="DE34" t="s">
        <v>70</v>
      </c>
      <c r="DF34">
        <v>867850</v>
      </c>
    </row>
    <row r="35" spans="1:110" x14ac:dyDescent="0.25">
      <c r="A35" s="1">
        <v>42787</v>
      </c>
      <c r="B35">
        <v>132.55000000000001</v>
      </c>
      <c r="C35">
        <v>77.87</v>
      </c>
      <c r="D35">
        <v>168.11</v>
      </c>
      <c r="E35">
        <v>93.32</v>
      </c>
      <c r="F35">
        <v>32.01</v>
      </c>
      <c r="G35">
        <v>103.41</v>
      </c>
      <c r="H35">
        <v>106.64</v>
      </c>
      <c r="I35">
        <v>1</v>
      </c>
      <c r="J35">
        <v>245.25</v>
      </c>
      <c r="K35">
        <v>138.62</v>
      </c>
      <c r="L35">
        <v>165.41</v>
      </c>
      <c r="M35">
        <v>34.67</v>
      </c>
      <c r="N35">
        <v>113.55</v>
      </c>
      <c r="O35">
        <v>86.76</v>
      </c>
      <c r="P35">
        <v>38.770000000000003</v>
      </c>
      <c r="Q35">
        <v>121.74</v>
      </c>
      <c r="R35">
        <v>174.46</v>
      </c>
      <c r="S35">
        <v>61.64</v>
      </c>
      <c r="T35">
        <v>62.38</v>
      </c>
      <c r="U35">
        <v>55.97</v>
      </c>
      <c r="V35">
        <v>31.28</v>
      </c>
      <c r="W35">
        <v>85.87</v>
      </c>
      <c r="X35">
        <v>116.08</v>
      </c>
      <c r="Y35">
        <v>156.07</v>
      </c>
      <c r="Z35">
        <v>107.48</v>
      </c>
      <c r="AA35">
        <v>86.74</v>
      </c>
      <c r="AB35">
        <v>45.02</v>
      </c>
      <c r="AC35">
        <v>82.61</v>
      </c>
      <c r="AD35">
        <v>68.03</v>
      </c>
      <c r="AE35">
        <v>75.599999999999994</v>
      </c>
      <c r="AI35" s="2">
        <v>5000</v>
      </c>
      <c r="AJ35" s="2">
        <f t="shared" si="38"/>
        <v>1020</v>
      </c>
      <c r="AK35" s="2">
        <f t="shared" si="38"/>
        <v>1020</v>
      </c>
      <c r="AL35" s="2">
        <f t="shared" si="38"/>
        <v>1020</v>
      </c>
      <c r="AM35" s="2">
        <f t="shared" si="38"/>
        <v>1020</v>
      </c>
      <c r="AN35" s="2">
        <f t="shared" si="38"/>
        <v>1020</v>
      </c>
      <c r="AO35" s="2">
        <f t="shared" si="38"/>
        <v>1020</v>
      </c>
      <c r="AP35" s="2">
        <v>0</v>
      </c>
      <c r="AQ35" s="2">
        <v>1000</v>
      </c>
      <c r="AR35" s="2">
        <v>1000</v>
      </c>
      <c r="AS35" s="2">
        <v>1000</v>
      </c>
      <c r="AT35" s="2">
        <v>1000</v>
      </c>
      <c r="AU35" s="2">
        <v>1000</v>
      </c>
      <c r="AV35" s="2">
        <v>1000</v>
      </c>
      <c r="AW35" s="2">
        <v>1000</v>
      </c>
      <c r="AX35" s="2">
        <v>1000</v>
      </c>
      <c r="AY35" s="2">
        <v>1000</v>
      </c>
      <c r="AZ35" s="2">
        <v>992</v>
      </c>
      <c r="BA35" s="2">
        <v>979</v>
      </c>
      <c r="BB35" s="2">
        <v>938</v>
      </c>
      <c r="BC35" s="2">
        <v>-1000</v>
      </c>
      <c r="BD35" s="2">
        <v>1000</v>
      </c>
      <c r="BE35" s="2">
        <v>5000</v>
      </c>
      <c r="BF35" s="2">
        <v>3000</v>
      </c>
      <c r="BG35" s="2">
        <v>5000</v>
      </c>
      <c r="BH35" s="2">
        <v>5000</v>
      </c>
      <c r="BI35" s="2">
        <v>3000</v>
      </c>
      <c r="BJ35" s="2">
        <v>0</v>
      </c>
      <c r="BK35" s="2">
        <v>1000</v>
      </c>
      <c r="BL35" s="2">
        <v>1000</v>
      </c>
      <c r="BO35" s="2">
        <f t="shared" si="4"/>
        <v>0</v>
      </c>
      <c r="BP35" s="2">
        <f t="shared" si="11"/>
        <v>0</v>
      </c>
      <c r="BQ35" s="2">
        <f t="shared" si="12"/>
        <v>0</v>
      </c>
      <c r="BR35" s="2">
        <f t="shared" si="13"/>
        <v>0</v>
      </c>
      <c r="BS35" s="2">
        <f t="shared" si="14"/>
        <v>0</v>
      </c>
      <c r="BT35" s="2">
        <f t="shared" si="15"/>
        <v>0</v>
      </c>
      <c r="BU35" s="2">
        <f t="shared" si="16"/>
        <v>0</v>
      </c>
      <c r="BV35" s="2">
        <f t="shared" si="17"/>
        <v>0</v>
      </c>
      <c r="BW35" s="2">
        <f t="shared" si="18"/>
        <v>0</v>
      </c>
      <c r="BX35" s="2">
        <f t="shared" si="19"/>
        <v>0</v>
      </c>
      <c r="BY35" s="2">
        <f t="shared" si="20"/>
        <v>0</v>
      </c>
      <c r="BZ35" s="2">
        <f t="shared" si="21"/>
        <v>0</v>
      </c>
      <c r="CA35" s="2">
        <f t="shared" si="22"/>
        <v>0</v>
      </c>
      <c r="CB35" s="2">
        <f t="shared" si="23"/>
        <v>0</v>
      </c>
      <c r="CC35" s="2">
        <f t="shared" si="24"/>
        <v>0</v>
      </c>
      <c r="CD35" s="2">
        <f t="shared" si="25"/>
        <v>0</v>
      </c>
      <c r="CE35" s="2">
        <f t="shared" si="26"/>
        <v>0</v>
      </c>
      <c r="CF35" s="2">
        <f t="shared" si="27"/>
        <v>-862.96</v>
      </c>
      <c r="CG35" s="2">
        <f t="shared" si="28"/>
        <v>-2994.2400000000002</v>
      </c>
      <c r="CH35" s="2">
        <f t="shared" si="29"/>
        <v>9011.17</v>
      </c>
      <c r="CI35" s="2">
        <f t="shared" si="30"/>
        <v>0</v>
      </c>
      <c r="CJ35" s="2">
        <f t="shared" si="31"/>
        <v>0</v>
      </c>
      <c r="CK35" s="2">
        <f t="shared" si="32"/>
        <v>0</v>
      </c>
      <c r="CL35" s="2">
        <f t="shared" si="33"/>
        <v>0</v>
      </c>
      <c r="CM35" s="2">
        <f t="shared" si="5"/>
        <v>0</v>
      </c>
      <c r="CN35" s="2">
        <f t="shared" si="6"/>
        <v>0</v>
      </c>
      <c r="CO35" s="2">
        <f t="shared" si="7"/>
        <v>0</v>
      </c>
      <c r="CP35" s="2">
        <f t="shared" si="8"/>
        <v>0</v>
      </c>
      <c r="CQ35" s="2">
        <f t="shared" si="9"/>
        <v>0</v>
      </c>
      <c r="CR35" s="2">
        <f t="shared" si="10"/>
        <v>0</v>
      </c>
      <c r="CV35" t="s">
        <v>64</v>
      </c>
      <c r="CW35" t="s">
        <v>108</v>
      </c>
      <c r="CX35" t="s">
        <v>1</v>
      </c>
      <c r="CY35" s="4">
        <v>43175</v>
      </c>
      <c r="CZ35" t="s">
        <v>65</v>
      </c>
      <c r="DA35" t="s">
        <v>66</v>
      </c>
      <c r="DB35">
        <v>5000</v>
      </c>
      <c r="DC35">
        <v>175.35</v>
      </c>
      <c r="DD35" t="s">
        <v>69</v>
      </c>
      <c r="DE35" t="s">
        <v>70</v>
      </c>
      <c r="DF35">
        <v>876750</v>
      </c>
    </row>
    <row r="36" spans="1:110" x14ac:dyDescent="0.25">
      <c r="A36" s="1">
        <v>42788</v>
      </c>
      <c r="B36">
        <v>132.94999999999999</v>
      </c>
      <c r="C36">
        <v>77.760000000000005</v>
      </c>
      <c r="D36">
        <v>167.92</v>
      </c>
      <c r="E36">
        <v>93.42</v>
      </c>
      <c r="F36">
        <v>31.97</v>
      </c>
      <c r="G36">
        <v>102.17</v>
      </c>
      <c r="H36">
        <v>106.74</v>
      </c>
      <c r="I36">
        <v>1</v>
      </c>
      <c r="J36">
        <v>245.22</v>
      </c>
      <c r="K36">
        <v>138.84</v>
      </c>
      <c r="L36">
        <v>166.22</v>
      </c>
      <c r="M36">
        <v>34.24</v>
      </c>
      <c r="N36">
        <v>113.42</v>
      </c>
      <c r="O36">
        <v>86.81</v>
      </c>
      <c r="P36">
        <v>38.9</v>
      </c>
      <c r="Q36">
        <v>121.56</v>
      </c>
      <c r="R36">
        <v>177</v>
      </c>
      <c r="S36">
        <v>61.46</v>
      </c>
      <c r="T36">
        <v>62.26</v>
      </c>
      <c r="U36">
        <v>56.83</v>
      </c>
      <c r="V36">
        <v>31.25</v>
      </c>
      <c r="W36">
        <v>85.65</v>
      </c>
      <c r="X36">
        <v>116.42</v>
      </c>
      <c r="Y36">
        <v>156.07</v>
      </c>
      <c r="Z36">
        <v>107.64</v>
      </c>
      <c r="AA36">
        <v>86.62</v>
      </c>
      <c r="AB36">
        <v>45.23</v>
      </c>
      <c r="AC36">
        <v>82.5</v>
      </c>
      <c r="AD36">
        <v>68.28</v>
      </c>
      <c r="AE36">
        <v>74.709999999999994</v>
      </c>
      <c r="AI36" s="2">
        <v>5000</v>
      </c>
      <c r="AJ36" s="2">
        <f t="shared" si="38"/>
        <v>1020</v>
      </c>
      <c r="AK36" s="2">
        <f t="shared" si="38"/>
        <v>1020</v>
      </c>
      <c r="AL36" s="2">
        <f t="shared" si="38"/>
        <v>1020</v>
      </c>
      <c r="AM36" s="2">
        <f t="shared" si="38"/>
        <v>1020</v>
      </c>
      <c r="AN36" s="2">
        <f t="shared" si="38"/>
        <v>1020</v>
      </c>
      <c r="AO36" s="2">
        <f t="shared" si="38"/>
        <v>1020</v>
      </c>
      <c r="AP36" s="2">
        <v>0</v>
      </c>
      <c r="AQ36" s="2">
        <v>1000</v>
      </c>
      <c r="AR36" s="2">
        <v>1000</v>
      </c>
      <c r="AS36" s="2">
        <v>1000</v>
      </c>
      <c r="AT36" s="2">
        <v>1000</v>
      </c>
      <c r="AU36" s="2">
        <v>1000</v>
      </c>
      <c r="AV36" s="2">
        <v>1000</v>
      </c>
      <c r="AW36" s="2">
        <v>1000</v>
      </c>
      <c r="AX36" s="2">
        <v>1000</v>
      </c>
      <c r="AY36" s="2">
        <v>1000</v>
      </c>
      <c r="AZ36" s="2">
        <v>969</v>
      </c>
      <c r="BA36" s="2">
        <v>924</v>
      </c>
      <c r="BB36" s="2">
        <v>1067</v>
      </c>
      <c r="BC36" s="2">
        <v>-1000</v>
      </c>
      <c r="BD36" s="2">
        <v>1000</v>
      </c>
      <c r="BE36" s="2">
        <v>5000</v>
      </c>
      <c r="BF36" s="2">
        <v>3000</v>
      </c>
      <c r="BG36" s="2">
        <v>5000</v>
      </c>
      <c r="BH36" s="2">
        <v>4500</v>
      </c>
      <c r="BI36" s="2">
        <v>3000</v>
      </c>
      <c r="BJ36" s="2">
        <v>0</v>
      </c>
      <c r="BK36" s="2">
        <v>1000</v>
      </c>
      <c r="BL36" s="2">
        <v>1000</v>
      </c>
      <c r="BO36" s="2">
        <f t="shared" si="4"/>
        <v>0</v>
      </c>
      <c r="BP36" s="2">
        <f t="shared" si="11"/>
        <v>0</v>
      </c>
      <c r="BQ36" s="2">
        <f t="shared" si="12"/>
        <v>0</v>
      </c>
      <c r="BR36" s="2">
        <f t="shared" si="13"/>
        <v>0</v>
      </c>
      <c r="BS36" s="2">
        <f t="shared" si="14"/>
        <v>0</v>
      </c>
      <c r="BT36" s="2">
        <f t="shared" si="15"/>
        <v>0</v>
      </c>
      <c r="BU36" s="2">
        <f t="shared" si="16"/>
        <v>0</v>
      </c>
      <c r="BV36" s="2">
        <f t="shared" si="17"/>
        <v>0</v>
      </c>
      <c r="BW36" s="2">
        <f t="shared" si="18"/>
        <v>0</v>
      </c>
      <c r="BX36" s="2">
        <f t="shared" si="19"/>
        <v>0</v>
      </c>
      <c r="BY36" s="2">
        <f t="shared" si="20"/>
        <v>0</v>
      </c>
      <c r="BZ36" s="2">
        <f t="shared" si="21"/>
        <v>0</v>
      </c>
      <c r="CA36" s="2">
        <f t="shared" si="22"/>
        <v>0</v>
      </c>
      <c r="CB36" s="2">
        <f t="shared" si="23"/>
        <v>0</v>
      </c>
      <c r="CC36" s="2">
        <f t="shared" si="24"/>
        <v>0</v>
      </c>
      <c r="CD36" s="2">
        <f t="shared" si="25"/>
        <v>0</v>
      </c>
      <c r="CE36" s="2">
        <f t="shared" si="26"/>
        <v>0</v>
      </c>
      <c r="CF36" s="2">
        <f t="shared" si="27"/>
        <v>1413.58</v>
      </c>
      <c r="CG36" s="2">
        <f t="shared" si="28"/>
        <v>3424.2999999999997</v>
      </c>
      <c r="CH36" s="2">
        <f t="shared" si="29"/>
        <v>-7331.07</v>
      </c>
      <c r="CI36" s="2">
        <f t="shared" si="30"/>
        <v>0</v>
      </c>
      <c r="CJ36" s="2">
        <f t="shared" si="31"/>
        <v>0</v>
      </c>
      <c r="CK36" s="2">
        <f t="shared" si="32"/>
        <v>0</v>
      </c>
      <c r="CL36" s="2">
        <f t="shared" si="33"/>
        <v>0</v>
      </c>
      <c r="CM36" s="2">
        <f t="shared" si="5"/>
        <v>0</v>
      </c>
      <c r="CN36" s="2">
        <f t="shared" si="6"/>
        <v>43310</v>
      </c>
      <c r="CO36" s="2">
        <f t="shared" si="7"/>
        <v>0</v>
      </c>
      <c r="CP36" s="2">
        <f t="shared" si="8"/>
        <v>0</v>
      </c>
      <c r="CQ36" s="2">
        <f t="shared" si="9"/>
        <v>0</v>
      </c>
      <c r="CR36" s="2">
        <f t="shared" si="10"/>
        <v>0</v>
      </c>
      <c r="CV36" t="s">
        <v>64</v>
      </c>
      <c r="CW36" t="s">
        <v>109</v>
      </c>
      <c r="CX36" t="s">
        <v>1</v>
      </c>
      <c r="CY36" s="4">
        <v>43221</v>
      </c>
      <c r="CZ36" t="s">
        <v>67</v>
      </c>
      <c r="DA36" t="s">
        <v>68</v>
      </c>
      <c r="DB36">
        <v>7500</v>
      </c>
      <c r="DC36">
        <v>166.56</v>
      </c>
      <c r="DD36" t="s">
        <v>69</v>
      </c>
      <c r="DE36" t="s">
        <v>70</v>
      </c>
      <c r="DF36">
        <v>1249200</v>
      </c>
    </row>
    <row r="37" spans="1:110" x14ac:dyDescent="0.25">
      <c r="A37" s="1">
        <v>42789</v>
      </c>
      <c r="B37">
        <v>132.38999999999999</v>
      </c>
      <c r="C37">
        <v>77.94</v>
      </c>
      <c r="D37">
        <v>169.35</v>
      </c>
      <c r="E37">
        <v>90.9</v>
      </c>
      <c r="F37">
        <v>31.92</v>
      </c>
      <c r="G37">
        <v>102.76</v>
      </c>
      <c r="H37">
        <v>106.36</v>
      </c>
      <c r="I37">
        <v>1</v>
      </c>
      <c r="J37">
        <v>244.69</v>
      </c>
      <c r="K37">
        <v>138.33000000000001</v>
      </c>
      <c r="L37">
        <v>166.68</v>
      </c>
      <c r="M37">
        <v>34.35</v>
      </c>
      <c r="N37">
        <v>115.49</v>
      </c>
      <c r="O37">
        <v>86.88</v>
      </c>
      <c r="P37">
        <v>38.96</v>
      </c>
      <c r="Q37">
        <v>121.96</v>
      </c>
      <c r="R37">
        <v>178.1</v>
      </c>
      <c r="S37">
        <v>61.99</v>
      </c>
      <c r="T37">
        <v>62.51</v>
      </c>
      <c r="U37">
        <v>56</v>
      </c>
      <c r="V37">
        <v>31.69</v>
      </c>
      <c r="W37">
        <v>85.36</v>
      </c>
      <c r="X37">
        <v>116.86</v>
      </c>
      <c r="Y37">
        <v>158.05000000000001</v>
      </c>
      <c r="Z37">
        <v>107.09</v>
      </c>
      <c r="AA37">
        <v>86.99</v>
      </c>
      <c r="AB37">
        <v>45.82</v>
      </c>
      <c r="AC37">
        <v>83.17</v>
      </c>
      <c r="AD37">
        <v>67.900000000000006</v>
      </c>
      <c r="AE37">
        <v>75.5</v>
      </c>
      <c r="AI37" s="2">
        <v>5000</v>
      </c>
      <c r="AJ37" s="2">
        <f t="shared" si="38"/>
        <v>1020</v>
      </c>
      <c r="AK37" s="2">
        <f t="shared" si="38"/>
        <v>1020</v>
      </c>
      <c r="AL37" s="2">
        <f t="shared" si="38"/>
        <v>1020</v>
      </c>
      <c r="AM37" s="2">
        <f t="shared" si="38"/>
        <v>1020</v>
      </c>
      <c r="AN37" s="2">
        <f t="shared" si="38"/>
        <v>1020</v>
      </c>
      <c r="AO37" s="2">
        <f t="shared" si="38"/>
        <v>1020</v>
      </c>
      <c r="AP37" s="2">
        <v>0</v>
      </c>
      <c r="AQ37" s="2">
        <v>1000</v>
      </c>
      <c r="AR37" s="2">
        <v>1000</v>
      </c>
      <c r="AS37" s="2">
        <v>1000</v>
      </c>
      <c r="AT37" s="2">
        <v>1000</v>
      </c>
      <c r="AU37" s="2">
        <v>1000</v>
      </c>
      <c r="AV37" s="2">
        <v>1000</v>
      </c>
      <c r="AW37" s="2">
        <v>1000</v>
      </c>
      <c r="AX37" s="2">
        <v>1000</v>
      </c>
      <c r="AY37" s="2">
        <v>1000</v>
      </c>
      <c r="AZ37" s="2">
        <v>1041</v>
      </c>
      <c r="BA37" s="2">
        <v>1023</v>
      </c>
      <c r="BB37" s="2">
        <v>980</v>
      </c>
      <c r="BC37" s="2">
        <v>-1000</v>
      </c>
      <c r="BD37" s="2">
        <v>1000</v>
      </c>
      <c r="BE37" s="2">
        <v>5000</v>
      </c>
      <c r="BF37" s="2">
        <v>3000</v>
      </c>
      <c r="BG37" s="2">
        <v>5000</v>
      </c>
      <c r="BH37" s="2">
        <v>4000</v>
      </c>
      <c r="BI37" s="2">
        <v>3000</v>
      </c>
      <c r="BJ37" s="2">
        <v>0</v>
      </c>
      <c r="BK37" s="2">
        <v>1000</v>
      </c>
      <c r="BL37" s="2">
        <v>1000</v>
      </c>
      <c r="BO37" s="2">
        <f t="shared" si="4"/>
        <v>0</v>
      </c>
      <c r="BP37" s="2">
        <f t="shared" si="11"/>
        <v>0</v>
      </c>
      <c r="BQ37" s="2">
        <f t="shared" si="12"/>
        <v>0</v>
      </c>
      <c r="BR37" s="2">
        <f t="shared" si="13"/>
        <v>0</v>
      </c>
      <c r="BS37" s="2">
        <f t="shared" si="14"/>
        <v>0</v>
      </c>
      <c r="BT37" s="2">
        <f t="shared" si="15"/>
        <v>0</v>
      </c>
      <c r="BU37" s="2">
        <f t="shared" si="16"/>
        <v>0</v>
      </c>
      <c r="BV37" s="2">
        <f t="shared" si="17"/>
        <v>0</v>
      </c>
      <c r="BW37" s="2">
        <f t="shared" si="18"/>
        <v>0</v>
      </c>
      <c r="BX37" s="2">
        <f t="shared" si="19"/>
        <v>0</v>
      </c>
      <c r="BY37" s="2">
        <f t="shared" si="20"/>
        <v>0</v>
      </c>
      <c r="BZ37" s="2">
        <f t="shared" si="21"/>
        <v>0</v>
      </c>
      <c r="CA37" s="2">
        <f t="shared" si="22"/>
        <v>0</v>
      </c>
      <c r="CB37" s="2">
        <f t="shared" si="23"/>
        <v>0</v>
      </c>
      <c r="CC37" s="2">
        <f t="shared" si="24"/>
        <v>0</v>
      </c>
      <c r="CD37" s="2">
        <f t="shared" si="25"/>
        <v>0</v>
      </c>
      <c r="CE37" s="2">
        <f t="shared" si="26"/>
        <v>0</v>
      </c>
      <c r="CF37" s="2">
        <f t="shared" si="27"/>
        <v>-4463.28</v>
      </c>
      <c r="CG37" s="2">
        <f t="shared" si="28"/>
        <v>-6188.49</v>
      </c>
      <c r="CH37" s="2">
        <f t="shared" si="29"/>
        <v>4872</v>
      </c>
      <c r="CI37" s="2">
        <f t="shared" si="30"/>
        <v>0</v>
      </c>
      <c r="CJ37" s="2">
        <f t="shared" si="31"/>
        <v>0</v>
      </c>
      <c r="CK37" s="2">
        <f t="shared" si="32"/>
        <v>0</v>
      </c>
      <c r="CL37" s="2">
        <f t="shared" si="33"/>
        <v>0</v>
      </c>
      <c r="CM37" s="2">
        <f t="shared" si="5"/>
        <v>0</v>
      </c>
      <c r="CN37" s="2">
        <f t="shared" si="6"/>
        <v>43495</v>
      </c>
      <c r="CO37" s="2">
        <f t="shared" si="7"/>
        <v>0</v>
      </c>
      <c r="CP37" s="2">
        <f t="shared" si="8"/>
        <v>0</v>
      </c>
      <c r="CQ37" s="2">
        <f t="shared" si="9"/>
        <v>0</v>
      </c>
      <c r="CR37" s="2">
        <f t="shared" si="10"/>
        <v>0</v>
      </c>
      <c r="CV37" t="s">
        <v>64</v>
      </c>
      <c r="CW37" t="s">
        <v>110</v>
      </c>
      <c r="CX37" t="s">
        <v>1</v>
      </c>
      <c r="CY37" s="4">
        <v>43228</v>
      </c>
      <c r="CZ37" t="s">
        <v>65</v>
      </c>
      <c r="DA37" t="s">
        <v>66</v>
      </c>
      <c r="DB37">
        <v>1250</v>
      </c>
      <c r="DC37">
        <v>183.26</v>
      </c>
      <c r="DD37" t="s">
        <v>69</v>
      </c>
      <c r="DE37" t="s">
        <v>70</v>
      </c>
      <c r="DF37">
        <v>229075</v>
      </c>
    </row>
    <row r="38" spans="1:110" x14ac:dyDescent="0.25">
      <c r="A38" s="1">
        <v>42790</v>
      </c>
      <c r="B38">
        <v>132.51</v>
      </c>
      <c r="C38">
        <v>77.66</v>
      </c>
      <c r="D38">
        <v>169.91</v>
      </c>
      <c r="E38">
        <v>90.83</v>
      </c>
      <c r="F38">
        <v>32.18</v>
      </c>
      <c r="G38">
        <v>101.93</v>
      </c>
      <c r="H38">
        <v>106.94</v>
      </c>
      <c r="I38">
        <v>1</v>
      </c>
      <c r="J38">
        <v>240.95</v>
      </c>
      <c r="K38">
        <v>139.51</v>
      </c>
      <c r="L38">
        <v>166.41</v>
      </c>
      <c r="M38">
        <v>34.68</v>
      </c>
      <c r="N38">
        <v>117.23</v>
      </c>
      <c r="O38">
        <v>86.12</v>
      </c>
      <c r="P38">
        <v>39.07</v>
      </c>
      <c r="Q38">
        <v>122.32</v>
      </c>
      <c r="R38">
        <v>178.31</v>
      </c>
      <c r="S38">
        <v>62.28</v>
      </c>
      <c r="T38">
        <v>62.51</v>
      </c>
      <c r="U38">
        <v>56.46</v>
      </c>
      <c r="V38">
        <v>31.87</v>
      </c>
      <c r="W38">
        <v>85.28</v>
      </c>
      <c r="X38">
        <v>116.77</v>
      </c>
      <c r="Y38">
        <v>158.49</v>
      </c>
      <c r="Z38">
        <v>107.45</v>
      </c>
      <c r="AA38">
        <v>87.24</v>
      </c>
      <c r="AB38">
        <v>46.08</v>
      </c>
      <c r="AC38">
        <v>83.76</v>
      </c>
      <c r="AD38">
        <v>68.930000000000007</v>
      </c>
      <c r="AE38">
        <v>74.849999999999994</v>
      </c>
      <c r="AI38" s="2">
        <v>5000</v>
      </c>
      <c r="AJ38" s="2">
        <f t="shared" si="38"/>
        <v>1020</v>
      </c>
      <c r="AK38" s="2">
        <f t="shared" si="38"/>
        <v>1020</v>
      </c>
      <c r="AL38" s="2">
        <f t="shared" si="38"/>
        <v>1020</v>
      </c>
      <c r="AM38" s="2">
        <f t="shared" si="38"/>
        <v>1020</v>
      </c>
      <c r="AN38" s="2">
        <f t="shared" si="38"/>
        <v>1020</v>
      </c>
      <c r="AO38" s="2">
        <f t="shared" si="38"/>
        <v>1020</v>
      </c>
      <c r="AP38" s="2">
        <v>0</v>
      </c>
      <c r="AQ38" s="2">
        <v>1000</v>
      </c>
      <c r="AR38" s="2">
        <v>1000</v>
      </c>
      <c r="AS38" s="2">
        <v>1000</v>
      </c>
      <c r="AT38" s="2">
        <v>1000</v>
      </c>
      <c r="AU38" s="2">
        <v>1000</v>
      </c>
      <c r="AV38" s="2">
        <v>1000</v>
      </c>
      <c r="AW38" s="2">
        <v>0</v>
      </c>
      <c r="AX38" s="2">
        <v>1000</v>
      </c>
      <c r="AY38" s="2">
        <v>1000</v>
      </c>
      <c r="AZ38" s="2">
        <v>980</v>
      </c>
      <c r="BA38" s="2">
        <v>1017</v>
      </c>
      <c r="BB38" s="2">
        <v>1070</v>
      </c>
      <c r="BC38" s="2">
        <v>-1000</v>
      </c>
      <c r="BD38" s="2">
        <v>1000</v>
      </c>
      <c r="BE38" s="2">
        <v>5000</v>
      </c>
      <c r="BF38" s="2">
        <v>3000</v>
      </c>
      <c r="BG38" s="2">
        <v>5000</v>
      </c>
      <c r="BH38" s="2">
        <v>4000</v>
      </c>
      <c r="BI38" s="2">
        <v>3000</v>
      </c>
      <c r="BJ38" s="2">
        <v>0</v>
      </c>
      <c r="BK38" s="2">
        <v>1000</v>
      </c>
      <c r="BL38" s="2">
        <v>1000</v>
      </c>
      <c r="BO38" s="2">
        <f t="shared" si="4"/>
        <v>0</v>
      </c>
      <c r="BP38" s="2">
        <f t="shared" si="11"/>
        <v>0</v>
      </c>
      <c r="BQ38" s="2">
        <f t="shared" si="12"/>
        <v>0</v>
      </c>
      <c r="BR38" s="2">
        <f t="shared" si="13"/>
        <v>0</v>
      </c>
      <c r="BS38" s="2">
        <f t="shared" si="14"/>
        <v>0</v>
      </c>
      <c r="BT38" s="2">
        <f t="shared" si="15"/>
        <v>0</v>
      </c>
      <c r="BU38" s="2">
        <f t="shared" si="16"/>
        <v>0</v>
      </c>
      <c r="BV38" s="2">
        <f t="shared" si="17"/>
        <v>0</v>
      </c>
      <c r="BW38" s="2">
        <f t="shared" si="18"/>
        <v>0</v>
      </c>
      <c r="BX38" s="2">
        <f t="shared" si="19"/>
        <v>0</v>
      </c>
      <c r="BY38" s="2">
        <f t="shared" si="20"/>
        <v>0</v>
      </c>
      <c r="BZ38" s="2">
        <f t="shared" si="21"/>
        <v>0</v>
      </c>
      <c r="CA38" s="2">
        <f t="shared" si="22"/>
        <v>0</v>
      </c>
      <c r="CB38" s="2">
        <f t="shared" si="23"/>
        <v>0</v>
      </c>
      <c r="CC38" s="2">
        <f t="shared" si="24"/>
        <v>39070</v>
      </c>
      <c r="CD38" s="2">
        <f t="shared" si="25"/>
        <v>0</v>
      </c>
      <c r="CE38" s="2">
        <f t="shared" si="26"/>
        <v>0</v>
      </c>
      <c r="CF38" s="2">
        <f t="shared" si="27"/>
        <v>3799.08</v>
      </c>
      <c r="CG38" s="2">
        <f t="shared" si="28"/>
        <v>375.06</v>
      </c>
      <c r="CH38" s="2">
        <f t="shared" si="29"/>
        <v>-5081.3999999999996</v>
      </c>
      <c r="CI38" s="2">
        <f t="shared" si="30"/>
        <v>0</v>
      </c>
      <c r="CJ38" s="2">
        <f t="shared" si="31"/>
        <v>0</v>
      </c>
      <c r="CK38" s="2">
        <f t="shared" si="32"/>
        <v>0</v>
      </c>
      <c r="CL38" s="2">
        <f t="shared" si="33"/>
        <v>0</v>
      </c>
      <c r="CM38" s="2">
        <f t="shared" si="5"/>
        <v>0</v>
      </c>
      <c r="CN38" s="2">
        <f t="shared" si="6"/>
        <v>0</v>
      </c>
      <c r="CO38" s="2">
        <f t="shared" si="7"/>
        <v>0</v>
      </c>
      <c r="CP38" s="2">
        <f t="shared" si="8"/>
        <v>0</v>
      </c>
      <c r="CQ38" s="2">
        <f t="shared" si="9"/>
        <v>0</v>
      </c>
      <c r="CR38" s="2">
        <f t="shared" si="10"/>
        <v>0</v>
      </c>
      <c r="CV38" t="s">
        <v>64</v>
      </c>
      <c r="CW38" t="s">
        <v>111</v>
      </c>
      <c r="CX38" t="s">
        <v>1</v>
      </c>
      <c r="CY38" s="4">
        <v>43229</v>
      </c>
      <c r="CZ38" t="s">
        <v>65</v>
      </c>
      <c r="DA38" t="s">
        <v>66</v>
      </c>
      <c r="DB38">
        <v>1250</v>
      </c>
      <c r="DC38">
        <v>184.55</v>
      </c>
      <c r="DD38" t="s">
        <v>69</v>
      </c>
      <c r="DE38" t="s">
        <v>70</v>
      </c>
      <c r="DF38">
        <v>230687.5</v>
      </c>
    </row>
    <row r="39" spans="1:110" x14ac:dyDescent="0.25">
      <c r="A39" s="1">
        <v>42793</v>
      </c>
      <c r="B39">
        <v>132.78</v>
      </c>
      <c r="C39">
        <v>78.06</v>
      </c>
      <c r="D39">
        <v>171.81</v>
      </c>
      <c r="E39">
        <v>92.69</v>
      </c>
      <c r="F39">
        <v>32.130000000000003</v>
      </c>
      <c r="G39">
        <v>103.44</v>
      </c>
      <c r="H39">
        <v>106.85</v>
      </c>
      <c r="I39">
        <v>1</v>
      </c>
      <c r="J39">
        <v>242.88</v>
      </c>
      <c r="K39">
        <v>138.88999999999999</v>
      </c>
      <c r="L39">
        <v>164.62</v>
      </c>
      <c r="M39">
        <v>34.659999999999997</v>
      </c>
      <c r="N39">
        <v>116.92</v>
      </c>
      <c r="O39">
        <v>86.21</v>
      </c>
      <c r="P39">
        <v>38.97</v>
      </c>
      <c r="Q39">
        <v>121.63</v>
      </c>
      <c r="R39">
        <v>177.83</v>
      </c>
      <c r="S39">
        <v>61.99</v>
      </c>
      <c r="T39">
        <v>62.13</v>
      </c>
      <c r="U39">
        <v>56.29</v>
      </c>
      <c r="V39">
        <v>31.89</v>
      </c>
      <c r="W39">
        <v>85.13</v>
      </c>
      <c r="X39">
        <v>116.55</v>
      </c>
      <c r="Y39">
        <v>160.75</v>
      </c>
      <c r="Z39">
        <v>107.78</v>
      </c>
      <c r="AA39">
        <v>86.82</v>
      </c>
      <c r="AB39">
        <v>45.48</v>
      </c>
      <c r="AC39">
        <v>83.39</v>
      </c>
      <c r="AD39">
        <v>68.31</v>
      </c>
      <c r="AE39">
        <v>75.28</v>
      </c>
      <c r="AI39" s="2">
        <v>5000</v>
      </c>
      <c r="AJ39" s="2">
        <f t="shared" si="38"/>
        <v>1020</v>
      </c>
      <c r="AK39" s="2">
        <f t="shared" si="38"/>
        <v>1020</v>
      </c>
      <c r="AL39" s="2">
        <f t="shared" si="38"/>
        <v>1020</v>
      </c>
      <c r="AM39" s="2">
        <f t="shared" si="38"/>
        <v>1020</v>
      </c>
      <c r="AN39" s="2">
        <f t="shared" si="38"/>
        <v>1020</v>
      </c>
      <c r="AO39" s="2">
        <f t="shared" si="38"/>
        <v>1020</v>
      </c>
      <c r="AP39" s="2">
        <v>0</v>
      </c>
      <c r="AQ39" s="2">
        <v>1000</v>
      </c>
      <c r="AR39" s="2">
        <v>1000</v>
      </c>
      <c r="AS39" s="2">
        <v>1000</v>
      </c>
      <c r="AT39" s="2">
        <v>1000</v>
      </c>
      <c r="AU39" s="2">
        <v>1000</v>
      </c>
      <c r="AV39" s="2">
        <v>1000</v>
      </c>
      <c r="AW39" s="2">
        <v>0</v>
      </c>
      <c r="AX39" s="2">
        <v>1000</v>
      </c>
      <c r="AY39" s="2">
        <v>1000</v>
      </c>
      <c r="AZ39" s="2">
        <v>978</v>
      </c>
      <c r="BA39" s="2">
        <v>995</v>
      </c>
      <c r="BB39" s="2">
        <v>978</v>
      </c>
      <c r="BC39" s="2">
        <v>-1000</v>
      </c>
      <c r="BD39" s="2">
        <v>1000</v>
      </c>
      <c r="BE39" s="2">
        <v>5000</v>
      </c>
      <c r="BF39" s="2">
        <v>3000</v>
      </c>
      <c r="BG39" s="2">
        <v>5000</v>
      </c>
      <c r="BH39" s="2">
        <v>4000</v>
      </c>
      <c r="BI39" s="2">
        <v>3000</v>
      </c>
      <c r="BJ39" s="2">
        <v>0</v>
      </c>
      <c r="BK39" s="2">
        <v>1000</v>
      </c>
      <c r="BL39" s="2">
        <v>1000</v>
      </c>
      <c r="BO39" s="2">
        <f t="shared" si="4"/>
        <v>0</v>
      </c>
      <c r="BP39" s="2">
        <f t="shared" si="11"/>
        <v>0</v>
      </c>
      <c r="BQ39" s="2">
        <f t="shared" si="12"/>
        <v>0</v>
      </c>
      <c r="BR39" s="2">
        <f t="shared" si="13"/>
        <v>0</v>
      </c>
      <c r="BS39" s="2">
        <f t="shared" si="14"/>
        <v>0</v>
      </c>
      <c r="BT39" s="2">
        <f t="shared" si="15"/>
        <v>0</v>
      </c>
      <c r="BU39" s="2">
        <f t="shared" si="16"/>
        <v>0</v>
      </c>
      <c r="BV39" s="2">
        <f t="shared" si="17"/>
        <v>0</v>
      </c>
      <c r="BW39" s="2">
        <f t="shared" si="18"/>
        <v>0</v>
      </c>
      <c r="BX39" s="2">
        <f t="shared" si="19"/>
        <v>0</v>
      </c>
      <c r="BY39" s="2">
        <f t="shared" si="20"/>
        <v>0</v>
      </c>
      <c r="BZ39" s="2">
        <f t="shared" si="21"/>
        <v>0</v>
      </c>
      <c r="CA39" s="2">
        <f t="shared" si="22"/>
        <v>0</v>
      </c>
      <c r="CB39" s="2">
        <f t="shared" si="23"/>
        <v>0</v>
      </c>
      <c r="CC39" s="2">
        <f t="shared" si="24"/>
        <v>0</v>
      </c>
      <c r="CD39" s="2">
        <f t="shared" si="25"/>
        <v>0</v>
      </c>
      <c r="CE39" s="2">
        <f t="shared" si="26"/>
        <v>0</v>
      </c>
      <c r="CF39" s="2">
        <f t="shared" si="27"/>
        <v>123.98</v>
      </c>
      <c r="CG39" s="2">
        <f t="shared" si="28"/>
        <v>1366.8600000000001</v>
      </c>
      <c r="CH39" s="2">
        <f t="shared" si="29"/>
        <v>5178.68</v>
      </c>
      <c r="CI39" s="2">
        <f t="shared" si="30"/>
        <v>0</v>
      </c>
      <c r="CJ39" s="2">
        <f t="shared" si="31"/>
        <v>0</v>
      </c>
      <c r="CK39" s="2">
        <f t="shared" si="32"/>
        <v>0</v>
      </c>
      <c r="CL39" s="2">
        <f t="shared" si="33"/>
        <v>0</v>
      </c>
      <c r="CM39" s="2">
        <f t="shared" si="5"/>
        <v>0</v>
      </c>
      <c r="CN39" s="2">
        <f t="shared" si="6"/>
        <v>0</v>
      </c>
      <c r="CO39" s="2">
        <f t="shared" si="7"/>
        <v>0</v>
      </c>
      <c r="CP39" s="2">
        <f t="shared" si="8"/>
        <v>0</v>
      </c>
      <c r="CQ39" s="2">
        <f t="shared" si="9"/>
        <v>0</v>
      </c>
      <c r="CR39" s="2">
        <f t="shared" si="10"/>
        <v>0</v>
      </c>
      <c r="CV39" t="s">
        <v>64</v>
      </c>
      <c r="CW39" t="s">
        <v>112</v>
      </c>
      <c r="CX39" t="s">
        <v>1</v>
      </c>
      <c r="CY39" s="4">
        <v>43230</v>
      </c>
      <c r="CZ39" t="s">
        <v>65</v>
      </c>
      <c r="DA39" t="s">
        <v>66</v>
      </c>
      <c r="DB39">
        <v>2500</v>
      </c>
      <c r="DC39">
        <v>187.19</v>
      </c>
      <c r="DD39" t="s">
        <v>69</v>
      </c>
      <c r="DE39" t="s">
        <v>70</v>
      </c>
      <c r="DF39">
        <v>467975</v>
      </c>
    </row>
    <row r="40" spans="1:110" x14ac:dyDescent="0.25">
      <c r="A40" s="1">
        <v>42794</v>
      </c>
      <c r="B40">
        <v>132.83000000000001</v>
      </c>
      <c r="C40">
        <v>77.95</v>
      </c>
      <c r="D40">
        <v>172.58</v>
      </c>
      <c r="E40">
        <v>91.95</v>
      </c>
      <c r="F40">
        <v>32.049999999999997</v>
      </c>
      <c r="G40">
        <v>104.13</v>
      </c>
      <c r="H40">
        <v>106.71</v>
      </c>
      <c r="I40">
        <v>1</v>
      </c>
      <c r="J40">
        <v>242.28</v>
      </c>
      <c r="K40">
        <v>138.52000000000001</v>
      </c>
      <c r="L40">
        <v>165</v>
      </c>
      <c r="M40">
        <v>34.369999999999997</v>
      </c>
      <c r="N40">
        <v>116.74</v>
      </c>
      <c r="O40">
        <v>86.39</v>
      </c>
      <c r="P40">
        <v>39.24</v>
      </c>
      <c r="Q40">
        <v>122.26</v>
      </c>
      <c r="R40">
        <v>177.3</v>
      </c>
      <c r="S40">
        <v>62.01</v>
      </c>
      <c r="T40">
        <v>61.89</v>
      </c>
      <c r="U40">
        <v>55.78</v>
      </c>
      <c r="V40">
        <v>31.74</v>
      </c>
      <c r="W40">
        <v>85.3</v>
      </c>
      <c r="X40">
        <v>116.74</v>
      </c>
      <c r="Y40">
        <v>160.75</v>
      </c>
      <c r="Z40">
        <v>107.53</v>
      </c>
      <c r="AA40">
        <v>86.76</v>
      </c>
      <c r="AB40">
        <v>45.2</v>
      </c>
      <c r="AC40">
        <v>82.58</v>
      </c>
      <c r="AD40">
        <v>67.540000000000006</v>
      </c>
      <c r="AE40">
        <v>75.08</v>
      </c>
      <c r="AI40" s="2">
        <v>5000</v>
      </c>
      <c r="AJ40" s="2">
        <f t="shared" si="38"/>
        <v>1020</v>
      </c>
      <c r="AK40" s="2">
        <f t="shared" si="38"/>
        <v>1020</v>
      </c>
      <c r="AL40" s="2">
        <f t="shared" si="38"/>
        <v>1020</v>
      </c>
      <c r="AM40" s="2">
        <f t="shared" si="38"/>
        <v>1020</v>
      </c>
      <c r="AN40" s="2">
        <f t="shared" si="38"/>
        <v>1020</v>
      </c>
      <c r="AO40" s="2">
        <f t="shared" si="38"/>
        <v>1020</v>
      </c>
      <c r="AP40" s="2">
        <v>0</v>
      </c>
      <c r="AQ40" s="2">
        <v>1000</v>
      </c>
      <c r="AR40" s="2">
        <v>1000</v>
      </c>
      <c r="AS40" s="2">
        <v>1000</v>
      </c>
      <c r="AT40" s="2">
        <v>1000</v>
      </c>
      <c r="AU40" s="2">
        <v>1000</v>
      </c>
      <c r="AV40" s="2">
        <v>1000</v>
      </c>
      <c r="AW40" s="2">
        <v>0</v>
      </c>
      <c r="AX40" s="2">
        <v>1000</v>
      </c>
      <c r="AY40" s="2">
        <v>1000</v>
      </c>
      <c r="AZ40" s="2">
        <v>1037</v>
      </c>
      <c r="BA40" s="2">
        <v>902</v>
      </c>
      <c r="BB40" s="2">
        <v>1032</v>
      </c>
      <c r="BC40" s="2">
        <v>-1000</v>
      </c>
      <c r="BD40" s="2">
        <v>1000</v>
      </c>
      <c r="BE40" s="2">
        <v>5000</v>
      </c>
      <c r="BF40" s="2">
        <v>3000</v>
      </c>
      <c r="BG40" s="2">
        <v>5000</v>
      </c>
      <c r="BH40" s="2">
        <v>4000</v>
      </c>
      <c r="BI40" s="2">
        <v>3000</v>
      </c>
      <c r="BJ40" s="2">
        <v>0</v>
      </c>
      <c r="BK40" s="2">
        <v>1000</v>
      </c>
      <c r="BL40" s="2">
        <v>1000</v>
      </c>
      <c r="BO40" s="2">
        <f t="shared" si="4"/>
        <v>0</v>
      </c>
      <c r="BP40" s="2">
        <f t="shared" si="11"/>
        <v>0</v>
      </c>
      <c r="BQ40" s="2">
        <f t="shared" si="12"/>
        <v>0</v>
      </c>
      <c r="BR40" s="2">
        <f t="shared" si="13"/>
        <v>0</v>
      </c>
      <c r="BS40" s="2">
        <f t="shared" si="14"/>
        <v>0</v>
      </c>
      <c r="BT40" s="2">
        <f t="shared" si="15"/>
        <v>0</v>
      </c>
      <c r="BU40" s="2">
        <f t="shared" si="16"/>
        <v>0</v>
      </c>
      <c r="BV40" s="2">
        <f t="shared" si="17"/>
        <v>0</v>
      </c>
      <c r="BW40" s="2">
        <f t="shared" si="18"/>
        <v>0</v>
      </c>
      <c r="BX40" s="2">
        <f t="shared" si="19"/>
        <v>0</v>
      </c>
      <c r="BY40" s="2">
        <f t="shared" si="20"/>
        <v>0</v>
      </c>
      <c r="BZ40" s="2">
        <f t="shared" si="21"/>
        <v>0</v>
      </c>
      <c r="CA40" s="2">
        <f t="shared" si="22"/>
        <v>0</v>
      </c>
      <c r="CB40" s="2">
        <f t="shared" si="23"/>
        <v>0</v>
      </c>
      <c r="CC40" s="2">
        <f t="shared" si="24"/>
        <v>0</v>
      </c>
      <c r="CD40" s="2">
        <f t="shared" si="25"/>
        <v>0</v>
      </c>
      <c r="CE40" s="2">
        <f t="shared" si="26"/>
        <v>0</v>
      </c>
      <c r="CF40" s="2">
        <f t="shared" si="27"/>
        <v>-3658.5899999999997</v>
      </c>
      <c r="CG40" s="2">
        <f t="shared" si="28"/>
        <v>5755.77</v>
      </c>
      <c r="CH40" s="2">
        <f t="shared" si="29"/>
        <v>-3012.12</v>
      </c>
      <c r="CI40" s="2">
        <f t="shared" si="30"/>
        <v>0</v>
      </c>
      <c r="CJ40" s="2">
        <f t="shared" si="31"/>
        <v>0</v>
      </c>
      <c r="CK40" s="2">
        <f t="shared" si="32"/>
        <v>0</v>
      </c>
      <c r="CL40" s="2">
        <f t="shared" si="33"/>
        <v>0</v>
      </c>
      <c r="CM40" s="2">
        <f t="shared" si="5"/>
        <v>0</v>
      </c>
      <c r="CN40" s="2">
        <f t="shared" si="6"/>
        <v>0</v>
      </c>
      <c r="CO40" s="2">
        <f t="shared" si="7"/>
        <v>0</v>
      </c>
      <c r="CP40" s="2">
        <f t="shared" si="8"/>
        <v>0</v>
      </c>
      <c r="CQ40" s="2">
        <f t="shared" si="9"/>
        <v>0</v>
      </c>
      <c r="CR40" s="2">
        <f t="shared" si="10"/>
        <v>0</v>
      </c>
      <c r="CV40" t="s">
        <v>64</v>
      </c>
      <c r="CW40" t="s">
        <v>113</v>
      </c>
      <c r="CX40" t="s">
        <v>1</v>
      </c>
      <c r="CY40" s="4">
        <v>43231</v>
      </c>
      <c r="CZ40" t="s">
        <v>65</v>
      </c>
      <c r="DA40" t="s">
        <v>66</v>
      </c>
      <c r="DB40">
        <v>2500</v>
      </c>
      <c r="DC40">
        <v>186.48</v>
      </c>
      <c r="DD40" t="s">
        <v>69</v>
      </c>
      <c r="DE40" t="s">
        <v>70</v>
      </c>
      <c r="DF40">
        <v>466200</v>
      </c>
    </row>
    <row r="41" spans="1:110" x14ac:dyDescent="0.25">
      <c r="A41" s="1">
        <v>42795</v>
      </c>
      <c r="B41">
        <v>135.55000000000001</v>
      </c>
      <c r="C41">
        <v>79.77</v>
      </c>
      <c r="D41">
        <v>176.1</v>
      </c>
      <c r="E41">
        <v>93.78</v>
      </c>
      <c r="F41">
        <v>32.299999999999997</v>
      </c>
      <c r="G41">
        <v>105.41</v>
      </c>
      <c r="H41">
        <v>107.63</v>
      </c>
      <c r="I41">
        <v>1</v>
      </c>
      <c r="J41">
        <v>246.82</v>
      </c>
      <c r="K41">
        <v>140.21</v>
      </c>
      <c r="L41">
        <v>166.96</v>
      </c>
      <c r="M41">
        <v>34.11</v>
      </c>
      <c r="N41">
        <v>118.31</v>
      </c>
      <c r="O41">
        <v>89.23</v>
      </c>
      <c r="P41">
        <v>39.42</v>
      </c>
      <c r="Q41">
        <v>123.6</v>
      </c>
      <c r="R41">
        <v>180.64</v>
      </c>
      <c r="S41">
        <v>62.33</v>
      </c>
      <c r="T41">
        <v>62.82</v>
      </c>
      <c r="U41">
        <v>56.55</v>
      </c>
      <c r="V41">
        <v>32.020000000000003</v>
      </c>
      <c r="W41">
        <v>85.86</v>
      </c>
      <c r="X41">
        <v>119.37</v>
      </c>
      <c r="Y41">
        <v>163.24</v>
      </c>
      <c r="Z41">
        <v>108.61</v>
      </c>
      <c r="AA41">
        <v>87.79</v>
      </c>
      <c r="AB41">
        <v>45.36</v>
      </c>
      <c r="AC41">
        <v>82.96</v>
      </c>
      <c r="AD41">
        <v>67.08</v>
      </c>
      <c r="AE41">
        <v>76.64</v>
      </c>
      <c r="AI41" s="2">
        <v>5000</v>
      </c>
      <c r="AJ41" s="2">
        <f t="shared" si="38"/>
        <v>1020</v>
      </c>
      <c r="AK41" s="2">
        <f t="shared" si="38"/>
        <v>1020</v>
      </c>
      <c r="AL41" s="2">
        <f t="shared" si="38"/>
        <v>1020</v>
      </c>
      <c r="AM41" s="2">
        <f t="shared" si="38"/>
        <v>1020</v>
      </c>
      <c r="AN41" s="2">
        <f t="shared" si="38"/>
        <v>1020</v>
      </c>
      <c r="AO41" s="2">
        <f t="shared" si="38"/>
        <v>1020</v>
      </c>
      <c r="AP41" s="2">
        <v>0</v>
      </c>
      <c r="AQ41" s="2">
        <v>1000</v>
      </c>
      <c r="AR41" s="2">
        <v>1000</v>
      </c>
      <c r="AS41" s="2">
        <v>1000</v>
      </c>
      <c r="AT41" s="2">
        <v>1000</v>
      </c>
      <c r="AU41" s="2">
        <v>1000</v>
      </c>
      <c r="AV41" s="2">
        <v>1000</v>
      </c>
      <c r="AW41" s="2">
        <v>0</v>
      </c>
      <c r="AX41" s="2">
        <v>1000</v>
      </c>
      <c r="AY41" s="2">
        <v>1000</v>
      </c>
      <c r="AZ41" s="2">
        <v>1011</v>
      </c>
      <c r="BA41" s="2">
        <v>1007</v>
      </c>
      <c r="BB41" s="2">
        <v>1004</v>
      </c>
      <c r="BC41" s="2">
        <v>-1000</v>
      </c>
      <c r="BD41" s="2">
        <v>1000</v>
      </c>
      <c r="BE41" s="2">
        <v>5000</v>
      </c>
      <c r="BF41" s="2">
        <v>3000</v>
      </c>
      <c r="BG41" s="2">
        <v>5000</v>
      </c>
      <c r="BH41" s="2">
        <v>4000</v>
      </c>
      <c r="BI41" s="2">
        <v>3000</v>
      </c>
      <c r="BJ41" s="2">
        <v>0</v>
      </c>
      <c r="BK41" s="2">
        <v>1000</v>
      </c>
      <c r="BL41" s="2">
        <v>1000</v>
      </c>
      <c r="BO41" s="2">
        <f t="shared" si="4"/>
        <v>0</v>
      </c>
      <c r="BP41" s="2">
        <f t="shared" si="11"/>
        <v>0</v>
      </c>
      <c r="BQ41" s="2">
        <f t="shared" si="12"/>
        <v>0</v>
      </c>
      <c r="BR41" s="2">
        <f t="shared" si="13"/>
        <v>0</v>
      </c>
      <c r="BS41" s="2">
        <f t="shared" si="14"/>
        <v>0</v>
      </c>
      <c r="BT41" s="2">
        <f t="shared" si="15"/>
        <v>0</v>
      </c>
      <c r="BU41" s="2">
        <f t="shared" si="16"/>
        <v>0</v>
      </c>
      <c r="BV41" s="2">
        <f t="shared" si="17"/>
        <v>0</v>
      </c>
      <c r="BW41" s="2">
        <f t="shared" si="18"/>
        <v>0</v>
      </c>
      <c r="BX41" s="2">
        <f t="shared" si="19"/>
        <v>0</v>
      </c>
      <c r="BY41" s="2">
        <f t="shared" si="20"/>
        <v>0</v>
      </c>
      <c r="BZ41" s="2">
        <f t="shared" si="21"/>
        <v>0</v>
      </c>
      <c r="CA41" s="2">
        <f t="shared" si="22"/>
        <v>0</v>
      </c>
      <c r="CB41" s="2">
        <f t="shared" si="23"/>
        <v>0</v>
      </c>
      <c r="CC41" s="2">
        <f t="shared" si="24"/>
        <v>0</v>
      </c>
      <c r="CD41" s="2">
        <f t="shared" si="25"/>
        <v>0</v>
      </c>
      <c r="CE41" s="2">
        <f t="shared" si="26"/>
        <v>0</v>
      </c>
      <c r="CF41" s="2">
        <f t="shared" si="27"/>
        <v>1620.58</v>
      </c>
      <c r="CG41" s="2">
        <f t="shared" si="28"/>
        <v>-6596.1</v>
      </c>
      <c r="CH41" s="2">
        <f t="shared" si="29"/>
        <v>1583.3999999999999</v>
      </c>
      <c r="CI41" s="2">
        <f t="shared" si="30"/>
        <v>0</v>
      </c>
      <c r="CJ41" s="2">
        <f t="shared" si="31"/>
        <v>0</v>
      </c>
      <c r="CK41" s="2">
        <f t="shared" si="32"/>
        <v>0</v>
      </c>
      <c r="CL41" s="2">
        <f t="shared" si="33"/>
        <v>0</v>
      </c>
      <c r="CM41" s="2">
        <f t="shared" si="5"/>
        <v>0</v>
      </c>
      <c r="CN41" s="2">
        <f t="shared" si="6"/>
        <v>0</v>
      </c>
      <c r="CO41" s="2">
        <f t="shared" si="7"/>
        <v>0</v>
      </c>
      <c r="CP41" s="2">
        <f t="shared" si="8"/>
        <v>0</v>
      </c>
      <c r="CQ41" s="2">
        <f t="shared" si="9"/>
        <v>0</v>
      </c>
      <c r="CR41" s="2">
        <f t="shared" si="10"/>
        <v>0</v>
      </c>
      <c r="CV41" t="s">
        <v>64</v>
      </c>
      <c r="CW41" t="s">
        <v>114</v>
      </c>
      <c r="CX41" t="s">
        <v>1</v>
      </c>
      <c r="CY41" s="4">
        <v>43315</v>
      </c>
      <c r="CZ41" t="s">
        <v>67</v>
      </c>
      <c r="DA41" t="s">
        <v>68</v>
      </c>
      <c r="DB41">
        <v>7500</v>
      </c>
      <c r="DC41">
        <v>205.66</v>
      </c>
      <c r="DD41" t="s">
        <v>69</v>
      </c>
      <c r="DE41" t="s">
        <v>70</v>
      </c>
      <c r="DF41">
        <v>1542450</v>
      </c>
    </row>
    <row r="42" spans="1:110" x14ac:dyDescent="0.25">
      <c r="A42" s="1">
        <v>42796</v>
      </c>
      <c r="B42">
        <v>134.74</v>
      </c>
      <c r="C42">
        <v>77.989999999999995</v>
      </c>
      <c r="D42">
        <v>175.22</v>
      </c>
      <c r="E42">
        <v>89.76</v>
      </c>
      <c r="F42">
        <v>32.25</v>
      </c>
      <c r="G42">
        <v>104.93</v>
      </c>
      <c r="H42">
        <v>107.2</v>
      </c>
      <c r="I42">
        <v>1</v>
      </c>
      <c r="J42">
        <v>245.21</v>
      </c>
      <c r="K42">
        <v>141.41999999999999</v>
      </c>
      <c r="L42">
        <v>165.65</v>
      </c>
      <c r="M42">
        <v>34.090000000000003</v>
      </c>
      <c r="N42">
        <v>118.09</v>
      </c>
      <c r="O42">
        <v>87.84</v>
      </c>
      <c r="P42">
        <v>39.71</v>
      </c>
      <c r="Q42">
        <v>122.82</v>
      </c>
      <c r="R42">
        <v>180.67</v>
      </c>
      <c r="S42">
        <v>62.21</v>
      </c>
      <c r="T42">
        <v>61.92</v>
      </c>
      <c r="U42">
        <v>56.58</v>
      </c>
      <c r="V42">
        <v>32.1</v>
      </c>
      <c r="W42">
        <v>85.15</v>
      </c>
      <c r="X42">
        <v>118.92</v>
      </c>
      <c r="Y42">
        <v>162.63</v>
      </c>
      <c r="Z42">
        <v>107.67</v>
      </c>
      <c r="AA42">
        <v>87.34</v>
      </c>
      <c r="AB42">
        <v>45.52</v>
      </c>
      <c r="AC42">
        <v>82.93</v>
      </c>
      <c r="AD42">
        <v>67.38</v>
      </c>
      <c r="AE42">
        <v>76.900000000000006</v>
      </c>
      <c r="AI42" s="2">
        <v>5000</v>
      </c>
      <c r="AJ42" s="2">
        <f t="shared" si="38"/>
        <v>1020</v>
      </c>
      <c r="AK42" s="2">
        <f t="shared" si="38"/>
        <v>1020</v>
      </c>
      <c r="AL42" s="2">
        <f t="shared" si="38"/>
        <v>1020</v>
      </c>
      <c r="AM42" s="2">
        <f t="shared" si="38"/>
        <v>1020</v>
      </c>
      <c r="AN42" s="2">
        <f t="shared" si="38"/>
        <v>1020</v>
      </c>
      <c r="AO42" s="2">
        <f t="shared" si="38"/>
        <v>1020</v>
      </c>
      <c r="AP42" s="2">
        <v>0</v>
      </c>
      <c r="AQ42" s="2">
        <v>1000</v>
      </c>
      <c r="AR42" s="2">
        <v>1000</v>
      </c>
      <c r="AS42" s="2">
        <v>1000</v>
      </c>
      <c r="AT42" s="2">
        <v>1000</v>
      </c>
      <c r="AU42" s="2">
        <v>1000</v>
      </c>
      <c r="AV42" s="2">
        <v>1000</v>
      </c>
      <c r="AW42" s="2">
        <v>0</v>
      </c>
      <c r="AX42" s="2">
        <v>1000</v>
      </c>
      <c r="AY42" s="2">
        <v>1000</v>
      </c>
      <c r="AZ42" s="2">
        <v>991</v>
      </c>
      <c r="BA42" s="2">
        <v>954</v>
      </c>
      <c r="BB42" s="2">
        <v>914</v>
      </c>
      <c r="BC42" s="2">
        <v>-1000</v>
      </c>
      <c r="BD42" s="2">
        <v>1000</v>
      </c>
      <c r="BE42" s="2">
        <v>5000</v>
      </c>
      <c r="BF42" s="2">
        <v>3000</v>
      </c>
      <c r="BG42" s="2">
        <v>5000</v>
      </c>
      <c r="BH42" s="2">
        <v>4000</v>
      </c>
      <c r="BI42" s="2">
        <v>3000</v>
      </c>
      <c r="BJ42" s="2">
        <v>0</v>
      </c>
      <c r="BK42" s="2">
        <v>1000</v>
      </c>
      <c r="BL42" s="2">
        <v>1000</v>
      </c>
      <c r="BO42" s="2">
        <f t="shared" si="4"/>
        <v>0</v>
      </c>
      <c r="BP42" s="2">
        <f t="shared" si="11"/>
        <v>0</v>
      </c>
      <c r="BQ42" s="2">
        <f t="shared" si="12"/>
        <v>0</v>
      </c>
      <c r="BR42" s="2">
        <f t="shared" si="13"/>
        <v>0</v>
      </c>
      <c r="BS42" s="2">
        <f t="shared" si="14"/>
        <v>0</v>
      </c>
      <c r="BT42" s="2">
        <f t="shared" si="15"/>
        <v>0</v>
      </c>
      <c r="BU42" s="2">
        <f t="shared" si="16"/>
        <v>0</v>
      </c>
      <c r="BV42" s="2">
        <f t="shared" si="17"/>
        <v>0</v>
      </c>
      <c r="BW42" s="2">
        <f t="shared" si="18"/>
        <v>0</v>
      </c>
      <c r="BX42" s="2">
        <f t="shared" si="19"/>
        <v>0</v>
      </c>
      <c r="BY42" s="2">
        <f t="shared" si="20"/>
        <v>0</v>
      </c>
      <c r="BZ42" s="2">
        <f t="shared" si="21"/>
        <v>0</v>
      </c>
      <c r="CA42" s="2">
        <f t="shared" si="22"/>
        <v>0</v>
      </c>
      <c r="CB42" s="2">
        <f t="shared" si="23"/>
        <v>0</v>
      </c>
      <c r="CC42" s="2">
        <f t="shared" si="24"/>
        <v>0</v>
      </c>
      <c r="CD42" s="2">
        <f t="shared" si="25"/>
        <v>0</v>
      </c>
      <c r="CE42" s="2">
        <f t="shared" si="26"/>
        <v>0</v>
      </c>
      <c r="CF42" s="2">
        <f t="shared" si="27"/>
        <v>1244.2</v>
      </c>
      <c r="CG42" s="2">
        <f t="shared" si="28"/>
        <v>3281.76</v>
      </c>
      <c r="CH42" s="2">
        <f t="shared" si="29"/>
        <v>5092.2</v>
      </c>
      <c r="CI42" s="2">
        <f t="shared" si="30"/>
        <v>0</v>
      </c>
      <c r="CJ42" s="2">
        <f t="shared" si="31"/>
        <v>0</v>
      </c>
      <c r="CK42" s="2">
        <f t="shared" si="32"/>
        <v>0</v>
      </c>
      <c r="CL42" s="2">
        <f t="shared" si="33"/>
        <v>0</v>
      </c>
      <c r="CM42" s="2">
        <f t="shared" si="5"/>
        <v>0</v>
      </c>
      <c r="CN42" s="2">
        <f t="shared" si="6"/>
        <v>0</v>
      </c>
      <c r="CO42" s="2">
        <f t="shared" si="7"/>
        <v>0</v>
      </c>
      <c r="CP42" s="2">
        <f t="shared" si="8"/>
        <v>0</v>
      </c>
      <c r="CQ42" s="2">
        <f t="shared" si="9"/>
        <v>0</v>
      </c>
      <c r="CR42" s="2">
        <f t="shared" si="10"/>
        <v>0</v>
      </c>
      <c r="CV42" t="s">
        <v>64</v>
      </c>
      <c r="CW42" t="s">
        <v>115</v>
      </c>
      <c r="CX42" t="s">
        <v>1</v>
      </c>
      <c r="CY42" s="4">
        <v>43322</v>
      </c>
      <c r="CZ42" t="s">
        <v>65</v>
      </c>
      <c r="DA42" t="s">
        <v>66</v>
      </c>
      <c r="DB42">
        <v>1250</v>
      </c>
      <c r="DC42">
        <v>205.93</v>
      </c>
      <c r="DD42" t="s">
        <v>69</v>
      </c>
      <c r="DE42" t="s">
        <v>70</v>
      </c>
      <c r="DF42">
        <v>257412.5</v>
      </c>
    </row>
    <row r="43" spans="1:110" x14ac:dyDescent="0.25">
      <c r="A43" s="1">
        <v>42797</v>
      </c>
      <c r="B43">
        <v>135.54</v>
      </c>
      <c r="C43">
        <v>77.78</v>
      </c>
      <c r="D43">
        <v>174.45</v>
      </c>
      <c r="E43">
        <v>90.49</v>
      </c>
      <c r="F43">
        <v>32.159999999999997</v>
      </c>
      <c r="G43">
        <v>105.1</v>
      </c>
      <c r="H43">
        <v>107.83</v>
      </c>
      <c r="I43">
        <v>1</v>
      </c>
      <c r="J43">
        <v>246.99</v>
      </c>
      <c r="K43">
        <v>141.29</v>
      </c>
      <c r="L43">
        <v>165.21</v>
      </c>
      <c r="M43">
        <v>34.08</v>
      </c>
      <c r="N43">
        <v>118.25</v>
      </c>
      <c r="O43">
        <v>88.47</v>
      </c>
      <c r="P43">
        <v>39.72</v>
      </c>
      <c r="Q43">
        <v>122.5</v>
      </c>
      <c r="R43">
        <v>180.11</v>
      </c>
      <c r="S43">
        <v>62.68</v>
      </c>
      <c r="T43">
        <v>62.15</v>
      </c>
      <c r="U43">
        <v>55.5</v>
      </c>
      <c r="V43">
        <v>32.11</v>
      </c>
      <c r="W43">
        <v>84.77</v>
      </c>
      <c r="X43">
        <v>118.55</v>
      </c>
      <c r="Y43">
        <v>163.49</v>
      </c>
      <c r="Z43">
        <v>107.33</v>
      </c>
      <c r="AA43">
        <v>87.6</v>
      </c>
      <c r="AB43">
        <v>45.62</v>
      </c>
      <c r="AC43">
        <v>82.12</v>
      </c>
      <c r="AD43">
        <v>66.680000000000007</v>
      </c>
      <c r="AE43">
        <v>76.13</v>
      </c>
      <c r="AI43" s="2">
        <v>5000</v>
      </c>
      <c r="AJ43" s="2">
        <f t="shared" si="38"/>
        <v>1020</v>
      </c>
      <c r="AK43" s="2">
        <f t="shared" si="38"/>
        <v>1020</v>
      </c>
      <c r="AL43" s="2">
        <f t="shared" si="38"/>
        <v>1020</v>
      </c>
      <c r="AM43" s="2">
        <f t="shared" si="38"/>
        <v>1020</v>
      </c>
      <c r="AN43" s="2">
        <f t="shared" si="38"/>
        <v>1020</v>
      </c>
      <c r="AO43" s="2">
        <f t="shared" si="38"/>
        <v>1020</v>
      </c>
      <c r="AP43" s="2">
        <v>0</v>
      </c>
      <c r="AQ43" s="2">
        <v>1000</v>
      </c>
      <c r="AR43" s="2">
        <v>1000</v>
      </c>
      <c r="AS43" s="2">
        <v>1000</v>
      </c>
      <c r="AT43" s="2">
        <v>1000</v>
      </c>
      <c r="AU43" s="2">
        <v>1000</v>
      </c>
      <c r="AV43" s="2">
        <v>1000</v>
      </c>
      <c r="AW43" s="2">
        <v>0</v>
      </c>
      <c r="AX43" s="2">
        <v>1000</v>
      </c>
      <c r="AY43" s="2">
        <v>1000</v>
      </c>
      <c r="AZ43" s="2">
        <v>991</v>
      </c>
      <c r="BA43" s="2">
        <v>919</v>
      </c>
      <c r="BB43" s="2">
        <v>910</v>
      </c>
      <c r="BC43" s="2">
        <v>-1000</v>
      </c>
      <c r="BD43" s="2">
        <v>1000</v>
      </c>
      <c r="BE43" s="2">
        <v>5000</v>
      </c>
      <c r="BF43" s="2">
        <v>3000</v>
      </c>
      <c r="BG43" s="2">
        <v>5000</v>
      </c>
      <c r="BH43" s="2">
        <v>4000</v>
      </c>
      <c r="BI43" s="2">
        <v>3000</v>
      </c>
      <c r="BJ43" s="2">
        <v>0</v>
      </c>
      <c r="BK43" s="2">
        <v>1000</v>
      </c>
      <c r="BL43" s="2">
        <v>1000</v>
      </c>
      <c r="BO43" s="2">
        <f t="shared" si="4"/>
        <v>0</v>
      </c>
      <c r="BP43" s="2">
        <f t="shared" si="11"/>
        <v>0</v>
      </c>
      <c r="BQ43" s="2">
        <f t="shared" si="12"/>
        <v>0</v>
      </c>
      <c r="BR43" s="2">
        <f t="shared" si="13"/>
        <v>0</v>
      </c>
      <c r="BS43" s="2">
        <f t="shared" si="14"/>
        <v>0</v>
      </c>
      <c r="BT43" s="2">
        <f t="shared" si="15"/>
        <v>0</v>
      </c>
      <c r="BU43" s="2">
        <f t="shared" si="16"/>
        <v>0</v>
      </c>
      <c r="BV43" s="2">
        <f t="shared" si="17"/>
        <v>0</v>
      </c>
      <c r="BW43" s="2">
        <f t="shared" si="18"/>
        <v>0</v>
      </c>
      <c r="BX43" s="2">
        <f t="shared" si="19"/>
        <v>0</v>
      </c>
      <c r="BY43" s="2">
        <f t="shared" si="20"/>
        <v>0</v>
      </c>
      <c r="BZ43" s="2">
        <f t="shared" si="21"/>
        <v>0</v>
      </c>
      <c r="CA43" s="2">
        <f t="shared" si="22"/>
        <v>0</v>
      </c>
      <c r="CB43" s="2">
        <f t="shared" si="23"/>
        <v>0</v>
      </c>
      <c r="CC43" s="2">
        <f t="shared" si="24"/>
        <v>0</v>
      </c>
      <c r="CD43" s="2">
        <f t="shared" si="25"/>
        <v>0</v>
      </c>
      <c r="CE43" s="2">
        <f t="shared" si="26"/>
        <v>0</v>
      </c>
      <c r="CF43" s="2">
        <f t="shared" si="27"/>
        <v>0</v>
      </c>
      <c r="CG43" s="2">
        <f t="shared" si="28"/>
        <v>2175.25</v>
      </c>
      <c r="CH43" s="2">
        <f t="shared" si="29"/>
        <v>222</v>
      </c>
      <c r="CI43" s="2">
        <f t="shared" si="30"/>
        <v>0</v>
      </c>
      <c r="CJ43" s="2">
        <f t="shared" si="31"/>
        <v>0</v>
      </c>
      <c r="CK43" s="2">
        <f t="shared" si="32"/>
        <v>0</v>
      </c>
      <c r="CL43" s="2">
        <f t="shared" si="33"/>
        <v>0</v>
      </c>
      <c r="CM43" s="2">
        <f t="shared" si="5"/>
        <v>0</v>
      </c>
      <c r="CN43" s="2">
        <f t="shared" si="6"/>
        <v>0</v>
      </c>
      <c r="CO43" s="2">
        <f t="shared" si="7"/>
        <v>0</v>
      </c>
      <c r="CP43" s="2">
        <f t="shared" si="8"/>
        <v>0</v>
      </c>
      <c r="CQ43" s="2">
        <f t="shared" si="9"/>
        <v>0</v>
      </c>
      <c r="CR43" s="2">
        <f t="shared" si="10"/>
        <v>0</v>
      </c>
      <c r="CV43" t="s">
        <v>64</v>
      </c>
      <c r="CW43" t="s">
        <v>116</v>
      </c>
      <c r="CX43" t="s">
        <v>1</v>
      </c>
      <c r="CY43" s="4">
        <v>43325</v>
      </c>
      <c r="CZ43" t="s">
        <v>65</v>
      </c>
      <c r="DA43" t="s">
        <v>66</v>
      </c>
      <c r="DB43">
        <v>1250</v>
      </c>
      <c r="DC43">
        <v>207.25</v>
      </c>
      <c r="DD43" t="s">
        <v>69</v>
      </c>
      <c r="DE43" t="s">
        <v>70</v>
      </c>
      <c r="DF43">
        <v>259062.5</v>
      </c>
    </row>
    <row r="44" spans="1:110" x14ac:dyDescent="0.25">
      <c r="A44" s="1">
        <v>42800</v>
      </c>
      <c r="B44">
        <v>135.11000000000001</v>
      </c>
      <c r="C44">
        <v>77.41</v>
      </c>
      <c r="D44">
        <v>173.25</v>
      </c>
      <c r="E44">
        <v>91</v>
      </c>
      <c r="F44">
        <v>32.06</v>
      </c>
      <c r="G44">
        <v>104.75</v>
      </c>
      <c r="H44">
        <v>107.28</v>
      </c>
      <c r="I44">
        <v>1</v>
      </c>
      <c r="J44">
        <v>246.14</v>
      </c>
      <c r="K44">
        <v>140.63999999999999</v>
      </c>
      <c r="L44">
        <v>165.6</v>
      </c>
      <c r="M44">
        <v>33.770000000000003</v>
      </c>
      <c r="N44">
        <v>118.17</v>
      </c>
      <c r="O44">
        <v>87.63</v>
      </c>
      <c r="P44">
        <v>39.44</v>
      </c>
      <c r="Q44">
        <v>122.63</v>
      </c>
      <c r="R44">
        <v>179.72</v>
      </c>
      <c r="S44">
        <v>62.58</v>
      </c>
      <c r="T44">
        <v>62.17</v>
      </c>
      <c r="U44">
        <v>55.57</v>
      </c>
      <c r="V44">
        <v>31.96</v>
      </c>
      <c r="W44">
        <v>84.65</v>
      </c>
      <c r="X44">
        <v>116.82</v>
      </c>
      <c r="Y44">
        <v>163.98</v>
      </c>
      <c r="Z44">
        <v>106.68</v>
      </c>
      <c r="AA44">
        <v>87.74</v>
      </c>
      <c r="AB44">
        <v>45.56</v>
      </c>
      <c r="AC44">
        <v>82.11</v>
      </c>
      <c r="AD44">
        <v>66.540000000000006</v>
      </c>
      <c r="AE44">
        <v>76.47</v>
      </c>
      <c r="AI44" s="2">
        <v>5000</v>
      </c>
      <c r="AJ44" s="2">
        <f t="shared" ref="AJ44:AO44" si="39">AJ43+10</f>
        <v>1030</v>
      </c>
      <c r="AK44" s="2">
        <f t="shared" si="39"/>
        <v>1030</v>
      </c>
      <c r="AL44" s="2">
        <f t="shared" si="39"/>
        <v>1030</v>
      </c>
      <c r="AM44" s="2">
        <f t="shared" si="39"/>
        <v>1030</v>
      </c>
      <c r="AN44" s="2">
        <f t="shared" si="39"/>
        <v>1030</v>
      </c>
      <c r="AO44" s="2">
        <f t="shared" si="39"/>
        <v>1030</v>
      </c>
      <c r="AP44" s="2">
        <v>0</v>
      </c>
      <c r="AQ44" s="2">
        <v>1000</v>
      </c>
      <c r="AR44" s="2">
        <v>1000</v>
      </c>
      <c r="AS44" s="2">
        <v>1000</v>
      </c>
      <c r="AT44" s="2">
        <v>1000</v>
      </c>
      <c r="AU44" s="2">
        <v>1000</v>
      </c>
      <c r="AV44" s="2">
        <v>1000</v>
      </c>
      <c r="AW44" s="2">
        <v>0</v>
      </c>
      <c r="AX44" s="2">
        <v>1000</v>
      </c>
      <c r="AY44" s="2">
        <v>1000</v>
      </c>
      <c r="AZ44" s="2">
        <v>952</v>
      </c>
      <c r="BA44" s="2">
        <v>908</v>
      </c>
      <c r="BB44" s="2">
        <v>900</v>
      </c>
      <c r="BC44" s="2">
        <v>-1000</v>
      </c>
      <c r="BD44" s="2">
        <v>1000</v>
      </c>
      <c r="BE44" s="2">
        <v>5000</v>
      </c>
      <c r="BF44" s="2">
        <v>3000</v>
      </c>
      <c r="BG44" s="2">
        <v>5000</v>
      </c>
      <c r="BH44" s="2">
        <v>4000</v>
      </c>
      <c r="BI44" s="2">
        <v>3000</v>
      </c>
      <c r="BJ44" s="2">
        <v>0</v>
      </c>
      <c r="BK44" s="2">
        <v>1000</v>
      </c>
      <c r="BL44" s="2">
        <v>1000</v>
      </c>
      <c r="BO44" s="2">
        <f t="shared" si="4"/>
        <v>0</v>
      </c>
      <c r="BP44" s="2">
        <f t="shared" si="11"/>
        <v>-774.09999999999991</v>
      </c>
      <c r="BQ44" s="2">
        <f t="shared" si="12"/>
        <v>-1732.5</v>
      </c>
      <c r="BR44" s="2">
        <f t="shared" si="13"/>
        <v>-910</v>
      </c>
      <c r="BS44" s="2">
        <f t="shared" si="14"/>
        <v>-320.60000000000002</v>
      </c>
      <c r="BT44" s="2">
        <f t="shared" si="15"/>
        <v>-1047.5</v>
      </c>
      <c r="BU44" s="2">
        <f t="shared" si="16"/>
        <v>-1072.8</v>
      </c>
      <c r="BV44" s="2">
        <f t="shared" si="17"/>
        <v>0</v>
      </c>
      <c r="BW44" s="2">
        <f t="shared" si="18"/>
        <v>0</v>
      </c>
      <c r="BX44" s="2">
        <f t="shared" si="19"/>
        <v>0</v>
      </c>
      <c r="BY44" s="2">
        <f t="shared" si="20"/>
        <v>0</v>
      </c>
      <c r="BZ44" s="2">
        <f t="shared" si="21"/>
        <v>0</v>
      </c>
      <c r="CA44" s="2">
        <f t="shared" si="22"/>
        <v>0</v>
      </c>
      <c r="CB44" s="2">
        <f t="shared" si="23"/>
        <v>0</v>
      </c>
      <c r="CC44" s="2">
        <f t="shared" si="24"/>
        <v>0</v>
      </c>
      <c r="CD44" s="2">
        <f t="shared" si="25"/>
        <v>0</v>
      </c>
      <c r="CE44" s="2">
        <f t="shared" si="26"/>
        <v>0</v>
      </c>
      <c r="CF44" s="2">
        <f t="shared" si="27"/>
        <v>2440.62</v>
      </c>
      <c r="CG44" s="2">
        <f t="shared" si="28"/>
        <v>683.87</v>
      </c>
      <c r="CH44" s="2">
        <f t="shared" si="29"/>
        <v>555.70000000000005</v>
      </c>
      <c r="CI44" s="2">
        <f t="shared" si="30"/>
        <v>0</v>
      </c>
      <c r="CJ44" s="2">
        <f t="shared" si="31"/>
        <v>0</v>
      </c>
      <c r="CK44" s="2">
        <f t="shared" si="32"/>
        <v>0</v>
      </c>
      <c r="CL44" s="2">
        <f t="shared" si="33"/>
        <v>0</v>
      </c>
      <c r="CM44" s="2">
        <f t="shared" si="5"/>
        <v>0</v>
      </c>
      <c r="CN44" s="2">
        <f t="shared" si="6"/>
        <v>0</v>
      </c>
      <c r="CO44" s="2">
        <f t="shared" si="7"/>
        <v>0</v>
      </c>
      <c r="CP44" s="2">
        <f t="shared" si="8"/>
        <v>0</v>
      </c>
      <c r="CQ44" s="2">
        <f t="shared" si="9"/>
        <v>0</v>
      </c>
      <c r="CR44" s="2">
        <f t="shared" si="10"/>
        <v>0</v>
      </c>
      <c r="CV44" t="s">
        <v>64</v>
      </c>
      <c r="CW44" t="s">
        <v>117</v>
      </c>
      <c r="CX44" t="s">
        <v>1</v>
      </c>
      <c r="CY44" s="4">
        <v>43326</v>
      </c>
      <c r="CZ44" t="s">
        <v>65</v>
      </c>
      <c r="DA44" t="s">
        <v>66</v>
      </c>
      <c r="DB44">
        <v>2500</v>
      </c>
      <c r="DC44">
        <v>208.13</v>
      </c>
      <c r="DD44" t="s">
        <v>69</v>
      </c>
      <c r="DE44" t="s">
        <v>70</v>
      </c>
      <c r="DF44">
        <v>520325</v>
      </c>
    </row>
    <row r="45" spans="1:110" x14ac:dyDescent="0.25">
      <c r="A45" s="1">
        <v>42801</v>
      </c>
      <c r="B45">
        <v>135.29</v>
      </c>
      <c r="C45">
        <v>77.489999999999995</v>
      </c>
      <c r="D45">
        <v>174.29</v>
      </c>
      <c r="E45">
        <v>91.26</v>
      </c>
      <c r="F45">
        <v>32.07</v>
      </c>
      <c r="G45">
        <v>103.49</v>
      </c>
      <c r="H45">
        <v>107.46</v>
      </c>
      <c r="I45">
        <v>1</v>
      </c>
      <c r="J45">
        <v>245.05</v>
      </c>
      <c r="K45">
        <v>140.43</v>
      </c>
      <c r="L45">
        <v>165.52</v>
      </c>
      <c r="M45">
        <v>33.99</v>
      </c>
      <c r="N45">
        <v>118.28</v>
      </c>
      <c r="O45">
        <v>87.14</v>
      </c>
      <c r="P45">
        <v>39.270000000000003</v>
      </c>
      <c r="Q45">
        <v>122.67</v>
      </c>
      <c r="R45">
        <v>179.91</v>
      </c>
      <c r="S45">
        <v>62.09</v>
      </c>
      <c r="T45">
        <v>62.3</v>
      </c>
      <c r="U45">
        <v>55.35</v>
      </c>
      <c r="V45">
        <v>31.62</v>
      </c>
      <c r="W45">
        <v>84.57</v>
      </c>
      <c r="X45">
        <v>116.65</v>
      </c>
      <c r="Y45">
        <v>163.59</v>
      </c>
      <c r="Z45">
        <v>107.27</v>
      </c>
      <c r="AA45">
        <v>87.86</v>
      </c>
      <c r="AB45">
        <v>45.03</v>
      </c>
      <c r="AC45">
        <v>82.21</v>
      </c>
      <c r="AD45">
        <v>66.53</v>
      </c>
      <c r="AE45">
        <v>76.180000000000007</v>
      </c>
      <c r="AI45" s="2">
        <v>5000</v>
      </c>
      <c r="AJ45" s="2">
        <f t="shared" ref="AJ45:AO45" si="40">AJ44</f>
        <v>1030</v>
      </c>
      <c r="AK45" s="2">
        <f t="shared" si="40"/>
        <v>1030</v>
      </c>
      <c r="AL45" s="2">
        <f t="shared" si="40"/>
        <v>1030</v>
      </c>
      <c r="AM45" s="2">
        <f t="shared" si="40"/>
        <v>1030</v>
      </c>
      <c r="AN45" s="2">
        <f t="shared" si="40"/>
        <v>1030</v>
      </c>
      <c r="AO45" s="2">
        <f t="shared" si="40"/>
        <v>1030</v>
      </c>
      <c r="AP45" s="2">
        <v>0</v>
      </c>
      <c r="AQ45" s="2">
        <v>1000</v>
      </c>
      <c r="AR45" s="2">
        <v>1000</v>
      </c>
      <c r="AS45" s="2">
        <v>1000</v>
      </c>
      <c r="AT45" s="2">
        <v>1000</v>
      </c>
      <c r="AU45" s="2">
        <v>1000</v>
      </c>
      <c r="AV45" s="2">
        <v>1000</v>
      </c>
      <c r="AW45" s="2">
        <v>0</v>
      </c>
      <c r="AX45" s="2">
        <v>1000</v>
      </c>
      <c r="AY45" s="2">
        <v>1000</v>
      </c>
      <c r="AZ45" s="2">
        <v>980</v>
      </c>
      <c r="BA45" s="2">
        <v>1047</v>
      </c>
      <c r="BB45" s="2">
        <v>1021</v>
      </c>
      <c r="BC45" s="2">
        <v>-1000</v>
      </c>
      <c r="BD45" s="2">
        <v>1000</v>
      </c>
      <c r="BE45" s="2">
        <v>5000</v>
      </c>
      <c r="BF45" s="2">
        <v>3000</v>
      </c>
      <c r="BG45" s="2">
        <v>5000</v>
      </c>
      <c r="BH45" s="2">
        <v>5000</v>
      </c>
      <c r="BI45" s="2">
        <v>3000</v>
      </c>
      <c r="BJ45" s="2">
        <v>0</v>
      </c>
      <c r="BK45" s="2">
        <v>1000</v>
      </c>
      <c r="BL45" s="2">
        <v>1000</v>
      </c>
      <c r="BO45" s="2">
        <f t="shared" si="4"/>
        <v>0</v>
      </c>
      <c r="BP45" s="2">
        <f t="shared" si="11"/>
        <v>0</v>
      </c>
      <c r="BQ45" s="2">
        <f t="shared" si="12"/>
        <v>0</v>
      </c>
      <c r="BR45" s="2">
        <f t="shared" si="13"/>
        <v>0</v>
      </c>
      <c r="BS45" s="2">
        <f t="shared" si="14"/>
        <v>0</v>
      </c>
      <c r="BT45" s="2">
        <f t="shared" si="15"/>
        <v>0</v>
      </c>
      <c r="BU45" s="2">
        <f t="shared" si="16"/>
        <v>0</v>
      </c>
      <c r="BV45" s="2">
        <f t="shared" si="17"/>
        <v>0</v>
      </c>
      <c r="BW45" s="2">
        <f t="shared" si="18"/>
        <v>0</v>
      </c>
      <c r="BX45" s="2">
        <f t="shared" si="19"/>
        <v>0</v>
      </c>
      <c r="BY45" s="2">
        <f t="shared" si="20"/>
        <v>0</v>
      </c>
      <c r="BZ45" s="2">
        <f t="shared" si="21"/>
        <v>0</v>
      </c>
      <c r="CA45" s="2">
        <f t="shared" si="22"/>
        <v>0</v>
      </c>
      <c r="CB45" s="2">
        <f t="shared" si="23"/>
        <v>0</v>
      </c>
      <c r="CC45" s="2">
        <f t="shared" si="24"/>
        <v>0</v>
      </c>
      <c r="CD45" s="2">
        <f t="shared" si="25"/>
        <v>0</v>
      </c>
      <c r="CE45" s="2">
        <f t="shared" si="26"/>
        <v>0</v>
      </c>
      <c r="CF45" s="2">
        <f t="shared" si="27"/>
        <v>-1738.52</v>
      </c>
      <c r="CG45" s="2">
        <f t="shared" si="28"/>
        <v>-8659.6999999999989</v>
      </c>
      <c r="CH45" s="2">
        <f t="shared" si="29"/>
        <v>-6697.35</v>
      </c>
      <c r="CI45" s="2">
        <f t="shared" si="30"/>
        <v>0</v>
      </c>
      <c r="CJ45" s="2">
        <f t="shared" si="31"/>
        <v>0</v>
      </c>
      <c r="CK45" s="2">
        <f t="shared" si="32"/>
        <v>0</v>
      </c>
      <c r="CL45" s="2">
        <f t="shared" si="33"/>
        <v>0</v>
      </c>
      <c r="CM45" s="2">
        <f t="shared" si="5"/>
        <v>0</v>
      </c>
      <c r="CN45" s="2">
        <f t="shared" si="6"/>
        <v>-87860</v>
      </c>
      <c r="CO45" s="2">
        <f t="shared" si="7"/>
        <v>0</v>
      </c>
      <c r="CP45" s="2">
        <f t="shared" si="8"/>
        <v>0</v>
      </c>
      <c r="CQ45" s="2">
        <f t="shared" si="9"/>
        <v>0</v>
      </c>
      <c r="CR45" s="2">
        <f t="shared" si="10"/>
        <v>0</v>
      </c>
      <c r="CV45" t="s">
        <v>64</v>
      </c>
      <c r="CW45" t="s">
        <v>118</v>
      </c>
      <c r="CX45" t="s">
        <v>1</v>
      </c>
      <c r="CY45" s="4">
        <v>43327</v>
      </c>
      <c r="CZ45" t="s">
        <v>65</v>
      </c>
      <c r="DA45" t="s">
        <v>66</v>
      </c>
      <c r="DB45">
        <v>2500</v>
      </c>
      <c r="DC45">
        <v>208.61</v>
      </c>
      <c r="DD45" t="s">
        <v>69</v>
      </c>
      <c r="DE45" t="s">
        <v>70</v>
      </c>
      <c r="DF45">
        <v>521525.00000000006</v>
      </c>
    </row>
    <row r="46" spans="1:110" x14ac:dyDescent="0.25">
      <c r="A46" s="1">
        <v>42802</v>
      </c>
      <c r="B46">
        <v>134.78</v>
      </c>
      <c r="C46">
        <v>76.959999999999994</v>
      </c>
      <c r="D46">
        <v>174.02</v>
      </c>
      <c r="E46">
        <v>88.69</v>
      </c>
      <c r="F46">
        <v>31.9</v>
      </c>
      <c r="G46">
        <v>101.46</v>
      </c>
      <c r="H46">
        <v>107.44</v>
      </c>
      <c r="I46">
        <v>1</v>
      </c>
      <c r="J46">
        <v>244.41</v>
      </c>
      <c r="K46">
        <v>141.29</v>
      </c>
      <c r="L46">
        <v>164.66</v>
      </c>
      <c r="M46">
        <v>33.82</v>
      </c>
      <c r="N46">
        <v>118.54</v>
      </c>
      <c r="O46">
        <v>86.95</v>
      </c>
      <c r="P46">
        <v>39.270000000000003</v>
      </c>
      <c r="Q46">
        <v>122.68</v>
      </c>
      <c r="R46">
        <v>180.3</v>
      </c>
      <c r="S46">
        <v>61.94</v>
      </c>
      <c r="T46">
        <v>62.87</v>
      </c>
      <c r="U46">
        <v>55.31</v>
      </c>
      <c r="V46">
        <v>31.55</v>
      </c>
      <c r="W46">
        <v>84.43</v>
      </c>
      <c r="X46">
        <v>116.43</v>
      </c>
      <c r="Y46">
        <v>163.82</v>
      </c>
      <c r="Z46">
        <v>106.77</v>
      </c>
      <c r="AA46">
        <v>87.76</v>
      </c>
      <c r="AB46">
        <v>44.77</v>
      </c>
      <c r="AC46">
        <v>81.42</v>
      </c>
      <c r="AD46">
        <v>66.95</v>
      </c>
      <c r="AE46">
        <v>74.81</v>
      </c>
      <c r="AI46" s="2">
        <v>5000</v>
      </c>
      <c r="AJ46" s="2">
        <f t="shared" si="38"/>
        <v>1030</v>
      </c>
      <c r="AK46" s="2">
        <f t="shared" si="38"/>
        <v>1030</v>
      </c>
      <c r="AL46" s="2">
        <f t="shared" si="38"/>
        <v>1030</v>
      </c>
      <c r="AM46" s="2">
        <f t="shared" si="38"/>
        <v>1030</v>
      </c>
      <c r="AN46" s="2">
        <f t="shared" si="38"/>
        <v>1030</v>
      </c>
      <c r="AO46" s="2">
        <f t="shared" si="38"/>
        <v>1030</v>
      </c>
      <c r="AP46" s="2">
        <v>0</v>
      </c>
      <c r="AQ46" s="2">
        <v>1000</v>
      </c>
      <c r="AR46" s="2">
        <v>1000</v>
      </c>
      <c r="AS46" s="2">
        <v>1000</v>
      </c>
      <c r="AT46" s="2">
        <v>1000</v>
      </c>
      <c r="AU46" s="2">
        <v>1000</v>
      </c>
      <c r="AV46" s="2">
        <v>1000</v>
      </c>
      <c r="AW46" s="2">
        <v>0</v>
      </c>
      <c r="AX46" s="2">
        <v>1000</v>
      </c>
      <c r="AY46" s="2">
        <v>1000</v>
      </c>
      <c r="AZ46" s="2">
        <v>1046</v>
      </c>
      <c r="BA46" s="2">
        <v>1024</v>
      </c>
      <c r="BB46" s="2">
        <v>1067</v>
      </c>
      <c r="BC46" s="2">
        <v>-1000</v>
      </c>
      <c r="BD46" s="2">
        <v>1000</v>
      </c>
      <c r="BE46" s="2">
        <v>5000</v>
      </c>
      <c r="BF46" s="2">
        <v>3000</v>
      </c>
      <c r="BG46" s="2">
        <v>5000</v>
      </c>
      <c r="BH46" s="2">
        <v>5000</v>
      </c>
      <c r="BI46" s="2">
        <v>3000</v>
      </c>
      <c r="BJ46" s="2">
        <v>0</v>
      </c>
      <c r="BK46" s="2">
        <v>1000</v>
      </c>
      <c r="BL46" s="2">
        <v>1000</v>
      </c>
      <c r="BO46" s="2">
        <f t="shared" si="4"/>
        <v>0</v>
      </c>
      <c r="BP46" s="2">
        <f t="shared" si="11"/>
        <v>0</v>
      </c>
      <c r="BQ46" s="2">
        <f t="shared" si="12"/>
        <v>0</v>
      </c>
      <c r="BR46" s="2">
        <f t="shared" si="13"/>
        <v>0</v>
      </c>
      <c r="BS46" s="2">
        <f t="shared" si="14"/>
        <v>0</v>
      </c>
      <c r="BT46" s="2">
        <f t="shared" si="15"/>
        <v>0</v>
      </c>
      <c r="BU46" s="2">
        <f t="shared" si="16"/>
        <v>0</v>
      </c>
      <c r="BV46" s="2">
        <f t="shared" si="17"/>
        <v>0</v>
      </c>
      <c r="BW46" s="2">
        <f t="shared" si="18"/>
        <v>0</v>
      </c>
      <c r="BX46" s="2">
        <f t="shared" si="19"/>
        <v>0</v>
      </c>
      <c r="BY46" s="2">
        <f t="shared" si="20"/>
        <v>0</v>
      </c>
      <c r="BZ46" s="2">
        <f t="shared" si="21"/>
        <v>0</v>
      </c>
      <c r="CA46" s="2">
        <f t="shared" si="22"/>
        <v>0</v>
      </c>
      <c r="CB46" s="2">
        <f t="shared" si="23"/>
        <v>0</v>
      </c>
      <c r="CC46" s="2">
        <f t="shared" si="24"/>
        <v>0</v>
      </c>
      <c r="CD46" s="2">
        <f t="shared" si="25"/>
        <v>0</v>
      </c>
      <c r="CE46" s="2">
        <f t="shared" si="26"/>
        <v>0</v>
      </c>
      <c r="CF46" s="2">
        <f t="shared" si="27"/>
        <v>-4088.04</v>
      </c>
      <c r="CG46" s="2">
        <f t="shared" si="28"/>
        <v>1446.01</v>
      </c>
      <c r="CH46" s="2">
        <f t="shared" si="29"/>
        <v>-2544.2600000000002</v>
      </c>
      <c r="CI46" s="2">
        <f t="shared" si="30"/>
        <v>0</v>
      </c>
      <c r="CJ46" s="2">
        <f t="shared" si="31"/>
        <v>0</v>
      </c>
      <c r="CK46" s="2">
        <f t="shared" si="32"/>
        <v>0</v>
      </c>
      <c r="CL46" s="2">
        <f t="shared" si="33"/>
        <v>0</v>
      </c>
      <c r="CM46" s="2">
        <f t="shared" si="5"/>
        <v>0</v>
      </c>
      <c r="CN46" s="2">
        <f t="shared" si="6"/>
        <v>0</v>
      </c>
      <c r="CO46" s="2">
        <f t="shared" si="7"/>
        <v>0</v>
      </c>
      <c r="CP46" s="2">
        <f t="shared" si="8"/>
        <v>0</v>
      </c>
      <c r="CQ46" s="2">
        <f t="shared" si="9"/>
        <v>0</v>
      </c>
      <c r="CR46" s="2">
        <f t="shared" si="10"/>
        <v>0</v>
      </c>
      <c r="CV46" t="s">
        <v>64</v>
      </c>
      <c r="CW46" t="s">
        <v>119</v>
      </c>
      <c r="CX46" t="s">
        <v>1</v>
      </c>
      <c r="CY46" s="4">
        <v>43333</v>
      </c>
      <c r="CZ46" t="s">
        <v>67</v>
      </c>
      <c r="DA46" t="s">
        <v>68</v>
      </c>
      <c r="DB46">
        <v>500</v>
      </c>
      <c r="DC46">
        <v>213.38</v>
      </c>
      <c r="DD46" t="s">
        <v>69</v>
      </c>
      <c r="DE46" t="s">
        <v>70</v>
      </c>
      <c r="DF46">
        <v>106690</v>
      </c>
    </row>
    <row r="47" spans="1:110" x14ac:dyDescent="0.25">
      <c r="A47" s="1">
        <v>42803</v>
      </c>
      <c r="B47">
        <v>134.47</v>
      </c>
      <c r="C47">
        <v>77.209999999999994</v>
      </c>
      <c r="D47">
        <v>172.9</v>
      </c>
      <c r="E47">
        <v>86.94</v>
      </c>
      <c r="F47">
        <v>31.95</v>
      </c>
      <c r="G47">
        <v>101.86</v>
      </c>
      <c r="H47">
        <v>107.62</v>
      </c>
      <c r="I47">
        <v>1</v>
      </c>
      <c r="J47">
        <v>244.35</v>
      </c>
      <c r="K47">
        <v>141</v>
      </c>
      <c r="L47">
        <v>162.58000000000001</v>
      </c>
      <c r="M47">
        <v>34.01</v>
      </c>
      <c r="N47">
        <v>120.31</v>
      </c>
      <c r="O47">
        <v>87.3</v>
      </c>
      <c r="P47">
        <v>39.299999999999997</v>
      </c>
      <c r="Q47">
        <v>122.73</v>
      </c>
      <c r="R47">
        <v>180.68</v>
      </c>
      <c r="S47">
        <v>62.03</v>
      </c>
      <c r="T47">
        <v>62.62</v>
      </c>
      <c r="U47">
        <v>55.17</v>
      </c>
      <c r="V47">
        <v>31.68</v>
      </c>
      <c r="W47">
        <v>84.62</v>
      </c>
      <c r="X47">
        <v>117.06</v>
      </c>
      <c r="Y47">
        <v>163.92</v>
      </c>
      <c r="Z47">
        <v>106.94</v>
      </c>
      <c r="AA47">
        <v>87.91</v>
      </c>
      <c r="AB47">
        <v>44.88</v>
      </c>
      <c r="AC47">
        <v>81.56</v>
      </c>
      <c r="AD47">
        <v>67.010000000000005</v>
      </c>
      <c r="AE47">
        <v>75.400000000000006</v>
      </c>
      <c r="AI47" s="2">
        <v>5000</v>
      </c>
      <c r="AJ47" s="2">
        <f t="shared" si="38"/>
        <v>1030</v>
      </c>
      <c r="AK47" s="2">
        <f t="shared" si="38"/>
        <v>1030</v>
      </c>
      <c r="AL47" s="2">
        <f t="shared" si="38"/>
        <v>1030</v>
      </c>
      <c r="AM47" s="2">
        <f t="shared" si="38"/>
        <v>1030</v>
      </c>
      <c r="AN47" s="2">
        <f t="shared" si="38"/>
        <v>1030</v>
      </c>
      <c r="AO47" s="2">
        <f t="shared" si="38"/>
        <v>1030</v>
      </c>
      <c r="AP47" s="2">
        <v>0</v>
      </c>
      <c r="AQ47" s="2">
        <v>1000</v>
      </c>
      <c r="AR47" s="2">
        <v>1000</v>
      </c>
      <c r="AS47" s="2">
        <v>1000</v>
      </c>
      <c r="AT47" s="2">
        <v>1000</v>
      </c>
      <c r="AU47" s="2">
        <v>1000</v>
      </c>
      <c r="AV47" s="2">
        <v>1000</v>
      </c>
      <c r="AW47" s="2">
        <v>0</v>
      </c>
      <c r="AX47" s="2">
        <v>1000</v>
      </c>
      <c r="AY47" s="2">
        <v>1000</v>
      </c>
      <c r="AZ47" s="2">
        <v>975</v>
      </c>
      <c r="BA47" s="2">
        <v>958</v>
      </c>
      <c r="BB47" s="2">
        <v>914</v>
      </c>
      <c r="BC47" s="2">
        <v>-1000</v>
      </c>
      <c r="BD47" s="2">
        <v>1000</v>
      </c>
      <c r="BE47" s="2">
        <v>5000</v>
      </c>
      <c r="BF47" s="2">
        <v>3000</v>
      </c>
      <c r="BG47" s="2">
        <v>5000</v>
      </c>
      <c r="BH47" s="2">
        <v>5000</v>
      </c>
      <c r="BI47" s="2">
        <v>3000</v>
      </c>
      <c r="BJ47" s="2">
        <v>0</v>
      </c>
      <c r="BK47" s="2">
        <v>1000</v>
      </c>
      <c r="BL47" s="2">
        <v>1000</v>
      </c>
      <c r="BO47" s="2">
        <f t="shared" si="4"/>
        <v>0</v>
      </c>
      <c r="BP47" s="2">
        <f t="shared" si="11"/>
        <v>0</v>
      </c>
      <c r="BQ47" s="2">
        <f t="shared" si="12"/>
        <v>0</v>
      </c>
      <c r="BR47" s="2">
        <f t="shared" si="13"/>
        <v>0</v>
      </c>
      <c r="BS47" s="2">
        <f t="shared" si="14"/>
        <v>0</v>
      </c>
      <c r="BT47" s="2">
        <f t="shared" si="15"/>
        <v>0</v>
      </c>
      <c r="BU47" s="2">
        <f t="shared" si="16"/>
        <v>0</v>
      </c>
      <c r="BV47" s="2">
        <f t="shared" si="17"/>
        <v>0</v>
      </c>
      <c r="BW47" s="2">
        <f t="shared" si="18"/>
        <v>0</v>
      </c>
      <c r="BX47" s="2">
        <f t="shared" si="19"/>
        <v>0</v>
      </c>
      <c r="BY47" s="2">
        <f t="shared" si="20"/>
        <v>0</v>
      </c>
      <c r="BZ47" s="2">
        <f t="shared" si="21"/>
        <v>0</v>
      </c>
      <c r="CA47" s="2">
        <f t="shared" si="22"/>
        <v>0</v>
      </c>
      <c r="CB47" s="2">
        <f t="shared" si="23"/>
        <v>0</v>
      </c>
      <c r="CC47" s="2">
        <f t="shared" si="24"/>
        <v>0</v>
      </c>
      <c r="CD47" s="2">
        <f t="shared" si="25"/>
        <v>0</v>
      </c>
      <c r="CE47" s="2">
        <f t="shared" si="26"/>
        <v>0</v>
      </c>
      <c r="CF47" s="2">
        <f t="shared" si="27"/>
        <v>4404.13</v>
      </c>
      <c r="CG47" s="2">
        <f t="shared" si="28"/>
        <v>4132.92</v>
      </c>
      <c r="CH47" s="2">
        <f t="shared" si="29"/>
        <v>8441.01</v>
      </c>
      <c r="CI47" s="2">
        <f t="shared" si="30"/>
        <v>0</v>
      </c>
      <c r="CJ47" s="2">
        <f t="shared" si="31"/>
        <v>0</v>
      </c>
      <c r="CK47" s="2">
        <f t="shared" si="32"/>
        <v>0</v>
      </c>
      <c r="CL47" s="2">
        <f t="shared" si="33"/>
        <v>0</v>
      </c>
      <c r="CM47" s="2">
        <f t="shared" si="5"/>
        <v>0</v>
      </c>
      <c r="CN47" s="2">
        <f t="shared" si="6"/>
        <v>0</v>
      </c>
      <c r="CO47" s="2">
        <f t="shared" si="7"/>
        <v>0</v>
      </c>
      <c r="CP47" s="2">
        <f t="shared" si="8"/>
        <v>0</v>
      </c>
      <c r="CQ47" s="2">
        <f t="shared" si="9"/>
        <v>0</v>
      </c>
      <c r="CR47" s="2">
        <f t="shared" si="10"/>
        <v>0</v>
      </c>
      <c r="CV47" t="s">
        <v>64</v>
      </c>
      <c r="CW47" t="s">
        <v>120</v>
      </c>
      <c r="CX47" t="s">
        <v>1</v>
      </c>
      <c r="CY47" s="4">
        <v>43334</v>
      </c>
      <c r="CZ47" t="s">
        <v>67</v>
      </c>
      <c r="DA47" t="s">
        <v>68</v>
      </c>
      <c r="DB47">
        <v>500</v>
      </c>
      <c r="DC47">
        <v>213.39</v>
      </c>
      <c r="DD47" t="s">
        <v>69</v>
      </c>
      <c r="DE47" t="s">
        <v>70</v>
      </c>
      <c r="DF47">
        <v>106695</v>
      </c>
    </row>
    <row r="48" spans="1:110" x14ac:dyDescent="0.25">
      <c r="A48" s="1">
        <v>42804</v>
      </c>
      <c r="B48">
        <v>134.91999999999999</v>
      </c>
      <c r="C48">
        <v>77.290000000000006</v>
      </c>
      <c r="D48">
        <v>171.11</v>
      </c>
      <c r="E48">
        <v>87.81</v>
      </c>
      <c r="F48">
        <v>32.130000000000003</v>
      </c>
      <c r="G48">
        <v>102.38</v>
      </c>
      <c r="H48">
        <v>107.52</v>
      </c>
      <c r="I48">
        <v>1</v>
      </c>
      <c r="J48">
        <v>242.59</v>
      </c>
      <c r="K48">
        <v>141.22</v>
      </c>
      <c r="L48">
        <v>163.18</v>
      </c>
      <c r="M48">
        <v>34.090000000000003</v>
      </c>
      <c r="N48">
        <v>120.56</v>
      </c>
      <c r="O48">
        <v>87.02</v>
      </c>
      <c r="P48">
        <v>39.549999999999997</v>
      </c>
      <c r="Q48">
        <v>122.58</v>
      </c>
      <c r="R48">
        <v>181.92</v>
      </c>
      <c r="S48">
        <v>61.76</v>
      </c>
      <c r="T48">
        <v>62.81</v>
      </c>
      <c r="U48">
        <v>55.24</v>
      </c>
      <c r="V48">
        <v>31.73</v>
      </c>
      <c r="W48">
        <v>85.3</v>
      </c>
      <c r="X48">
        <v>117.95</v>
      </c>
      <c r="Y48">
        <v>165.84</v>
      </c>
      <c r="Z48">
        <v>107.14</v>
      </c>
      <c r="AA48">
        <v>88.52</v>
      </c>
      <c r="AB48">
        <v>44.94</v>
      </c>
      <c r="AC48">
        <v>81.87</v>
      </c>
      <c r="AD48">
        <v>67.239999999999995</v>
      </c>
      <c r="AE48">
        <v>75.34</v>
      </c>
      <c r="AI48" s="2">
        <v>5000</v>
      </c>
      <c r="AJ48" s="2">
        <f t="shared" si="38"/>
        <v>1030</v>
      </c>
      <c r="AK48" s="2">
        <f t="shared" si="38"/>
        <v>1030</v>
      </c>
      <c r="AL48" s="2">
        <f t="shared" si="38"/>
        <v>1030</v>
      </c>
      <c r="AM48" s="2">
        <f t="shared" si="38"/>
        <v>1030</v>
      </c>
      <c r="AN48" s="2">
        <f t="shared" si="38"/>
        <v>1030</v>
      </c>
      <c r="AO48" s="2">
        <f t="shared" si="38"/>
        <v>1030</v>
      </c>
      <c r="AP48" s="2">
        <v>0</v>
      </c>
      <c r="AQ48" s="2">
        <v>1000</v>
      </c>
      <c r="AR48" s="2">
        <v>1000</v>
      </c>
      <c r="AS48" s="2">
        <v>1000</v>
      </c>
      <c r="AT48" s="2">
        <v>1000</v>
      </c>
      <c r="AU48" s="2">
        <v>1000</v>
      </c>
      <c r="AV48" s="2">
        <v>1000</v>
      </c>
      <c r="AW48" s="2">
        <v>0</v>
      </c>
      <c r="AX48" s="2">
        <v>1000</v>
      </c>
      <c r="AY48" s="2">
        <v>1000</v>
      </c>
      <c r="AZ48" s="2">
        <v>969</v>
      </c>
      <c r="BA48" s="2">
        <v>1099</v>
      </c>
      <c r="BB48" s="2">
        <v>1042</v>
      </c>
      <c r="BC48" s="2">
        <v>-1000</v>
      </c>
      <c r="BD48" s="2">
        <v>1000</v>
      </c>
      <c r="BE48" s="2">
        <v>5000</v>
      </c>
      <c r="BF48" s="2">
        <v>3000</v>
      </c>
      <c r="BG48" s="2">
        <v>5000</v>
      </c>
      <c r="BH48" s="2">
        <v>3500</v>
      </c>
      <c r="BI48" s="2">
        <v>3000</v>
      </c>
      <c r="BJ48" s="2">
        <v>0</v>
      </c>
      <c r="BK48" s="2">
        <v>1000</v>
      </c>
      <c r="BL48" s="2">
        <v>1000</v>
      </c>
      <c r="BO48" s="2">
        <f t="shared" si="4"/>
        <v>0</v>
      </c>
      <c r="BP48" s="2">
        <f t="shared" si="11"/>
        <v>0</v>
      </c>
      <c r="BQ48" s="2">
        <f t="shared" si="12"/>
        <v>0</v>
      </c>
      <c r="BR48" s="2">
        <f t="shared" si="13"/>
        <v>0</v>
      </c>
      <c r="BS48" s="2">
        <f t="shared" si="14"/>
        <v>0</v>
      </c>
      <c r="BT48" s="2">
        <f t="shared" si="15"/>
        <v>0</v>
      </c>
      <c r="BU48" s="2">
        <f t="shared" si="16"/>
        <v>0</v>
      </c>
      <c r="BV48" s="2">
        <f t="shared" si="17"/>
        <v>0</v>
      </c>
      <c r="BW48" s="2">
        <f t="shared" si="18"/>
        <v>0</v>
      </c>
      <c r="BX48" s="2">
        <f t="shared" si="19"/>
        <v>0</v>
      </c>
      <c r="BY48" s="2">
        <f t="shared" si="20"/>
        <v>0</v>
      </c>
      <c r="BZ48" s="2">
        <f t="shared" si="21"/>
        <v>0</v>
      </c>
      <c r="CA48" s="2">
        <f t="shared" si="22"/>
        <v>0</v>
      </c>
      <c r="CB48" s="2">
        <f t="shared" si="23"/>
        <v>0</v>
      </c>
      <c r="CC48" s="2">
        <f t="shared" si="24"/>
        <v>0</v>
      </c>
      <c r="CD48" s="2">
        <f t="shared" si="25"/>
        <v>0</v>
      </c>
      <c r="CE48" s="2">
        <f t="shared" si="26"/>
        <v>0</v>
      </c>
      <c r="CF48" s="2">
        <f t="shared" si="27"/>
        <v>370.56</v>
      </c>
      <c r="CG48" s="2">
        <f t="shared" si="28"/>
        <v>-8856.2100000000009</v>
      </c>
      <c r="CH48" s="2">
        <f t="shared" si="29"/>
        <v>-7070.72</v>
      </c>
      <c r="CI48" s="2">
        <f t="shared" si="30"/>
        <v>0</v>
      </c>
      <c r="CJ48" s="2">
        <f t="shared" si="31"/>
        <v>0</v>
      </c>
      <c r="CK48" s="2">
        <f t="shared" si="32"/>
        <v>0</v>
      </c>
      <c r="CL48" s="2">
        <f t="shared" si="33"/>
        <v>0</v>
      </c>
      <c r="CM48" s="2">
        <f t="shared" si="5"/>
        <v>0</v>
      </c>
      <c r="CN48" s="2">
        <f t="shared" si="6"/>
        <v>132780</v>
      </c>
      <c r="CO48" s="2">
        <f t="shared" si="7"/>
        <v>0</v>
      </c>
      <c r="CP48" s="2">
        <f t="shared" si="8"/>
        <v>0</v>
      </c>
      <c r="CQ48" s="2">
        <f t="shared" si="9"/>
        <v>0</v>
      </c>
      <c r="CR48" s="2">
        <f t="shared" si="10"/>
        <v>0</v>
      </c>
      <c r="CV48" t="s">
        <v>64</v>
      </c>
      <c r="CW48" t="s">
        <v>121</v>
      </c>
      <c r="CX48" t="s">
        <v>1</v>
      </c>
      <c r="CY48" s="4">
        <v>43347</v>
      </c>
      <c r="CZ48" t="s">
        <v>65</v>
      </c>
      <c r="DA48" t="s">
        <v>66</v>
      </c>
      <c r="DB48">
        <v>1000</v>
      </c>
      <c r="DC48">
        <v>226.59</v>
      </c>
      <c r="DD48" t="s">
        <v>69</v>
      </c>
      <c r="DE48" t="s">
        <v>70</v>
      </c>
      <c r="DF48">
        <v>226590</v>
      </c>
    </row>
    <row r="49" spans="1:110" x14ac:dyDescent="0.25">
      <c r="A49" s="1">
        <v>42807</v>
      </c>
      <c r="B49">
        <v>134.97999999999999</v>
      </c>
      <c r="C49">
        <v>77.13</v>
      </c>
      <c r="D49">
        <v>171.45</v>
      </c>
      <c r="E49">
        <v>88.13</v>
      </c>
      <c r="F49">
        <v>31.98</v>
      </c>
      <c r="G49">
        <v>101.22</v>
      </c>
      <c r="H49">
        <v>108.1</v>
      </c>
      <c r="I49">
        <v>1</v>
      </c>
      <c r="J49">
        <v>242.37</v>
      </c>
      <c r="K49">
        <v>141.78</v>
      </c>
      <c r="L49">
        <v>161.91999999999999</v>
      </c>
      <c r="M49">
        <v>33.380000000000003</v>
      </c>
      <c r="N49">
        <v>121.01</v>
      </c>
      <c r="O49">
        <v>87.1</v>
      </c>
      <c r="P49">
        <v>39.65</v>
      </c>
      <c r="Q49">
        <v>122.22</v>
      </c>
      <c r="R49">
        <v>182.22</v>
      </c>
      <c r="S49">
        <v>60.83</v>
      </c>
      <c r="T49">
        <v>62.6</v>
      </c>
      <c r="U49">
        <v>55.47</v>
      </c>
      <c r="V49">
        <v>31.73</v>
      </c>
      <c r="W49">
        <v>85.53</v>
      </c>
      <c r="X49">
        <v>117.3</v>
      </c>
      <c r="Y49">
        <v>166.06</v>
      </c>
      <c r="Z49">
        <v>107.3</v>
      </c>
      <c r="AA49">
        <v>88.9</v>
      </c>
      <c r="AB49">
        <v>45.05</v>
      </c>
      <c r="AC49">
        <v>81.849999999999994</v>
      </c>
      <c r="AD49">
        <v>67.099999999999994</v>
      </c>
      <c r="AE49">
        <v>75.17</v>
      </c>
      <c r="AI49" s="2">
        <v>5000</v>
      </c>
      <c r="AJ49" s="2">
        <f t="shared" si="38"/>
        <v>1030</v>
      </c>
      <c r="AK49" s="2">
        <f t="shared" si="38"/>
        <v>1030</v>
      </c>
      <c r="AL49" s="2">
        <f t="shared" si="38"/>
        <v>1030</v>
      </c>
      <c r="AM49" s="2">
        <f t="shared" si="38"/>
        <v>1030</v>
      </c>
      <c r="AN49" s="2">
        <f t="shared" si="38"/>
        <v>1030</v>
      </c>
      <c r="AO49" s="2">
        <f t="shared" si="38"/>
        <v>1030</v>
      </c>
      <c r="AP49" s="2">
        <v>0</v>
      </c>
      <c r="AQ49" s="2">
        <v>1000</v>
      </c>
      <c r="AR49" s="2">
        <v>1000</v>
      </c>
      <c r="AS49" s="2">
        <v>1000</v>
      </c>
      <c r="AT49" s="2">
        <v>1000</v>
      </c>
      <c r="AU49" s="2">
        <v>1000</v>
      </c>
      <c r="AV49" s="2">
        <v>1000</v>
      </c>
      <c r="AW49" s="2">
        <v>0</v>
      </c>
      <c r="AX49" s="2">
        <v>1000</v>
      </c>
      <c r="AY49" s="2">
        <v>1000</v>
      </c>
      <c r="AZ49" s="2">
        <v>952</v>
      </c>
      <c r="BA49" s="2">
        <v>941</v>
      </c>
      <c r="BB49" s="2">
        <v>1070</v>
      </c>
      <c r="BC49" s="2">
        <v>-1000</v>
      </c>
      <c r="BD49" s="2">
        <v>1000</v>
      </c>
      <c r="BE49" s="2">
        <v>5000</v>
      </c>
      <c r="BF49" s="2">
        <v>3000</v>
      </c>
      <c r="BG49" s="2">
        <v>5000</v>
      </c>
      <c r="BH49" s="2">
        <v>1000</v>
      </c>
      <c r="BI49" s="2">
        <v>3000</v>
      </c>
      <c r="BJ49" s="2">
        <v>0</v>
      </c>
      <c r="BK49" s="2">
        <v>1000</v>
      </c>
      <c r="BL49" s="2">
        <v>1000</v>
      </c>
      <c r="BO49" s="2">
        <f t="shared" si="4"/>
        <v>0</v>
      </c>
      <c r="BP49" s="2">
        <f t="shared" si="11"/>
        <v>0</v>
      </c>
      <c r="BQ49" s="2">
        <f t="shared" si="12"/>
        <v>0</v>
      </c>
      <c r="BR49" s="2">
        <f t="shared" si="13"/>
        <v>0</v>
      </c>
      <c r="BS49" s="2">
        <f t="shared" si="14"/>
        <v>0</v>
      </c>
      <c r="BT49" s="2">
        <f t="shared" si="15"/>
        <v>0</v>
      </c>
      <c r="BU49" s="2">
        <f t="shared" si="16"/>
        <v>0</v>
      </c>
      <c r="BV49" s="2">
        <f t="shared" si="17"/>
        <v>0</v>
      </c>
      <c r="BW49" s="2">
        <f t="shared" si="18"/>
        <v>0</v>
      </c>
      <c r="BX49" s="2">
        <f t="shared" si="19"/>
        <v>0</v>
      </c>
      <c r="BY49" s="2">
        <f t="shared" si="20"/>
        <v>0</v>
      </c>
      <c r="BZ49" s="2">
        <f t="shared" si="21"/>
        <v>0</v>
      </c>
      <c r="CA49" s="2">
        <f t="shared" si="22"/>
        <v>0</v>
      </c>
      <c r="CB49" s="2">
        <f t="shared" si="23"/>
        <v>0</v>
      </c>
      <c r="CC49" s="2">
        <f t="shared" si="24"/>
        <v>0</v>
      </c>
      <c r="CD49" s="2">
        <f t="shared" si="25"/>
        <v>0</v>
      </c>
      <c r="CE49" s="2">
        <f t="shared" si="26"/>
        <v>0</v>
      </c>
      <c r="CF49" s="2">
        <f t="shared" si="27"/>
        <v>1034.1099999999999</v>
      </c>
      <c r="CG49" s="2">
        <f t="shared" si="28"/>
        <v>9890.8000000000011</v>
      </c>
      <c r="CH49" s="2">
        <f t="shared" si="29"/>
        <v>-1553.1599999999999</v>
      </c>
      <c r="CI49" s="2">
        <f t="shared" si="30"/>
        <v>0</v>
      </c>
      <c r="CJ49" s="2">
        <f t="shared" si="31"/>
        <v>0</v>
      </c>
      <c r="CK49" s="2">
        <f t="shared" si="32"/>
        <v>0</v>
      </c>
      <c r="CL49" s="2">
        <f t="shared" si="33"/>
        <v>0</v>
      </c>
      <c r="CM49" s="2">
        <f t="shared" si="5"/>
        <v>0</v>
      </c>
      <c r="CN49" s="2">
        <f t="shared" si="6"/>
        <v>222250</v>
      </c>
      <c r="CO49" s="2">
        <f t="shared" si="7"/>
        <v>0</v>
      </c>
      <c r="CP49" s="2">
        <f t="shared" si="8"/>
        <v>0</v>
      </c>
      <c r="CQ49" s="2">
        <f t="shared" si="9"/>
        <v>0</v>
      </c>
      <c r="CR49" s="2">
        <f t="shared" si="10"/>
        <v>0</v>
      </c>
      <c r="CV49" t="s">
        <v>64</v>
      </c>
      <c r="CW49" t="s">
        <v>122</v>
      </c>
      <c r="CX49" t="s">
        <v>1</v>
      </c>
      <c r="CY49" s="4">
        <v>43350</v>
      </c>
      <c r="CZ49" t="s">
        <v>67</v>
      </c>
      <c r="DA49" t="s">
        <v>68</v>
      </c>
      <c r="DB49">
        <v>1500</v>
      </c>
      <c r="DC49">
        <v>219.59</v>
      </c>
      <c r="DD49" t="s">
        <v>69</v>
      </c>
      <c r="DE49" t="s">
        <v>70</v>
      </c>
      <c r="DF49">
        <v>329385</v>
      </c>
    </row>
    <row r="50" spans="1:110" x14ac:dyDescent="0.25">
      <c r="A50" s="1">
        <v>42808</v>
      </c>
      <c r="B50">
        <v>134.77000000000001</v>
      </c>
      <c r="C50">
        <v>77.59</v>
      </c>
      <c r="D50">
        <v>171.14</v>
      </c>
      <c r="E50">
        <v>87.38</v>
      </c>
      <c r="F50">
        <v>32</v>
      </c>
      <c r="G50">
        <v>99.37</v>
      </c>
      <c r="H50">
        <v>108.86</v>
      </c>
      <c r="I50">
        <v>1</v>
      </c>
      <c r="J50">
        <v>241.95</v>
      </c>
      <c r="K50">
        <v>141.52000000000001</v>
      </c>
      <c r="L50">
        <v>161.24</v>
      </c>
      <c r="M50">
        <v>33.4</v>
      </c>
      <c r="N50">
        <v>121.36</v>
      </c>
      <c r="O50">
        <v>87.24</v>
      </c>
      <c r="P50">
        <v>39.590000000000003</v>
      </c>
      <c r="Q50">
        <v>122.41</v>
      </c>
      <c r="R50">
        <v>181.08</v>
      </c>
      <c r="S50">
        <v>60.87</v>
      </c>
      <c r="T50">
        <v>62.31</v>
      </c>
      <c r="U50">
        <v>56.07</v>
      </c>
      <c r="V50">
        <v>31.83</v>
      </c>
      <c r="W50">
        <v>85.24</v>
      </c>
      <c r="X50">
        <v>117.75</v>
      </c>
      <c r="Y50">
        <v>164.94</v>
      </c>
      <c r="Z50">
        <v>106.84</v>
      </c>
      <c r="AA50">
        <v>88.35</v>
      </c>
      <c r="AB50">
        <v>44.95</v>
      </c>
      <c r="AC50">
        <v>81.650000000000006</v>
      </c>
      <c r="AD50">
        <v>67.83</v>
      </c>
      <c r="AE50">
        <v>74.77</v>
      </c>
      <c r="AI50" s="2">
        <v>5000</v>
      </c>
      <c r="AJ50" s="2">
        <f t="shared" si="38"/>
        <v>1030</v>
      </c>
      <c r="AK50" s="2">
        <f t="shared" si="38"/>
        <v>1030</v>
      </c>
      <c r="AL50" s="2">
        <f t="shared" si="38"/>
        <v>1030</v>
      </c>
      <c r="AM50" s="2">
        <f t="shared" si="38"/>
        <v>1030</v>
      </c>
      <c r="AN50" s="2">
        <f t="shared" si="38"/>
        <v>1030</v>
      </c>
      <c r="AO50" s="2">
        <f t="shared" si="38"/>
        <v>1030</v>
      </c>
      <c r="AP50" s="2">
        <v>0</v>
      </c>
      <c r="AQ50" s="2">
        <v>1000</v>
      </c>
      <c r="AR50" s="2">
        <v>1000</v>
      </c>
      <c r="AS50" s="2">
        <v>1000</v>
      </c>
      <c r="AT50" s="2">
        <v>1000</v>
      </c>
      <c r="AU50" s="2">
        <v>1000</v>
      </c>
      <c r="AV50" s="2">
        <v>1000</v>
      </c>
      <c r="AW50" s="2">
        <v>0</v>
      </c>
      <c r="AX50" s="2">
        <v>1000</v>
      </c>
      <c r="AY50" s="2">
        <v>1000</v>
      </c>
      <c r="AZ50" s="2">
        <v>999</v>
      </c>
      <c r="BA50" s="2">
        <v>918</v>
      </c>
      <c r="BB50" s="2">
        <v>1004</v>
      </c>
      <c r="BC50" s="2">
        <v>-1000</v>
      </c>
      <c r="BD50" s="2">
        <v>1000</v>
      </c>
      <c r="BE50" s="2">
        <v>5000</v>
      </c>
      <c r="BF50" s="2">
        <v>3000</v>
      </c>
      <c r="BG50" s="2">
        <v>5000</v>
      </c>
      <c r="BH50" s="2">
        <v>0</v>
      </c>
      <c r="BI50" s="2">
        <v>3000</v>
      </c>
      <c r="BJ50" s="2">
        <v>0</v>
      </c>
      <c r="BK50" s="2">
        <v>1000</v>
      </c>
      <c r="BL50" s="2">
        <v>1000</v>
      </c>
      <c r="BO50" s="2">
        <f t="shared" si="4"/>
        <v>0</v>
      </c>
      <c r="BP50" s="2">
        <f t="shared" si="11"/>
        <v>0</v>
      </c>
      <c r="BQ50" s="2">
        <f t="shared" si="12"/>
        <v>0</v>
      </c>
      <c r="BR50" s="2">
        <f t="shared" si="13"/>
        <v>0</v>
      </c>
      <c r="BS50" s="2">
        <f t="shared" si="14"/>
        <v>0</v>
      </c>
      <c r="BT50" s="2">
        <f t="shared" si="15"/>
        <v>0</v>
      </c>
      <c r="BU50" s="2">
        <f t="shared" si="16"/>
        <v>0</v>
      </c>
      <c r="BV50" s="2">
        <f t="shared" si="17"/>
        <v>0</v>
      </c>
      <c r="BW50" s="2">
        <f t="shared" si="18"/>
        <v>0</v>
      </c>
      <c r="BX50" s="2">
        <f t="shared" si="19"/>
        <v>0</v>
      </c>
      <c r="BY50" s="2">
        <f t="shared" si="20"/>
        <v>0</v>
      </c>
      <c r="BZ50" s="2">
        <f t="shared" si="21"/>
        <v>0</v>
      </c>
      <c r="CA50" s="2">
        <f t="shared" si="22"/>
        <v>0</v>
      </c>
      <c r="CB50" s="2">
        <f t="shared" si="23"/>
        <v>0</v>
      </c>
      <c r="CC50" s="2">
        <f t="shared" si="24"/>
        <v>0</v>
      </c>
      <c r="CD50" s="2">
        <f t="shared" si="25"/>
        <v>0</v>
      </c>
      <c r="CE50" s="2">
        <f t="shared" si="26"/>
        <v>0</v>
      </c>
      <c r="CF50" s="2">
        <f t="shared" si="27"/>
        <v>-2860.89</v>
      </c>
      <c r="CG50" s="2">
        <f t="shared" si="28"/>
        <v>1433.13</v>
      </c>
      <c r="CH50" s="2">
        <f t="shared" si="29"/>
        <v>3700.62</v>
      </c>
      <c r="CI50" s="2">
        <f t="shared" si="30"/>
        <v>0</v>
      </c>
      <c r="CJ50" s="2">
        <f t="shared" si="31"/>
        <v>0</v>
      </c>
      <c r="CK50" s="2">
        <f t="shared" si="32"/>
        <v>0</v>
      </c>
      <c r="CL50" s="2">
        <f t="shared" si="33"/>
        <v>0</v>
      </c>
      <c r="CM50" s="2">
        <f t="shared" si="5"/>
        <v>0</v>
      </c>
      <c r="CN50" s="2">
        <f t="shared" si="6"/>
        <v>88350</v>
      </c>
      <c r="CO50" s="2">
        <f t="shared" si="7"/>
        <v>0</v>
      </c>
      <c r="CP50" s="2">
        <f t="shared" si="8"/>
        <v>0</v>
      </c>
      <c r="CQ50" s="2">
        <f t="shared" si="9"/>
        <v>0</v>
      </c>
      <c r="CR50" s="2">
        <f t="shared" si="10"/>
        <v>0</v>
      </c>
      <c r="CV50" t="s">
        <v>64</v>
      </c>
      <c r="CW50" t="s">
        <v>123</v>
      </c>
      <c r="CX50" t="s">
        <v>1</v>
      </c>
      <c r="CY50" s="4">
        <v>43353</v>
      </c>
      <c r="CZ50" t="s">
        <v>67</v>
      </c>
      <c r="DA50" t="s">
        <v>68</v>
      </c>
      <c r="DB50">
        <v>2500</v>
      </c>
      <c r="DC50">
        <v>216.64</v>
      </c>
      <c r="DD50" t="s">
        <v>69</v>
      </c>
      <c r="DE50" t="s">
        <v>70</v>
      </c>
      <c r="DF50">
        <v>541600</v>
      </c>
    </row>
    <row r="51" spans="1:110" x14ac:dyDescent="0.25">
      <c r="A51" s="1">
        <v>42809</v>
      </c>
      <c r="B51">
        <v>136.19999999999999</v>
      </c>
      <c r="C51">
        <v>77.150000000000006</v>
      </c>
      <c r="D51">
        <v>171.12</v>
      </c>
      <c r="E51">
        <v>88.81</v>
      </c>
      <c r="F51">
        <v>32.11</v>
      </c>
      <c r="G51">
        <v>100.78</v>
      </c>
      <c r="H51">
        <v>108.44</v>
      </c>
      <c r="I51">
        <v>1</v>
      </c>
      <c r="J51">
        <v>241.03</v>
      </c>
      <c r="K51">
        <v>142.28</v>
      </c>
      <c r="L51">
        <v>161.32</v>
      </c>
      <c r="M51">
        <v>33.32</v>
      </c>
      <c r="N51">
        <v>123.18</v>
      </c>
      <c r="O51">
        <v>87.45</v>
      </c>
      <c r="P51">
        <v>39.74</v>
      </c>
      <c r="Q51">
        <v>122.48</v>
      </c>
      <c r="R51">
        <v>181.91</v>
      </c>
      <c r="S51">
        <v>61.35</v>
      </c>
      <c r="T51">
        <v>62.64</v>
      </c>
      <c r="U51">
        <v>56.44</v>
      </c>
      <c r="V51">
        <v>32.22</v>
      </c>
      <c r="W51">
        <v>85.61</v>
      </c>
      <c r="X51">
        <v>118.11</v>
      </c>
      <c r="Y51">
        <v>167.59</v>
      </c>
      <c r="Z51">
        <v>108.04</v>
      </c>
      <c r="AA51">
        <v>88.71</v>
      </c>
      <c r="AB51">
        <v>45.66</v>
      </c>
      <c r="AC51">
        <v>82.03</v>
      </c>
      <c r="AD51">
        <v>67.7</v>
      </c>
      <c r="AE51">
        <v>75.7</v>
      </c>
      <c r="AI51" s="2">
        <v>5000</v>
      </c>
      <c r="AJ51" s="2">
        <f t="shared" si="38"/>
        <v>1030</v>
      </c>
      <c r="AK51" s="2">
        <f t="shared" si="38"/>
        <v>1030</v>
      </c>
      <c r="AL51" s="2">
        <f t="shared" si="38"/>
        <v>1030</v>
      </c>
      <c r="AM51" s="2">
        <f t="shared" si="38"/>
        <v>1030</v>
      </c>
      <c r="AN51" s="2">
        <f t="shared" si="38"/>
        <v>1030</v>
      </c>
      <c r="AO51" s="2">
        <f t="shared" si="38"/>
        <v>1030</v>
      </c>
      <c r="AP51" s="2">
        <v>0</v>
      </c>
      <c r="AQ51" s="2">
        <v>1000</v>
      </c>
      <c r="AR51" s="2">
        <v>1000</v>
      </c>
      <c r="AS51" s="2">
        <v>1000</v>
      </c>
      <c r="AT51" s="2">
        <v>1000</v>
      </c>
      <c r="AU51" s="2">
        <v>1000</v>
      </c>
      <c r="AV51" s="2">
        <v>1000</v>
      </c>
      <c r="AW51" s="2">
        <v>0</v>
      </c>
      <c r="AX51" s="2">
        <v>1000</v>
      </c>
      <c r="AY51" s="2">
        <v>1000</v>
      </c>
      <c r="AZ51" s="2">
        <v>1003</v>
      </c>
      <c r="BA51" s="2">
        <v>1086</v>
      </c>
      <c r="BB51" s="2">
        <v>977</v>
      </c>
      <c r="BC51" s="2">
        <v>-1000</v>
      </c>
      <c r="BD51" s="2">
        <v>1000</v>
      </c>
      <c r="BE51" s="2">
        <v>5000</v>
      </c>
      <c r="BF51" s="2">
        <v>3000</v>
      </c>
      <c r="BG51" s="2">
        <v>5000</v>
      </c>
      <c r="BH51" s="2">
        <v>0</v>
      </c>
      <c r="BI51" s="2">
        <v>3000</v>
      </c>
      <c r="BJ51" s="2">
        <v>0</v>
      </c>
      <c r="BK51" s="2">
        <v>1000</v>
      </c>
      <c r="BL51" s="2">
        <v>1000</v>
      </c>
      <c r="BO51" s="2">
        <f t="shared" si="4"/>
        <v>0</v>
      </c>
      <c r="BP51" s="2">
        <f t="shared" si="11"/>
        <v>0</v>
      </c>
      <c r="BQ51" s="2">
        <f t="shared" si="12"/>
        <v>0</v>
      </c>
      <c r="BR51" s="2">
        <f t="shared" si="13"/>
        <v>0</v>
      </c>
      <c r="BS51" s="2">
        <f t="shared" si="14"/>
        <v>0</v>
      </c>
      <c r="BT51" s="2">
        <f t="shared" si="15"/>
        <v>0</v>
      </c>
      <c r="BU51" s="2">
        <f t="shared" si="16"/>
        <v>0</v>
      </c>
      <c r="BV51" s="2">
        <f t="shared" si="17"/>
        <v>0</v>
      </c>
      <c r="BW51" s="2">
        <f t="shared" si="18"/>
        <v>0</v>
      </c>
      <c r="BX51" s="2">
        <f t="shared" si="19"/>
        <v>0</v>
      </c>
      <c r="BY51" s="2">
        <f t="shared" si="20"/>
        <v>0</v>
      </c>
      <c r="BZ51" s="2">
        <f t="shared" si="21"/>
        <v>0</v>
      </c>
      <c r="CA51" s="2">
        <f t="shared" si="22"/>
        <v>0</v>
      </c>
      <c r="CB51" s="2">
        <f t="shared" si="23"/>
        <v>0</v>
      </c>
      <c r="CC51" s="2">
        <f t="shared" si="24"/>
        <v>0</v>
      </c>
      <c r="CD51" s="2">
        <f t="shared" si="25"/>
        <v>0</v>
      </c>
      <c r="CE51" s="2">
        <f t="shared" si="26"/>
        <v>0</v>
      </c>
      <c r="CF51" s="2">
        <f t="shared" si="27"/>
        <v>-245.4</v>
      </c>
      <c r="CG51" s="2">
        <f t="shared" si="28"/>
        <v>-10523.52</v>
      </c>
      <c r="CH51" s="2">
        <f t="shared" si="29"/>
        <v>1523.8799999999999</v>
      </c>
      <c r="CI51" s="2">
        <f t="shared" si="30"/>
        <v>0</v>
      </c>
      <c r="CJ51" s="2">
        <f t="shared" si="31"/>
        <v>0</v>
      </c>
      <c r="CK51" s="2">
        <f t="shared" si="32"/>
        <v>0</v>
      </c>
      <c r="CL51" s="2">
        <f t="shared" si="33"/>
        <v>0</v>
      </c>
      <c r="CM51" s="2">
        <f t="shared" si="5"/>
        <v>0</v>
      </c>
      <c r="CN51" s="2">
        <f t="shared" si="6"/>
        <v>0</v>
      </c>
      <c r="CO51" s="2">
        <f t="shared" si="7"/>
        <v>0</v>
      </c>
      <c r="CP51" s="2">
        <f t="shared" si="8"/>
        <v>0</v>
      </c>
      <c r="CQ51" s="2">
        <f t="shared" si="9"/>
        <v>0</v>
      </c>
      <c r="CR51" s="2">
        <f t="shared" si="10"/>
        <v>0</v>
      </c>
      <c r="CV51" t="s">
        <v>64</v>
      </c>
      <c r="CW51" t="s">
        <v>124</v>
      </c>
      <c r="CX51" t="s">
        <v>1</v>
      </c>
      <c r="CY51" s="4">
        <v>43354</v>
      </c>
      <c r="CZ51" t="s">
        <v>67</v>
      </c>
      <c r="DA51" t="s">
        <v>68</v>
      </c>
      <c r="DB51">
        <v>1000</v>
      </c>
      <c r="DC51">
        <v>222.12</v>
      </c>
      <c r="DD51" t="s">
        <v>69</v>
      </c>
      <c r="DE51" t="s">
        <v>70</v>
      </c>
      <c r="DF51">
        <v>222120</v>
      </c>
    </row>
    <row r="52" spans="1:110" x14ac:dyDescent="0.25">
      <c r="A52" s="1">
        <v>42810</v>
      </c>
      <c r="B52">
        <v>136.41999999999999</v>
      </c>
      <c r="C52">
        <v>77.67</v>
      </c>
      <c r="D52">
        <v>170.63</v>
      </c>
      <c r="E52">
        <v>88.33</v>
      </c>
      <c r="F52">
        <v>32.1</v>
      </c>
      <c r="G52">
        <v>99.84</v>
      </c>
      <c r="H52">
        <v>108.28</v>
      </c>
      <c r="I52">
        <v>1</v>
      </c>
      <c r="J52">
        <v>242.43</v>
      </c>
      <c r="K52">
        <v>143.03</v>
      </c>
      <c r="L52">
        <v>162.63</v>
      </c>
      <c r="M52">
        <v>33.36</v>
      </c>
      <c r="N52">
        <v>122.71</v>
      </c>
      <c r="O52">
        <v>87.36</v>
      </c>
      <c r="P52">
        <v>39.86</v>
      </c>
      <c r="Q52">
        <v>122.58</v>
      </c>
      <c r="R52">
        <v>181.07</v>
      </c>
      <c r="S52">
        <v>60.86</v>
      </c>
      <c r="T52">
        <v>62.53</v>
      </c>
      <c r="U52">
        <v>56.38</v>
      </c>
      <c r="V52">
        <v>32.03</v>
      </c>
      <c r="W52">
        <v>85.65</v>
      </c>
      <c r="X52">
        <v>117.87</v>
      </c>
      <c r="Y52">
        <v>167.12</v>
      </c>
      <c r="Z52">
        <v>107.33</v>
      </c>
      <c r="AA52">
        <v>88.83</v>
      </c>
      <c r="AB52">
        <v>45.57</v>
      </c>
      <c r="AC52">
        <v>81.91</v>
      </c>
      <c r="AD52">
        <v>67.569999999999993</v>
      </c>
      <c r="AE52">
        <v>75.77</v>
      </c>
      <c r="AI52" s="2">
        <v>5000</v>
      </c>
      <c r="AJ52" s="2">
        <f t="shared" si="38"/>
        <v>1030</v>
      </c>
      <c r="AK52" s="2">
        <f t="shared" si="38"/>
        <v>1030</v>
      </c>
      <c r="AL52" s="2">
        <f t="shared" si="38"/>
        <v>1030</v>
      </c>
      <c r="AM52" s="2">
        <f t="shared" si="38"/>
        <v>1030</v>
      </c>
      <c r="AN52" s="2">
        <f t="shared" si="38"/>
        <v>1030</v>
      </c>
      <c r="AO52" s="2">
        <f t="shared" si="38"/>
        <v>1030</v>
      </c>
      <c r="AP52" s="2">
        <v>0</v>
      </c>
      <c r="AQ52" s="2">
        <v>1000</v>
      </c>
      <c r="AR52" s="2">
        <v>1000</v>
      </c>
      <c r="AS52" s="2">
        <v>1000</v>
      </c>
      <c r="AT52" s="2">
        <v>1000</v>
      </c>
      <c r="AU52" s="2">
        <v>1000</v>
      </c>
      <c r="AV52" s="2">
        <v>1000</v>
      </c>
      <c r="AW52" s="2">
        <v>0</v>
      </c>
      <c r="AX52" s="2">
        <v>1000</v>
      </c>
      <c r="AY52" s="2">
        <v>1000</v>
      </c>
      <c r="AZ52" s="2">
        <v>958</v>
      </c>
      <c r="BA52" s="2">
        <v>1044</v>
      </c>
      <c r="BB52" s="2">
        <v>910</v>
      </c>
      <c r="BC52" s="2">
        <v>-1000</v>
      </c>
      <c r="BD52" s="2">
        <v>1000</v>
      </c>
      <c r="BE52" s="2">
        <v>5000</v>
      </c>
      <c r="BF52" s="2">
        <v>3000</v>
      </c>
      <c r="BG52" s="2">
        <v>5000</v>
      </c>
      <c r="BH52" s="2">
        <v>0</v>
      </c>
      <c r="BI52" s="2">
        <v>3000</v>
      </c>
      <c r="BJ52" s="2">
        <v>0</v>
      </c>
      <c r="BK52" s="2">
        <v>1000</v>
      </c>
      <c r="BL52" s="2">
        <v>1000</v>
      </c>
      <c r="BO52" s="2">
        <f t="shared" si="4"/>
        <v>0</v>
      </c>
      <c r="BP52" s="2">
        <f t="shared" si="11"/>
        <v>0</v>
      </c>
      <c r="BQ52" s="2">
        <f t="shared" si="12"/>
        <v>0</v>
      </c>
      <c r="BR52" s="2">
        <f t="shared" si="13"/>
        <v>0</v>
      </c>
      <c r="BS52" s="2">
        <f t="shared" si="14"/>
        <v>0</v>
      </c>
      <c r="BT52" s="2">
        <f t="shared" si="15"/>
        <v>0</v>
      </c>
      <c r="BU52" s="2">
        <f t="shared" si="16"/>
        <v>0</v>
      </c>
      <c r="BV52" s="2">
        <f t="shared" si="17"/>
        <v>0</v>
      </c>
      <c r="BW52" s="2">
        <f t="shared" si="18"/>
        <v>0</v>
      </c>
      <c r="BX52" s="2">
        <f t="shared" si="19"/>
        <v>0</v>
      </c>
      <c r="BY52" s="2">
        <f t="shared" si="20"/>
        <v>0</v>
      </c>
      <c r="BZ52" s="2">
        <f t="shared" si="21"/>
        <v>0</v>
      </c>
      <c r="CA52" s="2">
        <f t="shared" si="22"/>
        <v>0</v>
      </c>
      <c r="CB52" s="2">
        <f t="shared" si="23"/>
        <v>0</v>
      </c>
      <c r="CC52" s="2">
        <f t="shared" si="24"/>
        <v>0</v>
      </c>
      <c r="CD52" s="2">
        <f t="shared" si="25"/>
        <v>0</v>
      </c>
      <c r="CE52" s="2">
        <f t="shared" si="26"/>
        <v>0</v>
      </c>
      <c r="CF52" s="2">
        <f t="shared" si="27"/>
        <v>2738.7</v>
      </c>
      <c r="CG52" s="2">
        <f t="shared" si="28"/>
        <v>2626.26</v>
      </c>
      <c r="CH52" s="2">
        <f t="shared" si="29"/>
        <v>3777.46</v>
      </c>
      <c r="CI52" s="2">
        <f t="shared" si="30"/>
        <v>0</v>
      </c>
      <c r="CJ52" s="2">
        <f t="shared" si="31"/>
        <v>0</v>
      </c>
      <c r="CK52" s="2">
        <f t="shared" si="32"/>
        <v>0</v>
      </c>
      <c r="CL52" s="2">
        <f t="shared" si="33"/>
        <v>0</v>
      </c>
      <c r="CM52" s="2">
        <f t="shared" si="5"/>
        <v>0</v>
      </c>
      <c r="CN52" s="2">
        <f t="shared" si="6"/>
        <v>0</v>
      </c>
      <c r="CO52" s="2">
        <f t="shared" si="7"/>
        <v>0</v>
      </c>
      <c r="CP52" s="2">
        <f t="shared" si="8"/>
        <v>0</v>
      </c>
      <c r="CQ52" s="2">
        <f t="shared" si="9"/>
        <v>0</v>
      </c>
      <c r="CR52" s="2">
        <f t="shared" si="10"/>
        <v>0</v>
      </c>
      <c r="CV52" t="s">
        <v>64</v>
      </c>
      <c r="CW52" t="s">
        <v>125</v>
      </c>
      <c r="CX52" t="s">
        <v>1</v>
      </c>
      <c r="CY52" s="4">
        <v>43368</v>
      </c>
      <c r="CZ52" t="s">
        <v>65</v>
      </c>
      <c r="DA52" t="s">
        <v>66</v>
      </c>
      <c r="DB52">
        <v>2500</v>
      </c>
      <c r="DC52">
        <v>220.47</v>
      </c>
      <c r="DD52" t="s">
        <v>69</v>
      </c>
      <c r="DE52" t="s">
        <v>70</v>
      </c>
      <c r="DF52">
        <v>551175</v>
      </c>
    </row>
    <row r="53" spans="1:110" x14ac:dyDescent="0.25">
      <c r="A53" s="1">
        <v>42811</v>
      </c>
      <c r="B53">
        <v>135.74</v>
      </c>
      <c r="C53">
        <v>77.17</v>
      </c>
      <c r="D53">
        <v>172.45</v>
      </c>
      <c r="E53">
        <v>88.38</v>
      </c>
      <c r="F53">
        <v>32.1</v>
      </c>
      <c r="G53">
        <v>99.67</v>
      </c>
      <c r="H53">
        <v>108.33</v>
      </c>
      <c r="I53">
        <v>1</v>
      </c>
      <c r="J53">
        <v>238.25</v>
      </c>
      <c r="K53">
        <v>143.87</v>
      </c>
      <c r="L53">
        <v>161.18</v>
      </c>
      <c r="M53">
        <v>33.49</v>
      </c>
      <c r="N53">
        <v>122.32</v>
      </c>
      <c r="O53">
        <v>86.45</v>
      </c>
      <c r="P53">
        <v>39.65</v>
      </c>
      <c r="Q53">
        <v>123.21</v>
      </c>
      <c r="R53">
        <v>183.02</v>
      </c>
      <c r="S53">
        <v>60.59</v>
      </c>
      <c r="T53">
        <v>62.75</v>
      </c>
      <c r="U53">
        <v>56.58</v>
      </c>
      <c r="V53">
        <v>31.93</v>
      </c>
      <c r="W53">
        <v>85.24</v>
      </c>
      <c r="X53">
        <v>118.25</v>
      </c>
      <c r="Y53">
        <v>165.56</v>
      </c>
      <c r="Z53">
        <v>108.39</v>
      </c>
      <c r="AA53">
        <v>89.03</v>
      </c>
      <c r="AB53">
        <v>45.89</v>
      </c>
      <c r="AC53">
        <v>82.14</v>
      </c>
      <c r="AD53">
        <v>67.040000000000006</v>
      </c>
      <c r="AE53">
        <v>75.7</v>
      </c>
      <c r="AI53" s="2">
        <v>5000</v>
      </c>
      <c r="AJ53" s="2">
        <f t="shared" si="38"/>
        <v>1030</v>
      </c>
      <c r="AK53" s="2">
        <f t="shared" si="38"/>
        <v>1030</v>
      </c>
      <c r="AL53" s="2">
        <f t="shared" si="38"/>
        <v>1030</v>
      </c>
      <c r="AM53" s="2">
        <f t="shared" si="38"/>
        <v>1030</v>
      </c>
      <c r="AN53" s="2">
        <f t="shared" si="38"/>
        <v>1030</v>
      </c>
      <c r="AO53" s="2">
        <f t="shared" si="38"/>
        <v>1030</v>
      </c>
      <c r="AP53" s="2">
        <v>0</v>
      </c>
      <c r="AQ53" s="2">
        <v>1000</v>
      </c>
      <c r="AR53" s="2">
        <v>1000</v>
      </c>
      <c r="AS53" s="2">
        <v>1000</v>
      </c>
      <c r="AT53" s="2">
        <v>1000</v>
      </c>
      <c r="AU53" s="2">
        <v>1000</v>
      </c>
      <c r="AV53" s="2">
        <v>1000</v>
      </c>
      <c r="AW53" s="2">
        <v>0</v>
      </c>
      <c r="AX53" s="2">
        <v>1000</v>
      </c>
      <c r="AY53" s="2">
        <v>1000</v>
      </c>
      <c r="AZ53" s="2">
        <v>1021</v>
      </c>
      <c r="BA53" s="2">
        <v>1003</v>
      </c>
      <c r="BB53" s="2">
        <v>1043</v>
      </c>
      <c r="BC53" s="2">
        <v>-1000</v>
      </c>
      <c r="BD53" s="2">
        <v>1000</v>
      </c>
      <c r="BE53" s="2">
        <v>5000</v>
      </c>
      <c r="BF53" s="2">
        <v>3000</v>
      </c>
      <c r="BG53" s="2">
        <v>5000</v>
      </c>
      <c r="BH53" s="2">
        <v>0</v>
      </c>
      <c r="BI53" s="2">
        <v>3000</v>
      </c>
      <c r="BJ53" s="2">
        <v>0</v>
      </c>
      <c r="BK53" s="2">
        <v>1000</v>
      </c>
      <c r="BL53" s="2">
        <v>1000</v>
      </c>
      <c r="BO53" s="2">
        <f t="shared" si="4"/>
        <v>0</v>
      </c>
      <c r="BP53" s="2">
        <f t="shared" si="11"/>
        <v>0</v>
      </c>
      <c r="BQ53" s="2">
        <f t="shared" si="12"/>
        <v>0</v>
      </c>
      <c r="BR53" s="2">
        <f t="shared" si="13"/>
        <v>0</v>
      </c>
      <c r="BS53" s="2">
        <f t="shared" si="14"/>
        <v>0</v>
      </c>
      <c r="BT53" s="2">
        <f t="shared" si="15"/>
        <v>0</v>
      </c>
      <c r="BU53" s="2">
        <f t="shared" si="16"/>
        <v>0</v>
      </c>
      <c r="BV53" s="2">
        <f t="shared" si="17"/>
        <v>0</v>
      </c>
      <c r="BW53" s="2">
        <f t="shared" si="18"/>
        <v>0</v>
      </c>
      <c r="BX53" s="2">
        <f t="shared" si="19"/>
        <v>0</v>
      </c>
      <c r="BY53" s="2">
        <f t="shared" si="20"/>
        <v>0</v>
      </c>
      <c r="BZ53" s="2">
        <f t="shared" si="21"/>
        <v>0</v>
      </c>
      <c r="CA53" s="2">
        <f t="shared" si="22"/>
        <v>0</v>
      </c>
      <c r="CB53" s="2">
        <f t="shared" si="23"/>
        <v>0</v>
      </c>
      <c r="CC53" s="2">
        <f t="shared" si="24"/>
        <v>0</v>
      </c>
      <c r="CD53" s="2">
        <f t="shared" si="25"/>
        <v>0</v>
      </c>
      <c r="CE53" s="2">
        <f t="shared" si="26"/>
        <v>0</v>
      </c>
      <c r="CF53" s="2">
        <f t="shared" si="27"/>
        <v>-3817.17</v>
      </c>
      <c r="CG53" s="2">
        <f t="shared" si="28"/>
        <v>2572.75</v>
      </c>
      <c r="CH53" s="2">
        <f t="shared" si="29"/>
        <v>-7525.1399999999994</v>
      </c>
      <c r="CI53" s="2">
        <f t="shared" si="30"/>
        <v>0</v>
      </c>
      <c r="CJ53" s="2">
        <f t="shared" si="31"/>
        <v>0</v>
      </c>
      <c r="CK53" s="2">
        <f t="shared" si="32"/>
        <v>0</v>
      </c>
      <c r="CL53" s="2">
        <f t="shared" si="33"/>
        <v>0</v>
      </c>
      <c r="CM53" s="2">
        <f t="shared" si="5"/>
        <v>0</v>
      </c>
      <c r="CN53" s="2">
        <f t="shared" si="6"/>
        <v>0</v>
      </c>
      <c r="CO53" s="2">
        <f t="shared" si="7"/>
        <v>0</v>
      </c>
      <c r="CP53" s="2">
        <f t="shared" si="8"/>
        <v>0</v>
      </c>
      <c r="CQ53" s="2">
        <f t="shared" si="9"/>
        <v>0</v>
      </c>
      <c r="CR53" s="2">
        <f t="shared" si="10"/>
        <v>0</v>
      </c>
      <c r="CV53" t="s">
        <v>64</v>
      </c>
      <c r="CW53" t="s">
        <v>126</v>
      </c>
      <c r="CX53" t="s">
        <v>1</v>
      </c>
      <c r="CY53" s="4">
        <v>43369</v>
      </c>
      <c r="CZ53" t="s">
        <v>67</v>
      </c>
      <c r="DA53" t="s">
        <v>68</v>
      </c>
      <c r="DB53">
        <v>500</v>
      </c>
      <c r="DC53">
        <v>218.72</v>
      </c>
      <c r="DD53" t="s">
        <v>69</v>
      </c>
      <c r="DE53" t="s">
        <v>70</v>
      </c>
      <c r="DF53">
        <v>109360</v>
      </c>
    </row>
    <row r="54" spans="1:110" x14ac:dyDescent="0.25">
      <c r="A54" s="1">
        <v>42814</v>
      </c>
      <c r="B54">
        <v>137.16999999999999</v>
      </c>
      <c r="C54">
        <v>76.78</v>
      </c>
      <c r="D54">
        <v>171.77</v>
      </c>
      <c r="E54">
        <v>90.75</v>
      </c>
      <c r="F54">
        <v>32.15</v>
      </c>
      <c r="G54">
        <v>99.65</v>
      </c>
      <c r="H54">
        <v>109.25</v>
      </c>
      <c r="I54">
        <v>1</v>
      </c>
      <c r="J54">
        <v>236.5</v>
      </c>
      <c r="K54">
        <v>142.13999999999999</v>
      </c>
      <c r="L54">
        <v>161.22</v>
      </c>
      <c r="M54">
        <v>33.64</v>
      </c>
      <c r="N54">
        <v>122.33</v>
      </c>
      <c r="O54">
        <v>85.83</v>
      </c>
      <c r="P54">
        <v>39.79</v>
      </c>
      <c r="Q54">
        <v>123.35</v>
      </c>
      <c r="R54">
        <v>183.63</v>
      </c>
      <c r="S54">
        <v>60.79</v>
      </c>
      <c r="T54">
        <v>62.81</v>
      </c>
      <c r="U54">
        <v>57.44</v>
      </c>
      <c r="V54">
        <v>31.98</v>
      </c>
      <c r="W54">
        <v>85.44</v>
      </c>
      <c r="X54">
        <v>117.5</v>
      </c>
      <c r="Y54">
        <v>163.91</v>
      </c>
      <c r="Z54">
        <v>108.45</v>
      </c>
      <c r="AA54">
        <v>87.98</v>
      </c>
      <c r="AB54">
        <v>45.75</v>
      </c>
      <c r="AC54">
        <v>80.91</v>
      </c>
      <c r="AD54">
        <v>67.12</v>
      </c>
      <c r="AE54">
        <v>75.7</v>
      </c>
      <c r="AI54" s="2">
        <v>5000</v>
      </c>
      <c r="AJ54" s="2">
        <f t="shared" si="38"/>
        <v>1030</v>
      </c>
      <c r="AK54" s="2">
        <f t="shared" si="38"/>
        <v>1030</v>
      </c>
      <c r="AL54" s="2">
        <f t="shared" si="38"/>
        <v>1030</v>
      </c>
      <c r="AM54" s="2">
        <f t="shared" si="38"/>
        <v>1030</v>
      </c>
      <c r="AN54" s="2">
        <f t="shared" si="38"/>
        <v>1030</v>
      </c>
      <c r="AO54" s="2">
        <f t="shared" si="38"/>
        <v>1030</v>
      </c>
      <c r="AP54" s="2">
        <v>0</v>
      </c>
      <c r="AQ54" s="2">
        <v>1000</v>
      </c>
      <c r="AR54" s="2">
        <v>1000</v>
      </c>
      <c r="AS54" s="2">
        <v>1000</v>
      </c>
      <c r="AT54" s="2">
        <v>1000</v>
      </c>
      <c r="AU54" s="2">
        <v>1000</v>
      </c>
      <c r="AV54" s="2">
        <v>1000</v>
      </c>
      <c r="AW54" s="2">
        <v>0</v>
      </c>
      <c r="AX54" s="2">
        <v>1000</v>
      </c>
      <c r="AY54" s="2">
        <v>1000</v>
      </c>
      <c r="AZ54" s="2">
        <v>996</v>
      </c>
      <c r="BA54" s="2">
        <v>1029</v>
      </c>
      <c r="BB54" s="2">
        <v>900</v>
      </c>
      <c r="BC54" s="2">
        <v>-1000</v>
      </c>
      <c r="BD54" s="2">
        <v>1000</v>
      </c>
      <c r="BE54" s="2">
        <v>5000</v>
      </c>
      <c r="BF54" s="2">
        <v>3000</v>
      </c>
      <c r="BG54" s="2">
        <v>5000</v>
      </c>
      <c r="BH54" s="2">
        <v>0</v>
      </c>
      <c r="BI54" s="2">
        <v>3000</v>
      </c>
      <c r="BJ54" s="2">
        <v>0</v>
      </c>
      <c r="BK54" s="2">
        <v>1000</v>
      </c>
      <c r="BL54" s="2">
        <v>1000</v>
      </c>
      <c r="BO54" s="2">
        <f t="shared" si="4"/>
        <v>0</v>
      </c>
      <c r="BP54" s="2">
        <f t="shared" si="11"/>
        <v>0</v>
      </c>
      <c r="BQ54" s="2">
        <f t="shared" si="12"/>
        <v>0</v>
      </c>
      <c r="BR54" s="2">
        <f t="shared" si="13"/>
        <v>0</v>
      </c>
      <c r="BS54" s="2">
        <f t="shared" si="14"/>
        <v>0</v>
      </c>
      <c r="BT54" s="2">
        <f t="shared" si="15"/>
        <v>0</v>
      </c>
      <c r="BU54" s="2">
        <f t="shared" si="16"/>
        <v>0</v>
      </c>
      <c r="BV54" s="2">
        <f t="shared" si="17"/>
        <v>0</v>
      </c>
      <c r="BW54" s="2">
        <f t="shared" si="18"/>
        <v>0</v>
      </c>
      <c r="BX54" s="2">
        <f t="shared" si="19"/>
        <v>0</v>
      </c>
      <c r="BY54" s="2">
        <f t="shared" si="20"/>
        <v>0</v>
      </c>
      <c r="BZ54" s="2">
        <f t="shared" si="21"/>
        <v>0</v>
      </c>
      <c r="CA54" s="2">
        <f t="shared" si="22"/>
        <v>0</v>
      </c>
      <c r="CB54" s="2">
        <f t="shared" si="23"/>
        <v>0</v>
      </c>
      <c r="CC54" s="2">
        <f t="shared" si="24"/>
        <v>0</v>
      </c>
      <c r="CD54" s="2">
        <f t="shared" si="25"/>
        <v>0</v>
      </c>
      <c r="CE54" s="2">
        <f t="shared" si="26"/>
        <v>0</v>
      </c>
      <c r="CF54" s="2">
        <f t="shared" si="27"/>
        <v>1519.75</v>
      </c>
      <c r="CG54" s="2">
        <f t="shared" si="28"/>
        <v>-1633.06</v>
      </c>
      <c r="CH54" s="2">
        <f t="shared" si="29"/>
        <v>8213.92</v>
      </c>
      <c r="CI54" s="2">
        <f t="shared" si="30"/>
        <v>0</v>
      </c>
      <c r="CJ54" s="2">
        <f t="shared" si="31"/>
        <v>0</v>
      </c>
      <c r="CK54" s="2">
        <f t="shared" si="32"/>
        <v>0</v>
      </c>
      <c r="CL54" s="2">
        <f t="shared" si="33"/>
        <v>0</v>
      </c>
      <c r="CM54" s="2">
        <f t="shared" si="5"/>
        <v>0</v>
      </c>
      <c r="CN54" s="2">
        <f t="shared" si="6"/>
        <v>0</v>
      </c>
      <c r="CO54" s="2">
        <f t="shared" si="7"/>
        <v>0</v>
      </c>
      <c r="CP54" s="2">
        <f t="shared" si="8"/>
        <v>0</v>
      </c>
      <c r="CQ54" s="2">
        <f t="shared" si="9"/>
        <v>0</v>
      </c>
      <c r="CR54" s="2">
        <f t="shared" si="10"/>
        <v>0</v>
      </c>
      <c r="CV54" t="s">
        <v>64</v>
      </c>
      <c r="CW54" t="s">
        <v>127</v>
      </c>
      <c r="CX54" t="s">
        <v>1</v>
      </c>
      <c r="CY54" s="4">
        <v>43370</v>
      </c>
      <c r="CZ54" t="s">
        <v>65</v>
      </c>
      <c r="DA54" t="s">
        <v>66</v>
      </c>
      <c r="DB54">
        <v>500</v>
      </c>
      <c r="DC54">
        <v>223.21</v>
      </c>
      <c r="DD54" t="s">
        <v>69</v>
      </c>
      <c r="DE54" t="s">
        <v>70</v>
      </c>
      <c r="DF54">
        <v>111605</v>
      </c>
    </row>
    <row r="55" spans="1:110" x14ac:dyDescent="0.25">
      <c r="A55" s="1">
        <v>42815</v>
      </c>
      <c r="B55">
        <v>135.6</v>
      </c>
      <c r="C55">
        <v>75.489999999999995</v>
      </c>
      <c r="D55">
        <v>168.49</v>
      </c>
      <c r="E55">
        <v>87.93</v>
      </c>
      <c r="F55">
        <v>31.77</v>
      </c>
      <c r="G55">
        <v>100</v>
      </c>
      <c r="H55">
        <v>108.32</v>
      </c>
      <c r="I55">
        <v>1</v>
      </c>
      <c r="J55">
        <v>227.57</v>
      </c>
      <c r="K55">
        <v>140.99</v>
      </c>
      <c r="L55">
        <v>159.55000000000001</v>
      </c>
      <c r="M55">
        <v>33.270000000000003</v>
      </c>
      <c r="N55">
        <v>121.55</v>
      </c>
      <c r="O55">
        <v>83.31</v>
      </c>
      <c r="P55">
        <v>40.090000000000003</v>
      </c>
      <c r="Q55">
        <v>123.1</v>
      </c>
      <c r="R55">
        <v>182.8</v>
      </c>
      <c r="S55">
        <v>60.6</v>
      </c>
      <c r="T55">
        <v>62.11</v>
      </c>
      <c r="U55">
        <v>56.78</v>
      </c>
      <c r="V55">
        <v>31.86</v>
      </c>
      <c r="W55">
        <v>85.42</v>
      </c>
      <c r="X55">
        <v>116.86</v>
      </c>
      <c r="Y55">
        <v>163.61000000000001</v>
      </c>
      <c r="Z55">
        <v>107.16</v>
      </c>
      <c r="AA55">
        <v>86.88</v>
      </c>
      <c r="AB55">
        <v>45.68</v>
      </c>
      <c r="AC55">
        <v>79.55</v>
      </c>
      <c r="AD55">
        <v>67.05</v>
      </c>
      <c r="AE55">
        <v>75.55</v>
      </c>
      <c r="AI55" s="2">
        <v>5000</v>
      </c>
      <c r="AJ55" s="2">
        <f t="shared" si="38"/>
        <v>1030</v>
      </c>
      <c r="AK55" s="2">
        <f t="shared" si="38"/>
        <v>1030</v>
      </c>
      <c r="AL55" s="2">
        <f t="shared" si="38"/>
        <v>1030</v>
      </c>
      <c r="AM55" s="2">
        <f t="shared" si="38"/>
        <v>1030</v>
      </c>
      <c r="AN55" s="2">
        <f t="shared" si="38"/>
        <v>1030</v>
      </c>
      <c r="AO55" s="2">
        <f t="shared" si="38"/>
        <v>1030</v>
      </c>
      <c r="AP55" s="2">
        <v>0</v>
      </c>
      <c r="AQ55" s="2">
        <v>1000</v>
      </c>
      <c r="AR55" s="2">
        <v>1000</v>
      </c>
      <c r="AS55" s="2">
        <v>1000</v>
      </c>
      <c r="AT55" s="2">
        <v>1000</v>
      </c>
      <c r="AU55" s="2">
        <v>1000</v>
      </c>
      <c r="AV55" s="2">
        <v>1000</v>
      </c>
      <c r="AW55" s="2">
        <v>0</v>
      </c>
      <c r="AX55" s="2">
        <v>1000</v>
      </c>
      <c r="AY55" s="2">
        <v>1000</v>
      </c>
      <c r="AZ55" s="2">
        <v>980</v>
      </c>
      <c r="BA55" s="2">
        <v>1083</v>
      </c>
      <c r="BB55" s="2">
        <v>995</v>
      </c>
      <c r="BC55" s="2">
        <v>-1000</v>
      </c>
      <c r="BD55" s="2">
        <v>1000</v>
      </c>
      <c r="BE55" s="2">
        <v>5000</v>
      </c>
      <c r="BF55" s="2">
        <v>3000</v>
      </c>
      <c r="BG55" s="2">
        <v>5000</v>
      </c>
      <c r="BH55" s="2">
        <v>0</v>
      </c>
      <c r="BI55" s="2">
        <v>3000</v>
      </c>
      <c r="BJ55" s="2">
        <v>0</v>
      </c>
      <c r="BK55" s="2">
        <v>1000</v>
      </c>
      <c r="BL55" s="2">
        <v>1000</v>
      </c>
      <c r="BO55" s="2">
        <f t="shared" si="4"/>
        <v>0</v>
      </c>
      <c r="BP55" s="2">
        <f t="shared" si="11"/>
        <v>0</v>
      </c>
      <c r="BQ55" s="2">
        <f t="shared" si="12"/>
        <v>0</v>
      </c>
      <c r="BR55" s="2">
        <f t="shared" si="13"/>
        <v>0</v>
      </c>
      <c r="BS55" s="2">
        <f t="shared" si="14"/>
        <v>0</v>
      </c>
      <c r="BT55" s="2">
        <f t="shared" si="15"/>
        <v>0</v>
      </c>
      <c r="BU55" s="2">
        <f t="shared" si="16"/>
        <v>0</v>
      </c>
      <c r="BV55" s="2">
        <f t="shared" si="17"/>
        <v>0</v>
      </c>
      <c r="BW55" s="2">
        <f t="shared" si="18"/>
        <v>0</v>
      </c>
      <c r="BX55" s="2">
        <f t="shared" si="19"/>
        <v>0</v>
      </c>
      <c r="BY55" s="2">
        <f t="shared" si="20"/>
        <v>0</v>
      </c>
      <c r="BZ55" s="2">
        <f t="shared" si="21"/>
        <v>0</v>
      </c>
      <c r="CA55" s="2">
        <f t="shared" si="22"/>
        <v>0</v>
      </c>
      <c r="CB55" s="2">
        <f t="shared" si="23"/>
        <v>0</v>
      </c>
      <c r="CC55" s="2">
        <f t="shared" si="24"/>
        <v>0</v>
      </c>
      <c r="CD55" s="2">
        <f t="shared" si="25"/>
        <v>0</v>
      </c>
      <c r="CE55" s="2">
        <f t="shared" si="26"/>
        <v>0</v>
      </c>
      <c r="CF55" s="2">
        <f t="shared" si="27"/>
        <v>969.6</v>
      </c>
      <c r="CG55" s="2">
        <f t="shared" si="28"/>
        <v>-3353.94</v>
      </c>
      <c r="CH55" s="2">
        <f t="shared" si="29"/>
        <v>-5394.1</v>
      </c>
      <c r="CI55" s="2">
        <f t="shared" si="30"/>
        <v>0</v>
      </c>
      <c r="CJ55" s="2">
        <f t="shared" si="31"/>
        <v>0</v>
      </c>
      <c r="CK55" s="2">
        <f t="shared" si="32"/>
        <v>0</v>
      </c>
      <c r="CL55" s="2">
        <f t="shared" si="33"/>
        <v>0</v>
      </c>
      <c r="CM55" s="2">
        <f t="shared" si="5"/>
        <v>0</v>
      </c>
      <c r="CN55" s="2">
        <f t="shared" si="6"/>
        <v>0</v>
      </c>
      <c r="CO55" s="2">
        <f t="shared" si="7"/>
        <v>0</v>
      </c>
      <c r="CP55" s="2">
        <f t="shared" si="8"/>
        <v>0</v>
      </c>
      <c r="CQ55" s="2">
        <f t="shared" si="9"/>
        <v>0</v>
      </c>
      <c r="CR55" s="2">
        <f t="shared" si="10"/>
        <v>0</v>
      </c>
      <c r="CV55" t="s">
        <v>64</v>
      </c>
      <c r="CW55" t="s">
        <v>128</v>
      </c>
      <c r="CX55" t="s">
        <v>1</v>
      </c>
      <c r="CY55" s="4">
        <v>43371</v>
      </c>
      <c r="CZ55" t="s">
        <v>65</v>
      </c>
      <c r="DA55" t="s">
        <v>66</v>
      </c>
      <c r="DB55">
        <v>1500</v>
      </c>
      <c r="DC55">
        <v>223.99</v>
      </c>
      <c r="DD55" t="s">
        <v>69</v>
      </c>
      <c r="DE55" t="s">
        <v>70</v>
      </c>
      <c r="DF55">
        <v>335985</v>
      </c>
    </row>
    <row r="56" spans="1:110" x14ac:dyDescent="0.25">
      <c r="A56" s="1">
        <v>42816</v>
      </c>
      <c r="B56">
        <v>137.13</v>
      </c>
      <c r="C56">
        <v>75.63</v>
      </c>
      <c r="D56">
        <v>169.47</v>
      </c>
      <c r="E56">
        <v>87.93</v>
      </c>
      <c r="F56">
        <v>31.98</v>
      </c>
      <c r="G56">
        <v>100.33</v>
      </c>
      <c r="H56">
        <v>108.64</v>
      </c>
      <c r="I56">
        <v>1</v>
      </c>
      <c r="J56">
        <v>225.68</v>
      </c>
      <c r="K56">
        <v>141.72</v>
      </c>
      <c r="L56">
        <v>160.38</v>
      </c>
      <c r="M56">
        <v>33.58</v>
      </c>
      <c r="N56">
        <v>120.61</v>
      </c>
      <c r="O56">
        <v>83.45</v>
      </c>
      <c r="P56">
        <v>39.979999999999997</v>
      </c>
      <c r="Q56">
        <v>123.65</v>
      </c>
      <c r="R56">
        <v>182.88</v>
      </c>
      <c r="S56">
        <v>60.21</v>
      </c>
      <c r="T56">
        <v>62.91</v>
      </c>
      <c r="U56">
        <v>52.78</v>
      </c>
      <c r="V56">
        <v>32.07</v>
      </c>
      <c r="W56">
        <v>85.23</v>
      </c>
      <c r="X56">
        <v>117.18</v>
      </c>
      <c r="Y56">
        <v>162.96</v>
      </c>
      <c r="Z56">
        <v>106.94</v>
      </c>
      <c r="AA56">
        <v>87.33</v>
      </c>
      <c r="AB56">
        <v>45.27</v>
      </c>
      <c r="AC56">
        <v>79.38</v>
      </c>
      <c r="AD56">
        <v>67.38</v>
      </c>
      <c r="AE56">
        <v>75.48</v>
      </c>
      <c r="AI56" s="2">
        <v>5000</v>
      </c>
      <c r="AJ56" s="2">
        <f t="shared" si="38"/>
        <v>1030</v>
      </c>
      <c r="AK56" s="2">
        <f t="shared" si="38"/>
        <v>1030</v>
      </c>
      <c r="AL56" s="2">
        <f t="shared" si="38"/>
        <v>1030</v>
      </c>
      <c r="AM56" s="2">
        <f t="shared" si="38"/>
        <v>1030</v>
      </c>
      <c r="AN56" s="2">
        <f t="shared" si="38"/>
        <v>1030</v>
      </c>
      <c r="AO56" s="2">
        <f t="shared" si="38"/>
        <v>1030</v>
      </c>
      <c r="AP56" s="2">
        <v>0</v>
      </c>
      <c r="AQ56" s="2">
        <v>1000</v>
      </c>
      <c r="AR56" s="2">
        <v>1000</v>
      </c>
      <c r="AS56" s="2">
        <v>1000</v>
      </c>
      <c r="AT56" s="2">
        <v>1000</v>
      </c>
      <c r="AU56" s="2">
        <v>1000</v>
      </c>
      <c r="AV56" s="2">
        <v>1000</v>
      </c>
      <c r="AW56" s="2">
        <v>0</v>
      </c>
      <c r="AX56" s="2">
        <v>1000</v>
      </c>
      <c r="AY56" s="2">
        <v>1000</v>
      </c>
      <c r="AZ56" s="2">
        <v>1039</v>
      </c>
      <c r="BA56" s="2">
        <v>924</v>
      </c>
      <c r="BB56" s="2">
        <v>941</v>
      </c>
      <c r="BC56" s="2">
        <v>-1000</v>
      </c>
      <c r="BD56" s="2">
        <v>1000</v>
      </c>
      <c r="BE56" s="2">
        <v>5000</v>
      </c>
      <c r="BF56" s="2">
        <v>3000</v>
      </c>
      <c r="BG56" s="2">
        <v>5000</v>
      </c>
      <c r="BH56" s="2">
        <v>0</v>
      </c>
      <c r="BI56" s="2">
        <v>3000</v>
      </c>
      <c r="BJ56" s="2">
        <v>0</v>
      </c>
      <c r="BK56" s="2">
        <v>1000</v>
      </c>
      <c r="BL56" s="2">
        <v>1000</v>
      </c>
      <c r="BO56" s="2">
        <f t="shared" si="4"/>
        <v>0</v>
      </c>
      <c r="BP56" s="2">
        <f t="shared" si="11"/>
        <v>0</v>
      </c>
      <c r="BQ56" s="2">
        <f t="shared" si="12"/>
        <v>0</v>
      </c>
      <c r="BR56" s="2">
        <f t="shared" si="13"/>
        <v>0</v>
      </c>
      <c r="BS56" s="2">
        <f t="shared" si="14"/>
        <v>0</v>
      </c>
      <c r="BT56" s="2">
        <f t="shared" si="15"/>
        <v>0</v>
      </c>
      <c r="BU56" s="2">
        <f t="shared" si="16"/>
        <v>0</v>
      </c>
      <c r="BV56" s="2">
        <f t="shared" si="17"/>
        <v>0</v>
      </c>
      <c r="BW56" s="2">
        <f t="shared" si="18"/>
        <v>0</v>
      </c>
      <c r="BX56" s="2">
        <f t="shared" si="19"/>
        <v>0</v>
      </c>
      <c r="BY56" s="2">
        <f t="shared" si="20"/>
        <v>0</v>
      </c>
      <c r="BZ56" s="2">
        <f t="shared" si="21"/>
        <v>0</v>
      </c>
      <c r="CA56" s="2">
        <f t="shared" si="22"/>
        <v>0</v>
      </c>
      <c r="CB56" s="2">
        <f t="shared" si="23"/>
        <v>0</v>
      </c>
      <c r="CC56" s="2">
        <f t="shared" si="24"/>
        <v>0</v>
      </c>
      <c r="CD56" s="2">
        <f t="shared" si="25"/>
        <v>0</v>
      </c>
      <c r="CE56" s="2">
        <f t="shared" si="26"/>
        <v>0</v>
      </c>
      <c r="CF56" s="2">
        <f t="shared" si="27"/>
        <v>-3552.39</v>
      </c>
      <c r="CG56" s="2">
        <f t="shared" si="28"/>
        <v>10002.689999999999</v>
      </c>
      <c r="CH56" s="2">
        <f t="shared" si="29"/>
        <v>2850.12</v>
      </c>
      <c r="CI56" s="2">
        <f t="shared" si="30"/>
        <v>0</v>
      </c>
      <c r="CJ56" s="2">
        <f t="shared" si="31"/>
        <v>0</v>
      </c>
      <c r="CK56" s="2">
        <f t="shared" si="32"/>
        <v>0</v>
      </c>
      <c r="CL56" s="2">
        <f t="shared" si="33"/>
        <v>0</v>
      </c>
      <c r="CM56" s="2">
        <f t="shared" si="5"/>
        <v>0</v>
      </c>
      <c r="CN56" s="2">
        <f t="shared" si="6"/>
        <v>0</v>
      </c>
      <c r="CO56" s="2">
        <f t="shared" si="7"/>
        <v>0</v>
      </c>
      <c r="CP56" s="2">
        <f t="shared" si="8"/>
        <v>0</v>
      </c>
      <c r="CQ56" s="2">
        <f t="shared" si="9"/>
        <v>0</v>
      </c>
      <c r="CR56" s="2">
        <f t="shared" si="10"/>
        <v>0</v>
      </c>
      <c r="CV56" t="s">
        <v>64</v>
      </c>
      <c r="CW56" t="s">
        <v>129</v>
      </c>
      <c r="CX56" t="s">
        <v>1</v>
      </c>
      <c r="CY56" s="4">
        <v>43376</v>
      </c>
      <c r="CZ56" t="s">
        <v>65</v>
      </c>
      <c r="DA56" t="s">
        <v>66</v>
      </c>
      <c r="DB56">
        <v>1000</v>
      </c>
      <c r="DC56">
        <v>230.28</v>
      </c>
      <c r="DD56" t="s">
        <v>69</v>
      </c>
      <c r="DE56" t="s">
        <v>70</v>
      </c>
      <c r="DF56">
        <v>230280</v>
      </c>
    </row>
    <row r="57" spans="1:110" x14ac:dyDescent="0.25">
      <c r="A57" s="1">
        <v>42817</v>
      </c>
      <c r="B57">
        <v>136.63999999999999</v>
      </c>
      <c r="C57">
        <v>75.790000000000006</v>
      </c>
      <c r="D57">
        <v>169.73</v>
      </c>
      <c r="E57">
        <v>87.74</v>
      </c>
      <c r="F57">
        <v>31.85</v>
      </c>
      <c r="G57">
        <v>99.85</v>
      </c>
      <c r="H57">
        <v>108.8</v>
      </c>
      <c r="I57">
        <v>1</v>
      </c>
      <c r="J57">
        <v>226.49</v>
      </c>
      <c r="K57">
        <v>142.32</v>
      </c>
      <c r="L57">
        <v>160.41</v>
      </c>
      <c r="M57">
        <v>33.49</v>
      </c>
      <c r="N57">
        <v>120.26</v>
      </c>
      <c r="O57">
        <v>83.31</v>
      </c>
      <c r="P57">
        <v>39.78</v>
      </c>
      <c r="Q57">
        <v>123.56</v>
      </c>
      <c r="R57">
        <v>182.81</v>
      </c>
      <c r="S57">
        <v>60</v>
      </c>
      <c r="T57">
        <v>62.75</v>
      </c>
      <c r="U57">
        <v>54.2</v>
      </c>
      <c r="V57">
        <v>31.9</v>
      </c>
      <c r="W57">
        <v>85.02</v>
      </c>
      <c r="X57">
        <v>116.47</v>
      </c>
      <c r="Y57">
        <v>161.26</v>
      </c>
      <c r="Z57">
        <v>106.85</v>
      </c>
      <c r="AA57">
        <v>87.67</v>
      </c>
      <c r="AB57">
        <v>45.21</v>
      </c>
      <c r="AC57">
        <v>79.33</v>
      </c>
      <c r="AD57">
        <v>67.010000000000005</v>
      </c>
      <c r="AE57">
        <v>75.569999999999993</v>
      </c>
      <c r="AI57" s="2">
        <v>5000</v>
      </c>
      <c r="AJ57" s="2">
        <f t="shared" si="38"/>
        <v>1030</v>
      </c>
      <c r="AK57" s="2">
        <f t="shared" si="38"/>
        <v>1030</v>
      </c>
      <c r="AL57" s="2">
        <f t="shared" si="38"/>
        <v>1030</v>
      </c>
      <c r="AM57" s="2">
        <f t="shared" si="38"/>
        <v>1030</v>
      </c>
      <c r="AN57" s="2">
        <f t="shared" si="38"/>
        <v>1030</v>
      </c>
      <c r="AO57" s="2">
        <f t="shared" si="38"/>
        <v>1030</v>
      </c>
      <c r="AP57" s="2">
        <v>0</v>
      </c>
      <c r="AQ57" s="2">
        <v>1000</v>
      </c>
      <c r="AR57" s="2">
        <v>0</v>
      </c>
      <c r="AS57" s="2">
        <v>1000</v>
      </c>
      <c r="AT57" s="2">
        <v>1000</v>
      </c>
      <c r="AU57" s="2">
        <v>1000</v>
      </c>
      <c r="AV57" s="2">
        <v>1000</v>
      </c>
      <c r="AW57" s="2">
        <v>0</v>
      </c>
      <c r="AX57" s="2">
        <v>1000</v>
      </c>
      <c r="AY57" s="2">
        <v>1000</v>
      </c>
      <c r="AZ57" s="2">
        <v>966</v>
      </c>
      <c r="BA57" s="2">
        <v>900</v>
      </c>
      <c r="BB57" s="2">
        <v>944</v>
      </c>
      <c r="BC57" s="2">
        <v>-1000</v>
      </c>
      <c r="BD57" s="2">
        <v>1000</v>
      </c>
      <c r="BE57" s="2">
        <v>5000</v>
      </c>
      <c r="BF57" s="2">
        <v>3000</v>
      </c>
      <c r="BG57" s="2">
        <v>5000</v>
      </c>
      <c r="BH57" s="2">
        <v>0</v>
      </c>
      <c r="BI57" s="2">
        <v>3000</v>
      </c>
      <c r="BJ57" s="2">
        <v>0</v>
      </c>
      <c r="BK57" s="2">
        <v>1000</v>
      </c>
      <c r="BL57" s="2">
        <v>1000</v>
      </c>
      <c r="BO57" s="2">
        <f t="shared" si="4"/>
        <v>0</v>
      </c>
      <c r="BP57" s="2">
        <f t="shared" si="11"/>
        <v>0</v>
      </c>
      <c r="BQ57" s="2">
        <f t="shared" si="12"/>
        <v>0</v>
      </c>
      <c r="BR57" s="2">
        <f t="shared" si="13"/>
        <v>0</v>
      </c>
      <c r="BS57" s="2">
        <f t="shared" si="14"/>
        <v>0</v>
      </c>
      <c r="BT57" s="2">
        <f t="shared" si="15"/>
        <v>0</v>
      </c>
      <c r="BU57" s="2">
        <f t="shared" si="16"/>
        <v>0</v>
      </c>
      <c r="BV57" s="2">
        <f t="shared" si="17"/>
        <v>0</v>
      </c>
      <c r="BW57" s="2">
        <f t="shared" si="18"/>
        <v>0</v>
      </c>
      <c r="BX57" s="2">
        <f t="shared" si="19"/>
        <v>142320</v>
      </c>
      <c r="BY57" s="2">
        <f t="shared" si="20"/>
        <v>0</v>
      </c>
      <c r="BZ57" s="2">
        <f t="shared" si="21"/>
        <v>0</v>
      </c>
      <c r="CA57" s="2">
        <f t="shared" si="22"/>
        <v>0</v>
      </c>
      <c r="CB57" s="2">
        <f t="shared" si="23"/>
        <v>0</v>
      </c>
      <c r="CC57" s="2">
        <f t="shared" si="24"/>
        <v>0</v>
      </c>
      <c r="CD57" s="2">
        <f t="shared" si="25"/>
        <v>0</v>
      </c>
      <c r="CE57" s="2">
        <f t="shared" si="26"/>
        <v>0</v>
      </c>
      <c r="CF57" s="2">
        <f t="shared" si="27"/>
        <v>4380</v>
      </c>
      <c r="CG57" s="2">
        <f t="shared" si="28"/>
        <v>1506</v>
      </c>
      <c r="CH57" s="2">
        <f t="shared" si="29"/>
        <v>-162.60000000000002</v>
      </c>
      <c r="CI57" s="2">
        <f t="shared" si="30"/>
        <v>0</v>
      </c>
      <c r="CJ57" s="2">
        <f t="shared" si="31"/>
        <v>0</v>
      </c>
      <c r="CK57" s="2">
        <f t="shared" si="32"/>
        <v>0</v>
      </c>
      <c r="CL57" s="2">
        <f t="shared" si="33"/>
        <v>0</v>
      </c>
      <c r="CM57" s="2">
        <f t="shared" si="5"/>
        <v>0</v>
      </c>
      <c r="CN57" s="2">
        <f t="shared" si="6"/>
        <v>0</v>
      </c>
      <c r="CO57" s="2">
        <f t="shared" si="7"/>
        <v>0</v>
      </c>
      <c r="CP57" s="2">
        <f t="shared" si="8"/>
        <v>0</v>
      </c>
      <c r="CQ57" s="2">
        <f t="shared" si="9"/>
        <v>0</v>
      </c>
      <c r="CR57" s="2">
        <f t="shared" si="10"/>
        <v>0</v>
      </c>
      <c r="CV57" t="s">
        <v>64</v>
      </c>
      <c r="CW57" t="s">
        <v>130</v>
      </c>
      <c r="CX57" t="s">
        <v>1</v>
      </c>
      <c r="CY57" s="4">
        <v>43416</v>
      </c>
      <c r="CZ57" t="s">
        <v>67</v>
      </c>
      <c r="DA57" t="s">
        <v>68</v>
      </c>
      <c r="DB57">
        <v>2500</v>
      </c>
      <c r="DC57">
        <v>193.34</v>
      </c>
      <c r="DD57" t="s">
        <v>69</v>
      </c>
      <c r="DE57" t="s">
        <v>70</v>
      </c>
      <c r="DF57">
        <v>483350</v>
      </c>
    </row>
    <row r="58" spans="1:110" x14ac:dyDescent="0.25">
      <c r="A58" s="1">
        <v>42818</v>
      </c>
      <c r="B58">
        <v>136.37</v>
      </c>
      <c r="C58">
        <v>76.14</v>
      </c>
      <c r="D58">
        <v>168.36</v>
      </c>
      <c r="E58">
        <v>87.66</v>
      </c>
      <c r="F58">
        <v>31.96</v>
      </c>
      <c r="G58">
        <v>99.96</v>
      </c>
      <c r="H58">
        <v>108.7</v>
      </c>
      <c r="I58">
        <v>1</v>
      </c>
      <c r="J58">
        <v>223.09</v>
      </c>
      <c r="K58">
        <v>142.05000000000001</v>
      </c>
      <c r="L58">
        <v>159.51</v>
      </c>
      <c r="M58">
        <v>33.380000000000003</v>
      </c>
      <c r="N58">
        <v>119.86</v>
      </c>
      <c r="O58">
        <v>83.22</v>
      </c>
      <c r="P58">
        <v>39.74</v>
      </c>
      <c r="Q58">
        <v>123.88</v>
      </c>
      <c r="R58">
        <v>182.21</v>
      </c>
      <c r="S58">
        <v>59.91</v>
      </c>
      <c r="T58">
        <v>62.86</v>
      </c>
      <c r="U58">
        <v>55.17</v>
      </c>
      <c r="V58">
        <v>31.63</v>
      </c>
      <c r="W58">
        <v>84.83</v>
      </c>
      <c r="X58">
        <v>115.97</v>
      </c>
      <c r="Y58">
        <v>160.97999999999999</v>
      </c>
      <c r="Z58">
        <v>106.81</v>
      </c>
      <c r="AA58">
        <v>87.99</v>
      </c>
      <c r="AB58">
        <v>45.24</v>
      </c>
      <c r="AC58">
        <v>79.319999999999993</v>
      </c>
      <c r="AD58">
        <v>66.77</v>
      </c>
      <c r="AE58">
        <v>74.989999999999995</v>
      </c>
      <c r="AI58" s="2">
        <v>5000</v>
      </c>
      <c r="AJ58" s="2">
        <f t="shared" ref="AJ58:AO58" si="41">AJ57+10</f>
        <v>1040</v>
      </c>
      <c r="AK58" s="2">
        <f t="shared" si="41"/>
        <v>1040</v>
      </c>
      <c r="AL58" s="2">
        <f t="shared" si="41"/>
        <v>1040</v>
      </c>
      <c r="AM58" s="2">
        <f t="shared" si="41"/>
        <v>1040</v>
      </c>
      <c r="AN58" s="2">
        <f t="shared" si="41"/>
        <v>1040</v>
      </c>
      <c r="AO58" s="2">
        <f t="shared" si="41"/>
        <v>1040</v>
      </c>
      <c r="AP58" s="2">
        <v>0</v>
      </c>
      <c r="AQ58" s="2">
        <v>1000</v>
      </c>
      <c r="AR58" s="2">
        <v>0</v>
      </c>
      <c r="AS58" s="2">
        <v>1000</v>
      </c>
      <c r="AT58" s="2">
        <v>1000</v>
      </c>
      <c r="AU58" s="2">
        <v>1000</v>
      </c>
      <c r="AV58" s="2">
        <v>1000</v>
      </c>
      <c r="AW58" s="2">
        <v>0</v>
      </c>
      <c r="AX58" s="2">
        <v>1000</v>
      </c>
      <c r="AY58" s="2">
        <v>1000</v>
      </c>
      <c r="AZ58" s="2">
        <v>1041</v>
      </c>
      <c r="BA58" s="2">
        <v>1074</v>
      </c>
      <c r="BB58" s="2">
        <v>1093</v>
      </c>
      <c r="BC58" s="2">
        <v>-1000</v>
      </c>
      <c r="BD58" s="2">
        <v>1000</v>
      </c>
      <c r="BE58" s="2">
        <v>5000</v>
      </c>
      <c r="BF58" s="2">
        <v>3000</v>
      </c>
      <c r="BG58" s="2">
        <v>5000</v>
      </c>
      <c r="BH58" s="2">
        <v>0</v>
      </c>
      <c r="BI58" s="2">
        <v>3000</v>
      </c>
      <c r="BJ58" s="2">
        <v>0</v>
      </c>
      <c r="BK58" s="2">
        <v>1000</v>
      </c>
      <c r="BL58" s="2">
        <v>1000</v>
      </c>
      <c r="BO58" s="2">
        <f t="shared" si="4"/>
        <v>0</v>
      </c>
      <c r="BP58" s="2">
        <f t="shared" si="11"/>
        <v>-761.4</v>
      </c>
      <c r="BQ58" s="2">
        <f t="shared" si="12"/>
        <v>-1683.6000000000001</v>
      </c>
      <c r="BR58" s="2">
        <f t="shared" si="13"/>
        <v>-876.59999999999991</v>
      </c>
      <c r="BS58" s="2">
        <f t="shared" si="14"/>
        <v>-319.60000000000002</v>
      </c>
      <c r="BT58" s="2">
        <f t="shared" si="15"/>
        <v>-999.59999999999991</v>
      </c>
      <c r="BU58" s="2">
        <f t="shared" si="16"/>
        <v>-1087</v>
      </c>
      <c r="BV58" s="2">
        <f t="shared" si="17"/>
        <v>0</v>
      </c>
      <c r="BW58" s="2">
        <f t="shared" si="18"/>
        <v>0</v>
      </c>
      <c r="BX58" s="2">
        <f t="shared" si="19"/>
        <v>0</v>
      </c>
      <c r="BY58" s="2">
        <f t="shared" si="20"/>
        <v>0</v>
      </c>
      <c r="BZ58" s="2">
        <f t="shared" si="21"/>
        <v>0</v>
      </c>
      <c r="CA58" s="2">
        <f t="shared" si="22"/>
        <v>0</v>
      </c>
      <c r="CB58" s="2">
        <f t="shared" si="23"/>
        <v>0</v>
      </c>
      <c r="CC58" s="2">
        <f t="shared" si="24"/>
        <v>0</v>
      </c>
      <c r="CD58" s="2">
        <f t="shared" si="25"/>
        <v>0</v>
      </c>
      <c r="CE58" s="2">
        <f t="shared" si="26"/>
        <v>0</v>
      </c>
      <c r="CF58" s="2">
        <f t="shared" si="27"/>
        <v>-4493.25</v>
      </c>
      <c r="CG58" s="2">
        <f t="shared" si="28"/>
        <v>-10937.64</v>
      </c>
      <c r="CH58" s="2">
        <f t="shared" si="29"/>
        <v>-8220.33</v>
      </c>
      <c r="CI58" s="2">
        <f t="shared" si="30"/>
        <v>0</v>
      </c>
      <c r="CJ58" s="2">
        <f t="shared" si="31"/>
        <v>0</v>
      </c>
      <c r="CK58" s="2">
        <f t="shared" si="32"/>
        <v>0</v>
      </c>
      <c r="CL58" s="2">
        <f t="shared" si="33"/>
        <v>0</v>
      </c>
      <c r="CM58" s="2">
        <f t="shared" si="5"/>
        <v>0</v>
      </c>
      <c r="CN58" s="2">
        <f t="shared" si="6"/>
        <v>0</v>
      </c>
      <c r="CO58" s="2">
        <f t="shared" si="7"/>
        <v>0</v>
      </c>
      <c r="CP58" s="2">
        <f t="shared" si="8"/>
        <v>0</v>
      </c>
      <c r="CQ58" s="2">
        <f t="shared" si="9"/>
        <v>0</v>
      </c>
      <c r="CR58" s="2">
        <f t="shared" si="10"/>
        <v>0</v>
      </c>
      <c r="CV58" t="s">
        <v>64</v>
      </c>
      <c r="CW58" t="s">
        <v>131</v>
      </c>
      <c r="CX58" t="s">
        <v>1</v>
      </c>
      <c r="CY58" s="4">
        <v>43417</v>
      </c>
      <c r="CZ58" t="s">
        <v>67</v>
      </c>
      <c r="DA58" t="s">
        <v>68</v>
      </c>
      <c r="DB58">
        <v>2500</v>
      </c>
      <c r="DC58">
        <v>191.41</v>
      </c>
      <c r="DD58" t="s">
        <v>69</v>
      </c>
      <c r="DE58" t="s">
        <v>70</v>
      </c>
      <c r="DF58">
        <v>478525</v>
      </c>
    </row>
    <row r="59" spans="1:110" x14ac:dyDescent="0.25">
      <c r="A59" s="1">
        <v>42821</v>
      </c>
      <c r="B59">
        <v>136.61000000000001</v>
      </c>
      <c r="C59">
        <v>75.56</v>
      </c>
      <c r="D59">
        <v>168.62</v>
      </c>
      <c r="E59">
        <v>87.05</v>
      </c>
      <c r="F59">
        <v>31.88</v>
      </c>
      <c r="G59">
        <v>98.37</v>
      </c>
      <c r="H59">
        <v>108.93</v>
      </c>
      <c r="I59">
        <v>1</v>
      </c>
      <c r="J59">
        <v>220.22</v>
      </c>
      <c r="K59">
        <v>141.24</v>
      </c>
      <c r="L59">
        <v>159.44999999999999</v>
      </c>
      <c r="M59">
        <v>33.6</v>
      </c>
      <c r="N59">
        <v>120.17</v>
      </c>
      <c r="O59">
        <v>83.17</v>
      </c>
      <c r="P59">
        <v>39.92</v>
      </c>
      <c r="Q59">
        <v>124.03</v>
      </c>
      <c r="R59">
        <v>181.18</v>
      </c>
      <c r="S59">
        <v>59.92</v>
      </c>
      <c r="T59">
        <v>62.97</v>
      </c>
      <c r="U59">
        <v>54.75</v>
      </c>
      <c r="V59">
        <v>31.8</v>
      </c>
      <c r="W59">
        <v>84.76</v>
      </c>
      <c r="X59">
        <v>116.21</v>
      </c>
      <c r="Y59">
        <v>160.59</v>
      </c>
      <c r="Z59">
        <v>106.84</v>
      </c>
      <c r="AA59">
        <v>87.75</v>
      </c>
      <c r="AB59">
        <v>44.75</v>
      </c>
      <c r="AC59">
        <v>79.89</v>
      </c>
      <c r="AD59">
        <v>66.819999999999993</v>
      </c>
      <c r="AE59">
        <v>75.010000000000005</v>
      </c>
      <c r="AI59" s="2">
        <v>5000</v>
      </c>
      <c r="AJ59" s="2">
        <f t="shared" ref="AJ59:AO59" si="42">AJ58</f>
        <v>1040</v>
      </c>
      <c r="AK59" s="2">
        <f t="shared" si="42"/>
        <v>1040</v>
      </c>
      <c r="AL59" s="2">
        <f t="shared" si="42"/>
        <v>1040</v>
      </c>
      <c r="AM59" s="2">
        <f t="shared" si="42"/>
        <v>1040</v>
      </c>
      <c r="AN59" s="2">
        <f t="shared" si="42"/>
        <v>1040</v>
      </c>
      <c r="AO59" s="2">
        <f t="shared" si="42"/>
        <v>1040</v>
      </c>
      <c r="AP59" s="2">
        <v>0</v>
      </c>
      <c r="AQ59" s="2">
        <v>1000</v>
      </c>
      <c r="AR59" s="2">
        <v>0</v>
      </c>
      <c r="AS59" s="2">
        <v>1000</v>
      </c>
      <c r="AT59" s="2">
        <v>1000</v>
      </c>
      <c r="AU59" s="2">
        <v>1000</v>
      </c>
      <c r="AV59" s="2">
        <v>1000</v>
      </c>
      <c r="AW59" s="2">
        <v>0</v>
      </c>
      <c r="AX59" s="2">
        <v>1000</v>
      </c>
      <c r="AY59" s="2">
        <v>1000</v>
      </c>
      <c r="AZ59" s="2">
        <v>994</v>
      </c>
      <c r="BA59" s="2">
        <v>1014</v>
      </c>
      <c r="BB59" s="2">
        <v>1060</v>
      </c>
      <c r="BC59" s="2">
        <v>-1000</v>
      </c>
      <c r="BD59" s="2">
        <v>1000</v>
      </c>
      <c r="BE59" s="2">
        <v>5000</v>
      </c>
      <c r="BF59" s="2">
        <v>3000</v>
      </c>
      <c r="BG59" s="2">
        <v>5000</v>
      </c>
      <c r="BH59" s="2">
        <v>0</v>
      </c>
      <c r="BI59" s="2">
        <v>3000</v>
      </c>
      <c r="BJ59" s="2">
        <v>0</v>
      </c>
      <c r="BK59" s="2">
        <v>1000</v>
      </c>
      <c r="BL59" s="2">
        <v>1000</v>
      </c>
      <c r="BO59" s="2">
        <f t="shared" si="4"/>
        <v>0</v>
      </c>
      <c r="BP59" s="2">
        <f t="shared" si="11"/>
        <v>0</v>
      </c>
      <c r="BQ59" s="2">
        <f t="shared" si="12"/>
        <v>0</v>
      </c>
      <c r="BR59" s="2">
        <f t="shared" si="13"/>
        <v>0</v>
      </c>
      <c r="BS59" s="2">
        <f t="shared" si="14"/>
        <v>0</v>
      </c>
      <c r="BT59" s="2">
        <f t="shared" si="15"/>
        <v>0</v>
      </c>
      <c r="BU59" s="2">
        <f t="shared" si="16"/>
        <v>0</v>
      </c>
      <c r="BV59" s="2">
        <f t="shared" si="17"/>
        <v>0</v>
      </c>
      <c r="BW59" s="2">
        <f t="shared" si="18"/>
        <v>0</v>
      </c>
      <c r="BX59" s="2">
        <f t="shared" si="19"/>
        <v>0</v>
      </c>
      <c r="BY59" s="2">
        <f t="shared" si="20"/>
        <v>0</v>
      </c>
      <c r="BZ59" s="2">
        <f t="shared" si="21"/>
        <v>0</v>
      </c>
      <c r="CA59" s="2">
        <f t="shared" si="22"/>
        <v>0</v>
      </c>
      <c r="CB59" s="2">
        <f t="shared" si="23"/>
        <v>0</v>
      </c>
      <c r="CC59" s="2">
        <f t="shared" si="24"/>
        <v>0</v>
      </c>
      <c r="CD59" s="2">
        <f t="shared" si="25"/>
        <v>0</v>
      </c>
      <c r="CE59" s="2">
        <f t="shared" si="26"/>
        <v>0</v>
      </c>
      <c r="CF59" s="2">
        <f t="shared" si="27"/>
        <v>2816.2400000000002</v>
      </c>
      <c r="CG59" s="2">
        <f t="shared" si="28"/>
        <v>3778.2</v>
      </c>
      <c r="CH59" s="2">
        <f t="shared" si="29"/>
        <v>1806.75</v>
      </c>
      <c r="CI59" s="2">
        <f t="shared" si="30"/>
        <v>0</v>
      </c>
      <c r="CJ59" s="2">
        <f t="shared" si="31"/>
        <v>0</v>
      </c>
      <c r="CK59" s="2">
        <f t="shared" si="32"/>
        <v>0</v>
      </c>
      <c r="CL59" s="2">
        <f t="shared" si="33"/>
        <v>0</v>
      </c>
      <c r="CM59" s="2">
        <f t="shared" si="5"/>
        <v>0</v>
      </c>
      <c r="CN59" s="2">
        <f t="shared" si="6"/>
        <v>0</v>
      </c>
      <c r="CO59" s="2">
        <f t="shared" si="7"/>
        <v>0</v>
      </c>
      <c r="CP59" s="2">
        <f t="shared" si="8"/>
        <v>0</v>
      </c>
      <c r="CQ59" s="2">
        <f t="shared" si="9"/>
        <v>0</v>
      </c>
      <c r="CR59" s="2">
        <f t="shared" si="10"/>
        <v>0</v>
      </c>
      <c r="CV59" t="s">
        <v>64</v>
      </c>
      <c r="CW59" t="s">
        <v>132</v>
      </c>
      <c r="CX59" t="s">
        <v>1</v>
      </c>
      <c r="CY59" s="4">
        <v>43418</v>
      </c>
      <c r="CZ59" t="s">
        <v>67</v>
      </c>
      <c r="DA59" t="s">
        <v>68</v>
      </c>
      <c r="DB59">
        <v>5000</v>
      </c>
      <c r="DC59">
        <v>186</v>
      </c>
      <c r="DD59" t="s">
        <v>69</v>
      </c>
      <c r="DE59" t="s">
        <v>70</v>
      </c>
      <c r="DF59">
        <v>930000</v>
      </c>
    </row>
    <row r="60" spans="1:110" x14ac:dyDescent="0.25">
      <c r="A60" s="1">
        <v>42822</v>
      </c>
      <c r="B60">
        <v>139.44</v>
      </c>
      <c r="C60">
        <v>76.569999999999993</v>
      </c>
      <c r="D60">
        <v>169.83</v>
      </c>
      <c r="E60">
        <v>88.42</v>
      </c>
      <c r="F60">
        <v>31.9</v>
      </c>
      <c r="G60">
        <v>99.2</v>
      </c>
      <c r="H60">
        <v>109.58</v>
      </c>
      <c r="I60">
        <v>1</v>
      </c>
      <c r="J60">
        <v>223.98</v>
      </c>
      <c r="K60">
        <v>141.56</v>
      </c>
      <c r="L60">
        <v>160.13</v>
      </c>
      <c r="M60">
        <v>33.799999999999997</v>
      </c>
      <c r="N60">
        <v>120.03</v>
      </c>
      <c r="O60">
        <v>84.47</v>
      </c>
      <c r="P60">
        <v>40.03</v>
      </c>
      <c r="Q60">
        <v>123.99</v>
      </c>
      <c r="R60">
        <v>181.71</v>
      </c>
      <c r="S60">
        <v>60.06</v>
      </c>
      <c r="T60">
        <v>63.16</v>
      </c>
      <c r="U60">
        <v>55.42</v>
      </c>
      <c r="V60">
        <v>31.78</v>
      </c>
      <c r="W60">
        <v>85.01</v>
      </c>
      <c r="X60">
        <v>116.96</v>
      </c>
      <c r="Y60">
        <v>161.32</v>
      </c>
      <c r="Z60">
        <v>107.71</v>
      </c>
      <c r="AA60">
        <v>87.92</v>
      </c>
      <c r="AB60">
        <v>44.9</v>
      </c>
      <c r="AC60">
        <v>80.06</v>
      </c>
      <c r="AD60">
        <v>67.45</v>
      </c>
      <c r="AE60">
        <v>75.56</v>
      </c>
      <c r="AI60" s="2">
        <v>5000</v>
      </c>
      <c r="AJ60" s="2">
        <f t="shared" ref="AJ60:AO85" si="43">AJ59</f>
        <v>1040</v>
      </c>
      <c r="AK60" s="2">
        <f t="shared" si="43"/>
        <v>1040</v>
      </c>
      <c r="AL60" s="2">
        <f t="shared" si="43"/>
        <v>1040</v>
      </c>
      <c r="AM60" s="2">
        <f t="shared" si="43"/>
        <v>1040</v>
      </c>
      <c r="AN60" s="2">
        <f t="shared" si="43"/>
        <v>1040</v>
      </c>
      <c r="AO60" s="2">
        <f t="shared" si="43"/>
        <v>1040</v>
      </c>
      <c r="AP60" s="2">
        <v>0</v>
      </c>
      <c r="AQ60" s="2">
        <v>1000</v>
      </c>
      <c r="AR60" s="2">
        <v>0</v>
      </c>
      <c r="AS60" s="2">
        <v>1000</v>
      </c>
      <c r="AT60" s="2">
        <v>1000</v>
      </c>
      <c r="AU60" s="2">
        <v>1000</v>
      </c>
      <c r="AV60" s="2">
        <v>1000</v>
      </c>
      <c r="AW60" s="2">
        <v>0</v>
      </c>
      <c r="AX60" s="2">
        <v>1000</v>
      </c>
      <c r="AY60" s="2">
        <v>1000</v>
      </c>
      <c r="AZ60" s="2">
        <v>989</v>
      </c>
      <c r="BA60" s="2">
        <v>949</v>
      </c>
      <c r="BB60" s="2">
        <v>921</v>
      </c>
      <c r="BC60" s="2">
        <v>-1000</v>
      </c>
      <c r="BD60" s="2">
        <v>1000</v>
      </c>
      <c r="BE60" s="2">
        <v>5000</v>
      </c>
      <c r="BF60" s="2">
        <v>3000</v>
      </c>
      <c r="BG60" s="2">
        <v>5000</v>
      </c>
      <c r="BH60" s="2">
        <v>2500</v>
      </c>
      <c r="BI60" s="2">
        <v>3000</v>
      </c>
      <c r="BJ60" s="2">
        <v>0</v>
      </c>
      <c r="BK60" s="2">
        <v>1000</v>
      </c>
      <c r="BL60" s="2">
        <v>1000</v>
      </c>
      <c r="BO60" s="2">
        <f t="shared" si="4"/>
        <v>0</v>
      </c>
      <c r="BP60" s="2">
        <f t="shared" si="11"/>
        <v>0</v>
      </c>
      <c r="BQ60" s="2">
        <f t="shared" si="12"/>
        <v>0</v>
      </c>
      <c r="BR60" s="2">
        <f t="shared" si="13"/>
        <v>0</v>
      </c>
      <c r="BS60" s="2">
        <f t="shared" si="14"/>
        <v>0</v>
      </c>
      <c r="BT60" s="2">
        <f t="shared" si="15"/>
        <v>0</v>
      </c>
      <c r="BU60" s="2">
        <f t="shared" si="16"/>
        <v>0</v>
      </c>
      <c r="BV60" s="2">
        <f t="shared" si="17"/>
        <v>0</v>
      </c>
      <c r="BW60" s="2">
        <f t="shared" si="18"/>
        <v>0</v>
      </c>
      <c r="BX60" s="2">
        <f t="shared" si="19"/>
        <v>0</v>
      </c>
      <c r="BY60" s="2">
        <f t="shared" si="20"/>
        <v>0</v>
      </c>
      <c r="BZ60" s="2">
        <f t="shared" si="21"/>
        <v>0</v>
      </c>
      <c r="CA60" s="2">
        <f t="shared" si="22"/>
        <v>0</v>
      </c>
      <c r="CB60" s="2">
        <f t="shared" si="23"/>
        <v>0</v>
      </c>
      <c r="CC60" s="2">
        <f t="shared" si="24"/>
        <v>0</v>
      </c>
      <c r="CD60" s="2">
        <f t="shared" si="25"/>
        <v>0</v>
      </c>
      <c r="CE60" s="2">
        <f t="shared" si="26"/>
        <v>0</v>
      </c>
      <c r="CF60" s="2">
        <f t="shared" si="27"/>
        <v>300.3</v>
      </c>
      <c r="CG60" s="2">
        <f t="shared" si="28"/>
        <v>4105.3999999999996</v>
      </c>
      <c r="CH60" s="2">
        <f t="shared" si="29"/>
        <v>7703.38</v>
      </c>
      <c r="CI60" s="2">
        <f t="shared" si="30"/>
        <v>0</v>
      </c>
      <c r="CJ60" s="2">
        <f t="shared" si="31"/>
        <v>0</v>
      </c>
      <c r="CK60" s="2">
        <f t="shared" si="32"/>
        <v>0</v>
      </c>
      <c r="CL60" s="2">
        <f t="shared" si="33"/>
        <v>0</v>
      </c>
      <c r="CM60" s="2">
        <f t="shared" si="5"/>
        <v>0</v>
      </c>
      <c r="CN60" s="2">
        <f t="shared" si="6"/>
        <v>-219800</v>
      </c>
      <c r="CO60" s="2">
        <f t="shared" si="7"/>
        <v>0</v>
      </c>
      <c r="CP60" s="2">
        <f t="shared" si="8"/>
        <v>0</v>
      </c>
      <c r="CQ60" s="2">
        <f t="shared" si="9"/>
        <v>0</v>
      </c>
      <c r="CR60" s="2">
        <f t="shared" si="10"/>
        <v>0</v>
      </c>
      <c r="CV60" t="s">
        <v>64</v>
      </c>
      <c r="CW60" t="s">
        <v>133</v>
      </c>
      <c r="CX60" t="s">
        <v>1</v>
      </c>
      <c r="CY60" s="4">
        <v>43423</v>
      </c>
      <c r="CZ60" t="s">
        <v>65</v>
      </c>
      <c r="DA60" t="s">
        <v>66</v>
      </c>
      <c r="DB60">
        <v>5000</v>
      </c>
      <c r="DC60">
        <v>185.07</v>
      </c>
      <c r="DD60" t="s">
        <v>69</v>
      </c>
      <c r="DE60" t="s">
        <v>70</v>
      </c>
      <c r="DF60">
        <v>925350</v>
      </c>
    </row>
    <row r="61" spans="1:110" x14ac:dyDescent="0.25">
      <c r="A61" s="1">
        <v>42823</v>
      </c>
      <c r="B61">
        <v>139.75</v>
      </c>
      <c r="C61">
        <v>76.19</v>
      </c>
      <c r="D61">
        <v>170.09</v>
      </c>
      <c r="E61">
        <v>88.34</v>
      </c>
      <c r="F61">
        <v>31.64</v>
      </c>
      <c r="G61">
        <v>100.03</v>
      </c>
      <c r="H61">
        <v>109.08</v>
      </c>
      <c r="I61">
        <v>1</v>
      </c>
      <c r="J61">
        <v>223.12</v>
      </c>
      <c r="K61">
        <v>141.41</v>
      </c>
      <c r="L61">
        <v>159.61000000000001</v>
      </c>
      <c r="M61">
        <v>33.770000000000003</v>
      </c>
      <c r="N61">
        <v>119.33</v>
      </c>
      <c r="O61">
        <v>84.15</v>
      </c>
      <c r="P61">
        <v>40.020000000000003</v>
      </c>
      <c r="Q61">
        <v>123.4</v>
      </c>
      <c r="R61">
        <v>181.42</v>
      </c>
      <c r="S61">
        <v>60.34</v>
      </c>
      <c r="T61">
        <v>63.33</v>
      </c>
      <c r="U61">
        <v>55.48</v>
      </c>
      <c r="V61">
        <v>31.94</v>
      </c>
      <c r="W61">
        <v>84.86</v>
      </c>
      <c r="X61">
        <v>115.74</v>
      </c>
      <c r="Y61">
        <v>159.46</v>
      </c>
      <c r="Z61">
        <v>107.06</v>
      </c>
      <c r="AA61">
        <v>87.98</v>
      </c>
      <c r="AB61">
        <v>44.74</v>
      </c>
      <c r="AC61">
        <v>80.09</v>
      </c>
      <c r="AD61">
        <v>67.849999999999994</v>
      </c>
      <c r="AE61">
        <v>75.72</v>
      </c>
      <c r="AI61" s="2">
        <v>5000</v>
      </c>
      <c r="AJ61" s="2">
        <f t="shared" si="43"/>
        <v>1040</v>
      </c>
      <c r="AK61" s="2">
        <f t="shared" si="43"/>
        <v>1040</v>
      </c>
      <c r="AL61" s="2">
        <f t="shared" si="43"/>
        <v>1040</v>
      </c>
      <c r="AM61" s="2">
        <f t="shared" si="43"/>
        <v>1040</v>
      </c>
      <c r="AN61" s="2">
        <f t="shared" si="43"/>
        <v>1040</v>
      </c>
      <c r="AO61" s="2">
        <f t="shared" si="43"/>
        <v>1040</v>
      </c>
      <c r="AP61" s="2">
        <v>0</v>
      </c>
      <c r="AQ61" s="2">
        <v>1000</v>
      </c>
      <c r="AR61" s="2">
        <v>0</v>
      </c>
      <c r="AS61" s="2">
        <v>1000</v>
      </c>
      <c r="AT61" s="2">
        <v>1000</v>
      </c>
      <c r="AU61" s="2">
        <v>1000</v>
      </c>
      <c r="AV61" s="2">
        <v>1000</v>
      </c>
      <c r="AW61" s="2">
        <v>0</v>
      </c>
      <c r="AX61" s="2">
        <v>1000</v>
      </c>
      <c r="AY61" s="2">
        <v>1000</v>
      </c>
      <c r="AZ61" s="2">
        <v>1016</v>
      </c>
      <c r="BA61" s="2">
        <v>919</v>
      </c>
      <c r="BB61" s="2">
        <v>1072</v>
      </c>
      <c r="BC61" s="2">
        <v>-1000</v>
      </c>
      <c r="BD61" s="2">
        <v>1000</v>
      </c>
      <c r="BE61" s="2">
        <v>5000</v>
      </c>
      <c r="BF61" s="2">
        <v>3000</v>
      </c>
      <c r="BG61" s="2">
        <v>5000</v>
      </c>
      <c r="BH61" s="2">
        <v>2000</v>
      </c>
      <c r="BI61" s="2">
        <v>3000</v>
      </c>
      <c r="BJ61" s="2">
        <v>0</v>
      </c>
      <c r="BK61" s="2">
        <v>1000</v>
      </c>
      <c r="BL61" s="2">
        <v>1000</v>
      </c>
      <c r="BO61" s="2">
        <f t="shared" si="4"/>
        <v>0</v>
      </c>
      <c r="BP61" s="2">
        <f t="shared" si="11"/>
        <v>0</v>
      </c>
      <c r="BQ61" s="2">
        <f t="shared" si="12"/>
        <v>0</v>
      </c>
      <c r="BR61" s="2">
        <f t="shared" si="13"/>
        <v>0</v>
      </c>
      <c r="BS61" s="2">
        <f t="shared" si="14"/>
        <v>0</v>
      </c>
      <c r="BT61" s="2">
        <f t="shared" si="15"/>
        <v>0</v>
      </c>
      <c r="BU61" s="2">
        <f t="shared" si="16"/>
        <v>0</v>
      </c>
      <c r="BV61" s="2">
        <f t="shared" si="17"/>
        <v>0</v>
      </c>
      <c r="BW61" s="2">
        <f t="shared" si="18"/>
        <v>0</v>
      </c>
      <c r="BX61" s="2">
        <f t="shared" si="19"/>
        <v>0</v>
      </c>
      <c r="BY61" s="2">
        <f t="shared" si="20"/>
        <v>0</v>
      </c>
      <c r="BZ61" s="2">
        <f t="shared" si="21"/>
        <v>0</v>
      </c>
      <c r="CA61" s="2">
        <f t="shared" si="22"/>
        <v>0</v>
      </c>
      <c r="CB61" s="2">
        <f t="shared" si="23"/>
        <v>0</v>
      </c>
      <c r="CC61" s="2">
        <f t="shared" si="24"/>
        <v>0</v>
      </c>
      <c r="CD61" s="2">
        <f t="shared" si="25"/>
        <v>0</v>
      </c>
      <c r="CE61" s="2">
        <f t="shared" si="26"/>
        <v>0</v>
      </c>
      <c r="CF61" s="2">
        <f t="shared" si="27"/>
        <v>-1629.18</v>
      </c>
      <c r="CG61" s="2">
        <f t="shared" si="28"/>
        <v>1899.8999999999999</v>
      </c>
      <c r="CH61" s="2">
        <f t="shared" si="29"/>
        <v>-8377.48</v>
      </c>
      <c r="CI61" s="2">
        <f t="shared" si="30"/>
        <v>0</v>
      </c>
      <c r="CJ61" s="2">
        <f t="shared" si="31"/>
        <v>0</v>
      </c>
      <c r="CK61" s="2">
        <f t="shared" si="32"/>
        <v>0</v>
      </c>
      <c r="CL61" s="2">
        <f t="shared" si="33"/>
        <v>0</v>
      </c>
      <c r="CM61" s="2">
        <f t="shared" si="5"/>
        <v>0</v>
      </c>
      <c r="CN61" s="2">
        <f t="shared" si="6"/>
        <v>43990</v>
      </c>
      <c r="CO61" s="2">
        <f t="shared" si="7"/>
        <v>0</v>
      </c>
      <c r="CP61" s="2">
        <f t="shared" si="8"/>
        <v>0</v>
      </c>
      <c r="CQ61" s="2">
        <f t="shared" si="9"/>
        <v>0</v>
      </c>
      <c r="CR61" s="2">
        <f t="shared" si="10"/>
        <v>0</v>
      </c>
      <c r="CV61" t="s">
        <v>64</v>
      </c>
      <c r="CW61" t="s">
        <v>134</v>
      </c>
      <c r="CX61" t="s">
        <v>1</v>
      </c>
      <c r="CY61" s="4">
        <v>43430</v>
      </c>
      <c r="CZ61" t="s">
        <v>67</v>
      </c>
      <c r="DA61" t="s">
        <v>68</v>
      </c>
      <c r="DB61">
        <v>2500</v>
      </c>
      <c r="DC61">
        <v>173.87</v>
      </c>
      <c r="DD61" t="s">
        <v>69</v>
      </c>
      <c r="DE61" t="s">
        <v>70</v>
      </c>
      <c r="DF61">
        <v>434675</v>
      </c>
    </row>
    <row r="62" spans="1:110" x14ac:dyDescent="0.25">
      <c r="A62" s="1">
        <v>42824</v>
      </c>
      <c r="B62">
        <v>139.56</v>
      </c>
      <c r="C62">
        <v>77.13</v>
      </c>
      <c r="D62">
        <v>170.42</v>
      </c>
      <c r="E62">
        <v>88.68</v>
      </c>
      <c r="F62">
        <v>31.64</v>
      </c>
      <c r="G62">
        <v>99.76</v>
      </c>
      <c r="H62">
        <v>109.71</v>
      </c>
      <c r="I62">
        <v>1</v>
      </c>
      <c r="J62">
        <v>225.83</v>
      </c>
      <c r="K62">
        <v>141.32</v>
      </c>
      <c r="L62">
        <v>159.53</v>
      </c>
      <c r="M62">
        <v>33.94</v>
      </c>
      <c r="N62">
        <v>119.08</v>
      </c>
      <c r="O62">
        <v>84.88</v>
      </c>
      <c r="P62">
        <v>40.19</v>
      </c>
      <c r="Q62">
        <v>123.86</v>
      </c>
      <c r="R62">
        <v>181.99</v>
      </c>
      <c r="S62">
        <v>60.16</v>
      </c>
      <c r="T62">
        <v>63.56</v>
      </c>
      <c r="U62">
        <v>54.85</v>
      </c>
      <c r="V62">
        <v>31.96</v>
      </c>
      <c r="W62">
        <v>84.49</v>
      </c>
      <c r="X62">
        <v>116.22</v>
      </c>
      <c r="Y62">
        <v>160.97</v>
      </c>
      <c r="Z62">
        <v>107.44</v>
      </c>
      <c r="AA62">
        <v>87.81</v>
      </c>
      <c r="AB62">
        <v>44.68</v>
      </c>
      <c r="AC62">
        <v>79.650000000000006</v>
      </c>
      <c r="AD62">
        <v>68.67</v>
      </c>
      <c r="AE62">
        <v>77.27</v>
      </c>
      <c r="AI62" s="2">
        <v>5000</v>
      </c>
      <c r="AJ62" s="2">
        <f t="shared" si="43"/>
        <v>1040</v>
      </c>
      <c r="AK62" s="2">
        <f t="shared" si="43"/>
        <v>1040</v>
      </c>
      <c r="AL62" s="2">
        <f t="shared" si="43"/>
        <v>1040</v>
      </c>
      <c r="AM62" s="2">
        <f t="shared" si="43"/>
        <v>1040</v>
      </c>
      <c r="AN62" s="2">
        <f t="shared" si="43"/>
        <v>1040</v>
      </c>
      <c r="AO62" s="2">
        <f t="shared" si="43"/>
        <v>1040</v>
      </c>
      <c r="AP62" s="2">
        <v>0</v>
      </c>
      <c r="AQ62" s="2">
        <v>1000</v>
      </c>
      <c r="AR62" s="2">
        <v>0</v>
      </c>
      <c r="AS62" s="2">
        <v>1000</v>
      </c>
      <c r="AT62" s="2">
        <v>1000</v>
      </c>
      <c r="AU62" s="2">
        <v>1000</v>
      </c>
      <c r="AV62" s="2">
        <v>1000</v>
      </c>
      <c r="AW62" s="2">
        <v>0</v>
      </c>
      <c r="AX62" s="2">
        <v>1000</v>
      </c>
      <c r="AY62" s="2">
        <v>1000</v>
      </c>
      <c r="AZ62" s="2">
        <v>1039</v>
      </c>
      <c r="BA62" s="2">
        <v>958</v>
      </c>
      <c r="BB62" s="2">
        <v>1008</v>
      </c>
      <c r="BC62" s="2">
        <v>-1000</v>
      </c>
      <c r="BD62" s="2">
        <v>1000</v>
      </c>
      <c r="BE62" s="2">
        <v>5000</v>
      </c>
      <c r="BF62" s="2">
        <v>3000</v>
      </c>
      <c r="BG62" s="2">
        <v>5000</v>
      </c>
      <c r="BH62" s="2">
        <v>2500</v>
      </c>
      <c r="BI62" s="2">
        <v>3000</v>
      </c>
      <c r="BJ62" s="2">
        <v>0</v>
      </c>
      <c r="BK62" s="2">
        <v>1000</v>
      </c>
      <c r="BL62" s="2">
        <v>1000</v>
      </c>
      <c r="BO62" s="2">
        <f t="shared" si="4"/>
        <v>0</v>
      </c>
      <c r="BP62" s="2">
        <f t="shared" si="11"/>
        <v>0</v>
      </c>
      <c r="BQ62" s="2">
        <f t="shared" si="12"/>
        <v>0</v>
      </c>
      <c r="BR62" s="2">
        <f t="shared" si="13"/>
        <v>0</v>
      </c>
      <c r="BS62" s="2">
        <f t="shared" si="14"/>
        <v>0</v>
      </c>
      <c r="BT62" s="2">
        <f t="shared" si="15"/>
        <v>0</v>
      </c>
      <c r="BU62" s="2">
        <f t="shared" si="16"/>
        <v>0</v>
      </c>
      <c r="BV62" s="2">
        <f t="shared" si="17"/>
        <v>0</v>
      </c>
      <c r="BW62" s="2">
        <f t="shared" si="18"/>
        <v>0</v>
      </c>
      <c r="BX62" s="2">
        <f t="shared" si="19"/>
        <v>0</v>
      </c>
      <c r="BY62" s="2">
        <f t="shared" si="20"/>
        <v>0</v>
      </c>
      <c r="BZ62" s="2">
        <f t="shared" si="21"/>
        <v>0</v>
      </c>
      <c r="CA62" s="2">
        <f t="shared" si="22"/>
        <v>0</v>
      </c>
      <c r="CB62" s="2">
        <f t="shared" si="23"/>
        <v>0</v>
      </c>
      <c r="CC62" s="2">
        <f t="shared" si="24"/>
        <v>0</v>
      </c>
      <c r="CD62" s="2">
        <f t="shared" si="25"/>
        <v>0</v>
      </c>
      <c r="CE62" s="2">
        <f t="shared" si="26"/>
        <v>0</v>
      </c>
      <c r="CF62" s="2">
        <f t="shared" si="27"/>
        <v>-1383.6799999999998</v>
      </c>
      <c r="CG62" s="2">
        <f t="shared" si="28"/>
        <v>-2478.84</v>
      </c>
      <c r="CH62" s="2">
        <f t="shared" si="29"/>
        <v>3510.4</v>
      </c>
      <c r="CI62" s="2">
        <f t="shared" si="30"/>
        <v>0</v>
      </c>
      <c r="CJ62" s="2">
        <f t="shared" si="31"/>
        <v>0</v>
      </c>
      <c r="CK62" s="2">
        <f t="shared" si="32"/>
        <v>0</v>
      </c>
      <c r="CL62" s="2">
        <f t="shared" si="33"/>
        <v>0</v>
      </c>
      <c r="CM62" s="2">
        <f t="shared" si="5"/>
        <v>0</v>
      </c>
      <c r="CN62" s="2">
        <f t="shared" si="6"/>
        <v>-43905</v>
      </c>
      <c r="CO62" s="2">
        <f t="shared" si="7"/>
        <v>0</v>
      </c>
      <c r="CP62" s="2">
        <f t="shared" si="8"/>
        <v>0</v>
      </c>
      <c r="CQ62" s="2">
        <f t="shared" si="9"/>
        <v>0</v>
      </c>
      <c r="CR62" s="2">
        <f t="shared" si="10"/>
        <v>0</v>
      </c>
      <c r="CV62" t="s">
        <v>64</v>
      </c>
      <c r="CW62" t="s">
        <v>135</v>
      </c>
      <c r="CX62" t="s">
        <v>1</v>
      </c>
      <c r="CY62" s="4">
        <v>43432</v>
      </c>
      <c r="CZ62" t="s">
        <v>65</v>
      </c>
      <c r="DA62" t="s">
        <v>66</v>
      </c>
      <c r="DB62">
        <v>5000</v>
      </c>
      <c r="DC62">
        <v>180.17</v>
      </c>
      <c r="DD62" t="s">
        <v>69</v>
      </c>
      <c r="DE62" t="s">
        <v>70</v>
      </c>
      <c r="DF62">
        <v>900849.99999999988</v>
      </c>
    </row>
    <row r="63" spans="1:110" x14ac:dyDescent="0.25">
      <c r="A63" s="1">
        <v>42825</v>
      </c>
      <c r="B63">
        <v>139.30000000000001</v>
      </c>
      <c r="C63">
        <v>77.03</v>
      </c>
      <c r="D63">
        <v>169.35</v>
      </c>
      <c r="E63">
        <v>88.24</v>
      </c>
      <c r="F63">
        <v>31.7</v>
      </c>
      <c r="G63">
        <v>99.38</v>
      </c>
      <c r="H63">
        <v>109.91</v>
      </c>
      <c r="I63">
        <v>1</v>
      </c>
      <c r="J63">
        <v>224.36</v>
      </c>
      <c r="K63">
        <v>141.21</v>
      </c>
      <c r="L63">
        <v>159.79</v>
      </c>
      <c r="M63">
        <v>34.24</v>
      </c>
      <c r="N63">
        <v>118.97</v>
      </c>
      <c r="O63">
        <v>83.74</v>
      </c>
      <c r="P63">
        <v>40.04</v>
      </c>
      <c r="Q63">
        <v>124.14</v>
      </c>
      <c r="R63">
        <v>182.04</v>
      </c>
      <c r="S63">
        <v>60.25</v>
      </c>
      <c r="T63">
        <v>63.71</v>
      </c>
      <c r="U63">
        <v>54.55</v>
      </c>
      <c r="V63">
        <v>31.83</v>
      </c>
      <c r="W63">
        <v>84.16</v>
      </c>
      <c r="X63">
        <v>115.75</v>
      </c>
      <c r="Y63">
        <v>160.01</v>
      </c>
      <c r="Z63">
        <v>107.21</v>
      </c>
      <c r="AA63">
        <v>87.68</v>
      </c>
      <c r="AB63">
        <v>44.4</v>
      </c>
      <c r="AC63">
        <v>79.400000000000006</v>
      </c>
      <c r="AD63">
        <v>69.14</v>
      </c>
      <c r="AE63">
        <v>75.709999999999994</v>
      </c>
      <c r="AI63" s="2">
        <v>5000</v>
      </c>
      <c r="AJ63" s="2">
        <f t="shared" si="43"/>
        <v>1040</v>
      </c>
      <c r="AK63" s="2">
        <f t="shared" si="43"/>
        <v>1040</v>
      </c>
      <c r="AL63" s="2">
        <f t="shared" si="43"/>
        <v>1040</v>
      </c>
      <c r="AM63" s="2">
        <f t="shared" si="43"/>
        <v>1040</v>
      </c>
      <c r="AN63" s="2">
        <f t="shared" si="43"/>
        <v>1040</v>
      </c>
      <c r="AO63" s="2">
        <f t="shared" si="43"/>
        <v>1040</v>
      </c>
      <c r="AP63" s="2">
        <v>0</v>
      </c>
      <c r="AQ63" s="2">
        <v>1000</v>
      </c>
      <c r="AR63" s="2">
        <v>0</v>
      </c>
      <c r="AS63" s="2">
        <v>1000</v>
      </c>
      <c r="AT63" s="2">
        <v>1000</v>
      </c>
      <c r="AU63" s="2">
        <v>1000</v>
      </c>
      <c r="AV63" s="2">
        <v>1000</v>
      </c>
      <c r="AW63" s="2">
        <v>0</v>
      </c>
      <c r="AX63" s="2">
        <v>1000</v>
      </c>
      <c r="AY63" s="2">
        <v>1000</v>
      </c>
      <c r="AZ63" s="2">
        <v>987</v>
      </c>
      <c r="BA63" s="2">
        <v>1053</v>
      </c>
      <c r="BB63" s="2">
        <v>988</v>
      </c>
      <c r="BC63" s="2">
        <v>-1000</v>
      </c>
      <c r="BD63" s="2">
        <v>1000</v>
      </c>
      <c r="BE63" s="2">
        <v>5000</v>
      </c>
      <c r="BF63" s="2">
        <v>3000</v>
      </c>
      <c r="BG63" s="2">
        <v>5000</v>
      </c>
      <c r="BH63" s="2">
        <v>4000</v>
      </c>
      <c r="BI63" s="2">
        <v>3000</v>
      </c>
      <c r="BJ63" s="2">
        <v>0</v>
      </c>
      <c r="BK63" s="2">
        <v>1000</v>
      </c>
      <c r="BL63" s="2">
        <v>1000</v>
      </c>
      <c r="BO63" s="2">
        <f t="shared" si="4"/>
        <v>0</v>
      </c>
      <c r="BP63" s="2">
        <f t="shared" si="11"/>
        <v>0</v>
      </c>
      <c r="BQ63" s="2">
        <f t="shared" si="12"/>
        <v>0</v>
      </c>
      <c r="BR63" s="2">
        <f t="shared" si="13"/>
        <v>0</v>
      </c>
      <c r="BS63" s="2">
        <f t="shared" si="14"/>
        <v>0</v>
      </c>
      <c r="BT63" s="2">
        <f t="shared" si="15"/>
        <v>0</v>
      </c>
      <c r="BU63" s="2">
        <f t="shared" si="16"/>
        <v>0</v>
      </c>
      <c r="BV63" s="2">
        <f t="shared" si="17"/>
        <v>0</v>
      </c>
      <c r="BW63" s="2">
        <f t="shared" si="18"/>
        <v>0</v>
      </c>
      <c r="BX63" s="2">
        <f t="shared" si="19"/>
        <v>0</v>
      </c>
      <c r="BY63" s="2">
        <f t="shared" si="20"/>
        <v>0</v>
      </c>
      <c r="BZ63" s="2">
        <f t="shared" si="21"/>
        <v>0</v>
      </c>
      <c r="CA63" s="2">
        <f t="shared" si="22"/>
        <v>0</v>
      </c>
      <c r="CB63" s="2">
        <f t="shared" si="23"/>
        <v>0</v>
      </c>
      <c r="CC63" s="2">
        <f t="shared" si="24"/>
        <v>0</v>
      </c>
      <c r="CD63" s="2">
        <f t="shared" si="25"/>
        <v>0</v>
      </c>
      <c r="CE63" s="2">
        <f t="shared" si="26"/>
        <v>0</v>
      </c>
      <c r="CF63" s="2">
        <f t="shared" si="27"/>
        <v>3133</v>
      </c>
      <c r="CG63" s="2">
        <f t="shared" si="28"/>
        <v>-6052.45</v>
      </c>
      <c r="CH63" s="2">
        <f t="shared" si="29"/>
        <v>1091</v>
      </c>
      <c r="CI63" s="2">
        <f t="shared" si="30"/>
        <v>0</v>
      </c>
      <c r="CJ63" s="2">
        <f t="shared" si="31"/>
        <v>0</v>
      </c>
      <c r="CK63" s="2">
        <f t="shared" si="32"/>
        <v>0</v>
      </c>
      <c r="CL63" s="2">
        <f t="shared" si="33"/>
        <v>0</v>
      </c>
      <c r="CM63" s="2">
        <f t="shared" si="5"/>
        <v>0</v>
      </c>
      <c r="CN63" s="2">
        <f t="shared" si="6"/>
        <v>-131520</v>
      </c>
      <c r="CO63" s="2">
        <f t="shared" si="7"/>
        <v>0</v>
      </c>
      <c r="CP63" s="2">
        <f t="shared" si="8"/>
        <v>0</v>
      </c>
      <c r="CQ63" s="2">
        <f t="shared" si="9"/>
        <v>0</v>
      </c>
      <c r="CR63" s="2">
        <f t="shared" si="10"/>
        <v>0</v>
      </c>
      <c r="CV63" t="s">
        <v>64</v>
      </c>
      <c r="CW63" t="s">
        <v>136</v>
      </c>
      <c r="CX63" t="s">
        <v>1</v>
      </c>
      <c r="CY63" s="4">
        <v>43433</v>
      </c>
      <c r="CZ63" t="s">
        <v>65</v>
      </c>
      <c r="DA63" t="s">
        <v>66</v>
      </c>
      <c r="DB63">
        <v>2500</v>
      </c>
      <c r="DC63">
        <v>178.78</v>
      </c>
      <c r="DD63" t="s">
        <v>69</v>
      </c>
      <c r="DE63" t="s">
        <v>70</v>
      </c>
      <c r="DF63">
        <v>446950</v>
      </c>
    </row>
    <row r="64" spans="1:110" x14ac:dyDescent="0.25">
      <c r="A64" s="1">
        <v>42828</v>
      </c>
      <c r="B64">
        <v>139.34</v>
      </c>
      <c r="C64">
        <v>76.52</v>
      </c>
      <c r="D64">
        <v>169.15</v>
      </c>
      <c r="E64">
        <v>87.78</v>
      </c>
      <c r="F64">
        <v>31.49</v>
      </c>
      <c r="G64">
        <v>99.78</v>
      </c>
      <c r="H64">
        <v>109.73</v>
      </c>
      <c r="I64">
        <v>1</v>
      </c>
      <c r="J64">
        <v>223.62</v>
      </c>
      <c r="K64">
        <v>141</v>
      </c>
      <c r="L64">
        <v>160.12</v>
      </c>
      <c r="M64">
        <v>34.33</v>
      </c>
      <c r="N64">
        <v>119.11</v>
      </c>
      <c r="O64">
        <v>83.44</v>
      </c>
      <c r="P64">
        <v>40.01</v>
      </c>
      <c r="Q64">
        <v>124.14</v>
      </c>
      <c r="R64">
        <v>181.46</v>
      </c>
      <c r="S64">
        <v>60.18</v>
      </c>
      <c r="T64">
        <v>63.41</v>
      </c>
      <c r="U64">
        <v>54.38</v>
      </c>
      <c r="V64">
        <v>31.85</v>
      </c>
      <c r="W64">
        <v>84</v>
      </c>
      <c r="X64">
        <v>115.6</v>
      </c>
      <c r="Y64">
        <v>161.55000000000001</v>
      </c>
      <c r="Z64">
        <v>106.94</v>
      </c>
      <c r="AA64">
        <v>88.16</v>
      </c>
      <c r="AB64">
        <v>44.79</v>
      </c>
      <c r="AC64">
        <v>79.31</v>
      </c>
      <c r="AD64">
        <v>68.900000000000006</v>
      </c>
      <c r="AE64">
        <v>75.77</v>
      </c>
      <c r="AI64" s="2">
        <v>5000</v>
      </c>
      <c r="AJ64" s="2">
        <f t="shared" si="43"/>
        <v>1040</v>
      </c>
      <c r="AK64" s="2">
        <f t="shared" si="43"/>
        <v>1040</v>
      </c>
      <c r="AL64" s="2">
        <f t="shared" si="43"/>
        <v>1040</v>
      </c>
      <c r="AM64" s="2">
        <f t="shared" si="43"/>
        <v>1040</v>
      </c>
      <c r="AN64" s="2">
        <f t="shared" si="43"/>
        <v>1040</v>
      </c>
      <c r="AO64" s="2">
        <f t="shared" si="43"/>
        <v>1040</v>
      </c>
      <c r="AP64" s="2">
        <v>0</v>
      </c>
      <c r="AQ64" s="2">
        <v>1000</v>
      </c>
      <c r="AR64" s="2">
        <v>0</v>
      </c>
      <c r="AS64" s="2">
        <v>1000</v>
      </c>
      <c r="AT64" s="2">
        <v>1000</v>
      </c>
      <c r="AU64" s="2">
        <v>1000</v>
      </c>
      <c r="AV64" s="2">
        <v>1000</v>
      </c>
      <c r="AW64" s="2">
        <v>0</v>
      </c>
      <c r="AX64" s="2">
        <v>1000</v>
      </c>
      <c r="AY64" s="2">
        <v>1000</v>
      </c>
      <c r="AZ64" s="2">
        <v>1026</v>
      </c>
      <c r="BA64" s="2">
        <v>972</v>
      </c>
      <c r="BB64" s="2">
        <v>1026</v>
      </c>
      <c r="BC64" s="2">
        <v>-1000</v>
      </c>
      <c r="BD64" s="2">
        <v>1000</v>
      </c>
      <c r="BE64" s="2">
        <v>5000</v>
      </c>
      <c r="BF64" s="2">
        <v>3000</v>
      </c>
      <c r="BG64" s="2">
        <v>5000</v>
      </c>
      <c r="BH64" s="2">
        <v>4000</v>
      </c>
      <c r="BI64" s="2">
        <v>3000</v>
      </c>
      <c r="BJ64" s="2">
        <v>0</v>
      </c>
      <c r="BK64" s="2">
        <v>1000</v>
      </c>
      <c r="BL64" s="2">
        <v>1000</v>
      </c>
      <c r="BO64" s="2">
        <f t="shared" si="4"/>
        <v>0</v>
      </c>
      <c r="BP64" s="2">
        <f t="shared" si="11"/>
        <v>0</v>
      </c>
      <c r="BQ64" s="2">
        <f t="shared" si="12"/>
        <v>0</v>
      </c>
      <c r="BR64" s="2">
        <f t="shared" si="13"/>
        <v>0</v>
      </c>
      <c r="BS64" s="2">
        <f t="shared" si="14"/>
        <v>0</v>
      </c>
      <c r="BT64" s="2">
        <f t="shared" si="15"/>
        <v>0</v>
      </c>
      <c r="BU64" s="2">
        <f t="shared" si="16"/>
        <v>0</v>
      </c>
      <c r="BV64" s="2">
        <f t="shared" si="17"/>
        <v>0</v>
      </c>
      <c r="BW64" s="2">
        <f t="shared" si="18"/>
        <v>0</v>
      </c>
      <c r="BX64" s="2">
        <f t="shared" si="19"/>
        <v>0</v>
      </c>
      <c r="BY64" s="2">
        <f t="shared" si="20"/>
        <v>0</v>
      </c>
      <c r="BZ64" s="2">
        <f t="shared" si="21"/>
        <v>0</v>
      </c>
      <c r="CA64" s="2">
        <f t="shared" si="22"/>
        <v>0</v>
      </c>
      <c r="CB64" s="2">
        <f t="shared" si="23"/>
        <v>0</v>
      </c>
      <c r="CC64" s="2">
        <f t="shared" si="24"/>
        <v>0</v>
      </c>
      <c r="CD64" s="2">
        <f t="shared" si="25"/>
        <v>0</v>
      </c>
      <c r="CE64" s="2">
        <f t="shared" si="26"/>
        <v>0</v>
      </c>
      <c r="CF64" s="2">
        <f t="shared" si="27"/>
        <v>-2347.02</v>
      </c>
      <c r="CG64" s="2">
        <f t="shared" si="28"/>
        <v>5136.21</v>
      </c>
      <c r="CH64" s="2">
        <f t="shared" si="29"/>
        <v>-2066.44</v>
      </c>
      <c r="CI64" s="2">
        <f t="shared" si="30"/>
        <v>0</v>
      </c>
      <c r="CJ64" s="2">
        <f t="shared" si="31"/>
        <v>0</v>
      </c>
      <c r="CK64" s="2">
        <f t="shared" si="32"/>
        <v>0</v>
      </c>
      <c r="CL64" s="2">
        <f t="shared" si="33"/>
        <v>0</v>
      </c>
      <c r="CM64" s="2">
        <f t="shared" si="5"/>
        <v>0</v>
      </c>
      <c r="CN64" s="2">
        <f t="shared" si="6"/>
        <v>0</v>
      </c>
      <c r="CO64" s="2">
        <f t="shared" si="7"/>
        <v>0</v>
      </c>
      <c r="CP64" s="2">
        <f t="shared" si="8"/>
        <v>0</v>
      </c>
      <c r="CQ64" s="2">
        <f t="shared" si="9"/>
        <v>0</v>
      </c>
      <c r="CR64" s="2">
        <f t="shared" si="10"/>
        <v>0</v>
      </c>
      <c r="CV64" t="s">
        <v>64</v>
      </c>
      <c r="CW64" t="s">
        <v>137</v>
      </c>
      <c r="CX64" t="s">
        <v>2</v>
      </c>
      <c r="CY64" s="4">
        <v>42738</v>
      </c>
      <c r="CZ64" t="s">
        <v>65</v>
      </c>
      <c r="DA64" t="s">
        <v>66</v>
      </c>
      <c r="DB64">
        <v>1000</v>
      </c>
      <c r="DC64">
        <v>73.06</v>
      </c>
      <c r="DD64" t="s">
        <v>69</v>
      </c>
      <c r="DE64" t="s">
        <v>70</v>
      </c>
      <c r="DF64">
        <v>73060</v>
      </c>
    </row>
    <row r="65" spans="1:110" x14ac:dyDescent="0.25">
      <c r="A65" s="1">
        <v>42829</v>
      </c>
      <c r="B65">
        <v>140.38</v>
      </c>
      <c r="C65">
        <v>76.2</v>
      </c>
      <c r="D65">
        <v>171.11</v>
      </c>
      <c r="E65">
        <v>89.54</v>
      </c>
      <c r="F65">
        <v>31.6</v>
      </c>
      <c r="G65">
        <v>100.58</v>
      </c>
      <c r="H65">
        <v>109.57</v>
      </c>
      <c r="I65">
        <v>1</v>
      </c>
      <c r="J65">
        <v>223.92</v>
      </c>
      <c r="K65">
        <v>140.72999999999999</v>
      </c>
      <c r="L65">
        <v>160.13999999999999</v>
      </c>
      <c r="M65">
        <v>34.44</v>
      </c>
      <c r="N65">
        <v>119.1</v>
      </c>
      <c r="O65">
        <v>83.71</v>
      </c>
      <c r="P65">
        <v>40.26</v>
      </c>
      <c r="Q65">
        <v>123.83</v>
      </c>
      <c r="R65">
        <v>180.95</v>
      </c>
      <c r="S65">
        <v>60.37</v>
      </c>
      <c r="T65">
        <v>63.58</v>
      </c>
      <c r="U65">
        <v>53.88</v>
      </c>
      <c r="V65">
        <v>31.95</v>
      </c>
      <c r="W65">
        <v>84.22</v>
      </c>
      <c r="X65">
        <v>115.82</v>
      </c>
      <c r="Y65">
        <v>160.94999999999999</v>
      </c>
      <c r="Z65">
        <v>107.95</v>
      </c>
      <c r="AA65">
        <v>87.59</v>
      </c>
      <c r="AB65">
        <v>44.91</v>
      </c>
      <c r="AC65">
        <v>78.88</v>
      </c>
      <c r="AD65">
        <v>69.069999999999993</v>
      </c>
      <c r="AE65">
        <v>76.040000000000006</v>
      </c>
      <c r="AI65" s="2">
        <v>5000</v>
      </c>
      <c r="AJ65" s="2">
        <f t="shared" si="43"/>
        <v>1040</v>
      </c>
      <c r="AK65" s="2">
        <f t="shared" si="43"/>
        <v>1040</v>
      </c>
      <c r="AL65" s="2">
        <f t="shared" si="43"/>
        <v>1040</v>
      </c>
      <c r="AM65" s="2">
        <f t="shared" si="43"/>
        <v>1040</v>
      </c>
      <c r="AN65" s="2">
        <f t="shared" si="43"/>
        <v>1040</v>
      </c>
      <c r="AO65" s="2">
        <f t="shared" si="43"/>
        <v>1040</v>
      </c>
      <c r="AP65" s="2">
        <v>0</v>
      </c>
      <c r="AQ65" s="2">
        <v>1000</v>
      </c>
      <c r="AR65" s="2">
        <v>0</v>
      </c>
      <c r="AS65" s="2">
        <v>1000</v>
      </c>
      <c r="AT65" s="2">
        <v>1000</v>
      </c>
      <c r="AU65" s="2">
        <v>1000</v>
      </c>
      <c r="AV65" s="2">
        <v>1000</v>
      </c>
      <c r="AW65" s="2">
        <v>0</v>
      </c>
      <c r="AX65" s="2">
        <v>1000</v>
      </c>
      <c r="AY65" s="2">
        <v>1000</v>
      </c>
      <c r="AZ65" s="2">
        <v>1007</v>
      </c>
      <c r="BA65" s="2">
        <v>1083</v>
      </c>
      <c r="BB65" s="2">
        <v>1090</v>
      </c>
      <c r="BC65" s="2">
        <v>-1000</v>
      </c>
      <c r="BD65" s="2">
        <v>1000</v>
      </c>
      <c r="BE65" s="2">
        <v>5000</v>
      </c>
      <c r="BF65" s="2">
        <v>3000</v>
      </c>
      <c r="BG65" s="2">
        <v>5000</v>
      </c>
      <c r="BH65" s="2">
        <v>4000</v>
      </c>
      <c r="BI65" s="2">
        <v>3000</v>
      </c>
      <c r="BJ65" s="2">
        <v>0</v>
      </c>
      <c r="BK65" s="2">
        <v>1000</v>
      </c>
      <c r="BL65" s="2">
        <v>1000</v>
      </c>
      <c r="BO65" s="2">
        <f t="shared" si="4"/>
        <v>0</v>
      </c>
      <c r="BP65" s="2">
        <f t="shared" si="11"/>
        <v>0</v>
      </c>
      <c r="BQ65" s="2">
        <f t="shared" si="12"/>
        <v>0</v>
      </c>
      <c r="BR65" s="2">
        <f t="shared" si="13"/>
        <v>0</v>
      </c>
      <c r="BS65" s="2">
        <f t="shared" si="14"/>
        <v>0</v>
      </c>
      <c r="BT65" s="2">
        <f t="shared" si="15"/>
        <v>0</v>
      </c>
      <c r="BU65" s="2">
        <f t="shared" si="16"/>
        <v>0</v>
      </c>
      <c r="BV65" s="2">
        <f t="shared" si="17"/>
        <v>0</v>
      </c>
      <c r="BW65" s="2">
        <f t="shared" si="18"/>
        <v>0</v>
      </c>
      <c r="BX65" s="2">
        <f t="shared" si="19"/>
        <v>0</v>
      </c>
      <c r="BY65" s="2">
        <f t="shared" si="20"/>
        <v>0</v>
      </c>
      <c r="BZ65" s="2">
        <f t="shared" si="21"/>
        <v>0</v>
      </c>
      <c r="CA65" s="2">
        <f t="shared" si="22"/>
        <v>0</v>
      </c>
      <c r="CB65" s="2">
        <f t="shared" si="23"/>
        <v>0</v>
      </c>
      <c r="CC65" s="2">
        <f t="shared" si="24"/>
        <v>0</v>
      </c>
      <c r="CD65" s="2">
        <f t="shared" si="25"/>
        <v>0</v>
      </c>
      <c r="CE65" s="2">
        <f t="shared" si="26"/>
        <v>0</v>
      </c>
      <c r="CF65" s="2">
        <f t="shared" si="27"/>
        <v>1147.03</v>
      </c>
      <c r="CG65" s="2">
        <f t="shared" si="28"/>
        <v>-7057.38</v>
      </c>
      <c r="CH65" s="2">
        <f t="shared" si="29"/>
        <v>-3448.32</v>
      </c>
      <c r="CI65" s="2">
        <f t="shared" si="30"/>
        <v>0</v>
      </c>
      <c r="CJ65" s="2">
        <f t="shared" si="31"/>
        <v>0</v>
      </c>
      <c r="CK65" s="2">
        <f t="shared" si="32"/>
        <v>0</v>
      </c>
      <c r="CL65" s="2">
        <f t="shared" si="33"/>
        <v>0</v>
      </c>
      <c r="CM65" s="2">
        <f t="shared" si="5"/>
        <v>0</v>
      </c>
      <c r="CN65" s="2">
        <f t="shared" si="6"/>
        <v>0</v>
      </c>
      <c r="CO65" s="2">
        <f t="shared" si="7"/>
        <v>0</v>
      </c>
      <c r="CP65" s="2">
        <f t="shared" si="8"/>
        <v>0</v>
      </c>
      <c r="CQ65" s="2">
        <f t="shared" si="9"/>
        <v>0</v>
      </c>
      <c r="CR65" s="2">
        <f t="shared" si="10"/>
        <v>0</v>
      </c>
      <c r="CV65" t="s">
        <v>64</v>
      </c>
      <c r="CW65" t="s">
        <v>138</v>
      </c>
      <c r="CX65" t="s">
        <v>2</v>
      </c>
      <c r="CY65" s="4">
        <v>42759</v>
      </c>
      <c r="CZ65" t="s">
        <v>65</v>
      </c>
      <c r="DA65" t="s">
        <v>66</v>
      </c>
      <c r="DB65">
        <v>10</v>
      </c>
      <c r="DC65">
        <v>75.39</v>
      </c>
      <c r="DD65" t="s">
        <v>69</v>
      </c>
      <c r="DE65" t="s">
        <v>70</v>
      </c>
      <c r="DF65">
        <v>753.9</v>
      </c>
    </row>
    <row r="66" spans="1:110" x14ac:dyDescent="0.25">
      <c r="A66" s="1">
        <v>42830</v>
      </c>
      <c r="B66">
        <v>139.65</v>
      </c>
      <c r="C66">
        <v>76.03</v>
      </c>
      <c r="D66">
        <v>169.56</v>
      </c>
      <c r="E66">
        <v>89.65</v>
      </c>
      <c r="F66">
        <v>31.22</v>
      </c>
      <c r="G66">
        <v>100.56</v>
      </c>
      <c r="H66">
        <v>109.53</v>
      </c>
      <c r="I66">
        <v>1</v>
      </c>
      <c r="J66">
        <v>222.35</v>
      </c>
      <c r="K66">
        <v>141.02000000000001</v>
      </c>
      <c r="L66">
        <v>158.63</v>
      </c>
      <c r="M66">
        <v>34.39</v>
      </c>
      <c r="N66">
        <v>119.21</v>
      </c>
      <c r="O66">
        <v>82.64</v>
      </c>
      <c r="P66">
        <v>40.159999999999997</v>
      </c>
      <c r="Q66">
        <v>124.91</v>
      </c>
      <c r="R66">
        <v>181</v>
      </c>
      <c r="S66">
        <v>60.28</v>
      </c>
      <c r="T66">
        <v>63.42</v>
      </c>
      <c r="U66">
        <v>53.82</v>
      </c>
      <c r="V66">
        <v>31.81</v>
      </c>
      <c r="W66">
        <v>84.27</v>
      </c>
      <c r="X66">
        <v>116.11</v>
      </c>
      <c r="Y66">
        <v>161.34</v>
      </c>
      <c r="Z66">
        <v>107.48</v>
      </c>
      <c r="AA66">
        <v>87.83</v>
      </c>
      <c r="AB66">
        <v>44.64</v>
      </c>
      <c r="AC66">
        <v>77.599999999999994</v>
      </c>
      <c r="AD66">
        <v>68.73</v>
      </c>
      <c r="AE66">
        <v>76.19</v>
      </c>
      <c r="AI66" s="2">
        <v>5000</v>
      </c>
      <c r="AJ66" s="2">
        <f t="shared" si="43"/>
        <v>1040</v>
      </c>
      <c r="AK66" s="2">
        <f t="shared" si="43"/>
        <v>1040</v>
      </c>
      <c r="AL66" s="2">
        <f t="shared" si="43"/>
        <v>1040</v>
      </c>
      <c r="AM66" s="2">
        <f t="shared" si="43"/>
        <v>1040</v>
      </c>
      <c r="AN66" s="2">
        <f t="shared" si="43"/>
        <v>1040</v>
      </c>
      <c r="AO66" s="2">
        <f t="shared" si="43"/>
        <v>1040</v>
      </c>
      <c r="AP66" s="2">
        <v>0</v>
      </c>
      <c r="AQ66" s="2">
        <v>1000</v>
      </c>
      <c r="AR66" s="2">
        <v>0</v>
      </c>
      <c r="AS66" s="2">
        <v>1000</v>
      </c>
      <c r="AT66" s="2">
        <v>1000</v>
      </c>
      <c r="AU66" s="2">
        <v>1000</v>
      </c>
      <c r="AV66" s="2">
        <v>1000</v>
      </c>
      <c r="AW66" s="2">
        <v>0</v>
      </c>
      <c r="AX66" s="2">
        <v>1000</v>
      </c>
      <c r="AY66" s="2">
        <v>1000</v>
      </c>
      <c r="AZ66" s="2">
        <v>1048</v>
      </c>
      <c r="BA66" s="2">
        <v>924</v>
      </c>
      <c r="BB66" s="2">
        <v>1098</v>
      </c>
      <c r="BC66" s="2">
        <v>-1000</v>
      </c>
      <c r="BD66" s="2">
        <v>1000</v>
      </c>
      <c r="BE66" s="2">
        <v>5000</v>
      </c>
      <c r="BF66" s="2">
        <v>3000</v>
      </c>
      <c r="BG66" s="2">
        <v>5000</v>
      </c>
      <c r="BH66" s="2">
        <v>5000</v>
      </c>
      <c r="BI66" s="2">
        <v>3000</v>
      </c>
      <c r="BJ66" s="2">
        <v>0</v>
      </c>
      <c r="BK66" s="2">
        <v>1000</v>
      </c>
      <c r="BL66" s="2">
        <v>1000</v>
      </c>
      <c r="BO66" s="2">
        <f t="shared" si="4"/>
        <v>0</v>
      </c>
      <c r="BP66" s="2">
        <f t="shared" si="11"/>
        <v>0</v>
      </c>
      <c r="BQ66" s="2">
        <f t="shared" si="12"/>
        <v>0</v>
      </c>
      <c r="BR66" s="2">
        <f t="shared" si="13"/>
        <v>0</v>
      </c>
      <c r="BS66" s="2">
        <f t="shared" si="14"/>
        <v>0</v>
      </c>
      <c r="BT66" s="2">
        <f t="shared" si="15"/>
        <v>0</v>
      </c>
      <c r="BU66" s="2">
        <f t="shared" si="16"/>
        <v>0</v>
      </c>
      <c r="BV66" s="2">
        <f t="shared" si="17"/>
        <v>0</v>
      </c>
      <c r="BW66" s="2">
        <f t="shared" si="18"/>
        <v>0</v>
      </c>
      <c r="BX66" s="2">
        <f t="shared" si="19"/>
        <v>0</v>
      </c>
      <c r="BY66" s="2">
        <f t="shared" si="20"/>
        <v>0</v>
      </c>
      <c r="BZ66" s="2">
        <f t="shared" si="21"/>
        <v>0</v>
      </c>
      <c r="CA66" s="2">
        <f t="shared" si="22"/>
        <v>0</v>
      </c>
      <c r="CB66" s="2">
        <f t="shared" si="23"/>
        <v>0</v>
      </c>
      <c r="CC66" s="2">
        <f t="shared" si="24"/>
        <v>0</v>
      </c>
      <c r="CD66" s="2">
        <f t="shared" si="25"/>
        <v>0</v>
      </c>
      <c r="CE66" s="2">
        <f t="shared" si="26"/>
        <v>0</v>
      </c>
      <c r="CF66" s="2">
        <f t="shared" si="27"/>
        <v>-2471.48</v>
      </c>
      <c r="CG66" s="2">
        <f t="shared" si="28"/>
        <v>10083.780000000001</v>
      </c>
      <c r="CH66" s="2">
        <f t="shared" si="29"/>
        <v>-430.56</v>
      </c>
      <c r="CI66" s="2">
        <f t="shared" si="30"/>
        <v>0</v>
      </c>
      <c r="CJ66" s="2">
        <f t="shared" si="31"/>
        <v>0</v>
      </c>
      <c r="CK66" s="2">
        <f t="shared" si="32"/>
        <v>0</v>
      </c>
      <c r="CL66" s="2">
        <f t="shared" si="33"/>
        <v>0</v>
      </c>
      <c r="CM66" s="2">
        <f t="shared" si="5"/>
        <v>0</v>
      </c>
      <c r="CN66" s="2">
        <f t="shared" si="6"/>
        <v>-87830</v>
      </c>
      <c r="CO66" s="2">
        <f t="shared" si="7"/>
        <v>0</v>
      </c>
      <c r="CP66" s="2">
        <f t="shared" si="8"/>
        <v>0</v>
      </c>
      <c r="CQ66" s="2">
        <f t="shared" si="9"/>
        <v>0</v>
      </c>
      <c r="CR66" s="2">
        <f t="shared" si="10"/>
        <v>0</v>
      </c>
      <c r="CV66" t="s">
        <v>64</v>
      </c>
      <c r="CW66" t="s">
        <v>139</v>
      </c>
      <c r="CX66" t="s">
        <v>2</v>
      </c>
      <c r="CY66" s="4">
        <v>42779</v>
      </c>
      <c r="CZ66" t="s">
        <v>65</v>
      </c>
      <c r="DA66" t="s">
        <v>66</v>
      </c>
      <c r="DB66">
        <v>10</v>
      </c>
      <c r="DC66">
        <v>76.83</v>
      </c>
      <c r="DD66" t="s">
        <v>69</v>
      </c>
      <c r="DE66" t="s">
        <v>70</v>
      </c>
      <c r="DF66">
        <v>768.3</v>
      </c>
    </row>
    <row r="67" spans="1:110" x14ac:dyDescent="0.25">
      <c r="A67" s="1">
        <v>42831</v>
      </c>
      <c r="B67">
        <v>139.30000000000001</v>
      </c>
      <c r="C67">
        <v>76.180000000000007</v>
      </c>
      <c r="D67">
        <v>169.84</v>
      </c>
      <c r="E67">
        <v>91.15</v>
      </c>
      <c r="F67">
        <v>31.29</v>
      </c>
      <c r="G67">
        <v>101.16</v>
      </c>
      <c r="H67">
        <v>109.58</v>
      </c>
      <c r="I67">
        <v>1</v>
      </c>
      <c r="J67">
        <v>223.31</v>
      </c>
      <c r="K67">
        <v>141.6</v>
      </c>
      <c r="L67">
        <v>158.24</v>
      </c>
      <c r="M67">
        <v>34.21</v>
      </c>
      <c r="N67">
        <v>119.45</v>
      </c>
      <c r="O67">
        <v>82.92</v>
      </c>
      <c r="P67">
        <v>40.25</v>
      </c>
      <c r="Q67">
        <v>124.66</v>
      </c>
      <c r="R67">
        <v>180.67</v>
      </c>
      <c r="S67">
        <v>59.96</v>
      </c>
      <c r="T67">
        <v>63.58</v>
      </c>
      <c r="U67">
        <v>53.97</v>
      </c>
      <c r="V67">
        <v>31.73</v>
      </c>
      <c r="W67">
        <v>83.74</v>
      </c>
      <c r="X67">
        <v>115.75</v>
      </c>
      <c r="Y67">
        <v>161.31</v>
      </c>
      <c r="Z67">
        <v>107.4</v>
      </c>
      <c r="AA67">
        <v>87.89</v>
      </c>
      <c r="AB67">
        <v>44.63</v>
      </c>
      <c r="AC67">
        <v>78.069999999999993</v>
      </c>
      <c r="AD67">
        <v>68.52</v>
      </c>
      <c r="AE67">
        <v>76.64</v>
      </c>
      <c r="AI67" s="2">
        <v>5000</v>
      </c>
      <c r="AJ67" s="2">
        <f t="shared" si="43"/>
        <v>1040</v>
      </c>
      <c r="AK67" s="2">
        <f t="shared" si="43"/>
        <v>1040</v>
      </c>
      <c r="AL67" s="2">
        <f t="shared" si="43"/>
        <v>1040</v>
      </c>
      <c r="AM67" s="2">
        <f t="shared" si="43"/>
        <v>1040</v>
      </c>
      <c r="AN67" s="2">
        <f t="shared" si="43"/>
        <v>1040</v>
      </c>
      <c r="AO67" s="2">
        <f t="shared" si="43"/>
        <v>1040</v>
      </c>
      <c r="AP67" s="2">
        <v>0</v>
      </c>
      <c r="AQ67" s="2">
        <v>1000</v>
      </c>
      <c r="AR67" s="2">
        <v>0</v>
      </c>
      <c r="AS67" s="2">
        <v>1000</v>
      </c>
      <c r="AT67" s="2">
        <v>1000</v>
      </c>
      <c r="AU67" s="2">
        <v>1000</v>
      </c>
      <c r="AV67" s="2">
        <v>1000</v>
      </c>
      <c r="AW67" s="2">
        <v>0</v>
      </c>
      <c r="AX67" s="2">
        <v>1000</v>
      </c>
      <c r="AY67" s="2">
        <v>1000</v>
      </c>
      <c r="AZ67" s="2">
        <v>959</v>
      </c>
      <c r="BA67" s="2">
        <v>1064</v>
      </c>
      <c r="BB67" s="2">
        <v>1077</v>
      </c>
      <c r="BC67" s="2">
        <v>-1000</v>
      </c>
      <c r="BD67" s="2">
        <v>1000</v>
      </c>
      <c r="BE67" s="2">
        <v>5000</v>
      </c>
      <c r="BF67" s="2">
        <v>3000</v>
      </c>
      <c r="BG67" s="2">
        <v>5000</v>
      </c>
      <c r="BH67" s="2">
        <v>5000</v>
      </c>
      <c r="BI67" s="2">
        <v>3000</v>
      </c>
      <c r="BJ67" s="2">
        <v>0</v>
      </c>
      <c r="BK67" s="2">
        <v>1000</v>
      </c>
      <c r="BL67" s="2">
        <v>1000</v>
      </c>
      <c r="BO67" s="2">
        <f t="shared" si="4"/>
        <v>0</v>
      </c>
      <c r="BP67" s="2">
        <f t="shared" si="11"/>
        <v>0</v>
      </c>
      <c r="BQ67" s="2">
        <f t="shared" si="12"/>
        <v>0</v>
      </c>
      <c r="BR67" s="2">
        <f t="shared" si="13"/>
        <v>0</v>
      </c>
      <c r="BS67" s="2">
        <f t="shared" si="14"/>
        <v>0</v>
      </c>
      <c r="BT67" s="2">
        <f t="shared" si="15"/>
        <v>0</v>
      </c>
      <c r="BU67" s="2">
        <f t="shared" si="16"/>
        <v>0</v>
      </c>
      <c r="BV67" s="2">
        <f t="shared" si="17"/>
        <v>0</v>
      </c>
      <c r="BW67" s="2">
        <f t="shared" si="18"/>
        <v>0</v>
      </c>
      <c r="BX67" s="2">
        <f t="shared" si="19"/>
        <v>0</v>
      </c>
      <c r="BY67" s="2">
        <f t="shared" si="20"/>
        <v>0</v>
      </c>
      <c r="BZ67" s="2">
        <f t="shared" si="21"/>
        <v>0</v>
      </c>
      <c r="CA67" s="2">
        <f t="shared" si="22"/>
        <v>0</v>
      </c>
      <c r="CB67" s="2">
        <f t="shared" si="23"/>
        <v>0</v>
      </c>
      <c r="CC67" s="2">
        <f t="shared" si="24"/>
        <v>0</v>
      </c>
      <c r="CD67" s="2">
        <f t="shared" si="25"/>
        <v>0</v>
      </c>
      <c r="CE67" s="2">
        <f t="shared" si="26"/>
        <v>0</v>
      </c>
      <c r="CF67" s="2">
        <f t="shared" si="27"/>
        <v>5336.4400000000005</v>
      </c>
      <c r="CG67" s="2">
        <f t="shared" si="28"/>
        <v>-8901.1999999999989</v>
      </c>
      <c r="CH67" s="2">
        <f t="shared" si="29"/>
        <v>1133.3699999999999</v>
      </c>
      <c r="CI67" s="2">
        <f t="shared" si="30"/>
        <v>0</v>
      </c>
      <c r="CJ67" s="2">
        <f t="shared" si="31"/>
        <v>0</v>
      </c>
      <c r="CK67" s="2">
        <f t="shared" si="32"/>
        <v>0</v>
      </c>
      <c r="CL67" s="2">
        <f t="shared" si="33"/>
        <v>0</v>
      </c>
      <c r="CM67" s="2">
        <f t="shared" si="5"/>
        <v>0</v>
      </c>
      <c r="CN67" s="2">
        <f t="shared" si="6"/>
        <v>0</v>
      </c>
      <c r="CO67" s="2">
        <f t="shared" si="7"/>
        <v>0</v>
      </c>
      <c r="CP67" s="2">
        <f t="shared" si="8"/>
        <v>0</v>
      </c>
      <c r="CQ67" s="2">
        <f t="shared" si="9"/>
        <v>0</v>
      </c>
      <c r="CR67" s="2">
        <f t="shared" si="10"/>
        <v>0</v>
      </c>
      <c r="CV67" t="s">
        <v>64</v>
      </c>
      <c r="CW67" t="s">
        <v>140</v>
      </c>
      <c r="CX67" t="s">
        <v>2</v>
      </c>
      <c r="CY67" s="4">
        <v>42800</v>
      </c>
      <c r="CZ67" t="s">
        <v>65</v>
      </c>
      <c r="DA67" t="s">
        <v>66</v>
      </c>
      <c r="DB67">
        <v>10</v>
      </c>
      <c r="DC67">
        <v>77.41</v>
      </c>
      <c r="DD67" t="s">
        <v>69</v>
      </c>
      <c r="DE67" t="s">
        <v>70</v>
      </c>
      <c r="DF67">
        <v>774.09999999999991</v>
      </c>
    </row>
    <row r="68" spans="1:110" x14ac:dyDescent="0.25">
      <c r="A68" s="1">
        <v>42832</v>
      </c>
      <c r="B68">
        <v>138.99</v>
      </c>
      <c r="C68">
        <v>76.040000000000006</v>
      </c>
      <c r="D68">
        <v>171.26</v>
      </c>
      <c r="E68">
        <v>90.87</v>
      </c>
      <c r="F68">
        <v>31.18</v>
      </c>
      <c r="G68">
        <v>100.76</v>
      </c>
      <c r="H68">
        <v>109.13</v>
      </c>
      <c r="I68">
        <v>1</v>
      </c>
      <c r="J68">
        <v>222.57</v>
      </c>
      <c r="K68">
        <v>141.49</v>
      </c>
      <c r="L68">
        <v>157.94999999999999</v>
      </c>
      <c r="M68">
        <v>34.21</v>
      </c>
      <c r="N68">
        <v>119.33</v>
      </c>
      <c r="O68">
        <v>82.63</v>
      </c>
      <c r="P68">
        <v>40.200000000000003</v>
      </c>
      <c r="Q68">
        <v>124.48</v>
      </c>
      <c r="R68">
        <v>180.76</v>
      </c>
      <c r="S68">
        <v>59.86</v>
      </c>
      <c r="T68">
        <v>63.54</v>
      </c>
      <c r="U68">
        <v>53.94</v>
      </c>
      <c r="V68">
        <v>31.72</v>
      </c>
      <c r="W68">
        <v>83.58</v>
      </c>
      <c r="X68">
        <v>115.38</v>
      </c>
      <c r="Y68">
        <v>161.97</v>
      </c>
      <c r="Z68">
        <v>107.95</v>
      </c>
      <c r="AA68">
        <v>87.55</v>
      </c>
      <c r="AB68">
        <v>44.84</v>
      </c>
      <c r="AC68">
        <v>78.709999999999994</v>
      </c>
      <c r="AD68">
        <v>69.930000000000007</v>
      </c>
      <c r="AE68">
        <v>76.400000000000006</v>
      </c>
      <c r="AI68" s="2">
        <v>5000</v>
      </c>
      <c r="AJ68" s="2">
        <f t="shared" si="43"/>
        <v>1040</v>
      </c>
      <c r="AK68" s="2">
        <f t="shared" si="43"/>
        <v>1040</v>
      </c>
      <c r="AL68" s="2">
        <f t="shared" si="43"/>
        <v>1040</v>
      </c>
      <c r="AM68" s="2">
        <f t="shared" si="43"/>
        <v>1040</v>
      </c>
      <c r="AN68" s="2">
        <f t="shared" si="43"/>
        <v>1040</v>
      </c>
      <c r="AO68" s="2">
        <f t="shared" si="43"/>
        <v>1040</v>
      </c>
      <c r="AP68" s="2">
        <v>0</v>
      </c>
      <c r="AQ68" s="2">
        <v>1000</v>
      </c>
      <c r="AR68" s="2">
        <v>0</v>
      </c>
      <c r="AS68" s="2">
        <v>1000</v>
      </c>
      <c r="AT68" s="2">
        <v>1000</v>
      </c>
      <c r="AU68" s="2">
        <v>1000</v>
      </c>
      <c r="AV68" s="2">
        <v>1000</v>
      </c>
      <c r="AW68" s="2">
        <v>0</v>
      </c>
      <c r="AX68" s="2">
        <v>1000</v>
      </c>
      <c r="AY68" s="2">
        <v>1000</v>
      </c>
      <c r="AZ68" s="2">
        <v>998</v>
      </c>
      <c r="BA68" s="2">
        <v>972</v>
      </c>
      <c r="BB68" s="2">
        <v>1071</v>
      </c>
      <c r="BC68" s="2">
        <v>-1000</v>
      </c>
      <c r="BD68" s="2">
        <v>1000</v>
      </c>
      <c r="BE68" s="2">
        <v>5000</v>
      </c>
      <c r="BF68" s="2">
        <v>3000</v>
      </c>
      <c r="BG68" s="2">
        <v>5000</v>
      </c>
      <c r="BH68" s="2">
        <v>5000</v>
      </c>
      <c r="BI68" s="2">
        <v>3000</v>
      </c>
      <c r="BJ68" s="2">
        <v>0</v>
      </c>
      <c r="BK68" s="2">
        <v>1000</v>
      </c>
      <c r="BL68" s="2">
        <v>1000</v>
      </c>
      <c r="BO68" s="2">
        <f t="shared" ref="BO68:BO131" si="44">(AI67-AI68)*B68</f>
        <v>0</v>
      </c>
      <c r="BP68" s="2">
        <f t="shared" si="11"/>
        <v>0</v>
      </c>
      <c r="BQ68" s="2">
        <f t="shared" si="12"/>
        <v>0</v>
      </c>
      <c r="BR68" s="2">
        <f t="shared" si="13"/>
        <v>0</v>
      </c>
      <c r="BS68" s="2">
        <f t="shared" si="14"/>
        <v>0</v>
      </c>
      <c r="BT68" s="2">
        <f t="shared" si="15"/>
        <v>0</v>
      </c>
      <c r="BU68" s="2">
        <f t="shared" si="16"/>
        <v>0</v>
      </c>
      <c r="BV68" s="2">
        <f t="shared" si="17"/>
        <v>0</v>
      </c>
      <c r="BW68" s="2">
        <f t="shared" si="18"/>
        <v>0</v>
      </c>
      <c r="BX68" s="2">
        <f t="shared" si="19"/>
        <v>0</v>
      </c>
      <c r="BY68" s="2">
        <f t="shared" si="20"/>
        <v>0</v>
      </c>
      <c r="BZ68" s="2">
        <f t="shared" si="21"/>
        <v>0</v>
      </c>
      <c r="CA68" s="2">
        <f t="shared" si="22"/>
        <v>0</v>
      </c>
      <c r="CB68" s="2">
        <f t="shared" si="23"/>
        <v>0</v>
      </c>
      <c r="CC68" s="2">
        <f t="shared" si="24"/>
        <v>0</v>
      </c>
      <c r="CD68" s="2">
        <f t="shared" si="25"/>
        <v>0</v>
      </c>
      <c r="CE68" s="2">
        <f t="shared" si="26"/>
        <v>0</v>
      </c>
      <c r="CF68" s="2">
        <f t="shared" si="27"/>
        <v>-2334.54</v>
      </c>
      <c r="CG68" s="2">
        <f t="shared" si="28"/>
        <v>5845.68</v>
      </c>
      <c r="CH68" s="2">
        <f t="shared" si="29"/>
        <v>323.64</v>
      </c>
      <c r="CI68" s="2">
        <f t="shared" si="30"/>
        <v>0</v>
      </c>
      <c r="CJ68" s="2">
        <f t="shared" si="31"/>
        <v>0</v>
      </c>
      <c r="CK68" s="2">
        <f t="shared" si="32"/>
        <v>0</v>
      </c>
      <c r="CL68" s="2">
        <f t="shared" si="33"/>
        <v>0</v>
      </c>
      <c r="CM68" s="2">
        <f t="shared" si="5"/>
        <v>0</v>
      </c>
      <c r="CN68" s="2">
        <f t="shared" si="6"/>
        <v>0</v>
      </c>
      <c r="CO68" s="2">
        <f t="shared" si="7"/>
        <v>0</v>
      </c>
      <c r="CP68" s="2">
        <f t="shared" si="8"/>
        <v>0</v>
      </c>
      <c r="CQ68" s="2">
        <f t="shared" si="9"/>
        <v>0</v>
      </c>
      <c r="CR68" s="2">
        <f t="shared" si="10"/>
        <v>0</v>
      </c>
      <c r="CV68" t="s">
        <v>64</v>
      </c>
      <c r="CW68" t="s">
        <v>141</v>
      </c>
      <c r="CX68" t="s">
        <v>2</v>
      </c>
      <c r="CY68" s="4">
        <v>42818</v>
      </c>
      <c r="CZ68" t="s">
        <v>65</v>
      </c>
      <c r="DA68" t="s">
        <v>66</v>
      </c>
      <c r="DB68">
        <v>10</v>
      </c>
      <c r="DC68">
        <v>76.14</v>
      </c>
      <c r="DD68" t="s">
        <v>69</v>
      </c>
      <c r="DE68" t="s">
        <v>70</v>
      </c>
      <c r="DF68">
        <v>761.4</v>
      </c>
    </row>
    <row r="69" spans="1:110" x14ac:dyDescent="0.25">
      <c r="A69" s="1">
        <v>42835</v>
      </c>
      <c r="B69">
        <v>138.83000000000001</v>
      </c>
      <c r="C69">
        <v>75.760000000000005</v>
      </c>
      <c r="D69">
        <v>170.02</v>
      </c>
      <c r="E69">
        <v>92.41</v>
      </c>
      <c r="F69">
        <v>31.23</v>
      </c>
      <c r="G69">
        <v>101.29</v>
      </c>
      <c r="H69">
        <v>108.98</v>
      </c>
      <c r="I69">
        <v>1</v>
      </c>
      <c r="J69">
        <v>223.55</v>
      </c>
      <c r="K69">
        <v>142.53</v>
      </c>
      <c r="L69">
        <v>157.09</v>
      </c>
      <c r="M69">
        <v>33.99</v>
      </c>
      <c r="N69">
        <v>118.77</v>
      </c>
      <c r="O69">
        <v>82.34</v>
      </c>
      <c r="P69">
        <v>40.270000000000003</v>
      </c>
      <c r="Q69">
        <v>124.49</v>
      </c>
      <c r="R69">
        <v>180.5</v>
      </c>
      <c r="S69">
        <v>59.31</v>
      </c>
      <c r="T69">
        <v>63.39</v>
      </c>
      <c r="U69">
        <v>53.74</v>
      </c>
      <c r="V69">
        <v>31.67</v>
      </c>
      <c r="W69">
        <v>83.82</v>
      </c>
      <c r="X69">
        <v>116.3</v>
      </c>
      <c r="Y69">
        <v>161.44999999999999</v>
      </c>
      <c r="Z69">
        <v>107.85</v>
      </c>
      <c r="AA69">
        <v>87.67</v>
      </c>
      <c r="AB69">
        <v>44.73</v>
      </c>
      <c r="AC69">
        <v>78.88</v>
      </c>
      <c r="AD69">
        <v>70.08</v>
      </c>
      <c r="AE69">
        <v>76.75</v>
      </c>
      <c r="AI69" s="2">
        <v>5000</v>
      </c>
      <c r="AJ69" s="2">
        <f t="shared" si="43"/>
        <v>1040</v>
      </c>
      <c r="AK69" s="2">
        <f t="shared" si="43"/>
        <v>1040</v>
      </c>
      <c r="AL69" s="2">
        <f t="shared" si="43"/>
        <v>1040</v>
      </c>
      <c r="AM69" s="2">
        <f t="shared" si="43"/>
        <v>1040</v>
      </c>
      <c r="AN69" s="2">
        <f t="shared" si="43"/>
        <v>1040</v>
      </c>
      <c r="AO69" s="2">
        <f t="shared" si="43"/>
        <v>1040</v>
      </c>
      <c r="AP69" s="2">
        <v>0</v>
      </c>
      <c r="AQ69" s="2">
        <v>1000</v>
      </c>
      <c r="AR69" s="2">
        <v>0</v>
      </c>
      <c r="AS69" s="2">
        <v>1000</v>
      </c>
      <c r="AT69" s="2">
        <v>1000</v>
      </c>
      <c r="AU69" s="2">
        <v>1000</v>
      </c>
      <c r="AV69" s="2">
        <v>1000</v>
      </c>
      <c r="AW69" s="2">
        <v>0</v>
      </c>
      <c r="AX69" s="2">
        <v>1000</v>
      </c>
      <c r="AY69" s="2">
        <v>1000</v>
      </c>
      <c r="AZ69" s="2">
        <v>952</v>
      </c>
      <c r="BA69" s="2">
        <v>910</v>
      </c>
      <c r="BB69" s="2">
        <v>1082</v>
      </c>
      <c r="BC69" s="2">
        <v>-1000</v>
      </c>
      <c r="BD69" s="2">
        <v>1000</v>
      </c>
      <c r="BE69" s="2">
        <v>5000</v>
      </c>
      <c r="BF69" s="2">
        <v>3000</v>
      </c>
      <c r="BG69" s="2">
        <v>5000</v>
      </c>
      <c r="BH69" s="2">
        <v>5000</v>
      </c>
      <c r="BI69" s="2">
        <v>3000</v>
      </c>
      <c r="BJ69" s="2">
        <v>0</v>
      </c>
      <c r="BK69" s="2">
        <v>1000</v>
      </c>
      <c r="BL69" s="2">
        <v>1000</v>
      </c>
      <c r="BO69" s="2">
        <f t="shared" si="44"/>
        <v>0</v>
      </c>
      <c r="BP69" s="2">
        <f t="shared" si="11"/>
        <v>0</v>
      </c>
      <c r="BQ69" s="2">
        <f t="shared" si="12"/>
        <v>0</v>
      </c>
      <c r="BR69" s="2">
        <f t="shared" si="13"/>
        <v>0</v>
      </c>
      <c r="BS69" s="2">
        <f t="shared" si="14"/>
        <v>0</v>
      </c>
      <c r="BT69" s="2">
        <f t="shared" si="15"/>
        <v>0</v>
      </c>
      <c r="BU69" s="2">
        <f t="shared" si="16"/>
        <v>0</v>
      </c>
      <c r="BV69" s="2">
        <f t="shared" si="17"/>
        <v>0</v>
      </c>
      <c r="BW69" s="2">
        <f t="shared" si="18"/>
        <v>0</v>
      </c>
      <c r="BX69" s="2">
        <f t="shared" si="19"/>
        <v>0</v>
      </c>
      <c r="BY69" s="2">
        <f t="shared" si="20"/>
        <v>0</v>
      </c>
      <c r="BZ69" s="2">
        <f t="shared" si="21"/>
        <v>0</v>
      </c>
      <c r="CA69" s="2">
        <f t="shared" si="22"/>
        <v>0</v>
      </c>
      <c r="CB69" s="2">
        <f t="shared" si="23"/>
        <v>0</v>
      </c>
      <c r="CC69" s="2">
        <f t="shared" si="24"/>
        <v>0</v>
      </c>
      <c r="CD69" s="2">
        <f t="shared" si="25"/>
        <v>0</v>
      </c>
      <c r="CE69" s="2">
        <f t="shared" si="26"/>
        <v>0</v>
      </c>
      <c r="CF69" s="2">
        <f t="shared" si="27"/>
        <v>2728.26</v>
      </c>
      <c r="CG69" s="2">
        <f t="shared" si="28"/>
        <v>3930.18</v>
      </c>
      <c r="CH69" s="2">
        <f t="shared" si="29"/>
        <v>-591.14</v>
      </c>
      <c r="CI69" s="2">
        <f t="shared" si="30"/>
        <v>0</v>
      </c>
      <c r="CJ69" s="2">
        <f t="shared" si="31"/>
        <v>0</v>
      </c>
      <c r="CK69" s="2">
        <f t="shared" si="32"/>
        <v>0</v>
      </c>
      <c r="CL69" s="2">
        <f t="shared" si="33"/>
        <v>0</v>
      </c>
      <c r="CM69" s="2">
        <f t="shared" si="5"/>
        <v>0</v>
      </c>
      <c r="CN69" s="2">
        <f t="shared" si="6"/>
        <v>0</v>
      </c>
      <c r="CO69" s="2">
        <f t="shared" si="7"/>
        <v>0</v>
      </c>
      <c r="CP69" s="2">
        <f t="shared" si="8"/>
        <v>0</v>
      </c>
      <c r="CQ69" s="2">
        <f t="shared" si="9"/>
        <v>0</v>
      </c>
      <c r="CR69" s="2">
        <f t="shared" si="10"/>
        <v>0</v>
      </c>
      <c r="CV69" t="s">
        <v>64</v>
      </c>
      <c r="CW69" t="s">
        <v>142</v>
      </c>
      <c r="CX69" t="s">
        <v>2</v>
      </c>
      <c r="CY69" s="4">
        <v>42838</v>
      </c>
      <c r="CZ69" t="s">
        <v>65</v>
      </c>
      <c r="DA69" t="s">
        <v>66</v>
      </c>
      <c r="DB69">
        <v>10</v>
      </c>
      <c r="DC69">
        <v>74.11</v>
      </c>
      <c r="DD69" t="s">
        <v>69</v>
      </c>
      <c r="DE69" t="s">
        <v>70</v>
      </c>
      <c r="DF69">
        <v>741.1</v>
      </c>
    </row>
    <row r="70" spans="1:110" x14ac:dyDescent="0.25">
      <c r="A70" s="1">
        <v>42836</v>
      </c>
      <c r="B70">
        <v>137.33000000000001</v>
      </c>
      <c r="C70">
        <v>75.540000000000006</v>
      </c>
      <c r="D70">
        <v>170.99</v>
      </c>
      <c r="E70">
        <v>92.37</v>
      </c>
      <c r="F70">
        <v>31.14</v>
      </c>
      <c r="G70">
        <v>100.86</v>
      </c>
      <c r="H70">
        <v>109.6</v>
      </c>
      <c r="I70">
        <v>1</v>
      </c>
      <c r="J70">
        <v>222.43</v>
      </c>
      <c r="K70">
        <v>142.52000000000001</v>
      </c>
      <c r="L70">
        <v>156.52000000000001</v>
      </c>
      <c r="M70">
        <v>33.93</v>
      </c>
      <c r="N70">
        <v>118.66</v>
      </c>
      <c r="O70">
        <v>82.2</v>
      </c>
      <c r="P70">
        <v>40.24</v>
      </c>
      <c r="Q70">
        <v>125.66</v>
      </c>
      <c r="R70">
        <v>180.84</v>
      </c>
      <c r="S70">
        <v>59.34</v>
      </c>
      <c r="T70">
        <v>63.34</v>
      </c>
      <c r="U70">
        <v>53.76</v>
      </c>
      <c r="V70">
        <v>31.57</v>
      </c>
      <c r="W70">
        <v>84.11</v>
      </c>
      <c r="X70">
        <v>116.38</v>
      </c>
      <c r="Y70">
        <v>161.79</v>
      </c>
      <c r="Z70">
        <v>108.1</v>
      </c>
      <c r="AA70">
        <v>87.66</v>
      </c>
      <c r="AB70">
        <v>44.88</v>
      </c>
      <c r="AC70">
        <v>79.05</v>
      </c>
      <c r="AD70">
        <v>70.430000000000007</v>
      </c>
      <c r="AE70">
        <v>76.48</v>
      </c>
      <c r="AI70" s="2">
        <v>5000</v>
      </c>
      <c r="AJ70" s="2">
        <f t="shared" si="43"/>
        <v>1040</v>
      </c>
      <c r="AK70" s="2">
        <f t="shared" si="43"/>
        <v>1040</v>
      </c>
      <c r="AL70" s="2">
        <f t="shared" si="43"/>
        <v>1040</v>
      </c>
      <c r="AM70" s="2">
        <f t="shared" si="43"/>
        <v>1040</v>
      </c>
      <c r="AN70" s="2">
        <f t="shared" si="43"/>
        <v>1040</v>
      </c>
      <c r="AO70" s="2">
        <f t="shared" si="43"/>
        <v>1040</v>
      </c>
      <c r="AP70" s="2">
        <v>0</v>
      </c>
      <c r="AQ70" s="2">
        <v>1000</v>
      </c>
      <c r="AR70" s="2">
        <v>0</v>
      </c>
      <c r="AS70" s="2">
        <v>1000</v>
      </c>
      <c r="AT70" s="2">
        <v>1000</v>
      </c>
      <c r="AU70" s="2">
        <v>1000</v>
      </c>
      <c r="AV70" s="2">
        <v>1000</v>
      </c>
      <c r="AW70" s="2">
        <v>0</v>
      </c>
      <c r="AX70" s="2">
        <v>1000</v>
      </c>
      <c r="AY70" s="2">
        <v>1000</v>
      </c>
      <c r="AZ70" s="2">
        <v>993</v>
      </c>
      <c r="BA70" s="2">
        <v>923</v>
      </c>
      <c r="BB70" s="2">
        <v>947</v>
      </c>
      <c r="BC70" s="2">
        <v>-1000</v>
      </c>
      <c r="BD70" s="2">
        <v>1000</v>
      </c>
      <c r="BE70" s="2">
        <v>5000</v>
      </c>
      <c r="BF70" s="2">
        <v>3000</v>
      </c>
      <c r="BG70" s="2">
        <v>5000</v>
      </c>
      <c r="BH70" s="2">
        <v>5000</v>
      </c>
      <c r="BI70" s="2">
        <v>3000</v>
      </c>
      <c r="BJ70" s="2">
        <v>0</v>
      </c>
      <c r="BK70" s="2">
        <v>1000</v>
      </c>
      <c r="BL70" s="2">
        <v>1000</v>
      </c>
      <c r="BO70" s="2">
        <f t="shared" si="44"/>
        <v>0</v>
      </c>
      <c r="BP70" s="2">
        <f t="shared" si="11"/>
        <v>0</v>
      </c>
      <c r="BQ70" s="2">
        <f t="shared" si="12"/>
        <v>0</v>
      </c>
      <c r="BR70" s="2">
        <f t="shared" si="13"/>
        <v>0</v>
      </c>
      <c r="BS70" s="2">
        <f t="shared" si="14"/>
        <v>0</v>
      </c>
      <c r="BT70" s="2">
        <f t="shared" si="15"/>
        <v>0</v>
      </c>
      <c r="BU70" s="2">
        <f t="shared" si="16"/>
        <v>0</v>
      </c>
      <c r="BV70" s="2">
        <f t="shared" si="17"/>
        <v>0</v>
      </c>
      <c r="BW70" s="2">
        <f t="shared" si="18"/>
        <v>0</v>
      </c>
      <c r="BX70" s="2">
        <f t="shared" si="19"/>
        <v>0</v>
      </c>
      <c r="BY70" s="2">
        <f t="shared" si="20"/>
        <v>0</v>
      </c>
      <c r="BZ70" s="2">
        <f t="shared" si="21"/>
        <v>0</v>
      </c>
      <c r="CA70" s="2">
        <f t="shared" si="22"/>
        <v>0</v>
      </c>
      <c r="CB70" s="2">
        <f t="shared" si="23"/>
        <v>0</v>
      </c>
      <c r="CC70" s="2">
        <f t="shared" si="24"/>
        <v>0</v>
      </c>
      <c r="CD70" s="2">
        <f t="shared" si="25"/>
        <v>0</v>
      </c>
      <c r="CE70" s="2">
        <f t="shared" si="26"/>
        <v>0</v>
      </c>
      <c r="CF70" s="2">
        <f t="shared" si="27"/>
        <v>-2432.94</v>
      </c>
      <c r="CG70" s="2">
        <f t="shared" si="28"/>
        <v>-823.42000000000007</v>
      </c>
      <c r="CH70" s="2">
        <f t="shared" si="29"/>
        <v>7257.5999999999995</v>
      </c>
      <c r="CI70" s="2">
        <f t="shared" si="30"/>
        <v>0</v>
      </c>
      <c r="CJ70" s="2">
        <f t="shared" si="31"/>
        <v>0</v>
      </c>
      <c r="CK70" s="2">
        <f t="shared" si="32"/>
        <v>0</v>
      </c>
      <c r="CL70" s="2">
        <f t="shared" si="33"/>
        <v>0</v>
      </c>
      <c r="CM70" s="2">
        <f t="shared" si="5"/>
        <v>0</v>
      </c>
      <c r="CN70" s="2">
        <f t="shared" si="6"/>
        <v>0</v>
      </c>
      <c r="CO70" s="2">
        <f t="shared" si="7"/>
        <v>0</v>
      </c>
      <c r="CP70" s="2">
        <f t="shared" si="8"/>
        <v>0</v>
      </c>
      <c r="CQ70" s="2">
        <f t="shared" si="9"/>
        <v>0</v>
      </c>
      <c r="CR70" s="2">
        <f t="shared" si="10"/>
        <v>0</v>
      </c>
      <c r="CV70" t="s">
        <v>64</v>
      </c>
      <c r="CW70" t="s">
        <v>143</v>
      </c>
      <c r="CX70" t="s">
        <v>2</v>
      </c>
      <c r="CY70" s="4">
        <v>42859</v>
      </c>
      <c r="CZ70" t="s">
        <v>65</v>
      </c>
      <c r="DA70" t="s">
        <v>66</v>
      </c>
      <c r="DB70">
        <v>10</v>
      </c>
      <c r="DC70">
        <v>76.58</v>
      </c>
      <c r="DD70" t="s">
        <v>69</v>
      </c>
      <c r="DE70" t="s">
        <v>70</v>
      </c>
      <c r="DF70">
        <v>765.8</v>
      </c>
    </row>
    <row r="71" spans="1:110" x14ac:dyDescent="0.25">
      <c r="A71" s="1">
        <v>42837</v>
      </c>
      <c r="B71">
        <v>137.5</v>
      </c>
      <c r="C71">
        <v>74.97</v>
      </c>
      <c r="D71">
        <v>168.58</v>
      </c>
      <c r="E71">
        <v>90.24</v>
      </c>
      <c r="F71">
        <v>30.86</v>
      </c>
      <c r="G71">
        <v>100.86</v>
      </c>
      <c r="H71">
        <v>109.57</v>
      </c>
      <c r="I71">
        <v>1</v>
      </c>
      <c r="J71">
        <v>220.49</v>
      </c>
      <c r="K71">
        <v>140.93</v>
      </c>
      <c r="L71">
        <v>156.6</v>
      </c>
      <c r="M71">
        <v>33.83</v>
      </c>
      <c r="N71">
        <v>119.78</v>
      </c>
      <c r="O71">
        <v>81.88</v>
      </c>
      <c r="P71">
        <v>40.51</v>
      </c>
      <c r="Q71">
        <v>125.72</v>
      </c>
      <c r="R71">
        <v>180.49</v>
      </c>
      <c r="S71">
        <v>59.78</v>
      </c>
      <c r="T71">
        <v>63.1</v>
      </c>
      <c r="U71">
        <v>54.39</v>
      </c>
      <c r="V71">
        <v>31.56</v>
      </c>
      <c r="W71">
        <v>84.59</v>
      </c>
      <c r="X71">
        <v>116.64</v>
      </c>
      <c r="Y71">
        <v>161.52000000000001</v>
      </c>
      <c r="Z71">
        <v>107.24</v>
      </c>
      <c r="AA71">
        <v>87.49</v>
      </c>
      <c r="AB71">
        <v>45.08</v>
      </c>
      <c r="AC71">
        <v>78.94</v>
      </c>
      <c r="AD71">
        <v>70.44</v>
      </c>
      <c r="AE71">
        <v>76.599999999999994</v>
      </c>
      <c r="AI71" s="2">
        <v>5000</v>
      </c>
      <c r="AJ71" s="2">
        <f t="shared" si="43"/>
        <v>1040</v>
      </c>
      <c r="AK71" s="2">
        <f t="shared" si="43"/>
        <v>1040</v>
      </c>
      <c r="AL71" s="2">
        <f t="shared" si="43"/>
        <v>1040</v>
      </c>
      <c r="AM71" s="2">
        <f t="shared" si="43"/>
        <v>1040</v>
      </c>
      <c r="AN71" s="2">
        <f t="shared" si="43"/>
        <v>1040</v>
      </c>
      <c r="AO71" s="2">
        <f t="shared" si="43"/>
        <v>1040</v>
      </c>
      <c r="AP71" s="2">
        <v>0</v>
      </c>
      <c r="AQ71" s="2">
        <v>1000</v>
      </c>
      <c r="AR71" s="2">
        <v>0</v>
      </c>
      <c r="AS71" s="2">
        <v>1000</v>
      </c>
      <c r="AT71" s="2">
        <v>1000</v>
      </c>
      <c r="AU71" s="2">
        <v>1000</v>
      </c>
      <c r="AV71" s="2">
        <v>1000</v>
      </c>
      <c r="AW71" s="2">
        <v>0</v>
      </c>
      <c r="AX71" s="2">
        <v>1000</v>
      </c>
      <c r="AY71" s="2">
        <v>1000</v>
      </c>
      <c r="AZ71" s="2">
        <v>1026</v>
      </c>
      <c r="BA71" s="2">
        <v>1042</v>
      </c>
      <c r="BB71" s="2">
        <v>921</v>
      </c>
      <c r="BC71" s="2">
        <v>-1000</v>
      </c>
      <c r="BD71" s="2">
        <v>1000</v>
      </c>
      <c r="BE71" s="2">
        <v>5000</v>
      </c>
      <c r="BF71" s="2">
        <v>3000</v>
      </c>
      <c r="BG71" s="2">
        <v>5000</v>
      </c>
      <c r="BH71" s="2">
        <v>5000</v>
      </c>
      <c r="BI71" s="2">
        <v>3000</v>
      </c>
      <c r="BJ71" s="2">
        <v>0</v>
      </c>
      <c r="BK71" s="2">
        <v>1000</v>
      </c>
      <c r="BL71" s="2">
        <v>1000</v>
      </c>
      <c r="BO71" s="2">
        <f t="shared" si="44"/>
        <v>0</v>
      </c>
      <c r="BP71" s="2">
        <f t="shared" si="11"/>
        <v>0</v>
      </c>
      <c r="BQ71" s="2">
        <f t="shared" si="12"/>
        <v>0</v>
      </c>
      <c r="BR71" s="2">
        <f t="shared" si="13"/>
        <v>0</v>
      </c>
      <c r="BS71" s="2">
        <f t="shared" si="14"/>
        <v>0</v>
      </c>
      <c r="BT71" s="2">
        <f t="shared" si="15"/>
        <v>0</v>
      </c>
      <c r="BU71" s="2">
        <f t="shared" si="16"/>
        <v>0</v>
      </c>
      <c r="BV71" s="2">
        <f t="shared" si="17"/>
        <v>0</v>
      </c>
      <c r="BW71" s="2">
        <f t="shared" si="18"/>
        <v>0</v>
      </c>
      <c r="BX71" s="2">
        <f t="shared" si="19"/>
        <v>0</v>
      </c>
      <c r="BY71" s="2">
        <f t="shared" si="20"/>
        <v>0</v>
      </c>
      <c r="BZ71" s="2">
        <f t="shared" si="21"/>
        <v>0</v>
      </c>
      <c r="CA71" s="2">
        <f t="shared" si="22"/>
        <v>0</v>
      </c>
      <c r="CB71" s="2">
        <f t="shared" si="23"/>
        <v>0</v>
      </c>
      <c r="CC71" s="2">
        <f t="shared" si="24"/>
        <v>0</v>
      </c>
      <c r="CD71" s="2">
        <f t="shared" si="25"/>
        <v>0</v>
      </c>
      <c r="CE71" s="2">
        <f t="shared" si="26"/>
        <v>0</v>
      </c>
      <c r="CF71" s="2">
        <f t="shared" si="27"/>
        <v>-1972.74</v>
      </c>
      <c r="CG71" s="2">
        <f t="shared" si="28"/>
        <v>-7508.9000000000005</v>
      </c>
      <c r="CH71" s="2">
        <f t="shared" si="29"/>
        <v>1414.14</v>
      </c>
      <c r="CI71" s="2">
        <f t="shared" si="30"/>
        <v>0</v>
      </c>
      <c r="CJ71" s="2">
        <f t="shared" si="31"/>
        <v>0</v>
      </c>
      <c r="CK71" s="2">
        <f t="shared" si="32"/>
        <v>0</v>
      </c>
      <c r="CL71" s="2">
        <f t="shared" si="33"/>
        <v>0</v>
      </c>
      <c r="CM71" s="2">
        <f t="shared" si="5"/>
        <v>0</v>
      </c>
      <c r="CN71" s="2">
        <f t="shared" si="6"/>
        <v>0</v>
      </c>
      <c r="CO71" s="2">
        <f t="shared" si="7"/>
        <v>0</v>
      </c>
      <c r="CP71" s="2">
        <f t="shared" si="8"/>
        <v>0</v>
      </c>
      <c r="CQ71" s="2">
        <f t="shared" si="9"/>
        <v>0</v>
      </c>
      <c r="CR71" s="2">
        <f t="shared" si="10"/>
        <v>0</v>
      </c>
      <c r="CV71" t="s">
        <v>64</v>
      </c>
      <c r="CW71" t="s">
        <v>144</v>
      </c>
      <c r="CX71" t="s">
        <v>2</v>
      </c>
      <c r="CY71" s="4">
        <v>42879</v>
      </c>
      <c r="CZ71" t="s">
        <v>65</v>
      </c>
      <c r="DA71" t="s">
        <v>66</v>
      </c>
      <c r="DB71">
        <v>10</v>
      </c>
      <c r="DC71">
        <v>75.400000000000006</v>
      </c>
      <c r="DD71" t="s">
        <v>69</v>
      </c>
      <c r="DE71" t="s">
        <v>70</v>
      </c>
      <c r="DF71">
        <v>754</v>
      </c>
    </row>
    <row r="72" spans="1:110" x14ac:dyDescent="0.25">
      <c r="A72" s="1">
        <v>42838</v>
      </c>
      <c r="B72">
        <v>136.77000000000001</v>
      </c>
      <c r="C72">
        <v>74.11</v>
      </c>
      <c r="D72">
        <v>168.16</v>
      </c>
      <c r="E72">
        <v>88.56</v>
      </c>
      <c r="F72">
        <v>30.67</v>
      </c>
      <c r="G72">
        <v>98.21</v>
      </c>
      <c r="H72">
        <v>109.73</v>
      </c>
      <c r="I72">
        <v>1</v>
      </c>
      <c r="J72">
        <v>218.11</v>
      </c>
      <c r="K72">
        <v>140.32</v>
      </c>
      <c r="L72">
        <v>155.56</v>
      </c>
      <c r="M72">
        <v>33.47</v>
      </c>
      <c r="N72">
        <v>119.39</v>
      </c>
      <c r="O72">
        <v>80.92</v>
      </c>
      <c r="P72">
        <v>40.369999999999997</v>
      </c>
      <c r="Q72">
        <v>125.24</v>
      </c>
      <c r="R72">
        <v>179.49</v>
      </c>
      <c r="S72">
        <v>59.37</v>
      </c>
      <c r="T72">
        <v>62.83</v>
      </c>
      <c r="U72">
        <v>54.17</v>
      </c>
      <c r="V72">
        <v>31.52</v>
      </c>
      <c r="W72">
        <v>84.33</v>
      </c>
      <c r="X72">
        <v>115.74</v>
      </c>
      <c r="Y72">
        <v>160.94</v>
      </c>
      <c r="Z72">
        <v>107.09</v>
      </c>
      <c r="AA72">
        <v>87.68</v>
      </c>
      <c r="AB72">
        <v>44.81</v>
      </c>
      <c r="AC72">
        <v>78.86</v>
      </c>
      <c r="AD72">
        <v>70.17</v>
      </c>
      <c r="AE72">
        <v>75.42</v>
      </c>
      <c r="AI72" s="2">
        <v>5000</v>
      </c>
      <c r="AJ72" s="2">
        <f t="shared" ref="AJ72:AO72" si="45">AJ71+10</f>
        <v>1050</v>
      </c>
      <c r="AK72" s="2">
        <f t="shared" si="45"/>
        <v>1050</v>
      </c>
      <c r="AL72" s="2">
        <f t="shared" si="45"/>
        <v>1050</v>
      </c>
      <c r="AM72" s="2">
        <f t="shared" si="45"/>
        <v>1050</v>
      </c>
      <c r="AN72" s="2">
        <f t="shared" si="45"/>
        <v>1050</v>
      </c>
      <c r="AO72" s="2">
        <f t="shared" si="45"/>
        <v>1050</v>
      </c>
      <c r="AP72" s="2">
        <v>0</v>
      </c>
      <c r="AQ72" s="2">
        <v>1000</v>
      </c>
      <c r="AR72" s="2">
        <v>0</v>
      </c>
      <c r="AS72" s="2">
        <v>1000</v>
      </c>
      <c r="AT72" s="2">
        <v>1000</v>
      </c>
      <c r="AU72" s="2">
        <v>1000</v>
      </c>
      <c r="AV72" s="2">
        <v>1000</v>
      </c>
      <c r="AW72" s="2">
        <v>0</v>
      </c>
      <c r="AX72" s="2">
        <v>1000</v>
      </c>
      <c r="AY72" s="2">
        <v>1000</v>
      </c>
      <c r="AZ72" s="2">
        <v>1044</v>
      </c>
      <c r="BA72" s="2">
        <v>1054</v>
      </c>
      <c r="BB72" s="2">
        <v>915</v>
      </c>
      <c r="BC72" s="2">
        <v>-1000</v>
      </c>
      <c r="BD72" s="2">
        <v>1000</v>
      </c>
      <c r="BE72" s="2">
        <v>5000</v>
      </c>
      <c r="BF72" s="2">
        <v>3000</v>
      </c>
      <c r="BG72" s="2">
        <v>5000</v>
      </c>
      <c r="BH72" s="2">
        <v>5000</v>
      </c>
      <c r="BI72" s="2">
        <v>3000</v>
      </c>
      <c r="BJ72" s="2">
        <v>0</v>
      </c>
      <c r="BK72" s="2">
        <v>1000</v>
      </c>
      <c r="BL72" s="2">
        <v>1000</v>
      </c>
      <c r="BO72" s="2">
        <f t="shared" si="44"/>
        <v>0</v>
      </c>
      <c r="BP72" s="2">
        <f t="shared" si="11"/>
        <v>-741.1</v>
      </c>
      <c r="BQ72" s="2">
        <f t="shared" si="12"/>
        <v>-1681.6</v>
      </c>
      <c r="BR72" s="2">
        <f t="shared" si="13"/>
        <v>-885.6</v>
      </c>
      <c r="BS72" s="2">
        <f t="shared" si="14"/>
        <v>-306.70000000000005</v>
      </c>
      <c r="BT72" s="2">
        <f t="shared" si="15"/>
        <v>-982.09999999999991</v>
      </c>
      <c r="BU72" s="2">
        <f t="shared" si="16"/>
        <v>-1097.3</v>
      </c>
      <c r="BV72" s="2">
        <f t="shared" si="17"/>
        <v>0</v>
      </c>
      <c r="BW72" s="2">
        <f t="shared" si="18"/>
        <v>0</v>
      </c>
      <c r="BX72" s="2">
        <f t="shared" si="19"/>
        <v>0</v>
      </c>
      <c r="BY72" s="2">
        <f t="shared" si="20"/>
        <v>0</v>
      </c>
      <c r="BZ72" s="2">
        <f t="shared" si="21"/>
        <v>0</v>
      </c>
      <c r="CA72" s="2">
        <f t="shared" si="22"/>
        <v>0</v>
      </c>
      <c r="CB72" s="2">
        <f t="shared" si="23"/>
        <v>0</v>
      </c>
      <c r="CC72" s="2">
        <f t="shared" si="24"/>
        <v>0</v>
      </c>
      <c r="CD72" s="2">
        <f t="shared" si="25"/>
        <v>0</v>
      </c>
      <c r="CE72" s="2">
        <f t="shared" si="26"/>
        <v>0</v>
      </c>
      <c r="CF72" s="2">
        <f t="shared" si="27"/>
        <v>-1068.6599999999999</v>
      </c>
      <c r="CG72" s="2">
        <f t="shared" si="28"/>
        <v>-753.96</v>
      </c>
      <c r="CH72" s="2">
        <f t="shared" si="29"/>
        <v>325.02</v>
      </c>
      <c r="CI72" s="2">
        <f t="shared" si="30"/>
        <v>0</v>
      </c>
      <c r="CJ72" s="2">
        <f t="shared" si="31"/>
        <v>0</v>
      </c>
      <c r="CK72" s="2">
        <f t="shared" si="32"/>
        <v>0</v>
      </c>
      <c r="CL72" s="2">
        <f t="shared" si="33"/>
        <v>0</v>
      </c>
      <c r="CM72" s="2">
        <f t="shared" si="5"/>
        <v>0</v>
      </c>
      <c r="CN72" s="2">
        <f t="shared" si="6"/>
        <v>0</v>
      </c>
      <c r="CO72" s="2">
        <f t="shared" si="7"/>
        <v>0</v>
      </c>
      <c r="CP72" s="2">
        <f t="shared" si="8"/>
        <v>0</v>
      </c>
      <c r="CQ72" s="2">
        <f t="shared" si="9"/>
        <v>0</v>
      </c>
      <c r="CR72" s="2">
        <f t="shared" si="10"/>
        <v>0</v>
      </c>
      <c r="CV72" t="s">
        <v>64</v>
      </c>
      <c r="CW72" t="s">
        <v>145</v>
      </c>
      <c r="CX72" t="s">
        <v>2</v>
      </c>
      <c r="CY72" s="4">
        <v>42900</v>
      </c>
      <c r="CZ72" t="s">
        <v>65</v>
      </c>
      <c r="DA72" t="s">
        <v>66</v>
      </c>
      <c r="DB72">
        <v>10</v>
      </c>
      <c r="DC72">
        <v>79.040000000000006</v>
      </c>
      <c r="DD72" t="s">
        <v>69</v>
      </c>
      <c r="DE72" t="s">
        <v>70</v>
      </c>
      <c r="DF72">
        <v>790.40000000000009</v>
      </c>
    </row>
    <row r="73" spans="1:110" x14ac:dyDescent="0.25">
      <c r="A73" s="1">
        <v>42842</v>
      </c>
      <c r="B73">
        <v>137.53</v>
      </c>
      <c r="C73">
        <v>74.959999999999994</v>
      </c>
      <c r="D73">
        <v>171.42</v>
      </c>
      <c r="E73">
        <v>89.55</v>
      </c>
      <c r="F73">
        <v>30.85</v>
      </c>
      <c r="G73">
        <v>98.27</v>
      </c>
      <c r="H73">
        <v>110.29</v>
      </c>
      <c r="I73">
        <v>1</v>
      </c>
      <c r="J73">
        <v>220.99</v>
      </c>
      <c r="K73">
        <v>141.66999999999999</v>
      </c>
      <c r="L73">
        <v>157</v>
      </c>
      <c r="M73">
        <v>33.68</v>
      </c>
      <c r="N73">
        <v>120.09</v>
      </c>
      <c r="O73">
        <v>82.32</v>
      </c>
      <c r="P73">
        <v>40.630000000000003</v>
      </c>
      <c r="Q73">
        <v>125.81</v>
      </c>
      <c r="R73">
        <v>181.11</v>
      </c>
      <c r="S73">
        <v>59.55</v>
      </c>
      <c r="T73">
        <v>63.34</v>
      </c>
      <c r="U73">
        <v>55.05</v>
      </c>
      <c r="V73">
        <v>31.63</v>
      </c>
      <c r="W73">
        <v>84.67</v>
      </c>
      <c r="X73">
        <v>117.08</v>
      </c>
      <c r="Y73">
        <v>163.11000000000001</v>
      </c>
      <c r="Z73">
        <v>108.22</v>
      </c>
      <c r="AA73">
        <v>88.6</v>
      </c>
      <c r="AB73">
        <v>44.98</v>
      </c>
      <c r="AC73">
        <v>79.48</v>
      </c>
      <c r="AD73">
        <v>70.489999999999995</v>
      </c>
      <c r="AE73">
        <v>75.319999999999993</v>
      </c>
      <c r="AI73" s="2">
        <v>5000</v>
      </c>
      <c r="AJ73" s="2">
        <f t="shared" ref="AJ73:AO73" si="46">AJ72</f>
        <v>1050</v>
      </c>
      <c r="AK73" s="2">
        <f t="shared" si="46"/>
        <v>1050</v>
      </c>
      <c r="AL73" s="2">
        <f t="shared" si="46"/>
        <v>1050</v>
      </c>
      <c r="AM73" s="2">
        <f t="shared" si="46"/>
        <v>1050</v>
      </c>
      <c r="AN73" s="2">
        <f t="shared" si="46"/>
        <v>1050</v>
      </c>
      <c r="AO73" s="2">
        <f t="shared" si="46"/>
        <v>1050</v>
      </c>
      <c r="AP73" s="2">
        <v>0</v>
      </c>
      <c r="AQ73" s="2">
        <v>1000</v>
      </c>
      <c r="AR73" s="2">
        <v>0</v>
      </c>
      <c r="AS73" s="2">
        <v>1000</v>
      </c>
      <c r="AT73" s="2">
        <v>1000</v>
      </c>
      <c r="AU73" s="2">
        <v>1000</v>
      </c>
      <c r="AV73" s="2">
        <v>1000</v>
      </c>
      <c r="AW73" s="2">
        <v>0</v>
      </c>
      <c r="AX73" s="2">
        <v>1000</v>
      </c>
      <c r="AY73" s="2">
        <v>1000</v>
      </c>
      <c r="AZ73" s="2">
        <v>1007</v>
      </c>
      <c r="BA73" s="2">
        <v>906</v>
      </c>
      <c r="BB73" s="2">
        <v>1061</v>
      </c>
      <c r="BC73" s="2">
        <v>-1000</v>
      </c>
      <c r="BD73" s="2">
        <v>1000</v>
      </c>
      <c r="BE73" s="2">
        <v>5000</v>
      </c>
      <c r="BF73" s="2">
        <v>3000</v>
      </c>
      <c r="BG73" s="2">
        <v>5000</v>
      </c>
      <c r="BH73" s="2">
        <v>5000</v>
      </c>
      <c r="BI73" s="2">
        <v>3000</v>
      </c>
      <c r="BJ73" s="2">
        <v>0</v>
      </c>
      <c r="BK73" s="2">
        <v>1000</v>
      </c>
      <c r="BL73" s="2">
        <v>1000</v>
      </c>
      <c r="BO73" s="2">
        <f t="shared" si="44"/>
        <v>0</v>
      </c>
      <c r="BP73" s="2">
        <f t="shared" si="11"/>
        <v>0</v>
      </c>
      <c r="BQ73" s="2">
        <f t="shared" si="12"/>
        <v>0</v>
      </c>
      <c r="BR73" s="2">
        <f t="shared" si="13"/>
        <v>0</v>
      </c>
      <c r="BS73" s="2">
        <f t="shared" si="14"/>
        <v>0</v>
      </c>
      <c r="BT73" s="2">
        <f t="shared" si="15"/>
        <v>0</v>
      </c>
      <c r="BU73" s="2">
        <f t="shared" si="16"/>
        <v>0</v>
      </c>
      <c r="BV73" s="2">
        <f t="shared" si="17"/>
        <v>0</v>
      </c>
      <c r="BW73" s="2">
        <f t="shared" si="18"/>
        <v>0</v>
      </c>
      <c r="BX73" s="2">
        <f t="shared" si="19"/>
        <v>0</v>
      </c>
      <c r="BY73" s="2">
        <f t="shared" si="20"/>
        <v>0</v>
      </c>
      <c r="BZ73" s="2">
        <f t="shared" si="21"/>
        <v>0</v>
      </c>
      <c r="CA73" s="2">
        <f t="shared" si="22"/>
        <v>0</v>
      </c>
      <c r="CB73" s="2">
        <f t="shared" si="23"/>
        <v>0</v>
      </c>
      <c r="CC73" s="2">
        <f t="shared" si="24"/>
        <v>0</v>
      </c>
      <c r="CD73" s="2">
        <f t="shared" si="25"/>
        <v>0</v>
      </c>
      <c r="CE73" s="2">
        <f t="shared" si="26"/>
        <v>0</v>
      </c>
      <c r="CF73" s="2">
        <f t="shared" si="27"/>
        <v>2203.35</v>
      </c>
      <c r="CG73" s="2">
        <f t="shared" si="28"/>
        <v>9374.32</v>
      </c>
      <c r="CH73" s="2">
        <f t="shared" si="29"/>
        <v>-8037.2999999999993</v>
      </c>
      <c r="CI73" s="2">
        <f t="shared" si="30"/>
        <v>0</v>
      </c>
      <c r="CJ73" s="2">
        <f t="shared" si="31"/>
        <v>0</v>
      </c>
      <c r="CK73" s="2">
        <f t="shared" si="32"/>
        <v>0</v>
      </c>
      <c r="CL73" s="2">
        <f t="shared" si="33"/>
        <v>0</v>
      </c>
      <c r="CM73" s="2">
        <f t="shared" si="5"/>
        <v>0</v>
      </c>
      <c r="CN73" s="2">
        <f t="shared" si="6"/>
        <v>0</v>
      </c>
      <c r="CO73" s="2">
        <f t="shared" si="7"/>
        <v>0</v>
      </c>
      <c r="CP73" s="2">
        <f t="shared" si="8"/>
        <v>0</v>
      </c>
      <c r="CQ73" s="2">
        <f t="shared" si="9"/>
        <v>0</v>
      </c>
      <c r="CR73" s="2">
        <f t="shared" si="10"/>
        <v>0</v>
      </c>
      <c r="CV73" t="s">
        <v>64</v>
      </c>
      <c r="CW73" t="s">
        <v>146</v>
      </c>
      <c r="CX73" t="s">
        <v>2</v>
      </c>
      <c r="CY73" s="4">
        <v>42921</v>
      </c>
      <c r="CZ73" t="s">
        <v>65</v>
      </c>
      <c r="DA73" t="s">
        <v>66</v>
      </c>
      <c r="DB73">
        <v>10</v>
      </c>
      <c r="DC73">
        <v>83.31</v>
      </c>
      <c r="DD73" t="s">
        <v>69</v>
      </c>
      <c r="DE73" t="s">
        <v>70</v>
      </c>
      <c r="DF73">
        <v>833.1</v>
      </c>
    </row>
    <row r="74" spans="1:110" x14ac:dyDescent="0.25">
      <c r="A74" s="1">
        <v>42843</v>
      </c>
      <c r="B74">
        <v>136.91999999999999</v>
      </c>
      <c r="C74">
        <v>74.099999999999994</v>
      </c>
      <c r="D74">
        <v>170.3</v>
      </c>
      <c r="E74">
        <v>89.79</v>
      </c>
      <c r="F74">
        <v>30.9</v>
      </c>
      <c r="G74">
        <v>97.82</v>
      </c>
      <c r="H74">
        <v>110.69</v>
      </c>
      <c r="I74">
        <v>1</v>
      </c>
      <c r="J74">
        <v>210.56</v>
      </c>
      <c r="K74">
        <v>142.1</v>
      </c>
      <c r="L74">
        <v>156.04</v>
      </c>
      <c r="M74">
        <v>33.96</v>
      </c>
      <c r="N74">
        <v>116.36</v>
      </c>
      <c r="O74">
        <v>81.650000000000006</v>
      </c>
      <c r="P74">
        <v>41.02</v>
      </c>
      <c r="Q74">
        <v>126.72</v>
      </c>
      <c r="R74">
        <v>180.98</v>
      </c>
      <c r="S74">
        <v>59.04</v>
      </c>
      <c r="T74">
        <v>63.25</v>
      </c>
      <c r="U74">
        <v>54.92</v>
      </c>
      <c r="V74">
        <v>31.48</v>
      </c>
      <c r="W74">
        <v>85.05</v>
      </c>
      <c r="X74">
        <v>115.96</v>
      </c>
      <c r="Y74">
        <v>164.48</v>
      </c>
      <c r="Z74">
        <v>108.5</v>
      </c>
      <c r="AA74">
        <v>88.52</v>
      </c>
      <c r="AB74">
        <v>45.36</v>
      </c>
      <c r="AC74">
        <v>79.180000000000007</v>
      </c>
      <c r="AD74">
        <v>70.88</v>
      </c>
      <c r="AE74">
        <v>74.83</v>
      </c>
      <c r="AI74" s="2">
        <v>5000</v>
      </c>
      <c r="AJ74" s="2">
        <f t="shared" si="43"/>
        <v>1050</v>
      </c>
      <c r="AK74" s="2">
        <f t="shared" si="43"/>
        <v>1050</v>
      </c>
      <c r="AL74" s="2">
        <f t="shared" si="43"/>
        <v>1050</v>
      </c>
      <c r="AM74" s="2">
        <f t="shared" si="43"/>
        <v>1050</v>
      </c>
      <c r="AN74" s="2">
        <f t="shared" si="43"/>
        <v>1050</v>
      </c>
      <c r="AO74" s="2">
        <f t="shared" si="43"/>
        <v>1050</v>
      </c>
      <c r="AP74" s="2">
        <v>0</v>
      </c>
      <c r="AQ74" s="2">
        <v>1000</v>
      </c>
      <c r="AR74" s="2">
        <v>0</v>
      </c>
      <c r="AS74" s="2">
        <v>1000</v>
      </c>
      <c r="AT74" s="2">
        <v>1000</v>
      </c>
      <c r="AU74" s="2">
        <v>1000</v>
      </c>
      <c r="AV74" s="2">
        <v>1000</v>
      </c>
      <c r="AW74" s="2">
        <v>0</v>
      </c>
      <c r="AX74" s="2">
        <v>1000</v>
      </c>
      <c r="AY74" s="2">
        <v>1000</v>
      </c>
      <c r="AZ74" s="2">
        <v>997</v>
      </c>
      <c r="BA74" s="2">
        <v>1078</v>
      </c>
      <c r="BB74" s="2">
        <v>905</v>
      </c>
      <c r="BC74" s="2">
        <v>-1000</v>
      </c>
      <c r="BD74" s="2">
        <v>1000</v>
      </c>
      <c r="BE74" s="2">
        <v>5000</v>
      </c>
      <c r="BF74" s="2">
        <v>3000</v>
      </c>
      <c r="BG74" s="2">
        <v>5000</v>
      </c>
      <c r="BH74" s="2">
        <v>5000</v>
      </c>
      <c r="BI74" s="2">
        <v>3000</v>
      </c>
      <c r="BJ74" s="2">
        <v>0</v>
      </c>
      <c r="BK74" s="2">
        <v>1000</v>
      </c>
      <c r="BL74" s="2">
        <v>1000</v>
      </c>
      <c r="BO74" s="2">
        <f t="shared" si="44"/>
        <v>0</v>
      </c>
      <c r="BP74" s="2">
        <f t="shared" si="11"/>
        <v>0</v>
      </c>
      <c r="BQ74" s="2">
        <f t="shared" si="12"/>
        <v>0</v>
      </c>
      <c r="BR74" s="2">
        <f t="shared" si="13"/>
        <v>0</v>
      </c>
      <c r="BS74" s="2">
        <f t="shared" si="14"/>
        <v>0</v>
      </c>
      <c r="BT74" s="2">
        <f t="shared" si="15"/>
        <v>0</v>
      </c>
      <c r="BU74" s="2">
        <f t="shared" si="16"/>
        <v>0</v>
      </c>
      <c r="BV74" s="2">
        <f t="shared" si="17"/>
        <v>0</v>
      </c>
      <c r="BW74" s="2">
        <f t="shared" si="18"/>
        <v>0</v>
      </c>
      <c r="BX74" s="2">
        <f t="shared" si="19"/>
        <v>0</v>
      </c>
      <c r="BY74" s="2">
        <f t="shared" si="20"/>
        <v>0</v>
      </c>
      <c r="BZ74" s="2">
        <f t="shared" si="21"/>
        <v>0</v>
      </c>
      <c r="CA74" s="2">
        <f t="shared" si="22"/>
        <v>0</v>
      </c>
      <c r="CB74" s="2">
        <f t="shared" si="23"/>
        <v>0</v>
      </c>
      <c r="CC74" s="2">
        <f t="shared" si="24"/>
        <v>0</v>
      </c>
      <c r="CD74" s="2">
        <f t="shared" si="25"/>
        <v>0</v>
      </c>
      <c r="CE74" s="2">
        <f t="shared" si="26"/>
        <v>0</v>
      </c>
      <c r="CF74" s="2">
        <f t="shared" si="27"/>
        <v>590.4</v>
      </c>
      <c r="CG74" s="2">
        <f t="shared" si="28"/>
        <v>-10879</v>
      </c>
      <c r="CH74" s="2">
        <f t="shared" si="29"/>
        <v>8567.52</v>
      </c>
      <c r="CI74" s="2">
        <f t="shared" si="30"/>
        <v>0</v>
      </c>
      <c r="CJ74" s="2">
        <f t="shared" si="31"/>
        <v>0</v>
      </c>
      <c r="CK74" s="2">
        <f t="shared" si="32"/>
        <v>0</v>
      </c>
      <c r="CL74" s="2">
        <f t="shared" si="33"/>
        <v>0</v>
      </c>
      <c r="CM74" s="2">
        <f t="shared" si="5"/>
        <v>0</v>
      </c>
      <c r="CN74" s="2">
        <f t="shared" si="6"/>
        <v>0</v>
      </c>
      <c r="CO74" s="2">
        <f t="shared" si="7"/>
        <v>0</v>
      </c>
      <c r="CP74" s="2">
        <f t="shared" si="8"/>
        <v>0</v>
      </c>
      <c r="CQ74" s="2">
        <f t="shared" si="9"/>
        <v>0</v>
      </c>
      <c r="CR74" s="2">
        <f t="shared" si="10"/>
        <v>0</v>
      </c>
      <c r="CV74" t="s">
        <v>64</v>
      </c>
      <c r="CW74" t="s">
        <v>147</v>
      </c>
      <c r="CX74" t="s">
        <v>2</v>
      </c>
      <c r="CY74" s="4">
        <v>42941</v>
      </c>
      <c r="CZ74" t="s">
        <v>65</v>
      </c>
      <c r="DA74" t="s">
        <v>66</v>
      </c>
      <c r="DB74">
        <v>10</v>
      </c>
      <c r="DC74">
        <v>83.82</v>
      </c>
      <c r="DD74" t="s">
        <v>69</v>
      </c>
      <c r="DE74" t="s">
        <v>70</v>
      </c>
      <c r="DF74">
        <v>838.19999999999993</v>
      </c>
    </row>
    <row r="75" spans="1:110" x14ac:dyDescent="0.25">
      <c r="A75" s="1">
        <v>42844</v>
      </c>
      <c r="B75">
        <v>136.41</v>
      </c>
      <c r="C75">
        <v>73.86</v>
      </c>
      <c r="D75">
        <v>170.83</v>
      </c>
      <c r="E75">
        <v>88.92</v>
      </c>
      <c r="F75">
        <v>30.89</v>
      </c>
      <c r="G75">
        <v>96.48</v>
      </c>
      <c r="H75">
        <v>110.24</v>
      </c>
      <c r="I75">
        <v>1</v>
      </c>
      <c r="J75">
        <v>209.1</v>
      </c>
      <c r="K75">
        <v>141.58000000000001</v>
      </c>
      <c r="L75">
        <v>148.37</v>
      </c>
      <c r="M75">
        <v>34.090000000000003</v>
      </c>
      <c r="N75">
        <v>115.93</v>
      </c>
      <c r="O75">
        <v>80.98</v>
      </c>
      <c r="P75">
        <v>40.78</v>
      </c>
      <c r="Q75">
        <v>127.04</v>
      </c>
      <c r="R75">
        <v>180.61</v>
      </c>
      <c r="S75">
        <v>59.4</v>
      </c>
      <c r="T75">
        <v>62.92</v>
      </c>
      <c r="U75">
        <v>54.68</v>
      </c>
      <c r="V75">
        <v>31.27</v>
      </c>
      <c r="W75">
        <v>84.57</v>
      </c>
      <c r="X75">
        <v>115.62</v>
      </c>
      <c r="Y75">
        <v>165.12</v>
      </c>
      <c r="Z75">
        <v>107.88</v>
      </c>
      <c r="AA75">
        <v>88.54</v>
      </c>
      <c r="AB75">
        <v>45.1</v>
      </c>
      <c r="AC75">
        <v>79.84</v>
      </c>
      <c r="AD75">
        <v>71.05</v>
      </c>
      <c r="AE75">
        <v>74.31</v>
      </c>
      <c r="AI75" s="2">
        <v>5000</v>
      </c>
      <c r="AJ75" s="2">
        <f t="shared" si="43"/>
        <v>1050</v>
      </c>
      <c r="AK75" s="2">
        <f t="shared" si="43"/>
        <v>1050</v>
      </c>
      <c r="AL75" s="2">
        <f t="shared" si="43"/>
        <v>1050</v>
      </c>
      <c r="AM75" s="2">
        <f t="shared" si="43"/>
        <v>1050</v>
      </c>
      <c r="AN75" s="2">
        <f t="shared" si="43"/>
        <v>1050</v>
      </c>
      <c r="AO75" s="2">
        <f t="shared" si="43"/>
        <v>1050</v>
      </c>
      <c r="AP75" s="2">
        <v>0</v>
      </c>
      <c r="AQ75" s="2">
        <v>1000</v>
      </c>
      <c r="AR75" s="2">
        <v>0</v>
      </c>
      <c r="AS75" s="2">
        <v>1000</v>
      </c>
      <c r="AT75" s="2">
        <v>1000</v>
      </c>
      <c r="AU75" s="2">
        <v>1000</v>
      </c>
      <c r="AV75" s="2">
        <v>1000</v>
      </c>
      <c r="AW75" s="2">
        <v>0</v>
      </c>
      <c r="AX75" s="2">
        <v>1000</v>
      </c>
      <c r="AY75" s="2">
        <v>1000</v>
      </c>
      <c r="AZ75" s="2">
        <v>1030</v>
      </c>
      <c r="BA75" s="2">
        <v>937</v>
      </c>
      <c r="BB75" s="2">
        <v>916</v>
      </c>
      <c r="BC75" s="2">
        <v>-1000</v>
      </c>
      <c r="BD75" s="2">
        <v>1000</v>
      </c>
      <c r="BE75" s="2">
        <v>5000</v>
      </c>
      <c r="BF75" s="2">
        <v>3000</v>
      </c>
      <c r="BG75" s="2">
        <v>5000</v>
      </c>
      <c r="BH75" s="2">
        <v>5000</v>
      </c>
      <c r="BI75" s="2">
        <v>3000</v>
      </c>
      <c r="BJ75" s="2">
        <v>0</v>
      </c>
      <c r="BK75" s="2">
        <v>1000</v>
      </c>
      <c r="BL75" s="2">
        <v>1000</v>
      </c>
      <c r="BO75" s="2">
        <f t="shared" si="44"/>
        <v>0</v>
      </c>
      <c r="BP75" s="2">
        <f t="shared" si="11"/>
        <v>0</v>
      </c>
      <c r="BQ75" s="2">
        <f t="shared" si="12"/>
        <v>0</v>
      </c>
      <c r="BR75" s="2">
        <f t="shared" si="13"/>
        <v>0</v>
      </c>
      <c r="BS75" s="2">
        <f t="shared" si="14"/>
        <v>0</v>
      </c>
      <c r="BT75" s="2">
        <f t="shared" si="15"/>
        <v>0</v>
      </c>
      <c r="BU75" s="2">
        <f t="shared" si="16"/>
        <v>0</v>
      </c>
      <c r="BV75" s="2">
        <f t="shared" si="17"/>
        <v>0</v>
      </c>
      <c r="BW75" s="2">
        <f t="shared" si="18"/>
        <v>0</v>
      </c>
      <c r="BX75" s="2">
        <f t="shared" si="19"/>
        <v>0</v>
      </c>
      <c r="BY75" s="2">
        <f t="shared" si="20"/>
        <v>0</v>
      </c>
      <c r="BZ75" s="2">
        <f t="shared" si="21"/>
        <v>0</v>
      </c>
      <c r="CA75" s="2">
        <f t="shared" si="22"/>
        <v>0</v>
      </c>
      <c r="CB75" s="2">
        <f t="shared" si="23"/>
        <v>0</v>
      </c>
      <c r="CC75" s="2">
        <f t="shared" si="24"/>
        <v>0</v>
      </c>
      <c r="CD75" s="2">
        <f t="shared" si="25"/>
        <v>0</v>
      </c>
      <c r="CE75" s="2">
        <f t="shared" si="26"/>
        <v>0</v>
      </c>
      <c r="CF75" s="2">
        <f t="shared" si="27"/>
        <v>-1960.2</v>
      </c>
      <c r="CG75" s="2">
        <f t="shared" si="28"/>
        <v>8871.7199999999993</v>
      </c>
      <c r="CH75" s="2">
        <f t="shared" si="29"/>
        <v>-601.48</v>
      </c>
      <c r="CI75" s="2">
        <f t="shared" si="30"/>
        <v>0</v>
      </c>
      <c r="CJ75" s="2">
        <f t="shared" si="31"/>
        <v>0</v>
      </c>
      <c r="CK75" s="2">
        <f t="shared" si="32"/>
        <v>0</v>
      </c>
      <c r="CL75" s="2">
        <f t="shared" si="33"/>
        <v>0</v>
      </c>
      <c r="CM75" s="2">
        <f t="shared" ref="CM75:CM138" si="47">(BG74-BG75)*Z75</f>
        <v>0</v>
      </c>
      <c r="CN75" s="2">
        <f t="shared" ref="CN75:CN138" si="48">(BH74-BH75)*AA75</f>
        <v>0</v>
      </c>
      <c r="CO75" s="2">
        <f t="shared" ref="CO75:CO138" si="49">(BI74-BI75)*AB75</f>
        <v>0</v>
      </c>
      <c r="CP75" s="2">
        <f t="shared" ref="CP75:CP138" si="50">(BJ74-BJ75)*AC75</f>
        <v>0</v>
      </c>
      <c r="CQ75" s="2">
        <f t="shared" ref="CQ75:CQ138" si="51">(BK74-BK75)*AD75</f>
        <v>0</v>
      </c>
      <c r="CR75" s="2">
        <f t="shared" ref="CR75:CR138" si="52">(BL74-BL75)*AE75</f>
        <v>0</v>
      </c>
      <c r="CV75" t="s">
        <v>64</v>
      </c>
      <c r="CW75" t="s">
        <v>148</v>
      </c>
      <c r="CX75" t="s">
        <v>2</v>
      </c>
      <c r="CY75" s="4">
        <v>42961</v>
      </c>
      <c r="CZ75" t="s">
        <v>65</v>
      </c>
      <c r="DA75" t="s">
        <v>66</v>
      </c>
      <c r="DB75">
        <v>10</v>
      </c>
      <c r="DC75">
        <v>83.88</v>
      </c>
      <c r="DD75" t="s">
        <v>69</v>
      </c>
      <c r="DE75" t="s">
        <v>70</v>
      </c>
      <c r="DF75">
        <v>838.8</v>
      </c>
    </row>
    <row r="76" spans="1:110" x14ac:dyDescent="0.25">
      <c r="A76" s="1">
        <v>42845</v>
      </c>
      <c r="B76">
        <v>138.12</v>
      </c>
      <c r="C76">
        <v>78.239999999999995</v>
      </c>
      <c r="D76">
        <v>171.69</v>
      </c>
      <c r="E76">
        <v>90.8</v>
      </c>
      <c r="F76">
        <v>31.06</v>
      </c>
      <c r="G76">
        <v>97.08</v>
      </c>
      <c r="H76">
        <v>111.27</v>
      </c>
      <c r="I76">
        <v>1</v>
      </c>
      <c r="J76">
        <v>212.98</v>
      </c>
      <c r="K76">
        <v>143.02000000000001</v>
      </c>
      <c r="L76">
        <v>148.93</v>
      </c>
      <c r="M76">
        <v>34.35</v>
      </c>
      <c r="N76">
        <v>116.41</v>
      </c>
      <c r="O76">
        <v>82.03</v>
      </c>
      <c r="P76">
        <v>40.65</v>
      </c>
      <c r="Q76">
        <v>127.65</v>
      </c>
      <c r="R76">
        <v>181.87</v>
      </c>
      <c r="S76">
        <v>59.31</v>
      </c>
      <c r="T76">
        <v>63.36</v>
      </c>
      <c r="U76">
        <v>55.21</v>
      </c>
      <c r="V76">
        <v>31.39</v>
      </c>
      <c r="W76">
        <v>84.31</v>
      </c>
      <c r="X76">
        <v>114.16</v>
      </c>
      <c r="Y76">
        <v>167.36</v>
      </c>
      <c r="Z76">
        <v>108.86</v>
      </c>
      <c r="AA76">
        <v>89.92</v>
      </c>
      <c r="AB76">
        <v>44.61</v>
      </c>
      <c r="AC76">
        <v>80.44</v>
      </c>
      <c r="AD76">
        <v>71.75</v>
      </c>
      <c r="AE76">
        <v>74.790000000000006</v>
      </c>
      <c r="AI76" s="2">
        <v>5000</v>
      </c>
      <c r="AJ76" s="2">
        <f t="shared" si="43"/>
        <v>1050</v>
      </c>
      <c r="AK76" s="2">
        <f t="shared" si="43"/>
        <v>1050</v>
      </c>
      <c r="AL76" s="2">
        <f t="shared" si="43"/>
        <v>1050</v>
      </c>
      <c r="AM76" s="2">
        <f t="shared" si="43"/>
        <v>1050</v>
      </c>
      <c r="AN76" s="2">
        <f t="shared" si="43"/>
        <v>1050</v>
      </c>
      <c r="AO76" s="2">
        <f t="shared" si="43"/>
        <v>1050</v>
      </c>
      <c r="AP76" s="2">
        <v>0</v>
      </c>
      <c r="AQ76" s="2">
        <v>1000</v>
      </c>
      <c r="AR76" s="2">
        <v>0</v>
      </c>
      <c r="AS76" s="2">
        <v>1000</v>
      </c>
      <c r="AT76" s="2">
        <v>1000</v>
      </c>
      <c r="AU76" s="2">
        <v>1000</v>
      </c>
      <c r="AV76" s="2">
        <v>1000</v>
      </c>
      <c r="AW76" s="2">
        <v>0</v>
      </c>
      <c r="AX76" s="2">
        <v>1000</v>
      </c>
      <c r="AY76" s="2">
        <v>1000</v>
      </c>
      <c r="AZ76" s="2">
        <v>980</v>
      </c>
      <c r="BA76" s="2">
        <v>923</v>
      </c>
      <c r="BB76" s="2">
        <v>910</v>
      </c>
      <c r="BC76" s="2">
        <v>-1000</v>
      </c>
      <c r="BD76" s="2">
        <v>1000</v>
      </c>
      <c r="BE76" s="2">
        <v>5000</v>
      </c>
      <c r="BF76" s="2">
        <v>3000</v>
      </c>
      <c r="BG76" s="2">
        <v>5000</v>
      </c>
      <c r="BH76" s="2">
        <v>5000</v>
      </c>
      <c r="BI76" s="2">
        <v>3000</v>
      </c>
      <c r="BJ76" s="2">
        <v>0</v>
      </c>
      <c r="BK76" s="2">
        <v>1000</v>
      </c>
      <c r="BL76" s="2">
        <v>1000</v>
      </c>
      <c r="BO76" s="2">
        <f t="shared" si="44"/>
        <v>0</v>
      </c>
      <c r="BP76" s="2">
        <f t="shared" ref="BP76:BP139" si="53">(AJ75-AJ76)*C76</f>
        <v>0</v>
      </c>
      <c r="BQ76" s="2">
        <f t="shared" ref="BQ76:BQ139" si="54">(AK75-AK76)*D76</f>
        <v>0</v>
      </c>
      <c r="BR76" s="2">
        <f t="shared" ref="BR76:BR139" si="55">(AL75-AL76)*E76</f>
        <v>0</v>
      </c>
      <c r="BS76" s="2">
        <f t="shared" ref="BS76:BS139" si="56">(AM75-AM76)*F76</f>
        <v>0</v>
      </c>
      <c r="BT76" s="2">
        <f t="shared" ref="BT76:BT139" si="57">(AN75-AN76)*G76</f>
        <v>0</v>
      </c>
      <c r="BU76" s="2">
        <f t="shared" ref="BU76:BU139" si="58">(AO75-AO76)*H76</f>
        <v>0</v>
      </c>
      <c r="BV76" s="2">
        <f t="shared" ref="BV76:BV139" si="59">(AP75-AP76)*I76</f>
        <v>0</v>
      </c>
      <c r="BW76" s="2">
        <f t="shared" ref="BW76:BW139" si="60">(AQ75-AQ76)*J76</f>
        <v>0</v>
      </c>
      <c r="BX76" s="2">
        <f t="shared" ref="BX76:BX139" si="61">(AR75-AR76)*K76</f>
        <v>0</v>
      </c>
      <c r="BY76" s="2">
        <f t="shared" ref="BY76:BY139" si="62">(AS75-AS76)*L76</f>
        <v>0</v>
      </c>
      <c r="BZ76" s="2">
        <f t="shared" ref="BZ76:BZ139" si="63">(AT75-AT76)*M76</f>
        <v>0</v>
      </c>
      <c r="CA76" s="2">
        <f t="shared" ref="CA76:CA139" si="64">(AU75-AU76)*N76</f>
        <v>0</v>
      </c>
      <c r="CB76" s="2">
        <f t="shared" ref="CB76:CB139" si="65">(AV75-AV76)*O76</f>
        <v>0</v>
      </c>
      <c r="CC76" s="2">
        <f t="shared" ref="CC76:CC139" si="66">(AW75-AW76)*P76</f>
        <v>0</v>
      </c>
      <c r="CD76" s="2">
        <f t="shared" ref="CD76:CD139" si="67">(AX75-AX76)*Q76</f>
        <v>0</v>
      </c>
      <c r="CE76" s="2">
        <f t="shared" ref="CE76:CE139" si="68">(AY75-AY76)*R76</f>
        <v>0</v>
      </c>
      <c r="CF76" s="2">
        <f t="shared" ref="CF76:CF139" si="69">(AZ75-AZ76)*S76</f>
        <v>2965.5</v>
      </c>
      <c r="CG76" s="2">
        <f t="shared" ref="CG76:CG139" si="70">(BA75-BA76)*T76</f>
        <v>887.04</v>
      </c>
      <c r="CH76" s="2">
        <f t="shared" ref="CH76:CH139" si="71">(BB75-BB76)*U76</f>
        <v>331.26</v>
      </c>
      <c r="CI76" s="2">
        <f t="shared" ref="CI76:CI139" si="72">(BC75-BC76)*V76</f>
        <v>0</v>
      </c>
      <c r="CJ76" s="2">
        <f t="shared" ref="CJ76:CJ139" si="73">(BD75-BD76)*W76</f>
        <v>0</v>
      </c>
      <c r="CK76" s="2">
        <f t="shared" ref="CK76:CK139" si="74">(BE75-BE76)*X76</f>
        <v>0</v>
      </c>
      <c r="CL76" s="2">
        <f t="shared" ref="CL76:CL139" si="75">(BF75-BF76)*Y76</f>
        <v>0</v>
      </c>
      <c r="CM76" s="2">
        <f t="shared" si="47"/>
        <v>0</v>
      </c>
      <c r="CN76" s="2">
        <f t="shared" si="48"/>
        <v>0</v>
      </c>
      <c r="CO76" s="2">
        <f t="shared" si="49"/>
        <v>0</v>
      </c>
      <c r="CP76" s="2">
        <f t="shared" si="50"/>
        <v>0</v>
      </c>
      <c r="CQ76" s="2">
        <f t="shared" si="51"/>
        <v>0</v>
      </c>
      <c r="CR76" s="2">
        <f t="shared" si="52"/>
        <v>0</v>
      </c>
      <c r="CV76" t="s">
        <v>64</v>
      </c>
      <c r="CW76" t="s">
        <v>149</v>
      </c>
      <c r="CX76" t="s">
        <v>2</v>
      </c>
      <c r="CY76" s="4">
        <v>42979</v>
      </c>
      <c r="CZ76" t="s">
        <v>65</v>
      </c>
      <c r="DA76" t="s">
        <v>66</v>
      </c>
      <c r="DB76">
        <v>10</v>
      </c>
      <c r="DC76">
        <v>84.54</v>
      </c>
      <c r="DD76" t="s">
        <v>69</v>
      </c>
      <c r="DE76" t="s">
        <v>70</v>
      </c>
      <c r="DF76">
        <v>845.40000000000009</v>
      </c>
    </row>
    <row r="77" spans="1:110" x14ac:dyDescent="0.25">
      <c r="A77" s="1">
        <v>42846</v>
      </c>
      <c r="B77">
        <v>137.94999999999999</v>
      </c>
      <c r="C77">
        <v>77.81</v>
      </c>
      <c r="D77">
        <v>172.72</v>
      </c>
      <c r="E77">
        <v>90.47</v>
      </c>
      <c r="F77">
        <v>31.05</v>
      </c>
      <c r="G77">
        <v>97.09</v>
      </c>
      <c r="H77">
        <v>110.93</v>
      </c>
      <c r="I77">
        <v>1</v>
      </c>
      <c r="J77">
        <v>211.8</v>
      </c>
      <c r="K77">
        <v>144.25</v>
      </c>
      <c r="L77">
        <v>147.16</v>
      </c>
      <c r="M77">
        <v>34.479999999999997</v>
      </c>
      <c r="N77">
        <v>116.31</v>
      </c>
      <c r="O77">
        <v>81.040000000000006</v>
      </c>
      <c r="P77">
        <v>40.630000000000003</v>
      </c>
      <c r="Q77">
        <v>127.78</v>
      </c>
      <c r="R77">
        <v>182.2</v>
      </c>
      <c r="S77">
        <v>58.68</v>
      </c>
      <c r="T77">
        <v>64.23</v>
      </c>
      <c r="U77">
        <v>54.67</v>
      </c>
      <c r="V77">
        <v>31.3</v>
      </c>
      <c r="W77">
        <v>83.64</v>
      </c>
      <c r="X77">
        <v>114.37</v>
      </c>
      <c r="Y77">
        <v>166.99</v>
      </c>
      <c r="Z77">
        <v>109.86</v>
      </c>
      <c r="AA77">
        <v>89.92</v>
      </c>
      <c r="AB77">
        <v>43.54</v>
      </c>
      <c r="AC77">
        <v>80.34</v>
      </c>
      <c r="AD77">
        <v>71.88</v>
      </c>
      <c r="AE77">
        <v>74.489999999999995</v>
      </c>
      <c r="AI77" s="2">
        <v>5000</v>
      </c>
      <c r="AJ77" s="2">
        <f t="shared" si="43"/>
        <v>1050</v>
      </c>
      <c r="AK77" s="2">
        <f t="shared" si="43"/>
        <v>1050</v>
      </c>
      <c r="AL77" s="2">
        <f t="shared" si="43"/>
        <v>1050</v>
      </c>
      <c r="AM77" s="2">
        <f t="shared" si="43"/>
        <v>1050</v>
      </c>
      <c r="AN77" s="2">
        <f t="shared" si="43"/>
        <v>1050</v>
      </c>
      <c r="AO77" s="2">
        <f t="shared" si="43"/>
        <v>1050</v>
      </c>
      <c r="AP77" s="2">
        <v>0</v>
      </c>
      <c r="AQ77" s="2">
        <v>1000</v>
      </c>
      <c r="AR77" s="2">
        <v>0</v>
      </c>
      <c r="AS77" s="2">
        <v>1000</v>
      </c>
      <c r="AT77" s="2">
        <v>1000</v>
      </c>
      <c r="AU77" s="2">
        <v>1000</v>
      </c>
      <c r="AV77" s="2">
        <v>1000</v>
      </c>
      <c r="AW77" s="2">
        <v>0</v>
      </c>
      <c r="AX77" s="2">
        <v>0</v>
      </c>
      <c r="AY77" s="2">
        <v>1000</v>
      </c>
      <c r="AZ77" s="2">
        <v>975</v>
      </c>
      <c r="BA77" s="2">
        <v>1021</v>
      </c>
      <c r="BB77" s="2">
        <v>1053</v>
      </c>
      <c r="BC77" s="2">
        <v>-1000</v>
      </c>
      <c r="BD77" s="2">
        <v>1000</v>
      </c>
      <c r="BE77" s="2">
        <v>5000</v>
      </c>
      <c r="BF77" s="2">
        <v>3000</v>
      </c>
      <c r="BG77" s="2">
        <v>2000</v>
      </c>
      <c r="BH77" s="2">
        <v>5000</v>
      </c>
      <c r="BI77" s="2">
        <v>3000</v>
      </c>
      <c r="BJ77" s="2">
        <v>0</v>
      </c>
      <c r="BK77" s="2">
        <v>1000</v>
      </c>
      <c r="BL77" s="2">
        <v>1000</v>
      </c>
      <c r="BO77" s="2">
        <f t="shared" si="44"/>
        <v>0</v>
      </c>
      <c r="BP77" s="2">
        <f t="shared" si="53"/>
        <v>0</v>
      </c>
      <c r="BQ77" s="2">
        <f t="shared" si="54"/>
        <v>0</v>
      </c>
      <c r="BR77" s="2">
        <f t="shared" si="55"/>
        <v>0</v>
      </c>
      <c r="BS77" s="2">
        <f t="shared" si="56"/>
        <v>0</v>
      </c>
      <c r="BT77" s="2">
        <f t="shared" si="57"/>
        <v>0</v>
      </c>
      <c r="BU77" s="2">
        <f t="shared" si="58"/>
        <v>0</v>
      </c>
      <c r="BV77" s="2">
        <f t="shared" si="59"/>
        <v>0</v>
      </c>
      <c r="BW77" s="2">
        <f t="shared" si="60"/>
        <v>0</v>
      </c>
      <c r="BX77" s="2">
        <f t="shared" si="61"/>
        <v>0</v>
      </c>
      <c r="BY77" s="2">
        <f t="shared" si="62"/>
        <v>0</v>
      </c>
      <c r="BZ77" s="2">
        <f t="shared" si="63"/>
        <v>0</v>
      </c>
      <c r="CA77" s="2">
        <f t="shared" si="64"/>
        <v>0</v>
      </c>
      <c r="CB77" s="2">
        <f t="shared" si="65"/>
        <v>0</v>
      </c>
      <c r="CC77" s="2">
        <f t="shared" si="66"/>
        <v>0</v>
      </c>
      <c r="CD77" s="2">
        <f t="shared" si="67"/>
        <v>127780</v>
      </c>
      <c r="CE77" s="2">
        <f t="shared" si="68"/>
        <v>0</v>
      </c>
      <c r="CF77" s="2">
        <f t="shared" si="69"/>
        <v>293.39999999999998</v>
      </c>
      <c r="CG77" s="2">
        <f t="shared" si="70"/>
        <v>-6294.54</v>
      </c>
      <c r="CH77" s="2">
        <f t="shared" si="71"/>
        <v>-7817.81</v>
      </c>
      <c r="CI77" s="2">
        <f t="shared" si="72"/>
        <v>0</v>
      </c>
      <c r="CJ77" s="2">
        <f t="shared" si="73"/>
        <v>0</v>
      </c>
      <c r="CK77" s="2">
        <f t="shared" si="74"/>
        <v>0</v>
      </c>
      <c r="CL77" s="2">
        <f t="shared" si="75"/>
        <v>0</v>
      </c>
      <c r="CM77" s="2">
        <f t="shared" si="47"/>
        <v>329580</v>
      </c>
      <c r="CN77" s="2">
        <f t="shared" si="48"/>
        <v>0</v>
      </c>
      <c r="CO77" s="2">
        <f t="shared" si="49"/>
        <v>0</v>
      </c>
      <c r="CP77" s="2">
        <f t="shared" si="50"/>
        <v>0</v>
      </c>
      <c r="CQ77" s="2">
        <f t="shared" si="51"/>
        <v>0</v>
      </c>
      <c r="CR77" s="2">
        <f t="shared" si="52"/>
        <v>0</v>
      </c>
      <c r="CV77" t="s">
        <v>64</v>
      </c>
      <c r="CW77" t="s">
        <v>150</v>
      </c>
      <c r="CX77" t="s">
        <v>2</v>
      </c>
      <c r="CY77" s="4">
        <v>43000</v>
      </c>
      <c r="CZ77" t="s">
        <v>65</v>
      </c>
      <c r="DA77" t="s">
        <v>66</v>
      </c>
      <c r="DB77">
        <v>10</v>
      </c>
      <c r="DC77">
        <v>86.75</v>
      </c>
      <c r="DD77" t="s">
        <v>69</v>
      </c>
      <c r="DE77" t="s">
        <v>70</v>
      </c>
      <c r="DF77">
        <v>867.5</v>
      </c>
    </row>
    <row r="78" spans="1:110" x14ac:dyDescent="0.25">
      <c r="A78" s="1">
        <v>42849</v>
      </c>
      <c r="B78">
        <v>139.28</v>
      </c>
      <c r="C78">
        <v>78.66</v>
      </c>
      <c r="D78">
        <v>174.33</v>
      </c>
      <c r="E78">
        <v>92.86</v>
      </c>
      <c r="F78">
        <v>31.48</v>
      </c>
      <c r="G78">
        <v>98.05</v>
      </c>
      <c r="H78">
        <v>110.21</v>
      </c>
      <c r="I78">
        <v>1</v>
      </c>
      <c r="J78">
        <v>218.02</v>
      </c>
      <c r="K78">
        <v>146.07</v>
      </c>
      <c r="L78">
        <v>147.5</v>
      </c>
      <c r="M78">
        <v>34.89</v>
      </c>
      <c r="N78">
        <v>117.39</v>
      </c>
      <c r="O78">
        <v>83.9</v>
      </c>
      <c r="P78">
        <v>40.83</v>
      </c>
      <c r="Q78">
        <v>128.57</v>
      </c>
      <c r="R78">
        <v>184.8</v>
      </c>
      <c r="S78">
        <v>58.92</v>
      </c>
      <c r="T78">
        <v>65.319999999999993</v>
      </c>
      <c r="U78">
        <v>54.3</v>
      </c>
      <c r="V78">
        <v>31.39</v>
      </c>
      <c r="W78">
        <v>84.52</v>
      </c>
      <c r="X78">
        <v>115.78</v>
      </c>
      <c r="Y78">
        <v>168.13</v>
      </c>
      <c r="Z78">
        <v>111.13</v>
      </c>
      <c r="AA78">
        <v>90.62</v>
      </c>
      <c r="AB78">
        <v>43.36</v>
      </c>
      <c r="AC78">
        <v>80.58</v>
      </c>
      <c r="AD78">
        <v>71.73</v>
      </c>
      <c r="AE78">
        <v>74.88</v>
      </c>
      <c r="AI78" s="2">
        <v>5000</v>
      </c>
      <c r="AJ78" s="2">
        <f t="shared" si="43"/>
        <v>1050</v>
      </c>
      <c r="AK78" s="2">
        <f t="shared" si="43"/>
        <v>1050</v>
      </c>
      <c r="AL78" s="2">
        <f t="shared" si="43"/>
        <v>1050</v>
      </c>
      <c r="AM78" s="2">
        <f t="shared" si="43"/>
        <v>1050</v>
      </c>
      <c r="AN78" s="2">
        <f t="shared" si="43"/>
        <v>1050</v>
      </c>
      <c r="AO78" s="2">
        <f t="shared" si="43"/>
        <v>1050</v>
      </c>
      <c r="AP78" s="2">
        <v>0</v>
      </c>
      <c r="AQ78" s="2">
        <v>1000</v>
      </c>
      <c r="AR78" s="2">
        <v>0</v>
      </c>
      <c r="AS78" s="2">
        <v>1000</v>
      </c>
      <c r="AT78" s="2">
        <v>1000</v>
      </c>
      <c r="AU78" s="2">
        <v>1000</v>
      </c>
      <c r="AV78" s="2">
        <v>1000</v>
      </c>
      <c r="AW78" s="2">
        <v>0</v>
      </c>
      <c r="AX78" s="2">
        <v>0</v>
      </c>
      <c r="AY78" s="2">
        <v>1000</v>
      </c>
      <c r="AZ78" s="2">
        <v>991</v>
      </c>
      <c r="BA78" s="2">
        <v>994</v>
      </c>
      <c r="BB78" s="2">
        <v>1092</v>
      </c>
      <c r="BC78" s="2">
        <v>-1000</v>
      </c>
      <c r="BD78" s="2">
        <v>1000</v>
      </c>
      <c r="BE78" s="2">
        <v>5000</v>
      </c>
      <c r="BF78" s="2">
        <v>3000</v>
      </c>
      <c r="BG78" s="2">
        <v>2000</v>
      </c>
      <c r="BH78" s="2">
        <v>5000</v>
      </c>
      <c r="BI78" s="2">
        <v>3000</v>
      </c>
      <c r="BJ78" s="2">
        <v>0</v>
      </c>
      <c r="BK78" s="2">
        <v>1000</v>
      </c>
      <c r="BL78" s="2">
        <v>1000</v>
      </c>
      <c r="BO78" s="2">
        <f t="shared" si="44"/>
        <v>0</v>
      </c>
      <c r="BP78" s="2">
        <f t="shared" si="53"/>
        <v>0</v>
      </c>
      <c r="BQ78" s="2">
        <f t="shared" si="54"/>
        <v>0</v>
      </c>
      <c r="BR78" s="2">
        <f t="shared" si="55"/>
        <v>0</v>
      </c>
      <c r="BS78" s="2">
        <f t="shared" si="56"/>
        <v>0</v>
      </c>
      <c r="BT78" s="2">
        <f t="shared" si="57"/>
        <v>0</v>
      </c>
      <c r="BU78" s="2">
        <f t="shared" si="58"/>
        <v>0</v>
      </c>
      <c r="BV78" s="2">
        <f t="shared" si="59"/>
        <v>0</v>
      </c>
      <c r="BW78" s="2">
        <f t="shared" si="60"/>
        <v>0</v>
      </c>
      <c r="BX78" s="2">
        <f t="shared" si="61"/>
        <v>0</v>
      </c>
      <c r="BY78" s="2">
        <f t="shared" si="62"/>
        <v>0</v>
      </c>
      <c r="BZ78" s="2">
        <f t="shared" si="63"/>
        <v>0</v>
      </c>
      <c r="CA78" s="2">
        <f t="shared" si="64"/>
        <v>0</v>
      </c>
      <c r="CB78" s="2">
        <f t="shared" si="65"/>
        <v>0</v>
      </c>
      <c r="CC78" s="2">
        <f t="shared" si="66"/>
        <v>0</v>
      </c>
      <c r="CD78" s="2">
        <f t="shared" si="67"/>
        <v>0</v>
      </c>
      <c r="CE78" s="2">
        <f t="shared" si="68"/>
        <v>0</v>
      </c>
      <c r="CF78" s="2">
        <f t="shared" si="69"/>
        <v>-942.72</v>
      </c>
      <c r="CG78" s="2">
        <f t="shared" si="70"/>
        <v>1763.6399999999999</v>
      </c>
      <c r="CH78" s="2">
        <f t="shared" si="71"/>
        <v>-2117.6999999999998</v>
      </c>
      <c r="CI78" s="2">
        <f t="shared" si="72"/>
        <v>0</v>
      </c>
      <c r="CJ78" s="2">
        <f t="shared" si="73"/>
        <v>0</v>
      </c>
      <c r="CK78" s="2">
        <f t="shared" si="74"/>
        <v>0</v>
      </c>
      <c r="CL78" s="2">
        <f t="shared" si="75"/>
        <v>0</v>
      </c>
      <c r="CM78" s="2">
        <f t="shared" si="47"/>
        <v>0</v>
      </c>
      <c r="CN78" s="2">
        <f t="shared" si="48"/>
        <v>0</v>
      </c>
      <c r="CO78" s="2">
        <f t="shared" si="49"/>
        <v>0</v>
      </c>
      <c r="CP78" s="2">
        <f t="shared" si="50"/>
        <v>0</v>
      </c>
      <c r="CQ78" s="2">
        <f t="shared" si="51"/>
        <v>0</v>
      </c>
      <c r="CR78" s="2">
        <f t="shared" si="52"/>
        <v>0</v>
      </c>
      <c r="CV78" t="s">
        <v>64</v>
      </c>
      <c r="CW78" t="s">
        <v>151</v>
      </c>
      <c r="CX78" t="s">
        <v>2</v>
      </c>
      <c r="CY78" s="4">
        <v>43020</v>
      </c>
      <c r="CZ78" t="s">
        <v>65</v>
      </c>
      <c r="DA78" t="s">
        <v>66</v>
      </c>
      <c r="DB78">
        <v>10</v>
      </c>
      <c r="DC78">
        <v>90.25</v>
      </c>
      <c r="DD78" t="s">
        <v>69</v>
      </c>
      <c r="DE78" t="s">
        <v>70</v>
      </c>
      <c r="DF78">
        <v>902.5</v>
      </c>
    </row>
    <row r="79" spans="1:110" x14ac:dyDescent="0.25">
      <c r="A79" s="1">
        <v>42850</v>
      </c>
      <c r="B79">
        <v>140.15</v>
      </c>
      <c r="C79">
        <v>78.83</v>
      </c>
      <c r="D79">
        <v>175.72</v>
      </c>
      <c r="E79">
        <v>100.16</v>
      </c>
      <c r="F79">
        <v>31.61</v>
      </c>
      <c r="G79">
        <v>98.79</v>
      </c>
      <c r="H79">
        <v>111.65</v>
      </c>
      <c r="I79">
        <v>1</v>
      </c>
      <c r="J79">
        <v>221.35</v>
      </c>
      <c r="K79">
        <v>147.16999999999999</v>
      </c>
      <c r="L79">
        <v>147.16999999999999</v>
      </c>
      <c r="M79">
        <v>35</v>
      </c>
      <c r="N79">
        <v>117.9</v>
      </c>
      <c r="O79">
        <v>84.63</v>
      </c>
      <c r="P79">
        <v>40.67</v>
      </c>
      <c r="Q79">
        <v>135.72</v>
      </c>
      <c r="R79">
        <v>185.65</v>
      </c>
      <c r="S79">
        <v>59.07</v>
      </c>
      <c r="T79">
        <v>65.7</v>
      </c>
      <c r="U79">
        <v>54.28</v>
      </c>
      <c r="V79">
        <v>31.41</v>
      </c>
      <c r="W79">
        <v>84.95</v>
      </c>
      <c r="X79">
        <v>116.5</v>
      </c>
      <c r="Y79">
        <v>169.8</v>
      </c>
      <c r="Z79">
        <v>111.66</v>
      </c>
      <c r="AA79">
        <v>90.87</v>
      </c>
      <c r="AB79">
        <v>43.04</v>
      </c>
      <c r="AC79">
        <v>82.14</v>
      </c>
      <c r="AD79">
        <v>71.989999999999995</v>
      </c>
      <c r="AE79">
        <v>75.45</v>
      </c>
      <c r="AI79" s="2">
        <v>5000</v>
      </c>
      <c r="AJ79" s="2">
        <f t="shared" si="43"/>
        <v>1050</v>
      </c>
      <c r="AK79" s="2">
        <f t="shared" si="43"/>
        <v>1050</v>
      </c>
      <c r="AL79" s="2">
        <f t="shared" si="43"/>
        <v>1050</v>
      </c>
      <c r="AM79" s="2">
        <f t="shared" si="43"/>
        <v>1050</v>
      </c>
      <c r="AN79" s="2">
        <f t="shared" si="43"/>
        <v>1050</v>
      </c>
      <c r="AO79" s="2">
        <f t="shared" si="43"/>
        <v>1050</v>
      </c>
      <c r="AP79" s="2">
        <v>0</v>
      </c>
      <c r="AQ79" s="2">
        <v>1000</v>
      </c>
      <c r="AR79" s="2">
        <v>0</v>
      </c>
      <c r="AS79" s="2">
        <v>1000</v>
      </c>
      <c r="AT79" s="2">
        <v>1000</v>
      </c>
      <c r="AU79" s="2">
        <v>1000</v>
      </c>
      <c r="AV79" s="2">
        <v>1000</v>
      </c>
      <c r="AW79" s="2">
        <v>0</v>
      </c>
      <c r="AX79" s="2">
        <v>0</v>
      </c>
      <c r="AY79" s="2">
        <v>1000</v>
      </c>
      <c r="AZ79" s="2">
        <v>1031</v>
      </c>
      <c r="BA79" s="2">
        <v>993</v>
      </c>
      <c r="BB79" s="2">
        <v>960</v>
      </c>
      <c r="BC79" s="2">
        <v>-1000</v>
      </c>
      <c r="BD79" s="2">
        <v>1000</v>
      </c>
      <c r="BE79" s="2">
        <v>5000</v>
      </c>
      <c r="BF79" s="2">
        <v>3000</v>
      </c>
      <c r="BG79" s="2">
        <v>2000</v>
      </c>
      <c r="BH79" s="2">
        <v>5000</v>
      </c>
      <c r="BI79" s="2">
        <v>3000</v>
      </c>
      <c r="BJ79" s="2">
        <v>0</v>
      </c>
      <c r="BK79" s="2">
        <v>1000</v>
      </c>
      <c r="BL79" s="2">
        <v>1000</v>
      </c>
      <c r="BO79" s="2">
        <f t="shared" si="44"/>
        <v>0</v>
      </c>
      <c r="BP79" s="2">
        <f t="shared" si="53"/>
        <v>0</v>
      </c>
      <c r="BQ79" s="2">
        <f t="shared" si="54"/>
        <v>0</v>
      </c>
      <c r="BR79" s="2">
        <f t="shared" si="55"/>
        <v>0</v>
      </c>
      <c r="BS79" s="2">
        <f t="shared" si="56"/>
        <v>0</v>
      </c>
      <c r="BT79" s="2">
        <f t="shared" si="57"/>
        <v>0</v>
      </c>
      <c r="BU79" s="2">
        <f t="shared" si="58"/>
        <v>0</v>
      </c>
      <c r="BV79" s="2">
        <f t="shared" si="59"/>
        <v>0</v>
      </c>
      <c r="BW79" s="2">
        <f t="shared" si="60"/>
        <v>0</v>
      </c>
      <c r="BX79" s="2">
        <f t="shared" si="61"/>
        <v>0</v>
      </c>
      <c r="BY79" s="2">
        <f t="shared" si="62"/>
        <v>0</v>
      </c>
      <c r="BZ79" s="2">
        <f t="shared" si="63"/>
        <v>0</v>
      </c>
      <c r="CA79" s="2">
        <f t="shared" si="64"/>
        <v>0</v>
      </c>
      <c r="CB79" s="2">
        <f t="shared" si="65"/>
        <v>0</v>
      </c>
      <c r="CC79" s="2">
        <f t="shared" si="66"/>
        <v>0</v>
      </c>
      <c r="CD79" s="2">
        <f t="shared" si="67"/>
        <v>0</v>
      </c>
      <c r="CE79" s="2">
        <f t="shared" si="68"/>
        <v>0</v>
      </c>
      <c r="CF79" s="2">
        <f t="shared" si="69"/>
        <v>-2362.8000000000002</v>
      </c>
      <c r="CG79" s="2">
        <f t="shared" si="70"/>
        <v>65.7</v>
      </c>
      <c r="CH79" s="2">
        <f t="shared" si="71"/>
        <v>7164.96</v>
      </c>
      <c r="CI79" s="2">
        <f t="shared" si="72"/>
        <v>0</v>
      </c>
      <c r="CJ79" s="2">
        <f t="shared" si="73"/>
        <v>0</v>
      </c>
      <c r="CK79" s="2">
        <f t="shared" si="74"/>
        <v>0</v>
      </c>
      <c r="CL79" s="2">
        <f t="shared" si="75"/>
        <v>0</v>
      </c>
      <c r="CM79" s="2">
        <f t="shared" si="47"/>
        <v>0</v>
      </c>
      <c r="CN79" s="2">
        <f t="shared" si="48"/>
        <v>0</v>
      </c>
      <c r="CO79" s="2">
        <f t="shared" si="49"/>
        <v>0</v>
      </c>
      <c r="CP79" s="2">
        <f t="shared" si="50"/>
        <v>0</v>
      </c>
      <c r="CQ79" s="2">
        <f t="shared" si="51"/>
        <v>0</v>
      </c>
      <c r="CR79" s="2">
        <f t="shared" si="52"/>
        <v>0</v>
      </c>
      <c r="CV79" t="s">
        <v>64</v>
      </c>
      <c r="CW79" t="s">
        <v>152</v>
      </c>
      <c r="CX79" t="s">
        <v>2</v>
      </c>
      <c r="CY79" s="4">
        <v>43040</v>
      </c>
      <c r="CZ79" t="s">
        <v>65</v>
      </c>
      <c r="DA79" t="s">
        <v>66</v>
      </c>
      <c r="DB79">
        <v>10</v>
      </c>
      <c r="DC79">
        <v>94.37</v>
      </c>
      <c r="DD79" t="s">
        <v>69</v>
      </c>
      <c r="DE79" t="s">
        <v>70</v>
      </c>
      <c r="DF79">
        <v>943.7</v>
      </c>
    </row>
    <row r="80" spans="1:110" x14ac:dyDescent="0.25">
      <c r="A80" s="1">
        <v>42851</v>
      </c>
      <c r="B80">
        <v>139.32</v>
      </c>
      <c r="C80">
        <v>78.72</v>
      </c>
      <c r="D80">
        <v>174</v>
      </c>
      <c r="E80">
        <v>100.39</v>
      </c>
      <c r="F80">
        <v>31.6</v>
      </c>
      <c r="G80">
        <v>98.19</v>
      </c>
      <c r="H80">
        <v>112.03</v>
      </c>
      <c r="I80">
        <v>1</v>
      </c>
      <c r="J80">
        <v>220.93</v>
      </c>
      <c r="K80">
        <v>148.31</v>
      </c>
      <c r="L80">
        <v>146.87</v>
      </c>
      <c r="M80">
        <v>35.06</v>
      </c>
      <c r="N80">
        <v>117.98</v>
      </c>
      <c r="O80">
        <v>84.79</v>
      </c>
      <c r="P80">
        <v>40.79</v>
      </c>
      <c r="Q80">
        <v>134.9</v>
      </c>
      <c r="R80">
        <v>185.53</v>
      </c>
      <c r="S80">
        <v>59.45</v>
      </c>
      <c r="T80">
        <v>65.61</v>
      </c>
      <c r="U80">
        <v>53.99</v>
      </c>
      <c r="V80">
        <v>31.49</v>
      </c>
      <c r="W80">
        <v>82.81</v>
      </c>
      <c r="X80">
        <v>117.17</v>
      </c>
      <c r="Y80">
        <v>170.13</v>
      </c>
      <c r="Z80">
        <v>112.93</v>
      </c>
      <c r="AA80">
        <v>90.59</v>
      </c>
      <c r="AB80">
        <v>43.65</v>
      </c>
      <c r="AC80">
        <v>82.14</v>
      </c>
      <c r="AD80">
        <v>72.349999999999994</v>
      </c>
      <c r="AE80">
        <v>75.150000000000006</v>
      </c>
      <c r="AI80" s="2">
        <v>5000</v>
      </c>
      <c r="AJ80" s="2">
        <f t="shared" si="43"/>
        <v>1050</v>
      </c>
      <c r="AK80" s="2">
        <f t="shared" si="43"/>
        <v>1050</v>
      </c>
      <c r="AL80" s="2">
        <f t="shared" si="43"/>
        <v>1050</v>
      </c>
      <c r="AM80" s="2">
        <f t="shared" si="43"/>
        <v>1050</v>
      </c>
      <c r="AN80" s="2">
        <f t="shared" si="43"/>
        <v>1050</v>
      </c>
      <c r="AO80" s="2">
        <f t="shared" si="43"/>
        <v>1050</v>
      </c>
      <c r="AP80" s="2">
        <v>0</v>
      </c>
      <c r="AQ80" s="2">
        <v>1000</v>
      </c>
      <c r="AR80" s="2">
        <v>0</v>
      </c>
      <c r="AS80" s="2">
        <v>1000</v>
      </c>
      <c r="AT80" s="2">
        <v>1000</v>
      </c>
      <c r="AU80" s="2">
        <v>1000</v>
      </c>
      <c r="AV80" s="2">
        <v>1000</v>
      </c>
      <c r="AW80" s="2">
        <v>0</v>
      </c>
      <c r="AX80" s="2">
        <v>0</v>
      </c>
      <c r="AY80" s="2">
        <v>1000</v>
      </c>
      <c r="AZ80" s="2">
        <v>970</v>
      </c>
      <c r="BA80" s="2">
        <v>926</v>
      </c>
      <c r="BB80" s="2">
        <v>985</v>
      </c>
      <c r="BC80" s="2">
        <v>-1000</v>
      </c>
      <c r="BD80" s="2">
        <v>1000</v>
      </c>
      <c r="BE80" s="2">
        <v>5000</v>
      </c>
      <c r="BF80" s="2">
        <v>3000</v>
      </c>
      <c r="BG80" s="2">
        <v>2000</v>
      </c>
      <c r="BH80" s="2">
        <v>5000</v>
      </c>
      <c r="BI80" s="2">
        <v>3000</v>
      </c>
      <c r="BJ80" s="2">
        <v>0</v>
      </c>
      <c r="BK80" s="2">
        <v>1000</v>
      </c>
      <c r="BL80" s="2">
        <v>1000</v>
      </c>
      <c r="BO80" s="2">
        <f t="shared" si="44"/>
        <v>0</v>
      </c>
      <c r="BP80" s="2">
        <f t="shared" si="53"/>
        <v>0</v>
      </c>
      <c r="BQ80" s="2">
        <f t="shared" si="54"/>
        <v>0</v>
      </c>
      <c r="BR80" s="2">
        <f t="shared" si="55"/>
        <v>0</v>
      </c>
      <c r="BS80" s="2">
        <f t="shared" si="56"/>
        <v>0</v>
      </c>
      <c r="BT80" s="2">
        <f t="shared" si="57"/>
        <v>0</v>
      </c>
      <c r="BU80" s="2">
        <f t="shared" si="58"/>
        <v>0</v>
      </c>
      <c r="BV80" s="2">
        <f t="shared" si="59"/>
        <v>0</v>
      </c>
      <c r="BW80" s="2">
        <f t="shared" si="60"/>
        <v>0</v>
      </c>
      <c r="BX80" s="2">
        <f t="shared" si="61"/>
        <v>0</v>
      </c>
      <c r="BY80" s="2">
        <f t="shared" si="62"/>
        <v>0</v>
      </c>
      <c r="BZ80" s="2">
        <f t="shared" si="63"/>
        <v>0</v>
      </c>
      <c r="CA80" s="2">
        <f t="shared" si="64"/>
        <v>0</v>
      </c>
      <c r="CB80" s="2">
        <f t="shared" si="65"/>
        <v>0</v>
      </c>
      <c r="CC80" s="2">
        <f t="shared" si="66"/>
        <v>0</v>
      </c>
      <c r="CD80" s="2">
        <f t="shared" si="67"/>
        <v>0</v>
      </c>
      <c r="CE80" s="2">
        <f t="shared" si="68"/>
        <v>0</v>
      </c>
      <c r="CF80" s="2">
        <f t="shared" si="69"/>
        <v>3626.4500000000003</v>
      </c>
      <c r="CG80" s="2">
        <f t="shared" si="70"/>
        <v>4395.87</v>
      </c>
      <c r="CH80" s="2">
        <f t="shared" si="71"/>
        <v>-1349.75</v>
      </c>
      <c r="CI80" s="2">
        <f t="shared" si="72"/>
        <v>0</v>
      </c>
      <c r="CJ80" s="2">
        <f t="shared" si="73"/>
        <v>0</v>
      </c>
      <c r="CK80" s="2">
        <f t="shared" si="74"/>
        <v>0</v>
      </c>
      <c r="CL80" s="2">
        <f t="shared" si="75"/>
        <v>0</v>
      </c>
      <c r="CM80" s="2">
        <f t="shared" si="47"/>
        <v>0</v>
      </c>
      <c r="CN80" s="2">
        <f t="shared" si="48"/>
        <v>0</v>
      </c>
      <c r="CO80" s="2">
        <f t="shared" si="49"/>
        <v>0</v>
      </c>
      <c r="CP80" s="2">
        <f t="shared" si="50"/>
        <v>0</v>
      </c>
      <c r="CQ80" s="2">
        <f t="shared" si="51"/>
        <v>0</v>
      </c>
      <c r="CR80" s="2">
        <f t="shared" si="52"/>
        <v>0</v>
      </c>
      <c r="CV80" t="s">
        <v>64</v>
      </c>
      <c r="CW80" t="s">
        <v>153</v>
      </c>
      <c r="CX80" t="s">
        <v>2</v>
      </c>
      <c r="CY80" s="4">
        <v>43060</v>
      </c>
      <c r="CZ80" t="s">
        <v>65</v>
      </c>
      <c r="DA80" t="s">
        <v>66</v>
      </c>
      <c r="DB80">
        <v>10</v>
      </c>
      <c r="DC80">
        <v>93.01</v>
      </c>
      <c r="DD80" t="s">
        <v>69</v>
      </c>
      <c r="DE80" t="s">
        <v>70</v>
      </c>
      <c r="DF80">
        <v>930.1</v>
      </c>
    </row>
    <row r="81" spans="1:110" x14ac:dyDescent="0.25">
      <c r="A81" s="1">
        <v>42852</v>
      </c>
      <c r="B81">
        <v>139.43</v>
      </c>
      <c r="C81">
        <v>78.540000000000006</v>
      </c>
      <c r="D81">
        <v>175.44</v>
      </c>
      <c r="E81">
        <v>98.49</v>
      </c>
      <c r="F81">
        <v>31.93</v>
      </c>
      <c r="G81">
        <v>97.63</v>
      </c>
      <c r="H81">
        <v>112.29</v>
      </c>
      <c r="I81">
        <v>1</v>
      </c>
      <c r="J81">
        <v>220.55</v>
      </c>
      <c r="K81">
        <v>150.13999999999999</v>
      </c>
      <c r="L81">
        <v>147.11000000000001</v>
      </c>
      <c r="M81">
        <v>35.54</v>
      </c>
      <c r="N81">
        <v>118.2</v>
      </c>
      <c r="O81">
        <v>84</v>
      </c>
      <c r="P81">
        <v>40.57</v>
      </c>
      <c r="Q81">
        <v>134.93</v>
      </c>
      <c r="R81">
        <v>186.58</v>
      </c>
      <c r="S81">
        <v>59.34</v>
      </c>
      <c r="T81">
        <v>66.040000000000006</v>
      </c>
      <c r="U81">
        <v>54.3</v>
      </c>
      <c r="V81">
        <v>31.5</v>
      </c>
      <c r="W81">
        <v>82.77</v>
      </c>
      <c r="X81">
        <v>117.31</v>
      </c>
      <c r="Y81">
        <v>170.37</v>
      </c>
      <c r="Z81">
        <v>113.48</v>
      </c>
      <c r="AA81">
        <v>90.37</v>
      </c>
      <c r="AB81">
        <v>43.01</v>
      </c>
      <c r="AC81">
        <v>82.12</v>
      </c>
      <c r="AD81">
        <v>72.36</v>
      </c>
      <c r="AE81">
        <v>75.02</v>
      </c>
      <c r="AI81" s="2">
        <v>5000</v>
      </c>
      <c r="AJ81" s="2">
        <f t="shared" si="43"/>
        <v>1050</v>
      </c>
      <c r="AK81" s="2">
        <f t="shared" si="43"/>
        <v>1050</v>
      </c>
      <c r="AL81" s="2">
        <f t="shared" si="43"/>
        <v>1050</v>
      </c>
      <c r="AM81" s="2">
        <f t="shared" si="43"/>
        <v>1050</v>
      </c>
      <c r="AN81" s="2">
        <f t="shared" si="43"/>
        <v>1050</v>
      </c>
      <c r="AO81" s="2">
        <f t="shared" si="43"/>
        <v>1050</v>
      </c>
      <c r="AP81" s="2">
        <v>0</v>
      </c>
      <c r="AQ81" s="2">
        <v>1000</v>
      </c>
      <c r="AR81" s="2">
        <v>0</v>
      </c>
      <c r="AS81" s="2">
        <v>1000</v>
      </c>
      <c r="AT81" s="2">
        <v>1000</v>
      </c>
      <c r="AU81" s="2">
        <v>1000</v>
      </c>
      <c r="AV81" s="2">
        <v>1000</v>
      </c>
      <c r="AW81" s="2">
        <v>0</v>
      </c>
      <c r="AX81" s="2">
        <v>0</v>
      </c>
      <c r="AY81" s="2">
        <v>1000</v>
      </c>
      <c r="AZ81" s="2">
        <v>1034</v>
      </c>
      <c r="BA81" s="2">
        <v>1010</v>
      </c>
      <c r="BB81" s="2">
        <v>1088</v>
      </c>
      <c r="BC81" s="2">
        <v>-1000</v>
      </c>
      <c r="BD81" s="2">
        <v>1000</v>
      </c>
      <c r="BE81" s="2">
        <v>5000</v>
      </c>
      <c r="BF81" s="2">
        <v>3000</v>
      </c>
      <c r="BG81" s="2">
        <v>2000</v>
      </c>
      <c r="BH81" s="2">
        <v>5000</v>
      </c>
      <c r="BI81" s="2">
        <v>3000</v>
      </c>
      <c r="BJ81" s="2">
        <v>0</v>
      </c>
      <c r="BK81" s="2">
        <v>1000</v>
      </c>
      <c r="BL81" s="2">
        <v>1000</v>
      </c>
      <c r="BO81" s="2">
        <f t="shared" si="44"/>
        <v>0</v>
      </c>
      <c r="BP81" s="2">
        <f t="shared" si="53"/>
        <v>0</v>
      </c>
      <c r="BQ81" s="2">
        <f t="shared" si="54"/>
        <v>0</v>
      </c>
      <c r="BR81" s="2">
        <f t="shared" si="55"/>
        <v>0</v>
      </c>
      <c r="BS81" s="2">
        <f t="shared" si="56"/>
        <v>0</v>
      </c>
      <c r="BT81" s="2">
        <f t="shared" si="57"/>
        <v>0</v>
      </c>
      <c r="BU81" s="2">
        <f t="shared" si="58"/>
        <v>0</v>
      </c>
      <c r="BV81" s="2">
        <f t="shared" si="59"/>
        <v>0</v>
      </c>
      <c r="BW81" s="2">
        <f t="shared" si="60"/>
        <v>0</v>
      </c>
      <c r="BX81" s="2">
        <f t="shared" si="61"/>
        <v>0</v>
      </c>
      <c r="BY81" s="2">
        <f t="shared" si="62"/>
        <v>0</v>
      </c>
      <c r="BZ81" s="2">
        <f t="shared" si="63"/>
        <v>0</v>
      </c>
      <c r="CA81" s="2">
        <f t="shared" si="64"/>
        <v>0</v>
      </c>
      <c r="CB81" s="2">
        <f t="shared" si="65"/>
        <v>0</v>
      </c>
      <c r="CC81" s="2">
        <f t="shared" si="66"/>
        <v>0</v>
      </c>
      <c r="CD81" s="2">
        <f t="shared" si="67"/>
        <v>0</v>
      </c>
      <c r="CE81" s="2">
        <f t="shared" si="68"/>
        <v>0</v>
      </c>
      <c r="CF81" s="2">
        <f t="shared" si="69"/>
        <v>-3797.76</v>
      </c>
      <c r="CG81" s="2">
        <f t="shared" si="70"/>
        <v>-5547.3600000000006</v>
      </c>
      <c r="CH81" s="2">
        <f t="shared" si="71"/>
        <v>-5592.9</v>
      </c>
      <c r="CI81" s="2">
        <f t="shared" si="72"/>
        <v>0</v>
      </c>
      <c r="CJ81" s="2">
        <f t="shared" si="73"/>
        <v>0</v>
      </c>
      <c r="CK81" s="2">
        <f t="shared" si="74"/>
        <v>0</v>
      </c>
      <c r="CL81" s="2">
        <f t="shared" si="75"/>
        <v>0</v>
      </c>
      <c r="CM81" s="2">
        <f t="shared" si="47"/>
        <v>0</v>
      </c>
      <c r="CN81" s="2">
        <f t="shared" si="48"/>
        <v>0</v>
      </c>
      <c r="CO81" s="2">
        <f t="shared" si="49"/>
        <v>0</v>
      </c>
      <c r="CP81" s="2">
        <f t="shared" si="50"/>
        <v>0</v>
      </c>
      <c r="CQ81" s="2">
        <f t="shared" si="51"/>
        <v>0</v>
      </c>
      <c r="CR81" s="2">
        <f t="shared" si="52"/>
        <v>0</v>
      </c>
      <c r="CV81" t="s">
        <v>64</v>
      </c>
      <c r="CW81" t="s">
        <v>154</v>
      </c>
      <c r="CX81" t="s">
        <v>2</v>
      </c>
      <c r="CY81" s="4">
        <v>43081</v>
      </c>
      <c r="CZ81" t="s">
        <v>65</v>
      </c>
      <c r="DA81" t="s">
        <v>66</v>
      </c>
      <c r="DB81">
        <v>10</v>
      </c>
      <c r="DC81">
        <v>97.9</v>
      </c>
      <c r="DD81" t="s">
        <v>69</v>
      </c>
      <c r="DE81" t="s">
        <v>70</v>
      </c>
      <c r="DF81">
        <v>979</v>
      </c>
    </row>
    <row r="82" spans="1:110" x14ac:dyDescent="0.25">
      <c r="A82" s="1">
        <v>42853</v>
      </c>
      <c r="B82">
        <v>139.29</v>
      </c>
      <c r="C82">
        <v>77.48</v>
      </c>
      <c r="D82">
        <v>176.98</v>
      </c>
      <c r="E82">
        <v>98.09</v>
      </c>
      <c r="F82">
        <v>32.229999999999997</v>
      </c>
      <c r="G82">
        <v>98.76</v>
      </c>
      <c r="H82">
        <v>112.05</v>
      </c>
      <c r="I82">
        <v>1</v>
      </c>
      <c r="J82">
        <v>218.58</v>
      </c>
      <c r="K82">
        <v>150.12</v>
      </c>
      <c r="L82">
        <v>147.08000000000001</v>
      </c>
      <c r="M82">
        <v>34.32</v>
      </c>
      <c r="N82">
        <v>117.94</v>
      </c>
      <c r="O82">
        <v>83.42</v>
      </c>
      <c r="P82">
        <v>40.71</v>
      </c>
      <c r="Q82">
        <v>134.02000000000001</v>
      </c>
      <c r="R82">
        <v>186.32</v>
      </c>
      <c r="S82">
        <v>59.1</v>
      </c>
      <c r="T82">
        <v>66.22</v>
      </c>
      <c r="U82">
        <v>54.24</v>
      </c>
      <c r="V82">
        <v>31.56</v>
      </c>
      <c r="W82">
        <v>82.43</v>
      </c>
      <c r="X82">
        <v>116.83</v>
      </c>
      <c r="Y82">
        <v>170.62</v>
      </c>
      <c r="Z82">
        <v>113.68</v>
      </c>
      <c r="AA82">
        <v>89.99</v>
      </c>
      <c r="AB82">
        <v>42.31</v>
      </c>
      <c r="AC82">
        <v>82.74</v>
      </c>
      <c r="AD82">
        <v>72.11</v>
      </c>
      <c r="AE82">
        <v>75.38</v>
      </c>
      <c r="AI82" s="2">
        <v>5000</v>
      </c>
      <c r="AJ82" s="2">
        <f t="shared" si="43"/>
        <v>1050</v>
      </c>
      <c r="AK82" s="2">
        <f t="shared" si="43"/>
        <v>1050</v>
      </c>
      <c r="AL82" s="2">
        <f t="shared" si="43"/>
        <v>1050</v>
      </c>
      <c r="AM82" s="2">
        <f t="shared" si="43"/>
        <v>1050</v>
      </c>
      <c r="AN82" s="2">
        <f t="shared" si="43"/>
        <v>1050</v>
      </c>
      <c r="AO82" s="2">
        <f t="shared" si="43"/>
        <v>1050</v>
      </c>
      <c r="AP82" s="2">
        <v>0</v>
      </c>
      <c r="AQ82" s="2">
        <v>1000</v>
      </c>
      <c r="AR82" s="2">
        <v>0</v>
      </c>
      <c r="AS82" s="2">
        <v>1000</v>
      </c>
      <c r="AT82" s="2">
        <v>1000</v>
      </c>
      <c r="AU82" s="2">
        <v>1000</v>
      </c>
      <c r="AV82" s="2">
        <v>1000</v>
      </c>
      <c r="AW82" s="2">
        <v>0</v>
      </c>
      <c r="AX82" s="2">
        <v>0</v>
      </c>
      <c r="AY82" s="2">
        <v>1000</v>
      </c>
      <c r="AZ82" s="2">
        <v>1020</v>
      </c>
      <c r="BA82" s="2">
        <v>1032</v>
      </c>
      <c r="BB82" s="2">
        <v>998</v>
      </c>
      <c r="BC82" s="2">
        <v>-1000</v>
      </c>
      <c r="BD82" s="2">
        <v>1000</v>
      </c>
      <c r="BE82" s="2">
        <v>5000</v>
      </c>
      <c r="BF82" s="2">
        <v>3000</v>
      </c>
      <c r="BG82" s="2">
        <v>2000</v>
      </c>
      <c r="BH82" s="2">
        <v>5000</v>
      </c>
      <c r="BI82" s="2">
        <v>3000</v>
      </c>
      <c r="BJ82" s="2">
        <v>0</v>
      </c>
      <c r="BK82" s="2">
        <v>1000</v>
      </c>
      <c r="BL82" s="2">
        <v>1000</v>
      </c>
      <c r="BO82" s="2">
        <f t="shared" si="44"/>
        <v>0</v>
      </c>
      <c r="BP82" s="2">
        <f t="shared" si="53"/>
        <v>0</v>
      </c>
      <c r="BQ82" s="2">
        <f t="shared" si="54"/>
        <v>0</v>
      </c>
      <c r="BR82" s="2">
        <f t="shared" si="55"/>
        <v>0</v>
      </c>
      <c r="BS82" s="2">
        <f t="shared" si="56"/>
        <v>0</v>
      </c>
      <c r="BT82" s="2">
        <f t="shared" si="57"/>
        <v>0</v>
      </c>
      <c r="BU82" s="2">
        <f t="shared" si="58"/>
        <v>0</v>
      </c>
      <c r="BV82" s="2">
        <f t="shared" si="59"/>
        <v>0</v>
      </c>
      <c r="BW82" s="2">
        <f t="shared" si="60"/>
        <v>0</v>
      </c>
      <c r="BX82" s="2">
        <f t="shared" si="61"/>
        <v>0</v>
      </c>
      <c r="BY82" s="2">
        <f t="shared" si="62"/>
        <v>0</v>
      </c>
      <c r="BZ82" s="2">
        <f t="shared" si="63"/>
        <v>0</v>
      </c>
      <c r="CA82" s="2">
        <f t="shared" si="64"/>
        <v>0</v>
      </c>
      <c r="CB82" s="2">
        <f t="shared" si="65"/>
        <v>0</v>
      </c>
      <c r="CC82" s="2">
        <f t="shared" si="66"/>
        <v>0</v>
      </c>
      <c r="CD82" s="2">
        <f t="shared" si="67"/>
        <v>0</v>
      </c>
      <c r="CE82" s="2">
        <f t="shared" si="68"/>
        <v>0</v>
      </c>
      <c r="CF82" s="2">
        <f t="shared" si="69"/>
        <v>827.4</v>
      </c>
      <c r="CG82" s="2">
        <f t="shared" si="70"/>
        <v>-1456.84</v>
      </c>
      <c r="CH82" s="2">
        <f t="shared" si="71"/>
        <v>4881.6000000000004</v>
      </c>
      <c r="CI82" s="2">
        <f t="shared" si="72"/>
        <v>0</v>
      </c>
      <c r="CJ82" s="2">
        <f t="shared" si="73"/>
        <v>0</v>
      </c>
      <c r="CK82" s="2">
        <f t="shared" si="74"/>
        <v>0</v>
      </c>
      <c r="CL82" s="2">
        <f t="shared" si="75"/>
        <v>0</v>
      </c>
      <c r="CM82" s="2">
        <f t="shared" si="47"/>
        <v>0</v>
      </c>
      <c r="CN82" s="2">
        <f t="shared" si="48"/>
        <v>0</v>
      </c>
      <c r="CO82" s="2">
        <f t="shared" si="49"/>
        <v>0</v>
      </c>
      <c r="CP82" s="2">
        <f t="shared" si="50"/>
        <v>0</v>
      </c>
      <c r="CQ82" s="2">
        <f t="shared" si="51"/>
        <v>0</v>
      </c>
      <c r="CR82" s="2">
        <f t="shared" si="52"/>
        <v>0</v>
      </c>
      <c r="CV82" t="s">
        <v>64</v>
      </c>
      <c r="CW82" t="s">
        <v>155</v>
      </c>
      <c r="CX82" t="s">
        <v>2</v>
      </c>
      <c r="CY82" s="4">
        <v>43103</v>
      </c>
      <c r="CZ82" t="s">
        <v>65</v>
      </c>
      <c r="DA82" t="s">
        <v>66</v>
      </c>
      <c r="DB82">
        <v>10</v>
      </c>
      <c r="DC82">
        <v>98.07</v>
      </c>
      <c r="DD82" t="s">
        <v>69</v>
      </c>
      <c r="DE82" t="s">
        <v>70</v>
      </c>
      <c r="DF82">
        <v>980.69999999999993</v>
      </c>
    </row>
    <row r="83" spans="1:110" x14ac:dyDescent="0.25">
      <c r="A83" s="1">
        <v>42856</v>
      </c>
      <c r="B83">
        <v>142.13</v>
      </c>
      <c r="C83">
        <v>77.459999999999994</v>
      </c>
      <c r="D83">
        <v>174.65</v>
      </c>
      <c r="E83">
        <v>97.84</v>
      </c>
      <c r="F83">
        <v>32.130000000000003</v>
      </c>
      <c r="G83">
        <v>98.04</v>
      </c>
      <c r="H83">
        <v>111.21</v>
      </c>
      <c r="I83">
        <v>1</v>
      </c>
      <c r="J83">
        <v>219.61</v>
      </c>
      <c r="K83">
        <v>148.30000000000001</v>
      </c>
      <c r="L83">
        <v>145.75</v>
      </c>
      <c r="M83">
        <v>34.47</v>
      </c>
      <c r="N83">
        <v>117.82</v>
      </c>
      <c r="O83">
        <v>83.47</v>
      </c>
      <c r="P83">
        <v>40.770000000000003</v>
      </c>
      <c r="Q83">
        <v>135.19</v>
      </c>
      <c r="R83">
        <v>185.35</v>
      </c>
      <c r="S83">
        <v>59.15</v>
      </c>
      <c r="T83">
        <v>67.14</v>
      </c>
      <c r="U83">
        <v>53.83</v>
      </c>
      <c r="V83">
        <v>31.43</v>
      </c>
      <c r="W83">
        <v>82.2</v>
      </c>
      <c r="X83">
        <v>116.37</v>
      </c>
      <c r="Y83">
        <v>170.33</v>
      </c>
      <c r="Z83">
        <v>113.62</v>
      </c>
      <c r="AA83">
        <v>90.03</v>
      </c>
      <c r="AB83">
        <v>42.28</v>
      </c>
      <c r="AC83">
        <v>82.66</v>
      </c>
      <c r="AD83">
        <v>72.16</v>
      </c>
      <c r="AE83">
        <v>75.760000000000005</v>
      </c>
      <c r="AI83" s="2">
        <v>5000</v>
      </c>
      <c r="AJ83" s="2">
        <f t="shared" si="43"/>
        <v>1050</v>
      </c>
      <c r="AK83" s="2">
        <f t="shared" si="43"/>
        <v>1050</v>
      </c>
      <c r="AL83" s="2">
        <f t="shared" si="43"/>
        <v>1050</v>
      </c>
      <c r="AM83" s="2">
        <f t="shared" si="43"/>
        <v>1050</v>
      </c>
      <c r="AN83" s="2">
        <f t="shared" si="43"/>
        <v>1050</v>
      </c>
      <c r="AO83" s="2">
        <f t="shared" si="43"/>
        <v>1050</v>
      </c>
      <c r="AP83" s="2">
        <v>0</v>
      </c>
      <c r="AQ83" s="2">
        <v>1000</v>
      </c>
      <c r="AR83" s="2">
        <v>0</v>
      </c>
      <c r="AS83" s="2">
        <v>1000</v>
      </c>
      <c r="AT83" s="2">
        <v>1000</v>
      </c>
      <c r="AU83" s="2">
        <v>1000</v>
      </c>
      <c r="AV83" s="2">
        <v>1000</v>
      </c>
      <c r="AW83" s="2">
        <v>0</v>
      </c>
      <c r="AX83" s="2">
        <v>0</v>
      </c>
      <c r="AY83" s="2">
        <v>1000</v>
      </c>
      <c r="AZ83" s="2">
        <v>1018</v>
      </c>
      <c r="BA83" s="2">
        <v>995</v>
      </c>
      <c r="BB83" s="2">
        <v>945</v>
      </c>
      <c r="BC83" s="2">
        <v>-1000</v>
      </c>
      <c r="BD83" s="2">
        <v>1000</v>
      </c>
      <c r="BE83" s="2">
        <v>5000</v>
      </c>
      <c r="BF83" s="2">
        <v>3000</v>
      </c>
      <c r="BG83" s="2">
        <v>1000</v>
      </c>
      <c r="BH83" s="2">
        <v>5000</v>
      </c>
      <c r="BI83" s="2">
        <v>3000</v>
      </c>
      <c r="BJ83" s="2">
        <v>0</v>
      </c>
      <c r="BK83" s="2">
        <v>1000</v>
      </c>
      <c r="BL83" s="2">
        <v>1000</v>
      </c>
      <c r="BO83" s="2">
        <f t="shared" si="44"/>
        <v>0</v>
      </c>
      <c r="BP83" s="2">
        <f t="shared" si="53"/>
        <v>0</v>
      </c>
      <c r="BQ83" s="2">
        <f t="shared" si="54"/>
        <v>0</v>
      </c>
      <c r="BR83" s="2">
        <f t="shared" si="55"/>
        <v>0</v>
      </c>
      <c r="BS83" s="2">
        <f t="shared" si="56"/>
        <v>0</v>
      </c>
      <c r="BT83" s="2">
        <f t="shared" si="57"/>
        <v>0</v>
      </c>
      <c r="BU83" s="2">
        <f t="shared" si="58"/>
        <v>0</v>
      </c>
      <c r="BV83" s="2">
        <f t="shared" si="59"/>
        <v>0</v>
      </c>
      <c r="BW83" s="2">
        <f t="shared" si="60"/>
        <v>0</v>
      </c>
      <c r="BX83" s="2">
        <f t="shared" si="61"/>
        <v>0</v>
      </c>
      <c r="BY83" s="2">
        <f t="shared" si="62"/>
        <v>0</v>
      </c>
      <c r="BZ83" s="2">
        <f t="shared" si="63"/>
        <v>0</v>
      </c>
      <c r="CA83" s="2">
        <f t="shared" si="64"/>
        <v>0</v>
      </c>
      <c r="CB83" s="2">
        <f t="shared" si="65"/>
        <v>0</v>
      </c>
      <c r="CC83" s="2">
        <f t="shared" si="66"/>
        <v>0</v>
      </c>
      <c r="CD83" s="2">
        <f t="shared" si="67"/>
        <v>0</v>
      </c>
      <c r="CE83" s="2">
        <f t="shared" si="68"/>
        <v>0</v>
      </c>
      <c r="CF83" s="2">
        <f t="shared" si="69"/>
        <v>118.3</v>
      </c>
      <c r="CG83" s="2">
        <f t="shared" si="70"/>
        <v>2484.1799999999998</v>
      </c>
      <c r="CH83" s="2">
        <f t="shared" si="71"/>
        <v>2852.99</v>
      </c>
      <c r="CI83" s="2">
        <f t="shared" si="72"/>
        <v>0</v>
      </c>
      <c r="CJ83" s="2">
        <f t="shared" si="73"/>
        <v>0</v>
      </c>
      <c r="CK83" s="2">
        <f t="shared" si="74"/>
        <v>0</v>
      </c>
      <c r="CL83" s="2">
        <f t="shared" si="75"/>
        <v>0</v>
      </c>
      <c r="CM83" s="2">
        <f t="shared" si="47"/>
        <v>113620</v>
      </c>
      <c r="CN83" s="2">
        <f t="shared" si="48"/>
        <v>0</v>
      </c>
      <c r="CO83" s="2">
        <f t="shared" si="49"/>
        <v>0</v>
      </c>
      <c r="CP83" s="2">
        <f t="shared" si="50"/>
        <v>0</v>
      </c>
      <c r="CQ83" s="2">
        <f t="shared" si="51"/>
        <v>0</v>
      </c>
      <c r="CR83" s="2">
        <f t="shared" si="52"/>
        <v>0</v>
      </c>
      <c r="CV83" t="s">
        <v>64</v>
      </c>
      <c r="CW83" t="s">
        <v>156</v>
      </c>
      <c r="CX83" t="s">
        <v>2</v>
      </c>
      <c r="CY83" s="4">
        <v>43124</v>
      </c>
      <c r="CZ83" t="s">
        <v>65</v>
      </c>
      <c r="DA83" t="s">
        <v>66</v>
      </c>
      <c r="DB83">
        <v>10</v>
      </c>
      <c r="DC83">
        <v>98.17</v>
      </c>
      <c r="DD83" t="s">
        <v>69</v>
      </c>
      <c r="DE83" t="s">
        <v>70</v>
      </c>
      <c r="DF83">
        <v>981.7</v>
      </c>
    </row>
    <row r="84" spans="1:110" x14ac:dyDescent="0.25">
      <c r="A84" s="1">
        <v>42857</v>
      </c>
      <c r="B84">
        <v>143.03</v>
      </c>
      <c r="C84">
        <v>77.77</v>
      </c>
      <c r="D84">
        <v>175.65</v>
      </c>
      <c r="E84">
        <v>97.37</v>
      </c>
      <c r="F84">
        <v>32.39</v>
      </c>
      <c r="G84">
        <v>97.52</v>
      </c>
      <c r="H84">
        <v>110.86</v>
      </c>
      <c r="I84">
        <v>1</v>
      </c>
      <c r="J84">
        <v>219.87</v>
      </c>
      <c r="K84">
        <v>149.01</v>
      </c>
      <c r="L84">
        <v>145.99</v>
      </c>
      <c r="M84">
        <v>35.1</v>
      </c>
      <c r="N84">
        <v>118.16</v>
      </c>
      <c r="O84">
        <v>82.94</v>
      </c>
      <c r="P84">
        <v>40.93</v>
      </c>
      <c r="Q84">
        <v>135.27000000000001</v>
      </c>
      <c r="R84">
        <v>186.98</v>
      </c>
      <c r="S84">
        <v>59.45</v>
      </c>
      <c r="T84">
        <v>67.040000000000006</v>
      </c>
      <c r="U84">
        <v>53.91</v>
      </c>
      <c r="V84">
        <v>31.27</v>
      </c>
      <c r="W84">
        <v>81.38</v>
      </c>
      <c r="X84">
        <v>115.58</v>
      </c>
      <c r="Y84">
        <v>169.9</v>
      </c>
      <c r="Z84">
        <v>114</v>
      </c>
      <c r="AA84">
        <v>91.3</v>
      </c>
      <c r="AB84">
        <v>42.31</v>
      </c>
      <c r="AC84">
        <v>82.04</v>
      </c>
      <c r="AD84">
        <v>72.44</v>
      </c>
      <c r="AE84">
        <v>75.75</v>
      </c>
      <c r="AI84" s="2">
        <v>5000</v>
      </c>
      <c r="AJ84" s="2">
        <f t="shared" si="43"/>
        <v>1050</v>
      </c>
      <c r="AK84" s="2">
        <f t="shared" si="43"/>
        <v>1050</v>
      </c>
      <c r="AL84" s="2">
        <f t="shared" si="43"/>
        <v>1050</v>
      </c>
      <c r="AM84" s="2">
        <f t="shared" si="43"/>
        <v>1050</v>
      </c>
      <c r="AN84" s="2">
        <f t="shared" si="43"/>
        <v>1050</v>
      </c>
      <c r="AO84" s="2">
        <f t="shared" si="43"/>
        <v>1050</v>
      </c>
      <c r="AP84" s="2">
        <v>0</v>
      </c>
      <c r="AQ84" s="2">
        <v>1000</v>
      </c>
      <c r="AR84" s="2">
        <v>0</v>
      </c>
      <c r="AS84" s="2">
        <v>1000</v>
      </c>
      <c r="AT84" s="2">
        <v>1000</v>
      </c>
      <c r="AU84" s="2">
        <v>1000</v>
      </c>
      <c r="AV84" s="2">
        <v>1000</v>
      </c>
      <c r="AW84" s="2">
        <v>0</v>
      </c>
      <c r="AX84" s="2">
        <v>0</v>
      </c>
      <c r="AY84" s="2">
        <v>1000</v>
      </c>
      <c r="AZ84" s="2">
        <v>1000</v>
      </c>
      <c r="BA84" s="2">
        <v>977</v>
      </c>
      <c r="BB84" s="2">
        <v>1073</v>
      </c>
      <c r="BC84" s="2">
        <v>-1000</v>
      </c>
      <c r="BD84" s="2">
        <v>1000</v>
      </c>
      <c r="BE84" s="2">
        <v>5000</v>
      </c>
      <c r="BF84" s="2">
        <v>3000</v>
      </c>
      <c r="BG84" s="2">
        <v>5000</v>
      </c>
      <c r="BH84" s="2">
        <v>5000</v>
      </c>
      <c r="BI84" s="2">
        <v>3000</v>
      </c>
      <c r="BJ84" s="2">
        <v>0</v>
      </c>
      <c r="BK84" s="2">
        <v>1000</v>
      </c>
      <c r="BL84" s="2">
        <v>1000</v>
      </c>
      <c r="BO84" s="2">
        <f t="shared" si="44"/>
        <v>0</v>
      </c>
      <c r="BP84" s="2">
        <f t="shared" si="53"/>
        <v>0</v>
      </c>
      <c r="BQ84" s="2">
        <f t="shared" si="54"/>
        <v>0</v>
      </c>
      <c r="BR84" s="2">
        <f t="shared" si="55"/>
        <v>0</v>
      </c>
      <c r="BS84" s="2">
        <f t="shared" si="56"/>
        <v>0</v>
      </c>
      <c r="BT84" s="2">
        <f t="shared" si="57"/>
        <v>0</v>
      </c>
      <c r="BU84" s="2">
        <f t="shared" si="58"/>
        <v>0</v>
      </c>
      <c r="BV84" s="2">
        <f t="shared" si="59"/>
        <v>0</v>
      </c>
      <c r="BW84" s="2">
        <f t="shared" si="60"/>
        <v>0</v>
      </c>
      <c r="BX84" s="2">
        <f t="shared" si="61"/>
        <v>0</v>
      </c>
      <c r="BY84" s="2">
        <f t="shared" si="62"/>
        <v>0</v>
      </c>
      <c r="BZ84" s="2">
        <f t="shared" si="63"/>
        <v>0</v>
      </c>
      <c r="CA84" s="2">
        <f t="shared" si="64"/>
        <v>0</v>
      </c>
      <c r="CB84" s="2">
        <f t="shared" si="65"/>
        <v>0</v>
      </c>
      <c r="CC84" s="2">
        <f t="shared" si="66"/>
        <v>0</v>
      </c>
      <c r="CD84" s="2">
        <f t="shared" si="67"/>
        <v>0</v>
      </c>
      <c r="CE84" s="2">
        <f t="shared" si="68"/>
        <v>0</v>
      </c>
      <c r="CF84" s="2">
        <f t="shared" si="69"/>
        <v>1070.1000000000001</v>
      </c>
      <c r="CG84" s="2">
        <f t="shared" si="70"/>
        <v>1206.72</v>
      </c>
      <c r="CH84" s="2">
        <f t="shared" si="71"/>
        <v>-6900.48</v>
      </c>
      <c r="CI84" s="2">
        <f t="shared" si="72"/>
        <v>0</v>
      </c>
      <c r="CJ84" s="2">
        <f t="shared" si="73"/>
        <v>0</v>
      </c>
      <c r="CK84" s="2">
        <f t="shared" si="74"/>
        <v>0</v>
      </c>
      <c r="CL84" s="2">
        <f t="shared" si="75"/>
        <v>0</v>
      </c>
      <c r="CM84" s="2">
        <f t="shared" si="47"/>
        <v>-456000</v>
      </c>
      <c r="CN84" s="2">
        <f t="shared" si="48"/>
        <v>0</v>
      </c>
      <c r="CO84" s="2">
        <f t="shared" si="49"/>
        <v>0</v>
      </c>
      <c r="CP84" s="2">
        <f t="shared" si="50"/>
        <v>0</v>
      </c>
      <c r="CQ84" s="2">
        <f t="shared" si="51"/>
        <v>0</v>
      </c>
      <c r="CR84" s="2">
        <f t="shared" si="52"/>
        <v>0</v>
      </c>
      <c r="CV84" t="s">
        <v>64</v>
      </c>
      <c r="CW84" t="s">
        <v>157</v>
      </c>
      <c r="CX84" t="s">
        <v>2</v>
      </c>
      <c r="CY84" s="4">
        <v>43144</v>
      </c>
      <c r="CZ84" t="s">
        <v>65</v>
      </c>
      <c r="DA84" t="s">
        <v>66</v>
      </c>
      <c r="DB84">
        <v>10</v>
      </c>
      <c r="DC84">
        <v>93.49</v>
      </c>
      <c r="DD84" t="s">
        <v>69</v>
      </c>
      <c r="DE84" t="s">
        <v>70</v>
      </c>
      <c r="DF84">
        <v>934.9</v>
      </c>
    </row>
    <row r="85" spans="1:110" x14ac:dyDescent="0.25">
      <c r="A85" s="1">
        <v>42858</v>
      </c>
      <c r="B85">
        <v>142.6</v>
      </c>
      <c r="C85">
        <v>77.069999999999993</v>
      </c>
      <c r="D85">
        <v>175.6</v>
      </c>
      <c r="E85">
        <v>97.4</v>
      </c>
      <c r="F85">
        <v>32.4</v>
      </c>
      <c r="G85">
        <v>98.78</v>
      </c>
      <c r="H85">
        <v>108.2</v>
      </c>
      <c r="I85">
        <v>1</v>
      </c>
      <c r="J85">
        <v>221.03</v>
      </c>
      <c r="K85">
        <v>149.06</v>
      </c>
      <c r="L85">
        <v>145.56</v>
      </c>
      <c r="M85">
        <v>35.369999999999997</v>
      </c>
      <c r="N85">
        <v>117.81</v>
      </c>
      <c r="O85">
        <v>83.42</v>
      </c>
      <c r="P85">
        <v>40.869999999999997</v>
      </c>
      <c r="Q85">
        <v>136.6</v>
      </c>
      <c r="R85">
        <v>188.03</v>
      </c>
      <c r="S85">
        <v>60.33</v>
      </c>
      <c r="T85">
        <v>66.819999999999993</v>
      </c>
      <c r="U85">
        <v>53.38</v>
      </c>
      <c r="V85">
        <v>31.14</v>
      </c>
      <c r="W85">
        <v>81.58</v>
      </c>
      <c r="X85">
        <v>116.01</v>
      </c>
      <c r="Y85">
        <v>168.33</v>
      </c>
      <c r="Z85">
        <v>114.94</v>
      </c>
      <c r="AA85">
        <v>91.2</v>
      </c>
      <c r="AB85">
        <v>42.53</v>
      </c>
      <c r="AC85">
        <v>82.02</v>
      </c>
      <c r="AD85">
        <v>72.67</v>
      </c>
      <c r="AE85">
        <v>76.349999999999994</v>
      </c>
      <c r="AI85" s="2">
        <v>5000</v>
      </c>
      <c r="AJ85" s="2">
        <f t="shared" si="43"/>
        <v>1050</v>
      </c>
      <c r="AK85" s="2">
        <f t="shared" si="43"/>
        <v>1050</v>
      </c>
      <c r="AL85" s="2">
        <f t="shared" si="43"/>
        <v>1050</v>
      </c>
      <c r="AM85" s="2">
        <f t="shared" si="43"/>
        <v>1050</v>
      </c>
      <c r="AN85" s="2">
        <f t="shared" si="43"/>
        <v>1050</v>
      </c>
      <c r="AO85" s="2">
        <f t="shared" si="43"/>
        <v>1050</v>
      </c>
      <c r="AP85" s="2">
        <v>0</v>
      </c>
      <c r="AQ85" s="2">
        <v>1000</v>
      </c>
      <c r="AR85" s="2">
        <v>0</v>
      </c>
      <c r="AS85" s="2">
        <v>1000</v>
      </c>
      <c r="AT85" s="2">
        <v>1000</v>
      </c>
      <c r="AU85" s="2">
        <v>1000</v>
      </c>
      <c r="AV85" s="2">
        <v>1000</v>
      </c>
      <c r="AW85" s="2">
        <v>0</v>
      </c>
      <c r="AX85" s="2">
        <v>0</v>
      </c>
      <c r="AY85" s="2">
        <v>1000</v>
      </c>
      <c r="AZ85" s="2">
        <v>963</v>
      </c>
      <c r="BA85" s="2">
        <v>1095</v>
      </c>
      <c r="BB85" s="2">
        <v>1018</v>
      </c>
      <c r="BC85" s="2">
        <v>-1000</v>
      </c>
      <c r="BD85" s="2">
        <v>1000</v>
      </c>
      <c r="BE85" s="2">
        <v>5000</v>
      </c>
      <c r="BF85" s="2">
        <v>3000</v>
      </c>
      <c r="BG85" s="2">
        <v>5000</v>
      </c>
      <c r="BH85" s="2">
        <v>5000</v>
      </c>
      <c r="BI85" s="2">
        <v>3000</v>
      </c>
      <c r="BJ85" s="2">
        <v>0</v>
      </c>
      <c r="BK85" s="2">
        <v>1000</v>
      </c>
      <c r="BL85" s="2">
        <v>1000</v>
      </c>
      <c r="BO85" s="2">
        <f t="shared" si="44"/>
        <v>0</v>
      </c>
      <c r="BP85" s="2">
        <f t="shared" si="53"/>
        <v>0</v>
      </c>
      <c r="BQ85" s="2">
        <f t="shared" si="54"/>
        <v>0</v>
      </c>
      <c r="BR85" s="2">
        <f t="shared" si="55"/>
        <v>0</v>
      </c>
      <c r="BS85" s="2">
        <f t="shared" si="56"/>
        <v>0</v>
      </c>
      <c r="BT85" s="2">
        <f t="shared" si="57"/>
        <v>0</v>
      </c>
      <c r="BU85" s="2">
        <f t="shared" si="58"/>
        <v>0</v>
      </c>
      <c r="BV85" s="2">
        <f t="shared" si="59"/>
        <v>0</v>
      </c>
      <c r="BW85" s="2">
        <f t="shared" si="60"/>
        <v>0</v>
      </c>
      <c r="BX85" s="2">
        <f t="shared" si="61"/>
        <v>0</v>
      </c>
      <c r="BY85" s="2">
        <f t="shared" si="62"/>
        <v>0</v>
      </c>
      <c r="BZ85" s="2">
        <f t="shared" si="63"/>
        <v>0</v>
      </c>
      <c r="CA85" s="2">
        <f t="shared" si="64"/>
        <v>0</v>
      </c>
      <c r="CB85" s="2">
        <f t="shared" si="65"/>
        <v>0</v>
      </c>
      <c r="CC85" s="2">
        <f t="shared" si="66"/>
        <v>0</v>
      </c>
      <c r="CD85" s="2">
        <f t="shared" si="67"/>
        <v>0</v>
      </c>
      <c r="CE85" s="2">
        <f t="shared" si="68"/>
        <v>0</v>
      </c>
      <c r="CF85" s="2">
        <f t="shared" si="69"/>
        <v>2232.21</v>
      </c>
      <c r="CG85" s="2">
        <f t="shared" si="70"/>
        <v>-7884.7599999999993</v>
      </c>
      <c r="CH85" s="2">
        <f t="shared" si="71"/>
        <v>2935.9</v>
      </c>
      <c r="CI85" s="2">
        <f t="shared" si="72"/>
        <v>0</v>
      </c>
      <c r="CJ85" s="2">
        <f t="shared" si="73"/>
        <v>0</v>
      </c>
      <c r="CK85" s="2">
        <f t="shared" si="74"/>
        <v>0</v>
      </c>
      <c r="CL85" s="2">
        <f t="shared" si="75"/>
        <v>0</v>
      </c>
      <c r="CM85" s="2">
        <f t="shared" si="47"/>
        <v>0</v>
      </c>
      <c r="CN85" s="2">
        <f t="shared" si="48"/>
        <v>0</v>
      </c>
      <c r="CO85" s="2">
        <f t="shared" si="49"/>
        <v>0</v>
      </c>
      <c r="CP85" s="2">
        <f t="shared" si="50"/>
        <v>0</v>
      </c>
      <c r="CQ85" s="2">
        <f t="shared" si="51"/>
        <v>0</v>
      </c>
      <c r="CR85" s="2">
        <f t="shared" si="52"/>
        <v>0</v>
      </c>
      <c r="CV85" t="s">
        <v>64</v>
      </c>
      <c r="CW85" t="s">
        <v>158</v>
      </c>
      <c r="CX85" t="s">
        <v>2</v>
      </c>
      <c r="CY85" s="4">
        <v>43165</v>
      </c>
      <c r="CZ85" t="s">
        <v>65</v>
      </c>
      <c r="DA85" t="s">
        <v>66</v>
      </c>
      <c r="DB85">
        <v>10</v>
      </c>
      <c r="DC85">
        <v>94.98</v>
      </c>
      <c r="DD85" t="s">
        <v>69</v>
      </c>
      <c r="DE85" t="s">
        <v>70</v>
      </c>
      <c r="DF85">
        <v>949.80000000000007</v>
      </c>
    </row>
    <row r="86" spans="1:110" x14ac:dyDescent="0.25">
      <c r="A86" s="1">
        <v>42859</v>
      </c>
      <c r="B86">
        <v>142.08000000000001</v>
      </c>
      <c r="C86">
        <v>76.58</v>
      </c>
      <c r="D86">
        <v>175.3</v>
      </c>
      <c r="E86">
        <v>95.33</v>
      </c>
      <c r="F86">
        <v>32.33</v>
      </c>
      <c r="G86">
        <v>97.01</v>
      </c>
      <c r="H86">
        <v>107.76</v>
      </c>
      <c r="I86">
        <v>1</v>
      </c>
      <c r="J86">
        <v>221.31</v>
      </c>
      <c r="K86">
        <v>148.93</v>
      </c>
      <c r="L86">
        <v>145.94</v>
      </c>
      <c r="M86">
        <v>35.24</v>
      </c>
      <c r="N86">
        <v>118.4</v>
      </c>
      <c r="O86">
        <v>83.51</v>
      </c>
      <c r="P86">
        <v>41.19</v>
      </c>
      <c r="Q86">
        <v>137.4</v>
      </c>
      <c r="R86">
        <v>189.82</v>
      </c>
      <c r="S86">
        <v>60.1</v>
      </c>
      <c r="T86">
        <v>66.56</v>
      </c>
      <c r="U86">
        <v>53.32</v>
      </c>
      <c r="V86">
        <v>31.12</v>
      </c>
      <c r="W86">
        <v>81.599999999999994</v>
      </c>
      <c r="X86">
        <v>116.01</v>
      </c>
      <c r="Y86">
        <v>169.78</v>
      </c>
      <c r="Z86">
        <v>115.6</v>
      </c>
      <c r="AA86">
        <v>91.37</v>
      </c>
      <c r="AB86">
        <v>42.28</v>
      </c>
      <c r="AC86">
        <v>82.27</v>
      </c>
      <c r="AD86">
        <v>73.23</v>
      </c>
      <c r="AE86">
        <v>75.37</v>
      </c>
      <c r="AI86" s="2">
        <v>2500</v>
      </c>
      <c r="AJ86" s="2">
        <f t="shared" ref="AJ86:AO86" si="76">AJ85+10</f>
        <v>1060</v>
      </c>
      <c r="AK86" s="2">
        <f t="shared" si="76"/>
        <v>1060</v>
      </c>
      <c r="AL86" s="2">
        <f t="shared" si="76"/>
        <v>1060</v>
      </c>
      <c r="AM86" s="2">
        <f t="shared" si="76"/>
        <v>1060</v>
      </c>
      <c r="AN86" s="2">
        <f t="shared" si="76"/>
        <v>1060</v>
      </c>
      <c r="AO86" s="2">
        <f t="shared" si="76"/>
        <v>1060</v>
      </c>
      <c r="AP86" s="2">
        <v>0</v>
      </c>
      <c r="AQ86" s="2">
        <v>1000</v>
      </c>
      <c r="AR86" s="2">
        <v>0</v>
      </c>
      <c r="AS86" s="2">
        <v>1000</v>
      </c>
      <c r="AT86" s="2">
        <v>0</v>
      </c>
      <c r="AU86" s="2">
        <v>1000</v>
      </c>
      <c r="AV86" s="2">
        <v>1000</v>
      </c>
      <c r="AW86" s="2">
        <v>0</v>
      </c>
      <c r="AX86" s="2">
        <v>0</v>
      </c>
      <c r="AY86" s="2">
        <v>1000</v>
      </c>
      <c r="AZ86" s="2">
        <v>1014</v>
      </c>
      <c r="BA86" s="2">
        <v>1042</v>
      </c>
      <c r="BB86" s="2">
        <v>1094</v>
      </c>
      <c r="BC86" s="2">
        <v>-1000</v>
      </c>
      <c r="BD86" s="2">
        <v>1000</v>
      </c>
      <c r="BE86" s="2">
        <v>5000</v>
      </c>
      <c r="BF86" s="2">
        <v>3000</v>
      </c>
      <c r="BG86" s="2">
        <v>2500</v>
      </c>
      <c r="BH86" s="2">
        <v>5000</v>
      </c>
      <c r="BI86" s="2">
        <v>3000</v>
      </c>
      <c r="BJ86" s="2">
        <v>0</v>
      </c>
      <c r="BK86" s="2">
        <v>1000</v>
      </c>
      <c r="BL86" s="2">
        <v>1000</v>
      </c>
      <c r="BO86" s="2">
        <f t="shared" si="44"/>
        <v>355200.00000000006</v>
      </c>
      <c r="BP86" s="2">
        <f t="shared" si="53"/>
        <v>-765.8</v>
      </c>
      <c r="BQ86" s="2">
        <f t="shared" si="54"/>
        <v>-1753</v>
      </c>
      <c r="BR86" s="2">
        <f t="shared" si="55"/>
        <v>-953.3</v>
      </c>
      <c r="BS86" s="2">
        <f t="shared" si="56"/>
        <v>-323.29999999999995</v>
      </c>
      <c r="BT86" s="2">
        <f t="shared" si="57"/>
        <v>-970.1</v>
      </c>
      <c r="BU86" s="2">
        <f t="shared" si="58"/>
        <v>-1077.6000000000001</v>
      </c>
      <c r="BV86" s="2">
        <f t="shared" si="59"/>
        <v>0</v>
      </c>
      <c r="BW86" s="2">
        <f t="shared" si="60"/>
        <v>0</v>
      </c>
      <c r="BX86" s="2">
        <f t="shared" si="61"/>
        <v>0</v>
      </c>
      <c r="BY86" s="2">
        <f t="shared" si="62"/>
        <v>0</v>
      </c>
      <c r="BZ86" s="2">
        <f t="shared" si="63"/>
        <v>35240</v>
      </c>
      <c r="CA86" s="2">
        <f t="shared" si="64"/>
        <v>0</v>
      </c>
      <c r="CB86" s="2">
        <f t="shared" si="65"/>
        <v>0</v>
      </c>
      <c r="CC86" s="2">
        <f t="shared" si="66"/>
        <v>0</v>
      </c>
      <c r="CD86" s="2">
        <f t="shared" si="67"/>
        <v>0</v>
      </c>
      <c r="CE86" s="2">
        <f t="shared" si="68"/>
        <v>0</v>
      </c>
      <c r="CF86" s="2">
        <f t="shared" si="69"/>
        <v>-3065.1</v>
      </c>
      <c r="CG86" s="2">
        <f t="shared" si="70"/>
        <v>3527.6800000000003</v>
      </c>
      <c r="CH86" s="2">
        <f t="shared" si="71"/>
        <v>-4052.32</v>
      </c>
      <c r="CI86" s="2">
        <f t="shared" si="72"/>
        <v>0</v>
      </c>
      <c r="CJ86" s="2">
        <f t="shared" si="73"/>
        <v>0</v>
      </c>
      <c r="CK86" s="2">
        <f t="shared" si="74"/>
        <v>0</v>
      </c>
      <c r="CL86" s="2">
        <f t="shared" si="75"/>
        <v>0</v>
      </c>
      <c r="CM86" s="2">
        <f t="shared" si="47"/>
        <v>289000</v>
      </c>
      <c r="CN86" s="2">
        <f t="shared" si="48"/>
        <v>0</v>
      </c>
      <c r="CO86" s="2">
        <f t="shared" si="49"/>
        <v>0</v>
      </c>
      <c r="CP86" s="2">
        <f t="shared" si="50"/>
        <v>0</v>
      </c>
      <c r="CQ86" s="2">
        <f t="shared" si="51"/>
        <v>0</v>
      </c>
      <c r="CR86" s="2">
        <f t="shared" si="52"/>
        <v>0</v>
      </c>
      <c r="CV86" t="s">
        <v>64</v>
      </c>
      <c r="CW86" t="s">
        <v>159</v>
      </c>
      <c r="CX86" t="s">
        <v>2</v>
      </c>
      <c r="CY86" s="4">
        <v>43185</v>
      </c>
      <c r="CZ86" t="s">
        <v>65</v>
      </c>
      <c r="DA86" t="s">
        <v>66</v>
      </c>
      <c r="DB86">
        <v>10</v>
      </c>
      <c r="DC86">
        <v>91.57</v>
      </c>
      <c r="DD86" t="s">
        <v>69</v>
      </c>
      <c r="DE86" t="s">
        <v>70</v>
      </c>
      <c r="DF86">
        <v>915.69999999999993</v>
      </c>
    </row>
    <row r="87" spans="1:110" x14ac:dyDescent="0.25">
      <c r="A87" s="1">
        <v>42860</v>
      </c>
      <c r="B87">
        <v>144.44</v>
      </c>
      <c r="C87">
        <v>76.569999999999993</v>
      </c>
      <c r="D87">
        <v>177.16</v>
      </c>
      <c r="E87">
        <v>95.57</v>
      </c>
      <c r="F87">
        <v>32.53</v>
      </c>
      <c r="G87">
        <v>97.92</v>
      </c>
      <c r="H87">
        <v>108.55</v>
      </c>
      <c r="I87">
        <v>1</v>
      </c>
      <c r="J87">
        <v>221.58</v>
      </c>
      <c r="K87">
        <v>149.76</v>
      </c>
      <c r="L87">
        <v>142.27000000000001</v>
      </c>
      <c r="M87">
        <v>35.22</v>
      </c>
      <c r="N87">
        <v>117.98</v>
      </c>
      <c r="O87">
        <v>83.42</v>
      </c>
      <c r="P87">
        <v>41.22</v>
      </c>
      <c r="Q87">
        <v>137.88</v>
      </c>
      <c r="R87">
        <v>189.71</v>
      </c>
      <c r="S87">
        <v>60.66</v>
      </c>
      <c r="T87">
        <v>66.75</v>
      </c>
      <c r="U87">
        <v>52.81</v>
      </c>
      <c r="V87">
        <v>31.15</v>
      </c>
      <c r="W87">
        <v>81.64</v>
      </c>
      <c r="X87">
        <v>116.48</v>
      </c>
      <c r="Y87">
        <v>169.88</v>
      </c>
      <c r="Z87">
        <v>115.94</v>
      </c>
      <c r="AA87">
        <v>90.85</v>
      </c>
      <c r="AB87">
        <v>43.03</v>
      </c>
      <c r="AC87">
        <v>82.12</v>
      </c>
      <c r="AD87">
        <v>73.38</v>
      </c>
      <c r="AE87">
        <v>75.72</v>
      </c>
      <c r="AI87" s="2">
        <v>2500</v>
      </c>
      <c r="AJ87" s="2">
        <f t="shared" ref="AJ87:AO87" si="77">AJ86</f>
        <v>1060</v>
      </c>
      <c r="AK87" s="2">
        <f t="shared" si="77"/>
        <v>1060</v>
      </c>
      <c r="AL87" s="2">
        <f t="shared" si="77"/>
        <v>1060</v>
      </c>
      <c r="AM87" s="2">
        <f t="shared" si="77"/>
        <v>1060</v>
      </c>
      <c r="AN87" s="2">
        <f t="shared" si="77"/>
        <v>1060</v>
      </c>
      <c r="AO87" s="2">
        <f t="shared" si="77"/>
        <v>1060</v>
      </c>
      <c r="AP87" s="2">
        <v>0</v>
      </c>
      <c r="AQ87" s="2">
        <v>1000</v>
      </c>
      <c r="AR87" s="2">
        <v>0</v>
      </c>
      <c r="AS87" s="2">
        <v>1000</v>
      </c>
      <c r="AT87" s="2">
        <v>0</v>
      </c>
      <c r="AU87" s="2">
        <v>1000</v>
      </c>
      <c r="AV87" s="2">
        <v>1000</v>
      </c>
      <c r="AW87" s="2">
        <v>0</v>
      </c>
      <c r="AX87" s="2">
        <v>0</v>
      </c>
      <c r="AY87" s="2">
        <v>1000</v>
      </c>
      <c r="AZ87" s="2">
        <v>994</v>
      </c>
      <c r="BA87" s="2">
        <v>982</v>
      </c>
      <c r="BB87" s="2">
        <v>1013</v>
      </c>
      <c r="BC87" s="2">
        <v>-1000</v>
      </c>
      <c r="BD87" s="2">
        <v>1000</v>
      </c>
      <c r="BE87" s="2">
        <v>5000</v>
      </c>
      <c r="BF87" s="2">
        <v>3000</v>
      </c>
      <c r="BG87" s="2">
        <v>1500</v>
      </c>
      <c r="BH87" s="2">
        <v>5000</v>
      </c>
      <c r="BI87" s="2">
        <v>3000</v>
      </c>
      <c r="BJ87" s="2">
        <v>0</v>
      </c>
      <c r="BK87" s="2">
        <v>1000</v>
      </c>
      <c r="BL87" s="2">
        <v>1000</v>
      </c>
      <c r="BO87" s="2">
        <f t="shared" si="44"/>
        <v>0</v>
      </c>
      <c r="BP87" s="2">
        <f t="shared" si="53"/>
        <v>0</v>
      </c>
      <c r="BQ87" s="2">
        <f t="shared" si="54"/>
        <v>0</v>
      </c>
      <c r="BR87" s="2">
        <f t="shared" si="55"/>
        <v>0</v>
      </c>
      <c r="BS87" s="2">
        <f t="shared" si="56"/>
        <v>0</v>
      </c>
      <c r="BT87" s="2">
        <f t="shared" si="57"/>
        <v>0</v>
      </c>
      <c r="BU87" s="2">
        <f t="shared" si="58"/>
        <v>0</v>
      </c>
      <c r="BV87" s="2">
        <f t="shared" si="59"/>
        <v>0</v>
      </c>
      <c r="BW87" s="2">
        <f t="shared" si="60"/>
        <v>0</v>
      </c>
      <c r="BX87" s="2">
        <f t="shared" si="61"/>
        <v>0</v>
      </c>
      <c r="BY87" s="2">
        <f t="shared" si="62"/>
        <v>0</v>
      </c>
      <c r="BZ87" s="2">
        <f t="shared" si="63"/>
        <v>0</v>
      </c>
      <c r="CA87" s="2">
        <f t="shared" si="64"/>
        <v>0</v>
      </c>
      <c r="CB87" s="2">
        <f t="shared" si="65"/>
        <v>0</v>
      </c>
      <c r="CC87" s="2">
        <f t="shared" si="66"/>
        <v>0</v>
      </c>
      <c r="CD87" s="2">
        <f t="shared" si="67"/>
        <v>0</v>
      </c>
      <c r="CE87" s="2">
        <f t="shared" si="68"/>
        <v>0</v>
      </c>
      <c r="CF87" s="2">
        <f t="shared" si="69"/>
        <v>1213.1999999999998</v>
      </c>
      <c r="CG87" s="2">
        <f t="shared" si="70"/>
        <v>4005</v>
      </c>
      <c r="CH87" s="2">
        <f t="shared" si="71"/>
        <v>4277.6100000000006</v>
      </c>
      <c r="CI87" s="2">
        <f t="shared" si="72"/>
        <v>0</v>
      </c>
      <c r="CJ87" s="2">
        <f t="shared" si="73"/>
        <v>0</v>
      </c>
      <c r="CK87" s="2">
        <f t="shared" si="74"/>
        <v>0</v>
      </c>
      <c r="CL87" s="2">
        <f t="shared" si="75"/>
        <v>0</v>
      </c>
      <c r="CM87" s="2">
        <f t="shared" si="47"/>
        <v>115940</v>
      </c>
      <c r="CN87" s="2">
        <f t="shared" si="48"/>
        <v>0</v>
      </c>
      <c r="CO87" s="2">
        <f t="shared" si="49"/>
        <v>0</v>
      </c>
      <c r="CP87" s="2">
        <f t="shared" si="50"/>
        <v>0</v>
      </c>
      <c r="CQ87" s="2">
        <f t="shared" si="51"/>
        <v>0</v>
      </c>
      <c r="CR87" s="2">
        <f t="shared" si="52"/>
        <v>0</v>
      </c>
      <c r="CV87" t="s">
        <v>64</v>
      </c>
      <c r="CW87" t="s">
        <v>160</v>
      </c>
      <c r="CX87" t="s">
        <v>2</v>
      </c>
      <c r="CY87" s="4">
        <v>43206</v>
      </c>
      <c r="CZ87" t="s">
        <v>65</v>
      </c>
      <c r="DA87" t="s">
        <v>66</v>
      </c>
      <c r="DB87">
        <v>10</v>
      </c>
      <c r="DC87">
        <v>92.89</v>
      </c>
      <c r="DD87" t="s">
        <v>69</v>
      </c>
      <c r="DE87" t="s">
        <v>70</v>
      </c>
      <c r="DF87">
        <v>928.9</v>
      </c>
    </row>
    <row r="88" spans="1:110" x14ac:dyDescent="0.25">
      <c r="A88" s="1">
        <v>42863</v>
      </c>
      <c r="B88">
        <v>148.37</v>
      </c>
      <c r="C88">
        <v>76.42</v>
      </c>
      <c r="D88">
        <v>178.12</v>
      </c>
      <c r="E88">
        <v>95.31</v>
      </c>
      <c r="F88">
        <v>32.44</v>
      </c>
      <c r="G88">
        <v>98.75</v>
      </c>
      <c r="H88">
        <v>108</v>
      </c>
      <c r="I88">
        <v>1</v>
      </c>
      <c r="J88">
        <v>219.78</v>
      </c>
      <c r="K88">
        <v>150.88</v>
      </c>
      <c r="L88">
        <v>141.79</v>
      </c>
      <c r="M88">
        <v>34.950000000000003</v>
      </c>
      <c r="N88">
        <v>117.73</v>
      </c>
      <c r="O88">
        <v>83.51</v>
      </c>
      <c r="P88">
        <v>41.4</v>
      </c>
      <c r="Q88">
        <v>138.15</v>
      </c>
      <c r="R88">
        <v>189</v>
      </c>
      <c r="S88">
        <v>60.69</v>
      </c>
      <c r="T88">
        <v>66.69</v>
      </c>
      <c r="U88">
        <v>53.15</v>
      </c>
      <c r="V88">
        <v>31.12</v>
      </c>
      <c r="W88">
        <v>81.69</v>
      </c>
      <c r="X88">
        <v>116.21</v>
      </c>
      <c r="Y88">
        <v>170.19</v>
      </c>
      <c r="Z88">
        <v>115.68</v>
      </c>
      <c r="AA88">
        <v>90.68</v>
      </c>
      <c r="AB88">
        <v>42.97</v>
      </c>
      <c r="AC88">
        <v>82.07</v>
      </c>
      <c r="AD88">
        <v>73.010000000000005</v>
      </c>
      <c r="AE88">
        <v>76.52</v>
      </c>
      <c r="AI88" s="2">
        <v>2500</v>
      </c>
      <c r="AJ88" s="2">
        <f t="shared" ref="AJ88:AO113" si="78">AJ87</f>
        <v>1060</v>
      </c>
      <c r="AK88" s="2">
        <f t="shared" si="78"/>
        <v>1060</v>
      </c>
      <c r="AL88" s="2">
        <f t="shared" si="78"/>
        <v>1060</v>
      </c>
      <c r="AM88" s="2">
        <f t="shared" si="78"/>
        <v>1060</v>
      </c>
      <c r="AN88" s="2">
        <f t="shared" si="78"/>
        <v>1060</v>
      </c>
      <c r="AO88" s="2">
        <f t="shared" si="78"/>
        <v>1060</v>
      </c>
      <c r="AP88" s="2">
        <v>0</v>
      </c>
      <c r="AQ88" s="2">
        <v>1000</v>
      </c>
      <c r="AR88" s="2">
        <v>0</v>
      </c>
      <c r="AS88" s="2">
        <v>1000</v>
      </c>
      <c r="AT88" s="2">
        <v>0</v>
      </c>
      <c r="AU88" s="2">
        <v>1000</v>
      </c>
      <c r="AV88" s="2">
        <v>1000</v>
      </c>
      <c r="AW88" s="2">
        <v>0</v>
      </c>
      <c r="AX88" s="2">
        <v>0</v>
      </c>
      <c r="AY88" s="2">
        <v>1000</v>
      </c>
      <c r="AZ88" s="2">
        <v>1000</v>
      </c>
      <c r="BA88" s="2">
        <v>959</v>
      </c>
      <c r="BB88" s="2">
        <v>1018</v>
      </c>
      <c r="BC88" s="2">
        <v>-1000</v>
      </c>
      <c r="BD88" s="2">
        <v>1000</v>
      </c>
      <c r="BE88" s="2">
        <v>5000</v>
      </c>
      <c r="BF88" s="2">
        <v>3000</v>
      </c>
      <c r="BG88" s="2">
        <v>1500</v>
      </c>
      <c r="BH88" s="2">
        <v>5000</v>
      </c>
      <c r="BI88" s="2">
        <v>3000</v>
      </c>
      <c r="BJ88" s="2">
        <v>0</v>
      </c>
      <c r="BK88" s="2">
        <v>1000</v>
      </c>
      <c r="BL88" s="2">
        <v>1000</v>
      </c>
      <c r="BO88" s="2">
        <f t="shared" si="44"/>
        <v>0</v>
      </c>
      <c r="BP88" s="2">
        <f t="shared" si="53"/>
        <v>0</v>
      </c>
      <c r="BQ88" s="2">
        <f t="shared" si="54"/>
        <v>0</v>
      </c>
      <c r="BR88" s="2">
        <f t="shared" si="55"/>
        <v>0</v>
      </c>
      <c r="BS88" s="2">
        <f t="shared" si="56"/>
        <v>0</v>
      </c>
      <c r="BT88" s="2">
        <f t="shared" si="57"/>
        <v>0</v>
      </c>
      <c r="BU88" s="2">
        <f t="shared" si="58"/>
        <v>0</v>
      </c>
      <c r="BV88" s="2">
        <f t="shared" si="59"/>
        <v>0</v>
      </c>
      <c r="BW88" s="2">
        <f t="shared" si="60"/>
        <v>0</v>
      </c>
      <c r="BX88" s="2">
        <f t="shared" si="61"/>
        <v>0</v>
      </c>
      <c r="BY88" s="2">
        <f t="shared" si="62"/>
        <v>0</v>
      </c>
      <c r="BZ88" s="2">
        <f t="shared" si="63"/>
        <v>0</v>
      </c>
      <c r="CA88" s="2">
        <f t="shared" si="64"/>
        <v>0</v>
      </c>
      <c r="CB88" s="2">
        <f t="shared" si="65"/>
        <v>0</v>
      </c>
      <c r="CC88" s="2">
        <f t="shared" si="66"/>
        <v>0</v>
      </c>
      <c r="CD88" s="2">
        <f t="shared" si="67"/>
        <v>0</v>
      </c>
      <c r="CE88" s="2">
        <f t="shared" si="68"/>
        <v>0</v>
      </c>
      <c r="CF88" s="2">
        <f t="shared" si="69"/>
        <v>-364.14</v>
      </c>
      <c r="CG88" s="2">
        <f t="shared" si="70"/>
        <v>1533.87</v>
      </c>
      <c r="CH88" s="2">
        <f t="shared" si="71"/>
        <v>-265.75</v>
      </c>
      <c r="CI88" s="2">
        <f t="shared" si="72"/>
        <v>0</v>
      </c>
      <c r="CJ88" s="2">
        <f t="shared" si="73"/>
        <v>0</v>
      </c>
      <c r="CK88" s="2">
        <f t="shared" si="74"/>
        <v>0</v>
      </c>
      <c r="CL88" s="2">
        <f t="shared" si="75"/>
        <v>0</v>
      </c>
      <c r="CM88" s="2">
        <f t="shared" si="47"/>
        <v>0</v>
      </c>
      <c r="CN88" s="2">
        <f t="shared" si="48"/>
        <v>0</v>
      </c>
      <c r="CO88" s="2">
        <f t="shared" si="49"/>
        <v>0</v>
      </c>
      <c r="CP88" s="2">
        <f t="shared" si="50"/>
        <v>0</v>
      </c>
      <c r="CQ88" s="2">
        <f t="shared" si="51"/>
        <v>0</v>
      </c>
      <c r="CR88" s="2">
        <f t="shared" si="52"/>
        <v>0</v>
      </c>
      <c r="CV88" t="s">
        <v>64</v>
      </c>
      <c r="CW88" t="s">
        <v>161</v>
      </c>
      <c r="CX88" t="s">
        <v>2</v>
      </c>
      <c r="CY88" s="4">
        <v>43224</v>
      </c>
      <c r="CZ88" t="s">
        <v>65</v>
      </c>
      <c r="DA88" t="s">
        <v>66</v>
      </c>
      <c r="DB88">
        <v>10</v>
      </c>
      <c r="DC88">
        <v>97.6</v>
      </c>
      <c r="DD88" t="s">
        <v>69</v>
      </c>
      <c r="DE88" t="s">
        <v>70</v>
      </c>
      <c r="DF88">
        <v>976</v>
      </c>
    </row>
    <row r="89" spans="1:110" x14ac:dyDescent="0.25">
      <c r="A89" s="1">
        <v>42864</v>
      </c>
      <c r="B89">
        <v>149.32</v>
      </c>
      <c r="C89">
        <v>76.69</v>
      </c>
      <c r="D89">
        <v>178.97</v>
      </c>
      <c r="E89">
        <v>95.24</v>
      </c>
      <c r="F89">
        <v>32.07</v>
      </c>
      <c r="G89">
        <v>97.26</v>
      </c>
      <c r="H89">
        <v>108.63</v>
      </c>
      <c r="I89">
        <v>1</v>
      </c>
      <c r="J89">
        <v>218.54</v>
      </c>
      <c r="K89">
        <v>151.63999999999999</v>
      </c>
      <c r="L89">
        <v>140.94</v>
      </c>
      <c r="M89">
        <v>34.79</v>
      </c>
      <c r="N89">
        <v>117.69</v>
      </c>
      <c r="O89">
        <v>83.18</v>
      </c>
      <c r="P89">
        <v>41.05</v>
      </c>
      <c r="Q89">
        <v>138.27000000000001</v>
      </c>
      <c r="R89">
        <v>188.34</v>
      </c>
      <c r="S89">
        <v>60.01</v>
      </c>
      <c r="T89">
        <v>66.790000000000006</v>
      </c>
      <c r="U89">
        <v>53.73</v>
      </c>
      <c r="V89">
        <v>31.05</v>
      </c>
      <c r="W89">
        <v>81.55</v>
      </c>
      <c r="X89">
        <v>115.19</v>
      </c>
      <c r="Y89">
        <v>169.02</v>
      </c>
      <c r="Z89">
        <v>116.04</v>
      </c>
      <c r="AA89">
        <v>90.76</v>
      </c>
      <c r="AB89">
        <v>42.78</v>
      </c>
      <c r="AC89">
        <v>82.2</v>
      </c>
      <c r="AD89">
        <v>73.59</v>
      </c>
      <c r="AE89">
        <v>75.989999999999995</v>
      </c>
      <c r="AI89" s="2">
        <v>1500</v>
      </c>
      <c r="AJ89" s="2">
        <f t="shared" si="78"/>
        <v>1060</v>
      </c>
      <c r="AK89" s="2">
        <f t="shared" si="78"/>
        <v>1060</v>
      </c>
      <c r="AL89" s="2">
        <f t="shared" si="78"/>
        <v>1060</v>
      </c>
      <c r="AM89" s="2">
        <f t="shared" si="78"/>
        <v>1060</v>
      </c>
      <c r="AN89" s="2">
        <f t="shared" si="78"/>
        <v>1060</v>
      </c>
      <c r="AO89" s="2">
        <f t="shared" si="78"/>
        <v>1060</v>
      </c>
      <c r="AP89" s="2">
        <v>0</v>
      </c>
      <c r="AQ89" s="2">
        <v>1000</v>
      </c>
      <c r="AR89" s="2">
        <v>0</v>
      </c>
      <c r="AS89" s="2">
        <v>1000</v>
      </c>
      <c r="AT89" s="2">
        <v>0</v>
      </c>
      <c r="AU89" s="2">
        <v>1000</v>
      </c>
      <c r="AV89" s="2">
        <v>1000</v>
      </c>
      <c r="AW89" s="2">
        <v>0</v>
      </c>
      <c r="AX89" s="2">
        <v>0</v>
      </c>
      <c r="AY89" s="2">
        <v>1000</v>
      </c>
      <c r="AZ89" s="2">
        <v>966</v>
      </c>
      <c r="BA89" s="2">
        <v>1008</v>
      </c>
      <c r="BB89" s="2">
        <v>907</v>
      </c>
      <c r="BC89" s="2">
        <v>-1000</v>
      </c>
      <c r="BD89" s="2">
        <v>1000</v>
      </c>
      <c r="BE89" s="2">
        <v>5000</v>
      </c>
      <c r="BF89" s="2">
        <v>3000</v>
      </c>
      <c r="BG89" s="2">
        <v>1500</v>
      </c>
      <c r="BH89" s="2">
        <v>5000</v>
      </c>
      <c r="BI89" s="2">
        <v>3000</v>
      </c>
      <c r="BJ89" s="2">
        <v>0</v>
      </c>
      <c r="BK89" s="2">
        <v>1000</v>
      </c>
      <c r="BL89" s="2">
        <v>1000</v>
      </c>
      <c r="BO89" s="2">
        <f t="shared" si="44"/>
        <v>149320</v>
      </c>
      <c r="BP89" s="2">
        <f t="shared" si="53"/>
        <v>0</v>
      </c>
      <c r="BQ89" s="2">
        <f t="shared" si="54"/>
        <v>0</v>
      </c>
      <c r="BR89" s="2">
        <f t="shared" si="55"/>
        <v>0</v>
      </c>
      <c r="BS89" s="2">
        <f t="shared" si="56"/>
        <v>0</v>
      </c>
      <c r="BT89" s="2">
        <f t="shared" si="57"/>
        <v>0</v>
      </c>
      <c r="BU89" s="2">
        <f t="shared" si="58"/>
        <v>0</v>
      </c>
      <c r="BV89" s="2">
        <f t="shared" si="59"/>
        <v>0</v>
      </c>
      <c r="BW89" s="2">
        <f t="shared" si="60"/>
        <v>0</v>
      </c>
      <c r="BX89" s="2">
        <f t="shared" si="61"/>
        <v>0</v>
      </c>
      <c r="BY89" s="2">
        <f t="shared" si="62"/>
        <v>0</v>
      </c>
      <c r="BZ89" s="2">
        <f t="shared" si="63"/>
        <v>0</v>
      </c>
      <c r="CA89" s="2">
        <f t="shared" si="64"/>
        <v>0</v>
      </c>
      <c r="CB89" s="2">
        <f t="shared" si="65"/>
        <v>0</v>
      </c>
      <c r="CC89" s="2">
        <f t="shared" si="66"/>
        <v>0</v>
      </c>
      <c r="CD89" s="2">
        <f t="shared" si="67"/>
        <v>0</v>
      </c>
      <c r="CE89" s="2">
        <f t="shared" si="68"/>
        <v>0</v>
      </c>
      <c r="CF89" s="2">
        <f t="shared" si="69"/>
        <v>2040.34</v>
      </c>
      <c r="CG89" s="2">
        <f t="shared" si="70"/>
        <v>-3272.7100000000005</v>
      </c>
      <c r="CH89" s="2">
        <f t="shared" si="71"/>
        <v>5964.03</v>
      </c>
      <c r="CI89" s="2">
        <f t="shared" si="72"/>
        <v>0</v>
      </c>
      <c r="CJ89" s="2">
        <f t="shared" si="73"/>
        <v>0</v>
      </c>
      <c r="CK89" s="2">
        <f t="shared" si="74"/>
        <v>0</v>
      </c>
      <c r="CL89" s="2">
        <f t="shared" si="75"/>
        <v>0</v>
      </c>
      <c r="CM89" s="2">
        <f t="shared" si="47"/>
        <v>0</v>
      </c>
      <c r="CN89" s="2">
        <f t="shared" si="48"/>
        <v>0</v>
      </c>
      <c r="CO89" s="2">
        <f t="shared" si="49"/>
        <v>0</v>
      </c>
      <c r="CP89" s="2">
        <f t="shared" si="50"/>
        <v>0</v>
      </c>
      <c r="CQ89" s="2">
        <f t="shared" si="51"/>
        <v>0</v>
      </c>
      <c r="CR89" s="2">
        <f t="shared" si="52"/>
        <v>0</v>
      </c>
      <c r="CV89" t="s">
        <v>64</v>
      </c>
      <c r="CW89" t="s">
        <v>162</v>
      </c>
      <c r="CX89" t="s">
        <v>2</v>
      </c>
      <c r="CY89" s="4">
        <v>43244</v>
      </c>
      <c r="CZ89" t="s">
        <v>65</v>
      </c>
      <c r="DA89" t="s">
        <v>66</v>
      </c>
      <c r="DB89">
        <v>10</v>
      </c>
      <c r="DC89">
        <v>101.23</v>
      </c>
      <c r="DD89" t="s">
        <v>69</v>
      </c>
      <c r="DE89" t="s">
        <v>70</v>
      </c>
      <c r="DF89">
        <v>1012.3000000000001</v>
      </c>
    </row>
    <row r="90" spans="1:110" x14ac:dyDescent="0.25">
      <c r="A90" s="1">
        <v>42865</v>
      </c>
      <c r="B90">
        <v>148.61000000000001</v>
      </c>
      <c r="C90">
        <v>76.900000000000006</v>
      </c>
      <c r="D90">
        <v>176.75</v>
      </c>
      <c r="E90">
        <v>96.26</v>
      </c>
      <c r="F90">
        <v>31.92</v>
      </c>
      <c r="G90">
        <v>98.58</v>
      </c>
      <c r="H90">
        <v>106.3</v>
      </c>
      <c r="I90">
        <v>1</v>
      </c>
      <c r="J90">
        <v>219.64</v>
      </c>
      <c r="K90">
        <v>152.07</v>
      </c>
      <c r="L90">
        <v>140.13999999999999</v>
      </c>
      <c r="M90">
        <v>34.44</v>
      </c>
      <c r="N90">
        <v>117.31</v>
      </c>
      <c r="O90">
        <v>83.83</v>
      </c>
      <c r="P90">
        <v>41.1</v>
      </c>
      <c r="Q90">
        <v>138.41999999999999</v>
      </c>
      <c r="R90">
        <v>187.09</v>
      </c>
      <c r="S90">
        <v>60.63</v>
      </c>
      <c r="T90">
        <v>67.05</v>
      </c>
      <c r="U90">
        <v>53.41</v>
      </c>
      <c r="V90">
        <v>31.03</v>
      </c>
      <c r="W90">
        <v>81.63</v>
      </c>
      <c r="X90">
        <v>115.9</v>
      </c>
      <c r="Y90">
        <v>169.16</v>
      </c>
      <c r="Z90">
        <v>115.62</v>
      </c>
      <c r="AA90">
        <v>91.01</v>
      </c>
      <c r="AB90">
        <v>42.74</v>
      </c>
      <c r="AC90">
        <v>81.86</v>
      </c>
      <c r="AD90">
        <v>74.06</v>
      </c>
      <c r="AE90">
        <v>76.33</v>
      </c>
      <c r="AI90" s="2">
        <v>1500</v>
      </c>
      <c r="AJ90" s="2">
        <f t="shared" si="78"/>
        <v>1060</v>
      </c>
      <c r="AK90" s="2">
        <f t="shared" si="78"/>
        <v>1060</v>
      </c>
      <c r="AL90" s="2">
        <f t="shared" si="78"/>
        <v>1060</v>
      </c>
      <c r="AM90" s="2">
        <f t="shared" si="78"/>
        <v>1060</v>
      </c>
      <c r="AN90" s="2">
        <f t="shared" si="78"/>
        <v>1060</v>
      </c>
      <c r="AO90" s="2">
        <f t="shared" si="78"/>
        <v>1060</v>
      </c>
      <c r="AP90" s="2">
        <v>0</v>
      </c>
      <c r="AQ90" s="2">
        <v>1000</v>
      </c>
      <c r="AR90" s="2">
        <v>0</v>
      </c>
      <c r="AS90" s="2">
        <v>1000</v>
      </c>
      <c r="AT90" s="2">
        <v>0</v>
      </c>
      <c r="AU90" s="2">
        <v>1000</v>
      </c>
      <c r="AV90" s="2">
        <v>1000</v>
      </c>
      <c r="AW90" s="2">
        <v>0</v>
      </c>
      <c r="AX90" s="2">
        <v>0</v>
      </c>
      <c r="AY90" s="2">
        <v>1000</v>
      </c>
      <c r="AZ90" s="2">
        <v>1042</v>
      </c>
      <c r="BA90" s="2">
        <v>1016</v>
      </c>
      <c r="BB90" s="2">
        <v>991</v>
      </c>
      <c r="BC90" s="2">
        <v>-1000</v>
      </c>
      <c r="BD90" s="2">
        <v>1000</v>
      </c>
      <c r="BE90" s="2">
        <v>5000</v>
      </c>
      <c r="BF90" s="2">
        <v>3000</v>
      </c>
      <c r="BG90" s="2">
        <v>500</v>
      </c>
      <c r="BH90" s="2">
        <v>5000</v>
      </c>
      <c r="BI90" s="2">
        <v>3000</v>
      </c>
      <c r="BJ90" s="2">
        <v>0</v>
      </c>
      <c r="BK90" s="2">
        <v>1000</v>
      </c>
      <c r="BL90" s="2">
        <v>1000</v>
      </c>
      <c r="BO90" s="2">
        <f t="shared" si="44"/>
        <v>0</v>
      </c>
      <c r="BP90" s="2">
        <f t="shared" si="53"/>
        <v>0</v>
      </c>
      <c r="BQ90" s="2">
        <f t="shared" si="54"/>
        <v>0</v>
      </c>
      <c r="BR90" s="2">
        <f t="shared" si="55"/>
        <v>0</v>
      </c>
      <c r="BS90" s="2">
        <f t="shared" si="56"/>
        <v>0</v>
      </c>
      <c r="BT90" s="2">
        <f t="shared" si="57"/>
        <v>0</v>
      </c>
      <c r="BU90" s="2">
        <f t="shared" si="58"/>
        <v>0</v>
      </c>
      <c r="BV90" s="2">
        <f t="shared" si="59"/>
        <v>0</v>
      </c>
      <c r="BW90" s="2">
        <f t="shared" si="60"/>
        <v>0</v>
      </c>
      <c r="BX90" s="2">
        <f t="shared" si="61"/>
        <v>0</v>
      </c>
      <c r="BY90" s="2">
        <f t="shared" si="62"/>
        <v>0</v>
      </c>
      <c r="BZ90" s="2">
        <f t="shared" si="63"/>
        <v>0</v>
      </c>
      <c r="CA90" s="2">
        <f t="shared" si="64"/>
        <v>0</v>
      </c>
      <c r="CB90" s="2">
        <f t="shared" si="65"/>
        <v>0</v>
      </c>
      <c r="CC90" s="2">
        <f t="shared" si="66"/>
        <v>0</v>
      </c>
      <c r="CD90" s="2">
        <f t="shared" si="67"/>
        <v>0</v>
      </c>
      <c r="CE90" s="2">
        <f t="shared" si="68"/>
        <v>0</v>
      </c>
      <c r="CF90" s="2">
        <f t="shared" si="69"/>
        <v>-4607.88</v>
      </c>
      <c r="CG90" s="2">
        <f t="shared" si="70"/>
        <v>-536.4</v>
      </c>
      <c r="CH90" s="2">
        <f t="shared" si="71"/>
        <v>-4486.4399999999996</v>
      </c>
      <c r="CI90" s="2">
        <f t="shared" si="72"/>
        <v>0</v>
      </c>
      <c r="CJ90" s="2">
        <f t="shared" si="73"/>
        <v>0</v>
      </c>
      <c r="CK90" s="2">
        <f t="shared" si="74"/>
        <v>0</v>
      </c>
      <c r="CL90" s="2">
        <f t="shared" si="75"/>
        <v>0</v>
      </c>
      <c r="CM90" s="2">
        <f t="shared" si="47"/>
        <v>115620</v>
      </c>
      <c r="CN90" s="2">
        <f t="shared" si="48"/>
        <v>0</v>
      </c>
      <c r="CO90" s="2">
        <f t="shared" si="49"/>
        <v>0</v>
      </c>
      <c r="CP90" s="2">
        <f t="shared" si="50"/>
        <v>0</v>
      </c>
      <c r="CQ90" s="2">
        <f t="shared" si="51"/>
        <v>0</v>
      </c>
      <c r="CR90" s="2">
        <f t="shared" si="52"/>
        <v>0</v>
      </c>
      <c r="CV90" t="s">
        <v>64</v>
      </c>
      <c r="CW90" t="s">
        <v>163</v>
      </c>
      <c r="CX90" t="s">
        <v>2</v>
      </c>
      <c r="CY90" s="4">
        <v>43265</v>
      </c>
      <c r="CZ90" t="s">
        <v>65</v>
      </c>
      <c r="DA90" t="s">
        <v>66</v>
      </c>
      <c r="DB90">
        <v>10</v>
      </c>
      <c r="DC90">
        <v>99</v>
      </c>
      <c r="DD90" t="s">
        <v>69</v>
      </c>
      <c r="DE90" t="s">
        <v>70</v>
      </c>
      <c r="DF90">
        <v>990</v>
      </c>
    </row>
    <row r="91" spans="1:110" x14ac:dyDescent="0.25">
      <c r="A91" s="1">
        <v>42866</v>
      </c>
      <c r="B91">
        <v>149.9</v>
      </c>
      <c r="C91">
        <v>76.180000000000007</v>
      </c>
      <c r="D91">
        <v>177.48</v>
      </c>
      <c r="E91">
        <v>96.87</v>
      </c>
      <c r="F91">
        <v>31.81</v>
      </c>
      <c r="G91">
        <v>98.31</v>
      </c>
      <c r="H91">
        <v>106.22</v>
      </c>
      <c r="I91">
        <v>1</v>
      </c>
      <c r="J91">
        <v>219.52</v>
      </c>
      <c r="K91">
        <v>150.22</v>
      </c>
      <c r="L91">
        <v>139.59</v>
      </c>
      <c r="M91">
        <v>34.14</v>
      </c>
      <c r="N91">
        <v>117.68</v>
      </c>
      <c r="O91">
        <v>83.57</v>
      </c>
      <c r="P91">
        <v>41.2</v>
      </c>
      <c r="Q91">
        <v>138.12</v>
      </c>
      <c r="R91">
        <v>187.19</v>
      </c>
      <c r="S91">
        <v>61.09</v>
      </c>
      <c r="T91">
        <v>66.22</v>
      </c>
      <c r="U91">
        <v>53.09</v>
      </c>
      <c r="V91">
        <v>31.03</v>
      </c>
      <c r="W91">
        <v>81.33</v>
      </c>
      <c r="X91">
        <v>115.75</v>
      </c>
      <c r="Y91">
        <v>169.1</v>
      </c>
      <c r="Z91">
        <v>115.87</v>
      </c>
      <c r="AA91">
        <v>90.86</v>
      </c>
      <c r="AB91">
        <v>42.41</v>
      </c>
      <c r="AC91">
        <v>81.739999999999995</v>
      </c>
      <c r="AD91">
        <v>73.510000000000005</v>
      </c>
      <c r="AE91">
        <v>76.989999999999995</v>
      </c>
      <c r="AI91" s="2">
        <v>1500</v>
      </c>
      <c r="AJ91" s="2">
        <f t="shared" si="78"/>
        <v>1060</v>
      </c>
      <c r="AK91" s="2">
        <f t="shared" si="78"/>
        <v>1060</v>
      </c>
      <c r="AL91" s="2">
        <f t="shared" si="78"/>
        <v>1060</v>
      </c>
      <c r="AM91" s="2">
        <f t="shared" si="78"/>
        <v>1060</v>
      </c>
      <c r="AN91" s="2">
        <f t="shared" si="78"/>
        <v>1060</v>
      </c>
      <c r="AO91" s="2">
        <f t="shared" si="78"/>
        <v>1060</v>
      </c>
      <c r="AP91" s="2">
        <v>0</v>
      </c>
      <c r="AQ91" s="2">
        <v>1000</v>
      </c>
      <c r="AR91" s="2">
        <v>0</v>
      </c>
      <c r="AS91" s="2">
        <v>1000</v>
      </c>
      <c r="AT91" s="2">
        <v>0</v>
      </c>
      <c r="AU91" s="2">
        <v>1000</v>
      </c>
      <c r="AV91" s="2">
        <v>1000</v>
      </c>
      <c r="AW91" s="2">
        <v>0</v>
      </c>
      <c r="AX91" s="2">
        <v>0</v>
      </c>
      <c r="AY91" s="2">
        <v>1000</v>
      </c>
      <c r="AZ91" s="2">
        <v>978</v>
      </c>
      <c r="BA91" s="2">
        <v>1059</v>
      </c>
      <c r="BB91" s="2">
        <v>913</v>
      </c>
      <c r="BC91" s="2">
        <v>-1000</v>
      </c>
      <c r="BD91" s="2">
        <v>1000</v>
      </c>
      <c r="BE91" s="2">
        <v>5000</v>
      </c>
      <c r="BF91" s="2">
        <v>3000</v>
      </c>
      <c r="BG91" s="2">
        <v>500</v>
      </c>
      <c r="BH91" s="2">
        <v>5000</v>
      </c>
      <c r="BI91" s="2">
        <v>3000</v>
      </c>
      <c r="BJ91" s="2">
        <v>0</v>
      </c>
      <c r="BK91" s="2">
        <v>1000</v>
      </c>
      <c r="BL91" s="2">
        <v>1000</v>
      </c>
      <c r="BO91" s="2">
        <f t="shared" si="44"/>
        <v>0</v>
      </c>
      <c r="BP91" s="2">
        <f t="shared" si="53"/>
        <v>0</v>
      </c>
      <c r="BQ91" s="2">
        <f t="shared" si="54"/>
        <v>0</v>
      </c>
      <c r="BR91" s="2">
        <f t="shared" si="55"/>
        <v>0</v>
      </c>
      <c r="BS91" s="2">
        <f t="shared" si="56"/>
        <v>0</v>
      </c>
      <c r="BT91" s="2">
        <f t="shared" si="57"/>
        <v>0</v>
      </c>
      <c r="BU91" s="2">
        <f t="shared" si="58"/>
        <v>0</v>
      </c>
      <c r="BV91" s="2">
        <f t="shared" si="59"/>
        <v>0</v>
      </c>
      <c r="BW91" s="2">
        <f t="shared" si="60"/>
        <v>0</v>
      </c>
      <c r="BX91" s="2">
        <f t="shared" si="61"/>
        <v>0</v>
      </c>
      <c r="BY91" s="2">
        <f t="shared" si="62"/>
        <v>0</v>
      </c>
      <c r="BZ91" s="2">
        <f t="shared" si="63"/>
        <v>0</v>
      </c>
      <c r="CA91" s="2">
        <f t="shared" si="64"/>
        <v>0</v>
      </c>
      <c r="CB91" s="2">
        <f t="shared" si="65"/>
        <v>0</v>
      </c>
      <c r="CC91" s="2">
        <f t="shared" si="66"/>
        <v>0</v>
      </c>
      <c r="CD91" s="2">
        <f t="shared" si="67"/>
        <v>0</v>
      </c>
      <c r="CE91" s="2">
        <f t="shared" si="68"/>
        <v>0</v>
      </c>
      <c r="CF91" s="2">
        <f t="shared" si="69"/>
        <v>3909.76</v>
      </c>
      <c r="CG91" s="2">
        <f t="shared" si="70"/>
        <v>-2847.46</v>
      </c>
      <c r="CH91" s="2">
        <f t="shared" si="71"/>
        <v>4141.0200000000004</v>
      </c>
      <c r="CI91" s="2">
        <f t="shared" si="72"/>
        <v>0</v>
      </c>
      <c r="CJ91" s="2">
        <f t="shared" si="73"/>
        <v>0</v>
      </c>
      <c r="CK91" s="2">
        <f t="shared" si="74"/>
        <v>0</v>
      </c>
      <c r="CL91" s="2">
        <f t="shared" si="75"/>
        <v>0</v>
      </c>
      <c r="CM91" s="2">
        <f t="shared" si="47"/>
        <v>0</v>
      </c>
      <c r="CN91" s="2">
        <f t="shared" si="48"/>
        <v>0</v>
      </c>
      <c r="CO91" s="2">
        <f t="shared" si="49"/>
        <v>0</v>
      </c>
      <c r="CP91" s="2">
        <f t="shared" si="50"/>
        <v>0</v>
      </c>
      <c r="CQ91" s="2">
        <f t="shared" si="51"/>
        <v>0</v>
      </c>
      <c r="CR91" s="2">
        <f t="shared" si="52"/>
        <v>0</v>
      </c>
      <c r="CV91" t="s">
        <v>64</v>
      </c>
      <c r="CW91" t="s">
        <v>164</v>
      </c>
      <c r="CX91" t="s">
        <v>2</v>
      </c>
      <c r="CY91" s="4">
        <v>43286</v>
      </c>
      <c r="CZ91" t="s">
        <v>65</v>
      </c>
      <c r="DA91" t="s">
        <v>66</v>
      </c>
      <c r="DB91">
        <v>10</v>
      </c>
      <c r="DC91">
        <v>98.13</v>
      </c>
      <c r="DD91" t="s">
        <v>69</v>
      </c>
      <c r="DE91" t="s">
        <v>70</v>
      </c>
      <c r="DF91">
        <v>981.3</v>
      </c>
    </row>
    <row r="92" spans="1:110" x14ac:dyDescent="0.25">
      <c r="A92" s="1">
        <v>42867</v>
      </c>
      <c r="B92">
        <v>151.99</v>
      </c>
      <c r="C92">
        <v>75.760000000000005</v>
      </c>
      <c r="D92">
        <v>176.81</v>
      </c>
      <c r="E92">
        <v>96.6</v>
      </c>
      <c r="F92">
        <v>31.64</v>
      </c>
      <c r="G92">
        <v>98.08</v>
      </c>
      <c r="H92">
        <v>106.33</v>
      </c>
      <c r="I92">
        <v>1</v>
      </c>
      <c r="J92">
        <v>217.63</v>
      </c>
      <c r="K92">
        <v>150.91</v>
      </c>
      <c r="L92">
        <v>139.33000000000001</v>
      </c>
      <c r="M92">
        <v>33.979999999999997</v>
      </c>
      <c r="N92">
        <v>118.1</v>
      </c>
      <c r="O92">
        <v>83.34</v>
      </c>
      <c r="P92">
        <v>41.12</v>
      </c>
      <c r="Q92">
        <v>139.22999999999999</v>
      </c>
      <c r="R92">
        <v>187.02</v>
      </c>
      <c r="S92">
        <v>60.28</v>
      </c>
      <c r="T92">
        <v>66.150000000000006</v>
      </c>
      <c r="U92">
        <v>53.05</v>
      </c>
      <c r="V92">
        <v>31.01</v>
      </c>
      <c r="W92">
        <v>81.349999999999994</v>
      </c>
      <c r="X92">
        <v>115.8</v>
      </c>
      <c r="Y92">
        <v>167.62</v>
      </c>
      <c r="Z92">
        <v>115.44</v>
      </c>
      <c r="AA92">
        <v>91.48</v>
      </c>
      <c r="AB92">
        <v>42.24</v>
      </c>
      <c r="AC92">
        <v>81.5</v>
      </c>
      <c r="AD92">
        <v>73.11</v>
      </c>
      <c r="AE92">
        <v>76.930000000000007</v>
      </c>
      <c r="AI92" s="2">
        <v>1500</v>
      </c>
      <c r="AJ92" s="2">
        <f t="shared" si="78"/>
        <v>1060</v>
      </c>
      <c r="AK92" s="2">
        <f t="shared" si="78"/>
        <v>1060</v>
      </c>
      <c r="AL92" s="2">
        <f t="shared" si="78"/>
        <v>1060</v>
      </c>
      <c r="AM92" s="2">
        <f t="shared" si="78"/>
        <v>1060</v>
      </c>
      <c r="AN92" s="2">
        <f t="shared" si="78"/>
        <v>1060</v>
      </c>
      <c r="AO92" s="2">
        <f t="shared" si="78"/>
        <v>1060</v>
      </c>
      <c r="AP92" s="2">
        <v>0</v>
      </c>
      <c r="AQ92" s="2">
        <v>1000</v>
      </c>
      <c r="AR92" s="2">
        <v>0</v>
      </c>
      <c r="AS92" s="2">
        <v>1000</v>
      </c>
      <c r="AT92" s="2">
        <v>0</v>
      </c>
      <c r="AU92" s="2">
        <v>1000</v>
      </c>
      <c r="AV92" s="2">
        <v>1000</v>
      </c>
      <c r="AW92" s="2">
        <v>0</v>
      </c>
      <c r="AX92" s="2">
        <v>0</v>
      </c>
      <c r="AY92" s="2">
        <v>1000</v>
      </c>
      <c r="AZ92" s="2">
        <v>954</v>
      </c>
      <c r="BA92" s="2">
        <v>1084</v>
      </c>
      <c r="BB92" s="2">
        <v>1060</v>
      </c>
      <c r="BC92" s="2">
        <v>-1000</v>
      </c>
      <c r="BD92" s="2">
        <v>1000</v>
      </c>
      <c r="BE92" s="2">
        <v>5000</v>
      </c>
      <c r="BF92" s="2">
        <v>3000</v>
      </c>
      <c r="BG92" s="2">
        <v>0</v>
      </c>
      <c r="BH92" s="2">
        <v>5000</v>
      </c>
      <c r="BI92" s="2">
        <v>3000</v>
      </c>
      <c r="BJ92" s="2">
        <v>0</v>
      </c>
      <c r="BK92" s="2">
        <v>1000</v>
      </c>
      <c r="BL92" s="2">
        <v>1000</v>
      </c>
      <c r="BO92" s="2">
        <f t="shared" si="44"/>
        <v>0</v>
      </c>
      <c r="BP92" s="2">
        <f t="shared" si="53"/>
        <v>0</v>
      </c>
      <c r="BQ92" s="2">
        <f t="shared" si="54"/>
        <v>0</v>
      </c>
      <c r="BR92" s="2">
        <f t="shared" si="55"/>
        <v>0</v>
      </c>
      <c r="BS92" s="2">
        <f t="shared" si="56"/>
        <v>0</v>
      </c>
      <c r="BT92" s="2">
        <f t="shared" si="57"/>
        <v>0</v>
      </c>
      <c r="BU92" s="2">
        <f t="shared" si="58"/>
        <v>0</v>
      </c>
      <c r="BV92" s="2">
        <f t="shared" si="59"/>
        <v>0</v>
      </c>
      <c r="BW92" s="2">
        <f t="shared" si="60"/>
        <v>0</v>
      </c>
      <c r="BX92" s="2">
        <f t="shared" si="61"/>
        <v>0</v>
      </c>
      <c r="BY92" s="2">
        <f t="shared" si="62"/>
        <v>0</v>
      </c>
      <c r="BZ92" s="2">
        <f t="shared" si="63"/>
        <v>0</v>
      </c>
      <c r="CA92" s="2">
        <f t="shared" si="64"/>
        <v>0</v>
      </c>
      <c r="CB92" s="2">
        <f t="shared" si="65"/>
        <v>0</v>
      </c>
      <c r="CC92" s="2">
        <f t="shared" si="66"/>
        <v>0</v>
      </c>
      <c r="CD92" s="2">
        <f t="shared" si="67"/>
        <v>0</v>
      </c>
      <c r="CE92" s="2">
        <f t="shared" si="68"/>
        <v>0</v>
      </c>
      <c r="CF92" s="2">
        <f t="shared" si="69"/>
        <v>1446.72</v>
      </c>
      <c r="CG92" s="2">
        <f t="shared" si="70"/>
        <v>-1653.7500000000002</v>
      </c>
      <c r="CH92" s="2">
        <f t="shared" si="71"/>
        <v>-7798.3499999999995</v>
      </c>
      <c r="CI92" s="2">
        <f t="shared" si="72"/>
        <v>0</v>
      </c>
      <c r="CJ92" s="2">
        <f t="shared" si="73"/>
        <v>0</v>
      </c>
      <c r="CK92" s="2">
        <f t="shared" si="74"/>
        <v>0</v>
      </c>
      <c r="CL92" s="2">
        <f t="shared" si="75"/>
        <v>0</v>
      </c>
      <c r="CM92" s="2">
        <f t="shared" si="47"/>
        <v>57720</v>
      </c>
      <c r="CN92" s="2">
        <f t="shared" si="48"/>
        <v>0</v>
      </c>
      <c r="CO92" s="2">
        <f t="shared" si="49"/>
        <v>0</v>
      </c>
      <c r="CP92" s="2">
        <f t="shared" si="50"/>
        <v>0</v>
      </c>
      <c r="CQ92" s="2">
        <f t="shared" si="51"/>
        <v>0</v>
      </c>
      <c r="CR92" s="2">
        <f t="shared" si="52"/>
        <v>0</v>
      </c>
      <c r="CV92" t="s">
        <v>64</v>
      </c>
      <c r="CW92" t="s">
        <v>165</v>
      </c>
      <c r="CX92" t="s">
        <v>2</v>
      </c>
      <c r="CY92" s="4">
        <v>43306</v>
      </c>
      <c r="CZ92" t="s">
        <v>65</v>
      </c>
      <c r="DA92" t="s">
        <v>66</v>
      </c>
      <c r="DB92">
        <v>10</v>
      </c>
      <c r="DC92">
        <v>102.21</v>
      </c>
      <c r="DD92" t="s">
        <v>69</v>
      </c>
      <c r="DE92" t="s">
        <v>70</v>
      </c>
      <c r="DF92">
        <v>1022.0999999999999</v>
      </c>
    </row>
    <row r="93" spans="1:110" x14ac:dyDescent="0.25">
      <c r="A93" s="1">
        <v>42870</v>
      </c>
      <c r="B93">
        <v>151.6</v>
      </c>
      <c r="C93">
        <v>76.58</v>
      </c>
      <c r="D93">
        <v>175.98</v>
      </c>
      <c r="E93">
        <v>98.24</v>
      </c>
      <c r="F93">
        <v>32.380000000000003</v>
      </c>
      <c r="G93">
        <v>98.9</v>
      </c>
      <c r="H93">
        <v>105.78</v>
      </c>
      <c r="I93">
        <v>1</v>
      </c>
      <c r="J93">
        <v>219.87</v>
      </c>
      <c r="K93">
        <v>151.30000000000001</v>
      </c>
      <c r="L93">
        <v>140.38</v>
      </c>
      <c r="M93">
        <v>34.08</v>
      </c>
      <c r="N93">
        <v>121.3</v>
      </c>
      <c r="O93">
        <v>83.74</v>
      </c>
      <c r="P93">
        <v>41.25</v>
      </c>
      <c r="Q93">
        <v>140.11000000000001</v>
      </c>
      <c r="R93">
        <v>188.03</v>
      </c>
      <c r="S93">
        <v>60.22</v>
      </c>
      <c r="T93">
        <v>66.2</v>
      </c>
      <c r="U93">
        <v>52.63</v>
      </c>
      <c r="V93">
        <v>31.11</v>
      </c>
      <c r="W93">
        <v>81.48</v>
      </c>
      <c r="X93">
        <v>115.48</v>
      </c>
      <c r="Y93">
        <v>167.35</v>
      </c>
      <c r="Z93">
        <v>115.53</v>
      </c>
      <c r="AA93">
        <v>91.98</v>
      </c>
      <c r="AB93">
        <v>41.82</v>
      </c>
      <c r="AC93">
        <v>81.23</v>
      </c>
      <c r="AD93">
        <v>73.67</v>
      </c>
      <c r="AE93">
        <v>77.16</v>
      </c>
      <c r="AI93" s="2">
        <v>1500</v>
      </c>
      <c r="AJ93" s="2">
        <f t="shared" si="78"/>
        <v>1060</v>
      </c>
      <c r="AK93" s="2">
        <f t="shared" si="78"/>
        <v>1060</v>
      </c>
      <c r="AL93" s="2">
        <f t="shared" si="78"/>
        <v>1060</v>
      </c>
      <c r="AM93" s="2">
        <f t="shared" si="78"/>
        <v>1060</v>
      </c>
      <c r="AN93" s="2">
        <f t="shared" si="78"/>
        <v>1060</v>
      </c>
      <c r="AO93" s="2">
        <f t="shared" si="78"/>
        <v>1060</v>
      </c>
      <c r="AP93" s="2">
        <v>0</v>
      </c>
      <c r="AQ93" s="2">
        <v>1000</v>
      </c>
      <c r="AR93" s="2">
        <v>0</v>
      </c>
      <c r="AS93" s="2">
        <v>1000</v>
      </c>
      <c r="AT93" s="2">
        <v>0</v>
      </c>
      <c r="AU93" s="2">
        <v>1000</v>
      </c>
      <c r="AV93" s="2">
        <v>1000</v>
      </c>
      <c r="AW93" s="2">
        <v>0</v>
      </c>
      <c r="AX93" s="2">
        <v>0</v>
      </c>
      <c r="AY93" s="2">
        <v>1000</v>
      </c>
      <c r="AZ93" s="2">
        <v>996</v>
      </c>
      <c r="BA93" s="2">
        <v>1066</v>
      </c>
      <c r="BB93" s="2">
        <v>1069</v>
      </c>
      <c r="BC93" s="2">
        <v>-1000</v>
      </c>
      <c r="BD93" s="2">
        <v>1000</v>
      </c>
      <c r="BE93" s="2">
        <v>5000</v>
      </c>
      <c r="BF93" s="2">
        <v>3000</v>
      </c>
      <c r="BG93" s="2">
        <v>0</v>
      </c>
      <c r="BH93" s="2">
        <v>5000</v>
      </c>
      <c r="BI93" s="2">
        <v>3000</v>
      </c>
      <c r="BJ93" s="2">
        <v>0</v>
      </c>
      <c r="BK93" s="2">
        <v>1000</v>
      </c>
      <c r="BL93" s="2">
        <v>1000</v>
      </c>
      <c r="BO93" s="2">
        <f t="shared" si="44"/>
        <v>0</v>
      </c>
      <c r="BP93" s="2">
        <f t="shared" si="53"/>
        <v>0</v>
      </c>
      <c r="BQ93" s="2">
        <f t="shared" si="54"/>
        <v>0</v>
      </c>
      <c r="BR93" s="2">
        <f t="shared" si="55"/>
        <v>0</v>
      </c>
      <c r="BS93" s="2">
        <f t="shared" si="56"/>
        <v>0</v>
      </c>
      <c r="BT93" s="2">
        <f t="shared" si="57"/>
        <v>0</v>
      </c>
      <c r="BU93" s="2">
        <f t="shared" si="58"/>
        <v>0</v>
      </c>
      <c r="BV93" s="2">
        <f t="shared" si="59"/>
        <v>0</v>
      </c>
      <c r="BW93" s="2">
        <f t="shared" si="60"/>
        <v>0</v>
      </c>
      <c r="BX93" s="2">
        <f t="shared" si="61"/>
        <v>0</v>
      </c>
      <c r="BY93" s="2">
        <f t="shared" si="62"/>
        <v>0</v>
      </c>
      <c r="BZ93" s="2">
        <f t="shared" si="63"/>
        <v>0</v>
      </c>
      <c r="CA93" s="2">
        <f t="shared" si="64"/>
        <v>0</v>
      </c>
      <c r="CB93" s="2">
        <f t="shared" si="65"/>
        <v>0</v>
      </c>
      <c r="CC93" s="2">
        <f t="shared" si="66"/>
        <v>0</v>
      </c>
      <c r="CD93" s="2">
        <f t="shared" si="67"/>
        <v>0</v>
      </c>
      <c r="CE93" s="2">
        <f t="shared" si="68"/>
        <v>0</v>
      </c>
      <c r="CF93" s="2">
        <f t="shared" si="69"/>
        <v>-2529.2399999999998</v>
      </c>
      <c r="CG93" s="2">
        <f t="shared" si="70"/>
        <v>1191.6000000000001</v>
      </c>
      <c r="CH93" s="2">
        <f t="shared" si="71"/>
        <v>-473.67</v>
      </c>
      <c r="CI93" s="2">
        <f t="shared" si="72"/>
        <v>0</v>
      </c>
      <c r="CJ93" s="2">
        <f t="shared" si="73"/>
        <v>0</v>
      </c>
      <c r="CK93" s="2">
        <f t="shared" si="74"/>
        <v>0</v>
      </c>
      <c r="CL93" s="2">
        <f t="shared" si="75"/>
        <v>0</v>
      </c>
      <c r="CM93" s="2">
        <f t="shared" si="47"/>
        <v>0</v>
      </c>
      <c r="CN93" s="2">
        <f t="shared" si="48"/>
        <v>0</v>
      </c>
      <c r="CO93" s="2">
        <f t="shared" si="49"/>
        <v>0</v>
      </c>
      <c r="CP93" s="2">
        <f t="shared" si="50"/>
        <v>0</v>
      </c>
      <c r="CQ93" s="2">
        <f t="shared" si="51"/>
        <v>0</v>
      </c>
      <c r="CR93" s="2">
        <f t="shared" si="52"/>
        <v>0</v>
      </c>
      <c r="CV93" t="s">
        <v>64</v>
      </c>
      <c r="CW93" t="s">
        <v>166</v>
      </c>
      <c r="CX93" t="s">
        <v>2</v>
      </c>
      <c r="CY93" s="4">
        <v>43326</v>
      </c>
      <c r="CZ93" t="s">
        <v>65</v>
      </c>
      <c r="DA93" t="s">
        <v>66</v>
      </c>
      <c r="DB93">
        <v>10</v>
      </c>
      <c r="DC93">
        <v>101.76</v>
      </c>
      <c r="DD93" t="s">
        <v>69</v>
      </c>
      <c r="DE93" t="s">
        <v>70</v>
      </c>
      <c r="DF93">
        <v>1017.6</v>
      </c>
    </row>
    <row r="94" spans="1:110" x14ac:dyDescent="0.25">
      <c r="A94" s="1">
        <v>42871</v>
      </c>
      <c r="B94">
        <v>151.38</v>
      </c>
      <c r="C94">
        <v>76.39</v>
      </c>
      <c r="D94">
        <v>176.28</v>
      </c>
      <c r="E94">
        <v>98.16</v>
      </c>
      <c r="F94">
        <v>32.450000000000003</v>
      </c>
      <c r="G94">
        <v>99.27</v>
      </c>
      <c r="H94">
        <v>104.67</v>
      </c>
      <c r="I94">
        <v>1</v>
      </c>
      <c r="J94">
        <v>220.34</v>
      </c>
      <c r="K94">
        <v>152.19999999999999</v>
      </c>
      <c r="L94">
        <v>142.38999999999999</v>
      </c>
      <c r="M94">
        <v>34.26</v>
      </c>
      <c r="N94">
        <v>122.05</v>
      </c>
      <c r="O94">
        <v>84</v>
      </c>
      <c r="P94">
        <v>41.37</v>
      </c>
      <c r="Q94">
        <v>141.07</v>
      </c>
      <c r="R94">
        <v>188.3</v>
      </c>
      <c r="S94">
        <v>60.49</v>
      </c>
      <c r="T94">
        <v>67.53</v>
      </c>
      <c r="U94">
        <v>51.66</v>
      </c>
      <c r="V94">
        <v>30.62</v>
      </c>
      <c r="W94">
        <v>81.400000000000006</v>
      </c>
      <c r="X94">
        <v>115.17</v>
      </c>
      <c r="Y94">
        <v>164.02</v>
      </c>
      <c r="Z94">
        <v>115.99</v>
      </c>
      <c r="AA94">
        <v>91.9</v>
      </c>
      <c r="AB94">
        <v>41.76</v>
      </c>
      <c r="AC94">
        <v>81.16</v>
      </c>
      <c r="AD94">
        <v>72.53</v>
      </c>
      <c r="AE94">
        <v>76.930000000000007</v>
      </c>
      <c r="AI94" s="2">
        <v>1250</v>
      </c>
      <c r="AJ94" s="2">
        <f t="shared" si="78"/>
        <v>1060</v>
      </c>
      <c r="AK94" s="2">
        <f t="shared" si="78"/>
        <v>1060</v>
      </c>
      <c r="AL94" s="2">
        <f t="shared" si="78"/>
        <v>1060</v>
      </c>
      <c r="AM94" s="2">
        <f t="shared" si="78"/>
        <v>1060</v>
      </c>
      <c r="AN94" s="2">
        <f t="shared" si="78"/>
        <v>1060</v>
      </c>
      <c r="AO94" s="2">
        <f t="shared" si="78"/>
        <v>1060</v>
      </c>
      <c r="AP94" s="2">
        <v>0</v>
      </c>
      <c r="AQ94" s="2">
        <v>1000</v>
      </c>
      <c r="AR94" s="2">
        <v>0</v>
      </c>
      <c r="AS94" s="2">
        <v>1000</v>
      </c>
      <c r="AT94" s="2">
        <v>0</v>
      </c>
      <c r="AU94" s="2">
        <v>1000</v>
      </c>
      <c r="AV94" s="2">
        <v>1000</v>
      </c>
      <c r="AW94" s="2">
        <v>0</v>
      </c>
      <c r="AX94" s="2">
        <v>0</v>
      </c>
      <c r="AY94" s="2">
        <v>1000</v>
      </c>
      <c r="AZ94" s="2">
        <v>998</v>
      </c>
      <c r="BA94" s="2">
        <v>1026</v>
      </c>
      <c r="BB94" s="2">
        <v>1001</v>
      </c>
      <c r="BC94" s="2">
        <v>-1000</v>
      </c>
      <c r="BD94" s="2">
        <v>1000</v>
      </c>
      <c r="BE94" s="2">
        <v>5000</v>
      </c>
      <c r="BF94" s="2">
        <v>3000</v>
      </c>
      <c r="BG94" s="2">
        <v>-250</v>
      </c>
      <c r="BH94" s="2">
        <v>2500</v>
      </c>
      <c r="BI94" s="2">
        <v>3000</v>
      </c>
      <c r="BJ94" s="2">
        <v>0</v>
      </c>
      <c r="BK94" s="2">
        <v>1000</v>
      </c>
      <c r="BL94" s="2">
        <v>1000</v>
      </c>
      <c r="BO94" s="2">
        <f t="shared" si="44"/>
        <v>37845</v>
      </c>
      <c r="BP94" s="2">
        <f t="shared" si="53"/>
        <v>0</v>
      </c>
      <c r="BQ94" s="2">
        <f t="shared" si="54"/>
        <v>0</v>
      </c>
      <c r="BR94" s="2">
        <f t="shared" si="55"/>
        <v>0</v>
      </c>
      <c r="BS94" s="2">
        <f t="shared" si="56"/>
        <v>0</v>
      </c>
      <c r="BT94" s="2">
        <f t="shared" si="57"/>
        <v>0</v>
      </c>
      <c r="BU94" s="2">
        <f t="shared" si="58"/>
        <v>0</v>
      </c>
      <c r="BV94" s="2">
        <f t="shared" si="59"/>
        <v>0</v>
      </c>
      <c r="BW94" s="2">
        <f t="shared" si="60"/>
        <v>0</v>
      </c>
      <c r="BX94" s="2">
        <f t="shared" si="61"/>
        <v>0</v>
      </c>
      <c r="BY94" s="2">
        <f t="shared" si="62"/>
        <v>0</v>
      </c>
      <c r="BZ94" s="2">
        <f t="shared" si="63"/>
        <v>0</v>
      </c>
      <c r="CA94" s="2">
        <f t="shared" si="64"/>
        <v>0</v>
      </c>
      <c r="CB94" s="2">
        <f t="shared" si="65"/>
        <v>0</v>
      </c>
      <c r="CC94" s="2">
        <f t="shared" si="66"/>
        <v>0</v>
      </c>
      <c r="CD94" s="2">
        <f t="shared" si="67"/>
        <v>0</v>
      </c>
      <c r="CE94" s="2">
        <f t="shared" si="68"/>
        <v>0</v>
      </c>
      <c r="CF94" s="2">
        <f t="shared" si="69"/>
        <v>-120.98</v>
      </c>
      <c r="CG94" s="2">
        <f t="shared" si="70"/>
        <v>2701.2</v>
      </c>
      <c r="CH94" s="2">
        <f t="shared" si="71"/>
        <v>3512.8799999999997</v>
      </c>
      <c r="CI94" s="2">
        <f t="shared" si="72"/>
        <v>0</v>
      </c>
      <c r="CJ94" s="2">
        <f t="shared" si="73"/>
        <v>0</v>
      </c>
      <c r="CK94" s="2">
        <f t="shared" si="74"/>
        <v>0</v>
      </c>
      <c r="CL94" s="2">
        <f t="shared" si="75"/>
        <v>0</v>
      </c>
      <c r="CM94" s="2">
        <f t="shared" si="47"/>
        <v>28997.5</v>
      </c>
      <c r="CN94" s="2">
        <f t="shared" si="48"/>
        <v>229750</v>
      </c>
      <c r="CO94" s="2">
        <f t="shared" si="49"/>
        <v>0</v>
      </c>
      <c r="CP94" s="2">
        <f t="shared" si="50"/>
        <v>0</v>
      </c>
      <c r="CQ94" s="2">
        <f t="shared" si="51"/>
        <v>0</v>
      </c>
      <c r="CR94" s="2">
        <f t="shared" si="52"/>
        <v>0</v>
      </c>
      <c r="CV94" t="s">
        <v>64</v>
      </c>
      <c r="CW94" t="s">
        <v>167</v>
      </c>
      <c r="CX94" t="s">
        <v>2</v>
      </c>
      <c r="CY94" s="4">
        <v>43347</v>
      </c>
      <c r="CZ94" t="s">
        <v>65</v>
      </c>
      <c r="DA94" t="s">
        <v>66</v>
      </c>
      <c r="DB94">
        <v>10</v>
      </c>
      <c r="DC94">
        <v>106.57</v>
      </c>
      <c r="DD94" t="s">
        <v>69</v>
      </c>
      <c r="DE94" t="s">
        <v>70</v>
      </c>
      <c r="DF94">
        <v>1065.6999999999998</v>
      </c>
    </row>
    <row r="95" spans="1:110" x14ac:dyDescent="0.25">
      <c r="A95" s="1">
        <v>42872</v>
      </c>
      <c r="B95">
        <v>146.29</v>
      </c>
      <c r="C95">
        <v>74.67</v>
      </c>
      <c r="D95">
        <v>172.5</v>
      </c>
      <c r="E95">
        <v>96.05</v>
      </c>
      <c r="F95">
        <v>31.99</v>
      </c>
      <c r="G95">
        <v>97.9</v>
      </c>
      <c r="H95">
        <v>103.05</v>
      </c>
      <c r="I95">
        <v>1</v>
      </c>
      <c r="J95">
        <v>208.74</v>
      </c>
      <c r="K95">
        <v>150.11000000000001</v>
      </c>
      <c r="L95">
        <v>139.85</v>
      </c>
      <c r="M95">
        <v>33.51</v>
      </c>
      <c r="N95">
        <v>121</v>
      </c>
      <c r="O95">
        <v>80.8</v>
      </c>
      <c r="P95">
        <v>41.44</v>
      </c>
      <c r="Q95">
        <v>140.22999999999999</v>
      </c>
      <c r="R95">
        <v>186.48</v>
      </c>
      <c r="S95">
        <v>59.74</v>
      </c>
      <c r="T95">
        <v>65.650000000000006</v>
      </c>
      <c r="U95">
        <v>50.7</v>
      </c>
      <c r="V95">
        <v>30.27</v>
      </c>
      <c r="W95">
        <v>81.42</v>
      </c>
      <c r="X95">
        <v>115.48</v>
      </c>
      <c r="Y95">
        <v>164.74</v>
      </c>
      <c r="Z95">
        <v>114.87</v>
      </c>
      <c r="AA95">
        <v>90.69</v>
      </c>
      <c r="AB95">
        <v>40.99</v>
      </c>
      <c r="AC95">
        <v>78.489999999999995</v>
      </c>
      <c r="AD95">
        <v>72.540000000000006</v>
      </c>
      <c r="AE95">
        <v>76.41</v>
      </c>
      <c r="AI95" s="2">
        <v>1250</v>
      </c>
      <c r="AJ95" s="2">
        <f t="shared" si="78"/>
        <v>1060</v>
      </c>
      <c r="AK95" s="2">
        <f t="shared" si="78"/>
        <v>1060</v>
      </c>
      <c r="AL95" s="2">
        <f t="shared" si="78"/>
        <v>1060</v>
      </c>
      <c r="AM95" s="2">
        <f t="shared" si="78"/>
        <v>1060</v>
      </c>
      <c r="AN95" s="2">
        <f t="shared" si="78"/>
        <v>1060</v>
      </c>
      <c r="AO95" s="2">
        <f t="shared" si="78"/>
        <v>1060</v>
      </c>
      <c r="AP95" s="2">
        <v>0</v>
      </c>
      <c r="AQ95" s="2">
        <v>1000</v>
      </c>
      <c r="AR95" s="2">
        <v>0</v>
      </c>
      <c r="AS95" s="2">
        <v>1000</v>
      </c>
      <c r="AT95" s="2">
        <v>0</v>
      </c>
      <c r="AU95" s="2">
        <v>1000</v>
      </c>
      <c r="AV95" s="2">
        <v>1000</v>
      </c>
      <c r="AW95" s="2">
        <v>0</v>
      </c>
      <c r="AX95" s="2">
        <v>0</v>
      </c>
      <c r="AY95" s="2">
        <v>1000</v>
      </c>
      <c r="AZ95" s="2">
        <v>1027</v>
      </c>
      <c r="BA95" s="2">
        <v>1061</v>
      </c>
      <c r="BB95" s="2">
        <v>1009</v>
      </c>
      <c r="BC95" s="2">
        <v>-1000</v>
      </c>
      <c r="BD95" s="2">
        <v>1000</v>
      </c>
      <c r="BE95" s="2">
        <v>5000</v>
      </c>
      <c r="BF95" s="2">
        <v>3000</v>
      </c>
      <c r="BG95" s="2">
        <v>-500</v>
      </c>
      <c r="BH95" s="2">
        <v>0</v>
      </c>
      <c r="BI95" s="2">
        <v>3000</v>
      </c>
      <c r="BJ95" s="2">
        <v>0</v>
      </c>
      <c r="BK95" s="2">
        <v>1000</v>
      </c>
      <c r="BL95" s="2">
        <v>1000</v>
      </c>
      <c r="BO95" s="2">
        <f t="shared" si="44"/>
        <v>0</v>
      </c>
      <c r="BP95" s="2">
        <f t="shared" si="53"/>
        <v>0</v>
      </c>
      <c r="BQ95" s="2">
        <f t="shared" si="54"/>
        <v>0</v>
      </c>
      <c r="BR95" s="2">
        <f t="shared" si="55"/>
        <v>0</v>
      </c>
      <c r="BS95" s="2">
        <f t="shared" si="56"/>
        <v>0</v>
      </c>
      <c r="BT95" s="2">
        <f t="shared" si="57"/>
        <v>0</v>
      </c>
      <c r="BU95" s="2">
        <f t="shared" si="58"/>
        <v>0</v>
      </c>
      <c r="BV95" s="2">
        <f t="shared" si="59"/>
        <v>0</v>
      </c>
      <c r="BW95" s="2">
        <f t="shared" si="60"/>
        <v>0</v>
      </c>
      <c r="BX95" s="2">
        <f t="shared" si="61"/>
        <v>0</v>
      </c>
      <c r="BY95" s="2">
        <f t="shared" si="62"/>
        <v>0</v>
      </c>
      <c r="BZ95" s="2">
        <f t="shared" si="63"/>
        <v>0</v>
      </c>
      <c r="CA95" s="2">
        <f t="shared" si="64"/>
        <v>0</v>
      </c>
      <c r="CB95" s="2">
        <f t="shared" si="65"/>
        <v>0</v>
      </c>
      <c r="CC95" s="2">
        <f t="shared" si="66"/>
        <v>0</v>
      </c>
      <c r="CD95" s="2">
        <f t="shared" si="67"/>
        <v>0</v>
      </c>
      <c r="CE95" s="2">
        <f t="shared" si="68"/>
        <v>0</v>
      </c>
      <c r="CF95" s="2">
        <f t="shared" si="69"/>
        <v>-1732.46</v>
      </c>
      <c r="CG95" s="2">
        <f t="shared" si="70"/>
        <v>-2297.75</v>
      </c>
      <c r="CH95" s="2">
        <f t="shared" si="71"/>
        <v>-405.6</v>
      </c>
      <c r="CI95" s="2">
        <f t="shared" si="72"/>
        <v>0</v>
      </c>
      <c r="CJ95" s="2">
        <f t="shared" si="73"/>
        <v>0</v>
      </c>
      <c r="CK95" s="2">
        <f t="shared" si="74"/>
        <v>0</v>
      </c>
      <c r="CL95" s="2">
        <f t="shared" si="75"/>
        <v>0</v>
      </c>
      <c r="CM95" s="2">
        <f t="shared" si="47"/>
        <v>28717.5</v>
      </c>
      <c r="CN95" s="2">
        <f t="shared" si="48"/>
        <v>226725</v>
      </c>
      <c r="CO95" s="2">
        <f t="shared" si="49"/>
        <v>0</v>
      </c>
      <c r="CP95" s="2">
        <f t="shared" si="50"/>
        <v>0</v>
      </c>
      <c r="CQ95" s="2">
        <f t="shared" si="51"/>
        <v>0</v>
      </c>
      <c r="CR95" s="2">
        <f t="shared" si="52"/>
        <v>0</v>
      </c>
      <c r="CV95" t="s">
        <v>64</v>
      </c>
      <c r="CW95" t="s">
        <v>168</v>
      </c>
      <c r="CX95" t="s">
        <v>2</v>
      </c>
      <c r="CY95" s="4">
        <v>43367</v>
      </c>
      <c r="CZ95" t="s">
        <v>65</v>
      </c>
      <c r="DA95" t="s">
        <v>66</v>
      </c>
      <c r="DB95">
        <v>10</v>
      </c>
      <c r="DC95">
        <v>109.4</v>
      </c>
      <c r="DD95" t="s">
        <v>69</v>
      </c>
      <c r="DE95" t="s">
        <v>70</v>
      </c>
      <c r="DF95">
        <v>1094</v>
      </c>
    </row>
    <row r="96" spans="1:110" x14ac:dyDescent="0.25">
      <c r="A96" s="1">
        <v>42873</v>
      </c>
      <c r="B96">
        <v>148.52000000000001</v>
      </c>
      <c r="C96">
        <v>74.680000000000007</v>
      </c>
      <c r="D96">
        <v>171.17</v>
      </c>
      <c r="E96">
        <v>96.13</v>
      </c>
      <c r="F96">
        <v>29.68</v>
      </c>
      <c r="G96">
        <v>98.34</v>
      </c>
      <c r="H96">
        <v>103.41</v>
      </c>
      <c r="I96">
        <v>1</v>
      </c>
      <c r="J96">
        <v>210.14</v>
      </c>
      <c r="K96">
        <v>149.74</v>
      </c>
      <c r="L96">
        <v>139.71</v>
      </c>
      <c r="M96">
        <v>33.69</v>
      </c>
      <c r="N96">
        <v>121.28</v>
      </c>
      <c r="O96">
        <v>80.5</v>
      </c>
      <c r="P96">
        <v>41.32</v>
      </c>
      <c r="Q96">
        <v>140.81</v>
      </c>
      <c r="R96">
        <v>186.87</v>
      </c>
      <c r="S96">
        <v>60.58</v>
      </c>
      <c r="T96">
        <v>65.87</v>
      </c>
      <c r="U96">
        <v>50.59</v>
      </c>
      <c r="V96">
        <v>30.26</v>
      </c>
      <c r="W96">
        <v>81.05</v>
      </c>
      <c r="X96">
        <v>116.08</v>
      </c>
      <c r="Y96">
        <v>167.27</v>
      </c>
      <c r="Z96">
        <v>114.67</v>
      </c>
      <c r="AA96">
        <v>90.64</v>
      </c>
      <c r="AB96">
        <v>41.51</v>
      </c>
      <c r="AC96">
        <v>78.22</v>
      </c>
      <c r="AD96">
        <v>74.87</v>
      </c>
      <c r="AE96">
        <v>76.180000000000007</v>
      </c>
      <c r="AI96" s="2">
        <v>2500</v>
      </c>
      <c r="AJ96" s="2">
        <f t="shared" si="78"/>
        <v>1060</v>
      </c>
      <c r="AK96" s="2">
        <f t="shared" si="78"/>
        <v>1060</v>
      </c>
      <c r="AL96" s="2">
        <f t="shared" si="78"/>
        <v>1060</v>
      </c>
      <c r="AM96" s="2">
        <f t="shared" si="78"/>
        <v>1060</v>
      </c>
      <c r="AN96" s="2">
        <f t="shared" si="78"/>
        <v>1060</v>
      </c>
      <c r="AO96" s="2">
        <f t="shared" si="78"/>
        <v>1060</v>
      </c>
      <c r="AP96" s="2">
        <v>0</v>
      </c>
      <c r="AQ96" s="2">
        <v>1000</v>
      </c>
      <c r="AR96" s="2">
        <v>0</v>
      </c>
      <c r="AS96" s="2">
        <v>1000</v>
      </c>
      <c r="AT96" s="2">
        <v>0</v>
      </c>
      <c r="AU96" s="2">
        <v>1000</v>
      </c>
      <c r="AV96" s="2">
        <v>1000</v>
      </c>
      <c r="AW96" s="2">
        <v>0</v>
      </c>
      <c r="AX96" s="2">
        <v>0</v>
      </c>
      <c r="AY96" s="2">
        <v>1000</v>
      </c>
      <c r="AZ96" s="2">
        <v>999</v>
      </c>
      <c r="BA96" s="2">
        <v>1033</v>
      </c>
      <c r="BB96" s="2">
        <v>1027</v>
      </c>
      <c r="BC96" s="2">
        <v>-1000</v>
      </c>
      <c r="BD96" s="2">
        <v>1000</v>
      </c>
      <c r="BE96" s="2">
        <v>5000</v>
      </c>
      <c r="BF96" s="2">
        <v>3000</v>
      </c>
      <c r="BG96" s="2">
        <v>-500</v>
      </c>
      <c r="BH96" s="2">
        <v>-5000</v>
      </c>
      <c r="BI96" s="2">
        <v>3000</v>
      </c>
      <c r="BJ96" s="2">
        <v>0</v>
      </c>
      <c r="BK96" s="2">
        <v>1000</v>
      </c>
      <c r="BL96" s="2">
        <v>1000</v>
      </c>
      <c r="BO96" s="2">
        <f t="shared" si="44"/>
        <v>-185650</v>
      </c>
      <c r="BP96" s="2">
        <f t="shared" si="53"/>
        <v>0</v>
      </c>
      <c r="BQ96" s="2">
        <f t="shared" si="54"/>
        <v>0</v>
      </c>
      <c r="BR96" s="2">
        <f t="shared" si="55"/>
        <v>0</v>
      </c>
      <c r="BS96" s="2">
        <f t="shared" si="56"/>
        <v>0</v>
      </c>
      <c r="BT96" s="2">
        <f t="shared" si="57"/>
        <v>0</v>
      </c>
      <c r="BU96" s="2">
        <f t="shared" si="58"/>
        <v>0</v>
      </c>
      <c r="BV96" s="2">
        <f t="shared" si="59"/>
        <v>0</v>
      </c>
      <c r="BW96" s="2">
        <f t="shared" si="60"/>
        <v>0</v>
      </c>
      <c r="BX96" s="2">
        <f t="shared" si="61"/>
        <v>0</v>
      </c>
      <c r="BY96" s="2">
        <f t="shared" si="62"/>
        <v>0</v>
      </c>
      <c r="BZ96" s="2">
        <f t="shared" si="63"/>
        <v>0</v>
      </c>
      <c r="CA96" s="2">
        <f t="shared" si="64"/>
        <v>0</v>
      </c>
      <c r="CB96" s="2">
        <f t="shared" si="65"/>
        <v>0</v>
      </c>
      <c r="CC96" s="2">
        <f t="shared" si="66"/>
        <v>0</v>
      </c>
      <c r="CD96" s="2">
        <f t="shared" si="67"/>
        <v>0</v>
      </c>
      <c r="CE96" s="2">
        <f t="shared" si="68"/>
        <v>0</v>
      </c>
      <c r="CF96" s="2">
        <f t="shared" si="69"/>
        <v>1696.24</v>
      </c>
      <c r="CG96" s="2">
        <f t="shared" si="70"/>
        <v>1844.3600000000001</v>
      </c>
      <c r="CH96" s="2">
        <f t="shared" si="71"/>
        <v>-910.62000000000012</v>
      </c>
      <c r="CI96" s="2">
        <f t="shared" si="72"/>
        <v>0</v>
      </c>
      <c r="CJ96" s="2">
        <f t="shared" si="73"/>
        <v>0</v>
      </c>
      <c r="CK96" s="2">
        <f t="shared" si="74"/>
        <v>0</v>
      </c>
      <c r="CL96" s="2">
        <f t="shared" si="75"/>
        <v>0</v>
      </c>
      <c r="CM96" s="2">
        <f t="shared" si="47"/>
        <v>0</v>
      </c>
      <c r="CN96" s="2">
        <f t="shared" si="48"/>
        <v>453200</v>
      </c>
      <c r="CO96" s="2">
        <f t="shared" si="49"/>
        <v>0</v>
      </c>
      <c r="CP96" s="2">
        <f t="shared" si="50"/>
        <v>0</v>
      </c>
      <c r="CQ96" s="2">
        <f t="shared" si="51"/>
        <v>0</v>
      </c>
      <c r="CR96" s="2">
        <f t="shared" si="52"/>
        <v>0</v>
      </c>
      <c r="CV96" t="s">
        <v>64</v>
      </c>
      <c r="CW96" t="s">
        <v>169</v>
      </c>
      <c r="CX96" t="s">
        <v>2</v>
      </c>
      <c r="CY96" s="4">
        <v>43385</v>
      </c>
      <c r="CZ96" t="s">
        <v>65</v>
      </c>
      <c r="DA96" t="s">
        <v>66</v>
      </c>
      <c r="DB96">
        <v>10</v>
      </c>
      <c r="DC96">
        <v>102.58</v>
      </c>
      <c r="DD96" t="s">
        <v>69</v>
      </c>
      <c r="DE96" t="s">
        <v>70</v>
      </c>
      <c r="DF96">
        <v>1025.8</v>
      </c>
    </row>
    <row r="97" spans="1:110" x14ac:dyDescent="0.25">
      <c r="A97" s="1">
        <v>42874</v>
      </c>
      <c r="B97">
        <v>149.03</v>
      </c>
      <c r="C97">
        <v>75.09</v>
      </c>
      <c r="D97">
        <v>174.41</v>
      </c>
      <c r="E97">
        <v>98.25</v>
      </c>
      <c r="F97">
        <v>29.52</v>
      </c>
      <c r="G97">
        <v>99.6</v>
      </c>
      <c r="H97">
        <v>104.22</v>
      </c>
      <c r="I97">
        <v>1</v>
      </c>
      <c r="J97">
        <v>210.37</v>
      </c>
      <c r="K97">
        <v>150.31</v>
      </c>
      <c r="L97">
        <v>140.82</v>
      </c>
      <c r="M97">
        <v>33.86</v>
      </c>
      <c r="N97">
        <v>121.31</v>
      </c>
      <c r="O97">
        <v>81.290000000000006</v>
      </c>
      <c r="P97">
        <v>41.41</v>
      </c>
      <c r="Q97">
        <v>141.9</v>
      </c>
      <c r="R97">
        <v>187.4</v>
      </c>
      <c r="S97">
        <v>60.48</v>
      </c>
      <c r="T97">
        <v>65.849999999999994</v>
      </c>
      <c r="U97">
        <v>50.67</v>
      </c>
      <c r="V97">
        <v>30.49</v>
      </c>
      <c r="W97">
        <v>81.400000000000006</v>
      </c>
      <c r="X97">
        <v>115.99</v>
      </c>
      <c r="Y97">
        <v>168.38</v>
      </c>
      <c r="Z97">
        <v>116.39</v>
      </c>
      <c r="AA97">
        <v>91.4</v>
      </c>
      <c r="AB97">
        <v>41.86</v>
      </c>
      <c r="AC97">
        <v>77.41</v>
      </c>
      <c r="AD97">
        <v>76.06</v>
      </c>
      <c r="AE97">
        <v>76.349999999999994</v>
      </c>
      <c r="AI97" s="2">
        <v>2500</v>
      </c>
      <c r="AJ97" s="2">
        <f t="shared" si="78"/>
        <v>1060</v>
      </c>
      <c r="AK97" s="2">
        <f t="shared" si="78"/>
        <v>1060</v>
      </c>
      <c r="AL97" s="2">
        <f t="shared" si="78"/>
        <v>1060</v>
      </c>
      <c r="AM97" s="2">
        <f t="shared" si="78"/>
        <v>1060</v>
      </c>
      <c r="AN97" s="2">
        <f t="shared" si="78"/>
        <v>1060</v>
      </c>
      <c r="AO97" s="2">
        <f t="shared" si="78"/>
        <v>1060</v>
      </c>
      <c r="AP97" s="2">
        <v>0</v>
      </c>
      <c r="AQ97" s="2">
        <v>1000</v>
      </c>
      <c r="AR97" s="2">
        <v>0</v>
      </c>
      <c r="AS97" s="2">
        <v>1000</v>
      </c>
      <c r="AT97" s="2">
        <v>0</v>
      </c>
      <c r="AU97" s="2">
        <v>1000</v>
      </c>
      <c r="AV97" s="2">
        <v>1000</v>
      </c>
      <c r="AW97" s="2">
        <v>0</v>
      </c>
      <c r="AX97" s="2">
        <v>0</v>
      </c>
      <c r="AY97" s="2">
        <v>1000</v>
      </c>
      <c r="AZ97" s="2">
        <v>972</v>
      </c>
      <c r="BA97" s="2">
        <v>1062</v>
      </c>
      <c r="BB97" s="2">
        <v>936</v>
      </c>
      <c r="BC97" s="2">
        <v>-1000</v>
      </c>
      <c r="BD97" s="2">
        <v>1000</v>
      </c>
      <c r="BE97" s="2">
        <v>5000</v>
      </c>
      <c r="BF97" s="2">
        <v>3000</v>
      </c>
      <c r="BG97" s="2">
        <v>-500</v>
      </c>
      <c r="BH97" s="2">
        <v>-5000</v>
      </c>
      <c r="BI97" s="2">
        <v>3000</v>
      </c>
      <c r="BJ97" s="2">
        <v>0</v>
      </c>
      <c r="BK97" s="2">
        <v>1000</v>
      </c>
      <c r="BL97" s="2">
        <v>1000</v>
      </c>
      <c r="BO97" s="2">
        <f t="shared" si="44"/>
        <v>0</v>
      </c>
      <c r="BP97" s="2">
        <f t="shared" si="53"/>
        <v>0</v>
      </c>
      <c r="BQ97" s="2">
        <f t="shared" si="54"/>
        <v>0</v>
      </c>
      <c r="BR97" s="2">
        <f t="shared" si="55"/>
        <v>0</v>
      </c>
      <c r="BS97" s="2">
        <f t="shared" si="56"/>
        <v>0</v>
      </c>
      <c r="BT97" s="2">
        <f t="shared" si="57"/>
        <v>0</v>
      </c>
      <c r="BU97" s="2">
        <f t="shared" si="58"/>
        <v>0</v>
      </c>
      <c r="BV97" s="2">
        <f t="shared" si="59"/>
        <v>0</v>
      </c>
      <c r="BW97" s="2">
        <f t="shared" si="60"/>
        <v>0</v>
      </c>
      <c r="BX97" s="2">
        <f t="shared" si="61"/>
        <v>0</v>
      </c>
      <c r="BY97" s="2">
        <f t="shared" si="62"/>
        <v>0</v>
      </c>
      <c r="BZ97" s="2">
        <f t="shared" si="63"/>
        <v>0</v>
      </c>
      <c r="CA97" s="2">
        <f t="shared" si="64"/>
        <v>0</v>
      </c>
      <c r="CB97" s="2">
        <f t="shared" si="65"/>
        <v>0</v>
      </c>
      <c r="CC97" s="2">
        <f t="shared" si="66"/>
        <v>0</v>
      </c>
      <c r="CD97" s="2">
        <f t="shared" si="67"/>
        <v>0</v>
      </c>
      <c r="CE97" s="2">
        <f t="shared" si="68"/>
        <v>0</v>
      </c>
      <c r="CF97" s="2">
        <f t="shared" si="69"/>
        <v>1632.9599999999998</v>
      </c>
      <c r="CG97" s="2">
        <f t="shared" si="70"/>
        <v>-1909.6499999999999</v>
      </c>
      <c r="CH97" s="2">
        <f t="shared" si="71"/>
        <v>4610.97</v>
      </c>
      <c r="CI97" s="2">
        <f t="shared" si="72"/>
        <v>0</v>
      </c>
      <c r="CJ97" s="2">
        <f t="shared" si="73"/>
        <v>0</v>
      </c>
      <c r="CK97" s="2">
        <f t="shared" si="74"/>
        <v>0</v>
      </c>
      <c r="CL97" s="2">
        <f t="shared" si="75"/>
        <v>0</v>
      </c>
      <c r="CM97" s="2">
        <f t="shared" si="47"/>
        <v>0</v>
      </c>
      <c r="CN97" s="2">
        <f t="shared" si="48"/>
        <v>0</v>
      </c>
      <c r="CO97" s="2">
        <f t="shared" si="49"/>
        <v>0</v>
      </c>
      <c r="CP97" s="2">
        <f t="shared" si="50"/>
        <v>0</v>
      </c>
      <c r="CQ97" s="2">
        <f t="shared" si="51"/>
        <v>0</v>
      </c>
      <c r="CR97" s="2">
        <f t="shared" si="52"/>
        <v>0</v>
      </c>
      <c r="CV97" t="s">
        <v>64</v>
      </c>
      <c r="CW97" t="s">
        <v>170</v>
      </c>
      <c r="CX97" t="s">
        <v>2</v>
      </c>
      <c r="CY97" s="4">
        <v>43405</v>
      </c>
      <c r="CZ97" t="s">
        <v>65</v>
      </c>
      <c r="DA97" t="s">
        <v>66</v>
      </c>
      <c r="DB97">
        <v>10</v>
      </c>
      <c r="DC97">
        <v>103.62</v>
      </c>
      <c r="DD97" t="s">
        <v>69</v>
      </c>
      <c r="DE97" t="s">
        <v>70</v>
      </c>
      <c r="DF97">
        <v>1036.2</v>
      </c>
    </row>
    <row r="98" spans="1:110" x14ac:dyDescent="0.25">
      <c r="A98" s="1">
        <v>42877</v>
      </c>
      <c r="B98">
        <v>149.93</v>
      </c>
      <c r="C98">
        <v>75.260000000000005</v>
      </c>
      <c r="D98">
        <v>177.22</v>
      </c>
      <c r="E98">
        <v>98.12</v>
      </c>
      <c r="F98">
        <v>29.88</v>
      </c>
      <c r="G98">
        <v>99.23</v>
      </c>
      <c r="H98">
        <v>104.33</v>
      </c>
      <c r="I98">
        <v>1</v>
      </c>
      <c r="J98">
        <v>210.98</v>
      </c>
      <c r="K98">
        <v>149.99</v>
      </c>
      <c r="L98">
        <v>141.43</v>
      </c>
      <c r="M98">
        <v>34.21</v>
      </c>
      <c r="N98">
        <v>121.56</v>
      </c>
      <c r="O98">
        <v>81.209999999999994</v>
      </c>
      <c r="P98">
        <v>41.68</v>
      </c>
      <c r="Q98">
        <v>141.94</v>
      </c>
      <c r="R98">
        <v>190</v>
      </c>
      <c r="S98">
        <v>60.72</v>
      </c>
      <c r="T98">
        <v>66.59</v>
      </c>
      <c r="U98">
        <v>50.48</v>
      </c>
      <c r="V98">
        <v>30.17</v>
      </c>
      <c r="W98">
        <v>81.37</v>
      </c>
      <c r="X98">
        <v>116.82</v>
      </c>
      <c r="Y98">
        <v>170.44</v>
      </c>
      <c r="Z98">
        <v>116.87</v>
      </c>
      <c r="AA98">
        <v>92.22</v>
      </c>
      <c r="AB98">
        <v>41.91</v>
      </c>
      <c r="AC98">
        <v>78.11</v>
      </c>
      <c r="AD98">
        <v>75.849999999999994</v>
      </c>
      <c r="AE98">
        <v>76.69</v>
      </c>
      <c r="AI98" s="2">
        <v>3500</v>
      </c>
      <c r="AJ98" s="2">
        <f t="shared" si="78"/>
        <v>1060</v>
      </c>
      <c r="AK98" s="2">
        <f t="shared" si="78"/>
        <v>1060</v>
      </c>
      <c r="AL98" s="2">
        <f t="shared" si="78"/>
        <v>1060</v>
      </c>
      <c r="AM98" s="2">
        <f t="shared" si="78"/>
        <v>1060</v>
      </c>
      <c r="AN98" s="2">
        <f t="shared" si="78"/>
        <v>1060</v>
      </c>
      <c r="AO98" s="2">
        <f t="shared" si="78"/>
        <v>1060</v>
      </c>
      <c r="AP98" s="2">
        <v>0</v>
      </c>
      <c r="AQ98" s="2">
        <v>1000</v>
      </c>
      <c r="AR98" s="2">
        <v>0</v>
      </c>
      <c r="AS98" s="2">
        <v>1000</v>
      </c>
      <c r="AT98" s="2">
        <v>0</v>
      </c>
      <c r="AU98" s="2">
        <v>1000</v>
      </c>
      <c r="AV98" s="2">
        <v>1000</v>
      </c>
      <c r="AW98" s="2">
        <v>0</v>
      </c>
      <c r="AX98" s="2">
        <v>0</v>
      </c>
      <c r="AY98" s="2">
        <v>1000</v>
      </c>
      <c r="AZ98" s="2">
        <v>1010</v>
      </c>
      <c r="BA98" s="2">
        <v>936</v>
      </c>
      <c r="BB98" s="2">
        <v>922</v>
      </c>
      <c r="BC98" s="2">
        <v>-1000</v>
      </c>
      <c r="BD98" s="2">
        <v>1000</v>
      </c>
      <c r="BE98" s="2">
        <v>5000</v>
      </c>
      <c r="BF98" s="2">
        <v>3000</v>
      </c>
      <c r="BG98" s="2">
        <v>2500</v>
      </c>
      <c r="BH98" s="2">
        <v>-5000</v>
      </c>
      <c r="BI98" s="2">
        <v>3000</v>
      </c>
      <c r="BJ98" s="2">
        <v>0</v>
      </c>
      <c r="BK98" s="2">
        <v>1000</v>
      </c>
      <c r="BL98" s="2">
        <v>1000</v>
      </c>
      <c r="BO98" s="2">
        <f t="shared" si="44"/>
        <v>-149930</v>
      </c>
      <c r="BP98" s="2">
        <f t="shared" si="53"/>
        <v>0</v>
      </c>
      <c r="BQ98" s="2">
        <f t="shared" si="54"/>
        <v>0</v>
      </c>
      <c r="BR98" s="2">
        <f t="shared" si="55"/>
        <v>0</v>
      </c>
      <c r="BS98" s="2">
        <f t="shared" si="56"/>
        <v>0</v>
      </c>
      <c r="BT98" s="2">
        <f t="shared" si="57"/>
        <v>0</v>
      </c>
      <c r="BU98" s="2">
        <f t="shared" si="58"/>
        <v>0</v>
      </c>
      <c r="BV98" s="2">
        <f t="shared" si="59"/>
        <v>0</v>
      </c>
      <c r="BW98" s="2">
        <f t="shared" si="60"/>
        <v>0</v>
      </c>
      <c r="BX98" s="2">
        <f t="shared" si="61"/>
        <v>0</v>
      </c>
      <c r="BY98" s="2">
        <f t="shared" si="62"/>
        <v>0</v>
      </c>
      <c r="BZ98" s="2">
        <f t="shared" si="63"/>
        <v>0</v>
      </c>
      <c r="CA98" s="2">
        <f t="shared" si="64"/>
        <v>0</v>
      </c>
      <c r="CB98" s="2">
        <f t="shared" si="65"/>
        <v>0</v>
      </c>
      <c r="CC98" s="2">
        <f t="shared" si="66"/>
        <v>0</v>
      </c>
      <c r="CD98" s="2">
        <f t="shared" si="67"/>
        <v>0</v>
      </c>
      <c r="CE98" s="2">
        <f t="shared" si="68"/>
        <v>0</v>
      </c>
      <c r="CF98" s="2">
        <f t="shared" si="69"/>
        <v>-2307.36</v>
      </c>
      <c r="CG98" s="2">
        <f t="shared" si="70"/>
        <v>8390.34</v>
      </c>
      <c r="CH98" s="2">
        <f t="shared" si="71"/>
        <v>706.71999999999991</v>
      </c>
      <c r="CI98" s="2">
        <f t="shared" si="72"/>
        <v>0</v>
      </c>
      <c r="CJ98" s="2">
        <f t="shared" si="73"/>
        <v>0</v>
      </c>
      <c r="CK98" s="2">
        <f t="shared" si="74"/>
        <v>0</v>
      </c>
      <c r="CL98" s="2">
        <f t="shared" si="75"/>
        <v>0</v>
      </c>
      <c r="CM98" s="2">
        <f t="shared" si="47"/>
        <v>-350610</v>
      </c>
      <c r="CN98" s="2">
        <f t="shared" si="48"/>
        <v>0</v>
      </c>
      <c r="CO98" s="2">
        <f t="shared" si="49"/>
        <v>0</v>
      </c>
      <c r="CP98" s="2">
        <f t="shared" si="50"/>
        <v>0</v>
      </c>
      <c r="CQ98" s="2">
        <f t="shared" si="51"/>
        <v>0</v>
      </c>
      <c r="CR98" s="2">
        <f t="shared" si="52"/>
        <v>0</v>
      </c>
      <c r="CV98" t="s">
        <v>64</v>
      </c>
      <c r="CW98" t="s">
        <v>171</v>
      </c>
      <c r="CX98" t="s">
        <v>2</v>
      </c>
      <c r="CY98" s="4">
        <v>43425</v>
      </c>
      <c r="CZ98" t="s">
        <v>65</v>
      </c>
      <c r="DA98" t="s">
        <v>66</v>
      </c>
      <c r="DB98">
        <v>10</v>
      </c>
      <c r="DC98">
        <v>106.07</v>
      </c>
      <c r="DD98" t="s">
        <v>69</v>
      </c>
      <c r="DE98" t="s">
        <v>70</v>
      </c>
      <c r="DF98">
        <v>1060.6999999999998</v>
      </c>
    </row>
    <row r="99" spans="1:110" x14ac:dyDescent="0.25">
      <c r="A99" s="1">
        <v>42878</v>
      </c>
      <c r="B99">
        <v>149.75</v>
      </c>
      <c r="C99">
        <v>75.48</v>
      </c>
      <c r="D99">
        <v>177.05</v>
      </c>
      <c r="E99">
        <v>99.4</v>
      </c>
      <c r="F99">
        <v>30.04</v>
      </c>
      <c r="G99">
        <v>99.37</v>
      </c>
      <c r="H99">
        <v>103.74</v>
      </c>
      <c r="I99">
        <v>1</v>
      </c>
      <c r="J99">
        <v>214.52</v>
      </c>
      <c r="K99">
        <v>148.9</v>
      </c>
      <c r="L99">
        <v>140.86000000000001</v>
      </c>
      <c r="M99">
        <v>34.299999999999997</v>
      </c>
      <c r="N99">
        <v>121.81</v>
      </c>
      <c r="O99">
        <v>82.23</v>
      </c>
      <c r="P99">
        <v>41.88</v>
      </c>
      <c r="Q99">
        <v>141.58000000000001</v>
      </c>
      <c r="R99">
        <v>189.25</v>
      </c>
      <c r="S99">
        <v>61.21</v>
      </c>
      <c r="T99">
        <v>66.819999999999993</v>
      </c>
      <c r="U99">
        <v>51.1</v>
      </c>
      <c r="V99">
        <v>30.19</v>
      </c>
      <c r="W99">
        <v>81.25</v>
      </c>
      <c r="X99">
        <v>116.83</v>
      </c>
      <c r="Y99">
        <v>170.95</v>
      </c>
      <c r="Z99">
        <v>117.26</v>
      </c>
      <c r="AA99">
        <v>92.76</v>
      </c>
      <c r="AB99">
        <v>41.91</v>
      </c>
      <c r="AC99">
        <v>78.010000000000005</v>
      </c>
      <c r="AD99">
        <v>75.790000000000006</v>
      </c>
      <c r="AE99">
        <v>76.959999999999994</v>
      </c>
      <c r="AI99" s="2">
        <v>3500</v>
      </c>
      <c r="AJ99" s="2">
        <f t="shared" si="78"/>
        <v>1060</v>
      </c>
      <c r="AK99" s="2">
        <f t="shared" si="78"/>
        <v>1060</v>
      </c>
      <c r="AL99" s="2">
        <f t="shared" si="78"/>
        <v>1060</v>
      </c>
      <c r="AM99" s="2">
        <f t="shared" si="78"/>
        <v>1060</v>
      </c>
      <c r="AN99" s="2">
        <f t="shared" si="78"/>
        <v>1060</v>
      </c>
      <c r="AO99" s="2">
        <f t="shared" si="78"/>
        <v>1060</v>
      </c>
      <c r="AP99" s="2">
        <v>0</v>
      </c>
      <c r="AQ99" s="2">
        <v>1000</v>
      </c>
      <c r="AR99" s="2">
        <v>0</v>
      </c>
      <c r="AS99" s="2">
        <v>1000</v>
      </c>
      <c r="AT99" s="2">
        <v>0</v>
      </c>
      <c r="AU99" s="2">
        <v>1000</v>
      </c>
      <c r="AV99" s="2">
        <v>1000</v>
      </c>
      <c r="AW99" s="2">
        <v>0</v>
      </c>
      <c r="AX99" s="2">
        <v>0</v>
      </c>
      <c r="AY99" s="2">
        <v>1000</v>
      </c>
      <c r="AZ99" s="2">
        <v>1011</v>
      </c>
      <c r="BA99" s="2">
        <v>1065</v>
      </c>
      <c r="BB99" s="2">
        <v>945</v>
      </c>
      <c r="BC99" s="2">
        <v>-1000</v>
      </c>
      <c r="BD99" s="2">
        <v>1000</v>
      </c>
      <c r="BE99" s="2">
        <v>5000</v>
      </c>
      <c r="BF99" s="2">
        <v>3000</v>
      </c>
      <c r="BG99" s="2">
        <v>3750</v>
      </c>
      <c r="BH99" s="2">
        <v>0</v>
      </c>
      <c r="BI99" s="2">
        <v>3000</v>
      </c>
      <c r="BJ99" s="2">
        <v>0</v>
      </c>
      <c r="BK99" s="2">
        <v>1000</v>
      </c>
      <c r="BL99" s="2">
        <v>1000</v>
      </c>
      <c r="BO99" s="2">
        <f t="shared" si="44"/>
        <v>0</v>
      </c>
      <c r="BP99" s="2">
        <f t="shared" si="53"/>
        <v>0</v>
      </c>
      <c r="BQ99" s="2">
        <f t="shared" si="54"/>
        <v>0</v>
      </c>
      <c r="BR99" s="2">
        <f t="shared" si="55"/>
        <v>0</v>
      </c>
      <c r="BS99" s="2">
        <f t="shared" si="56"/>
        <v>0</v>
      </c>
      <c r="BT99" s="2">
        <f t="shared" si="57"/>
        <v>0</v>
      </c>
      <c r="BU99" s="2">
        <f t="shared" si="58"/>
        <v>0</v>
      </c>
      <c r="BV99" s="2">
        <f t="shared" si="59"/>
        <v>0</v>
      </c>
      <c r="BW99" s="2">
        <f t="shared" si="60"/>
        <v>0</v>
      </c>
      <c r="BX99" s="2">
        <f t="shared" si="61"/>
        <v>0</v>
      </c>
      <c r="BY99" s="2">
        <f t="shared" si="62"/>
        <v>0</v>
      </c>
      <c r="BZ99" s="2">
        <f t="shared" si="63"/>
        <v>0</v>
      </c>
      <c r="CA99" s="2">
        <f t="shared" si="64"/>
        <v>0</v>
      </c>
      <c r="CB99" s="2">
        <f t="shared" si="65"/>
        <v>0</v>
      </c>
      <c r="CC99" s="2">
        <f t="shared" si="66"/>
        <v>0</v>
      </c>
      <c r="CD99" s="2">
        <f t="shared" si="67"/>
        <v>0</v>
      </c>
      <c r="CE99" s="2">
        <f t="shared" si="68"/>
        <v>0</v>
      </c>
      <c r="CF99" s="2">
        <f t="shared" si="69"/>
        <v>-61.21</v>
      </c>
      <c r="CG99" s="2">
        <f t="shared" si="70"/>
        <v>-8619.7799999999988</v>
      </c>
      <c r="CH99" s="2">
        <f t="shared" si="71"/>
        <v>-1175.3</v>
      </c>
      <c r="CI99" s="2">
        <f t="shared" si="72"/>
        <v>0</v>
      </c>
      <c r="CJ99" s="2">
        <f t="shared" si="73"/>
        <v>0</v>
      </c>
      <c r="CK99" s="2">
        <f t="shared" si="74"/>
        <v>0</v>
      </c>
      <c r="CL99" s="2">
        <f t="shared" si="75"/>
        <v>0</v>
      </c>
      <c r="CM99" s="2">
        <f t="shared" si="47"/>
        <v>-146575</v>
      </c>
      <c r="CN99" s="2">
        <f t="shared" si="48"/>
        <v>-463800</v>
      </c>
      <c r="CO99" s="2">
        <f t="shared" si="49"/>
        <v>0</v>
      </c>
      <c r="CP99" s="2">
        <f t="shared" si="50"/>
        <v>0</v>
      </c>
      <c r="CQ99" s="2">
        <f t="shared" si="51"/>
        <v>0</v>
      </c>
      <c r="CR99" s="2">
        <f t="shared" si="52"/>
        <v>0</v>
      </c>
      <c r="CV99" t="s">
        <v>64</v>
      </c>
      <c r="CW99" t="s">
        <v>172</v>
      </c>
      <c r="CX99" t="s">
        <v>2</v>
      </c>
      <c r="CY99" s="4">
        <v>43447</v>
      </c>
      <c r="CZ99" t="s">
        <v>65</v>
      </c>
      <c r="DA99" t="s">
        <v>66</v>
      </c>
      <c r="DB99">
        <v>10</v>
      </c>
      <c r="DC99">
        <v>106.27</v>
      </c>
      <c r="DD99" t="s">
        <v>69</v>
      </c>
      <c r="DE99" t="s">
        <v>70</v>
      </c>
      <c r="DF99">
        <v>1062.7</v>
      </c>
    </row>
    <row r="100" spans="1:110" x14ac:dyDescent="0.25">
      <c r="A100" s="1">
        <v>42879</v>
      </c>
      <c r="B100">
        <v>149.30000000000001</v>
      </c>
      <c r="C100">
        <v>75.400000000000006</v>
      </c>
      <c r="D100">
        <v>178.74</v>
      </c>
      <c r="E100">
        <v>99.71</v>
      </c>
      <c r="F100">
        <v>29.79</v>
      </c>
      <c r="G100">
        <v>99.32</v>
      </c>
      <c r="H100">
        <v>104.41</v>
      </c>
      <c r="I100">
        <v>1</v>
      </c>
      <c r="J100">
        <v>218.61</v>
      </c>
      <c r="K100">
        <v>149.06</v>
      </c>
      <c r="L100">
        <v>141.31</v>
      </c>
      <c r="M100">
        <v>34.549999999999997</v>
      </c>
      <c r="N100">
        <v>121.8</v>
      </c>
      <c r="O100">
        <v>82.18</v>
      </c>
      <c r="P100">
        <v>42.48</v>
      </c>
      <c r="Q100">
        <v>143.19</v>
      </c>
      <c r="R100">
        <v>189.02</v>
      </c>
      <c r="S100">
        <v>61.57</v>
      </c>
      <c r="T100">
        <v>66.91</v>
      </c>
      <c r="U100">
        <v>50.91</v>
      </c>
      <c r="V100">
        <v>30.1</v>
      </c>
      <c r="W100">
        <v>81.64</v>
      </c>
      <c r="X100">
        <v>117.2</v>
      </c>
      <c r="Y100">
        <v>171.31</v>
      </c>
      <c r="Z100">
        <v>117.27</v>
      </c>
      <c r="AA100">
        <v>93.7</v>
      </c>
      <c r="AB100">
        <v>41.51</v>
      </c>
      <c r="AC100">
        <v>77.38</v>
      </c>
      <c r="AD100">
        <v>75.459999999999994</v>
      </c>
      <c r="AE100">
        <v>76.69</v>
      </c>
      <c r="AI100" s="2">
        <v>3500</v>
      </c>
      <c r="AJ100" s="2">
        <f t="shared" ref="AJ100:AO100" si="79">AJ99+10</f>
        <v>1070</v>
      </c>
      <c r="AK100" s="2">
        <f t="shared" si="79"/>
        <v>1070</v>
      </c>
      <c r="AL100" s="2">
        <f t="shared" si="79"/>
        <v>1070</v>
      </c>
      <c r="AM100" s="2">
        <f t="shared" si="79"/>
        <v>1070</v>
      </c>
      <c r="AN100" s="2">
        <f t="shared" si="79"/>
        <v>1070</v>
      </c>
      <c r="AO100" s="2">
        <f t="shared" si="79"/>
        <v>1070</v>
      </c>
      <c r="AP100" s="2">
        <v>0</v>
      </c>
      <c r="AQ100" s="2">
        <v>1000</v>
      </c>
      <c r="AR100" s="2">
        <v>0</v>
      </c>
      <c r="AS100" s="2">
        <v>1000</v>
      </c>
      <c r="AT100" s="2">
        <v>0</v>
      </c>
      <c r="AU100" s="2">
        <v>1000</v>
      </c>
      <c r="AV100" s="2">
        <v>1000</v>
      </c>
      <c r="AW100" s="2">
        <v>0</v>
      </c>
      <c r="AX100" s="2">
        <v>0</v>
      </c>
      <c r="AY100" s="2">
        <v>1000</v>
      </c>
      <c r="AZ100" s="2">
        <v>980</v>
      </c>
      <c r="BA100" s="2">
        <v>1097</v>
      </c>
      <c r="BB100" s="2">
        <v>1098</v>
      </c>
      <c r="BC100" s="2">
        <v>-1000</v>
      </c>
      <c r="BD100" s="2">
        <v>1000</v>
      </c>
      <c r="BE100" s="2">
        <v>5000</v>
      </c>
      <c r="BF100" s="2">
        <v>3000</v>
      </c>
      <c r="BG100" s="2">
        <v>3750</v>
      </c>
      <c r="BH100" s="2">
        <v>0</v>
      </c>
      <c r="BI100" s="2">
        <v>3000</v>
      </c>
      <c r="BJ100" s="2">
        <v>0</v>
      </c>
      <c r="BK100" s="2">
        <v>1000</v>
      </c>
      <c r="BL100" s="2">
        <v>1000</v>
      </c>
      <c r="BO100" s="2">
        <f t="shared" si="44"/>
        <v>0</v>
      </c>
      <c r="BP100" s="2">
        <f t="shared" si="53"/>
        <v>-754</v>
      </c>
      <c r="BQ100" s="2">
        <f t="shared" si="54"/>
        <v>-1787.4</v>
      </c>
      <c r="BR100" s="2">
        <f t="shared" si="55"/>
        <v>-997.09999999999991</v>
      </c>
      <c r="BS100" s="2">
        <f t="shared" si="56"/>
        <v>-297.89999999999998</v>
      </c>
      <c r="BT100" s="2">
        <f t="shared" si="57"/>
        <v>-993.19999999999993</v>
      </c>
      <c r="BU100" s="2">
        <f t="shared" si="58"/>
        <v>-1044.0999999999999</v>
      </c>
      <c r="BV100" s="2">
        <f t="shared" si="59"/>
        <v>0</v>
      </c>
      <c r="BW100" s="2">
        <f t="shared" si="60"/>
        <v>0</v>
      </c>
      <c r="BX100" s="2">
        <f t="shared" si="61"/>
        <v>0</v>
      </c>
      <c r="BY100" s="2">
        <f t="shared" si="62"/>
        <v>0</v>
      </c>
      <c r="BZ100" s="2">
        <f t="shared" si="63"/>
        <v>0</v>
      </c>
      <c r="CA100" s="2">
        <f t="shared" si="64"/>
        <v>0</v>
      </c>
      <c r="CB100" s="2">
        <f t="shared" si="65"/>
        <v>0</v>
      </c>
      <c r="CC100" s="2">
        <f t="shared" si="66"/>
        <v>0</v>
      </c>
      <c r="CD100" s="2">
        <f t="shared" si="67"/>
        <v>0</v>
      </c>
      <c r="CE100" s="2">
        <f t="shared" si="68"/>
        <v>0</v>
      </c>
      <c r="CF100" s="2">
        <f t="shared" si="69"/>
        <v>1908.67</v>
      </c>
      <c r="CG100" s="2">
        <f t="shared" si="70"/>
        <v>-2141.12</v>
      </c>
      <c r="CH100" s="2">
        <f t="shared" si="71"/>
        <v>-7789.23</v>
      </c>
      <c r="CI100" s="2">
        <f t="shared" si="72"/>
        <v>0</v>
      </c>
      <c r="CJ100" s="2">
        <f t="shared" si="73"/>
        <v>0</v>
      </c>
      <c r="CK100" s="2">
        <f t="shared" si="74"/>
        <v>0</v>
      </c>
      <c r="CL100" s="2">
        <f t="shared" si="75"/>
        <v>0</v>
      </c>
      <c r="CM100" s="2">
        <f t="shared" si="47"/>
        <v>0</v>
      </c>
      <c r="CN100" s="2">
        <f t="shared" si="48"/>
        <v>0</v>
      </c>
      <c r="CO100" s="2">
        <f t="shared" si="49"/>
        <v>0</v>
      </c>
      <c r="CP100" s="2">
        <f t="shared" si="50"/>
        <v>0</v>
      </c>
      <c r="CQ100" s="2">
        <f t="shared" si="51"/>
        <v>0</v>
      </c>
      <c r="CR100" s="2">
        <f t="shared" si="52"/>
        <v>0</v>
      </c>
      <c r="CV100" t="s">
        <v>64</v>
      </c>
      <c r="CW100" t="s">
        <v>173</v>
      </c>
      <c r="CX100" t="s">
        <v>3</v>
      </c>
      <c r="CY100" s="4">
        <v>42738</v>
      </c>
      <c r="CZ100" t="s">
        <v>65</v>
      </c>
      <c r="DA100" t="s">
        <v>66</v>
      </c>
      <c r="DB100">
        <v>1000</v>
      </c>
      <c r="DC100">
        <v>149.02000000000001</v>
      </c>
      <c r="DD100" t="s">
        <v>69</v>
      </c>
      <c r="DE100" t="s">
        <v>70</v>
      </c>
      <c r="DF100">
        <v>149020</v>
      </c>
    </row>
    <row r="101" spans="1:110" x14ac:dyDescent="0.25">
      <c r="A101" s="1">
        <v>42880</v>
      </c>
      <c r="B101">
        <v>149.82</v>
      </c>
      <c r="C101">
        <v>75.709999999999994</v>
      </c>
      <c r="D101">
        <v>180.5</v>
      </c>
      <c r="E101">
        <v>100.73</v>
      </c>
      <c r="F101">
        <v>29.74</v>
      </c>
      <c r="G101">
        <v>98.28</v>
      </c>
      <c r="H101">
        <v>103.98</v>
      </c>
      <c r="I101">
        <v>1</v>
      </c>
      <c r="J101">
        <v>217.28</v>
      </c>
      <c r="K101">
        <v>150.47</v>
      </c>
      <c r="L101">
        <v>141.94999999999999</v>
      </c>
      <c r="M101">
        <v>34.68</v>
      </c>
      <c r="N101">
        <v>122.63</v>
      </c>
      <c r="O101">
        <v>81.84</v>
      </c>
      <c r="P101">
        <v>42.84</v>
      </c>
      <c r="Q101">
        <v>143.46</v>
      </c>
      <c r="R101">
        <v>190.98</v>
      </c>
      <c r="S101">
        <v>61.67</v>
      </c>
      <c r="T101">
        <v>67.73</v>
      </c>
      <c r="U101">
        <v>51.24</v>
      </c>
      <c r="V101">
        <v>30.21</v>
      </c>
      <c r="W101">
        <v>81.98</v>
      </c>
      <c r="X101">
        <v>118.81</v>
      </c>
      <c r="Y101">
        <v>173.71</v>
      </c>
      <c r="Z101">
        <v>117.44</v>
      </c>
      <c r="AA101">
        <v>93.93</v>
      </c>
      <c r="AB101">
        <v>41.76</v>
      </c>
      <c r="AC101">
        <v>77.540000000000006</v>
      </c>
      <c r="AD101">
        <v>75.62</v>
      </c>
      <c r="AE101">
        <v>76.180000000000007</v>
      </c>
      <c r="AI101" s="2">
        <v>4250</v>
      </c>
      <c r="AJ101" s="2">
        <f t="shared" ref="AJ101:AO101" si="80">AJ100</f>
        <v>1070</v>
      </c>
      <c r="AK101" s="2">
        <f t="shared" si="80"/>
        <v>1070</v>
      </c>
      <c r="AL101" s="2">
        <f t="shared" si="80"/>
        <v>1070</v>
      </c>
      <c r="AM101" s="2">
        <f t="shared" si="80"/>
        <v>1070</v>
      </c>
      <c r="AN101" s="2">
        <f t="shared" si="80"/>
        <v>1070</v>
      </c>
      <c r="AO101" s="2">
        <f t="shared" si="80"/>
        <v>1070</v>
      </c>
      <c r="AP101" s="2">
        <v>0</v>
      </c>
      <c r="AQ101" s="2">
        <v>1000</v>
      </c>
      <c r="AR101" s="2">
        <v>0</v>
      </c>
      <c r="AS101" s="2">
        <v>1000</v>
      </c>
      <c r="AT101" s="2">
        <v>0</v>
      </c>
      <c r="AU101" s="2">
        <v>1000</v>
      </c>
      <c r="AV101" s="2">
        <v>1000</v>
      </c>
      <c r="AW101" s="2">
        <v>0</v>
      </c>
      <c r="AX101" s="2">
        <v>0</v>
      </c>
      <c r="AY101" s="2">
        <v>1000</v>
      </c>
      <c r="AZ101" s="2">
        <v>993</v>
      </c>
      <c r="BA101" s="2">
        <v>984</v>
      </c>
      <c r="BB101" s="2">
        <v>967</v>
      </c>
      <c r="BC101" s="2">
        <v>-1000</v>
      </c>
      <c r="BD101" s="2">
        <v>1000</v>
      </c>
      <c r="BE101" s="2">
        <v>5000</v>
      </c>
      <c r="BF101" s="2">
        <v>3000</v>
      </c>
      <c r="BG101" s="2">
        <v>4500</v>
      </c>
      <c r="BH101" s="2">
        <v>0</v>
      </c>
      <c r="BI101" s="2">
        <v>3000</v>
      </c>
      <c r="BJ101" s="2">
        <v>0</v>
      </c>
      <c r="BK101" s="2">
        <v>1000</v>
      </c>
      <c r="BL101" s="2">
        <v>1000</v>
      </c>
      <c r="BO101" s="2">
        <f t="shared" si="44"/>
        <v>-112365</v>
      </c>
      <c r="BP101" s="2">
        <f t="shared" si="53"/>
        <v>0</v>
      </c>
      <c r="BQ101" s="2">
        <f t="shared" si="54"/>
        <v>0</v>
      </c>
      <c r="BR101" s="2">
        <f t="shared" si="55"/>
        <v>0</v>
      </c>
      <c r="BS101" s="2">
        <f t="shared" si="56"/>
        <v>0</v>
      </c>
      <c r="BT101" s="2">
        <f t="shared" si="57"/>
        <v>0</v>
      </c>
      <c r="BU101" s="2">
        <f t="shared" si="58"/>
        <v>0</v>
      </c>
      <c r="BV101" s="2">
        <f t="shared" si="59"/>
        <v>0</v>
      </c>
      <c r="BW101" s="2">
        <f t="shared" si="60"/>
        <v>0</v>
      </c>
      <c r="BX101" s="2">
        <f t="shared" si="61"/>
        <v>0</v>
      </c>
      <c r="BY101" s="2">
        <f t="shared" si="62"/>
        <v>0</v>
      </c>
      <c r="BZ101" s="2">
        <f t="shared" si="63"/>
        <v>0</v>
      </c>
      <c r="CA101" s="2">
        <f t="shared" si="64"/>
        <v>0</v>
      </c>
      <c r="CB101" s="2">
        <f t="shared" si="65"/>
        <v>0</v>
      </c>
      <c r="CC101" s="2">
        <f t="shared" si="66"/>
        <v>0</v>
      </c>
      <c r="CD101" s="2">
        <f t="shared" si="67"/>
        <v>0</v>
      </c>
      <c r="CE101" s="2">
        <f t="shared" si="68"/>
        <v>0</v>
      </c>
      <c r="CF101" s="2">
        <f t="shared" si="69"/>
        <v>-801.71</v>
      </c>
      <c r="CG101" s="2">
        <f t="shared" si="70"/>
        <v>7653.4900000000007</v>
      </c>
      <c r="CH101" s="2">
        <f t="shared" si="71"/>
        <v>6712.4400000000005</v>
      </c>
      <c r="CI101" s="2">
        <f t="shared" si="72"/>
        <v>0</v>
      </c>
      <c r="CJ101" s="2">
        <f t="shared" si="73"/>
        <v>0</v>
      </c>
      <c r="CK101" s="2">
        <f t="shared" si="74"/>
        <v>0</v>
      </c>
      <c r="CL101" s="2">
        <f t="shared" si="75"/>
        <v>0</v>
      </c>
      <c r="CM101" s="2">
        <f t="shared" si="47"/>
        <v>-88080</v>
      </c>
      <c r="CN101" s="2">
        <f t="shared" si="48"/>
        <v>0</v>
      </c>
      <c r="CO101" s="2">
        <f t="shared" si="49"/>
        <v>0</v>
      </c>
      <c r="CP101" s="2">
        <f t="shared" si="50"/>
        <v>0</v>
      </c>
      <c r="CQ101" s="2">
        <f t="shared" si="51"/>
        <v>0</v>
      </c>
      <c r="CR101" s="2">
        <f t="shared" si="52"/>
        <v>0</v>
      </c>
      <c r="CV101" t="s">
        <v>64</v>
      </c>
      <c r="CW101" t="s">
        <v>174</v>
      </c>
      <c r="CX101" t="s">
        <v>3</v>
      </c>
      <c r="CY101" s="4">
        <v>42759</v>
      </c>
      <c r="CZ101" t="s">
        <v>65</v>
      </c>
      <c r="DA101" t="s">
        <v>66</v>
      </c>
      <c r="DB101">
        <v>10</v>
      </c>
      <c r="DC101">
        <v>152.41999999999999</v>
      </c>
      <c r="DD101" t="s">
        <v>69</v>
      </c>
      <c r="DE101" t="s">
        <v>70</v>
      </c>
      <c r="DF101">
        <v>1524.1999999999998</v>
      </c>
    </row>
    <row r="102" spans="1:110" x14ac:dyDescent="0.25">
      <c r="A102" s="1">
        <v>42881</v>
      </c>
      <c r="B102">
        <v>149.56</v>
      </c>
      <c r="C102">
        <v>75.73</v>
      </c>
      <c r="D102">
        <v>180.04</v>
      </c>
      <c r="E102">
        <v>101.35</v>
      </c>
      <c r="F102">
        <v>29.8</v>
      </c>
      <c r="G102">
        <v>97.92</v>
      </c>
      <c r="H102">
        <v>105.08</v>
      </c>
      <c r="I102">
        <v>1</v>
      </c>
      <c r="J102">
        <v>218.32</v>
      </c>
      <c r="K102">
        <v>148.97</v>
      </c>
      <c r="L102">
        <v>141.29</v>
      </c>
      <c r="M102">
        <v>34.68</v>
      </c>
      <c r="N102">
        <v>122.04</v>
      </c>
      <c r="O102">
        <v>81.84</v>
      </c>
      <c r="P102">
        <v>42.82</v>
      </c>
      <c r="Q102">
        <v>143.54</v>
      </c>
      <c r="R102">
        <v>192.06</v>
      </c>
      <c r="S102">
        <v>61.56</v>
      </c>
      <c r="T102">
        <v>68.06</v>
      </c>
      <c r="U102">
        <v>51.48</v>
      </c>
      <c r="V102">
        <v>30.19</v>
      </c>
      <c r="W102">
        <v>82.35</v>
      </c>
      <c r="X102">
        <v>118.75</v>
      </c>
      <c r="Y102">
        <v>173.17</v>
      </c>
      <c r="Z102">
        <v>117.05</v>
      </c>
      <c r="AA102">
        <v>93.56</v>
      </c>
      <c r="AB102">
        <v>41.77</v>
      </c>
      <c r="AC102">
        <v>78.02</v>
      </c>
      <c r="AD102">
        <v>75.44</v>
      </c>
      <c r="AE102">
        <v>76</v>
      </c>
      <c r="AI102" s="2">
        <v>4250</v>
      </c>
      <c r="AJ102" s="2">
        <f t="shared" si="78"/>
        <v>1070</v>
      </c>
      <c r="AK102" s="2">
        <f t="shared" si="78"/>
        <v>1070</v>
      </c>
      <c r="AL102" s="2">
        <f t="shared" si="78"/>
        <v>1070</v>
      </c>
      <c r="AM102" s="2">
        <f t="shared" si="78"/>
        <v>1070</v>
      </c>
      <c r="AN102" s="2">
        <f t="shared" si="78"/>
        <v>1070</v>
      </c>
      <c r="AO102" s="2">
        <f t="shared" si="78"/>
        <v>1070</v>
      </c>
      <c r="AP102" s="2">
        <v>0</v>
      </c>
      <c r="AQ102" s="2">
        <v>1000</v>
      </c>
      <c r="AR102" s="2">
        <v>0</v>
      </c>
      <c r="AS102" s="2">
        <v>1000</v>
      </c>
      <c r="AT102" s="2">
        <v>0</v>
      </c>
      <c r="AU102" s="2">
        <v>1000</v>
      </c>
      <c r="AV102" s="2">
        <v>1000</v>
      </c>
      <c r="AW102" s="2">
        <v>0</v>
      </c>
      <c r="AX102" s="2">
        <v>0</v>
      </c>
      <c r="AY102" s="2">
        <v>1000</v>
      </c>
      <c r="AZ102" s="2">
        <v>1005</v>
      </c>
      <c r="BA102" s="2">
        <v>978</v>
      </c>
      <c r="BB102" s="2">
        <v>1012</v>
      </c>
      <c r="BC102" s="2">
        <v>-1000</v>
      </c>
      <c r="BD102" s="2">
        <v>1000</v>
      </c>
      <c r="BE102" s="2">
        <v>5000</v>
      </c>
      <c r="BF102" s="2">
        <v>3000</v>
      </c>
      <c r="BG102" s="2">
        <v>5000</v>
      </c>
      <c r="BH102" s="2">
        <v>0</v>
      </c>
      <c r="BI102" s="2">
        <v>3000</v>
      </c>
      <c r="BJ102" s="2">
        <v>0</v>
      </c>
      <c r="BK102" s="2">
        <v>1000</v>
      </c>
      <c r="BL102" s="2">
        <v>1000</v>
      </c>
      <c r="BO102" s="2">
        <f t="shared" si="44"/>
        <v>0</v>
      </c>
      <c r="BP102" s="2">
        <f t="shared" si="53"/>
        <v>0</v>
      </c>
      <c r="BQ102" s="2">
        <f t="shared" si="54"/>
        <v>0</v>
      </c>
      <c r="BR102" s="2">
        <f t="shared" si="55"/>
        <v>0</v>
      </c>
      <c r="BS102" s="2">
        <f t="shared" si="56"/>
        <v>0</v>
      </c>
      <c r="BT102" s="2">
        <f t="shared" si="57"/>
        <v>0</v>
      </c>
      <c r="BU102" s="2">
        <f t="shared" si="58"/>
        <v>0</v>
      </c>
      <c r="BV102" s="2">
        <f t="shared" si="59"/>
        <v>0</v>
      </c>
      <c r="BW102" s="2">
        <f t="shared" si="60"/>
        <v>0</v>
      </c>
      <c r="BX102" s="2">
        <f t="shared" si="61"/>
        <v>0</v>
      </c>
      <c r="BY102" s="2">
        <f t="shared" si="62"/>
        <v>0</v>
      </c>
      <c r="BZ102" s="2">
        <f t="shared" si="63"/>
        <v>0</v>
      </c>
      <c r="CA102" s="2">
        <f t="shared" si="64"/>
        <v>0</v>
      </c>
      <c r="CB102" s="2">
        <f t="shared" si="65"/>
        <v>0</v>
      </c>
      <c r="CC102" s="2">
        <f t="shared" si="66"/>
        <v>0</v>
      </c>
      <c r="CD102" s="2">
        <f t="shared" si="67"/>
        <v>0</v>
      </c>
      <c r="CE102" s="2">
        <f t="shared" si="68"/>
        <v>0</v>
      </c>
      <c r="CF102" s="2">
        <f t="shared" si="69"/>
        <v>-738.72</v>
      </c>
      <c r="CG102" s="2">
        <f t="shared" si="70"/>
        <v>408.36</v>
      </c>
      <c r="CH102" s="2">
        <f t="shared" si="71"/>
        <v>-2316.6</v>
      </c>
      <c r="CI102" s="2">
        <f t="shared" si="72"/>
        <v>0</v>
      </c>
      <c r="CJ102" s="2">
        <f t="shared" si="73"/>
        <v>0</v>
      </c>
      <c r="CK102" s="2">
        <f t="shared" si="74"/>
        <v>0</v>
      </c>
      <c r="CL102" s="2">
        <f t="shared" si="75"/>
        <v>0</v>
      </c>
      <c r="CM102" s="2">
        <f t="shared" si="47"/>
        <v>-58525</v>
      </c>
      <c r="CN102" s="2">
        <f t="shared" si="48"/>
        <v>0</v>
      </c>
      <c r="CO102" s="2">
        <f t="shared" si="49"/>
        <v>0</v>
      </c>
      <c r="CP102" s="2">
        <f t="shared" si="50"/>
        <v>0</v>
      </c>
      <c r="CQ102" s="2">
        <f t="shared" si="51"/>
        <v>0</v>
      </c>
      <c r="CR102" s="2">
        <f t="shared" si="52"/>
        <v>0</v>
      </c>
      <c r="CV102" t="s">
        <v>64</v>
      </c>
      <c r="CW102" t="s">
        <v>175</v>
      </c>
      <c r="CX102" t="s">
        <v>3</v>
      </c>
      <c r="CY102" s="4">
        <v>42779</v>
      </c>
      <c r="CZ102" t="s">
        <v>65</v>
      </c>
      <c r="DA102" t="s">
        <v>66</v>
      </c>
      <c r="DB102">
        <v>10</v>
      </c>
      <c r="DC102">
        <v>160.9</v>
      </c>
      <c r="DD102" t="s">
        <v>69</v>
      </c>
      <c r="DE102" t="s">
        <v>70</v>
      </c>
      <c r="DF102">
        <v>1609</v>
      </c>
    </row>
    <row r="103" spans="1:110" x14ac:dyDescent="0.25">
      <c r="A103" s="1">
        <v>42885</v>
      </c>
      <c r="B103">
        <v>149.62</v>
      </c>
      <c r="C103">
        <v>75.37</v>
      </c>
      <c r="D103">
        <v>180.32</v>
      </c>
      <c r="E103">
        <v>101.17</v>
      </c>
      <c r="F103">
        <v>29.97</v>
      </c>
      <c r="G103">
        <v>97.3</v>
      </c>
      <c r="H103">
        <v>105.02</v>
      </c>
      <c r="I103">
        <v>1</v>
      </c>
      <c r="J103">
        <v>214.05</v>
      </c>
      <c r="K103">
        <v>148.84</v>
      </c>
      <c r="L103">
        <v>140.59</v>
      </c>
      <c r="M103">
        <v>34.6</v>
      </c>
      <c r="N103">
        <v>122.22</v>
      </c>
      <c r="O103">
        <v>80.44</v>
      </c>
      <c r="P103">
        <v>42.86</v>
      </c>
      <c r="Q103">
        <v>143.6</v>
      </c>
      <c r="R103">
        <v>193.76</v>
      </c>
      <c r="S103">
        <v>61.52</v>
      </c>
      <c r="T103">
        <v>68.5</v>
      </c>
      <c r="U103">
        <v>51.8</v>
      </c>
      <c r="V103">
        <v>30.18</v>
      </c>
      <c r="W103">
        <v>82.49</v>
      </c>
      <c r="X103">
        <v>118.82</v>
      </c>
      <c r="Y103">
        <v>172.29</v>
      </c>
      <c r="Z103">
        <v>116.5</v>
      </c>
      <c r="AA103">
        <v>93.61</v>
      </c>
      <c r="AB103">
        <v>42.58</v>
      </c>
      <c r="AC103">
        <v>76.98</v>
      </c>
      <c r="AD103">
        <v>75.459999999999994</v>
      </c>
      <c r="AE103">
        <v>75.58</v>
      </c>
      <c r="AI103" s="2">
        <v>5000</v>
      </c>
      <c r="AJ103" s="2">
        <f t="shared" si="78"/>
        <v>1070</v>
      </c>
      <c r="AK103" s="2">
        <f t="shared" si="78"/>
        <v>1070</v>
      </c>
      <c r="AL103" s="2">
        <f t="shared" si="78"/>
        <v>1070</v>
      </c>
      <c r="AM103" s="2">
        <f t="shared" si="78"/>
        <v>1070</v>
      </c>
      <c r="AN103" s="2">
        <f t="shared" si="78"/>
        <v>1070</v>
      </c>
      <c r="AO103" s="2">
        <f t="shared" si="78"/>
        <v>1070</v>
      </c>
      <c r="AP103" s="2">
        <v>0</v>
      </c>
      <c r="AQ103" s="2">
        <v>1000</v>
      </c>
      <c r="AR103" s="2">
        <v>0</v>
      </c>
      <c r="AS103" s="2">
        <v>1000</v>
      </c>
      <c r="AT103" s="2">
        <v>0</v>
      </c>
      <c r="AU103" s="2">
        <v>1000</v>
      </c>
      <c r="AV103" s="2">
        <v>1000</v>
      </c>
      <c r="AW103" s="2">
        <v>0</v>
      </c>
      <c r="AX103" s="2">
        <v>0</v>
      </c>
      <c r="AY103" s="2">
        <v>1000</v>
      </c>
      <c r="AZ103" s="2">
        <v>986</v>
      </c>
      <c r="BA103" s="2">
        <v>1031</v>
      </c>
      <c r="BB103" s="2">
        <v>1026</v>
      </c>
      <c r="BC103" s="2">
        <v>-1000</v>
      </c>
      <c r="BD103" s="2">
        <v>1000</v>
      </c>
      <c r="BE103" s="2">
        <v>5000</v>
      </c>
      <c r="BF103" s="2">
        <v>3000</v>
      </c>
      <c r="BG103" s="2">
        <v>5000</v>
      </c>
      <c r="BH103" s="2">
        <v>-2500</v>
      </c>
      <c r="BI103" s="2">
        <v>3000</v>
      </c>
      <c r="BJ103" s="2">
        <v>0</v>
      </c>
      <c r="BK103" s="2">
        <v>1000</v>
      </c>
      <c r="BL103" s="2">
        <v>1000</v>
      </c>
      <c r="BO103" s="2">
        <f t="shared" si="44"/>
        <v>-112215</v>
      </c>
      <c r="BP103" s="2">
        <f t="shared" si="53"/>
        <v>0</v>
      </c>
      <c r="BQ103" s="2">
        <f t="shared" si="54"/>
        <v>0</v>
      </c>
      <c r="BR103" s="2">
        <f t="shared" si="55"/>
        <v>0</v>
      </c>
      <c r="BS103" s="2">
        <f t="shared" si="56"/>
        <v>0</v>
      </c>
      <c r="BT103" s="2">
        <f t="shared" si="57"/>
        <v>0</v>
      </c>
      <c r="BU103" s="2">
        <f t="shared" si="58"/>
        <v>0</v>
      </c>
      <c r="BV103" s="2">
        <f t="shared" si="59"/>
        <v>0</v>
      </c>
      <c r="BW103" s="2">
        <f t="shared" si="60"/>
        <v>0</v>
      </c>
      <c r="BX103" s="2">
        <f t="shared" si="61"/>
        <v>0</v>
      </c>
      <c r="BY103" s="2">
        <f t="shared" si="62"/>
        <v>0</v>
      </c>
      <c r="BZ103" s="2">
        <f t="shared" si="63"/>
        <v>0</v>
      </c>
      <c r="CA103" s="2">
        <f t="shared" si="64"/>
        <v>0</v>
      </c>
      <c r="CB103" s="2">
        <f t="shared" si="65"/>
        <v>0</v>
      </c>
      <c r="CC103" s="2">
        <f t="shared" si="66"/>
        <v>0</v>
      </c>
      <c r="CD103" s="2">
        <f t="shared" si="67"/>
        <v>0</v>
      </c>
      <c r="CE103" s="2">
        <f t="shared" si="68"/>
        <v>0</v>
      </c>
      <c r="CF103" s="2">
        <f t="shared" si="69"/>
        <v>1168.8800000000001</v>
      </c>
      <c r="CG103" s="2">
        <f t="shared" si="70"/>
        <v>-3630.5</v>
      </c>
      <c r="CH103" s="2">
        <f t="shared" si="71"/>
        <v>-725.19999999999993</v>
      </c>
      <c r="CI103" s="2">
        <f t="shared" si="72"/>
        <v>0</v>
      </c>
      <c r="CJ103" s="2">
        <f t="shared" si="73"/>
        <v>0</v>
      </c>
      <c r="CK103" s="2">
        <f t="shared" si="74"/>
        <v>0</v>
      </c>
      <c r="CL103" s="2">
        <f t="shared" si="75"/>
        <v>0</v>
      </c>
      <c r="CM103" s="2">
        <f t="shared" si="47"/>
        <v>0</v>
      </c>
      <c r="CN103" s="2">
        <f t="shared" si="48"/>
        <v>234025</v>
      </c>
      <c r="CO103" s="2">
        <f t="shared" si="49"/>
        <v>0</v>
      </c>
      <c r="CP103" s="2">
        <f t="shared" si="50"/>
        <v>0</v>
      </c>
      <c r="CQ103" s="2">
        <f t="shared" si="51"/>
        <v>0</v>
      </c>
      <c r="CR103" s="2">
        <f t="shared" si="52"/>
        <v>0</v>
      </c>
      <c r="CV103" t="s">
        <v>64</v>
      </c>
      <c r="CW103" t="s">
        <v>176</v>
      </c>
      <c r="CX103" t="s">
        <v>3</v>
      </c>
      <c r="CY103" s="4">
        <v>42800</v>
      </c>
      <c r="CZ103" t="s">
        <v>65</v>
      </c>
      <c r="DA103" t="s">
        <v>66</v>
      </c>
      <c r="DB103">
        <v>10</v>
      </c>
      <c r="DC103">
        <v>173.25</v>
      </c>
      <c r="DD103" t="s">
        <v>69</v>
      </c>
      <c r="DE103" t="s">
        <v>70</v>
      </c>
      <c r="DF103">
        <v>1732.5</v>
      </c>
    </row>
    <row r="104" spans="1:110" x14ac:dyDescent="0.25">
      <c r="A104" s="1">
        <v>42886</v>
      </c>
      <c r="B104">
        <v>148.74</v>
      </c>
      <c r="C104">
        <v>75.22</v>
      </c>
      <c r="D104">
        <v>181.04</v>
      </c>
      <c r="E104">
        <v>101.13</v>
      </c>
      <c r="F104">
        <v>29.83</v>
      </c>
      <c r="G104">
        <v>96.76</v>
      </c>
      <c r="H104">
        <v>104.63</v>
      </c>
      <c r="I104">
        <v>1</v>
      </c>
      <c r="J104">
        <v>207.03</v>
      </c>
      <c r="K104">
        <v>148.47999999999999</v>
      </c>
      <c r="L104">
        <v>141.41999999999999</v>
      </c>
      <c r="M104">
        <v>34.54</v>
      </c>
      <c r="N104">
        <v>123.32</v>
      </c>
      <c r="O104">
        <v>78.77</v>
      </c>
      <c r="P104">
        <v>42.9</v>
      </c>
      <c r="Q104">
        <v>144.52000000000001</v>
      </c>
      <c r="R104">
        <v>195.7</v>
      </c>
      <c r="S104">
        <v>61.74</v>
      </c>
      <c r="T104">
        <v>67.95</v>
      </c>
      <c r="U104">
        <v>51.87</v>
      </c>
      <c r="V104">
        <v>30.67</v>
      </c>
      <c r="W104">
        <v>83.14</v>
      </c>
      <c r="X104">
        <v>119.89</v>
      </c>
      <c r="Y104">
        <v>170.91</v>
      </c>
      <c r="Z104">
        <v>116.51</v>
      </c>
      <c r="AA104">
        <v>94.12</v>
      </c>
      <c r="AB104">
        <v>42.98</v>
      </c>
      <c r="AC104">
        <v>77.8</v>
      </c>
      <c r="AD104">
        <v>75.900000000000006</v>
      </c>
      <c r="AE104">
        <v>75.02</v>
      </c>
      <c r="AI104" s="2">
        <v>5000</v>
      </c>
      <c r="AJ104" s="2">
        <f t="shared" si="78"/>
        <v>1070</v>
      </c>
      <c r="AK104" s="2">
        <f t="shared" si="78"/>
        <v>1070</v>
      </c>
      <c r="AL104" s="2">
        <f t="shared" si="78"/>
        <v>1070</v>
      </c>
      <c r="AM104" s="2">
        <f t="shared" si="78"/>
        <v>1070</v>
      </c>
      <c r="AN104" s="2">
        <f t="shared" si="78"/>
        <v>1070</v>
      </c>
      <c r="AO104" s="2">
        <f t="shared" si="78"/>
        <v>1070</v>
      </c>
      <c r="AP104" s="2">
        <v>0</v>
      </c>
      <c r="AQ104" s="2">
        <v>1000</v>
      </c>
      <c r="AR104" s="2">
        <v>0</v>
      </c>
      <c r="AS104" s="2">
        <v>1000</v>
      </c>
      <c r="AT104" s="2">
        <v>0</v>
      </c>
      <c r="AU104" s="2">
        <v>1000</v>
      </c>
      <c r="AV104" s="2">
        <v>1000</v>
      </c>
      <c r="AW104" s="2">
        <v>0</v>
      </c>
      <c r="AX104" s="2">
        <v>0</v>
      </c>
      <c r="AY104" s="2">
        <v>1000</v>
      </c>
      <c r="AZ104" s="2">
        <v>993</v>
      </c>
      <c r="BA104" s="2">
        <v>1056</v>
      </c>
      <c r="BB104" s="2">
        <v>988</v>
      </c>
      <c r="BC104" s="2">
        <v>-1000</v>
      </c>
      <c r="BD104" s="2">
        <v>1000</v>
      </c>
      <c r="BE104" s="2">
        <v>5000</v>
      </c>
      <c r="BF104" s="2">
        <v>3000</v>
      </c>
      <c r="BG104" s="2">
        <v>5000</v>
      </c>
      <c r="BH104" s="2">
        <v>-2500</v>
      </c>
      <c r="BI104" s="2">
        <v>3000</v>
      </c>
      <c r="BJ104" s="2">
        <v>0</v>
      </c>
      <c r="BK104" s="2">
        <v>1000</v>
      </c>
      <c r="BL104" s="2">
        <v>1000</v>
      </c>
      <c r="BO104" s="2">
        <f t="shared" si="44"/>
        <v>0</v>
      </c>
      <c r="BP104" s="2">
        <f t="shared" si="53"/>
        <v>0</v>
      </c>
      <c r="BQ104" s="2">
        <f t="shared" si="54"/>
        <v>0</v>
      </c>
      <c r="BR104" s="2">
        <f t="shared" si="55"/>
        <v>0</v>
      </c>
      <c r="BS104" s="2">
        <f t="shared" si="56"/>
        <v>0</v>
      </c>
      <c r="BT104" s="2">
        <f t="shared" si="57"/>
        <v>0</v>
      </c>
      <c r="BU104" s="2">
        <f t="shared" si="58"/>
        <v>0</v>
      </c>
      <c r="BV104" s="2">
        <f t="shared" si="59"/>
        <v>0</v>
      </c>
      <c r="BW104" s="2">
        <f t="shared" si="60"/>
        <v>0</v>
      </c>
      <c r="BX104" s="2">
        <f t="shared" si="61"/>
        <v>0</v>
      </c>
      <c r="BY104" s="2">
        <f t="shared" si="62"/>
        <v>0</v>
      </c>
      <c r="BZ104" s="2">
        <f t="shared" si="63"/>
        <v>0</v>
      </c>
      <c r="CA104" s="2">
        <f t="shared" si="64"/>
        <v>0</v>
      </c>
      <c r="CB104" s="2">
        <f t="shared" si="65"/>
        <v>0</v>
      </c>
      <c r="CC104" s="2">
        <f t="shared" si="66"/>
        <v>0</v>
      </c>
      <c r="CD104" s="2">
        <f t="shared" si="67"/>
        <v>0</v>
      </c>
      <c r="CE104" s="2">
        <f t="shared" si="68"/>
        <v>0</v>
      </c>
      <c r="CF104" s="2">
        <f t="shared" si="69"/>
        <v>-432.18</v>
      </c>
      <c r="CG104" s="2">
        <f t="shared" si="70"/>
        <v>-1698.75</v>
      </c>
      <c r="CH104" s="2">
        <f t="shared" si="71"/>
        <v>1971.06</v>
      </c>
      <c r="CI104" s="2">
        <f t="shared" si="72"/>
        <v>0</v>
      </c>
      <c r="CJ104" s="2">
        <f t="shared" si="73"/>
        <v>0</v>
      </c>
      <c r="CK104" s="2">
        <f t="shared" si="74"/>
        <v>0</v>
      </c>
      <c r="CL104" s="2">
        <f t="shared" si="75"/>
        <v>0</v>
      </c>
      <c r="CM104" s="2">
        <f t="shared" si="47"/>
        <v>0</v>
      </c>
      <c r="CN104" s="2">
        <f t="shared" si="48"/>
        <v>0</v>
      </c>
      <c r="CO104" s="2">
        <f t="shared" si="49"/>
        <v>0</v>
      </c>
      <c r="CP104" s="2">
        <f t="shared" si="50"/>
        <v>0</v>
      </c>
      <c r="CQ104" s="2">
        <f t="shared" si="51"/>
        <v>0</v>
      </c>
      <c r="CR104" s="2">
        <f t="shared" si="52"/>
        <v>0</v>
      </c>
      <c r="CV104" t="s">
        <v>64</v>
      </c>
      <c r="CW104" t="s">
        <v>177</v>
      </c>
      <c r="CX104" t="s">
        <v>3</v>
      </c>
      <c r="CY104" s="4">
        <v>42818</v>
      </c>
      <c r="CZ104" t="s">
        <v>65</v>
      </c>
      <c r="DA104" t="s">
        <v>66</v>
      </c>
      <c r="DB104">
        <v>10</v>
      </c>
      <c r="DC104">
        <v>168.36</v>
      </c>
      <c r="DD104" t="s">
        <v>69</v>
      </c>
      <c r="DE104" t="s">
        <v>70</v>
      </c>
      <c r="DF104">
        <v>1683.6000000000001</v>
      </c>
    </row>
    <row r="105" spans="1:110" x14ac:dyDescent="0.25">
      <c r="A105" s="1">
        <v>42887</v>
      </c>
      <c r="B105">
        <v>149.15</v>
      </c>
      <c r="C105">
        <v>76.53</v>
      </c>
      <c r="D105">
        <v>180.74</v>
      </c>
      <c r="E105">
        <v>101.34</v>
      </c>
      <c r="F105">
        <v>30.1</v>
      </c>
      <c r="G105">
        <v>97.5</v>
      </c>
      <c r="H105">
        <v>104.89</v>
      </c>
      <c r="I105">
        <v>1</v>
      </c>
      <c r="J105">
        <v>210.7</v>
      </c>
      <c r="K105">
        <v>150.07</v>
      </c>
      <c r="L105">
        <v>141.46</v>
      </c>
      <c r="M105">
        <v>34.549999999999997</v>
      </c>
      <c r="N105">
        <v>123.83</v>
      </c>
      <c r="O105">
        <v>79.64</v>
      </c>
      <c r="P105">
        <v>43.2</v>
      </c>
      <c r="Q105">
        <v>146.87</v>
      </c>
      <c r="R105">
        <v>195.59</v>
      </c>
      <c r="S105">
        <v>61.88</v>
      </c>
      <c r="T105">
        <v>68.2</v>
      </c>
      <c r="U105">
        <v>51.37</v>
      </c>
      <c r="V105">
        <v>30.72</v>
      </c>
      <c r="W105">
        <v>83.18</v>
      </c>
      <c r="X105">
        <v>120.42</v>
      </c>
      <c r="Y105">
        <v>175.2</v>
      </c>
      <c r="Z105">
        <v>117</v>
      </c>
      <c r="AA105">
        <v>94.28</v>
      </c>
      <c r="AB105">
        <v>42.86</v>
      </c>
      <c r="AC105">
        <v>78.92</v>
      </c>
      <c r="AD105">
        <v>77.069999999999993</v>
      </c>
      <c r="AE105">
        <v>75.209999999999994</v>
      </c>
      <c r="AI105" s="2">
        <v>5000</v>
      </c>
      <c r="AJ105" s="2">
        <f t="shared" si="78"/>
        <v>1070</v>
      </c>
      <c r="AK105" s="2">
        <f t="shared" si="78"/>
        <v>1070</v>
      </c>
      <c r="AL105" s="2">
        <f t="shared" si="78"/>
        <v>1070</v>
      </c>
      <c r="AM105" s="2">
        <f t="shared" si="78"/>
        <v>1070</v>
      </c>
      <c r="AN105" s="2">
        <f t="shared" si="78"/>
        <v>1070</v>
      </c>
      <c r="AO105" s="2">
        <f t="shared" si="78"/>
        <v>1070</v>
      </c>
      <c r="AP105" s="2">
        <v>0</v>
      </c>
      <c r="AQ105" s="2">
        <v>1000</v>
      </c>
      <c r="AR105" s="2">
        <v>0</v>
      </c>
      <c r="AS105" s="2">
        <v>1000</v>
      </c>
      <c r="AT105" s="2">
        <v>0</v>
      </c>
      <c r="AU105" s="2">
        <v>1000</v>
      </c>
      <c r="AV105" s="2">
        <v>1000</v>
      </c>
      <c r="AW105" s="2">
        <v>0</v>
      </c>
      <c r="AX105" s="2">
        <v>0</v>
      </c>
      <c r="AY105" s="2">
        <v>1000</v>
      </c>
      <c r="AZ105" s="2">
        <v>1013</v>
      </c>
      <c r="BA105" s="2">
        <v>977</v>
      </c>
      <c r="BB105" s="2">
        <v>1041</v>
      </c>
      <c r="BC105" s="2">
        <v>-1000</v>
      </c>
      <c r="BD105" s="2">
        <v>1000</v>
      </c>
      <c r="BE105" s="2">
        <v>5000</v>
      </c>
      <c r="BF105" s="2">
        <v>3000</v>
      </c>
      <c r="BG105" s="2">
        <v>5000</v>
      </c>
      <c r="BH105" s="2">
        <v>2500</v>
      </c>
      <c r="BI105" s="2">
        <v>3000</v>
      </c>
      <c r="BJ105" s="2">
        <v>0</v>
      </c>
      <c r="BK105" s="2">
        <v>1000</v>
      </c>
      <c r="BL105" s="2">
        <v>1000</v>
      </c>
      <c r="BO105" s="2">
        <f t="shared" si="44"/>
        <v>0</v>
      </c>
      <c r="BP105" s="2">
        <f t="shared" si="53"/>
        <v>0</v>
      </c>
      <c r="BQ105" s="2">
        <f t="shared" si="54"/>
        <v>0</v>
      </c>
      <c r="BR105" s="2">
        <f t="shared" si="55"/>
        <v>0</v>
      </c>
      <c r="BS105" s="2">
        <f t="shared" si="56"/>
        <v>0</v>
      </c>
      <c r="BT105" s="2">
        <f t="shared" si="57"/>
        <v>0</v>
      </c>
      <c r="BU105" s="2">
        <f t="shared" si="58"/>
        <v>0</v>
      </c>
      <c r="BV105" s="2">
        <f t="shared" si="59"/>
        <v>0</v>
      </c>
      <c r="BW105" s="2">
        <f t="shared" si="60"/>
        <v>0</v>
      </c>
      <c r="BX105" s="2">
        <f t="shared" si="61"/>
        <v>0</v>
      </c>
      <c r="BY105" s="2">
        <f t="shared" si="62"/>
        <v>0</v>
      </c>
      <c r="BZ105" s="2">
        <f t="shared" si="63"/>
        <v>0</v>
      </c>
      <c r="CA105" s="2">
        <f t="shared" si="64"/>
        <v>0</v>
      </c>
      <c r="CB105" s="2">
        <f t="shared" si="65"/>
        <v>0</v>
      </c>
      <c r="CC105" s="2">
        <f t="shared" si="66"/>
        <v>0</v>
      </c>
      <c r="CD105" s="2">
        <f t="shared" si="67"/>
        <v>0</v>
      </c>
      <c r="CE105" s="2">
        <f t="shared" si="68"/>
        <v>0</v>
      </c>
      <c r="CF105" s="2">
        <f t="shared" si="69"/>
        <v>-1237.6000000000001</v>
      </c>
      <c r="CG105" s="2">
        <f t="shared" si="70"/>
        <v>5387.8</v>
      </c>
      <c r="CH105" s="2">
        <f t="shared" si="71"/>
        <v>-2722.6099999999997</v>
      </c>
      <c r="CI105" s="2">
        <f t="shared" si="72"/>
        <v>0</v>
      </c>
      <c r="CJ105" s="2">
        <f t="shared" si="73"/>
        <v>0</v>
      </c>
      <c r="CK105" s="2">
        <f t="shared" si="74"/>
        <v>0</v>
      </c>
      <c r="CL105" s="2">
        <f t="shared" si="75"/>
        <v>0</v>
      </c>
      <c r="CM105" s="2">
        <f t="shared" si="47"/>
        <v>0</v>
      </c>
      <c r="CN105" s="2">
        <f t="shared" si="48"/>
        <v>-471400</v>
      </c>
      <c r="CO105" s="2">
        <f t="shared" si="49"/>
        <v>0</v>
      </c>
      <c r="CP105" s="2">
        <f t="shared" si="50"/>
        <v>0</v>
      </c>
      <c r="CQ105" s="2">
        <f t="shared" si="51"/>
        <v>0</v>
      </c>
      <c r="CR105" s="2">
        <f t="shared" si="52"/>
        <v>0</v>
      </c>
      <c r="CV105" t="s">
        <v>64</v>
      </c>
      <c r="CW105" t="s">
        <v>178</v>
      </c>
      <c r="CX105" t="s">
        <v>3</v>
      </c>
      <c r="CY105" s="4">
        <v>42838</v>
      </c>
      <c r="CZ105" t="s">
        <v>65</v>
      </c>
      <c r="DA105" t="s">
        <v>66</v>
      </c>
      <c r="DB105">
        <v>10</v>
      </c>
      <c r="DC105">
        <v>168.16</v>
      </c>
      <c r="DD105" t="s">
        <v>69</v>
      </c>
      <c r="DE105" t="s">
        <v>70</v>
      </c>
      <c r="DF105">
        <v>1681.6</v>
      </c>
    </row>
    <row r="106" spans="1:110" x14ac:dyDescent="0.25">
      <c r="A106" s="1">
        <v>42888</v>
      </c>
      <c r="B106">
        <v>151.36000000000001</v>
      </c>
      <c r="C106">
        <v>76.739999999999995</v>
      </c>
      <c r="D106">
        <v>183.55</v>
      </c>
      <c r="E106">
        <v>101.63</v>
      </c>
      <c r="F106">
        <v>30.25</v>
      </c>
      <c r="G106">
        <v>96.41</v>
      </c>
      <c r="H106">
        <v>103.89</v>
      </c>
      <c r="I106">
        <v>1</v>
      </c>
      <c r="J106">
        <v>209.04</v>
      </c>
      <c r="K106">
        <v>150.26</v>
      </c>
      <c r="L106">
        <v>140.88</v>
      </c>
      <c r="M106">
        <v>34.74</v>
      </c>
      <c r="N106">
        <v>125.08</v>
      </c>
      <c r="O106">
        <v>79.239999999999995</v>
      </c>
      <c r="P106">
        <v>43.29</v>
      </c>
      <c r="Q106">
        <v>148.18</v>
      </c>
      <c r="R106">
        <v>197.83</v>
      </c>
      <c r="S106">
        <v>62.08</v>
      </c>
      <c r="T106">
        <v>69.81</v>
      </c>
      <c r="U106">
        <v>52.04</v>
      </c>
      <c r="V106">
        <v>30.57</v>
      </c>
      <c r="W106">
        <v>83.62</v>
      </c>
      <c r="X106">
        <v>120.18</v>
      </c>
      <c r="Y106">
        <v>175.02</v>
      </c>
      <c r="Z106">
        <v>117.31</v>
      </c>
      <c r="AA106">
        <v>95.03</v>
      </c>
      <c r="AB106">
        <v>42.8</v>
      </c>
      <c r="AC106">
        <v>79.8</v>
      </c>
      <c r="AD106">
        <v>76.88</v>
      </c>
      <c r="AE106">
        <v>74.09</v>
      </c>
      <c r="AI106" s="2">
        <v>5000</v>
      </c>
      <c r="AJ106" s="2">
        <f t="shared" si="78"/>
        <v>1070</v>
      </c>
      <c r="AK106" s="2">
        <f t="shared" si="78"/>
        <v>1070</v>
      </c>
      <c r="AL106" s="2">
        <f t="shared" si="78"/>
        <v>1070</v>
      </c>
      <c r="AM106" s="2">
        <f t="shared" si="78"/>
        <v>1070</v>
      </c>
      <c r="AN106" s="2">
        <f t="shared" si="78"/>
        <v>1070</v>
      </c>
      <c r="AO106" s="2">
        <f t="shared" si="78"/>
        <v>1070</v>
      </c>
      <c r="AP106" s="2">
        <v>0</v>
      </c>
      <c r="AQ106" s="2">
        <v>1000</v>
      </c>
      <c r="AR106" s="2">
        <v>0</v>
      </c>
      <c r="AS106" s="2">
        <v>1000</v>
      </c>
      <c r="AT106" s="2">
        <v>0</v>
      </c>
      <c r="AU106" s="2">
        <v>1000</v>
      </c>
      <c r="AV106" s="2">
        <v>1000</v>
      </c>
      <c r="AW106" s="2">
        <v>0</v>
      </c>
      <c r="AX106" s="2">
        <v>0</v>
      </c>
      <c r="AY106" s="2">
        <v>1000</v>
      </c>
      <c r="AZ106" s="2">
        <v>964</v>
      </c>
      <c r="BA106" s="2">
        <v>1017</v>
      </c>
      <c r="BB106" s="2">
        <v>1012</v>
      </c>
      <c r="BC106" s="2">
        <v>-1000</v>
      </c>
      <c r="BD106" s="2">
        <v>1000</v>
      </c>
      <c r="BE106" s="2">
        <v>5000</v>
      </c>
      <c r="BF106" s="2">
        <v>3000</v>
      </c>
      <c r="BG106" s="2">
        <v>5000</v>
      </c>
      <c r="BH106" s="2">
        <v>5000</v>
      </c>
      <c r="BI106" s="2">
        <v>3000</v>
      </c>
      <c r="BJ106" s="2">
        <v>0</v>
      </c>
      <c r="BK106" s="2">
        <v>1000</v>
      </c>
      <c r="BL106" s="2">
        <v>1000</v>
      </c>
      <c r="BO106" s="2">
        <f t="shared" si="44"/>
        <v>0</v>
      </c>
      <c r="BP106" s="2">
        <f t="shared" si="53"/>
        <v>0</v>
      </c>
      <c r="BQ106" s="2">
        <f t="shared" si="54"/>
        <v>0</v>
      </c>
      <c r="BR106" s="2">
        <f t="shared" si="55"/>
        <v>0</v>
      </c>
      <c r="BS106" s="2">
        <f t="shared" si="56"/>
        <v>0</v>
      </c>
      <c r="BT106" s="2">
        <f t="shared" si="57"/>
        <v>0</v>
      </c>
      <c r="BU106" s="2">
        <f t="shared" si="58"/>
        <v>0</v>
      </c>
      <c r="BV106" s="2">
        <f t="shared" si="59"/>
        <v>0</v>
      </c>
      <c r="BW106" s="2">
        <f t="shared" si="60"/>
        <v>0</v>
      </c>
      <c r="BX106" s="2">
        <f t="shared" si="61"/>
        <v>0</v>
      </c>
      <c r="BY106" s="2">
        <f t="shared" si="62"/>
        <v>0</v>
      </c>
      <c r="BZ106" s="2">
        <f t="shared" si="63"/>
        <v>0</v>
      </c>
      <c r="CA106" s="2">
        <f t="shared" si="64"/>
        <v>0</v>
      </c>
      <c r="CB106" s="2">
        <f t="shared" si="65"/>
        <v>0</v>
      </c>
      <c r="CC106" s="2">
        <f t="shared" si="66"/>
        <v>0</v>
      </c>
      <c r="CD106" s="2">
        <f t="shared" si="67"/>
        <v>0</v>
      </c>
      <c r="CE106" s="2">
        <f t="shared" si="68"/>
        <v>0</v>
      </c>
      <c r="CF106" s="2">
        <f t="shared" si="69"/>
        <v>3041.92</v>
      </c>
      <c r="CG106" s="2">
        <f t="shared" si="70"/>
        <v>-2792.4</v>
      </c>
      <c r="CH106" s="2">
        <f t="shared" si="71"/>
        <v>1509.16</v>
      </c>
      <c r="CI106" s="2">
        <f t="shared" si="72"/>
        <v>0</v>
      </c>
      <c r="CJ106" s="2">
        <f t="shared" si="73"/>
        <v>0</v>
      </c>
      <c r="CK106" s="2">
        <f t="shared" si="74"/>
        <v>0</v>
      </c>
      <c r="CL106" s="2">
        <f t="shared" si="75"/>
        <v>0</v>
      </c>
      <c r="CM106" s="2">
        <f t="shared" si="47"/>
        <v>0</v>
      </c>
      <c r="CN106" s="2">
        <f t="shared" si="48"/>
        <v>-237575</v>
      </c>
      <c r="CO106" s="2">
        <f t="shared" si="49"/>
        <v>0</v>
      </c>
      <c r="CP106" s="2">
        <f t="shared" si="50"/>
        <v>0</v>
      </c>
      <c r="CQ106" s="2">
        <f t="shared" si="51"/>
        <v>0</v>
      </c>
      <c r="CR106" s="2">
        <f t="shared" si="52"/>
        <v>0</v>
      </c>
      <c r="CV106" t="s">
        <v>64</v>
      </c>
      <c r="CW106" t="s">
        <v>179</v>
      </c>
      <c r="CX106" t="s">
        <v>3</v>
      </c>
      <c r="CY106" s="4">
        <v>42859</v>
      </c>
      <c r="CZ106" t="s">
        <v>65</v>
      </c>
      <c r="DA106" t="s">
        <v>66</v>
      </c>
      <c r="DB106">
        <v>10</v>
      </c>
      <c r="DC106">
        <v>175.3</v>
      </c>
      <c r="DD106" t="s">
        <v>69</v>
      </c>
      <c r="DE106" t="s">
        <v>70</v>
      </c>
      <c r="DF106">
        <v>1753</v>
      </c>
    </row>
    <row r="107" spans="1:110" x14ac:dyDescent="0.25">
      <c r="A107" s="1">
        <v>42891</v>
      </c>
      <c r="B107">
        <v>149.88</v>
      </c>
      <c r="C107">
        <v>77.209999999999994</v>
      </c>
      <c r="D107">
        <v>182.31</v>
      </c>
      <c r="E107">
        <v>100.91</v>
      </c>
      <c r="F107">
        <v>30.04</v>
      </c>
      <c r="G107">
        <v>96.49</v>
      </c>
      <c r="H107">
        <v>103.25</v>
      </c>
      <c r="I107">
        <v>1</v>
      </c>
      <c r="J107">
        <v>209.7</v>
      </c>
      <c r="K107">
        <v>149.72</v>
      </c>
      <c r="L107">
        <v>141.22</v>
      </c>
      <c r="M107">
        <v>34.76</v>
      </c>
      <c r="N107">
        <v>125.35</v>
      </c>
      <c r="O107">
        <v>79.38</v>
      </c>
      <c r="P107">
        <v>43.39</v>
      </c>
      <c r="Q107">
        <v>147.26</v>
      </c>
      <c r="R107">
        <v>197.37</v>
      </c>
      <c r="S107">
        <v>61.7</v>
      </c>
      <c r="T107">
        <v>70.319999999999993</v>
      </c>
      <c r="U107">
        <v>52.07</v>
      </c>
      <c r="V107">
        <v>30.39</v>
      </c>
      <c r="W107">
        <v>83.76</v>
      </c>
      <c r="X107">
        <v>120.4</v>
      </c>
      <c r="Y107">
        <v>175</v>
      </c>
      <c r="Z107">
        <v>116.22</v>
      </c>
      <c r="AA107">
        <v>95.42</v>
      </c>
      <c r="AB107">
        <v>42.73</v>
      </c>
      <c r="AC107">
        <v>80.069999999999993</v>
      </c>
      <c r="AD107">
        <v>77.5</v>
      </c>
      <c r="AE107">
        <v>74.67</v>
      </c>
      <c r="AI107" s="2">
        <v>5000</v>
      </c>
      <c r="AJ107" s="2">
        <f t="shared" si="78"/>
        <v>1070</v>
      </c>
      <c r="AK107" s="2">
        <f t="shared" si="78"/>
        <v>1070</v>
      </c>
      <c r="AL107" s="2">
        <f t="shared" si="78"/>
        <v>1070</v>
      </c>
      <c r="AM107" s="2">
        <f t="shared" si="78"/>
        <v>1070</v>
      </c>
      <c r="AN107" s="2">
        <f t="shared" si="78"/>
        <v>1070</v>
      </c>
      <c r="AO107" s="2">
        <f t="shared" si="78"/>
        <v>1070</v>
      </c>
      <c r="AP107" s="2">
        <v>0</v>
      </c>
      <c r="AQ107" s="2">
        <v>1000</v>
      </c>
      <c r="AR107" s="2">
        <v>0</v>
      </c>
      <c r="AS107" s="2">
        <v>1000</v>
      </c>
      <c r="AT107" s="2">
        <v>0</v>
      </c>
      <c r="AU107" s="2">
        <v>1000</v>
      </c>
      <c r="AV107" s="2">
        <v>1000</v>
      </c>
      <c r="AW107" s="2">
        <v>0</v>
      </c>
      <c r="AX107" s="2">
        <v>0</v>
      </c>
      <c r="AY107" s="2">
        <v>1000</v>
      </c>
      <c r="AZ107" s="2">
        <v>1050</v>
      </c>
      <c r="BA107" s="2">
        <v>976</v>
      </c>
      <c r="BB107" s="2">
        <v>1084</v>
      </c>
      <c r="BC107" s="2">
        <v>-1000</v>
      </c>
      <c r="BD107" s="2">
        <v>1000</v>
      </c>
      <c r="BE107" s="2">
        <v>5000</v>
      </c>
      <c r="BF107" s="2">
        <v>3000</v>
      </c>
      <c r="BG107" s="2">
        <v>5000</v>
      </c>
      <c r="BH107" s="2">
        <v>5000</v>
      </c>
      <c r="BI107" s="2">
        <v>3000</v>
      </c>
      <c r="BJ107" s="2">
        <v>0</v>
      </c>
      <c r="BK107" s="2">
        <v>1000</v>
      </c>
      <c r="BL107" s="2">
        <v>1000</v>
      </c>
      <c r="BO107" s="2">
        <f t="shared" si="44"/>
        <v>0</v>
      </c>
      <c r="BP107" s="2">
        <f t="shared" si="53"/>
        <v>0</v>
      </c>
      <c r="BQ107" s="2">
        <f t="shared" si="54"/>
        <v>0</v>
      </c>
      <c r="BR107" s="2">
        <f t="shared" si="55"/>
        <v>0</v>
      </c>
      <c r="BS107" s="2">
        <f t="shared" si="56"/>
        <v>0</v>
      </c>
      <c r="BT107" s="2">
        <f t="shared" si="57"/>
        <v>0</v>
      </c>
      <c r="BU107" s="2">
        <f t="shared" si="58"/>
        <v>0</v>
      </c>
      <c r="BV107" s="2">
        <f t="shared" si="59"/>
        <v>0</v>
      </c>
      <c r="BW107" s="2">
        <f t="shared" si="60"/>
        <v>0</v>
      </c>
      <c r="BX107" s="2">
        <f t="shared" si="61"/>
        <v>0</v>
      </c>
      <c r="BY107" s="2">
        <f t="shared" si="62"/>
        <v>0</v>
      </c>
      <c r="BZ107" s="2">
        <f t="shared" si="63"/>
        <v>0</v>
      </c>
      <c r="CA107" s="2">
        <f t="shared" si="64"/>
        <v>0</v>
      </c>
      <c r="CB107" s="2">
        <f t="shared" si="65"/>
        <v>0</v>
      </c>
      <c r="CC107" s="2">
        <f t="shared" si="66"/>
        <v>0</v>
      </c>
      <c r="CD107" s="2">
        <f t="shared" si="67"/>
        <v>0</v>
      </c>
      <c r="CE107" s="2">
        <f t="shared" si="68"/>
        <v>0</v>
      </c>
      <c r="CF107" s="2">
        <f t="shared" si="69"/>
        <v>-5306.2</v>
      </c>
      <c r="CG107" s="2">
        <f t="shared" si="70"/>
        <v>2883.12</v>
      </c>
      <c r="CH107" s="2">
        <f t="shared" si="71"/>
        <v>-3749.04</v>
      </c>
      <c r="CI107" s="2">
        <f t="shared" si="72"/>
        <v>0</v>
      </c>
      <c r="CJ107" s="2">
        <f t="shared" si="73"/>
        <v>0</v>
      </c>
      <c r="CK107" s="2">
        <f t="shared" si="74"/>
        <v>0</v>
      </c>
      <c r="CL107" s="2">
        <f t="shared" si="75"/>
        <v>0</v>
      </c>
      <c r="CM107" s="2">
        <f t="shared" si="47"/>
        <v>0</v>
      </c>
      <c r="CN107" s="2">
        <f t="shared" si="48"/>
        <v>0</v>
      </c>
      <c r="CO107" s="2">
        <f t="shared" si="49"/>
        <v>0</v>
      </c>
      <c r="CP107" s="2">
        <f t="shared" si="50"/>
        <v>0</v>
      </c>
      <c r="CQ107" s="2">
        <f t="shared" si="51"/>
        <v>0</v>
      </c>
      <c r="CR107" s="2">
        <f t="shared" si="52"/>
        <v>0</v>
      </c>
      <c r="CV107" t="s">
        <v>64</v>
      </c>
      <c r="CW107" t="s">
        <v>180</v>
      </c>
      <c r="CX107" t="s">
        <v>3</v>
      </c>
      <c r="CY107" s="4">
        <v>42879</v>
      </c>
      <c r="CZ107" t="s">
        <v>65</v>
      </c>
      <c r="DA107" t="s">
        <v>66</v>
      </c>
      <c r="DB107">
        <v>10</v>
      </c>
      <c r="DC107">
        <v>178.74</v>
      </c>
      <c r="DD107" t="s">
        <v>69</v>
      </c>
      <c r="DE107" t="s">
        <v>70</v>
      </c>
      <c r="DF107">
        <v>1787.4</v>
      </c>
    </row>
    <row r="108" spans="1:110" x14ac:dyDescent="0.25">
      <c r="A108" s="1">
        <v>42892</v>
      </c>
      <c r="B108">
        <v>150.38</v>
      </c>
      <c r="C108">
        <v>77.09</v>
      </c>
      <c r="D108">
        <v>180.19</v>
      </c>
      <c r="E108">
        <v>100.28</v>
      </c>
      <c r="F108">
        <v>29.85</v>
      </c>
      <c r="G108">
        <v>97.4</v>
      </c>
      <c r="H108">
        <v>102.26</v>
      </c>
      <c r="I108">
        <v>1</v>
      </c>
      <c r="J108">
        <v>210.23</v>
      </c>
      <c r="K108">
        <v>149.15</v>
      </c>
      <c r="L108">
        <v>141.18</v>
      </c>
      <c r="M108">
        <v>34.56</v>
      </c>
      <c r="N108">
        <v>125.8</v>
      </c>
      <c r="O108">
        <v>79.540000000000006</v>
      </c>
      <c r="P108">
        <v>43.38</v>
      </c>
      <c r="Q108">
        <v>145.76</v>
      </c>
      <c r="R108">
        <v>196.6</v>
      </c>
      <c r="S108">
        <v>61.32</v>
      </c>
      <c r="T108">
        <v>70.55</v>
      </c>
      <c r="U108">
        <v>51.54</v>
      </c>
      <c r="V108">
        <v>30.12</v>
      </c>
      <c r="W108">
        <v>83.81</v>
      </c>
      <c r="X108">
        <v>119.11</v>
      </c>
      <c r="Y108">
        <v>176.41</v>
      </c>
      <c r="Z108">
        <v>115.39</v>
      </c>
      <c r="AA108">
        <v>94.67</v>
      </c>
      <c r="AB108">
        <v>42.8</v>
      </c>
      <c r="AC108">
        <v>78.22</v>
      </c>
      <c r="AD108">
        <v>76.22</v>
      </c>
      <c r="AE108">
        <v>75.680000000000007</v>
      </c>
      <c r="AI108" s="2">
        <v>5000</v>
      </c>
      <c r="AJ108" s="2">
        <f t="shared" si="78"/>
        <v>1070</v>
      </c>
      <c r="AK108" s="2">
        <f t="shared" si="78"/>
        <v>1070</v>
      </c>
      <c r="AL108" s="2">
        <f t="shared" si="78"/>
        <v>1070</v>
      </c>
      <c r="AM108" s="2">
        <f t="shared" si="78"/>
        <v>1070</v>
      </c>
      <c r="AN108" s="2">
        <f t="shared" si="78"/>
        <v>1070</v>
      </c>
      <c r="AO108" s="2">
        <f t="shared" si="78"/>
        <v>1070</v>
      </c>
      <c r="AP108" s="2">
        <v>0</v>
      </c>
      <c r="AQ108" s="2">
        <v>1000</v>
      </c>
      <c r="AR108" s="2">
        <v>0</v>
      </c>
      <c r="AS108" s="2">
        <v>1000</v>
      </c>
      <c r="AT108" s="2">
        <v>0</v>
      </c>
      <c r="AU108" s="2">
        <v>1000</v>
      </c>
      <c r="AV108" s="2">
        <v>1000</v>
      </c>
      <c r="AW108" s="2">
        <v>0</v>
      </c>
      <c r="AX108" s="2">
        <v>0</v>
      </c>
      <c r="AY108" s="2">
        <v>1000</v>
      </c>
      <c r="AZ108" s="2">
        <v>1019</v>
      </c>
      <c r="BA108" s="2">
        <v>959</v>
      </c>
      <c r="BB108" s="2">
        <v>925</v>
      </c>
      <c r="BC108" s="2">
        <v>-1000</v>
      </c>
      <c r="BD108" s="2">
        <v>1000</v>
      </c>
      <c r="BE108" s="2">
        <v>5000</v>
      </c>
      <c r="BF108" s="2">
        <v>3000</v>
      </c>
      <c r="BG108" s="2">
        <v>5000</v>
      </c>
      <c r="BH108" s="2">
        <v>5000</v>
      </c>
      <c r="BI108" s="2">
        <v>3000</v>
      </c>
      <c r="BJ108" s="2">
        <v>0</v>
      </c>
      <c r="BK108" s="2">
        <v>1000</v>
      </c>
      <c r="BL108" s="2">
        <v>1000</v>
      </c>
      <c r="BO108" s="2">
        <f t="shared" si="44"/>
        <v>0</v>
      </c>
      <c r="BP108" s="2">
        <f t="shared" si="53"/>
        <v>0</v>
      </c>
      <c r="BQ108" s="2">
        <f t="shared" si="54"/>
        <v>0</v>
      </c>
      <c r="BR108" s="2">
        <f t="shared" si="55"/>
        <v>0</v>
      </c>
      <c r="BS108" s="2">
        <f t="shared" si="56"/>
        <v>0</v>
      </c>
      <c r="BT108" s="2">
        <f t="shared" si="57"/>
        <v>0</v>
      </c>
      <c r="BU108" s="2">
        <f t="shared" si="58"/>
        <v>0</v>
      </c>
      <c r="BV108" s="2">
        <f t="shared" si="59"/>
        <v>0</v>
      </c>
      <c r="BW108" s="2">
        <f t="shared" si="60"/>
        <v>0</v>
      </c>
      <c r="BX108" s="2">
        <f t="shared" si="61"/>
        <v>0</v>
      </c>
      <c r="BY108" s="2">
        <f t="shared" si="62"/>
        <v>0</v>
      </c>
      <c r="BZ108" s="2">
        <f t="shared" si="63"/>
        <v>0</v>
      </c>
      <c r="CA108" s="2">
        <f t="shared" si="64"/>
        <v>0</v>
      </c>
      <c r="CB108" s="2">
        <f t="shared" si="65"/>
        <v>0</v>
      </c>
      <c r="CC108" s="2">
        <f t="shared" si="66"/>
        <v>0</v>
      </c>
      <c r="CD108" s="2">
        <f t="shared" si="67"/>
        <v>0</v>
      </c>
      <c r="CE108" s="2">
        <f t="shared" si="68"/>
        <v>0</v>
      </c>
      <c r="CF108" s="2">
        <f t="shared" si="69"/>
        <v>1900.92</v>
      </c>
      <c r="CG108" s="2">
        <f t="shared" si="70"/>
        <v>1199.3499999999999</v>
      </c>
      <c r="CH108" s="2">
        <f t="shared" si="71"/>
        <v>8194.86</v>
      </c>
      <c r="CI108" s="2">
        <f t="shared" si="72"/>
        <v>0</v>
      </c>
      <c r="CJ108" s="2">
        <f t="shared" si="73"/>
        <v>0</v>
      </c>
      <c r="CK108" s="2">
        <f t="shared" si="74"/>
        <v>0</v>
      </c>
      <c r="CL108" s="2">
        <f t="shared" si="75"/>
        <v>0</v>
      </c>
      <c r="CM108" s="2">
        <f t="shared" si="47"/>
        <v>0</v>
      </c>
      <c r="CN108" s="2">
        <f t="shared" si="48"/>
        <v>0</v>
      </c>
      <c r="CO108" s="2">
        <f t="shared" si="49"/>
        <v>0</v>
      </c>
      <c r="CP108" s="2">
        <f t="shared" si="50"/>
        <v>0</v>
      </c>
      <c r="CQ108" s="2">
        <f t="shared" si="51"/>
        <v>0</v>
      </c>
      <c r="CR108" s="2">
        <f t="shared" si="52"/>
        <v>0</v>
      </c>
      <c r="CV108" t="s">
        <v>64</v>
      </c>
      <c r="CW108" t="s">
        <v>181</v>
      </c>
      <c r="CX108" t="s">
        <v>3</v>
      </c>
      <c r="CY108" s="4">
        <v>42900</v>
      </c>
      <c r="CZ108" t="s">
        <v>65</v>
      </c>
      <c r="DA108" t="s">
        <v>66</v>
      </c>
      <c r="DB108">
        <v>10</v>
      </c>
      <c r="DC108">
        <v>185.62</v>
      </c>
      <c r="DD108" t="s">
        <v>69</v>
      </c>
      <c r="DE108" t="s">
        <v>70</v>
      </c>
      <c r="DF108">
        <v>1856.2</v>
      </c>
    </row>
    <row r="109" spans="1:110" x14ac:dyDescent="0.25">
      <c r="A109" s="1">
        <v>42893</v>
      </c>
      <c r="B109">
        <v>151.28</v>
      </c>
      <c r="C109">
        <v>78.03</v>
      </c>
      <c r="D109">
        <v>181.49</v>
      </c>
      <c r="E109">
        <v>99.29</v>
      </c>
      <c r="F109">
        <v>29.9</v>
      </c>
      <c r="G109">
        <v>97.03</v>
      </c>
      <c r="H109">
        <v>102.67</v>
      </c>
      <c r="I109">
        <v>1</v>
      </c>
      <c r="J109">
        <v>211.46</v>
      </c>
      <c r="K109">
        <v>149.88999999999999</v>
      </c>
      <c r="L109">
        <v>139.88999999999999</v>
      </c>
      <c r="M109">
        <v>34.68</v>
      </c>
      <c r="N109">
        <v>125.72</v>
      </c>
      <c r="O109">
        <v>80.45</v>
      </c>
      <c r="P109">
        <v>42.93</v>
      </c>
      <c r="Q109">
        <v>146.44</v>
      </c>
      <c r="R109">
        <v>196.22</v>
      </c>
      <c r="S109">
        <v>60.74</v>
      </c>
      <c r="T109">
        <v>70.430000000000007</v>
      </c>
      <c r="U109">
        <v>52.28</v>
      </c>
      <c r="V109">
        <v>30.06</v>
      </c>
      <c r="W109">
        <v>83.79</v>
      </c>
      <c r="X109">
        <v>119.29</v>
      </c>
      <c r="Y109">
        <v>178.74</v>
      </c>
      <c r="Z109">
        <v>115.06</v>
      </c>
      <c r="AA109">
        <v>94.97</v>
      </c>
      <c r="AB109">
        <v>42.85</v>
      </c>
      <c r="AC109">
        <v>78.23</v>
      </c>
      <c r="AD109">
        <v>76.430000000000007</v>
      </c>
      <c r="AE109">
        <v>75.400000000000006</v>
      </c>
      <c r="AI109" s="2">
        <v>5000</v>
      </c>
      <c r="AJ109" s="2">
        <f t="shared" si="78"/>
        <v>1070</v>
      </c>
      <c r="AK109" s="2">
        <f t="shared" si="78"/>
        <v>1070</v>
      </c>
      <c r="AL109" s="2">
        <f t="shared" si="78"/>
        <v>1070</v>
      </c>
      <c r="AM109" s="2">
        <f t="shared" si="78"/>
        <v>1070</v>
      </c>
      <c r="AN109" s="2">
        <f t="shared" si="78"/>
        <v>1070</v>
      </c>
      <c r="AO109" s="2">
        <f t="shared" si="78"/>
        <v>1070</v>
      </c>
      <c r="AP109" s="2">
        <v>0</v>
      </c>
      <c r="AQ109" s="2">
        <v>1000</v>
      </c>
      <c r="AR109" s="2">
        <v>0</v>
      </c>
      <c r="AS109" s="2">
        <v>1000</v>
      </c>
      <c r="AT109" s="2">
        <v>0</v>
      </c>
      <c r="AU109" s="2">
        <v>1000</v>
      </c>
      <c r="AV109" s="2">
        <v>1000</v>
      </c>
      <c r="AW109" s="2">
        <v>0</v>
      </c>
      <c r="AX109" s="2">
        <v>0</v>
      </c>
      <c r="AY109" s="2">
        <v>1000</v>
      </c>
      <c r="AZ109" s="2">
        <v>1010</v>
      </c>
      <c r="BA109" s="2">
        <v>902</v>
      </c>
      <c r="BB109" s="2">
        <v>913</v>
      </c>
      <c r="BC109" s="2">
        <v>-1000</v>
      </c>
      <c r="BD109" s="2">
        <v>1000</v>
      </c>
      <c r="BE109" s="2">
        <v>5000</v>
      </c>
      <c r="BF109" s="2">
        <v>3000</v>
      </c>
      <c r="BG109" s="2">
        <v>5000</v>
      </c>
      <c r="BH109" s="2">
        <v>5000</v>
      </c>
      <c r="BI109" s="2">
        <v>3000</v>
      </c>
      <c r="BJ109" s="2">
        <v>0</v>
      </c>
      <c r="BK109" s="2">
        <v>1000</v>
      </c>
      <c r="BL109" s="2">
        <v>1000</v>
      </c>
      <c r="BO109" s="2">
        <f t="shared" si="44"/>
        <v>0</v>
      </c>
      <c r="BP109" s="2">
        <f t="shared" si="53"/>
        <v>0</v>
      </c>
      <c r="BQ109" s="2">
        <f t="shared" si="54"/>
        <v>0</v>
      </c>
      <c r="BR109" s="2">
        <f t="shared" si="55"/>
        <v>0</v>
      </c>
      <c r="BS109" s="2">
        <f t="shared" si="56"/>
        <v>0</v>
      </c>
      <c r="BT109" s="2">
        <f t="shared" si="57"/>
        <v>0</v>
      </c>
      <c r="BU109" s="2">
        <f t="shared" si="58"/>
        <v>0</v>
      </c>
      <c r="BV109" s="2">
        <f t="shared" si="59"/>
        <v>0</v>
      </c>
      <c r="BW109" s="2">
        <f t="shared" si="60"/>
        <v>0</v>
      </c>
      <c r="BX109" s="2">
        <f t="shared" si="61"/>
        <v>0</v>
      </c>
      <c r="BY109" s="2">
        <f t="shared" si="62"/>
        <v>0</v>
      </c>
      <c r="BZ109" s="2">
        <f t="shared" si="63"/>
        <v>0</v>
      </c>
      <c r="CA109" s="2">
        <f t="shared" si="64"/>
        <v>0</v>
      </c>
      <c r="CB109" s="2">
        <f t="shared" si="65"/>
        <v>0</v>
      </c>
      <c r="CC109" s="2">
        <f t="shared" si="66"/>
        <v>0</v>
      </c>
      <c r="CD109" s="2">
        <f t="shared" si="67"/>
        <v>0</v>
      </c>
      <c r="CE109" s="2">
        <f t="shared" si="68"/>
        <v>0</v>
      </c>
      <c r="CF109" s="2">
        <f t="shared" si="69"/>
        <v>546.66</v>
      </c>
      <c r="CG109" s="2">
        <f t="shared" si="70"/>
        <v>4014.51</v>
      </c>
      <c r="CH109" s="2">
        <f t="shared" si="71"/>
        <v>627.36</v>
      </c>
      <c r="CI109" s="2">
        <f t="shared" si="72"/>
        <v>0</v>
      </c>
      <c r="CJ109" s="2">
        <f t="shared" si="73"/>
        <v>0</v>
      </c>
      <c r="CK109" s="2">
        <f t="shared" si="74"/>
        <v>0</v>
      </c>
      <c r="CL109" s="2">
        <f t="shared" si="75"/>
        <v>0</v>
      </c>
      <c r="CM109" s="2">
        <f t="shared" si="47"/>
        <v>0</v>
      </c>
      <c r="CN109" s="2">
        <f t="shared" si="48"/>
        <v>0</v>
      </c>
      <c r="CO109" s="2">
        <f t="shared" si="49"/>
        <v>0</v>
      </c>
      <c r="CP109" s="2">
        <f t="shared" si="50"/>
        <v>0</v>
      </c>
      <c r="CQ109" s="2">
        <f t="shared" si="51"/>
        <v>0</v>
      </c>
      <c r="CR109" s="2">
        <f t="shared" si="52"/>
        <v>0</v>
      </c>
      <c r="CV109" t="s">
        <v>64</v>
      </c>
      <c r="CW109" t="s">
        <v>182</v>
      </c>
      <c r="CX109" t="s">
        <v>3</v>
      </c>
      <c r="CY109" s="4">
        <v>42921</v>
      </c>
      <c r="CZ109" t="s">
        <v>65</v>
      </c>
      <c r="DA109" t="s">
        <v>66</v>
      </c>
      <c r="DB109">
        <v>10</v>
      </c>
      <c r="DC109">
        <v>194.72</v>
      </c>
      <c r="DD109" t="s">
        <v>69</v>
      </c>
      <c r="DE109" t="s">
        <v>70</v>
      </c>
      <c r="DF109">
        <v>1947.2</v>
      </c>
    </row>
    <row r="110" spans="1:110" x14ac:dyDescent="0.25">
      <c r="A110" s="1">
        <v>42894</v>
      </c>
      <c r="B110">
        <v>150.91</v>
      </c>
      <c r="C110">
        <v>78.17</v>
      </c>
      <c r="D110">
        <v>183.26</v>
      </c>
      <c r="E110">
        <v>100.72</v>
      </c>
      <c r="F110">
        <v>29.9</v>
      </c>
      <c r="G110">
        <v>97.24</v>
      </c>
      <c r="H110">
        <v>101.12</v>
      </c>
      <c r="I110">
        <v>1</v>
      </c>
      <c r="J110">
        <v>214.38</v>
      </c>
      <c r="K110">
        <v>148.47</v>
      </c>
      <c r="L110">
        <v>140.93</v>
      </c>
      <c r="M110">
        <v>34.89</v>
      </c>
      <c r="N110">
        <v>125.53</v>
      </c>
      <c r="O110">
        <v>81.45</v>
      </c>
      <c r="P110">
        <v>42.57</v>
      </c>
      <c r="Q110">
        <v>145.94999999999999</v>
      </c>
      <c r="R110">
        <v>197.11</v>
      </c>
      <c r="S110">
        <v>59.93</v>
      </c>
      <c r="T110">
        <v>70</v>
      </c>
      <c r="U110">
        <v>52.25</v>
      </c>
      <c r="V110">
        <v>29.82</v>
      </c>
      <c r="W110">
        <v>82.92</v>
      </c>
      <c r="X110">
        <v>119.56</v>
      </c>
      <c r="Y110">
        <v>177.26</v>
      </c>
      <c r="Z110">
        <v>115.22</v>
      </c>
      <c r="AA110">
        <v>94.97</v>
      </c>
      <c r="AB110">
        <v>42.57</v>
      </c>
      <c r="AC110">
        <v>78.239999999999995</v>
      </c>
      <c r="AD110">
        <v>76.22</v>
      </c>
      <c r="AE110">
        <v>75.13</v>
      </c>
      <c r="AI110" s="2">
        <v>5000</v>
      </c>
      <c r="AJ110" s="2">
        <f t="shared" si="78"/>
        <v>1070</v>
      </c>
      <c r="AK110" s="2">
        <f t="shared" si="78"/>
        <v>1070</v>
      </c>
      <c r="AL110" s="2">
        <f t="shared" si="78"/>
        <v>1070</v>
      </c>
      <c r="AM110" s="2">
        <f t="shared" si="78"/>
        <v>1070</v>
      </c>
      <c r="AN110" s="2">
        <f t="shared" si="78"/>
        <v>1070</v>
      </c>
      <c r="AO110" s="2">
        <f t="shared" si="78"/>
        <v>1070</v>
      </c>
      <c r="AP110" s="2">
        <v>0</v>
      </c>
      <c r="AQ110" s="2">
        <v>1000</v>
      </c>
      <c r="AR110" s="2">
        <v>0</v>
      </c>
      <c r="AS110" s="2">
        <v>1000</v>
      </c>
      <c r="AT110" s="2">
        <v>0</v>
      </c>
      <c r="AU110" s="2">
        <v>1000</v>
      </c>
      <c r="AV110" s="2">
        <v>1000</v>
      </c>
      <c r="AW110" s="2">
        <v>0</v>
      </c>
      <c r="AX110" s="2">
        <v>0</v>
      </c>
      <c r="AY110" s="2">
        <v>1000</v>
      </c>
      <c r="AZ110" s="2">
        <v>984</v>
      </c>
      <c r="BA110" s="2">
        <v>913</v>
      </c>
      <c r="BB110" s="2">
        <v>940</v>
      </c>
      <c r="BC110" s="2">
        <v>-1000</v>
      </c>
      <c r="BD110" s="2">
        <v>1000</v>
      </c>
      <c r="BE110" s="2">
        <v>5000</v>
      </c>
      <c r="BF110" s="2">
        <v>3000</v>
      </c>
      <c r="BG110" s="2">
        <v>5000</v>
      </c>
      <c r="BH110" s="2">
        <v>5000</v>
      </c>
      <c r="BI110" s="2">
        <v>3000</v>
      </c>
      <c r="BJ110" s="2">
        <v>0</v>
      </c>
      <c r="BK110" s="2">
        <v>1000</v>
      </c>
      <c r="BL110" s="2">
        <v>1000</v>
      </c>
      <c r="BO110" s="2">
        <f t="shared" si="44"/>
        <v>0</v>
      </c>
      <c r="BP110" s="2">
        <f t="shared" si="53"/>
        <v>0</v>
      </c>
      <c r="BQ110" s="2">
        <f t="shared" si="54"/>
        <v>0</v>
      </c>
      <c r="BR110" s="2">
        <f t="shared" si="55"/>
        <v>0</v>
      </c>
      <c r="BS110" s="2">
        <f t="shared" si="56"/>
        <v>0</v>
      </c>
      <c r="BT110" s="2">
        <f t="shared" si="57"/>
        <v>0</v>
      </c>
      <c r="BU110" s="2">
        <f t="shared" si="58"/>
        <v>0</v>
      </c>
      <c r="BV110" s="2">
        <f t="shared" si="59"/>
        <v>0</v>
      </c>
      <c r="BW110" s="2">
        <f t="shared" si="60"/>
        <v>0</v>
      </c>
      <c r="BX110" s="2">
        <f t="shared" si="61"/>
        <v>0</v>
      </c>
      <c r="BY110" s="2">
        <f t="shared" si="62"/>
        <v>0</v>
      </c>
      <c r="BZ110" s="2">
        <f t="shared" si="63"/>
        <v>0</v>
      </c>
      <c r="CA110" s="2">
        <f t="shared" si="64"/>
        <v>0</v>
      </c>
      <c r="CB110" s="2">
        <f t="shared" si="65"/>
        <v>0</v>
      </c>
      <c r="CC110" s="2">
        <f t="shared" si="66"/>
        <v>0</v>
      </c>
      <c r="CD110" s="2">
        <f t="shared" si="67"/>
        <v>0</v>
      </c>
      <c r="CE110" s="2">
        <f t="shared" si="68"/>
        <v>0</v>
      </c>
      <c r="CF110" s="2">
        <f t="shared" si="69"/>
        <v>1558.18</v>
      </c>
      <c r="CG110" s="2">
        <f t="shared" si="70"/>
        <v>-770</v>
      </c>
      <c r="CH110" s="2">
        <f t="shared" si="71"/>
        <v>-1410.75</v>
      </c>
      <c r="CI110" s="2">
        <f t="shared" si="72"/>
        <v>0</v>
      </c>
      <c r="CJ110" s="2">
        <f t="shared" si="73"/>
        <v>0</v>
      </c>
      <c r="CK110" s="2">
        <f t="shared" si="74"/>
        <v>0</v>
      </c>
      <c r="CL110" s="2">
        <f t="shared" si="75"/>
        <v>0</v>
      </c>
      <c r="CM110" s="2">
        <f t="shared" si="47"/>
        <v>0</v>
      </c>
      <c r="CN110" s="2">
        <f t="shared" si="48"/>
        <v>0</v>
      </c>
      <c r="CO110" s="2">
        <f t="shared" si="49"/>
        <v>0</v>
      </c>
      <c r="CP110" s="2">
        <f t="shared" si="50"/>
        <v>0</v>
      </c>
      <c r="CQ110" s="2">
        <f t="shared" si="51"/>
        <v>0</v>
      </c>
      <c r="CR110" s="2">
        <f t="shared" si="52"/>
        <v>0</v>
      </c>
      <c r="CV110" t="s">
        <v>64</v>
      </c>
      <c r="CW110" t="s">
        <v>183</v>
      </c>
      <c r="CX110" t="s">
        <v>3</v>
      </c>
      <c r="CY110" s="4">
        <v>42941</v>
      </c>
      <c r="CZ110" t="s">
        <v>65</v>
      </c>
      <c r="DA110" t="s">
        <v>66</v>
      </c>
      <c r="DB110">
        <v>10</v>
      </c>
      <c r="DC110">
        <v>205</v>
      </c>
      <c r="DD110" t="s">
        <v>69</v>
      </c>
      <c r="DE110" t="s">
        <v>70</v>
      </c>
      <c r="DF110">
        <v>2050</v>
      </c>
    </row>
    <row r="111" spans="1:110" x14ac:dyDescent="0.25">
      <c r="A111" s="1">
        <v>42895</v>
      </c>
      <c r="B111">
        <v>145.06</v>
      </c>
      <c r="C111">
        <v>78.52</v>
      </c>
      <c r="D111">
        <v>183.36</v>
      </c>
      <c r="E111">
        <v>101.6</v>
      </c>
      <c r="F111">
        <v>29.67</v>
      </c>
      <c r="G111">
        <v>99.49</v>
      </c>
      <c r="H111">
        <v>102.38</v>
      </c>
      <c r="I111">
        <v>1</v>
      </c>
      <c r="J111">
        <v>217.99</v>
      </c>
      <c r="K111">
        <v>147.94999999999999</v>
      </c>
      <c r="L111">
        <v>142.78</v>
      </c>
      <c r="M111">
        <v>34.15</v>
      </c>
      <c r="N111">
        <v>126.47</v>
      </c>
      <c r="O111">
        <v>83.38</v>
      </c>
      <c r="P111">
        <v>42.75</v>
      </c>
      <c r="Q111">
        <v>146</v>
      </c>
      <c r="R111">
        <v>198.05</v>
      </c>
      <c r="S111">
        <v>61.05</v>
      </c>
      <c r="T111">
        <v>68.41</v>
      </c>
      <c r="U111">
        <v>52.51</v>
      </c>
      <c r="V111">
        <v>30.78</v>
      </c>
      <c r="W111">
        <v>83.21</v>
      </c>
      <c r="X111">
        <v>120.96</v>
      </c>
      <c r="Y111">
        <v>177.04</v>
      </c>
      <c r="Z111">
        <v>115.89</v>
      </c>
      <c r="AA111">
        <v>93.45</v>
      </c>
      <c r="AB111">
        <v>43.06</v>
      </c>
      <c r="AC111">
        <v>77.77</v>
      </c>
      <c r="AD111">
        <v>76.69</v>
      </c>
      <c r="AE111">
        <v>76.540000000000006</v>
      </c>
      <c r="AI111" s="2">
        <v>5000</v>
      </c>
      <c r="AJ111" s="2">
        <f t="shared" si="78"/>
        <v>1070</v>
      </c>
      <c r="AK111" s="2">
        <f t="shared" si="78"/>
        <v>1070</v>
      </c>
      <c r="AL111" s="2">
        <f t="shared" si="78"/>
        <v>1070</v>
      </c>
      <c r="AM111" s="2">
        <f t="shared" si="78"/>
        <v>1070</v>
      </c>
      <c r="AN111" s="2">
        <f t="shared" si="78"/>
        <v>1070</v>
      </c>
      <c r="AO111" s="2">
        <f t="shared" si="78"/>
        <v>1070</v>
      </c>
      <c r="AP111" s="2">
        <v>0</v>
      </c>
      <c r="AQ111" s="2">
        <v>1000</v>
      </c>
      <c r="AR111" s="2">
        <v>0</v>
      </c>
      <c r="AS111" s="2">
        <v>1000</v>
      </c>
      <c r="AT111" s="2">
        <v>0</v>
      </c>
      <c r="AU111" s="2">
        <v>1000</v>
      </c>
      <c r="AV111" s="2">
        <v>1000</v>
      </c>
      <c r="AW111" s="2">
        <v>0</v>
      </c>
      <c r="AX111" s="2">
        <v>0</v>
      </c>
      <c r="AY111" s="2">
        <v>1000</v>
      </c>
      <c r="AZ111" s="2">
        <v>975</v>
      </c>
      <c r="BA111" s="2">
        <v>920</v>
      </c>
      <c r="BB111" s="2">
        <v>1063</v>
      </c>
      <c r="BC111" s="2">
        <v>-1000</v>
      </c>
      <c r="BD111" s="2">
        <v>1000</v>
      </c>
      <c r="BE111" s="2">
        <v>5000</v>
      </c>
      <c r="BF111" s="2">
        <v>3000</v>
      </c>
      <c r="BG111" s="2">
        <v>5000</v>
      </c>
      <c r="BH111" s="2">
        <v>5000</v>
      </c>
      <c r="BI111" s="2">
        <v>3000</v>
      </c>
      <c r="BJ111" s="2">
        <v>0</v>
      </c>
      <c r="BK111" s="2">
        <v>1000</v>
      </c>
      <c r="BL111" s="2">
        <v>1000</v>
      </c>
      <c r="BO111" s="2">
        <f t="shared" si="44"/>
        <v>0</v>
      </c>
      <c r="BP111" s="2">
        <f t="shared" si="53"/>
        <v>0</v>
      </c>
      <c r="BQ111" s="2">
        <f t="shared" si="54"/>
        <v>0</v>
      </c>
      <c r="BR111" s="2">
        <f t="shared" si="55"/>
        <v>0</v>
      </c>
      <c r="BS111" s="2">
        <f t="shared" si="56"/>
        <v>0</v>
      </c>
      <c r="BT111" s="2">
        <f t="shared" si="57"/>
        <v>0</v>
      </c>
      <c r="BU111" s="2">
        <f t="shared" si="58"/>
        <v>0</v>
      </c>
      <c r="BV111" s="2">
        <f t="shared" si="59"/>
        <v>0</v>
      </c>
      <c r="BW111" s="2">
        <f t="shared" si="60"/>
        <v>0</v>
      </c>
      <c r="BX111" s="2">
        <f t="shared" si="61"/>
        <v>0</v>
      </c>
      <c r="BY111" s="2">
        <f t="shared" si="62"/>
        <v>0</v>
      </c>
      <c r="BZ111" s="2">
        <f t="shared" si="63"/>
        <v>0</v>
      </c>
      <c r="CA111" s="2">
        <f t="shared" si="64"/>
        <v>0</v>
      </c>
      <c r="CB111" s="2">
        <f t="shared" si="65"/>
        <v>0</v>
      </c>
      <c r="CC111" s="2">
        <f t="shared" si="66"/>
        <v>0</v>
      </c>
      <c r="CD111" s="2">
        <f t="shared" si="67"/>
        <v>0</v>
      </c>
      <c r="CE111" s="2">
        <f t="shared" si="68"/>
        <v>0</v>
      </c>
      <c r="CF111" s="2">
        <f t="shared" si="69"/>
        <v>549.44999999999993</v>
      </c>
      <c r="CG111" s="2">
        <f t="shared" si="70"/>
        <v>-478.87</v>
      </c>
      <c r="CH111" s="2">
        <f t="shared" si="71"/>
        <v>-6458.73</v>
      </c>
      <c r="CI111" s="2">
        <f t="shared" si="72"/>
        <v>0</v>
      </c>
      <c r="CJ111" s="2">
        <f t="shared" si="73"/>
        <v>0</v>
      </c>
      <c r="CK111" s="2">
        <f t="shared" si="74"/>
        <v>0</v>
      </c>
      <c r="CL111" s="2">
        <f t="shared" si="75"/>
        <v>0</v>
      </c>
      <c r="CM111" s="2">
        <f t="shared" si="47"/>
        <v>0</v>
      </c>
      <c r="CN111" s="2">
        <f t="shared" si="48"/>
        <v>0</v>
      </c>
      <c r="CO111" s="2">
        <f t="shared" si="49"/>
        <v>0</v>
      </c>
      <c r="CP111" s="2">
        <f t="shared" si="50"/>
        <v>0</v>
      </c>
      <c r="CQ111" s="2">
        <f t="shared" si="51"/>
        <v>0</v>
      </c>
      <c r="CR111" s="2">
        <f t="shared" si="52"/>
        <v>0</v>
      </c>
      <c r="CV111" t="s">
        <v>64</v>
      </c>
      <c r="CW111" t="s">
        <v>184</v>
      </c>
      <c r="CX111" t="s">
        <v>3</v>
      </c>
      <c r="CY111" s="4">
        <v>42961</v>
      </c>
      <c r="CZ111" t="s">
        <v>65</v>
      </c>
      <c r="DA111" t="s">
        <v>66</v>
      </c>
      <c r="DB111">
        <v>10</v>
      </c>
      <c r="DC111">
        <v>230.19</v>
      </c>
      <c r="DD111" t="s">
        <v>69</v>
      </c>
      <c r="DE111" t="s">
        <v>70</v>
      </c>
      <c r="DF111">
        <v>2301.9</v>
      </c>
    </row>
    <row r="112" spans="1:110" x14ac:dyDescent="0.25">
      <c r="A112" s="1">
        <v>42898</v>
      </c>
      <c r="B112">
        <v>141.59</v>
      </c>
      <c r="C112">
        <v>78.38</v>
      </c>
      <c r="D112">
        <v>183.33</v>
      </c>
      <c r="E112">
        <v>101.74</v>
      </c>
      <c r="F112">
        <v>29.56</v>
      </c>
      <c r="G112">
        <v>101.02</v>
      </c>
      <c r="H112">
        <v>103.76</v>
      </c>
      <c r="I112">
        <v>1</v>
      </c>
      <c r="J112">
        <v>217.47</v>
      </c>
      <c r="K112">
        <v>147.19999999999999</v>
      </c>
      <c r="L112">
        <v>143.78</v>
      </c>
      <c r="M112">
        <v>34.17</v>
      </c>
      <c r="N112">
        <v>126.75</v>
      </c>
      <c r="O112">
        <v>83.4</v>
      </c>
      <c r="P112">
        <v>42.76</v>
      </c>
      <c r="Q112">
        <v>143.1</v>
      </c>
      <c r="R112">
        <v>198.49</v>
      </c>
      <c r="S112">
        <v>61.05</v>
      </c>
      <c r="T112">
        <v>67.89</v>
      </c>
      <c r="U112">
        <v>53.07</v>
      </c>
      <c r="V112">
        <v>30.72</v>
      </c>
      <c r="W112">
        <v>83.28</v>
      </c>
      <c r="X112">
        <v>121.38</v>
      </c>
      <c r="Y112">
        <v>174.88</v>
      </c>
      <c r="Z112">
        <v>115.16</v>
      </c>
      <c r="AA112">
        <v>92.41</v>
      </c>
      <c r="AB112">
        <v>43.49</v>
      </c>
      <c r="AC112">
        <v>78.56</v>
      </c>
      <c r="AD112">
        <v>76.52</v>
      </c>
      <c r="AE112">
        <v>77.28</v>
      </c>
      <c r="AI112" s="2">
        <v>5000</v>
      </c>
      <c r="AJ112" s="2">
        <f t="shared" si="78"/>
        <v>1070</v>
      </c>
      <c r="AK112" s="2">
        <f t="shared" si="78"/>
        <v>1070</v>
      </c>
      <c r="AL112" s="2">
        <f t="shared" si="78"/>
        <v>1070</v>
      </c>
      <c r="AM112" s="2">
        <f t="shared" si="78"/>
        <v>1070</v>
      </c>
      <c r="AN112" s="2">
        <f t="shared" si="78"/>
        <v>1070</v>
      </c>
      <c r="AO112" s="2">
        <f t="shared" si="78"/>
        <v>1070</v>
      </c>
      <c r="AP112" s="2">
        <v>0</v>
      </c>
      <c r="AQ112" s="2">
        <v>1000</v>
      </c>
      <c r="AR112" s="2">
        <v>0</v>
      </c>
      <c r="AS112" s="2">
        <v>1000</v>
      </c>
      <c r="AT112" s="2">
        <v>0</v>
      </c>
      <c r="AU112" s="2">
        <v>1000</v>
      </c>
      <c r="AV112" s="2">
        <v>1000</v>
      </c>
      <c r="AW112" s="2">
        <v>0</v>
      </c>
      <c r="AX112" s="2">
        <v>0</v>
      </c>
      <c r="AY112" s="2">
        <v>1000</v>
      </c>
      <c r="AZ112" s="2">
        <v>1028</v>
      </c>
      <c r="BA112" s="2">
        <v>995</v>
      </c>
      <c r="BB112" s="2">
        <v>1080</v>
      </c>
      <c r="BC112" s="2">
        <v>-1000</v>
      </c>
      <c r="BD112" s="2">
        <v>1000</v>
      </c>
      <c r="BE112" s="2">
        <v>5000</v>
      </c>
      <c r="BF112" s="2">
        <v>3000</v>
      </c>
      <c r="BG112" s="2">
        <v>5000</v>
      </c>
      <c r="BH112" s="2">
        <v>5000</v>
      </c>
      <c r="BI112" s="2">
        <v>3000</v>
      </c>
      <c r="BJ112" s="2">
        <v>0</v>
      </c>
      <c r="BK112" s="2">
        <v>1000</v>
      </c>
      <c r="BL112" s="2">
        <v>1000</v>
      </c>
      <c r="BO112" s="2">
        <f t="shared" si="44"/>
        <v>0</v>
      </c>
      <c r="BP112" s="2">
        <f t="shared" si="53"/>
        <v>0</v>
      </c>
      <c r="BQ112" s="2">
        <f t="shared" si="54"/>
        <v>0</v>
      </c>
      <c r="BR112" s="2">
        <f t="shared" si="55"/>
        <v>0</v>
      </c>
      <c r="BS112" s="2">
        <f t="shared" si="56"/>
        <v>0</v>
      </c>
      <c r="BT112" s="2">
        <f t="shared" si="57"/>
        <v>0</v>
      </c>
      <c r="BU112" s="2">
        <f t="shared" si="58"/>
        <v>0</v>
      </c>
      <c r="BV112" s="2">
        <f t="shared" si="59"/>
        <v>0</v>
      </c>
      <c r="BW112" s="2">
        <f t="shared" si="60"/>
        <v>0</v>
      </c>
      <c r="BX112" s="2">
        <f t="shared" si="61"/>
        <v>0</v>
      </c>
      <c r="BY112" s="2">
        <f t="shared" si="62"/>
        <v>0</v>
      </c>
      <c r="BZ112" s="2">
        <f t="shared" si="63"/>
        <v>0</v>
      </c>
      <c r="CA112" s="2">
        <f t="shared" si="64"/>
        <v>0</v>
      </c>
      <c r="CB112" s="2">
        <f t="shared" si="65"/>
        <v>0</v>
      </c>
      <c r="CC112" s="2">
        <f t="shared" si="66"/>
        <v>0</v>
      </c>
      <c r="CD112" s="2">
        <f t="shared" si="67"/>
        <v>0</v>
      </c>
      <c r="CE112" s="2">
        <f t="shared" si="68"/>
        <v>0</v>
      </c>
      <c r="CF112" s="2">
        <f t="shared" si="69"/>
        <v>-3235.6499999999996</v>
      </c>
      <c r="CG112" s="2">
        <f t="shared" si="70"/>
        <v>-5091.75</v>
      </c>
      <c r="CH112" s="2">
        <f t="shared" si="71"/>
        <v>-902.19</v>
      </c>
      <c r="CI112" s="2">
        <f t="shared" si="72"/>
        <v>0</v>
      </c>
      <c r="CJ112" s="2">
        <f t="shared" si="73"/>
        <v>0</v>
      </c>
      <c r="CK112" s="2">
        <f t="shared" si="74"/>
        <v>0</v>
      </c>
      <c r="CL112" s="2">
        <f t="shared" si="75"/>
        <v>0</v>
      </c>
      <c r="CM112" s="2">
        <f t="shared" si="47"/>
        <v>0</v>
      </c>
      <c r="CN112" s="2">
        <f t="shared" si="48"/>
        <v>0</v>
      </c>
      <c r="CO112" s="2">
        <f t="shared" si="49"/>
        <v>0</v>
      </c>
      <c r="CP112" s="2">
        <f t="shared" si="50"/>
        <v>0</v>
      </c>
      <c r="CQ112" s="2">
        <f t="shared" si="51"/>
        <v>0</v>
      </c>
      <c r="CR112" s="2">
        <f t="shared" si="52"/>
        <v>0</v>
      </c>
      <c r="CV112" t="s">
        <v>64</v>
      </c>
      <c r="CW112" t="s">
        <v>185</v>
      </c>
      <c r="CX112" t="s">
        <v>3</v>
      </c>
      <c r="CY112" s="4">
        <v>42979</v>
      </c>
      <c r="CZ112" t="s">
        <v>65</v>
      </c>
      <c r="DA112" t="s">
        <v>66</v>
      </c>
      <c r="DB112">
        <v>10</v>
      </c>
      <c r="DC112">
        <v>233.27</v>
      </c>
      <c r="DD112" t="s">
        <v>69</v>
      </c>
      <c r="DE112" t="s">
        <v>70</v>
      </c>
      <c r="DF112">
        <v>2332.7000000000003</v>
      </c>
    </row>
    <row r="113" spans="1:110" x14ac:dyDescent="0.25">
      <c r="A113" s="1">
        <v>42899</v>
      </c>
      <c r="B113">
        <v>142.72999999999999</v>
      </c>
      <c r="C113">
        <v>78.790000000000006</v>
      </c>
      <c r="D113">
        <v>184.38</v>
      </c>
      <c r="E113">
        <v>101.43</v>
      </c>
      <c r="F113">
        <v>29.99</v>
      </c>
      <c r="G113">
        <v>101.11</v>
      </c>
      <c r="H113">
        <v>103.29</v>
      </c>
      <c r="I113">
        <v>1</v>
      </c>
      <c r="J113">
        <v>219.71</v>
      </c>
      <c r="K113">
        <v>148.94999999999999</v>
      </c>
      <c r="L113">
        <v>142.91999999999999</v>
      </c>
      <c r="M113">
        <v>34.32</v>
      </c>
      <c r="N113">
        <v>126.94</v>
      </c>
      <c r="O113">
        <v>83.68</v>
      </c>
      <c r="P113">
        <v>42.83</v>
      </c>
      <c r="Q113">
        <v>144.4</v>
      </c>
      <c r="R113">
        <v>200.14</v>
      </c>
      <c r="S113">
        <v>60.43</v>
      </c>
      <c r="T113">
        <v>68.73</v>
      </c>
      <c r="U113">
        <v>53.34</v>
      </c>
      <c r="V113">
        <v>30.6</v>
      </c>
      <c r="W113">
        <v>83.12</v>
      </c>
      <c r="X113">
        <v>121.8</v>
      </c>
      <c r="Y113">
        <v>176.64</v>
      </c>
      <c r="Z113">
        <v>115.33</v>
      </c>
      <c r="AA113">
        <v>93.97</v>
      </c>
      <c r="AB113">
        <v>42.82</v>
      </c>
      <c r="AC113">
        <v>78.55</v>
      </c>
      <c r="AD113">
        <v>76.790000000000006</v>
      </c>
      <c r="AE113">
        <v>77.31</v>
      </c>
      <c r="AI113" s="2">
        <v>5000</v>
      </c>
      <c r="AJ113" s="2">
        <f t="shared" si="78"/>
        <v>1070</v>
      </c>
      <c r="AK113" s="2">
        <f t="shared" si="78"/>
        <v>1070</v>
      </c>
      <c r="AL113" s="2">
        <f t="shared" si="78"/>
        <v>1070</v>
      </c>
      <c r="AM113" s="2">
        <f t="shared" si="78"/>
        <v>1070</v>
      </c>
      <c r="AN113" s="2">
        <f t="shared" si="78"/>
        <v>1070</v>
      </c>
      <c r="AO113" s="2">
        <f t="shared" si="78"/>
        <v>1070</v>
      </c>
      <c r="AP113" s="2">
        <v>0</v>
      </c>
      <c r="AQ113" s="2">
        <v>1000</v>
      </c>
      <c r="AR113" s="2">
        <v>0</v>
      </c>
      <c r="AS113" s="2">
        <v>1000</v>
      </c>
      <c r="AT113" s="2">
        <v>0</v>
      </c>
      <c r="AU113" s="2">
        <v>1000</v>
      </c>
      <c r="AV113" s="2">
        <v>1000</v>
      </c>
      <c r="AW113" s="2">
        <v>0</v>
      </c>
      <c r="AX113" s="2">
        <v>0</v>
      </c>
      <c r="AY113" s="2">
        <v>1000</v>
      </c>
      <c r="AZ113" s="2">
        <v>957</v>
      </c>
      <c r="BA113" s="2">
        <v>1053</v>
      </c>
      <c r="BB113" s="2">
        <v>1070</v>
      </c>
      <c r="BC113" s="2">
        <v>-1000</v>
      </c>
      <c r="BD113" s="2">
        <v>1000</v>
      </c>
      <c r="BE113" s="2">
        <v>5000</v>
      </c>
      <c r="BF113" s="2">
        <v>3000</v>
      </c>
      <c r="BG113" s="2">
        <v>5000</v>
      </c>
      <c r="BH113" s="2">
        <v>5000</v>
      </c>
      <c r="BI113" s="2">
        <v>3000</v>
      </c>
      <c r="BJ113" s="2">
        <v>0</v>
      </c>
      <c r="BK113" s="2">
        <v>1000</v>
      </c>
      <c r="BL113" s="2">
        <v>1000</v>
      </c>
      <c r="BO113" s="2">
        <f t="shared" si="44"/>
        <v>0</v>
      </c>
      <c r="BP113" s="2">
        <f t="shared" si="53"/>
        <v>0</v>
      </c>
      <c r="BQ113" s="2">
        <f t="shared" si="54"/>
        <v>0</v>
      </c>
      <c r="BR113" s="2">
        <f t="shared" si="55"/>
        <v>0</v>
      </c>
      <c r="BS113" s="2">
        <f t="shared" si="56"/>
        <v>0</v>
      </c>
      <c r="BT113" s="2">
        <f t="shared" si="57"/>
        <v>0</v>
      </c>
      <c r="BU113" s="2">
        <f t="shared" si="58"/>
        <v>0</v>
      </c>
      <c r="BV113" s="2">
        <f t="shared" si="59"/>
        <v>0</v>
      </c>
      <c r="BW113" s="2">
        <f t="shared" si="60"/>
        <v>0</v>
      </c>
      <c r="BX113" s="2">
        <f t="shared" si="61"/>
        <v>0</v>
      </c>
      <c r="BY113" s="2">
        <f t="shared" si="62"/>
        <v>0</v>
      </c>
      <c r="BZ113" s="2">
        <f t="shared" si="63"/>
        <v>0</v>
      </c>
      <c r="CA113" s="2">
        <f t="shared" si="64"/>
        <v>0</v>
      </c>
      <c r="CB113" s="2">
        <f t="shared" si="65"/>
        <v>0</v>
      </c>
      <c r="CC113" s="2">
        <f t="shared" si="66"/>
        <v>0</v>
      </c>
      <c r="CD113" s="2">
        <f t="shared" si="67"/>
        <v>0</v>
      </c>
      <c r="CE113" s="2">
        <f t="shared" si="68"/>
        <v>0</v>
      </c>
      <c r="CF113" s="2">
        <f t="shared" si="69"/>
        <v>4290.53</v>
      </c>
      <c r="CG113" s="2">
        <f t="shared" si="70"/>
        <v>-3986.34</v>
      </c>
      <c r="CH113" s="2">
        <f t="shared" si="71"/>
        <v>533.40000000000009</v>
      </c>
      <c r="CI113" s="2">
        <f t="shared" si="72"/>
        <v>0</v>
      </c>
      <c r="CJ113" s="2">
        <f t="shared" si="73"/>
        <v>0</v>
      </c>
      <c r="CK113" s="2">
        <f t="shared" si="74"/>
        <v>0</v>
      </c>
      <c r="CL113" s="2">
        <f t="shared" si="75"/>
        <v>0</v>
      </c>
      <c r="CM113" s="2">
        <f t="shared" si="47"/>
        <v>0</v>
      </c>
      <c r="CN113" s="2">
        <f t="shared" si="48"/>
        <v>0</v>
      </c>
      <c r="CO113" s="2">
        <f t="shared" si="49"/>
        <v>0</v>
      </c>
      <c r="CP113" s="2">
        <f t="shared" si="50"/>
        <v>0</v>
      </c>
      <c r="CQ113" s="2">
        <f t="shared" si="51"/>
        <v>0</v>
      </c>
      <c r="CR113" s="2">
        <f t="shared" si="52"/>
        <v>0</v>
      </c>
      <c r="CV113" t="s">
        <v>64</v>
      </c>
      <c r="CW113" t="s">
        <v>186</v>
      </c>
      <c r="CX113" t="s">
        <v>3</v>
      </c>
      <c r="CY113" s="4">
        <v>43000</v>
      </c>
      <c r="CZ113" t="s">
        <v>65</v>
      </c>
      <c r="DA113" t="s">
        <v>66</v>
      </c>
      <c r="DB113">
        <v>10</v>
      </c>
      <c r="DC113">
        <v>248.92</v>
      </c>
      <c r="DD113" t="s">
        <v>69</v>
      </c>
      <c r="DE113" t="s">
        <v>70</v>
      </c>
      <c r="DF113">
        <v>2489.1999999999998</v>
      </c>
    </row>
    <row r="114" spans="1:110" x14ac:dyDescent="0.25">
      <c r="A114" s="1">
        <v>42900</v>
      </c>
      <c r="B114">
        <v>141.34</v>
      </c>
      <c r="C114">
        <v>79.040000000000006</v>
      </c>
      <c r="D114">
        <v>185.62</v>
      </c>
      <c r="E114">
        <v>100.44</v>
      </c>
      <c r="F114">
        <v>29.89</v>
      </c>
      <c r="G114">
        <v>99.67</v>
      </c>
      <c r="H114">
        <v>102.88</v>
      </c>
      <c r="I114">
        <v>1</v>
      </c>
      <c r="J114">
        <v>221.97</v>
      </c>
      <c r="K114">
        <v>151.63</v>
      </c>
      <c r="L114">
        <v>142.51</v>
      </c>
      <c r="M114">
        <v>33.979999999999997</v>
      </c>
      <c r="N114">
        <v>127.67</v>
      </c>
      <c r="O114">
        <v>83.5</v>
      </c>
      <c r="P114">
        <v>43.09</v>
      </c>
      <c r="Q114">
        <v>145.22999999999999</v>
      </c>
      <c r="R114">
        <v>201</v>
      </c>
      <c r="S114">
        <v>60.53</v>
      </c>
      <c r="T114">
        <v>68.36</v>
      </c>
      <c r="U114">
        <v>53.69</v>
      </c>
      <c r="V114">
        <v>30.71</v>
      </c>
      <c r="W114">
        <v>83.47</v>
      </c>
      <c r="X114">
        <v>123.6</v>
      </c>
      <c r="Y114">
        <v>177.92</v>
      </c>
      <c r="Z114">
        <v>115.29</v>
      </c>
      <c r="AA114">
        <v>94.21</v>
      </c>
      <c r="AB114">
        <v>43.03</v>
      </c>
      <c r="AC114">
        <v>79.59</v>
      </c>
      <c r="AD114">
        <v>77.150000000000006</v>
      </c>
      <c r="AE114">
        <v>76.48</v>
      </c>
      <c r="AI114" s="2">
        <v>5000</v>
      </c>
      <c r="AJ114" s="2">
        <f t="shared" ref="AJ114:AO114" si="81">AJ113+10</f>
        <v>1080</v>
      </c>
      <c r="AK114" s="2">
        <f t="shared" si="81"/>
        <v>1080</v>
      </c>
      <c r="AL114" s="2">
        <f t="shared" si="81"/>
        <v>1080</v>
      </c>
      <c r="AM114" s="2">
        <f t="shared" si="81"/>
        <v>1080</v>
      </c>
      <c r="AN114" s="2">
        <f t="shared" si="81"/>
        <v>1080</v>
      </c>
      <c r="AO114" s="2">
        <f t="shared" si="81"/>
        <v>1080</v>
      </c>
      <c r="AP114" s="2">
        <v>0</v>
      </c>
      <c r="AQ114" s="2">
        <v>1000</v>
      </c>
      <c r="AR114" s="2">
        <v>0</v>
      </c>
      <c r="AS114" s="2">
        <v>1000</v>
      </c>
      <c r="AT114" s="2">
        <v>0</v>
      </c>
      <c r="AU114" s="2">
        <v>1000</v>
      </c>
      <c r="AV114" s="2">
        <v>1000</v>
      </c>
      <c r="AW114" s="2">
        <v>0</v>
      </c>
      <c r="AX114" s="2">
        <v>0</v>
      </c>
      <c r="AY114" s="2">
        <v>1000</v>
      </c>
      <c r="AZ114" s="2">
        <v>1036</v>
      </c>
      <c r="BA114" s="2">
        <v>1087</v>
      </c>
      <c r="BB114" s="2">
        <v>961</v>
      </c>
      <c r="BC114" s="2">
        <v>-1000</v>
      </c>
      <c r="BD114" s="2">
        <v>1000</v>
      </c>
      <c r="BE114" s="2">
        <v>5000</v>
      </c>
      <c r="BF114" s="2">
        <v>3000</v>
      </c>
      <c r="BG114" s="2">
        <v>5000</v>
      </c>
      <c r="BH114" s="2">
        <v>5000</v>
      </c>
      <c r="BI114" s="2">
        <v>3000</v>
      </c>
      <c r="BJ114" s="2">
        <v>0</v>
      </c>
      <c r="BK114" s="2">
        <v>1000</v>
      </c>
      <c r="BL114" s="2">
        <v>1000</v>
      </c>
      <c r="BO114" s="2">
        <f t="shared" si="44"/>
        <v>0</v>
      </c>
      <c r="BP114" s="2">
        <f t="shared" si="53"/>
        <v>-790.40000000000009</v>
      </c>
      <c r="BQ114" s="2">
        <f t="shared" si="54"/>
        <v>-1856.2</v>
      </c>
      <c r="BR114" s="2">
        <f t="shared" si="55"/>
        <v>-1004.4</v>
      </c>
      <c r="BS114" s="2">
        <f t="shared" si="56"/>
        <v>-298.89999999999998</v>
      </c>
      <c r="BT114" s="2">
        <f t="shared" si="57"/>
        <v>-996.7</v>
      </c>
      <c r="BU114" s="2">
        <f t="shared" si="58"/>
        <v>-1028.8</v>
      </c>
      <c r="BV114" s="2">
        <f t="shared" si="59"/>
        <v>0</v>
      </c>
      <c r="BW114" s="2">
        <f t="shared" si="60"/>
        <v>0</v>
      </c>
      <c r="BX114" s="2">
        <f t="shared" si="61"/>
        <v>0</v>
      </c>
      <c r="BY114" s="2">
        <f t="shared" si="62"/>
        <v>0</v>
      </c>
      <c r="BZ114" s="2">
        <f t="shared" si="63"/>
        <v>0</v>
      </c>
      <c r="CA114" s="2">
        <f t="shared" si="64"/>
        <v>0</v>
      </c>
      <c r="CB114" s="2">
        <f t="shared" si="65"/>
        <v>0</v>
      </c>
      <c r="CC114" s="2">
        <f t="shared" si="66"/>
        <v>0</v>
      </c>
      <c r="CD114" s="2">
        <f t="shared" si="67"/>
        <v>0</v>
      </c>
      <c r="CE114" s="2">
        <f t="shared" si="68"/>
        <v>0</v>
      </c>
      <c r="CF114" s="2">
        <f t="shared" si="69"/>
        <v>-4781.87</v>
      </c>
      <c r="CG114" s="2">
        <f t="shared" si="70"/>
        <v>-2324.2399999999998</v>
      </c>
      <c r="CH114" s="2">
        <f t="shared" si="71"/>
        <v>5852.21</v>
      </c>
      <c r="CI114" s="2">
        <f t="shared" si="72"/>
        <v>0</v>
      </c>
      <c r="CJ114" s="2">
        <f t="shared" si="73"/>
        <v>0</v>
      </c>
      <c r="CK114" s="2">
        <f t="shared" si="74"/>
        <v>0</v>
      </c>
      <c r="CL114" s="2">
        <f t="shared" si="75"/>
        <v>0</v>
      </c>
      <c r="CM114" s="2">
        <f t="shared" si="47"/>
        <v>0</v>
      </c>
      <c r="CN114" s="2">
        <f t="shared" si="48"/>
        <v>0</v>
      </c>
      <c r="CO114" s="2">
        <f t="shared" si="49"/>
        <v>0</v>
      </c>
      <c r="CP114" s="2">
        <f t="shared" si="50"/>
        <v>0</v>
      </c>
      <c r="CQ114" s="2">
        <f t="shared" si="51"/>
        <v>0</v>
      </c>
      <c r="CR114" s="2">
        <f t="shared" si="52"/>
        <v>0</v>
      </c>
      <c r="CV114" t="s">
        <v>64</v>
      </c>
      <c r="CW114" t="s">
        <v>187</v>
      </c>
      <c r="CX114" t="s">
        <v>3</v>
      </c>
      <c r="CY114" s="4">
        <v>43020</v>
      </c>
      <c r="CZ114" t="s">
        <v>65</v>
      </c>
      <c r="DA114" t="s">
        <v>66</v>
      </c>
      <c r="DB114">
        <v>10</v>
      </c>
      <c r="DC114">
        <v>254.22</v>
      </c>
      <c r="DD114" t="s">
        <v>69</v>
      </c>
      <c r="DE114" t="s">
        <v>70</v>
      </c>
      <c r="DF114">
        <v>2542.1999999999998</v>
      </c>
    </row>
    <row r="115" spans="1:110" x14ac:dyDescent="0.25">
      <c r="A115" s="1">
        <v>42901</v>
      </c>
      <c r="B115">
        <v>140.49</v>
      </c>
      <c r="C115">
        <v>78.900000000000006</v>
      </c>
      <c r="D115">
        <v>188.59</v>
      </c>
      <c r="E115">
        <v>102.06</v>
      </c>
      <c r="F115">
        <v>29.87</v>
      </c>
      <c r="G115">
        <v>99.42</v>
      </c>
      <c r="H115">
        <v>102.73</v>
      </c>
      <c r="I115">
        <v>1</v>
      </c>
      <c r="J115">
        <v>218.76</v>
      </c>
      <c r="K115">
        <v>151.63999999999999</v>
      </c>
      <c r="L115">
        <v>142.88999999999999</v>
      </c>
      <c r="M115">
        <v>33.770000000000003</v>
      </c>
      <c r="N115">
        <v>127.92</v>
      </c>
      <c r="O115">
        <v>83</v>
      </c>
      <c r="P115">
        <v>43.04</v>
      </c>
      <c r="Q115">
        <v>145.69999999999999</v>
      </c>
      <c r="R115">
        <v>202.23</v>
      </c>
      <c r="S115">
        <v>60.36</v>
      </c>
      <c r="T115">
        <v>68</v>
      </c>
      <c r="U115">
        <v>51.96</v>
      </c>
      <c r="V115">
        <v>30.82</v>
      </c>
      <c r="W115">
        <v>84.36</v>
      </c>
      <c r="X115">
        <v>124.62</v>
      </c>
      <c r="Y115">
        <v>176.71</v>
      </c>
      <c r="Z115">
        <v>116</v>
      </c>
      <c r="AA115">
        <v>93.07</v>
      </c>
      <c r="AB115">
        <v>42.98</v>
      </c>
      <c r="AC115">
        <v>79.28</v>
      </c>
      <c r="AD115">
        <v>76.2</v>
      </c>
      <c r="AE115">
        <v>76.66</v>
      </c>
      <c r="AI115" s="2">
        <v>5000</v>
      </c>
      <c r="AJ115" s="2">
        <f t="shared" ref="AJ115:AO115" si="82">AJ114</f>
        <v>1080</v>
      </c>
      <c r="AK115" s="2">
        <f t="shared" si="82"/>
        <v>1080</v>
      </c>
      <c r="AL115" s="2">
        <f t="shared" si="82"/>
        <v>1080</v>
      </c>
      <c r="AM115" s="2">
        <f t="shared" si="82"/>
        <v>1080</v>
      </c>
      <c r="AN115" s="2">
        <f t="shared" si="82"/>
        <v>1080</v>
      </c>
      <c r="AO115" s="2">
        <f t="shared" si="82"/>
        <v>1080</v>
      </c>
      <c r="AP115" s="2">
        <v>0</v>
      </c>
      <c r="AQ115" s="2">
        <v>1000</v>
      </c>
      <c r="AR115" s="2">
        <v>0</v>
      </c>
      <c r="AS115" s="2">
        <v>1000</v>
      </c>
      <c r="AT115" s="2">
        <v>0</v>
      </c>
      <c r="AU115" s="2">
        <v>1000</v>
      </c>
      <c r="AV115" s="2">
        <v>1000</v>
      </c>
      <c r="AW115" s="2">
        <v>0</v>
      </c>
      <c r="AX115" s="2">
        <v>0</v>
      </c>
      <c r="AY115" s="2">
        <v>1000</v>
      </c>
      <c r="AZ115" s="2">
        <v>980</v>
      </c>
      <c r="BA115" s="2">
        <v>915</v>
      </c>
      <c r="BB115" s="2">
        <v>1025</v>
      </c>
      <c r="BC115" s="2">
        <v>-1000</v>
      </c>
      <c r="BD115" s="2">
        <v>1000</v>
      </c>
      <c r="BE115" s="2">
        <v>5000</v>
      </c>
      <c r="BF115" s="2">
        <v>3000</v>
      </c>
      <c r="BG115" s="2">
        <v>5000</v>
      </c>
      <c r="BH115" s="2">
        <v>5000</v>
      </c>
      <c r="BI115" s="2">
        <v>3000</v>
      </c>
      <c r="BJ115" s="2">
        <v>0</v>
      </c>
      <c r="BK115" s="2">
        <v>1000</v>
      </c>
      <c r="BL115" s="2">
        <v>1000</v>
      </c>
      <c r="BO115" s="2">
        <f t="shared" si="44"/>
        <v>0</v>
      </c>
      <c r="BP115" s="2">
        <f t="shared" si="53"/>
        <v>0</v>
      </c>
      <c r="BQ115" s="2">
        <f t="shared" si="54"/>
        <v>0</v>
      </c>
      <c r="BR115" s="2">
        <f t="shared" si="55"/>
        <v>0</v>
      </c>
      <c r="BS115" s="2">
        <f t="shared" si="56"/>
        <v>0</v>
      </c>
      <c r="BT115" s="2">
        <f t="shared" si="57"/>
        <v>0</v>
      </c>
      <c r="BU115" s="2">
        <f t="shared" si="58"/>
        <v>0</v>
      </c>
      <c r="BV115" s="2">
        <f t="shared" si="59"/>
        <v>0</v>
      </c>
      <c r="BW115" s="2">
        <f t="shared" si="60"/>
        <v>0</v>
      </c>
      <c r="BX115" s="2">
        <f t="shared" si="61"/>
        <v>0</v>
      </c>
      <c r="BY115" s="2">
        <f t="shared" si="62"/>
        <v>0</v>
      </c>
      <c r="BZ115" s="2">
        <f t="shared" si="63"/>
        <v>0</v>
      </c>
      <c r="CA115" s="2">
        <f t="shared" si="64"/>
        <v>0</v>
      </c>
      <c r="CB115" s="2">
        <f t="shared" si="65"/>
        <v>0</v>
      </c>
      <c r="CC115" s="2">
        <f t="shared" si="66"/>
        <v>0</v>
      </c>
      <c r="CD115" s="2">
        <f t="shared" si="67"/>
        <v>0</v>
      </c>
      <c r="CE115" s="2">
        <f t="shared" si="68"/>
        <v>0</v>
      </c>
      <c r="CF115" s="2">
        <f t="shared" si="69"/>
        <v>3380.16</v>
      </c>
      <c r="CG115" s="2">
        <f t="shared" si="70"/>
        <v>11696</v>
      </c>
      <c r="CH115" s="2">
        <f t="shared" si="71"/>
        <v>-3325.44</v>
      </c>
      <c r="CI115" s="2">
        <f t="shared" si="72"/>
        <v>0</v>
      </c>
      <c r="CJ115" s="2">
        <f t="shared" si="73"/>
        <v>0</v>
      </c>
      <c r="CK115" s="2">
        <f t="shared" si="74"/>
        <v>0</v>
      </c>
      <c r="CL115" s="2">
        <f t="shared" si="75"/>
        <v>0</v>
      </c>
      <c r="CM115" s="2">
        <f t="shared" si="47"/>
        <v>0</v>
      </c>
      <c r="CN115" s="2">
        <f t="shared" si="48"/>
        <v>0</v>
      </c>
      <c r="CO115" s="2">
        <f t="shared" si="49"/>
        <v>0</v>
      </c>
      <c r="CP115" s="2">
        <f t="shared" si="50"/>
        <v>0</v>
      </c>
      <c r="CQ115" s="2">
        <f t="shared" si="51"/>
        <v>0</v>
      </c>
      <c r="CR115" s="2">
        <f t="shared" si="52"/>
        <v>0</v>
      </c>
      <c r="CV115" t="s">
        <v>64</v>
      </c>
      <c r="CW115" t="s">
        <v>188</v>
      </c>
      <c r="CX115" t="s">
        <v>3</v>
      </c>
      <c r="CY115" s="4">
        <v>43040</v>
      </c>
      <c r="CZ115" t="s">
        <v>65</v>
      </c>
      <c r="DA115" t="s">
        <v>66</v>
      </c>
      <c r="DB115">
        <v>10</v>
      </c>
      <c r="DC115">
        <v>250.91</v>
      </c>
      <c r="DD115" t="s">
        <v>69</v>
      </c>
      <c r="DE115" t="s">
        <v>70</v>
      </c>
      <c r="DF115">
        <v>2509.1</v>
      </c>
    </row>
    <row r="116" spans="1:110" x14ac:dyDescent="0.25">
      <c r="A116" s="1">
        <v>42902</v>
      </c>
      <c r="B116">
        <v>138.52000000000001</v>
      </c>
      <c r="C116">
        <v>79.63</v>
      </c>
      <c r="D116">
        <v>189.54</v>
      </c>
      <c r="E116">
        <v>103.21</v>
      </c>
      <c r="F116">
        <v>29.92</v>
      </c>
      <c r="G116">
        <v>101.31</v>
      </c>
      <c r="H116">
        <v>102.27</v>
      </c>
      <c r="I116">
        <v>1</v>
      </c>
      <c r="J116">
        <v>217.37</v>
      </c>
      <c r="K116">
        <v>151.51</v>
      </c>
      <c r="L116">
        <v>143.97</v>
      </c>
      <c r="M116">
        <v>33.68</v>
      </c>
      <c r="N116">
        <v>129.18</v>
      </c>
      <c r="O116">
        <v>82.63</v>
      </c>
      <c r="P116">
        <v>43.1</v>
      </c>
      <c r="Q116">
        <v>146.49</v>
      </c>
      <c r="R116">
        <v>204.09</v>
      </c>
      <c r="S116">
        <v>60.15</v>
      </c>
      <c r="T116">
        <v>68.099999999999994</v>
      </c>
      <c r="U116">
        <v>50.19</v>
      </c>
      <c r="V116">
        <v>30.97</v>
      </c>
      <c r="W116">
        <v>84.63</v>
      </c>
      <c r="X116">
        <v>125.03</v>
      </c>
      <c r="Y116">
        <v>177.93</v>
      </c>
      <c r="Z116">
        <v>115.69</v>
      </c>
      <c r="AA116">
        <v>93.07</v>
      </c>
      <c r="AB116">
        <v>42.97</v>
      </c>
      <c r="AC116">
        <v>75.33</v>
      </c>
      <c r="AD116">
        <v>72.650000000000006</v>
      </c>
      <c r="AE116">
        <v>77.81</v>
      </c>
      <c r="AI116" s="2">
        <v>5000</v>
      </c>
      <c r="AJ116" s="2">
        <f t="shared" ref="AJ116:AO141" si="83">AJ115</f>
        <v>1080</v>
      </c>
      <c r="AK116" s="2">
        <f t="shared" si="83"/>
        <v>1080</v>
      </c>
      <c r="AL116" s="2">
        <f t="shared" si="83"/>
        <v>1080</v>
      </c>
      <c r="AM116" s="2">
        <f t="shared" si="83"/>
        <v>1080</v>
      </c>
      <c r="AN116" s="2">
        <f t="shared" si="83"/>
        <v>1080</v>
      </c>
      <c r="AO116" s="2">
        <f t="shared" si="83"/>
        <v>1080</v>
      </c>
      <c r="AP116" s="2">
        <v>0</v>
      </c>
      <c r="AQ116" s="2">
        <v>1000</v>
      </c>
      <c r="AR116" s="2">
        <v>0</v>
      </c>
      <c r="AS116" s="2">
        <v>1000</v>
      </c>
      <c r="AT116" s="2">
        <v>0</v>
      </c>
      <c r="AU116" s="2">
        <v>1000</v>
      </c>
      <c r="AV116" s="2">
        <v>1000</v>
      </c>
      <c r="AW116" s="2">
        <v>0</v>
      </c>
      <c r="AX116" s="2">
        <v>0</v>
      </c>
      <c r="AY116" s="2">
        <v>1000</v>
      </c>
      <c r="AZ116" s="2">
        <v>1010</v>
      </c>
      <c r="BA116" s="2">
        <v>918</v>
      </c>
      <c r="BB116" s="2">
        <v>936</v>
      </c>
      <c r="BC116" s="2">
        <v>-1000</v>
      </c>
      <c r="BD116" s="2">
        <v>1000</v>
      </c>
      <c r="BE116" s="2">
        <v>5000</v>
      </c>
      <c r="BF116" s="2">
        <v>3000</v>
      </c>
      <c r="BG116" s="2">
        <v>5000</v>
      </c>
      <c r="BH116" s="2">
        <v>5000</v>
      </c>
      <c r="BI116" s="2">
        <v>3000</v>
      </c>
      <c r="BJ116" s="2">
        <v>0</v>
      </c>
      <c r="BK116" s="2">
        <v>1000</v>
      </c>
      <c r="BL116" s="2">
        <v>1000</v>
      </c>
      <c r="BO116" s="2">
        <f t="shared" si="44"/>
        <v>0</v>
      </c>
      <c r="BP116" s="2">
        <f t="shared" si="53"/>
        <v>0</v>
      </c>
      <c r="BQ116" s="2">
        <f t="shared" si="54"/>
        <v>0</v>
      </c>
      <c r="BR116" s="2">
        <f t="shared" si="55"/>
        <v>0</v>
      </c>
      <c r="BS116" s="2">
        <f t="shared" si="56"/>
        <v>0</v>
      </c>
      <c r="BT116" s="2">
        <f t="shared" si="57"/>
        <v>0</v>
      </c>
      <c r="BU116" s="2">
        <f t="shared" si="58"/>
        <v>0</v>
      </c>
      <c r="BV116" s="2">
        <f t="shared" si="59"/>
        <v>0</v>
      </c>
      <c r="BW116" s="2">
        <f t="shared" si="60"/>
        <v>0</v>
      </c>
      <c r="BX116" s="2">
        <f t="shared" si="61"/>
        <v>0</v>
      </c>
      <c r="BY116" s="2">
        <f t="shared" si="62"/>
        <v>0</v>
      </c>
      <c r="BZ116" s="2">
        <f t="shared" si="63"/>
        <v>0</v>
      </c>
      <c r="CA116" s="2">
        <f t="shared" si="64"/>
        <v>0</v>
      </c>
      <c r="CB116" s="2">
        <f t="shared" si="65"/>
        <v>0</v>
      </c>
      <c r="CC116" s="2">
        <f t="shared" si="66"/>
        <v>0</v>
      </c>
      <c r="CD116" s="2">
        <f t="shared" si="67"/>
        <v>0</v>
      </c>
      <c r="CE116" s="2">
        <f t="shared" si="68"/>
        <v>0</v>
      </c>
      <c r="CF116" s="2">
        <f t="shared" si="69"/>
        <v>-1804.5</v>
      </c>
      <c r="CG116" s="2">
        <f t="shared" si="70"/>
        <v>-204.29999999999998</v>
      </c>
      <c r="CH116" s="2">
        <f t="shared" si="71"/>
        <v>4466.91</v>
      </c>
      <c r="CI116" s="2">
        <f t="shared" si="72"/>
        <v>0</v>
      </c>
      <c r="CJ116" s="2">
        <f t="shared" si="73"/>
        <v>0</v>
      </c>
      <c r="CK116" s="2">
        <f t="shared" si="74"/>
        <v>0</v>
      </c>
      <c r="CL116" s="2">
        <f t="shared" si="75"/>
        <v>0</v>
      </c>
      <c r="CM116" s="2">
        <f t="shared" si="47"/>
        <v>0</v>
      </c>
      <c r="CN116" s="2">
        <f t="shared" si="48"/>
        <v>0</v>
      </c>
      <c r="CO116" s="2">
        <f t="shared" si="49"/>
        <v>0</v>
      </c>
      <c r="CP116" s="2">
        <f t="shared" si="50"/>
        <v>0</v>
      </c>
      <c r="CQ116" s="2">
        <f t="shared" si="51"/>
        <v>0</v>
      </c>
      <c r="CR116" s="2">
        <f t="shared" si="52"/>
        <v>0</v>
      </c>
      <c r="CV116" t="s">
        <v>64</v>
      </c>
      <c r="CW116" t="s">
        <v>189</v>
      </c>
      <c r="CX116" t="s">
        <v>3</v>
      </c>
      <c r="CY116" s="4">
        <v>43060</v>
      </c>
      <c r="CZ116" t="s">
        <v>65</v>
      </c>
      <c r="DA116" t="s">
        <v>66</v>
      </c>
      <c r="DB116">
        <v>10</v>
      </c>
      <c r="DC116">
        <v>260.54000000000002</v>
      </c>
      <c r="DD116" t="s">
        <v>69</v>
      </c>
      <c r="DE116" t="s">
        <v>70</v>
      </c>
      <c r="DF116">
        <v>2605.4</v>
      </c>
    </row>
    <row r="117" spans="1:110" x14ac:dyDescent="0.25">
      <c r="A117" s="1">
        <v>42905</v>
      </c>
      <c r="B117">
        <v>142.49</v>
      </c>
      <c r="C117">
        <v>80.05</v>
      </c>
      <c r="D117">
        <v>192.09</v>
      </c>
      <c r="E117">
        <v>103.1</v>
      </c>
      <c r="F117">
        <v>30.26</v>
      </c>
      <c r="G117">
        <v>100.48</v>
      </c>
      <c r="H117">
        <v>102.14</v>
      </c>
      <c r="I117">
        <v>1</v>
      </c>
      <c r="J117">
        <v>221.6</v>
      </c>
      <c r="K117">
        <v>153.61000000000001</v>
      </c>
      <c r="L117">
        <v>143.47</v>
      </c>
      <c r="M117">
        <v>33.96</v>
      </c>
      <c r="N117">
        <v>128.91999999999999</v>
      </c>
      <c r="O117">
        <v>84.44</v>
      </c>
      <c r="P117">
        <v>43.16</v>
      </c>
      <c r="Q117">
        <v>147.6</v>
      </c>
      <c r="R117">
        <v>204.21</v>
      </c>
      <c r="S117">
        <v>60.83</v>
      </c>
      <c r="T117">
        <v>68.95</v>
      </c>
      <c r="U117">
        <v>51.09</v>
      </c>
      <c r="V117">
        <v>31.2</v>
      </c>
      <c r="W117">
        <v>84.81</v>
      </c>
      <c r="X117">
        <v>123.9</v>
      </c>
      <c r="Y117">
        <v>179.3</v>
      </c>
      <c r="Z117">
        <v>117.05</v>
      </c>
      <c r="AA117">
        <v>93.68</v>
      </c>
      <c r="AB117">
        <v>42.92</v>
      </c>
      <c r="AC117">
        <v>76.64</v>
      </c>
      <c r="AD117">
        <v>72.900000000000006</v>
      </c>
      <c r="AE117">
        <v>77.13</v>
      </c>
      <c r="AI117" s="2">
        <v>5000</v>
      </c>
      <c r="AJ117" s="2">
        <f t="shared" si="83"/>
        <v>1080</v>
      </c>
      <c r="AK117" s="2">
        <f t="shared" si="83"/>
        <v>1080</v>
      </c>
      <c r="AL117" s="2">
        <f t="shared" si="83"/>
        <v>1080</v>
      </c>
      <c r="AM117" s="2">
        <f t="shared" si="83"/>
        <v>1080</v>
      </c>
      <c r="AN117" s="2">
        <f t="shared" si="83"/>
        <v>1080</v>
      </c>
      <c r="AO117" s="2">
        <f t="shared" si="83"/>
        <v>1080</v>
      </c>
      <c r="AP117" s="2">
        <v>0</v>
      </c>
      <c r="AQ117" s="2">
        <v>1000</v>
      </c>
      <c r="AR117" s="2">
        <v>0</v>
      </c>
      <c r="AS117" s="2">
        <v>1000</v>
      </c>
      <c r="AT117" s="2">
        <v>0</v>
      </c>
      <c r="AU117" s="2">
        <v>1000</v>
      </c>
      <c r="AV117" s="2">
        <v>1000</v>
      </c>
      <c r="AW117" s="2">
        <v>0</v>
      </c>
      <c r="AX117" s="2">
        <v>0</v>
      </c>
      <c r="AY117" s="2">
        <v>1000</v>
      </c>
      <c r="AZ117" s="2">
        <v>972</v>
      </c>
      <c r="BA117" s="2">
        <v>1045</v>
      </c>
      <c r="BB117" s="2">
        <v>1061</v>
      </c>
      <c r="BC117" s="2">
        <v>-1000</v>
      </c>
      <c r="BD117" s="2">
        <v>1000</v>
      </c>
      <c r="BE117" s="2">
        <v>5000</v>
      </c>
      <c r="BF117" s="2">
        <v>3000</v>
      </c>
      <c r="BG117" s="2">
        <v>5000</v>
      </c>
      <c r="BH117" s="2">
        <v>5000</v>
      </c>
      <c r="BI117" s="2">
        <v>3000</v>
      </c>
      <c r="BJ117" s="2">
        <v>0</v>
      </c>
      <c r="BK117" s="2">
        <v>1000</v>
      </c>
      <c r="BL117" s="2">
        <v>1000</v>
      </c>
      <c r="BO117" s="2">
        <f t="shared" si="44"/>
        <v>0</v>
      </c>
      <c r="BP117" s="2">
        <f t="shared" si="53"/>
        <v>0</v>
      </c>
      <c r="BQ117" s="2">
        <f t="shared" si="54"/>
        <v>0</v>
      </c>
      <c r="BR117" s="2">
        <f t="shared" si="55"/>
        <v>0</v>
      </c>
      <c r="BS117" s="2">
        <f t="shared" si="56"/>
        <v>0</v>
      </c>
      <c r="BT117" s="2">
        <f t="shared" si="57"/>
        <v>0</v>
      </c>
      <c r="BU117" s="2">
        <f t="shared" si="58"/>
        <v>0</v>
      </c>
      <c r="BV117" s="2">
        <f t="shared" si="59"/>
        <v>0</v>
      </c>
      <c r="BW117" s="2">
        <f t="shared" si="60"/>
        <v>0</v>
      </c>
      <c r="BX117" s="2">
        <f t="shared" si="61"/>
        <v>0</v>
      </c>
      <c r="BY117" s="2">
        <f t="shared" si="62"/>
        <v>0</v>
      </c>
      <c r="BZ117" s="2">
        <f t="shared" si="63"/>
        <v>0</v>
      </c>
      <c r="CA117" s="2">
        <f t="shared" si="64"/>
        <v>0</v>
      </c>
      <c r="CB117" s="2">
        <f t="shared" si="65"/>
        <v>0</v>
      </c>
      <c r="CC117" s="2">
        <f t="shared" si="66"/>
        <v>0</v>
      </c>
      <c r="CD117" s="2">
        <f t="shared" si="67"/>
        <v>0</v>
      </c>
      <c r="CE117" s="2">
        <f t="shared" si="68"/>
        <v>0</v>
      </c>
      <c r="CF117" s="2">
        <f t="shared" si="69"/>
        <v>2311.54</v>
      </c>
      <c r="CG117" s="2">
        <f t="shared" si="70"/>
        <v>-8756.65</v>
      </c>
      <c r="CH117" s="2">
        <f t="shared" si="71"/>
        <v>-6386.25</v>
      </c>
      <c r="CI117" s="2">
        <f t="shared" si="72"/>
        <v>0</v>
      </c>
      <c r="CJ117" s="2">
        <f t="shared" si="73"/>
        <v>0</v>
      </c>
      <c r="CK117" s="2">
        <f t="shared" si="74"/>
        <v>0</v>
      </c>
      <c r="CL117" s="2">
        <f t="shared" si="75"/>
        <v>0</v>
      </c>
      <c r="CM117" s="2">
        <f t="shared" si="47"/>
        <v>0</v>
      </c>
      <c r="CN117" s="2">
        <f t="shared" si="48"/>
        <v>0</v>
      </c>
      <c r="CO117" s="2">
        <f t="shared" si="49"/>
        <v>0</v>
      </c>
      <c r="CP117" s="2">
        <f t="shared" si="50"/>
        <v>0</v>
      </c>
      <c r="CQ117" s="2">
        <f t="shared" si="51"/>
        <v>0</v>
      </c>
      <c r="CR117" s="2">
        <f t="shared" si="52"/>
        <v>0</v>
      </c>
      <c r="CV117" t="s">
        <v>64</v>
      </c>
      <c r="CW117" t="s">
        <v>190</v>
      </c>
      <c r="CX117" t="s">
        <v>3</v>
      </c>
      <c r="CY117" s="4">
        <v>43081</v>
      </c>
      <c r="CZ117" t="s">
        <v>65</v>
      </c>
      <c r="DA117" t="s">
        <v>66</v>
      </c>
      <c r="DB117">
        <v>10</v>
      </c>
      <c r="DC117">
        <v>282.94</v>
      </c>
      <c r="DD117" t="s">
        <v>69</v>
      </c>
      <c r="DE117" t="s">
        <v>70</v>
      </c>
      <c r="DF117">
        <v>2829.4</v>
      </c>
    </row>
    <row r="118" spans="1:110" x14ac:dyDescent="0.25">
      <c r="A118" s="1">
        <v>42906</v>
      </c>
      <c r="B118">
        <v>141.19</v>
      </c>
      <c r="C118">
        <v>80.67</v>
      </c>
      <c r="D118">
        <v>191.36</v>
      </c>
      <c r="E118">
        <v>102.67</v>
      </c>
      <c r="F118">
        <v>30.13</v>
      </c>
      <c r="G118">
        <v>99.56</v>
      </c>
      <c r="H118">
        <v>100.75</v>
      </c>
      <c r="I118">
        <v>1</v>
      </c>
      <c r="J118">
        <v>220.59</v>
      </c>
      <c r="K118">
        <v>152.51</v>
      </c>
      <c r="L118">
        <v>143.57</v>
      </c>
      <c r="M118">
        <v>33.340000000000003</v>
      </c>
      <c r="N118">
        <v>129.06</v>
      </c>
      <c r="O118">
        <v>83.92</v>
      </c>
      <c r="P118">
        <v>43.38</v>
      </c>
      <c r="Q118">
        <v>148.49</v>
      </c>
      <c r="R118">
        <v>204.21</v>
      </c>
      <c r="S118">
        <v>61.64</v>
      </c>
      <c r="T118">
        <v>68.010000000000005</v>
      </c>
      <c r="U118">
        <v>50.64</v>
      </c>
      <c r="V118">
        <v>31.52</v>
      </c>
      <c r="W118">
        <v>84.6</v>
      </c>
      <c r="X118">
        <v>124.36</v>
      </c>
      <c r="Y118">
        <v>179.54</v>
      </c>
      <c r="Z118">
        <v>116.73</v>
      </c>
      <c r="AA118">
        <v>93.28</v>
      </c>
      <c r="AB118">
        <v>42.34</v>
      </c>
      <c r="AC118">
        <v>75.19</v>
      </c>
      <c r="AD118">
        <v>72.94</v>
      </c>
      <c r="AE118">
        <v>76.709999999999994</v>
      </c>
      <c r="AI118" s="2">
        <v>5000</v>
      </c>
      <c r="AJ118" s="2">
        <f t="shared" si="83"/>
        <v>1080</v>
      </c>
      <c r="AK118" s="2">
        <f t="shared" si="83"/>
        <v>1080</v>
      </c>
      <c r="AL118" s="2">
        <f t="shared" si="83"/>
        <v>1080</v>
      </c>
      <c r="AM118" s="2">
        <f t="shared" si="83"/>
        <v>1080</v>
      </c>
      <c r="AN118" s="2">
        <f t="shared" si="83"/>
        <v>1080</v>
      </c>
      <c r="AO118" s="2">
        <f t="shared" si="83"/>
        <v>1080</v>
      </c>
      <c r="AP118" s="2">
        <v>0</v>
      </c>
      <c r="AQ118" s="2">
        <v>1000</v>
      </c>
      <c r="AR118" s="2">
        <v>0</v>
      </c>
      <c r="AS118" s="2">
        <v>1000</v>
      </c>
      <c r="AT118" s="2">
        <v>0</v>
      </c>
      <c r="AU118" s="2">
        <v>1000</v>
      </c>
      <c r="AV118" s="2">
        <v>1000</v>
      </c>
      <c r="AW118" s="2">
        <v>0</v>
      </c>
      <c r="AX118" s="2">
        <v>0</v>
      </c>
      <c r="AY118" s="2">
        <v>1000</v>
      </c>
      <c r="AZ118" s="2">
        <v>1030</v>
      </c>
      <c r="BA118" s="2">
        <v>987</v>
      </c>
      <c r="BB118" s="2">
        <v>1027</v>
      </c>
      <c r="BC118" s="2">
        <v>-1000</v>
      </c>
      <c r="BD118" s="2">
        <v>1000</v>
      </c>
      <c r="BE118" s="2">
        <v>5000</v>
      </c>
      <c r="BF118" s="2">
        <v>3000</v>
      </c>
      <c r="BG118" s="2">
        <v>5000</v>
      </c>
      <c r="BH118" s="2">
        <v>5000</v>
      </c>
      <c r="BI118" s="2">
        <v>3000</v>
      </c>
      <c r="BJ118" s="2">
        <v>0</v>
      </c>
      <c r="BK118" s="2">
        <v>1000</v>
      </c>
      <c r="BL118" s="2">
        <v>1000</v>
      </c>
      <c r="BO118" s="2">
        <f t="shared" si="44"/>
        <v>0</v>
      </c>
      <c r="BP118" s="2">
        <f t="shared" si="53"/>
        <v>0</v>
      </c>
      <c r="BQ118" s="2">
        <f t="shared" si="54"/>
        <v>0</v>
      </c>
      <c r="BR118" s="2">
        <f t="shared" si="55"/>
        <v>0</v>
      </c>
      <c r="BS118" s="2">
        <f t="shared" si="56"/>
        <v>0</v>
      </c>
      <c r="BT118" s="2">
        <f t="shared" si="57"/>
        <v>0</v>
      </c>
      <c r="BU118" s="2">
        <f t="shared" si="58"/>
        <v>0</v>
      </c>
      <c r="BV118" s="2">
        <f t="shared" si="59"/>
        <v>0</v>
      </c>
      <c r="BW118" s="2">
        <f t="shared" si="60"/>
        <v>0</v>
      </c>
      <c r="BX118" s="2">
        <f t="shared" si="61"/>
        <v>0</v>
      </c>
      <c r="BY118" s="2">
        <f t="shared" si="62"/>
        <v>0</v>
      </c>
      <c r="BZ118" s="2">
        <f t="shared" si="63"/>
        <v>0</v>
      </c>
      <c r="CA118" s="2">
        <f t="shared" si="64"/>
        <v>0</v>
      </c>
      <c r="CB118" s="2">
        <f t="shared" si="65"/>
        <v>0</v>
      </c>
      <c r="CC118" s="2">
        <f t="shared" si="66"/>
        <v>0</v>
      </c>
      <c r="CD118" s="2">
        <f t="shared" si="67"/>
        <v>0</v>
      </c>
      <c r="CE118" s="2">
        <f t="shared" si="68"/>
        <v>0</v>
      </c>
      <c r="CF118" s="2">
        <f t="shared" si="69"/>
        <v>-3575.12</v>
      </c>
      <c r="CG118" s="2">
        <f t="shared" si="70"/>
        <v>3944.5800000000004</v>
      </c>
      <c r="CH118" s="2">
        <f t="shared" si="71"/>
        <v>1721.76</v>
      </c>
      <c r="CI118" s="2">
        <f t="shared" si="72"/>
        <v>0</v>
      </c>
      <c r="CJ118" s="2">
        <f t="shared" si="73"/>
        <v>0</v>
      </c>
      <c r="CK118" s="2">
        <f t="shared" si="74"/>
        <v>0</v>
      </c>
      <c r="CL118" s="2">
        <f t="shared" si="75"/>
        <v>0</v>
      </c>
      <c r="CM118" s="2">
        <f t="shared" si="47"/>
        <v>0</v>
      </c>
      <c r="CN118" s="2">
        <f t="shared" si="48"/>
        <v>0</v>
      </c>
      <c r="CO118" s="2">
        <f t="shared" si="49"/>
        <v>0</v>
      </c>
      <c r="CP118" s="2">
        <f t="shared" si="50"/>
        <v>0</v>
      </c>
      <c r="CQ118" s="2">
        <f t="shared" si="51"/>
        <v>0</v>
      </c>
      <c r="CR118" s="2">
        <f t="shared" si="52"/>
        <v>0</v>
      </c>
      <c r="CV118" t="s">
        <v>64</v>
      </c>
      <c r="CW118" t="s">
        <v>191</v>
      </c>
      <c r="CX118" t="s">
        <v>3</v>
      </c>
      <c r="CY118" s="4">
        <v>43103</v>
      </c>
      <c r="CZ118" t="s">
        <v>65</v>
      </c>
      <c r="DA118" t="s">
        <v>66</v>
      </c>
      <c r="DB118">
        <v>10</v>
      </c>
      <c r="DC118">
        <v>290.61</v>
      </c>
      <c r="DD118" t="s">
        <v>69</v>
      </c>
      <c r="DE118" t="s">
        <v>70</v>
      </c>
      <c r="DF118">
        <v>2906.1000000000004</v>
      </c>
    </row>
    <row r="119" spans="1:110" x14ac:dyDescent="0.25">
      <c r="A119" s="1">
        <v>42907</v>
      </c>
      <c r="B119">
        <v>142.03</v>
      </c>
      <c r="C119">
        <v>80.38</v>
      </c>
      <c r="D119">
        <v>192.17</v>
      </c>
      <c r="E119">
        <v>99.25</v>
      </c>
      <c r="F119">
        <v>30.12</v>
      </c>
      <c r="G119">
        <v>97.7</v>
      </c>
      <c r="H119">
        <v>101.59</v>
      </c>
      <c r="I119">
        <v>1</v>
      </c>
      <c r="J119">
        <v>218.03</v>
      </c>
      <c r="K119">
        <v>151.46</v>
      </c>
      <c r="L119">
        <v>142.5</v>
      </c>
      <c r="M119">
        <v>33.07</v>
      </c>
      <c r="N119">
        <v>129.72</v>
      </c>
      <c r="O119">
        <v>83.53</v>
      </c>
      <c r="P119">
        <v>43.01</v>
      </c>
      <c r="Q119">
        <v>148.16999999999999</v>
      </c>
      <c r="R119">
        <v>203.73</v>
      </c>
      <c r="S119">
        <v>62.53</v>
      </c>
      <c r="T119">
        <v>68.36</v>
      </c>
      <c r="U119">
        <v>51.65</v>
      </c>
      <c r="V119">
        <v>31.82</v>
      </c>
      <c r="W119">
        <v>84.38</v>
      </c>
      <c r="X119">
        <v>124.2</v>
      </c>
      <c r="Y119">
        <v>181.16</v>
      </c>
      <c r="Z119">
        <v>116.96</v>
      </c>
      <c r="AA119">
        <v>93.43</v>
      </c>
      <c r="AB119">
        <v>41.85</v>
      </c>
      <c r="AC119">
        <v>75.02</v>
      </c>
      <c r="AD119">
        <v>73.62</v>
      </c>
      <c r="AE119">
        <v>75.900000000000006</v>
      </c>
      <c r="AI119" s="2">
        <v>5000</v>
      </c>
      <c r="AJ119" s="2">
        <f t="shared" si="83"/>
        <v>1080</v>
      </c>
      <c r="AK119" s="2">
        <f t="shared" si="83"/>
        <v>1080</v>
      </c>
      <c r="AL119" s="2">
        <f t="shared" si="83"/>
        <v>1080</v>
      </c>
      <c r="AM119" s="2">
        <f t="shared" si="83"/>
        <v>1080</v>
      </c>
      <c r="AN119" s="2">
        <f t="shared" si="83"/>
        <v>1080</v>
      </c>
      <c r="AO119" s="2">
        <f t="shared" si="83"/>
        <v>1080</v>
      </c>
      <c r="AP119" s="2">
        <v>0</v>
      </c>
      <c r="AQ119" s="2">
        <v>1000</v>
      </c>
      <c r="AR119" s="2">
        <v>0</v>
      </c>
      <c r="AS119" s="2">
        <v>1000</v>
      </c>
      <c r="AT119" s="2">
        <v>0</v>
      </c>
      <c r="AU119" s="2">
        <v>1000</v>
      </c>
      <c r="AV119" s="2">
        <v>1000</v>
      </c>
      <c r="AW119" s="2">
        <v>0</v>
      </c>
      <c r="AX119" s="2">
        <v>0</v>
      </c>
      <c r="AY119" s="2">
        <v>1000</v>
      </c>
      <c r="AZ119" s="2">
        <v>989</v>
      </c>
      <c r="BA119" s="2">
        <v>1099</v>
      </c>
      <c r="BB119" s="2">
        <v>1047</v>
      </c>
      <c r="BC119" s="2">
        <v>-1000</v>
      </c>
      <c r="BD119" s="2">
        <v>1000</v>
      </c>
      <c r="BE119" s="2">
        <v>5000</v>
      </c>
      <c r="BF119" s="2">
        <v>3000</v>
      </c>
      <c r="BG119" s="2">
        <v>5000</v>
      </c>
      <c r="BH119" s="2">
        <v>5000</v>
      </c>
      <c r="BI119" s="2">
        <v>3000</v>
      </c>
      <c r="BJ119" s="2">
        <v>0</v>
      </c>
      <c r="BK119" s="2">
        <v>1000</v>
      </c>
      <c r="BL119" s="2">
        <v>1000</v>
      </c>
      <c r="BO119" s="2">
        <f t="shared" si="44"/>
        <v>0</v>
      </c>
      <c r="BP119" s="2">
        <f t="shared" si="53"/>
        <v>0</v>
      </c>
      <c r="BQ119" s="2">
        <f t="shared" si="54"/>
        <v>0</v>
      </c>
      <c r="BR119" s="2">
        <f t="shared" si="55"/>
        <v>0</v>
      </c>
      <c r="BS119" s="2">
        <f t="shared" si="56"/>
        <v>0</v>
      </c>
      <c r="BT119" s="2">
        <f t="shared" si="57"/>
        <v>0</v>
      </c>
      <c r="BU119" s="2">
        <f t="shared" si="58"/>
        <v>0</v>
      </c>
      <c r="BV119" s="2">
        <f t="shared" si="59"/>
        <v>0</v>
      </c>
      <c r="BW119" s="2">
        <f t="shared" si="60"/>
        <v>0</v>
      </c>
      <c r="BX119" s="2">
        <f t="shared" si="61"/>
        <v>0</v>
      </c>
      <c r="BY119" s="2">
        <f t="shared" si="62"/>
        <v>0</v>
      </c>
      <c r="BZ119" s="2">
        <f t="shared" si="63"/>
        <v>0</v>
      </c>
      <c r="CA119" s="2">
        <f t="shared" si="64"/>
        <v>0</v>
      </c>
      <c r="CB119" s="2">
        <f t="shared" si="65"/>
        <v>0</v>
      </c>
      <c r="CC119" s="2">
        <f t="shared" si="66"/>
        <v>0</v>
      </c>
      <c r="CD119" s="2">
        <f t="shared" si="67"/>
        <v>0</v>
      </c>
      <c r="CE119" s="2">
        <f t="shared" si="68"/>
        <v>0</v>
      </c>
      <c r="CF119" s="2">
        <f t="shared" si="69"/>
        <v>2563.73</v>
      </c>
      <c r="CG119" s="2">
        <f t="shared" si="70"/>
        <v>-7656.32</v>
      </c>
      <c r="CH119" s="2">
        <f t="shared" si="71"/>
        <v>-1033</v>
      </c>
      <c r="CI119" s="2">
        <f t="shared" si="72"/>
        <v>0</v>
      </c>
      <c r="CJ119" s="2">
        <f t="shared" si="73"/>
        <v>0</v>
      </c>
      <c r="CK119" s="2">
        <f t="shared" si="74"/>
        <v>0</v>
      </c>
      <c r="CL119" s="2">
        <f t="shared" si="75"/>
        <v>0</v>
      </c>
      <c r="CM119" s="2">
        <f t="shared" si="47"/>
        <v>0</v>
      </c>
      <c r="CN119" s="2">
        <f t="shared" si="48"/>
        <v>0</v>
      </c>
      <c r="CO119" s="2">
        <f t="shared" si="49"/>
        <v>0</v>
      </c>
      <c r="CP119" s="2">
        <f t="shared" si="50"/>
        <v>0</v>
      </c>
      <c r="CQ119" s="2">
        <f t="shared" si="51"/>
        <v>0</v>
      </c>
      <c r="CR119" s="2">
        <f t="shared" si="52"/>
        <v>0</v>
      </c>
      <c r="CV119" t="s">
        <v>64</v>
      </c>
      <c r="CW119" t="s">
        <v>192</v>
      </c>
      <c r="CX119" t="s">
        <v>3</v>
      </c>
      <c r="CY119" s="4">
        <v>43124</v>
      </c>
      <c r="CZ119" t="s">
        <v>65</v>
      </c>
      <c r="DA119" t="s">
        <v>66</v>
      </c>
      <c r="DB119">
        <v>10</v>
      </c>
      <c r="DC119">
        <v>326.61</v>
      </c>
      <c r="DD119" t="s">
        <v>69</v>
      </c>
      <c r="DE119" t="s">
        <v>70</v>
      </c>
      <c r="DF119">
        <v>3266.1000000000004</v>
      </c>
    </row>
    <row r="120" spans="1:110" x14ac:dyDescent="0.25">
      <c r="A120" s="1">
        <v>42908</v>
      </c>
      <c r="B120">
        <v>141.79</v>
      </c>
      <c r="C120">
        <v>80.42</v>
      </c>
      <c r="D120">
        <v>192.43</v>
      </c>
      <c r="E120">
        <v>99.6</v>
      </c>
      <c r="F120">
        <v>30.13</v>
      </c>
      <c r="G120">
        <v>97.66</v>
      </c>
      <c r="H120">
        <v>101.02</v>
      </c>
      <c r="I120">
        <v>1</v>
      </c>
      <c r="J120">
        <v>215.37</v>
      </c>
      <c r="K120">
        <v>150.38999999999999</v>
      </c>
      <c r="L120">
        <v>143.06</v>
      </c>
      <c r="M120">
        <v>32.86</v>
      </c>
      <c r="N120">
        <v>130.82</v>
      </c>
      <c r="O120">
        <v>83.44</v>
      </c>
      <c r="P120">
        <v>42.87</v>
      </c>
      <c r="Q120">
        <v>149.19999999999999</v>
      </c>
      <c r="R120">
        <v>203.12</v>
      </c>
      <c r="S120">
        <v>63.06</v>
      </c>
      <c r="T120">
        <v>68.36</v>
      </c>
      <c r="U120">
        <v>51.47</v>
      </c>
      <c r="V120">
        <v>31.99</v>
      </c>
      <c r="W120">
        <v>84.03</v>
      </c>
      <c r="X120">
        <v>123.93</v>
      </c>
      <c r="Y120">
        <v>182.71</v>
      </c>
      <c r="Z120">
        <v>117.36</v>
      </c>
      <c r="AA120">
        <v>92.85</v>
      </c>
      <c r="AB120">
        <v>41.86</v>
      </c>
      <c r="AC120">
        <v>73.34</v>
      </c>
      <c r="AD120">
        <v>72.92</v>
      </c>
      <c r="AE120">
        <v>75.56</v>
      </c>
      <c r="AI120" s="2">
        <v>5000</v>
      </c>
      <c r="AJ120" s="2">
        <f t="shared" si="83"/>
        <v>1080</v>
      </c>
      <c r="AK120" s="2">
        <f t="shared" si="83"/>
        <v>1080</v>
      </c>
      <c r="AL120" s="2">
        <f t="shared" si="83"/>
        <v>1080</v>
      </c>
      <c r="AM120" s="2">
        <f t="shared" si="83"/>
        <v>1080</v>
      </c>
      <c r="AN120" s="2">
        <f t="shared" si="83"/>
        <v>1080</v>
      </c>
      <c r="AO120" s="2">
        <f t="shared" si="83"/>
        <v>1080</v>
      </c>
      <c r="AP120" s="2">
        <v>0</v>
      </c>
      <c r="AQ120" s="2">
        <v>1000</v>
      </c>
      <c r="AR120" s="2">
        <v>0</v>
      </c>
      <c r="AS120" s="2">
        <v>1000</v>
      </c>
      <c r="AT120" s="2">
        <v>0</v>
      </c>
      <c r="AU120" s="2">
        <v>1000</v>
      </c>
      <c r="AV120" s="2">
        <v>1000</v>
      </c>
      <c r="AW120" s="2">
        <v>0</v>
      </c>
      <c r="AX120" s="2">
        <v>0</v>
      </c>
      <c r="AY120" s="2">
        <v>1000</v>
      </c>
      <c r="AZ120" s="2">
        <v>952</v>
      </c>
      <c r="BA120" s="2">
        <v>956</v>
      </c>
      <c r="BB120" s="2">
        <v>989</v>
      </c>
      <c r="BC120" s="2">
        <v>-1000</v>
      </c>
      <c r="BD120" s="2">
        <v>1000</v>
      </c>
      <c r="BE120" s="2">
        <v>5000</v>
      </c>
      <c r="BF120" s="2">
        <v>3000</v>
      </c>
      <c r="BG120" s="2">
        <v>5000</v>
      </c>
      <c r="BH120" s="2">
        <v>5000</v>
      </c>
      <c r="BI120" s="2">
        <v>3000</v>
      </c>
      <c r="BJ120" s="2">
        <v>0</v>
      </c>
      <c r="BK120" s="2">
        <v>1000</v>
      </c>
      <c r="BL120" s="2">
        <v>1000</v>
      </c>
      <c r="BO120" s="2">
        <f t="shared" si="44"/>
        <v>0</v>
      </c>
      <c r="BP120" s="2">
        <f t="shared" si="53"/>
        <v>0</v>
      </c>
      <c r="BQ120" s="2">
        <f t="shared" si="54"/>
        <v>0</v>
      </c>
      <c r="BR120" s="2">
        <f t="shared" si="55"/>
        <v>0</v>
      </c>
      <c r="BS120" s="2">
        <f t="shared" si="56"/>
        <v>0</v>
      </c>
      <c r="BT120" s="2">
        <f t="shared" si="57"/>
        <v>0</v>
      </c>
      <c r="BU120" s="2">
        <f t="shared" si="58"/>
        <v>0</v>
      </c>
      <c r="BV120" s="2">
        <f t="shared" si="59"/>
        <v>0</v>
      </c>
      <c r="BW120" s="2">
        <f t="shared" si="60"/>
        <v>0</v>
      </c>
      <c r="BX120" s="2">
        <f t="shared" si="61"/>
        <v>0</v>
      </c>
      <c r="BY120" s="2">
        <f t="shared" si="62"/>
        <v>0</v>
      </c>
      <c r="BZ120" s="2">
        <f t="shared" si="63"/>
        <v>0</v>
      </c>
      <c r="CA120" s="2">
        <f t="shared" si="64"/>
        <v>0</v>
      </c>
      <c r="CB120" s="2">
        <f t="shared" si="65"/>
        <v>0</v>
      </c>
      <c r="CC120" s="2">
        <f t="shared" si="66"/>
        <v>0</v>
      </c>
      <c r="CD120" s="2">
        <f t="shared" si="67"/>
        <v>0</v>
      </c>
      <c r="CE120" s="2">
        <f t="shared" si="68"/>
        <v>0</v>
      </c>
      <c r="CF120" s="2">
        <f t="shared" si="69"/>
        <v>2333.2200000000003</v>
      </c>
      <c r="CG120" s="2">
        <f t="shared" si="70"/>
        <v>9775.48</v>
      </c>
      <c r="CH120" s="2">
        <f t="shared" si="71"/>
        <v>2985.2599999999998</v>
      </c>
      <c r="CI120" s="2">
        <f t="shared" si="72"/>
        <v>0</v>
      </c>
      <c r="CJ120" s="2">
        <f t="shared" si="73"/>
        <v>0</v>
      </c>
      <c r="CK120" s="2">
        <f t="shared" si="74"/>
        <v>0</v>
      </c>
      <c r="CL120" s="2">
        <f t="shared" si="75"/>
        <v>0</v>
      </c>
      <c r="CM120" s="2">
        <f t="shared" si="47"/>
        <v>0</v>
      </c>
      <c r="CN120" s="2">
        <f t="shared" si="48"/>
        <v>0</v>
      </c>
      <c r="CO120" s="2">
        <f t="shared" si="49"/>
        <v>0</v>
      </c>
      <c r="CP120" s="2">
        <f t="shared" si="50"/>
        <v>0</v>
      </c>
      <c r="CQ120" s="2">
        <f t="shared" si="51"/>
        <v>0</v>
      </c>
      <c r="CR120" s="2">
        <f t="shared" si="52"/>
        <v>0</v>
      </c>
      <c r="CV120" t="s">
        <v>64</v>
      </c>
      <c r="CW120" t="s">
        <v>193</v>
      </c>
      <c r="CX120" t="s">
        <v>3</v>
      </c>
      <c r="CY120" s="4">
        <v>43144</v>
      </c>
      <c r="CZ120" t="s">
        <v>65</v>
      </c>
      <c r="DA120" t="s">
        <v>66</v>
      </c>
      <c r="DB120">
        <v>10</v>
      </c>
      <c r="DC120">
        <v>336.53</v>
      </c>
      <c r="DD120" t="s">
        <v>69</v>
      </c>
      <c r="DE120" t="s">
        <v>70</v>
      </c>
      <c r="DF120">
        <v>3365.2999999999997</v>
      </c>
    </row>
    <row r="121" spans="1:110" x14ac:dyDescent="0.25">
      <c r="A121" s="1">
        <v>42909</v>
      </c>
      <c r="B121">
        <v>142.43</v>
      </c>
      <c r="C121">
        <v>80.39</v>
      </c>
      <c r="D121">
        <v>195.13</v>
      </c>
      <c r="E121">
        <v>99.86</v>
      </c>
      <c r="F121">
        <v>30.36</v>
      </c>
      <c r="G121">
        <v>98.18</v>
      </c>
      <c r="H121">
        <v>101.16</v>
      </c>
      <c r="I121">
        <v>1</v>
      </c>
      <c r="J121">
        <v>212.84</v>
      </c>
      <c r="K121">
        <v>146.35</v>
      </c>
      <c r="L121">
        <v>142.79</v>
      </c>
      <c r="M121">
        <v>32.700000000000003</v>
      </c>
      <c r="N121">
        <v>131.18</v>
      </c>
      <c r="O121">
        <v>83.28</v>
      </c>
      <c r="P121">
        <v>43.04</v>
      </c>
      <c r="Q121">
        <v>149.04</v>
      </c>
      <c r="R121">
        <v>203.77</v>
      </c>
      <c r="S121">
        <v>63.19</v>
      </c>
      <c r="T121">
        <v>69.28</v>
      </c>
      <c r="U121">
        <v>51.91</v>
      </c>
      <c r="V121">
        <v>32.1</v>
      </c>
      <c r="W121">
        <v>84.4</v>
      </c>
      <c r="X121">
        <v>123.31</v>
      </c>
      <c r="Y121">
        <v>181.48</v>
      </c>
      <c r="Z121">
        <v>117.41</v>
      </c>
      <c r="AA121">
        <v>94.46</v>
      </c>
      <c r="AB121">
        <v>41.83</v>
      </c>
      <c r="AC121">
        <v>73.31</v>
      </c>
      <c r="AD121">
        <v>72.27</v>
      </c>
      <c r="AE121">
        <v>76.05</v>
      </c>
      <c r="AI121" s="2">
        <v>5000</v>
      </c>
      <c r="AJ121" s="2">
        <f t="shared" si="83"/>
        <v>1080</v>
      </c>
      <c r="AK121" s="2">
        <f t="shared" si="83"/>
        <v>1080</v>
      </c>
      <c r="AL121" s="2">
        <f t="shared" si="83"/>
        <v>1080</v>
      </c>
      <c r="AM121" s="2">
        <f t="shared" si="83"/>
        <v>1080</v>
      </c>
      <c r="AN121" s="2">
        <f t="shared" si="83"/>
        <v>1080</v>
      </c>
      <c r="AO121" s="2">
        <f t="shared" si="83"/>
        <v>1080</v>
      </c>
      <c r="AP121" s="2">
        <v>0</v>
      </c>
      <c r="AQ121" s="2">
        <v>1000</v>
      </c>
      <c r="AR121" s="2">
        <v>0</v>
      </c>
      <c r="AS121" s="2">
        <v>1000</v>
      </c>
      <c r="AT121" s="2">
        <v>0</v>
      </c>
      <c r="AU121" s="2">
        <v>1000</v>
      </c>
      <c r="AV121" s="2">
        <v>1000</v>
      </c>
      <c r="AW121" s="2">
        <v>0</v>
      </c>
      <c r="AX121" s="2">
        <v>0</v>
      </c>
      <c r="AY121" s="2">
        <v>1000</v>
      </c>
      <c r="AZ121" s="2">
        <v>989</v>
      </c>
      <c r="BA121" s="2">
        <v>975</v>
      </c>
      <c r="BB121" s="2">
        <v>1075</v>
      </c>
      <c r="BC121" s="2">
        <v>-1000</v>
      </c>
      <c r="BD121" s="2">
        <v>1000</v>
      </c>
      <c r="BE121" s="2">
        <v>5000</v>
      </c>
      <c r="BF121" s="2">
        <v>3000</v>
      </c>
      <c r="BG121" s="2">
        <v>5000</v>
      </c>
      <c r="BH121" s="2">
        <v>5000</v>
      </c>
      <c r="BI121" s="2">
        <v>3000</v>
      </c>
      <c r="BJ121" s="2">
        <v>0</v>
      </c>
      <c r="BK121" s="2">
        <v>1000</v>
      </c>
      <c r="BL121" s="2">
        <v>1000</v>
      </c>
      <c r="BO121" s="2">
        <f t="shared" si="44"/>
        <v>0</v>
      </c>
      <c r="BP121" s="2">
        <f t="shared" si="53"/>
        <v>0</v>
      </c>
      <c r="BQ121" s="2">
        <f t="shared" si="54"/>
        <v>0</v>
      </c>
      <c r="BR121" s="2">
        <f t="shared" si="55"/>
        <v>0</v>
      </c>
      <c r="BS121" s="2">
        <f t="shared" si="56"/>
        <v>0</v>
      </c>
      <c r="BT121" s="2">
        <f t="shared" si="57"/>
        <v>0</v>
      </c>
      <c r="BU121" s="2">
        <f t="shared" si="58"/>
        <v>0</v>
      </c>
      <c r="BV121" s="2">
        <f t="shared" si="59"/>
        <v>0</v>
      </c>
      <c r="BW121" s="2">
        <f t="shared" si="60"/>
        <v>0</v>
      </c>
      <c r="BX121" s="2">
        <f t="shared" si="61"/>
        <v>0</v>
      </c>
      <c r="BY121" s="2">
        <f t="shared" si="62"/>
        <v>0</v>
      </c>
      <c r="BZ121" s="2">
        <f t="shared" si="63"/>
        <v>0</v>
      </c>
      <c r="CA121" s="2">
        <f t="shared" si="64"/>
        <v>0</v>
      </c>
      <c r="CB121" s="2">
        <f t="shared" si="65"/>
        <v>0</v>
      </c>
      <c r="CC121" s="2">
        <f t="shared" si="66"/>
        <v>0</v>
      </c>
      <c r="CD121" s="2">
        <f t="shared" si="67"/>
        <v>0</v>
      </c>
      <c r="CE121" s="2">
        <f t="shared" si="68"/>
        <v>0</v>
      </c>
      <c r="CF121" s="2">
        <f t="shared" si="69"/>
        <v>-2338.0299999999997</v>
      </c>
      <c r="CG121" s="2">
        <f t="shared" si="70"/>
        <v>-1316.32</v>
      </c>
      <c r="CH121" s="2">
        <f t="shared" si="71"/>
        <v>-4464.2599999999993</v>
      </c>
      <c r="CI121" s="2">
        <f t="shared" si="72"/>
        <v>0</v>
      </c>
      <c r="CJ121" s="2">
        <f t="shared" si="73"/>
        <v>0</v>
      </c>
      <c r="CK121" s="2">
        <f t="shared" si="74"/>
        <v>0</v>
      </c>
      <c r="CL121" s="2">
        <f t="shared" si="75"/>
        <v>0</v>
      </c>
      <c r="CM121" s="2">
        <f t="shared" si="47"/>
        <v>0</v>
      </c>
      <c r="CN121" s="2">
        <f t="shared" si="48"/>
        <v>0</v>
      </c>
      <c r="CO121" s="2">
        <f t="shared" si="49"/>
        <v>0</v>
      </c>
      <c r="CP121" s="2">
        <f t="shared" si="50"/>
        <v>0</v>
      </c>
      <c r="CQ121" s="2">
        <f t="shared" si="51"/>
        <v>0</v>
      </c>
      <c r="CR121" s="2">
        <f t="shared" si="52"/>
        <v>0</v>
      </c>
      <c r="CV121" t="s">
        <v>64</v>
      </c>
      <c r="CW121" t="s">
        <v>194</v>
      </c>
      <c r="CX121" t="s">
        <v>3</v>
      </c>
      <c r="CY121" s="4">
        <v>43165</v>
      </c>
      <c r="CZ121" t="s">
        <v>65</v>
      </c>
      <c r="DA121" t="s">
        <v>66</v>
      </c>
      <c r="DB121">
        <v>10</v>
      </c>
      <c r="DC121">
        <v>342.17</v>
      </c>
      <c r="DD121" t="s">
        <v>69</v>
      </c>
      <c r="DE121" t="s">
        <v>70</v>
      </c>
      <c r="DF121">
        <v>3421.7000000000003</v>
      </c>
    </row>
    <row r="122" spans="1:110" x14ac:dyDescent="0.25">
      <c r="A122" s="1">
        <v>42912</v>
      </c>
      <c r="B122">
        <v>141.97999999999999</v>
      </c>
      <c r="C122">
        <v>81.11</v>
      </c>
      <c r="D122">
        <v>192.96</v>
      </c>
      <c r="E122">
        <v>100</v>
      </c>
      <c r="F122">
        <v>30.5</v>
      </c>
      <c r="G122">
        <v>97.37</v>
      </c>
      <c r="H122">
        <v>102.33</v>
      </c>
      <c r="I122">
        <v>1</v>
      </c>
      <c r="J122">
        <v>216.03</v>
      </c>
      <c r="K122">
        <v>146.46</v>
      </c>
      <c r="L122">
        <v>143.83000000000001</v>
      </c>
      <c r="M122">
        <v>32.590000000000003</v>
      </c>
      <c r="N122">
        <v>131.1</v>
      </c>
      <c r="O122">
        <v>83.65</v>
      </c>
      <c r="P122">
        <v>43.21</v>
      </c>
      <c r="Q122">
        <v>148.38999999999999</v>
      </c>
      <c r="R122">
        <v>203.49</v>
      </c>
      <c r="S122">
        <v>62.96</v>
      </c>
      <c r="T122">
        <v>68.62</v>
      </c>
      <c r="U122">
        <v>52.33</v>
      </c>
      <c r="V122">
        <v>31.97</v>
      </c>
      <c r="W122">
        <v>84.34</v>
      </c>
      <c r="X122">
        <v>123.59</v>
      </c>
      <c r="Y122">
        <v>181.35</v>
      </c>
      <c r="Z122">
        <v>117.07</v>
      </c>
      <c r="AA122">
        <v>94.11</v>
      </c>
      <c r="AB122">
        <v>42.16</v>
      </c>
      <c r="AC122">
        <v>74.45</v>
      </c>
      <c r="AD122">
        <v>72.900000000000006</v>
      </c>
      <c r="AE122">
        <v>75.709999999999994</v>
      </c>
      <c r="AI122" s="2">
        <v>5000</v>
      </c>
      <c r="AJ122" s="2">
        <f t="shared" si="83"/>
        <v>1080</v>
      </c>
      <c r="AK122" s="2">
        <f t="shared" si="83"/>
        <v>1080</v>
      </c>
      <c r="AL122" s="2">
        <f t="shared" si="83"/>
        <v>1080</v>
      </c>
      <c r="AM122" s="2">
        <f t="shared" si="83"/>
        <v>1080</v>
      </c>
      <c r="AN122" s="2">
        <f t="shared" si="83"/>
        <v>1080</v>
      </c>
      <c r="AO122" s="2">
        <f t="shared" si="83"/>
        <v>1080</v>
      </c>
      <c r="AP122" s="2">
        <v>0</v>
      </c>
      <c r="AQ122" s="2">
        <v>1000</v>
      </c>
      <c r="AR122" s="2">
        <v>0</v>
      </c>
      <c r="AS122" s="2">
        <v>1000</v>
      </c>
      <c r="AT122" s="2">
        <v>0</v>
      </c>
      <c r="AU122" s="2">
        <v>1000</v>
      </c>
      <c r="AV122" s="2">
        <v>1000</v>
      </c>
      <c r="AW122" s="2">
        <v>0</v>
      </c>
      <c r="AX122" s="2">
        <v>0</v>
      </c>
      <c r="AY122" s="2">
        <v>1000</v>
      </c>
      <c r="AZ122" s="2">
        <v>994</v>
      </c>
      <c r="BA122" s="2">
        <v>1051</v>
      </c>
      <c r="BB122" s="2">
        <v>945</v>
      </c>
      <c r="BC122" s="2">
        <v>-1000</v>
      </c>
      <c r="BD122" s="2">
        <v>1000</v>
      </c>
      <c r="BE122" s="2">
        <v>5000</v>
      </c>
      <c r="BF122" s="2">
        <v>3000</v>
      </c>
      <c r="BG122" s="2">
        <v>5000</v>
      </c>
      <c r="BH122" s="2">
        <v>5000</v>
      </c>
      <c r="BI122" s="2">
        <v>3000</v>
      </c>
      <c r="BJ122" s="2">
        <v>0</v>
      </c>
      <c r="BK122" s="2">
        <v>1000</v>
      </c>
      <c r="BL122" s="2">
        <v>1000</v>
      </c>
      <c r="BO122" s="2">
        <f t="shared" si="44"/>
        <v>0</v>
      </c>
      <c r="BP122" s="2">
        <f t="shared" si="53"/>
        <v>0</v>
      </c>
      <c r="BQ122" s="2">
        <f t="shared" si="54"/>
        <v>0</v>
      </c>
      <c r="BR122" s="2">
        <f t="shared" si="55"/>
        <v>0</v>
      </c>
      <c r="BS122" s="2">
        <f t="shared" si="56"/>
        <v>0</v>
      </c>
      <c r="BT122" s="2">
        <f t="shared" si="57"/>
        <v>0</v>
      </c>
      <c r="BU122" s="2">
        <f t="shared" si="58"/>
        <v>0</v>
      </c>
      <c r="BV122" s="2">
        <f t="shared" si="59"/>
        <v>0</v>
      </c>
      <c r="BW122" s="2">
        <f t="shared" si="60"/>
        <v>0</v>
      </c>
      <c r="BX122" s="2">
        <f t="shared" si="61"/>
        <v>0</v>
      </c>
      <c r="BY122" s="2">
        <f t="shared" si="62"/>
        <v>0</v>
      </c>
      <c r="BZ122" s="2">
        <f t="shared" si="63"/>
        <v>0</v>
      </c>
      <c r="CA122" s="2">
        <f t="shared" si="64"/>
        <v>0</v>
      </c>
      <c r="CB122" s="2">
        <f t="shared" si="65"/>
        <v>0</v>
      </c>
      <c r="CC122" s="2">
        <f t="shared" si="66"/>
        <v>0</v>
      </c>
      <c r="CD122" s="2">
        <f t="shared" si="67"/>
        <v>0</v>
      </c>
      <c r="CE122" s="2">
        <f t="shared" si="68"/>
        <v>0</v>
      </c>
      <c r="CF122" s="2">
        <f t="shared" si="69"/>
        <v>-314.8</v>
      </c>
      <c r="CG122" s="2">
        <f t="shared" si="70"/>
        <v>-5215.1200000000008</v>
      </c>
      <c r="CH122" s="2">
        <f t="shared" si="71"/>
        <v>6802.9</v>
      </c>
      <c r="CI122" s="2">
        <f t="shared" si="72"/>
        <v>0</v>
      </c>
      <c r="CJ122" s="2">
        <f t="shared" si="73"/>
        <v>0</v>
      </c>
      <c r="CK122" s="2">
        <f t="shared" si="74"/>
        <v>0</v>
      </c>
      <c r="CL122" s="2">
        <f t="shared" si="75"/>
        <v>0</v>
      </c>
      <c r="CM122" s="2">
        <f t="shared" si="47"/>
        <v>0</v>
      </c>
      <c r="CN122" s="2">
        <f t="shared" si="48"/>
        <v>0</v>
      </c>
      <c r="CO122" s="2">
        <f t="shared" si="49"/>
        <v>0</v>
      </c>
      <c r="CP122" s="2">
        <f t="shared" si="50"/>
        <v>0</v>
      </c>
      <c r="CQ122" s="2">
        <f t="shared" si="51"/>
        <v>0</v>
      </c>
      <c r="CR122" s="2">
        <f t="shared" si="52"/>
        <v>0</v>
      </c>
      <c r="CV122" t="s">
        <v>64</v>
      </c>
      <c r="CW122" t="s">
        <v>195</v>
      </c>
      <c r="CX122" t="s">
        <v>3</v>
      </c>
      <c r="CY122" s="4">
        <v>43185</v>
      </c>
      <c r="CZ122" t="s">
        <v>65</v>
      </c>
      <c r="DA122" t="s">
        <v>66</v>
      </c>
      <c r="DB122">
        <v>10</v>
      </c>
      <c r="DC122">
        <v>322.61</v>
      </c>
      <c r="DD122" t="s">
        <v>69</v>
      </c>
      <c r="DE122" t="s">
        <v>70</v>
      </c>
      <c r="DF122">
        <v>3226.1000000000004</v>
      </c>
    </row>
    <row r="123" spans="1:110" x14ac:dyDescent="0.25">
      <c r="A123" s="1">
        <v>42913</v>
      </c>
      <c r="B123">
        <v>139.94</v>
      </c>
      <c r="C123">
        <v>81.23</v>
      </c>
      <c r="D123">
        <v>191.9</v>
      </c>
      <c r="E123">
        <v>99.69</v>
      </c>
      <c r="F123">
        <v>30.04</v>
      </c>
      <c r="G123">
        <v>97.31</v>
      </c>
      <c r="H123">
        <v>102.18</v>
      </c>
      <c r="I123">
        <v>1</v>
      </c>
      <c r="J123">
        <v>215.87</v>
      </c>
      <c r="K123">
        <v>147.25</v>
      </c>
      <c r="L123">
        <v>143.38</v>
      </c>
      <c r="M123">
        <v>32.18</v>
      </c>
      <c r="N123">
        <v>129.82</v>
      </c>
      <c r="O123">
        <v>84.42</v>
      </c>
      <c r="P123">
        <v>42.85</v>
      </c>
      <c r="Q123">
        <v>148.16</v>
      </c>
      <c r="R123">
        <v>200.78</v>
      </c>
      <c r="S123">
        <v>62.6</v>
      </c>
      <c r="T123">
        <v>67.33</v>
      </c>
      <c r="U123">
        <v>52.01</v>
      </c>
      <c r="V123">
        <v>31.72</v>
      </c>
      <c r="W123">
        <v>83.63</v>
      </c>
      <c r="X123">
        <v>123.04</v>
      </c>
      <c r="Y123">
        <v>180.84</v>
      </c>
      <c r="Z123">
        <v>116.8</v>
      </c>
      <c r="AA123">
        <v>93.79</v>
      </c>
      <c r="AB123">
        <v>41.32</v>
      </c>
      <c r="AC123">
        <v>74.19</v>
      </c>
      <c r="AD123">
        <v>73.400000000000006</v>
      </c>
      <c r="AE123">
        <v>75.59</v>
      </c>
      <c r="AI123" s="2">
        <v>5000</v>
      </c>
      <c r="AJ123" s="2">
        <f t="shared" si="83"/>
        <v>1080</v>
      </c>
      <c r="AK123" s="2">
        <f t="shared" si="83"/>
        <v>1080</v>
      </c>
      <c r="AL123" s="2">
        <f t="shared" si="83"/>
        <v>1080</v>
      </c>
      <c r="AM123" s="2">
        <f t="shared" si="83"/>
        <v>1080</v>
      </c>
      <c r="AN123" s="2">
        <f t="shared" si="83"/>
        <v>1080</v>
      </c>
      <c r="AO123" s="2">
        <f t="shared" si="83"/>
        <v>1080</v>
      </c>
      <c r="AP123" s="2">
        <v>0</v>
      </c>
      <c r="AQ123" s="2">
        <v>1000</v>
      </c>
      <c r="AR123" s="2">
        <v>0</v>
      </c>
      <c r="AS123" s="2">
        <v>1000</v>
      </c>
      <c r="AT123" s="2">
        <v>0</v>
      </c>
      <c r="AU123" s="2">
        <v>1000</v>
      </c>
      <c r="AV123" s="2">
        <v>1000</v>
      </c>
      <c r="AW123" s="2">
        <v>0</v>
      </c>
      <c r="AX123" s="2">
        <v>0</v>
      </c>
      <c r="AY123" s="2">
        <v>1000</v>
      </c>
      <c r="AZ123" s="2">
        <v>1030</v>
      </c>
      <c r="BA123" s="2">
        <v>1076</v>
      </c>
      <c r="BB123" s="2">
        <v>1023</v>
      </c>
      <c r="BC123" s="2">
        <v>-1000</v>
      </c>
      <c r="BD123" s="2">
        <v>1000</v>
      </c>
      <c r="BE123" s="2">
        <v>5000</v>
      </c>
      <c r="BF123" s="2">
        <v>3000</v>
      </c>
      <c r="BG123" s="2">
        <v>5000</v>
      </c>
      <c r="BH123" s="2">
        <v>5000</v>
      </c>
      <c r="BI123" s="2">
        <v>3000</v>
      </c>
      <c r="BJ123" s="2">
        <v>0</v>
      </c>
      <c r="BK123" s="2">
        <v>1000</v>
      </c>
      <c r="BL123" s="2">
        <v>1000</v>
      </c>
      <c r="BO123" s="2">
        <f t="shared" si="44"/>
        <v>0</v>
      </c>
      <c r="BP123" s="2">
        <f t="shared" si="53"/>
        <v>0</v>
      </c>
      <c r="BQ123" s="2">
        <f t="shared" si="54"/>
        <v>0</v>
      </c>
      <c r="BR123" s="2">
        <f t="shared" si="55"/>
        <v>0</v>
      </c>
      <c r="BS123" s="2">
        <f t="shared" si="56"/>
        <v>0</v>
      </c>
      <c r="BT123" s="2">
        <f t="shared" si="57"/>
        <v>0</v>
      </c>
      <c r="BU123" s="2">
        <f t="shared" si="58"/>
        <v>0</v>
      </c>
      <c r="BV123" s="2">
        <f t="shared" si="59"/>
        <v>0</v>
      </c>
      <c r="BW123" s="2">
        <f t="shared" si="60"/>
        <v>0</v>
      </c>
      <c r="BX123" s="2">
        <f t="shared" si="61"/>
        <v>0</v>
      </c>
      <c r="BY123" s="2">
        <f t="shared" si="62"/>
        <v>0</v>
      </c>
      <c r="BZ123" s="2">
        <f t="shared" si="63"/>
        <v>0</v>
      </c>
      <c r="CA123" s="2">
        <f t="shared" si="64"/>
        <v>0</v>
      </c>
      <c r="CB123" s="2">
        <f t="shared" si="65"/>
        <v>0</v>
      </c>
      <c r="CC123" s="2">
        <f t="shared" si="66"/>
        <v>0</v>
      </c>
      <c r="CD123" s="2">
        <f t="shared" si="67"/>
        <v>0</v>
      </c>
      <c r="CE123" s="2">
        <f t="shared" si="68"/>
        <v>0</v>
      </c>
      <c r="CF123" s="2">
        <f t="shared" si="69"/>
        <v>-2253.6</v>
      </c>
      <c r="CG123" s="2">
        <f t="shared" si="70"/>
        <v>-1683.25</v>
      </c>
      <c r="CH123" s="2">
        <f t="shared" si="71"/>
        <v>-4056.7799999999997</v>
      </c>
      <c r="CI123" s="2">
        <f t="shared" si="72"/>
        <v>0</v>
      </c>
      <c r="CJ123" s="2">
        <f t="shared" si="73"/>
        <v>0</v>
      </c>
      <c r="CK123" s="2">
        <f t="shared" si="74"/>
        <v>0</v>
      </c>
      <c r="CL123" s="2">
        <f t="shared" si="75"/>
        <v>0</v>
      </c>
      <c r="CM123" s="2">
        <f t="shared" si="47"/>
        <v>0</v>
      </c>
      <c r="CN123" s="2">
        <f t="shared" si="48"/>
        <v>0</v>
      </c>
      <c r="CO123" s="2">
        <f t="shared" si="49"/>
        <v>0</v>
      </c>
      <c r="CP123" s="2">
        <f t="shared" si="50"/>
        <v>0</v>
      </c>
      <c r="CQ123" s="2">
        <f t="shared" si="51"/>
        <v>0</v>
      </c>
      <c r="CR123" s="2">
        <f t="shared" si="52"/>
        <v>0</v>
      </c>
      <c r="CV123" t="s">
        <v>64</v>
      </c>
      <c r="CW123" t="s">
        <v>196</v>
      </c>
      <c r="CX123" t="s">
        <v>3</v>
      </c>
      <c r="CY123" s="4">
        <v>43206</v>
      </c>
      <c r="CZ123" t="s">
        <v>65</v>
      </c>
      <c r="DA123" t="s">
        <v>66</v>
      </c>
      <c r="DB123">
        <v>10</v>
      </c>
      <c r="DC123">
        <v>325.36</v>
      </c>
      <c r="DD123" t="s">
        <v>69</v>
      </c>
      <c r="DE123" t="s">
        <v>70</v>
      </c>
      <c r="DF123">
        <v>3253.6000000000004</v>
      </c>
    </row>
    <row r="124" spans="1:110" x14ac:dyDescent="0.25">
      <c r="A124" s="1">
        <v>42914</v>
      </c>
      <c r="B124">
        <v>141.99</v>
      </c>
      <c r="C124">
        <v>82.1</v>
      </c>
      <c r="D124">
        <v>192.61</v>
      </c>
      <c r="E124">
        <v>102.11</v>
      </c>
      <c r="F124">
        <v>30.35</v>
      </c>
      <c r="G124">
        <v>97.51</v>
      </c>
      <c r="H124">
        <v>103.58</v>
      </c>
      <c r="I124">
        <v>1</v>
      </c>
      <c r="J124">
        <v>218.75</v>
      </c>
      <c r="K124">
        <v>148.21</v>
      </c>
      <c r="L124">
        <v>143.91</v>
      </c>
      <c r="M124">
        <v>32.71</v>
      </c>
      <c r="N124">
        <v>128.66999999999999</v>
      </c>
      <c r="O124">
        <v>86.12</v>
      </c>
      <c r="P124">
        <v>43.11</v>
      </c>
      <c r="Q124">
        <v>148.71</v>
      </c>
      <c r="R124">
        <v>201.59</v>
      </c>
      <c r="S124">
        <v>62.24</v>
      </c>
      <c r="T124">
        <v>67.91</v>
      </c>
      <c r="U124">
        <v>52.41</v>
      </c>
      <c r="V124">
        <v>31.7</v>
      </c>
      <c r="W124">
        <v>83.41</v>
      </c>
      <c r="X124">
        <v>123.42</v>
      </c>
      <c r="Y124">
        <v>181.92</v>
      </c>
      <c r="Z124">
        <v>117.68</v>
      </c>
      <c r="AA124">
        <v>95.1</v>
      </c>
      <c r="AB124">
        <v>41.32</v>
      </c>
      <c r="AC124">
        <v>74.03</v>
      </c>
      <c r="AD124">
        <v>73.88</v>
      </c>
      <c r="AE124">
        <v>75.98</v>
      </c>
      <c r="AI124" s="2">
        <v>5000</v>
      </c>
      <c r="AJ124" s="2">
        <f t="shared" si="83"/>
        <v>1080</v>
      </c>
      <c r="AK124" s="2">
        <f t="shared" si="83"/>
        <v>1080</v>
      </c>
      <c r="AL124" s="2">
        <f t="shared" si="83"/>
        <v>1080</v>
      </c>
      <c r="AM124" s="2">
        <f t="shared" si="83"/>
        <v>1080</v>
      </c>
      <c r="AN124" s="2">
        <f t="shared" si="83"/>
        <v>1080</v>
      </c>
      <c r="AO124" s="2">
        <f t="shared" si="83"/>
        <v>1080</v>
      </c>
      <c r="AP124" s="2">
        <v>0</v>
      </c>
      <c r="AQ124" s="2">
        <v>1000</v>
      </c>
      <c r="AR124" s="2">
        <v>0</v>
      </c>
      <c r="AS124" s="2">
        <v>1000</v>
      </c>
      <c r="AT124" s="2">
        <v>0</v>
      </c>
      <c r="AU124" s="2">
        <v>1000</v>
      </c>
      <c r="AV124" s="2">
        <v>1000</v>
      </c>
      <c r="AW124" s="2">
        <v>0</v>
      </c>
      <c r="AX124" s="2">
        <v>0</v>
      </c>
      <c r="AY124" s="2">
        <v>1000</v>
      </c>
      <c r="AZ124" s="2">
        <v>1011</v>
      </c>
      <c r="BA124" s="2">
        <v>935</v>
      </c>
      <c r="BB124" s="2">
        <v>1035</v>
      </c>
      <c r="BC124" s="2">
        <v>-1000</v>
      </c>
      <c r="BD124" s="2">
        <v>1000</v>
      </c>
      <c r="BE124" s="2">
        <v>5000</v>
      </c>
      <c r="BF124" s="2">
        <v>3000</v>
      </c>
      <c r="BG124" s="2">
        <v>5000</v>
      </c>
      <c r="BH124" s="2">
        <v>5000</v>
      </c>
      <c r="BI124" s="2">
        <v>3000</v>
      </c>
      <c r="BJ124" s="2">
        <v>0</v>
      </c>
      <c r="BK124" s="2">
        <v>1000</v>
      </c>
      <c r="BL124" s="2">
        <v>1000</v>
      </c>
      <c r="BO124" s="2">
        <f t="shared" si="44"/>
        <v>0</v>
      </c>
      <c r="BP124" s="2">
        <f t="shared" si="53"/>
        <v>0</v>
      </c>
      <c r="BQ124" s="2">
        <f t="shared" si="54"/>
        <v>0</v>
      </c>
      <c r="BR124" s="2">
        <f t="shared" si="55"/>
        <v>0</v>
      </c>
      <c r="BS124" s="2">
        <f t="shared" si="56"/>
        <v>0</v>
      </c>
      <c r="BT124" s="2">
        <f t="shared" si="57"/>
        <v>0</v>
      </c>
      <c r="BU124" s="2">
        <f t="shared" si="58"/>
        <v>0</v>
      </c>
      <c r="BV124" s="2">
        <f t="shared" si="59"/>
        <v>0</v>
      </c>
      <c r="BW124" s="2">
        <f t="shared" si="60"/>
        <v>0</v>
      </c>
      <c r="BX124" s="2">
        <f t="shared" si="61"/>
        <v>0</v>
      </c>
      <c r="BY124" s="2">
        <f t="shared" si="62"/>
        <v>0</v>
      </c>
      <c r="BZ124" s="2">
        <f t="shared" si="63"/>
        <v>0</v>
      </c>
      <c r="CA124" s="2">
        <f t="shared" si="64"/>
        <v>0</v>
      </c>
      <c r="CB124" s="2">
        <f t="shared" si="65"/>
        <v>0</v>
      </c>
      <c r="CC124" s="2">
        <f t="shared" si="66"/>
        <v>0</v>
      </c>
      <c r="CD124" s="2">
        <f t="shared" si="67"/>
        <v>0</v>
      </c>
      <c r="CE124" s="2">
        <f t="shared" si="68"/>
        <v>0</v>
      </c>
      <c r="CF124" s="2">
        <f t="shared" si="69"/>
        <v>1182.56</v>
      </c>
      <c r="CG124" s="2">
        <f t="shared" si="70"/>
        <v>9575.31</v>
      </c>
      <c r="CH124" s="2">
        <f t="shared" si="71"/>
        <v>-628.91999999999996</v>
      </c>
      <c r="CI124" s="2">
        <f t="shared" si="72"/>
        <v>0</v>
      </c>
      <c r="CJ124" s="2">
        <f t="shared" si="73"/>
        <v>0</v>
      </c>
      <c r="CK124" s="2">
        <f t="shared" si="74"/>
        <v>0</v>
      </c>
      <c r="CL124" s="2">
        <f t="shared" si="75"/>
        <v>0</v>
      </c>
      <c r="CM124" s="2">
        <f t="shared" si="47"/>
        <v>0</v>
      </c>
      <c r="CN124" s="2">
        <f t="shared" si="48"/>
        <v>0</v>
      </c>
      <c r="CO124" s="2">
        <f t="shared" si="49"/>
        <v>0</v>
      </c>
      <c r="CP124" s="2">
        <f t="shared" si="50"/>
        <v>0</v>
      </c>
      <c r="CQ124" s="2">
        <f t="shared" si="51"/>
        <v>0</v>
      </c>
      <c r="CR124" s="2">
        <f t="shared" si="52"/>
        <v>0</v>
      </c>
      <c r="CV124" t="s">
        <v>64</v>
      </c>
      <c r="CW124" t="s">
        <v>197</v>
      </c>
      <c r="CX124" t="s">
        <v>3</v>
      </c>
      <c r="CY124" s="4">
        <v>43224</v>
      </c>
      <c r="CZ124" t="s">
        <v>65</v>
      </c>
      <c r="DA124" t="s">
        <v>66</v>
      </c>
      <c r="DB124">
        <v>10</v>
      </c>
      <c r="DC124">
        <v>327.96</v>
      </c>
      <c r="DD124" t="s">
        <v>69</v>
      </c>
      <c r="DE124" t="s">
        <v>70</v>
      </c>
      <c r="DF124">
        <v>3279.6</v>
      </c>
    </row>
    <row r="125" spans="1:110" x14ac:dyDescent="0.25">
      <c r="A125" s="1">
        <v>42915</v>
      </c>
      <c r="B125">
        <v>139.9</v>
      </c>
      <c r="C125">
        <v>81.760000000000005</v>
      </c>
      <c r="D125">
        <v>190.52</v>
      </c>
      <c r="E125">
        <v>101.33</v>
      </c>
      <c r="F125">
        <v>29.71</v>
      </c>
      <c r="G125">
        <v>97.36</v>
      </c>
      <c r="H125">
        <v>102.47</v>
      </c>
      <c r="I125">
        <v>1</v>
      </c>
      <c r="J125">
        <v>219.92</v>
      </c>
      <c r="K125">
        <v>147.18</v>
      </c>
      <c r="L125">
        <v>142.81</v>
      </c>
      <c r="M125">
        <v>32.08</v>
      </c>
      <c r="N125">
        <v>127.54</v>
      </c>
      <c r="O125">
        <v>87.4</v>
      </c>
      <c r="P125">
        <v>42.64</v>
      </c>
      <c r="Q125">
        <v>147.59</v>
      </c>
      <c r="R125">
        <v>198.93</v>
      </c>
      <c r="S125">
        <v>61.46</v>
      </c>
      <c r="T125">
        <v>66.63</v>
      </c>
      <c r="U125">
        <v>52.22</v>
      </c>
      <c r="V125">
        <v>31.59</v>
      </c>
      <c r="W125">
        <v>82.11</v>
      </c>
      <c r="X125">
        <v>122.08</v>
      </c>
      <c r="Y125">
        <v>181.5</v>
      </c>
      <c r="Z125">
        <v>116.86</v>
      </c>
      <c r="AA125">
        <v>93.32</v>
      </c>
      <c r="AB125">
        <v>40.93</v>
      </c>
      <c r="AC125">
        <v>75.260000000000005</v>
      </c>
      <c r="AD125">
        <v>73.319999999999993</v>
      </c>
      <c r="AE125">
        <v>75.209999999999994</v>
      </c>
      <c r="AI125" s="2">
        <v>5000</v>
      </c>
      <c r="AJ125" s="2">
        <f t="shared" si="83"/>
        <v>1080</v>
      </c>
      <c r="AK125" s="2">
        <f t="shared" si="83"/>
        <v>1080</v>
      </c>
      <c r="AL125" s="2">
        <f t="shared" si="83"/>
        <v>1080</v>
      </c>
      <c r="AM125" s="2">
        <f t="shared" si="83"/>
        <v>1080</v>
      </c>
      <c r="AN125" s="2">
        <f t="shared" si="83"/>
        <v>1080</v>
      </c>
      <c r="AO125" s="2">
        <f t="shared" si="83"/>
        <v>1080</v>
      </c>
      <c r="AP125" s="2">
        <v>0</v>
      </c>
      <c r="AQ125" s="2">
        <v>1000</v>
      </c>
      <c r="AR125" s="2">
        <v>0</v>
      </c>
      <c r="AS125" s="2">
        <v>1000</v>
      </c>
      <c r="AT125" s="2">
        <v>0</v>
      </c>
      <c r="AU125" s="2">
        <v>1000</v>
      </c>
      <c r="AV125" s="2">
        <v>1000</v>
      </c>
      <c r="AW125" s="2">
        <v>0</v>
      </c>
      <c r="AX125" s="2">
        <v>0</v>
      </c>
      <c r="AY125" s="2">
        <v>1000</v>
      </c>
      <c r="AZ125" s="2">
        <v>950</v>
      </c>
      <c r="BA125" s="2">
        <v>986</v>
      </c>
      <c r="BB125" s="2">
        <v>1037</v>
      </c>
      <c r="BC125" s="2">
        <v>-1000</v>
      </c>
      <c r="BD125" s="2">
        <v>1000</v>
      </c>
      <c r="BE125" s="2">
        <v>5000</v>
      </c>
      <c r="BF125" s="2">
        <v>3000</v>
      </c>
      <c r="BG125" s="2">
        <v>5000</v>
      </c>
      <c r="BH125" s="2">
        <v>5000</v>
      </c>
      <c r="BI125" s="2">
        <v>3000</v>
      </c>
      <c r="BJ125" s="2">
        <v>0</v>
      </c>
      <c r="BK125" s="2">
        <v>1000</v>
      </c>
      <c r="BL125" s="2">
        <v>1000</v>
      </c>
      <c r="BO125" s="2">
        <f t="shared" si="44"/>
        <v>0</v>
      </c>
      <c r="BP125" s="2">
        <f t="shared" si="53"/>
        <v>0</v>
      </c>
      <c r="BQ125" s="2">
        <f t="shared" si="54"/>
        <v>0</v>
      </c>
      <c r="BR125" s="2">
        <f t="shared" si="55"/>
        <v>0</v>
      </c>
      <c r="BS125" s="2">
        <f t="shared" si="56"/>
        <v>0</v>
      </c>
      <c r="BT125" s="2">
        <f t="shared" si="57"/>
        <v>0</v>
      </c>
      <c r="BU125" s="2">
        <f t="shared" si="58"/>
        <v>0</v>
      </c>
      <c r="BV125" s="2">
        <f t="shared" si="59"/>
        <v>0</v>
      </c>
      <c r="BW125" s="2">
        <f t="shared" si="60"/>
        <v>0</v>
      </c>
      <c r="BX125" s="2">
        <f t="shared" si="61"/>
        <v>0</v>
      </c>
      <c r="BY125" s="2">
        <f t="shared" si="62"/>
        <v>0</v>
      </c>
      <c r="BZ125" s="2">
        <f t="shared" si="63"/>
        <v>0</v>
      </c>
      <c r="CA125" s="2">
        <f t="shared" si="64"/>
        <v>0</v>
      </c>
      <c r="CB125" s="2">
        <f t="shared" si="65"/>
        <v>0</v>
      </c>
      <c r="CC125" s="2">
        <f t="shared" si="66"/>
        <v>0</v>
      </c>
      <c r="CD125" s="2">
        <f t="shared" si="67"/>
        <v>0</v>
      </c>
      <c r="CE125" s="2">
        <f t="shared" si="68"/>
        <v>0</v>
      </c>
      <c r="CF125" s="2">
        <f t="shared" si="69"/>
        <v>3749.06</v>
      </c>
      <c r="CG125" s="2">
        <f t="shared" si="70"/>
        <v>-3398.1299999999997</v>
      </c>
      <c r="CH125" s="2">
        <f t="shared" si="71"/>
        <v>-104.44</v>
      </c>
      <c r="CI125" s="2">
        <f t="shared" si="72"/>
        <v>0</v>
      </c>
      <c r="CJ125" s="2">
        <f t="shared" si="73"/>
        <v>0</v>
      </c>
      <c r="CK125" s="2">
        <f t="shared" si="74"/>
        <v>0</v>
      </c>
      <c r="CL125" s="2">
        <f t="shared" si="75"/>
        <v>0</v>
      </c>
      <c r="CM125" s="2">
        <f t="shared" si="47"/>
        <v>0</v>
      </c>
      <c r="CN125" s="2">
        <f t="shared" si="48"/>
        <v>0</v>
      </c>
      <c r="CO125" s="2">
        <f t="shared" si="49"/>
        <v>0</v>
      </c>
      <c r="CP125" s="2">
        <f t="shared" si="50"/>
        <v>0</v>
      </c>
      <c r="CQ125" s="2">
        <f t="shared" si="51"/>
        <v>0</v>
      </c>
      <c r="CR125" s="2">
        <f t="shared" si="52"/>
        <v>0</v>
      </c>
      <c r="CV125" t="s">
        <v>64</v>
      </c>
      <c r="CW125" t="s">
        <v>198</v>
      </c>
      <c r="CX125" t="s">
        <v>3</v>
      </c>
      <c r="CY125" s="4">
        <v>43244</v>
      </c>
      <c r="CZ125" t="s">
        <v>65</v>
      </c>
      <c r="DA125" t="s">
        <v>66</v>
      </c>
      <c r="DB125">
        <v>10</v>
      </c>
      <c r="DC125">
        <v>353.82</v>
      </c>
      <c r="DD125" t="s">
        <v>69</v>
      </c>
      <c r="DE125" t="s">
        <v>70</v>
      </c>
      <c r="DF125">
        <v>3538.2</v>
      </c>
    </row>
    <row r="126" spans="1:110" x14ac:dyDescent="0.25">
      <c r="A126" s="1">
        <v>42916</v>
      </c>
      <c r="B126">
        <v>140.22999999999999</v>
      </c>
      <c r="C126">
        <v>82.36</v>
      </c>
      <c r="D126">
        <v>190.8</v>
      </c>
      <c r="E126">
        <v>103.07</v>
      </c>
      <c r="F126">
        <v>29.61</v>
      </c>
      <c r="G126">
        <v>97.55</v>
      </c>
      <c r="H126">
        <v>102.99</v>
      </c>
      <c r="I126">
        <v>1</v>
      </c>
      <c r="J126">
        <v>217.46</v>
      </c>
      <c r="K126">
        <v>148.38</v>
      </c>
      <c r="L126">
        <v>142.53</v>
      </c>
      <c r="M126">
        <v>32.270000000000003</v>
      </c>
      <c r="N126">
        <v>127.2</v>
      </c>
      <c r="O126">
        <v>87.64</v>
      </c>
      <c r="P126">
        <v>42.66</v>
      </c>
      <c r="Q126">
        <v>147.62</v>
      </c>
      <c r="R126">
        <v>199.26</v>
      </c>
      <c r="S126">
        <v>61.22</v>
      </c>
      <c r="T126">
        <v>67.06</v>
      </c>
      <c r="U126">
        <v>57.95</v>
      </c>
      <c r="V126">
        <v>31.55</v>
      </c>
      <c r="W126">
        <v>82.26</v>
      </c>
      <c r="X126">
        <v>122.22</v>
      </c>
      <c r="Y126">
        <v>181.65</v>
      </c>
      <c r="Z126">
        <v>117.3</v>
      </c>
      <c r="AA126">
        <v>92.68</v>
      </c>
      <c r="AB126">
        <v>41.16</v>
      </c>
      <c r="AC126">
        <v>75.2</v>
      </c>
      <c r="AD126">
        <v>73.08</v>
      </c>
      <c r="AE126">
        <v>75.23</v>
      </c>
      <c r="AI126" s="2">
        <v>5000</v>
      </c>
      <c r="AJ126" s="2">
        <f t="shared" si="83"/>
        <v>1080</v>
      </c>
      <c r="AK126" s="2">
        <f t="shared" si="83"/>
        <v>1080</v>
      </c>
      <c r="AL126" s="2">
        <f t="shared" si="83"/>
        <v>1080</v>
      </c>
      <c r="AM126" s="2">
        <f t="shared" si="83"/>
        <v>1080</v>
      </c>
      <c r="AN126" s="2">
        <f t="shared" si="83"/>
        <v>1080</v>
      </c>
      <c r="AO126" s="2">
        <f t="shared" si="83"/>
        <v>1080</v>
      </c>
      <c r="AP126" s="2">
        <v>0</v>
      </c>
      <c r="AQ126" s="2">
        <v>1000</v>
      </c>
      <c r="AR126" s="2">
        <v>0</v>
      </c>
      <c r="AS126" s="2">
        <v>1000</v>
      </c>
      <c r="AT126" s="2">
        <v>0</v>
      </c>
      <c r="AU126" s="2">
        <v>1000</v>
      </c>
      <c r="AV126" s="2">
        <v>1000</v>
      </c>
      <c r="AW126" s="2">
        <v>0</v>
      </c>
      <c r="AX126" s="2">
        <v>0</v>
      </c>
      <c r="AY126" s="2">
        <v>1000</v>
      </c>
      <c r="AZ126" s="2">
        <v>1033</v>
      </c>
      <c r="BA126" s="2">
        <v>966</v>
      </c>
      <c r="BB126" s="2">
        <v>1091</v>
      </c>
      <c r="BC126" s="2">
        <v>-1000</v>
      </c>
      <c r="BD126" s="2">
        <v>1000</v>
      </c>
      <c r="BE126" s="2">
        <v>5000</v>
      </c>
      <c r="BF126" s="2">
        <v>3000</v>
      </c>
      <c r="BG126" s="2">
        <v>5000</v>
      </c>
      <c r="BH126" s="2">
        <v>5000</v>
      </c>
      <c r="BI126" s="2">
        <v>3000</v>
      </c>
      <c r="BJ126" s="2">
        <v>0</v>
      </c>
      <c r="BK126" s="2">
        <v>1000</v>
      </c>
      <c r="BL126" s="2">
        <v>1000</v>
      </c>
      <c r="BO126" s="2">
        <f t="shared" si="44"/>
        <v>0</v>
      </c>
      <c r="BP126" s="2">
        <f t="shared" si="53"/>
        <v>0</v>
      </c>
      <c r="BQ126" s="2">
        <f t="shared" si="54"/>
        <v>0</v>
      </c>
      <c r="BR126" s="2">
        <f t="shared" si="55"/>
        <v>0</v>
      </c>
      <c r="BS126" s="2">
        <f t="shared" si="56"/>
        <v>0</v>
      </c>
      <c r="BT126" s="2">
        <f t="shared" si="57"/>
        <v>0</v>
      </c>
      <c r="BU126" s="2">
        <f t="shared" si="58"/>
        <v>0</v>
      </c>
      <c r="BV126" s="2">
        <f t="shared" si="59"/>
        <v>0</v>
      </c>
      <c r="BW126" s="2">
        <f t="shared" si="60"/>
        <v>0</v>
      </c>
      <c r="BX126" s="2">
        <f t="shared" si="61"/>
        <v>0</v>
      </c>
      <c r="BY126" s="2">
        <f t="shared" si="62"/>
        <v>0</v>
      </c>
      <c r="BZ126" s="2">
        <f t="shared" si="63"/>
        <v>0</v>
      </c>
      <c r="CA126" s="2">
        <f t="shared" si="64"/>
        <v>0</v>
      </c>
      <c r="CB126" s="2">
        <f t="shared" si="65"/>
        <v>0</v>
      </c>
      <c r="CC126" s="2">
        <f t="shared" si="66"/>
        <v>0</v>
      </c>
      <c r="CD126" s="2">
        <f t="shared" si="67"/>
        <v>0</v>
      </c>
      <c r="CE126" s="2">
        <f t="shared" si="68"/>
        <v>0</v>
      </c>
      <c r="CF126" s="2">
        <f t="shared" si="69"/>
        <v>-5081.26</v>
      </c>
      <c r="CG126" s="2">
        <f t="shared" si="70"/>
        <v>1341.2</v>
      </c>
      <c r="CH126" s="2">
        <f t="shared" si="71"/>
        <v>-3129.3</v>
      </c>
      <c r="CI126" s="2">
        <f t="shared" si="72"/>
        <v>0</v>
      </c>
      <c r="CJ126" s="2">
        <f t="shared" si="73"/>
        <v>0</v>
      </c>
      <c r="CK126" s="2">
        <f t="shared" si="74"/>
        <v>0</v>
      </c>
      <c r="CL126" s="2">
        <f t="shared" si="75"/>
        <v>0</v>
      </c>
      <c r="CM126" s="2">
        <f t="shared" si="47"/>
        <v>0</v>
      </c>
      <c r="CN126" s="2">
        <f t="shared" si="48"/>
        <v>0</v>
      </c>
      <c r="CO126" s="2">
        <f t="shared" si="49"/>
        <v>0</v>
      </c>
      <c r="CP126" s="2">
        <f t="shared" si="50"/>
        <v>0</v>
      </c>
      <c r="CQ126" s="2">
        <f t="shared" si="51"/>
        <v>0</v>
      </c>
      <c r="CR126" s="2">
        <f t="shared" si="52"/>
        <v>0</v>
      </c>
      <c r="CV126" t="s">
        <v>64</v>
      </c>
      <c r="CW126" t="s">
        <v>199</v>
      </c>
      <c r="CX126" t="s">
        <v>3</v>
      </c>
      <c r="CY126" s="4">
        <v>43265</v>
      </c>
      <c r="CZ126" t="s">
        <v>65</v>
      </c>
      <c r="DA126" t="s">
        <v>66</v>
      </c>
      <c r="DB126">
        <v>10</v>
      </c>
      <c r="DC126">
        <v>357.19</v>
      </c>
      <c r="DD126" t="s">
        <v>69</v>
      </c>
      <c r="DE126" t="s">
        <v>70</v>
      </c>
      <c r="DF126">
        <v>3571.9</v>
      </c>
    </row>
    <row r="127" spans="1:110" x14ac:dyDescent="0.25">
      <c r="A127" s="1">
        <v>42919</v>
      </c>
      <c r="B127">
        <v>139.72</v>
      </c>
      <c r="C127">
        <v>83.2</v>
      </c>
      <c r="D127">
        <v>191.61</v>
      </c>
      <c r="E127">
        <v>102.6</v>
      </c>
      <c r="F127">
        <v>29.64</v>
      </c>
      <c r="G127">
        <v>99.39</v>
      </c>
      <c r="H127">
        <v>104.16</v>
      </c>
      <c r="I127">
        <v>1</v>
      </c>
      <c r="J127">
        <v>222.73</v>
      </c>
      <c r="K127">
        <v>148.97</v>
      </c>
      <c r="L127">
        <v>144.15</v>
      </c>
      <c r="M127">
        <v>32</v>
      </c>
      <c r="N127">
        <v>127.79</v>
      </c>
      <c r="O127">
        <v>89.42</v>
      </c>
      <c r="P127">
        <v>42.57</v>
      </c>
      <c r="Q127">
        <v>146.97999999999999</v>
      </c>
      <c r="R127">
        <v>200.83</v>
      </c>
      <c r="S127">
        <v>61.39</v>
      </c>
      <c r="T127">
        <v>66.319999999999993</v>
      </c>
      <c r="U127">
        <v>57.6</v>
      </c>
      <c r="V127">
        <v>31.77</v>
      </c>
      <c r="W127">
        <v>82.81</v>
      </c>
      <c r="X127">
        <v>123</v>
      </c>
      <c r="Y127">
        <v>182.85</v>
      </c>
      <c r="Z127">
        <v>117.27</v>
      </c>
      <c r="AA127">
        <v>92.26</v>
      </c>
      <c r="AB127">
        <v>41.47</v>
      </c>
      <c r="AC127">
        <v>75.03</v>
      </c>
      <c r="AD127">
        <v>72.77</v>
      </c>
      <c r="AE127">
        <v>76.510000000000005</v>
      </c>
      <c r="AI127" s="2">
        <v>5000</v>
      </c>
      <c r="AJ127" s="2">
        <f t="shared" si="83"/>
        <v>1080</v>
      </c>
      <c r="AK127" s="2">
        <f t="shared" si="83"/>
        <v>1080</v>
      </c>
      <c r="AL127" s="2">
        <f t="shared" si="83"/>
        <v>1080</v>
      </c>
      <c r="AM127" s="2">
        <f t="shared" si="83"/>
        <v>1080</v>
      </c>
      <c r="AN127" s="2">
        <f t="shared" si="83"/>
        <v>1080</v>
      </c>
      <c r="AO127" s="2">
        <f t="shared" si="83"/>
        <v>1080</v>
      </c>
      <c r="AP127" s="2">
        <v>0</v>
      </c>
      <c r="AQ127" s="2">
        <v>1000</v>
      </c>
      <c r="AR127" s="2">
        <v>0</v>
      </c>
      <c r="AS127" s="2">
        <v>1000</v>
      </c>
      <c r="AT127" s="2">
        <v>0</v>
      </c>
      <c r="AU127" s="2">
        <v>1000</v>
      </c>
      <c r="AV127" s="2">
        <v>1000</v>
      </c>
      <c r="AW127" s="2">
        <v>0</v>
      </c>
      <c r="AX127" s="2">
        <v>0</v>
      </c>
      <c r="AY127" s="2">
        <v>1000</v>
      </c>
      <c r="AZ127" s="2">
        <v>952</v>
      </c>
      <c r="BA127" s="2">
        <v>1062</v>
      </c>
      <c r="BB127" s="2">
        <v>1037</v>
      </c>
      <c r="BC127" s="2">
        <v>-1000</v>
      </c>
      <c r="BD127" s="2">
        <v>1000</v>
      </c>
      <c r="BE127" s="2">
        <v>5000</v>
      </c>
      <c r="BF127" s="2">
        <v>3000</v>
      </c>
      <c r="BG127" s="2">
        <v>5000</v>
      </c>
      <c r="BH127" s="2">
        <v>2500</v>
      </c>
      <c r="BI127" s="2">
        <v>3000</v>
      </c>
      <c r="BJ127" s="2">
        <v>0</v>
      </c>
      <c r="BK127" s="2">
        <v>1000</v>
      </c>
      <c r="BL127" s="2">
        <v>1000</v>
      </c>
      <c r="BO127" s="2">
        <f t="shared" si="44"/>
        <v>0</v>
      </c>
      <c r="BP127" s="2">
        <f t="shared" si="53"/>
        <v>0</v>
      </c>
      <c r="BQ127" s="2">
        <f t="shared" si="54"/>
        <v>0</v>
      </c>
      <c r="BR127" s="2">
        <f t="shared" si="55"/>
        <v>0</v>
      </c>
      <c r="BS127" s="2">
        <f t="shared" si="56"/>
        <v>0</v>
      </c>
      <c r="BT127" s="2">
        <f t="shared" si="57"/>
        <v>0</v>
      </c>
      <c r="BU127" s="2">
        <f t="shared" si="58"/>
        <v>0</v>
      </c>
      <c r="BV127" s="2">
        <f t="shared" si="59"/>
        <v>0</v>
      </c>
      <c r="BW127" s="2">
        <f t="shared" si="60"/>
        <v>0</v>
      </c>
      <c r="BX127" s="2">
        <f t="shared" si="61"/>
        <v>0</v>
      </c>
      <c r="BY127" s="2">
        <f t="shared" si="62"/>
        <v>0</v>
      </c>
      <c r="BZ127" s="2">
        <f t="shared" si="63"/>
        <v>0</v>
      </c>
      <c r="CA127" s="2">
        <f t="shared" si="64"/>
        <v>0</v>
      </c>
      <c r="CB127" s="2">
        <f t="shared" si="65"/>
        <v>0</v>
      </c>
      <c r="CC127" s="2">
        <f t="shared" si="66"/>
        <v>0</v>
      </c>
      <c r="CD127" s="2">
        <f t="shared" si="67"/>
        <v>0</v>
      </c>
      <c r="CE127" s="2">
        <f t="shared" si="68"/>
        <v>0</v>
      </c>
      <c r="CF127" s="2">
        <f t="shared" si="69"/>
        <v>4972.59</v>
      </c>
      <c r="CG127" s="2">
        <f t="shared" si="70"/>
        <v>-6366.7199999999993</v>
      </c>
      <c r="CH127" s="2">
        <f t="shared" si="71"/>
        <v>3110.4</v>
      </c>
      <c r="CI127" s="2">
        <f t="shared" si="72"/>
        <v>0</v>
      </c>
      <c r="CJ127" s="2">
        <f t="shared" si="73"/>
        <v>0</v>
      </c>
      <c r="CK127" s="2">
        <f t="shared" si="74"/>
        <v>0</v>
      </c>
      <c r="CL127" s="2">
        <f t="shared" si="75"/>
        <v>0</v>
      </c>
      <c r="CM127" s="2">
        <f t="shared" si="47"/>
        <v>0</v>
      </c>
      <c r="CN127" s="2">
        <f t="shared" si="48"/>
        <v>230650</v>
      </c>
      <c r="CO127" s="2">
        <f t="shared" si="49"/>
        <v>0</v>
      </c>
      <c r="CP127" s="2">
        <f t="shared" si="50"/>
        <v>0</v>
      </c>
      <c r="CQ127" s="2">
        <f t="shared" si="51"/>
        <v>0</v>
      </c>
      <c r="CR127" s="2">
        <f t="shared" si="52"/>
        <v>0</v>
      </c>
      <c r="CV127" t="s">
        <v>64</v>
      </c>
      <c r="CW127" t="s">
        <v>200</v>
      </c>
      <c r="CX127" t="s">
        <v>3</v>
      </c>
      <c r="CY127" s="4">
        <v>43286</v>
      </c>
      <c r="CZ127" t="s">
        <v>65</v>
      </c>
      <c r="DA127" t="s">
        <v>66</v>
      </c>
      <c r="DB127">
        <v>10</v>
      </c>
      <c r="DC127">
        <v>328.37</v>
      </c>
      <c r="DD127" t="s">
        <v>69</v>
      </c>
      <c r="DE127" t="s">
        <v>70</v>
      </c>
      <c r="DF127">
        <v>3283.7</v>
      </c>
    </row>
    <row r="128" spans="1:110" x14ac:dyDescent="0.25">
      <c r="A128" s="1">
        <v>42921</v>
      </c>
      <c r="B128">
        <v>140.30000000000001</v>
      </c>
      <c r="C128">
        <v>83.31</v>
      </c>
      <c r="D128">
        <v>194.72</v>
      </c>
      <c r="E128">
        <v>103.1</v>
      </c>
      <c r="F128">
        <v>29.7</v>
      </c>
      <c r="G128">
        <v>97.82</v>
      </c>
      <c r="H128">
        <v>102.39</v>
      </c>
      <c r="I128">
        <v>1</v>
      </c>
      <c r="J128">
        <v>223.47</v>
      </c>
      <c r="K128">
        <v>147.69</v>
      </c>
      <c r="L128">
        <v>142.38</v>
      </c>
      <c r="M128">
        <v>32.840000000000003</v>
      </c>
      <c r="N128">
        <v>128.5</v>
      </c>
      <c r="O128">
        <v>90.32</v>
      </c>
      <c r="P128">
        <v>42.63</v>
      </c>
      <c r="Q128">
        <v>147.53</v>
      </c>
      <c r="R128">
        <v>200.76</v>
      </c>
      <c r="S128">
        <v>61.28</v>
      </c>
      <c r="T128">
        <v>67.209999999999994</v>
      </c>
      <c r="U128">
        <v>56.53</v>
      </c>
      <c r="V128">
        <v>31.6</v>
      </c>
      <c r="W128">
        <v>82.75</v>
      </c>
      <c r="X128">
        <v>122.06</v>
      </c>
      <c r="Y128">
        <v>184.42</v>
      </c>
      <c r="Z128">
        <v>117.96</v>
      </c>
      <c r="AA128">
        <v>92.91</v>
      </c>
      <c r="AB128">
        <v>41.15</v>
      </c>
      <c r="AC128">
        <v>75.52</v>
      </c>
      <c r="AD128">
        <v>72.73</v>
      </c>
      <c r="AE128">
        <v>75.349999999999994</v>
      </c>
      <c r="AI128" s="2">
        <v>3750</v>
      </c>
      <c r="AJ128" s="2">
        <f t="shared" ref="AJ128:AO128" si="84">AJ127+10</f>
        <v>1090</v>
      </c>
      <c r="AK128" s="2">
        <f t="shared" si="84"/>
        <v>1090</v>
      </c>
      <c r="AL128" s="2">
        <f t="shared" si="84"/>
        <v>1090</v>
      </c>
      <c r="AM128" s="2">
        <f t="shared" si="84"/>
        <v>1090</v>
      </c>
      <c r="AN128" s="2">
        <f t="shared" si="84"/>
        <v>1090</v>
      </c>
      <c r="AO128" s="2">
        <f t="shared" si="84"/>
        <v>1090</v>
      </c>
      <c r="AP128" s="2">
        <v>0</v>
      </c>
      <c r="AQ128" s="2">
        <v>1000</v>
      </c>
      <c r="AR128" s="2">
        <v>0</v>
      </c>
      <c r="AS128" s="2">
        <v>1000</v>
      </c>
      <c r="AT128" s="2">
        <v>0</v>
      </c>
      <c r="AU128" s="2">
        <v>1000</v>
      </c>
      <c r="AV128" s="2">
        <v>1000</v>
      </c>
      <c r="AW128" s="2">
        <v>0</v>
      </c>
      <c r="AX128" s="2">
        <v>0</v>
      </c>
      <c r="AY128" s="2">
        <v>1000</v>
      </c>
      <c r="AZ128" s="2">
        <v>979</v>
      </c>
      <c r="BA128" s="2">
        <v>1018</v>
      </c>
      <c r="BB128" s="2">
        <v>961</v>
      </c>
      <c r="BC128" s="2">
        <v>-1000</v>
      </c>
      <c r="BD128" s="2">
        <v>1000</v>
      </c>
      <c r="BE128" s="2">
        <v>5000</v>
      </c>
      <c r="BF128" s="2">
        <v>3000</v>
      </c>
      <c r="BG128" s="2">
        <v>5000</v>
      </c>
      <c r="BH128" s="2">
        <v>2500</v>
      </c>
      <c r="BI128" s="2">
        <v>3000</v>
      </c>
      <c r="BJ128" s="2">
        <v>0</v>
      </c>
      <c r="BK128" s="2">
        <v>1000</v>
      </c>
      <c r="BL128" s="2">
        <v>1000</v>
      </c>
      <c r="BO128" s="2">
        <f t="shared" si="44"/>
        <v>175375</v>
      </c>
      <c r="BP128" s="2">
        <f t="shared" si="53"/>
        <v>-833.1</v>
      </c>
      <c r="BQ128" s="2">
        <f t="shared" si="54"/>
        <v>-1947.2</v>
      </c>
      <c r="BR128" s="2">
        <f t="shared" si="55"/>
        <v>-1031</v>
      </c>
      <c r="BS128" s="2">
        <f t="shared" si="56"/>
        <v>-297</v>
      </c>
      <c r="BT128" s="2">
        <f t="shared" si="57"/>
        <v>-978.19999999999993</v>
      </c>
      <c r="BU128" s="2">
        <f t="shared" si="58"/>
        <v>-1023.9</v>
      </c>
      <c r="BV128" s="2">
        <f t="shared" si="59"/>
        <v>0</v>
      </c>
      <c r="BW128" s="2">
        <f t="shared" si="60"/>
        <v>0</v>
      </c>
      <c r="BX128" s="2">
        <f t="shared" si="61"/>
        <v>0</v>
      </c>
      <c r="BY128" s="2">
        <f t="shared" si="62"/>
        <v>0</v>
      </c>
      <c r="BZ128" s="2">
        <f t="shared" si="63"/>
        <v>0</v>
      </c>
      <c r="CA128" s="2">
        <f t="shared" si="64"/>
        <v>0</v>
      </c>
      <c r="CB128" s="2">
        <f t="shared" si="65"/>
        <v>0</v>
      </c>
      <c r="CC128" s="2">
        <f t="shared" si="66"/>
        <v>0</v>
      </c>
      <c r="CD128" s="2">
        <f t="shared" si="67"/>
        <v>0</v>
      </c>
      <c r="CE128" s="2">
        <f t="shared" si="68"/>
        <v>0</v>
      </c>
      <c r="CF128" s="2">
        <f t="shared" si="69"/>
        <v>-1654.56</v>
      </c>
      <c r="CG128" s="2">
        <f t="shared" si="70"/>
        <v>2957.24</v>
      </c>
      <c r="CH128" s="2">
        <f t="shared" si="71"/>
        <v>4296.28</v>
      </c>
      <c r="CI128" s="2">
        <f t="shared" si="72"/>
        <v>0</v>
      </c>
      <c r="CJ128" s="2">
        <f t="shared" si="73"/>
        <v>0</v>
      </c>
      <c r="CK128" s="2">
        <f t="shared" si="74"/>
        <v>0</v>
      </c>
      <c r="CL128" s="2">
        <f t="shared" si="75"/>
        <v>0</v>
      </c>
      <c r="CM128" s="2">
        <f t="shared" si="47"/>
        <v>0</v>
      </c>
      <c r="CN128" s="2">
        <f t="shared" si="48"/>
        <v>0</v>
      </c>
      <c r="CO128" s="2">
        <f t="shared" si="49"/>
        <v>0</v>
      </c>
      <c r="CP128" s="2">
        <f t="shared" si="50"/>
        <v>0</v>
      </c>
      <c r="CQ128" s="2">
        <f t="shared" si="51"/>
        <v>0</v>
      </c>
      <c r="CR128" s="2">
        <f t="shared" si="52"/>
        <v>0</v>
      </c>
      <c r="CV128" t="s">
        <v>64</v>
      </c>
      <c r="CW128" t="s">
        <v>201</v>
      </c>
      <c r="CX128" t="s">
        <v>3</v>
      </c>
      <c r="CY128" s="4">
        <v>43306</v>
      </c>
      <c r="CZ128" t="s">
        <v>65</v>
      </c>
      <c r="DA128" t="s">
        <v>66</v>
      </c>
      <c r="DB128">
        <v>10</v>
      </c>
      <c r="DC128">
        <v>350.78</v>
      </c>
      <c r="DD128" t="s">
        <v>69</v>
      </c>
      <c r="DE128" t="s">
        <v>70</v>
      </c>
      <c r="DF128">
        <v>3507.7999999999997</v>
      </c>
    </row>
    <row r="129" spans="1:110" x14ac:dyDescent="0.25">
      <c r="A129" s="1">
        <v>42922</v>
      </c>
      <c r="B129">
        <v>138.97</v>
      </c>
      <c r="C129">
        <v>82.18</v>
      </c>
      <c r="D129">
        <v>194.4</v>
      </c>
      <c r="E129">
        <v>102.16</v>
      </c>
      <c r="F129">
        <v>29.33</v>
      </c>
      <c r="G129">
        <v>97.08</v>
      </c>
      <c r="H129">
        <v>100.92</v>
      </c>
      <c r="I129">
        <v>1</v>
      </c>
      <c r="J129">
        <v>222.15</v>
      </c>
      <c r="K129">
        <v>147.07</v>
      </c>
      <c r="L129">
        <v>141.16999999999999</v>
      </c>
      <c r="M129">
        <v>32.17</v>
      </c>
      <c r="N129">
        <v>127.42</v>
      </c>
      <c r="O129">
        <v>90.03</v>
      </c>
      <c r="P129">
        <v>42.23</v>
      </c>
      <c r="Q129">
        <v>147.55000000000001</v>
      </c>
      <c r="R129">
        <v>199.1</v>
      </c>
      <c r="S129">
        <v>60.27</v>
      </c>
      <c r="T129">
        <v>66.709999999999994</v>
      </c>
      <c r="U129">
        <v>56.14</v>
      </c>
      <c r="V129">
        <v>31.2</v>
      </c>
      <c r="W129">
        <v>82.46</v>
      </c>
      <c r="X129">
        <v>121.88</v>
      </c>
      <c r="Y129">
        <v>183.14</v>
      </c>
      <c r="Z129">
        <v>117.09</v>
      </c>
      <c r="AA129">
        <v>92.16</v>
      </c>
      <c r="AB129">
        <v>40.630000000000003</v>
      </c>
      <c r="AC129">
        <v>74.63</v>
      </c>
      <c r="AD129">
        <v>72.88</v>
      </c>
      <c r="AE129">
        <v>74.67</v>
      </c>
      <c r="AI129" s="2">
        <v>2500</v>
      </c>
      <c r="AJ129" s="2">
        <f t="shared" ref="AJ129:AO129" si="85">AJ128</f>
        <v>1090</v>
      </c>
      <c r="AK129" s="2">
        <f t="shared" si="85"/>
        <v>1090</v>
      </c>
      <c r="AL129" s="2">
        <f t="shared" si="85"/>
        <v>1090</v>
      </c>
      <c r="AM129" s="2">
        <f t="shared" si="85"/>
        <v>1090</v>
      </c>
      <c r="AN129" s="2">
        <f t="shared" si="85"/>
        <v>1090</v>
      </c>
      <c r="AO129" s="2">
        <f t="shared" si="85"/>
        <v>1090</v>
      </c>
      <c r="AP129" s="2">
        <v>0</v>
      </c>
      <c r="AQ129" s="2">
        <v>1000</v>
      </c>
      <c r="AR129" s="2">
        <v>0</v>
      </c>
      <c r="AS129" s="2">
        <v>1000</v>
      </c>
      <c r="AT129" s="2">
        <v>0</v>
      </c>
      <c r="AU129" s="2">
        <v>1000</v>
      </c>
      <c r="AV129" s="2">
        <v>1000</v>
      </c>
      <c r="AW129" s="2">
        <v>0</v>
      </c>
      <c r="AX129" s="2">
        <v>0</v>
      </c>
      <c r="AY129" s="2">
        <v>1000</v>
      </c>
      <c r="AZ129" s="2">
        <v>1046</v>
      </c>
      <c r="BA129" s="2">
        <v>1077</v>
      </c>
      <c r="BB129" s="2">
        <v>921</v>
      </c>
      <c r="BC129" s="2">
        <v>-1000</v>
      </c>
      <c r="BD129" s="2">
        <v>1000</v>
      </c>
      <c r="BE129" s="2">
        <v>5000</v>
      </c>
      <c r="BF129" s="2">
        <v>3000</v>
      </c>
      <c r="BG129" s="2">
        <v>5000</v>
      </c>
      <c r="BH129" s="2">
        <v>2500</v>
      </c>
      <c r="BI129" s="2">
        <v>3000</v>
      </c>
      <c r="BJ129" s="2">
        <v>0</v>
      </c>
      <c r="BK129" s="2">
        <v>1000</v>
      </c>
      <c r="BL129" s="2">
        <v>1000</v>
      </c>
      <c r="BO129" s="2">
        <f t="shared" si="44"/>
        <v>173712.5</v>
      </c>
      <c r="BP129" s="2">
        <f t="shared" si="53"/>
        <v>0</v>
      </c>
      <c r="BQ129" s="2">
        <f t="shared" si="54"/>
        <v>0</v>
      </c>
      <c r="BR129" s="2">
        <f t="shared" si="55"/>
        <v>0</v>
      </c>
      <c r="BS129" s="2">
        <f t="shared" si="56"/>
        <v>0</v>
      </c>
      <c r="BT129" s="2">
        <f t="shared" si="57"/>
        <v>0</v>
      </c>
      <c r="BU129" s="2">
        <f t="shared" si="58"/>
        <v>0</v>
      </c>
      <c r="BV129" s="2">
        <f t="shared" si="59"/>
        <v>0</v>
      </c>
      <c r="BW129" s="2">
        <f t="shared" si="60"/>
        <v>0</v>
      </c>
      <c r="BX129" s="2">
        <f t="shared" si="61"/>
        <v>0</v>
      </c>
      <c r="BY129" s="2">
        <f t="shared" si="62"/>
        <v>0</v>
      </c>
      <c r="BZ129" s="2">
        <f t="shared" si="63"/>
        <v>0</v>
      </c>
      <c r="CA129" s="2">
        <f t="shared" si="64"/>
        <v>0</v>
      </c>
      <c r="CB129" s="2">
        <f t="shared" si="65"/>
        <v>0</v>
      </c>
      <c r="CC129" s="2">
        <f t="shared" si="66"/>
        <v>0</v>
      </c>
      <c r="CD129" s="2">
        <f t="shared" si="67"/>
        <v>0</v>
      </c>
      <c r="CE129" s="2">
        <f t="shared" si="68"/>
        <v>0</v>
      </c>
      <c r="CF129" s="2">
        <f t="shared" si="69"/>
        <v>-4038.09</v>
      </c>
      <c r="CG129" s="2">
        <f t="shared" si="70"/>
        <v>-3935.8899999999994</v>
      </c>
      <c r="CH129" s="2">
        <f t="shared" si="71"/>
        <v>2245.6</v>
      </c>
      <c r="CI129" s="2">
        <f t="shared" si="72"/>
        <v>0</v>
      </c>
      <c r="CJ129" s="2">
        <f t="shared" si="73"/>
        <v>0</v>
      </c>
      <c r="CK129" s="2">
        <f t="shared" si="74"/>
        <v>0</v>
      </c>
      <c r="CL129" s="2">
        <f t="shared" si="75"/>
        <v>0</v>
      </c>
      <c r="CM129" s="2">
        <f t="shared" si="47"/>
        <v>0</v>
      </c>
      <c r="CN129" s="2">
        <f t="shared" si="48"/>
        <v>0</v>
      </c>
      <c r="CO129" s="2">
        <f t="shared" si="49"/>
        <v>0</v>
      </c>
      <c r="CP129" s="2">
        <f t="shared" si="50"/>
        <v>0</v>
      </c>
      <c r="CQ129" s="2">
        <f t="shared" si="51"/>
        <v>0</v>
      </c>
      <c r="CR129" s="2">
        <f t="shared" si="52"/>
        <v>0</v>
      </c>
      <c r="CV129" t="s">
        <v>64</v>
      </c>
      <c r="CW129" t="s">
        <v>202</v>
      </c>
      <c r="CX129" t="s">
        <v>3</v>
      </c>
      <c r="CY129" s="4">
        <v>43326</v>
      </c>
      <c r="CZ129" t="s">
        <v>65</v>
      </c>
      <c r="DA129" t="s">
        <v>66</v>
      </c>
      <c r="DB129">
        <v>10</v>
      </c>
      <c r="DC129">
        <v>335.89</v>
      </c>
      <c r="DD129" t="s">
        <v>69</v>
      </c>
      <c r="DE129" t="s">
        <v>70</v>
      </c>
      <c r="DF129">
        <v>3358.8999999999996</v>
      </c>
    </row>
    <row r="130" spans="1:110" x14ac:dyDescent="0.25">
      <c r="A130" s="1">
        <v>42923</v>
      </c>
      <c r="B130">
        <v>140.38</v>
      </c>
      <c r="C130">
        <v>82.76</v>
      </c>
      <c r="D130">
        <v>195.26</v>
      </c>
      <c r="E130">
        <v>102.56</v>
      </c>
      <c r="F130">
        <v>29.5</v>
      </c>
      <c r="G130">
        <v>96.77</v>
      </c>
      <c r="H130">
        <v>100.9</v>
      </c>
      <c r="I130">
        <v>1</v>
      </c>
      <c r="J130">
        <v>220.77</v>
      </c>
      <c r="K130">
        <v>147.24</v>
      </c>
      <c r="L130">
        <v>141.71</v>
      </c>
      <c r="M130">
        <v>32.4</v>
      </c>
      <c r="N130">
        <v>127.44</v>
      </c>
      <c r="O130">
        <v>90.48</v>
      </c>
      <c r="P130">
        <v>42.22</v>
      </c>
      <c r="Q130">
        <v>150.61000000000001</v>
      </c>
      <c r="R130">
        <v>200.6</v>
      </c>
      <c r="S130">
        <v>60.33</v>
      </c>
      <c r="T130">
        <v>67.58</v>
      </c>
      <c r="U130">
        <v>56.95</v>
      </c>
      <c r="V130">
        <v>31.33</v>
      </c>
      <c r="W130">
        <v>82.73</v>
      </c>
      <c r="X130">
        <v>122.83</v>
      </c>
      <c r="Y130">
        <v>184.14</v>
      </c>
      <c r="Z130">
        <v>117.78</v>
      </c>
      <c r="AA130">
        <v>92.82</v>
      </c>
      <c r="AB130">
        <v>40.590000000000003</v>
      </c>
      <c r="AC130">
        <v>74.39</v>
      </c>
      <c r="AD130">
        <v>72.739999999999995</v>
      </c>
      <c r="AE130">
        <v>74.760000000000005</v>
      </c>
      <c r="AI130" s="2">
        <v>-2500</v>
      </c>
      <c r="AJ130" s="2">
        <f t="shared" si="83"/>
        <v>1090</v>
      </c>
      <c r="AK130" s="2">
        <f t="shared" si="83"/>
        <v>1090</v>
      </c>
      <c r="AL130" s="2">
        <f t="shared" si="83"/>
        <v>1090</v>
      </c>
      <c r="AM130" s="2">
        <f t="shared" si="83"/>
        <v>1090</v>
      </c>
      <c r="AN130" s="2">
        <f t="shared" si="83"/>
        <v>1090</v>
      </c>
      <c r="AO130" s="2">
        <f t="shared" si="83"/>
        <v>1090</v>
      </c>
      <c r="AP130" s="2">
        <v>0</v>
      </c>
      <c r="AQ130" s="2">
        <v>1000</v>
      </c>
      <c r="AR130" s="2">
        <v>0</v>
      </c>
      <c r="AS130" s="2">
        <v>1000</v>
      </c>
      <c r="AT130" s="2">
        <v>0</v>
      </c>
      <c r="AU130" s="2">
        <v>1000</v>
      </c>
      <c r="AV130" s="2">
        <v>1000</v>
      </c>
      <c r="AW130" s="2">
        <v>0</v>
      </c>
      <c r="AX130" s="2">
        <v>0</v>
      </c>
      <c r="AY130" s="2">
        <v>1000</v>
      </c>
      <c r="AZ130" s="2">
        <v>960</v>
      </c>
      <c r="BA130" s="2">
        <v>919</v>
      </c>
      <c r="BB130" s="2">
        <v>966</v>
      </c>
      <c r="BC130" s="2">
        <v>-1000</v>
      </c>
      <c r="BD130" s="2">
        <v>1000</v>
      </c>
      <c r="BE130" s="2">
        <v>5000</v>
      </c>
      <c r="BF130" s="2">
        <v>3000</v>
      </c>
      <c r="BG130" s="2">
        <v>5000</v>
      </c>
      <c r="BH130" s="2">
        <v>2500</v>
      </c>
      <c r="BI130" s="2">
        <v>3000</v>
      </c>
      <c r="BJ130" s="2">
        <v>0</v>
      </c>
      <c r="BK130" s="2">
        <v>1000</v>
      </c>
      <c r="BL130" s="2">
        <v>1000</v>
      </c>
      <c r="BO130" s="2">
        <f t="shared" si="44"/>
        <v>701900</v>
      </c>
      <c r="BP130" s="2">
        <f t="shared" si="53"/>
        <v>0</v>
      </c>
      <c r="BQ130" s="2">
        <f t="shared" si="54"/>
        <v>0</v>
      </c>
      <c r="BR130" s="2">
        <f t="shared" si="55"/>
        <v>0</v>
      </c>
      <c r="BS130" s="2">
        <f t="shared" si="56"/>
        <v>0</v>
      </c>
      <c r="BT130" s="2">
        <f t="shared" si="57"/>
        <v>0</v>
      </c>
      <c r="BU130" s="2">
        <f t="shared" si="58"/>
        <v>0</v>
      </c>
      <c r="BV130" s="2">
        <f t="shared" si="59"/>
        <v>0</v>
      </c>
      <c r="BW130" s="2">
        <f t="shared" si="60"/>
        <v>0</v>
      </c>
      <c r="BX130" s="2">
        <f t="shared" si="61"/>
        <v>0</v>
      </c>
      <c r="BY130" s="2">
        <f t="shared" si="62"/>
        <v>0</v>
      </c>
      <c r="BZ130" s="2">
        <f t="shared" si="63"/>
        <v>0</v>
      </c>
      <c r="CA130" s="2">
        <f t="shared" si="64"/>
        <v>0</v>
      </c>
      <c r="CB130" s="2">
        <f t="shared" si="65"/>
        <v>0</v>
      </c>
      <c r="CC130" s="2">
        <f t="shared" si="66"/>
        <v>0</v>
      </c>
      <c r="CD130" s="2">
        <f t="shared" si="67"/>
        <v>0</v>
      </c>
      <c r="CE130" s="2">
        <f t="shared" si="68"/>
        <v>0</v>
      </c>
      <c r="CF130" s="2">
        <f t="shared" si="69"/>
        <v>5188.38</v>
      </c>
      <c r="CG130" s="2">
        <f t="shared" si="70"/>
        <v>10677.64</v>
      </c>
      <c r="CH130" s="2">
        <f t="shared" si="71"/>
        <v>-2562.75</v>
      </c>
      <c r="CI130" s="2">
        <f t="shared" si="72"/>
        <v>0</v>
      </c>
      <c r="CJ130" s="2">
        <f t="shared" si="73"/>
        <v>0</v>
      </c>
      <c r="CK130" s="2">
        <f t="shared" si="74"/>
        <v>0</v>
      </c>
      <c r="CL130" s="2">
        <f t="shared" si="75"/>
        <v>0</v>
      </c>
      <c r="CM130" s="2">
        <f t="shared" si="47"/>
        <v>0</v>
      </c>
      <c r="CN130" s="2">
        <f t="shared" si="48"/>
        <v>0</v>
      </c>
      <c r="CO130" s="2">
        <f t="shared" si="49"/>
        <v>0</v>
      </c>
      <c r="CP130" s="2">
        <f t="shared" si="50"/>
        <v>0</v>
      </c>
      <c r="CQ130" s="2">
        <f t="shared" si="51"/>
        <v>0</v>
      </c>
      <c r="CR130" s="2">
        <f t="shared" si="52"/>
        <v>0</v>
      </c>
      <c r="CV130" t="s">
        <v>64</v>
      </c>
      <c r="CW130" t="s">
        <v>203</v>
      </c>
      <c r="CX130" t="s">
        <v>3</v>
      </c>
      <c r="CY130" s="4">
        <v>43347</v>
      </c>
      <c r="CZ130" t="s">
        <v>65</v>
      </c>
      <c r="DA130" t="s">
        <v>66</v>
      </c>
      <c r="DB130">
        <v>10</v>
      </c>
      <c r="DC130">
        <v>342.94</v>
      </c>
      <c r="DD130" t="s">
        <v>69</v>
      </c>
      <c r="DE130" t="s">
        <v>70</v>
      </c>
      <c r="DF130">
        <v>3429.4</v>
      </c>
    </row>
    <row r="131" spans="1:110" x14ac:dyDescent="0.25">
      <c r="A131" s="1">
        <v>42926</v>
      </c>
      <c r="B131">
        <v>141.24</v>
      </c>
      <c r="C131">
        <v>82.73</v>
      </c>
      <c r="D131">
        <v>196.8</v>
      </c>
      <c r="E131">
        <v>103.44</v>
      </c>
      <c r="F131">
        <v>29.58</v>
      </c>
      <c r="G131">
        <v>96.35</v>
      </c>
      <c r="H131">
        <v>101.16</v>
      </c>
      <c r="I131">
        <v>1</v>
      </c>
      <c r="J131">
        <v>221.32</v>
      </c>
      <c r="K131">
        <v>146.22999999999999</v>
      </c>
      <c r="L131">
        <v>142.15</v>
      </c>
      <c r="M131">
        <v>32.18</v>
      </c>
      <c r="N131">
        <v>126.49</v>
      </c>
      <c r="O131">
        <v>89.84</v>
      </c>
      <c r="P131">
        <v>42.21</v>
      </c>
      <c r="Q131">
        <v>149.88999999999999</v>
      </c>
      <c r="R131">
        <v>201.46</v>
      </c>
      <c r="S131">
        <v>60.01</v>
      </c>
      <c r="T131">
        <v>68.08</v>
      </c>
      <c r="U131">
        <v>57.68</v>
      </c>
      <c r="V131">
        <v>31.38</v>
      </c>
      <c r="W131">
        <v>82.2</v>
      </c>
      <c r="X131">
        <v>121.48</v>
      </c>
      <c r="Y131">
        <v>183.15</v>
      </c>
      <c r="Z131">
        <v>118.22</v>
      </c>
      <c r="AA131">
        <v>93.98</v>
      </c>
      <c r="AB131">
        <v>40.33</v>
      </c>
      <c r="AC131">
        <v>74.099999999999994</v>
      </c>
      <c r="AD131">
        <v>70.709999999999994</v>
      </c>
      <c r="AE131">
        <v>74.7</v>
      </c>
      <c r="AI131" s="2">
        <v>-5000</v>
      </c>
      <c r="AJ131" s="2">
        <f t="shared" si="83"/>
        <v>1090</v>
      </c>
      <c r="AK131" s="2">
        <f t="shared" si="83"/>
        <v>1090</v>
      </c>
      <c r="AL131" s="2">
        <f t="shared" si="83"/>
        <v>1090</v>
      </c>
      <c r="AM131" s="2">
        <f t="shared" si="83"/>
        <v>1090</v>
      </c>
      <c r="AN131" s="2">
        <f t="shared" si="83"/>
        <v>1090</v>
      </c>
      <c r="AO131" s="2">
        <f t="shared" si="83"/>
        <v>1090</v>
      </c>
      <c r="AP131" s="2">
        <v>0</v>
      </c>
      <c r="AQ131" s="2">
        <v>1000</v>
      </c>
      <c r="AR131" s="2">
        <v>0</v>
      </c>
      <c r="AS131" s="2">
        <v>1000</v>
      </c>
      <c r="AT131" s="2">
        <v>0</v>
      </c>
      <c r="AU131" s="2">
        <v>1000</v>
      </c>
      <c r="AV131" s="2">
        <v>1000</v>
      </c>
      <c r="AW131" s="2">
        <v>0</v>
      </c>
      <c r="AX131" s="2">
        <v>0</v>
      </c>
      <c r="AY131" s="2">
        <v>1000</v>
      </c>
      <c r="AZ131" s="2">
        <v>1043</v>
      </c>
      <c r="BA131" s="2">
        <v>1022</v>
      </c>
      <c r="BB131" s="2">
        <v>995</v>
      </c>
      <c r="BC131" s="2">
        <v>-1000</v>
      </c>
      <c r="BD131" s="2">
        <v>1000</v>
      </c>
      <c r="BE131" s="2">
        <v>5000</v>
      </c>
      <c r="BF131" s="2">
        <v>3000</v>
      </c>
      <c r="BG131" s="2">
        <v>5000</v>
      </c>
      <c r="BH131" s="2">
        <v>2500</v>
      </c>
      <c r="BI131" s="2">
        <v>3000</v>
      </c>
      <c r="BJ131" s="2">
        <v>0</v>
      </c>
      <c r="BK131" s="2">
        <v>1000</v>
      </c>
      <c r="BL131" s="2">
        <v>1000</v>
      </c>
      <c r="BO131" s="2">
        <f t="shared" si="44"/>
        <v>353100</v>
      </c>
      <c r="BP131" s="2">
        <f t="shared" si="53"/>
        <v>0</v>
      </c>
      <c r="BQ131" s="2">
        <f t="shared" si="54"/>
        <v>0</v>
      </c>
      <c r="BR131" s="2">
        <f t="shared" si="55"/>
        <v>0</v>
      </c>
      <c r="BS131" s="2">
        <f t="shared" si="56"/>
        <v>0</v>
      </c>
      <c r="BT131" s="2">
        <f t="shared" si="57"/>
        <v>0</v>
      </c>
      <c r="BU131" s="2">
        <f t="shared" si="58"/>
        <v>0</v>
      </c>
      <c r="BV131" s="2">
        <f t="shared" si="59"/>
        <v>0</v>
      </c>
      <c r="BW131" s="2">
        <f t="shared" si="60"/>
        <v>0</v>
      </c>
      <c r="BX131" s="2">
        <f t="shared" si="61"/>
        <v>0</v>
      </c>
      <c r="BY131" s="2">
        <f t="shared" si="62"/>
        <v>0</v>
      </c>
      <c r="BZ131" s="2">
        <f t="shared" si="63"/>
        <v>0</v>
      </c>
      <c r="CA131" s="2">
        <f t="shared" si="64"/>
        <v>0</v>
      </c>
      <c r="CB131" s="2">
        <f t="shared" si="65"/>
        <v>0</v>
      </c>
      <c r="CC131" s="2">
        <f t="shared" si="66"/>
        <v>0</v>
      </c>
      <c r="CD131" s="2">
        <f t="shared" si="67"/>
        <v>0</v>
      </c>
      <c r="CE131" s="2">
        <f t="shared" si="68"/>
        <v>0</v>
      </c>
      <c r="CF131" s="2">
        <f t="shared" si="69"/>
        <v>-4980.83</v>
      </c>
      <c r="CG131" s="2">
        <f t="shared" si="70"/>
        <v>-7012.24</v>
      </c>
      <c r="CH131" s="2">
        <f t="shared" si="71"/>
        <v>-1672.72</v>
      </c>
      <c r="CI131" s="2">
        <f t="shared" si="72"/>
        <v>0</v>
      </c>
      <c r="CJ131" s="2">
        <f t="shared" si="73"/>
        <v>0</v>
      </c>
      <c r="CK131" s="2">
        <f t="shared" si="74"/>
        <v>0</v>
      </c>
      <c r="CL131" s="2">
        <f t="shared" si="75"/>
        <v>0</v>
      </c>
      <c r="CM131" s="2">
        <f t="shared" si="47"/>
        <v>0</v>
      </c>
      <c r="CN131" s="2">
        <f t="shared" si="48"/>
        <v>0</v>
      </c>
      <c r="CO131" s="2">
        <f t="shared" si="49"/>
        <v>0</v>
      </c>
      <c r="CP131" s="2">
        <f t="shared" si="50"/>
        <v>0</v>
      </c>
      <c r="CQ131" s="2">
        <f t="shared" si="51"/>
        <v>0</v>
      </c>
      <c r="CR131" s="2">
        <f t="shared" si="52"/>
        <v>0</v>
      </c>
      <c r="CV131" t="s">
        <v>64</v>
      </c>
      <c r="CW131" t="s">
        <v>204</v>
      </c>
      <c r="CX131" t="s">
        <v>3</v>
      </c>
      <c r="CY131" s="4">
        <v>43367</v>
      </c>
      <c r="CZ131" t="s">
        <v>65</v>
      </c>
      <c r="DA131" t="s">
        <v>66</v>
      </c>
      <c r="DB131">
        <v>10</v>
      </c>
      <c r="DC131">
        <v>364.47</v>
      </c>
      <c r="DD131" t="s">
        <v>69</v>
      </c>
      <c r="DE131" t="s">
        <v>70</v>
      </c>
      <c r="DF131">
        <v>3644.7000000000003</v>
      </c>
    </row>
    <row r="132" spans="1:110" x14ac:dyDescent="0.25">
      <c r="A132" s="1">
        <v>42927</v>
      </c>
      <c r="B132">
        <v>141.69999999999999</v>
      </c>
      <c r="C132">
        <v>82.59</v>
      </c>
      <c r="D132">
        <v>199.03</v>
      </c>
      <c r="E132">
        <v>103.82</v>
      </c>
      <c r="F132">
        <v>29.68</v>
      </c>
      <c r="G132">
        <v>96.42</v>
      </c>
      <c r="H132">
        <v>101.4</v>
      </c>
      <c r="I132">
        <v>1</v>
      </c>
      <c r="J132">
        <v>222.41</v>
      </c>
      <c r="K132">
        <v>145.66999999999999</v>
      </c>
      <c r="L132">
        <v>141.94</v>
      </c>
      <c r="M132">
        <v>32.44</v>
      </c>
      <c r="N132">
        <v>126.18</v>
      </c>
      <c r="O132">
        <v>89.5</v>
      </c>
      <c r="P132">
        <v>42.16</v>
      </c>
      <c r="Q132">
        <v>149.30000000000001</v>
      </c>
      <c r="R132">
        <v>200.67</v>
      </c>
      <c r="S132">
        <v>59.55</v>
      </c>
      <c r="T132">
        <v>68.09</v>
      </c>
      <c r="U132">
        <v>57.14</v>
      </c>
      <c r="V132">
        <v>31.16</v>
      </c>
      <c r="W132">
        <v>81.900000000000006</v>
      </c>
      <c r="X132">
        <v>120.79</v>
      </c>
      <c r="Y132">
        <v>182.17</v>
      </c>
      <c r="Z132">
        <v>118.68</v>
      </c>
      <c r="AA132">
        <v>94.29</v>
      </c>
      <c r="AB132">
        <v>40.04</v>
      </c>
      <c r="AC132">
        <v>74.22</v>
      </c>
      <c r="AD132">
        <v>70.94</v>
      </c>
      <c r="AE132">
        <v>75.11</v>
      </c>
      <c r="AI132" s="2">
        <v>-5000</v>
      </c>
      <c r="AJ132" s="2">
        <f t="shared" si="83"/>
        <v>1090</v>
      </c>
      <c r="AK132" s="2">
        <f t="shared" si="83"/>
        <v>1090</v>
      </c>
      <c r="AL132" s="2">
        <f t="shared" si="83"/>
        <v>1090</v>
      </c>
      <c r="AM132" s="2">
        <f t="shared" si="83"/>
        <v>1090</v>
      </c>
      <c r="AN132" s="2">
        <f t="shared" si="83"/>
        <v>1090</v>
      </c>
      <c r="AO132" s="2">
        <f t="shared" si="83"/>
        <v>1090</v>
      </c>
      <c r="AP132" s="2">
        <v>0</v>
      </c>
      <c r="AQ132" s="2">
        <v>1000</v>
      </c>
      <c r="AR132" s="2">
        <v>0</v>
      </c>
      <c r="AS132" s="2">
        <v>1000</v>
      </c>
      <c r="AT132" s="2">
        <v>0</v>
      </c>
      <c r="AU132" s="2">
        <v>1000</v>
      </c>
      <c r="AV132" s="2">
        <v>1000</v>
      </c>
      <c r="AW132" s="2">
        <v>0</v>
      </c>
      <c r="AX132" s="2">
        <v>0</v>
      </c>
      <c r="AY132" s="2">
        <v>1000</v>
      </c>
      <c r="AZ132" s="2">
        <v>1033</v>
      </c>
      <c r="BA132" s="2">
        <v>1081</v>
      </c>
      <c r="BB132" s="2">
        <v>978</v>
      </c>
      <c r="BC132" s="2">
        <v>-1000</v>
      </c>
      <c r="BD132" s="2">
        <v>1000</v>
      </c>
      <c r="BE132" s="2">
        <v>5000</v>
      </c>
      <c r="BF132" s="2">
        <v>3000</v>
      </c>
      <c r="BG132" s="2">
        <v>5000</v>
      </c>
      <c r="BH132" s="2">
        <v>2500</v>
      </c>
      <c r="BI132" s="2">
        <v>3000</v>
      </c>
      <c r="BJ132" s="2">
        <v>0</v>
      </c>
      <c r="BK132" s="2">
        <v>1000</v>
      </c>
      <c r="BL132" s="2">
        <v>1000</v>
      </c>
      <c r="BO132" s="2">
        <f t="shared" ref="BO132:BO195" si="86">(AI131-AI132)*B132</f>
        <v>0</v>
      </c>
      <c r="BP132" s="2">
        <f t="shared" si="53"/>
        <v>0</v>
      </c>
      <c r="BQ132" s="2">
        <f t="shared" si="54"/>
        <v>0</v>
      </c>
      <c r="BR132" s="2">
        <f t="shared" si="55"/>
        <v>0</v>
      </c>
      <c r="BS132" s="2">
        <f t="shared" si="56"/>
        <v>0</v>
      </c>
      <c r="BT132" s="2">
        <f t="shared" si="57"/>
        <v>0</v>
      </c>
      <c r="BU132" s="2">
        <f t="shared" si="58"/>
        <v>0</v>
      </c>
      <c r="BV132" s="2">
        <f t="shared" si="59"/>
        <v>0</v>
      </c>
      <c r="BW132" s="2">
        <f t="shared" si="60"/>
        <v>0</v>
      </c>
      <c r="BX132" s="2">
        <f t="shared" si="61"/>
        <v>0</v>
      </c>
      <c r="BY132" s="2">
        <f t="shared" si="62"/>
        <v>0</v>
      </c>
      <c r="BZ132" s="2">
        <f t="shared" si="63"/>
        <v>0</v>
      </c>
      <c r="CA132" s="2">
        <f t="shared" si="64"/>
        <v>0</v>
      </c>
      <c r="CB132" s="2">
        <f t="shared" si="65"/>
        <v>0</v>
      </c>
      <c r="CC132" s="2">
        <f t="shared" si="66"/>
        <v>0</v>
      </c>
      <c r="CD132" s="2">
        <f t="shared" si="67"/>
        <v>0</v>
      </c>
      <c r="CE132" s="2">
        <f t="shared" si="68"/>
        <v>0</v>
      </c>
      <c r="CF132" s="2">
        <f t="shared" si="69"/>
        <v>595.5</v>
      </c>
      <c r="CG132" s="2">
        <f t="shared" si="70"/>
        <v>-4017.3100000000004</v>
      </c>
      <c r="CH132" s="2">
        <f t="shared" si="71"/>
        <v>971.38</v>
      </c>
      <c r="CI132" s="2">
        <f t="shared" si="72"/>
        <v>0</v>
      </c>
      <c r="CJ132" s="2">
        <f t="shared" si="73"/>
        <v>0</v>
      </c>
      <c r="CK132" s="2">
        <f t="shared" si="74"/>
        <v>0</v>
      </c>
      <c r="CL132" s="2">
        <f t="shared" si="75"/>
        <v>0</v>
      </c>
      <c r="CM132" s="2">
        <f t="shared" si="47"/>
        <v>0</v>
      </c>
      <c r="CN132" s="2">
        <f t="shared" si="48"/>
        <v>0</v>
      </c>
      <c r="CO132" s="2">
        <f t="shared" si="49"/>
        <v>0</v>
      </c>
      <c r="CP132" s="2">
        <f t="shared" si="50"/>
        <v>0</v>
      </c>
      <c r="CQ132" s="2">
        <f t="shared" si="51"/>
        <v>0</v>
      </c>
      <c r="CR132" s="2">
        <f t="shared" si="52"/>
        <v>0</v>
      </c>
      <c r="CV132" t="s">
        <v>64</v>
      </c>
      <c r="CW132" t="s">
        <v>205</v>
      </c>
      <c r="CX132" t="s">
        <v>3</v>
      </c>
      <c r="CY132" s="4">
        <v>43385</v>
      </c>
      <c r="CZ132" t="s">
        <v>65</v>
      </c>
      <c r="DA132" t="s">
        <v>66</v>
      </c>
      <c r="DB132">
        <v>10</v>
      </c>
      <c r="DC132">
        <v>356.66</v>
      </c>
      <c r="DD132" t="s">
        <v>69</v>
      </c>
      <c r="DE132" t="s">
        <v>70</v>
      </c>
      <c r="DF132">
        <v>3566.6000000000004</v>
      </c>
    </row>
    <row r="133" spans="1:110" x14ac:dyDescent="0.25">
      <c r="A133" s="1">
        <v>42928</v>
      </c>
      <c r="B133">
        <v>141.9</v>
      </c>
      <c r="C133">
        <v>83.24</v>
      </c>
      <c r="D133">
        <v>199.19</v>
      </c>
      <c r="E133">
        <v>104.51</v>
      </c>
      <c r="F133">
        <v>29.75</v>
      </c>
      <c r="G133">
        <v>97.14</v>
      </c>
      <c r="H133">
        <v>101.93</v>
      </c>
      <c r="I133">
        <v>1</v>
      </c>
      <c r="J133">
        <v>222.84</v>
      </c>
      <c r="K133">
        <v>147.59</v>
      </c>
      <c r="L133">
        <v>142.41</v>
      </c>
      <c r="M133">
        <v>32.76</v>
      </c>
      <c r="N133">
        <v>127.15</v>
      </c>
      <c r="O133">
        <v>89.19</v>
      </c>
      <c r="P133">
        <v>42.34</v>
      </c>
      <c r="Q133">
        <v>150.91</v>
      </c>
      <c r="R133">
        <v>202.24</v>
      </c>
      <c r="S133">
        <v>59.97</v>
      </c>
      <c r="T133">
        <v>69.22</v>
      </c>
      <c r="U133">
        <v>57.18</v>
      </c>
      <c r="V133">
        <v>31.2</v>
      </c>
      <c r="W133">
        <v>82.08</v>
      </c>
      <c r="X133">
        <v>120.98</v>
      </c>
      <c r="Y133">
        <v>182.89</v>
      </c>
      <c r="Z133">
        <v>118.84</v>
      </c>
      <c r="AA133">
        <v>95.06</v>
      </c>
      <c r="AB133">
        <v>40.35</v>
      </c>
      <c r="AC133">
        <v>74.44</v>
      </c>
      <c r="AD133">
        <v>71.400000000000006</v>
      </c>
      <c r="AE133">
        <v>75.45</v>
      </c>
      <c r="AI133" s="2">
        <v>-5000</v>
      </c>
      <c r="AJ133" s="2">
        <f t="shared" si="83"/>
        <v>1090</v>
      </c>
      <c r="AK133" s="2">
        <f t="shared" si="83"/>
        <v>1090</v>
      </c>
      <c r="AL133" s="2">
        <f t="shared" si="83"/>
        <v>1090</v>
      </c>
      <c r="AM133" s="2">
        <f t="shared" si="83"/>
        <v>1090</v>
      </c>
      <c r="AN133" s="2">
        <f t="shared" si="83"/>
        <v>1090</v>
      </c>
      <c r="AO133" s="2">
        <f t="shared" si="83"/>
        <v>1090</v>
      </c>
      <c r="AP133" s="2">
        <v>0</v>
      </c>
      <c r="AQ133" s="2">
        <v>1000</v>
      </c>
      <c r="AR133" s="2">
        <v>0</v>
      </c>
      <c r="AS133" s="2">
        <v>1000</v>
      </c>
      <c r="AT133" s="2">
        <v>0</v>
      </c>
      <c r="AU133" s="2">
        <v>1000</v>
      </c>
      <c r="AV133" s="2">
        <v>1000</v>
      </c>
      <c r="AW133" s="2">
        <v>0</v>
      </c>
      <c r="AX133" s="2">
        <v>0</v>
      </c>
      <c r="AY133" s="2">
        <v>1000</v>
      </c>
      <c r="AZ133" s="2">
        <v>983</v>
      </c>
      <c r="BA133" s="2">
        <v>936</v>
      </c>
      <c r="BB133" s="2">
        <v>967</v>
      </c>
      <c r="BC133" s="2">
        <v>-1000</v>
      </c>
      <c r="BD133" s="2">
        <v>1000</v>
      </c>
      <c r="BE133" s="2">
        <v>5000</v>
      </c>
      <c r="BF133" s="2">
        <v>3000</v>
      </c>
      <c r="BG133" s="2">
        <v>5000</v>
      </c>
      <c r="BH133" s="2">
        <v>2500</v>
      </c>
      <c r="BI133" s="2">
        <v>3000</v>
      </c>
      <c r="BJ133" s="2">
        <v>0</v>
      </c>
      <c r="BK133" s="2">
        <v>1000</v>
      </c>
      <c r="BL133" s="2">
        <v>1000</v>
      </c>
      <c r="BO133" s="2">
        <f t="shared" si="86"/>
        <v>0</v>
      </c>
      <c r="BP133" s="2">
        <f t="shared" si="53"/>
        <v>0</v>
      </c>
      <c r="BQ133" s="2">
        <f t="shared" si="54"/>
        <v>0</v>
      </c>
      <c r="BR133" s="2">
        <f t="shared" si="55"/>
        <v>0</v>
      </c>
      <c r="BS133" s="2">
        <f t="shared" si="56"/>
        <v>0</v>
      </c>
      <c r="BT133" s="2">
        <f t="shared" si="57"/>
        <v>0</v>
      </c>
      <c r="BU133" s="2">
        <f t="shared" si="58"/>
        <v>0</v>
      </c>
      <c r="BV133" s="2">
        <f t="shared" si="59"/>
        <v>0</v>
      </c>
      <c r="BW133" s="2">
        <f t="shared" si="60"/>
        <v>0</v>
      </c>
      <c r="BX133" s="2">
        <f t="shared" si="61"/>
        <v>0</v>
      </c>
      <c r="BY133" s="2">
        <f t="shared" si="62"/>
        <v>0</v>
      </c>
      <c r="BZ133" s="2">
        <f t="shared" si="63"/>
        <v>0</v>
      </c>
      <c r="CA133" s="2">
        <f t="shared" si="64"/>
        <v>0</v>
      </c>
      <c r="CB133" s="2">
        <f t="shared" si="65"/>
        <v>0</v>
      </c>
      <c r="CC133" s="2">
        <f t="shared" si="66"/>
        <v>0</v>
      </c>
      <c r="CD133" s="2">
        <f t="shared" si="67"/>
        <v>0</v>
      </c>
      <c r="CE133" s="2">
        <f t="shared" si="68"/>
        <v>0</v>
      </c>
      <c r="CF133" s="2">
        <f t="shared" si="69"/>
        <v>2998.5</v>
      </c>
      <c r="CG133" s="2">
        <f t="shared" si="70"/>
        <v>10036.9</v>
      </c>
      <c r="CH133" s="2">
        <f t="shared" si="71"/>
        <v>628.98</v>
      </c>
      <c r="CI133" s="2">
        <f t="shared" si="72"/>
        <v>0</v>
      </c>
      <c r="CJ133" s="2">
        <f t="shared" si="73"/>
        <v>0</v>
      </c>
      <c r="CK133" s="2">
        <f t="shared" si="74"/>
        <v>0</v>
      </c>
      <c r="CL133" s="2">
        <f t="shared" si="75"/>
        <v>0</v>
      </c>
      <c r="CM133" s="2">
        <f t="shared" si="47"/>
        <v>0</v>
      </c>
      <c r="CN133" s="2">
        <f t="shared" si="48"/>
        <v>0</v>
      </c>
      <c r="CO133" s="2">
        <f t="shared" si="49"/>
        <v>0</v>
      </c>
      <c r="CP133" s="2">
        <f t="shared" si="50"/>
        <v>0</v>
      </c>
      <c r="CQ133" s="2">
        <f t="shared" si="51"/>
        <v>0</v>
      </c>
      <c r="CR133" s="2">
        <f t="shared" si="52"/>
        <v>0</v>
      </c>
      <c r="CV133" t="s">
        <v>64</v>
      </c>
      <c r="CW133" t="s">
        <v>206</v>
      </c>
      <c r="CX133" t="s">
        <v>3</v>
      </c>
      <c r="CY133" s="4">
        <v>43405</v>
      </c>
      <c r="CZ133" t="s">
        <v>65</v>
      </c>
      <c r="DA133" t="s">
        <v>66</v>
      </c>
      <c r="DB133">
        <v>10</v>
      </c>
      <c r="DC133">
        <v>359.59</v>
      </c>
      <c r="DD133" t="s">
        <v>69</v>
      </c>
      <c r="DE133" t="s">
        <v>70</v>
      </c>
      <c r="DF133">
        <v>3595.8999999999996</v>
      </c>
    </row>
    <row r="134" spans="1:110" x14ac:dyDescent="0.25">
      <c r="A134" s="1">
        <v>42929</v>
      </c>
      <c r="B134">
        <v>143.88</v>
      </c>
      <c r="C134">
        <v>83.78</v>
      </c>
      <c r="D134">
        <v>198.99</v>
      </c>
      <c r="E134">
        <v>104.04</v>
      </c>
      <c r="F134">
        <v>29.86</v>
      </c>
      <c r="G134">
        <v>97.37</v>
      </c>
      <c r="H134">
        <v>101.84</v>
      </c>
      <c r="I134">
        <v>1</v>
      </c>
      <c r="J134">
        <v>225.79</v>
      </c>
      <c r="K134">
        <v>148.27000000000001</v>
      </c>
      <c r="L134">
        <v>142.35</v>
      </c>
      <c r="M134">
        <v>32.75</v>
      </c>
      <c r="N134">
        <v>126.79</v>
      </c>
      <c r="O134">
        <v>89.76</v>
      </c>
      <c r="P134">
        <v>42.26</v>
      </c>
      <c r="Q134">
        <v>149.43</v>
      </c>
      <c r="R134">
        <v>202.04</v>
      </c>
      <c r="S134">
        <v>60.07</v>
      </c>
      <c r="T134">
        <v>69.819999999999993</v>
      </c>
      <c r="U134">
        <v>56.91</v>
      </c>
      <c r="V134">
        <v>31.26</v>
      </c>
      <c r="W134">
        <v>81.83</v>
      </c>
      <c r="X134">
        <v>121.15</v>
      </c>
      <c r="Y134">
        <v>181.71</v>
      </c>
      <c r="Z134">
        <v>118.23</v>
      </c>
      <c r="AA134">
        <v>94.82</v>
      </c>
      <c r="AB134">
        <v>40.6</v>
      </c>
      <c r="AC134">
        <v>74.91</v>
      </c>
      <c r="AD134">
        <v>72.47</v>
      </c>
      <c r="AE134">
        <v>75.459999999999994</v>
      </c>
      <c r="AI134" s="2">
        <v>-5000</v>
      </c>
      <c r="AJ134" s="2">
        <f t="shared" si="83"/>
        <v>1090</v>
      </c>
      <c r="AK134" s="2">
        <f t="shared" si="83"/>
        <v>1090</v>
      </c>
      <c r="AL134" s="2">
        <f t="shared" si="83"/>
        <v>1090</v>
      </c>
      <c r="AM134" s="2">
        <f t="shared" si="83"/>
        <v>1090</v>
      </c>
      <c r="AN134" s="2">
        <f t="shared" si="83"/>
        <v>1090</v>
      </c>
      <c r="AO134" s="2">
        <f t="shared" si="83"/>
        <v>1090</v>
      </c>
      <c r="AP134" s="2">
        <v>0</v>
      </c>
      <c r="AQ134" s="2">
        <v>1000</v>
      </c>
      <c r="AR134" s="2">
        <v>0</v>
      </c>
      <c r="AS134" s="2">
        <v>1000</v>
      </c>
      <c r="AT134" s="2">
        <v>0</v>
      </c>
      <c r="AU134" s="2">
        <v>1000</v>
      </c>
      <c r="AV134" s="2">
        <v>1000</v>
      </c>
      <c r="AW134" s="2">
        <v>0</v>
      </c>
      <c r="AX134" s="2">
        <v>0</v>
      </c>
      <c r="AY134" s="2">
        <v>1000</v>
      </c>
      <c r="AZ134" s="2">
        <v>1050</v>
      </c>
      <c r="BA134" s="2">
        <v>938</v>
      </c>
      <c r="BB134" s="2">
        <v>901</v>
      </c>
      <c r="BC134" s="2">
        <v>-1000</v>
      </c>
      <c r="BD134" s="2">
        <v>1000</v>
      </c>
      <c r="BE134" s="2">
        <v>5000</v>
      </c>
      <c r="BF134" s="2">
        <v>3000</v>
      </c>
      <c r="BG134" s="2">
        <v>5000</v>
      </c>
      <c r="BH134" s="2">
        <v>2500</v>
      </c>
      <c r="BI134" s="2">
        <v>3000</v>
      </c>
      <c r="BJ134" s="2">
        <v>0</v>
      </c>
      <c r="BK134" s="2">
        <v>1000</v>
      </c>
      <c r="BL134" s="2">
        <v>1000</v>
      </c>
      <c r="BO134" s="2">
        <f t="shared" si="86"/>
        <v>0</v>
      </c>
      <c r="BP134" s="2">
        <f t="shared" si="53"/>
        <v>0</v>
      </c>
      <c r="BQ134" s="2">
        <f t="shared" si="54"/>
        <v>0</v>
      </c>
      <c r="BR134" s="2">
        <f t="shared" si="55"/>
        <v>0</v>
      </c>
      <c r="BS134" s="2">
        <f t="shared" si="56"/>
        <v>0</v>
      </c>
      <c r="BT134" s="2">
        <f t="shared" si="57"/>
        <v>0</v>
      </c>
      <c r="BU134" s="2">
        <f t="shared" si="58"/>
        <v>0</v>
      </c>
      <c r="BV134" s="2">
        <f t="shared" si="59"/>
        <v>0</v>
      </c>
      <c r="BW134" s="2">
        <f t="shared" si="60"/>
        <v>0</v>
      </c>
      <c r="BX134" s="2">
        <f t="shared" si="61"/>
        <v>0</v>
      </c>
      <c r="BY134" s="2">
        <f t="shared" si="62"/>
        <v>0</v>
      </c>
      <c r="BZ134" s="2">
        <f t="shared" si="63"/>
        <v>0</v>
      </c>
      <c r="CA134" s="2">
        <f t="shared" si="64"/>
        <v>0</v>
      </c>
      <c r="CB134" s="2">
        <f t="shared" si="65"/>
        <v>0</v>
      </c>
      <c r="CC134" s="2">
        <f t="shared" si="66"/>
        <v>0</v>
      </c>
      <c r="CD134" s="2">
        <f t="shared" si="67"/>
        <v>0</v>
      </c>
      <c r="CE134" s="2">
        <f t="shared" si="68"/>
        <v>0</v>
      </c>
      <c r="CF134" s="2">
        <f t="shared" si="69"/>
        <v>-4024.69</v>
      </c>
      <c r="CG134" s="2">
        <f t="shared" si="70"/>
        <v>-139.63999999999999</v>
      </c>
      <c r="CH134" s="2">
        <f t="shared" si="71"/>
        <v>3756.06</v>
      </c>
      <c r="CI134" s="2">
        <f t="shared" si="72"/>
        <v>0</v>
      </c>
      <c r="CJ134" s="2">
        <f t="shared" si="73"/>
        <v>0</v>
      </c>
      <c r="CK134" s="2">
        <f t="shared" si="74"/>
        <v>0</v>
      </c>
      <c r="CL134" s="2">
        <f t="shared" si="75"/>
        <v>0</v>
      </c>
      <c r="CM134" s="2">
        <f t="shared" si="47"/>
        <v>0</v>
      </c>
      <c r="CN134" s="2">
        <f t="shared" si="48"/>
        <v>0</v>
      </c>
      <c r="CO134" s="2">
        <f t="shared" si="49"/>
        <v>0</v>
      </c>
      <c r="CP134" s="2">
        <f t="shared" si="50"/>
        <v>0</v>
      </c>
      <c r="CQ134" s="2">
        <f t="shared" si="51"/>
        <v>0</v>
      </c>
      <c r="CR134" s="2">
        <f t="shared" si="52"/>
        <v>0</v>
      </c>
      <c r="CV134" t="s">
        <v>64</v>
      </c>
      <c r="CW134" t="s">
        <v>207</v>
      </c>
      <c r="CX134" t="s">
        <v>3</v>
      </c>
      <c r="CY134" s="4">
        <v>43425</v>
      </c>
      <c r="CZ134" t="s">
        <v>65</v>
      </c>
      <c r="DA134" t="s">
        <v>66</v>
      </c>
      <c r="DB134">
        <v>10</v>
      </c>
      <c r="DC134">
        <v>315.73</v>
      </c>
      <c r="DD134" t="s">
        <v>69</v>
      </c>
      <c r="DE134" t="s">
        <v>70</v>
      </c>
      <c r="DF134">
        <v>3157.3</v>
      </c>
    </row>
    <row r="135" spans="1:110" x14ac:dyDescent="0.25">
      <c r="A135" s="1">
        <v>42930</v>
      </c>
      <c r="B135">
        <v>145.11000000000001</v>
      </c>
      <c r="C135">
        <v>83.69</v>
      </c>
      <c r="D135">
        <v>201.19</v>
      </c>
      <c r="E135">
        <v>104.33</v>
      </c>
      <c r="F135">
        <v>30</v>
      </c>
      <c r="G135">
        <v>97.66</v>
      </c>
      <c r="H135">
        <v>102.62</v>
      </c>
      <c r="I135">
        <v>1</v>
      </c>
      <c r="J135">
        <v>224.02</v>
      </c>
      <c r="K135">
        <v>147.87</v>
      </c>
      <c r="L135">
        <v>142.91</v>
      </c>
      <c r="M135">
        <v>33.17</v>
      </c>
      <c r="N135">
        <v>127.5</v>
      </c>
      <c r="O135">
        <v>88.94</v>
      </c>
      <c r="P135">
        <v>42.5</v>
      </c>
      <c r="Q135">
        <v>149.66</v>
      </c>
      <c r="R135">
        <v>202.69</v>
      </c>
      <c r="S135">
        <v>60.23</v>
      </c>
      <c r="T135">
        <v>70.81</v>
      </c>
      <c r="U135">
        <v>56.97</v>
      </c>
      <c r="V135">
        <v>31.4</v>
      </c>
      <c r="W135">
        <v>82.21</v>
      </c>
      <c r="X135">
        <v>121.43</v>
      </c>
      <c r="Y135">
        <v>183.1</v>
      </c>
      <c r="Z135">
        <v>118.55</v>
      </c>
      <c r="AA135">
        <v>95.8</v>
      </c>
      <c r="AB135">
        <v>40.67</v>
      </c>
      <c r="AC135">
        <v>75.78</v>
      </c>
      <c r="AD135">
        <v>73.72</v>
      </c>
      <c r="AE135">
        <v>75.75</v>
      </c>
      <c r="AI135" s="2">
        <v>0</v>
      </c>
      <c r="AJ135" s="2">
        <f t="shared" si="83"/>
        <v>1090</v>
      </c>
      <c r="AK135" s="2">
        <f t="shared" si="83"/>
        <v>1090</v>
      </c>
      <c r="AL135" s="2">
        <f t="shared" si="83"/>
        <v>1090</v>
      </c>
      <c r="AM135" s="2">
        <f t="shared" si="83"/>
        <v>1090</v>
      </c>
      <c r="AN135" s="2">
        <f t="shared" si="83"/>
        <v>1090</v>
      </c>
      <c r="AO135" s="2">
        <f t="shared" si="83"/>
        <v>1090</v>
      </c>
      <c r="AP135" s="2">
        <v>0</v>
      </c>
      <c r="AQ135" s="2">
        <v>1000</v>
      </c>
      <c r="AR135" s="2">
        <v>0</v>
      </c>
      <c r="AS135" s="2">
        <v>1000</v>
      </c>
      <c r="AT135" s="2">
        <v>0</v>
      </c>
      <c r="AU135" s="2">
        <v>1000</v>
      </c>
      <c r="AV135" s="2">
        <v>1000</v>
      </c>
      <c r="AW135" s="2">
        <v>0</v>
      </c>
      <c r="AX135" s="2">
        <v>0</v>
      </c>
      <c r="AY135" s="2">
        <v>1000</v>
      </c>
      <c r="AZ135" s="2">
        <v>983</v>
      </c>
      <c r="BA135" s="2">
        <v>1078</v>
      </c>
      <c r="BB135" s="2">
        <v>1071</v>
      </c>
      <c r="BC135" s="2">
        <v>-1000</v>
      </c>
      <c r="BD135" s="2">
        <v>1000</v>
      </c>
      <c r="BE135" s="2">
        <v>5000</v>
      </c>
      <c r="BF135" s="2">
        <v>3000</v>
      </c>
      <c r="BG135" s="2">
        <v>5000</v>
      </c>
      <c r="BH135" s="2">
        <v>2500</v>
      </c>
      <c r="BI135" s="2">
        <v>3000</v>
      </c>
      <c r="BJ135" s="2">
        <v>0</v>
      </c>
      <c r="BK135" s="2">
        <v>1000</v>
      </c>
      <c r="BL135" s="2">
        <v>1000</v>
      </c>
      <c r="BO135" s="2">
        <f t="shared" si="86"/>
        <v>-725550.00000000012</v>
      </c>
      <c r="BP135" s="2">
        <f t="shared" si="53"/>
        <v>0</v>
      </c>
      <c r="BQ135" s="2">
        <f t="shared" si="54"/>
        <v>0</v>
      </c>
      <c r="BR135" s="2">
        <f t="shared" si="55"/>
        <v>0</v>
      </c>
      <c r="BS135" s="2">
        <f t="shared" si="56"/>
        <v>0</v>
      </c>
      <c r="BT135" s="2">
        <f t="shared" si="57"/>
        <v>0</v>
      </c>
      <c r="BU135" s="2">
        <f t="shared" si="58"/>
        <v>0</v>
      </c>
      <c r="BV135" s="2">
        <f t="shared" si="59"/>
        <v>0</v>
      </c>
      <c r="BW135" s="2">
        <f t="shared" si="60"/>
        <v>0</v>
      </c>
      <c r="BX135" s="2">
        <f t="shared" si="61"/>
        <v>0</v>
      </c>
      <c r="BY135" s="2">
        <f t="shared" si="62"/>
        <v>0</v>
      </c>
      <c r="BZ135" s="2">
        <f t="shared" si="63"/>
        <v>0</v>
      </c>
      <c r="CA135" s="2">
        <f t="shared" si="64"/>
        <v>0</v>
      </c>
      <c r="CB135" s="2">
        <f t="shared" si="65"/>
        <v>0</v>
      </c>
      <c r="CC135" s="2">
        <f t="shared" si="66"/>
        <v>0</v>
      </c>
      <c r="CD135" s="2">
        <f t="shared" si="67"/>
        <v>0</v>
      </c>
      <c r="CE135" s="2">
        <f t="shared" si="68"/>
        <v>0</v>
      </c>
      <c r="CF135" s="2">
        <f t="shared" si="69"/>
        <v>4035.41</v>
      </c>
      <c r="CG135" s="2">
        <f t="shared" si="70"/>
        <v>-9913.4</v>
      </c>
      <c r="CH135" s="2">
        <f t="shared" si="71"/>
        <v>-9684.9</v>
      </c>
      <c r="CI135" s="2">
        <f t="shared" si="72"/>
        <v>0</v>
      </c>
      <c r="CJ135" s="2">
        <f t="shared" si="73"/>
        <v>0</v>
      </c>
      <c r="CK135" s="2">
        <f t="shared" si="74"/>
        <v>0</v>
      </c>
      <c r="CL135" s="2">
        <f t="shared" si="75"/>
        <v>0</v>
      </c>
      <c r="CM135" s="2">
        <f t="shared" si="47"/>
        <v>0</v>
      </c>
      <c r="CN135" s="2">
        <f t="shared" si="48"/>
        <v>0</v>
      </c>
      <c r="CO135" s="2">
        <f t="shared" si="49"/>
        <v>0</v>
      </c>
      <c r="CP135" s="2">
        <f t="shared" si="50"/>
        <v>0</v>
      </c>
      <c r="CQ135" s="2">
        <f t="shared" si="51"/>
        <v>0</v>
      </c>
      <c r="CR135" s="2">
        <f t="shared" si="52"/>
        <v>0</v>
      </c>
      <c r="CV135" t="s">
        <v>64</v>
      </c>
      <c r="CW135" t="s">
        <v>208</v>
      </c>
      <c r="CX135" t="s">
        <v>3</v>
      </c>
      <c r="CY135" s="4">
        <v>43447</v>
      </c>
      <c r="CZ135" t="s">
        <v>65</v>
      </c>
      <c r="DA135" t="s">
        <v>66</v>
      </c>
      <c r="DB135">
        <v>10</v>
      </c>
      <c r="DC135">
        <v>323.83999999999997</v>
      </c>
      <c r="DD135" t="s">
        <v>69</v>
      </c>
      <c r="DE135" t="s">
        <v>70</v>
      </c>
      <c r="DF135">
        <v>3238.3999999999996</v>
      </c>
    </row>
    <row r="136" spans="1:110" x14ac:dyDescent="0.25">
      <c r="A136" s="1">
        <v>42933</v>
      </c>
      <c r="B136">
        <v>145.62</v>
      </c>
      <c r="C136">
        <v>83.63</v>
      </c>
      <c r="D136">
        <v>201.66</v>
      </c>
      <c r="E136">
        <v>104.4</v>
      </c>
      <c r="F136">
        <v>30.08</v>
      </c>
      <c r="G136">
        <v>97.44</v>
      </c>
      <c r="H136">
        <v>102.33</v>
      </c>
      <c r="I136">
        <v>1</v>
      </c>
      <c r="J136">
        <v>224.67</v>
      </c>
      <c r="K136">
        <v>148.85</v>
      </c>
      <c r="L136">
        <v>141.77000000000001</v>
      </c>
      <c r="M136">
        <v>32.97</v>
      </c>
      <c r="N136">
        <v>127.07</v>
      </c>
      <c r="O136">
        <v>88.11</v>
      </c>
      <c r="P136">
        <v>42.54</v>
      </c>
      <c r="Q136">
        <v>149.63999999999999</v>
      </c>
      <c r="R136">
        <v>202.6</v>
      </c>
      <c r="S136">
        <v>59.8</v>
      </c>
      <c r="T136">
        <v>71.36</v>
      </c>
      <c r="U136">
        <v>56.76</v>
      </c>
      <c r="V136">
        <v>31.23</v>
      </c>
      <c r="W136">
        <v>82.63</v>
      </c>
      <c r="X136">
        <v>121.93</v>
      </c>
      <c r="Y136">
        <v>182.56</v>
      </c>
      <c r="Z136">
        <v>118.26</v>
      </c>
      <c r="AA136">
        <v>95.7</v>
      </c>
      <c r="AB136">
        <v>40.76</v>
      </c>
      <c r="AC136">
        <v>76.040000000000006</v>
      </c>
      <c r="AD136">
        <v>73.739999999999995</v>
      </c>
      <c r="AE136">
        <v>75.36</v>
      </c>
      <c r="AI136" s="2">
        <v>0</v>
      </c>
      <c r="AJ136" s="2">
        <f t="shared" si="83"/>
        <v>1090</v>
      </c>
      <c r="AK136" s="2">
        <f t="shared" si="83"/>
        <v>1090</v>
      </c>
      <c r="AL136" s="2">
        <f t="shared" si="83"/>
        <v>1090</v>
      </c>
      <c r="AM136" s="2">
        <f t="shared" si="83"/>
        <v>1090</v>
      </c>
      <c r="AN136" s="2">
        <f t="shared" si="83"/>
        <v>1090</v>
      </c>
      <c r="AO136" s="2">
        <f t="shared" si="83"/>
        <v>1090</v>
      </c>
      <c r="AP136" s="2">
        <v>0</v>
      </c>
      <c r="AQ136" s="2">
        <v>1000</v>
      </c>
      <c r="AR136" s="2">
        <v>0</v>
      </c>
      <c r="AS136" s="2">
        <v>1000</v>
      </c>
      <c r="AT136" s="2">
        <v>0</v>
      </c>
      <c r="AU136" s="2">
        <v>1000</v>
      </c>
      <c r="AV136" s="2">
        <v>1000</v>
      </c>
      <c r="AW136" s="2">
        <v>0</v>
      </c>
      <c r="AX136" s="2">
        <v>0</v>
      </c>
      <c r="AY136" s="2">
        <v>1000</v>
      </c>
      <c r="AZ136" s="2">
        <v>965</v>
      </c>
      <c r="BA136" s="2">
        <v>905</v>
      </c>
      <c r="BB136" s="2">
        <v>936</v>
      </c>
      <c r="BC136" s="2">
        <v>-1000</v>
      </c>
      <c r="BD136" s="2">
        <v>1000</v>
      </c>
      <c r="BE136" s="2">
        <v>5000</v>
      </c>
      <c r="BF136" s="2">
        <v>3000</v>
      </c>
      <c r="BG136" s="2">
        <v>5000</v>
      </c>
      <c r="BH136" s="2">
        <v>2500</v>
      </c>
      <c r="BI136" s="2">
        <v>3000</v>
      </c>
      <c r="BJ136" s="2">
        <v>0</v>
      </c>
      <c r="BK136" s="2">
        <v>1000</v>
      </c>
      <c r="BL136" s="2">
        <v>1000</v>
      </c>
      <c r="BO136" s="2">
        <f t="shared" si="86"/>
        <v>0</v>
      </c>
      <c r="BP136" s="2">
        <f t="shared" si="53"/>
        <v>0</v>
      </c>
      <c r="BQ136" s="2">
        <f t="shared" si="54"/>
        <v>0</v>
      </c>
      <c r="BR136" s="2">
        <f t="shared" si="55"/>
        <v>0</v>
      </c>
      <c r="BS136" s="2">
        <f t="shared" si="56"/>
        <v>0</v>
      </c>
      <c r="BT136" s="2">
        <f t="shared" si="57"/>
        <v>0</v>
      </c>
      <c r="BU136" s="2">
        <f t="shared" si="58"/>
        <v>0</v>
      </c>
      <c r="BV136" s="2">
        <f t="shared" si="59"/>
        <v>0</v>
      </c>
      <c r="BW136" s="2">
        <f t="shared" si="60"/>
        <v>0</v>
      </c>
      <c r="BX136" s="2">
        <f t="shared" si="61"/>
        <v>0</v>
      </c>
      <c r="BY136" s="2">
        <f t="shared" si="62"/>
        <v>0</v>
      </c>
      <c r="BZ136" s="2">
        <f t="shared" si="63"/>
        <v>0</v>
      </c>
      <c r="CA136" s="2">
        <f t="shared" si="64"/>
        <v>0</v>
      </c>
      <c r="CB136" s="2">
        <f t="shared" si="65"/>
        <v>0</v>
      </c>
      <c r="CC136" s="2">
        <f t="shared" si="66"/>
        <v>0</v>
      </c>
      <c r="CD136" s="2">
        <f t="shared" si="67"/>
        <v>0</v>
      </c>
      <c r="CE136" s="2">
        <f t="shared" si="68"/>
        <v>0</v>
      </c>
      <c r="CF136" s="2">
        <f t="shared" si="69"/>
        <v>1076.3999999999999</v>
      </c>
      <c r="CG136" s="2">
        <f t="shared" si="70"/>
        <v>12345.28</v>
      </c>
      <c r="CH136" s="2">
        <f t="shared" si="71"/>
        <v>7662.5999999999995</v>
      </c>
      <c r="CI136" s="2">
        <f t="shared" si="72"/>
        <v>0</v>
      </c>
      <c r="CJ136" s="2">
        <f t="shared" si="73"/>
        <v>0</v>
      </c>
      <c r="CK136" s="2">
        <f t="shared" si="74"/>
        <v>0</v>
      </c>
      <c r="CL136" s="2">
        <f t="shared" si="75"/>
        <v>0</v>
      </c>
      <c r="CM136" s="2">
        <f t="shared" si="47"/>
        <v>0</v>
      </c>
      <c r="CN136" s="2">
        <f t="shared" si="48"/>
        <v>0</v>
      </c>
      <c r="CO136" s="2">
        <f t="shared" si="49"/>
        <v>0</v>
      </c>
      <c r="CP136" s="2">
        <f t="shared" si="50"/>
        <v>0</v>
      </c>
      <c r="CQ136" s="2">
        <f t="shared" si="51"/>
        <v>0</v>
      </c>
      <c r="CR136" s="2">
        <f t="shared" si="52"/>
        <v>0</v>
      </c>
      <c r="CV136" t="s">
        <v>64</v>
      </c>
      <c r="CW136" t="s">
        <v>209</v>
      </c>
      <c r="CX136" t="s">
        <v>4</v>
      </c>
      <c r="CY136" s="4">
        <v>42738</v>
      </c>
      <c r="CZ136" t="s">
        <v>65</v>
      </c>
      <c r="DA136" t="s">
        <v>66</v>
      </c>
      <c r="DB136">
        <v>1000</v>
      </c>
      <c r="DC136">
        <v>88.68</v>
      </c>
      <c r="DD136" t="s">
        <v>69</v>
      </c>
      <c r="DE136" t="s">
        <v>70</v>
      </c>
      <c r="DF136">
        <v>88680</v>
      </c>
    </row>
    <row r="137" spans="1:110" x14ac:dyDescent="0.25">
      <c r="A137" s="1">
        <v>42934</v>
      </c>
      <c r="B137">
        <v>146.13</v>
      </c>
      <c r="C137">
        <v>83.93</v>
      </c>
      <c r="D137">
        <v>200.93</v>
      </c>
      <c r="E137">
        <v>103.44</v>
      </c>
      <c r="F137">
        <v>30.09</v>
      </c>
      <c r="G137">
        <v>96.98</v>
      </c>
      <c r="H137">
        <v>103.27</v>
      </c>
      <c r="I137">
        <v>1</v>
      </c>
      <c r="J137">
        <v>218.84</v>
      </c>
      <c r="K137">
        <v>147.19</v>
      </c>
      <c r="L137">
        <v>142.69</v>
      </c>
      <c r="M137">
        <v>33.03</v>
      </c>
      <c r="N137">
        <v>129.29</v>
      </c>
      <c r="O137">
        <v>87.8</v>
      </c>
      <c r="P137">
        <v>42.49</v>
      </c>
      <c r="Q137">
        <v>148.38999999999999</v>
      </c>
      <c r="R137">
        <v>202.25</v>
      </c>
      <c r="S137">
        <v>59.61</v>
      </c>
      <c r="T137">
        <v>71.31</v>
      </c>
      <c r="U137">
        <v>56.62</v>
      </c>
      <c r="V137">
        <v>31.34</v>
      </c>
      <c r="W137">
        <v>83.66</v>
      </c>
      <c r="X137">
        <v>121.25</v>
      </c>
      <c r="Y137">
        <v>183.05</v>
      </c>
      <c r="Z137">
        <v>117.8</v>
      </c>
      <c r="AA137">
        <v>96.44</v>
      </c>
      <c r="AB137">
        <v>40.479999999999997</v>
      </c>
      <c r="AC137">
        <v>75.55</v>
      </c>
      <c r="AD137">
        <v>73.58</v>
      </c>
      <c r="AE137">
        <v>75.11</v>
      </c>
      <c r="AI137" s="2">
        <v>0</v>
      </c>
      <c r="AJ137" s="2">
        <f t="shared" si="83"/>
        <v>1090</v>
      </c>
      <c r="AK137" s="2">
        <f t="shared" si="83"/>
        <v>1090</v>
      </c>
      <c r="AL137" s="2">
        <f t="shared" si="83"/>
        <v>1090</v>
      </c>
      <c r="AM137" s="2">
        <f t="shared" si="83"/>
        <v>1090</v>
      </c>
      <c r="AN137" s="2">
        <f t="shared" si="83"/>
        <v>1090</v>
      </c>
      <c r="AO137" s="2">
        <f t="shared" si="83"/>
        <v>1090</v>
      </c>
      <c r="AP137" s="2">
        <v>0</v>
      </c>
      <c r="AQ137" s="2">
        <v>1000</v>
      </c>
      <c r="AR137" s="2">
        <v>0</v>
      </c>
      <c r="AS137" s="2">
        <v>1000</v>
      </c>
      <c r="AT137" s="2">
        <v>0</v>
      </c>
      <c r="AU137" s="2">
        <v>1000</v>
      </c>
      <c r="AV137" s="2">
        <v>1000</v>
      </c>
      <c r="AW137" s="2">
        <v>0</v>
      </c>
      <c r="AX137" s="2">
        <v>0</v>
      </c>
      <c r="AY137" s="2">
        <v>1000</v>
      </c>
      <c r="AZ137" s="2">
        <v>955</v>
      </c>
      <c r="BA137" s="2">
        <v>1084</v>
      </c>
      <c r="BB137" s="2">
        <v>911</v>
      </c>
      <c r="BC137" s="2">
        <v>-1000</v>
      </c>
      <c r="BD137" s="2">
        <v>1000</v>
      </c>
      <c r="BE137" s="2">
        <v>5000</v>
      </c>
      <c r="BF137" s="2">
        <v>3000</v>
      </c>
      <c r="BG137" s="2">
        <v>5000</v>
      </c>
      <c r="BH137" s="2">
        <v>2500</v>
      </c>
      <c r="BI137" s="2">
        <v>3000</v>
      </c>
      <c r="BJ137" s="2">
        <v>0</v>
      </c>
      <c r="BK137" s="2">
        <v>1000</v>
      </c>
      <c r="BL137" s="2">
        <v>1000</v>
      </c>
      <c r="BO137" s="2">
        <f t="shared" si="86"/>
        <v>0</v>
      </c>
      <c r="BP137" s="2">
        <f t="shared" si="53"/>
        <v>0</v>
      </c>
      <c r="BQ137" s="2">
        <f t="shared" si="54"/>
        <v>0</v>
      </c>
      <c r="BR137" s="2">
        <f t="shared" si="55"/>
        <v>0</v>
      </c>
      <c r="BS137" s="2">
        <f t="shared" si="56"/>
        <v>0</v>
      </c>
      <c r="BT137" s="2">
        <f t="shared" si="57"/>
        <v>0</v>
      </c>
      <c r="BU137" s="2">
        <f t="shared" si="58"/>
        <v>0</v>
      </c>
      <c r="BV137" s="2">
        <f t="shared" si="59"/>
        <v>0</v>
      </c>
      <c r="BW137" s="2">
        <f t="shared" si="60"/>
        <v>0</v>
      </c>
      <c r="BX137" s="2">
        <f t="shared" si="61"/>
        <v>0</v>
      </c>
      <c r="BY137" s="2">
        <f t="shared" si="62"/>
        <v>0</v>
      </c>
      <c r="BZ137" s="2">
        <f t="shared" si="63"/>
        <v>0</v>
      </c>
      <c r="CA137" s="2">
        <f t="shared" si="64"/>
        <v>0</v>
      </c>
      <c r="CB137" s="2">
        <f t="shared" si="65"/>
        <v>0</v>
      </c>
      <c r="CC137" s="2">
        <f t="shared" si="66"/>
        <v>0</v>
      </c>
      <c r="CD137" s="2">
        <f t="shared" si="67"/>
        <v>0</v>
      </c>
      <c r="CE137" s="2">
        <f t="shared" si="68"/>
        <v>0</v>
      </c>
      <c r="CF137" s="2">
        <f t="shared" si="69"/>
        <v>596.1</v>
      </c>
      <c r="CG137" s="2">
        <f t="shared" si="70"/>
        <v>-12764.49</v>
      </c>
      <c r="CH137" s="2">
        <f t="shared" si="71"/>
        <v>1415.5</v>
      </c>
      <c r="CI137" s="2">
        <f t="shared" si="72"/>
        <v>0</v>
      </c>
      <c r="CJ137" s="2">
        <f t="shared" si="73"/>
        <v>0</v>
      </c>
      <c r="CK137" s="2">
        <f t="shared" si="74"/>
        <v>0</v>
      </c>
      <c r="CL137" s="2">
        <f t="shared" si="75"/>
        <v>0</v>
      </c>
      <c r="CM137" s="2">
        <f t="shared" si="47"/>
        <v>0</v>
      </c>
      <c r="CN137" s="2">
        <f t="shared" si="48"/>
        <v>0</v>
      </c>
      <c r="CO137" s="2">
        <f t="shared" si="49"/>
        <v>0</v>
      </c>
      <c r="CP137" s="2">
        <f t="shared" si="50"/>
        <v>0</v>
      </c>
      <c r="CQ137" s="2">
        <f t="shared" si="51"/>
        <v>0</v>
      </c>
      <c r="CR137" s="2">
        <f t="shared" si="52"/>
        <v>0</v>
      </c>
      <c r="CV137" t="s">
        <v>64</v>
      </c>
      <c r="CW137" t="s">
        <v>210</v>
      </c>
      <c r="CX137" t="s">
        <v>4</v>
      </c>
      <c r="CY137" s="4">
        <v>42759</v>
      </c>
      <c r="CZ137" t="s">
        <v>65</v>
      </c>
      <c r="DA137" t="s">
        <v>66</v>
      </c>
      <c r="DB137">
        <v>10</v>
      </c>
      <c r="DC137">
        <v>91.55</v>
      </c>
      <c r="DD137" t="s">
        <v>69</v>
      </c>
      <c r="DE137" t="s">
        <v>70</v>
      </c>
      <c r="DF137">
        <v>915.5</v>
      </c>
    </row>
    <row r="138" spans="1:110" x14ac:dyDescent="0.25">
      <c r="A138" s="1">
        <v>42935</v>
      </c>
      <c r="B138">
        <v>147.04</v>
      </c>
      <c r="C138">
        <v>84.33</v>
      </c>
      <c r="D138">
        <v>203.47</v>
      </c>
      <c r="E138">
        <v>104.19</v>
      </c>
      <c r="F138">
        <v>30.46</v>
      </c>
      <c r="G138">
        <v>97.67</v>
      </c>
      <c r="H138">
        <v>104.31</v>
      </c>
      <c r="I138">
        <v>1</v>
      </c>
      <c r="J138">
        <v>218.41</v>
      </c>
      <c r="K138">
        <v>148.28</v>
      </c>
      <c r="L138">
        <v>136.69999999999999</v>
      </c>
      <c r="M138">
        <v>33.049999999999997</v>
      </c>
      <c r="N138">
        <v>130.01</v>
      </c>
      <c r="O138">
        <v>87.93</v>
      </c>
      <c r="P138">
        <v>42.64</v>
      </c>
      <c r="Q138">
        <v>148.32</v>
      </c>
      <c r="R138">
        <v>203</v>
      </c>
      <c r="S138">
        <v>59.81</v>
      </c>
      <c r="T138">
        <v>71.86</v>
      </c>
      <c r="U138">
        <v>56.74</v>
      </c>
      <c r="V138">
        <v>31.58</v>
      </c>
      <c r="W138">
        <v>84.04</v>
      </c>
      <c r="X138">
        <v>122.15</v>
      </c>
      <c r="Y138">
        <v>185.34</v>
      </c>
      <c r="Z138">
        <v>118.23</v>
      </c>
      <c r="AA138">
        <v>97.1</v>
      </c>
      <c r="AB138">
        <v>40.57</v>
      </c>
      <c r="AC138">
        <v>76.400000000000006</v>
      </c>
      <c r="AD138">
        <v>73.260000000000005</v>
      </c>
      <c r="AE138">
        <v>75.349999999999994</v>
      </c>
      <c r="AI138" s="2">
        <v>0</v>
      </c>
      <c r="AJ138" s="2">
        <f t="shared" si="83"/>
        <v>1090</v>
      </c>
      <c r="AK138" s="2">
        <f t="shared" si="83"/>
        <v>1090</v>
      </c>
      <c r="AL138" s="2">
        <f t="shared" si="83"/>
        <v>1090</v>
      </c>
      <c r="AM138" s="2">
        <f t="shared" si="83"/>
        <v>1090</v>
      </c>
      <c r="AN138" s="2">
        <f t="shared" si="83"/>
        <v>1090</v>
      </c>
      <c r="AO138" s="2">
        <f t="shared" si="83"/>
        <v>1090</v>
      </c>
      <c r="AP138" s="2">
        <v>0</v>
      </c>
      <c r="AQ138" s="2">
        <v>1000</v>
      </c>
      <c r="AR138" s="2">
        <v>0</v>
      </c>
      <c r="AS138" s="2">
        <v>1000</v>
      </c>
      <c r="AT138" s="2">
        <v>0</v>
      </c>
      <c r="AU138" s="2">
        <v>1000</v>
      </c>
      <c r="AV138" s="2">
        <v>1000</v>
      </c>
      <c r="AW138" s="2">
        <v>0</v>
      </c>
      <c r="AX138" s="2">
        <v>0</v>
      </c>
      <c r="AY138" s="2">
        <v>1000</v>
      </c>
      <c r="AZ138" s="2">
        <v>1015</v>
      </c>
      <c r="BA138" s="2">
        <v>1000</v>
      </c>
      <c r="BB138" s="2">
        <v>1036</v>
      </c>
      <c r="BC138" s="2">
        <v>-1000</v>
      </c>
      <c r="BD138" s="2">
        <v>-5000</v>
      </c>
      <c r="BE138" s="2">
        <v>5000</v>
      </c>
      <c r="BF138" s="2">
        <v>3000</v>
      </c>
      <c r="BG138" s="2">
        <v>5000</v>
      </c>
      <c r="BH138" s="2">
        <v>2500</v>
      </c>
      <c r="BI138" s="2">
        <v>3000</v>
      </c>
      <c r="BJ138" s="2">
        <v>0</v>
      </c>
      <c r="BK138" s="2">
        <v>1000</v>
      </c>
      <c r="BL138" s="2">
        <v>1000</v>
      </c>
      <c r="BO138" s="2">
        <f t="shared" si="86"/>
        <v>0</v>
      </c>
      <c r="BP138" s="2">
        <f t="shared" si="53"/>
        <v>0</v>
      </c>
      <c r="BQ138" s="2">
        <f t="shared" si="54"/>
        <v>0</v>
      </c>
      <c r="BR138" s="2">
        <f t="shared" si="55"/>
        <v>0</v>
      </c>
      <c r="BS138" s="2">
        <f t="shared" si="56"/>
        <v>0</v>
      </c>
      <c r="BT138" s="2">
        <f t="shared" si="57"/>
        <v>0</v>
      </c>
      <c r="BU138" s="2">
        <f t="shared" si="58"/>
        <v>0</v>
      </c>
      <c r="BV138" s="2">
        <f t="shared" si="59"/>
        <v>0</v>
      </c>
      <c r="BW138" s="2">
        <f t="shared" si="60"/>
        <v>0</v>
      </c>
      <c r="BX138" s="2">
        <f t="shared" si="61"/>
        <v>0</v>
      </c>
      <c r="BY138" s="2">
        <f t="shared" si="62"/>
        <v>0</v>
      </c>
      <c r="BZ138" s="2">
        <f t="shared" si="63"/>
        <v>0</v>
      </c>
      <c r="CA138" s="2">
        <f t="shared" si="64"/>
        <v>0</v>
      </c>
      <c r="CB138" s="2">
        <f t="shared" si="65"/>
        <v>0</v>
      </c>
      <c r="CC138" s="2">
        <f t="shared" si="66"/>
        <v>0</v>
      </c>
      <c r="CD138" s="2">
        <f t="shared" si="67"/>
        <v>0</v>
      </c>
      <c r="CE138" s="2">
        <f t="shared" si="68"/>
        <v>0</v>
      </c>
      <c r="CF138" s="2">
        <f t="shared" si="69"/>
        <v>-3588.6000000000004</v>
      </c>
      <c r="CG138" s="2">
        <f t="shared" si="70"/>
        <v>6036.24</v>
      </c>
      <c r="CH138" s="2">
        <f t="shared" si="71"/>
        <v>-7092.5</v>
      </c>
      <c r="CI138" s="2">
        <f t="shared" si="72"/>
        <v>0</v>
      </c>
      <c r="CJ138" s="2">
        <f t="shared" si="73"/>
        <v>504240.00000000006</v>
      </c>
      <c r="CK138" s="2">
        <f t="shared" si="74"/>
        <v>0</v>
      </c>
      <c r="CL138" s="2">
        <f t="shared" si="75"/>
        <v>0</v>
      </c>
      <c r="CM138" s="2">
        <f t="shared" si="47"/>
        <v>0</v>
      </c>
      <c r="CN138" s="2">
        <f t="shared" si="48"/>
        <v>0</v>
      </c>
      <c r="CO138" s="2">
        <f t="shared" si="49"/>
        <v>0</v>
      </c>
      <c r="CP138" s="2">
        <f t="shared" si="50"/>
        <v>0</v>
      </c>
      <c r="CQ138" s="2">
        <f t="shared" si="51"/>
        <v>0</v>
      </c>
      <c r="CR138" s="2">
        <f t="shared" si="52"/>
        <v>0</v>
      </c>
      <c r="CV138" t="s">
        <v>64</v>
      </c>
      <c r="CW138" t="s">
        <v>211</v>
      </c>
      <c r="CX138" t="s">
        <v>4</v>
      </c>
      <c r="CY138" s="4">
        <v>42779</v>
      </c>
      <c r="CZ138" t="s">
        <v>65</v>
      </c>
      <c r="DA138" t="s">
        <v>66</v>
      </c>
      <c r="DB138">
        <v>10</v>
      </c>
      <c r="DC138">
        <v>93.7</v>
      </c>
      <c r="DD138" t="s">
        <v>69</v>
      </c>
      <c r="DE138" t="s">
        <v>70</v>
      </c>
      <c r="DF138">
        <v>937</v>
      </c>
    </row>
    <row r="139" spans="1:110" x14ac:dyDescent="0.25">
      <c r="A139" s="1">
        <v>42936</v>
      </c>
      <c r="B139">
        <v>146.38</v>
      </c>
      <c r="C139">
        <v>83.76</v>
      </c>
      <c r="D139">
        <v>202.89</v>
      </c>
      <c r="E139">
        <v>103.68</v>
      </c>
      <c r="F139">
        <v>30.42</v>
      </c>
      <c r="G139">
        <v>97.83</v>
      </c>
      <c r="H139">
        <v>104.84</v>
      </c>
      <c r="I139">
        <v>1</v>
      </c>
      <c r="J139">
        <v>217.85</v>
      </c>
      <c r="K139">
        <v>142.22</v>
      </c>
      <c r="L139">
        <v>136.82</v>
      </c>
      <c r="M139">
        <v>33.24</v>
      </c>
      <c r="N139">
        <v>131.32</v>
      </c>
      <c r="O139">
        <v>87.93</v>
      </c>
      <c r="P139">
        <v>42.63</v>
      </c>
      <c r="Q139">
        <v>148.63</v>
      </c>
      <c r="R139">
        <v>203.34</v>
      </c>
      <c r="S139">
        <v>60.12</v>
      </c>
      <c r="T139">
        <v>72.209999999999994</v>
      </c>
      <c r="U139">
        <v>58.05</v>
      </c>
      <c r="V139">
        <v>31.5</v>
      </c>
      <c r="W139">
        <v>84.28</v>
      </c>
      <c r="X139">
        <v>120.32</v>
      </c>
      <c r="Y139">
        <v>187.6</v>
      </c>
      <c r="Z139">
        <v>117.63</v>
      </c>
      <c r="AA139">
        <v>96.96</v>
      </c>
      <c r="AB139">
        <v>41.29</v>
      </c>
      <c r="AC139">
        <v>76.63</v>
      </c>
      <c r="AD139">
        <v>73.41</v>
      </c>
      <c r="AE139">
        <v>75.36</v>
      </c>
      <c r="AI139" s="2">
        <v>2500</v>
      </c>
      <c r="AJ139" s="2">
        <f t="shared" si="83"/>
        <v>1090</v>
      </c>
      <c r="AK139" s="2">
        <f t="shared" si="83"/>
        <v>1090</v>
      </c>
      <c r="AL139" s="2">
        <f t="shared" si="83"/>
        <v>1090</v>
      </c>
      <c r="AM139" s="2">
        <f t="shared" si="83"/>
        <v>1090</v>
      </c>
      <c r="AN139" s="2">
        <f t="shared" si="83"/>
        <v>1090</v>
      </c>
      <c r="AO139" s="2">
        <f t="shared" si="83"/>
        <v>1090</v>
      </c>
      <c r="AP139" s="2">
        <v>0</v>
      </c>
      <c r="AQ139" s="2">
        <v>1000</v>
      </c>
      <c r="AR139" s="2">
        <v>0</v>
      </c>
      <c r="AS139" s="2">
        <v>1000</v>
      </c>
      <c r="AT139" s="2">
        <v>0</v>
      </c>
      <c r="AU139" s="2">
        <v>1000</v>
      </c>
      <c r="AV139" s="2">
        <v>1000</v>
      </c>
      <c r="AW139" s="2">
        <v>0</v>
      </c>
      <c r="AX139" s="2">
        <v>0</v>
      </c>
      <c r="AY139" s="2">
        <v>1000</v>
      </c>
      <c r="AZ139" s="2">
        <v>1031</v>
      </c>
      <c r="BA139" s="2">
        <v>1097</v>
      </c>
      <c r="BB139" s="2">
        <v>1052</v>
      </c>
      <c r="BC139" s="2">
        <v>-1000</v>
      </c>
      <c r="BD139" s="2">
        <v>-5000</v>
      </c>
      <c r="BE139" s="2">
        <v>5000</v>
      </c>
      <c r="BF139" s="2">
        <v>3000</v>
      </c>
      <c r="BG139" s="2">
        <v>5000</v>
      </c>
      <c r="BH139" s="2">
        <v>2500</v>
      </c>
      <c r="BI139" s="2">
        <v>3000</v>
      </c>
      <c r="BJ139" s="2">
        <v>0</v>
      </c>
      <c r="BK139" s="2">
        <v>1000</v>
      </c>
      <c r="BL139" s="2">
        <v>1000</v>
      </c>
      <c r="BO139" s="2">
        <f t="shared" si="86"/>
        <v>-365950</v>
      </c>
      <c r="BP139" s="2">
        <f t="shared" si="53"/>
        <v>0</v>
      </c>
      <c r="BQ139" s="2">
        <f t="shared" si="54"/>
        <v>0</v>
      </c>
      <c r="BR139" s="2">
        <f t="shared" si="55"/>
        <v>0</v>
      </c>
      <c r="BS139" s="2">
        <f t="shared" si="56"/>
        <v>0</v>
      </c>
      <c r="BT139" s="2">
        <f t="shared" si="57"/>
        <v>0</v>
      </c>
      <c r="BU139" s="2">
        <f t="shared" si="58"/>
        <v>0</v>
      </c>
      <c r="BV139" s="2">
        <f t="shared" si="59"/>
        <v>0</v>
      </c>
      <c r="BW139" s="2">
        <f t="shared" si="60"/>
        <v>0</v>
      </c>
      <c r="BX139" s="2">
        <f t="shared" si="61"/>
        <v>0</v>
      </c>
      <c r="BY139" s="2">
        <f t="shared" si="62"/>
        <v>0</v>
      </c>
      <c r="BZ139" s="2">
        <f t="shared" si="63"/>
        <v>0</v>
      </c>
      <c r="CA139" s="2">
        <f t="shared" si="64"/>
        <v>0</v>
      </c>
      <c r="CB139" s="2">
        <f t="shared" si="65"/>
        <v>0</v>
      </c>
      <c r="CC139" s="2">
        <f t="shared" si="66"/>
        <v>0</v>
      </c>
      <c r="CD139" s="2">
        <f t="shared" si="67"/>
        <v>0</v>
      </c>
      <c r="CE139" s="2">
        <f t="shared" si="68"/>
        <v>0</v>
      </c>
      <c r="CF139" s="2">
        <f t="shared" si="69"/>
        <v>-961.92</v>
      </c>
      <c r="CG139" s="2">
        <f t="shared" si="70"/>
        <v>-7004.369999999999</v>
      </c>
      <c r="CH139" s="2">
        <f t="shared" si="71"/>
        <v>-928.8</v>
      </c>
      <c r="CI139" s="2">
        <f t="shared" si="72"/>
        <v>0</v>
      </c>
      <c r="CJ139" s="2">
        <f t="shared" si="73"/>
        <v>0</v>
      </c>
      <c r="CK139" s="2">
        <f t="shared" si="74"/>
        <v>0</v>
      </c>
      <c r="CL139" s="2">
        <f t="shared" si="75"/>
        <v>0</v>
      </c>
      <c r="CM139" s="2">
        <f t="shared" ref="CM139:CM202" si="87">(BG138-BG139)*Z139</f>
        <v>0</v>
      </c>
      <c r="CN139" s="2">
        <f t="shared" ref="CN139:CN202" si="88">(BH138-BH139)*AA139</f>
        <v>0</v>
      </c>
      <c r="CO139" s="2">
        <f t="shared" ref="CO139:CO202" si="89">(BI138-BI139)*AB139</f>
        <v>0</v>
      </c>
      <c r="CP139" s="2">
        <f t="shared" ref="CP139:CP202" si="90">(BJ138-BJ139)*AC139</f>
        <v>0</v>
      </c>
      <c r="CQ139" s="2">
        <f t="shared" ref="CQ139:CQ202" si="91">(BK138-BK139)*AD139</f>
        <v>0</v>
      </c>
      <c r="CR139" s="2">
        <f t="shared" ref="CR139:CR202" si="92">(BL138-BL139)*AE139</f>
        <v>0</v>
      </c>
      <c r="CV139" t="s">
        <v>64</v>
      </c>
      <c r="CW139" t="s">
        <v>212</v>
      </c>
      <c r="CX139" t="s">
        <v>4</v>
      </c>
      <c r="CY139" s="4">
        <v>42800</v>
      </c>
      <c r="CZ139" t="s">
        <v>65</v>
      </c>
      <c r="DA139" t="s">
        <v>66</v>
      </c>
      <c r="DB139">
        <v>10</v>
      </c>
      <c r="DC139">
        <v>91</v>
      </c>
      <c r="DD139" t="s">
        <v>69</v>
      </c>
      <c r="DE139" t="s">
        <v>70</v>
      </c>
      <c r="DF139">
        <v>910</v>
      </c>
    </row>
    <row r="140" spans="1:110" x14ac:dyDescent="0.25">
      <c r="A140" s="1">
        <v>42937</v>
      </c>
      <c r="B140">
        <v>146.31</v>
      </c>
      <c r="C140">
        <v>84</v>
      </c>
      <c r="D140">
        <v>204.69</v>
      </c>
      <c r="E140">
        <v>102.98</v>
      </c>
      <c r="F140">
        <v>30.4</v>
      </c>
      <c r="G140">
        <v>96.54</v>
      </c>
      <c r="H140">
        <v>104.58</v>
      </c>
      <c r="I140">
        <v>1</v>
      </c>
      <c r="J140">
        <v>215.77</v>
      </c>
      <c r="K140">
        <v>141.85</v>
      </c>
      <c r="L140">
        <v>136.28</v>
      </c>
      <c r="M140">
        <v>33.22</v>
      </c>
      <c r="N140">
        <v>130.11000000000001</v>
      </c>
      <c r="O140">
        <v>87.63</v>
      </c>
      <c r="P140">
        <v>42.83</v>
      </c>
      <c r="Q140">
        <v>148.35</v>
      </c>
      <c r="R140">
        <v>202.1</v>
      </c>
      <c r="S140">
        <v>59.82</v>
      </c>
      <c r="T140">
        <v>71.790000000000006</v>
      </c>
      <c r="U140">
        <v>58.88</v>
      </c>
      <c r="V140">
        <v>31.45</v>
      </c>
      <c r="W140">
        <v>84.29</v>
      </c>
      <c r="X140">
        <v>120.88</v>
      </c>
      <c r="Y140">
        <v>187.88</v>
      </c>
      <c r="Z140">
        <v>118.63</v>
      </c>
      <c r="AA140">
        <v>98.44</v>
      </c>
      <c r="AB140">
        <v>41.29</v>
      </c>
      <c r="AC140">
        <v>75.77</v>
      </c>
      <c r="AD140">
        <v>73.53</v>
      </c>
      <c r="AE140">
        <v>74.67</v>
      </c>
      <c r="AI140" s="2">
        <v>2500</v>
      </c>
      <c r="AJ140" s="2">
        <f t="shared" si="83"/>
        <v>1090</v>
      </c>
      <c r="AK140" s="2">
        <f t="shared" si="83"/>
        <v>1090</v>
      </c>
      <c r="AL140" s="2">
        <f t="shared" si="83"/>
        <v>1090</v>
      </c>
      <c r="AM140" s="2">
        <f t="shared" si="83"/>
        <v>1090</v>
      </c>
      <c r="AN140" s="2">
        <f t="shared" si="83"/>
        <v>1090</v>
      </c>
      <c r="AO140" s="2">
        <f t="shared" si="83"/>
        <v>1090</v>
      </c>
      <c r="AP140" s="2">
        <v>0</v>
      </c>
      <c r="AQ140" s="2">
        <v>1000</v>
      </c>
      <c r="AR140" s="2">
        <v>0</v>
      </c>
      <c r="AS140" s="2">
        <v>1000</v>
      </c>
      <c r="AT140" s="2">
        <v>0</v>
      </c>
      <c r="AU140" s="2">
        <v>1000</v>
      </c>
      <c r="AV140" s="2">
        <v>1000</v>
      </c>
      <c r="AW140" s="2">
        <v>0</v>
      </c>
      <c r="AX140" s="2">
        <v>0</v>
      </c>
      <c r="AY140" s="2">
        <v>1000</v>
      </c>
      <c r="AZ140" s="2">
        <v>974</v>
      </c>
      <c r="BA140" s="2">
        <v>958</v>
      </c>
      <c r="BB140" s="2">
        <v>937</v>
      </c>
      <c r="BC140" s="2">
        <v>-1000</v>
      </c>
      <c r="BD140" s="2">
        <v>-5000</v>
      </c>
      <c r="BE140" s="2">
        <v>5000</v>
      </c>
      <c r="BF140" s="2">
        <v>3000</v>
      </c>
      <c r="BG140" s="2">
        <v>5000</v>
      </c>
      <c r="BH140" s="2">
        <v>2500</v>
      </c>
      <c r="BI140" s="2">
        <v>3000</v>
      </c>
      <c r="BJ140" s="2">
        <v>0</v>
      </c>
      <c r="BK140" s="2">
        <v>1000</v>
      </c>
      <c r="BL140" s="2">
        <v>1000</v>
      </c>
      <c r="BO140" s="2">
        <f t="shared" si="86"/>
        <v>0</v>
      </c>
      <c r="BP140" s="2">
        <f t="shared" ref="BP140:BP203" si="93">(AJ139-AJ140)*C140</f>
        <v>0</v>
      </c>
      <c r="BQ140" s="2">
        <f t="shared" ref="BQ140:BQ203" si="94">(AK139-AK140)*D140</f>
        <v>0</v>
      </c>
      <c r="BR140" s="2">
        <f t="shared" ref="BR140:BR203" si="95">(AL139-AL140)*E140</f>
        <v>0</v>
      </c>
      <c r="BS140" s="2">
        <f t="shared" ref="BS140:BS203" si="96">(AM139-AM140)*F140</f>
        <v>0</v>
      </c>
      <c r="BT140" s="2">
        <f t="shared" ref="BT140:BT203" si="97">(AN139-AN140)*G140</f>
        <v>0</v>
      </c>
      <c r="BU140" s="2">
        <f t="shared" ref="BU140:BU203" si="98">(AO139-AO140)*H140</f>
        <v>0</v>
      </c>
      <c r="BV140" s="2">
        <f t="shared" ref="BV140:BV203" si="99">(AP139-AP140)*I140</f>
        <v>0</v>
      </c>
      <c r="BW140" s="2">
        <f t="shared" ref="BW140:BW203" si="100">(AQ139-AQ140)*J140</f>
        <v>0</v>
      </c>
      <c r="BX140" s="2">
        <f t="shared" ref="BX140:BX203" si="101">(AR139-AR140)*K140</f>
        <v>0</v>
      </c>
      <c r="BY140" s="2">
        <f t="shared" ref="BY140:BY203" si="102">(AS139-AS140)*L140</f>
        <v>0</v>
      </c>
      <c r="BZ140" s="2">
        <f t="shared" ref="BZ140:BZ203" si="103">(AT139-AT140)*M140</f>
        <v>0</v>
      </c>
      <c r="CA140" s="2">
        <f t="shared" ref="CA140:CA203" si="104">(AU139-AU140)*N140</f>
        <v>0</v>
      </c>
      <c r="CB140" s="2">
        <f t="shared" ref="CB140:CB203" si="105">(AV139-AV140)*O140</f>
        <v>0</v>
      </c>
      <c r="CC140" s="2">
        <f t="shared" ref="CC140:CC203" si="106">(AW139-AW140)*P140</f>
        <v>0</v>
      </c>
      <c r="CD140" s="2">
        <f t="shared" ref="CD140:CD203" si="107">(AX139-AX140)*Q140</f>
        <v>0</v>
      </c>
      <c r="CE140" s="2">
        <f t="shared" ref="CE140:CE203" si="108">(AY139-AY140)*R140</f>
        <v>0</v>
      </c>
      <c r="CF140" s="2">
        <f t="shared" ref="CF140:CF203" si="109">(AZ139-AZ140)*S140</f>
        <v>3409.7400000000002</v>
      </c>
      <c r="CG140" s="2">
        <f t="shared" ref="CG140:CG203" si="110">(BA139-BA140)*T140</f>
        <v>9978.8100000000013</v>
      </c>
      <c r="CH140" s="2">
        <f t="shared" ref="CH140:CH203" si="111">(BB139-BB140)*U140</f>
        <v>6771.2000000000007</v>
      </c>
      <c r="CI140" s="2">
        <f t="shared" ref="CI140:CI203" si="112">(BC139-BC140)*V140</f>
        <v>0</v>
      </c>
      <c r="CJ140" s="2">
        <f t="shared" ref="CJ140:CJ203" si="113">(BD139-BD140)*W140</f>
        <v>0</v>
      </c>
      <c r="CK140" s="2">
        <f t="shared" ref="CK140:CK203" si="114">(BE139-BE140)*X140</f>
        <v>0</v>
      </c>
      <c r="CL140" s="2">
        <f t="shared" ref="CL140:CL203" si="115">(BF139-BF140)*Y140</f>
        <v>0</v>
      </c>
      <c r="CM140" s="2">
        <f t="shared" si="87"/>
        <v>0</v>
      </c>
      <c r="CN140" s="2">
        <f t="shared" si="88"/>
        <v>0</v>
      </c>
      <c r="CO140" s="2">
        <f t="shared" si="89"/>
        <v>0</v>
      </c>
      <c r="CP140" s="2">
        <f t="shared" si="90"/>
        <v>0</v>
      </c>
      <c r="CQ140" s="2">
        <f t="shared" si="91"/>
        <v>0</v>
      </c>
      <c r="CR140" s="2">
        <f t="shared" si="92"/>
        <v>0</v>
      </c>
      <c r="CV140" t="s">
        <v>64</v>
      </c>
      <c r="CW140" t="s">
        <v>213</v>
      </c>
      <c r="CX140" t="s">
        <v>4</v>
      </c>
      <c r="CY140" s="4">
        <v>42818</v>
      </c>
      <c r="CZ140" t="s">
        <v>65</v>
      </c>
      <c r="DA140" t="s">
        <v>66</v>
      </c>
      <c r="DB140">
        <v>10</v>
      </c>
      <c r="DC140">
        <v>87.66</v>
      </c>
      <c r="DD140" t="s">
        <v>69</v>
      </c>
      <c r="DE140" t="s">
        <v>70</v>
      </c>
      <c r="DF140">
        <v>876.59999999999991</v>
      </c>
    </row>
    <row r="141" spans="1:110" x14ac:dyDescent="0.25">
      <c r="A141" s="1">
        <v>42940</v>
      </c>
      <c r="B141">
        <v>148.08000000000001</v>
      </c>
      <c r="C141">
        <v>83.42</v>
      </c>
      <c r="D141">
        <v>204.73</v>
      </c>
      <c r="E141">
        <v>104.51</v>
      </c>
      <c r="F141">
        <v>30.42</v>
      </c>
      <c r="G141">
        <v>96.5</v>
      </c>
      <c r="H141">
        <v>104.49</v>
      </c>
      <c r="I141">
        <v>1</v>
      </c>
      <c r="J141">
        <v>213.81</v>
      </c>
      <c r="K141">
        <v>139.85</v>
      </c>
      <c r="L141">
        <v>135.27000000000001</v>
      </c>
      <c r="M141">
        <v>33</v>
      </c>
      <c r="N141">
        <v>127.9</v>
      </c>
      <c r="O141">
        <v>88</v>
      </c>
      <c r="P141">
        <v>42.65</v>
      </c>
      <c r="Q141">
        <v>146.35</v>
      </c>
      <c r="R141">
        <v>200.99</v>
      </c>
      <c r="S141">
        <v>59.76</v>
      </c>
      <c r="T141">
        <v>71.599999999999994</v>
      </c>
      <c r="U141">
        <v>57.9</v>
      </c>
      <c r="V141">
        <v>31.3</v>
      </c>
      <c r="W141">
        <v>83.88</v>
      </c>
      <c r="X141">
        <v>122.07</v>
      </c>
      <c r="Y141">
        <v>187.01</v>
      </c>
      <c r="Z141">
        <v>118.28</v>
      </c>
      <c r="AA141">
        <v>99.2</v>
      </c>
      <c r="AB141">
        <v>40.81</v>
      </c>
      <c r="AC141">
        <v>76.44</v>
      </c>
      <c r="AD141">
        <v>74.25</v>
      </c>
      <c r="AE141">
        <v>74.430000000000007</v>
      </c>
      <c r="AI141" s="2">
        <v>2500</v>
      </c>
      <c r="AJ141" s="2">
        <f t="shared" si="83"/>
        <v>1090</v>
      </c>
      <c r="AK141" s="2">
        <f t="shared" si="83"/>
        <v>1090</v>
      </c>
      <c r="AL141" s="2">
        <f t="shared" si="83"/>
        <v>1090</v>
      </c>
      <c r="AM141" s="2">
        <f t="shared" si="83"/>
        <v>1090</v>
      </c>
      <c r="AN141" s="2">
        <f t="shared" si="83"/>
        <v>1090</v>
      </c>
      <c r="AO141" s="2">
        <f t="shared" si="83"/>
        <v>1090</v>
      </c>
      <c r="AP141" s="2">
        <v>0</v>
      </c>
      <c r="AQ141" s="2">
        <v>1000</v>
      </c>
      <c r="AR141" s="2">
        <v>0</v>
      </c>
      <c r="AS141" s="2">
        <v>1000</v>
      </c>
      <c r="AT141" s="2">
        <v>0</v>
      </c>
      <c r="AU141" s="2">
        <v>1000</v>
      </c>
      <c r="AV141" s="2">
        <v>1000</v>
      </c>
      <c r="AW141" s="2">
        <v>0</v>
      </c>
      <c r="AX141" s="2">
        <v>0</v>
      </c>
      <c r="AY141" s="2">
        <v>1000</v>
      </c>
      <c r="AZ141" s="2">
        <v>974</v>
      </c>
      <c r="BA141" s="2">
        <v>1071</v>
      </c>
      <c r="BB141" s="2">
        <v>934</v>
      </c>
      <c r="BC141" s="2">
        <v>-1000</v>
      </c>
      <c r="BD141" s="2">
        <v>-5000</v>
      </c>
      <c r="BE141" s="2">
        <v>5000</v>
      </c>
      <c r="BF141" s="2">
        <v>3000</v>
      </c>
      <c r="BG141" s="2">
        <v>5000</v>
      </c>
      <c r="BH141" s="2">
        <v>2500</v>
      </c>
      <c r="BI141" s="2">
        <v>3000</v>
      </c>
      <c r="BJ141" s="2">
        <v>0</v>
      </c>
      <c r="BK141" s="2">
        <v>1000</v>
      </c>
      <c r="BL141" s="2">
        <v>1000</v>
      </c>
      <c r="BO141" s="2">
        <f t="shared" si="86"/>
        <v>0</v>
      </c>
      <c r="BP141" s="2">
        <f t="shared" si="93"/>
        <v>0</v>
      </c>
      <c r="BQ141" s="2">
        <f t="shared" si="94"/>
        <v>0</v>
      </c>
      <c r="BR141" s="2">
        <f t="shared" si="95"/>
        <v>0</v>
      </c>
      <c r="BS141" s="2">
        <f t="shared" si="96"/>
        <v>0</v>
      </c>
      <c r="BT141" s="2">
        <f t="shared" si="97"/>
        <v>0</v>
      </c>
      <c r="BU141" s="2">
        <f t="shared" si="98"/>
        <v>0</v>
      </c>
      <c r="BV141" s="2">
        <f t="shared" si="99"/>
        <v>0</v>
      </c>
      <c r="BW141" s="2">
        <f t="shared" si="100"/>
        <v>0</v>
      </c>
      <c r="BX141" s="2">
        <f t="shared" si="101"/>
        <v>0</v>
      </c>
      <c r="BY141" s="2">
        <f t="shared" si="102"/>
        <v>0</v>
      </c>
      <c r="BZ141" s="2">
        <f t="shared" si="103"/>
        <v>0</v>
      </c>
      <c r="CA141" s="2">
        <f t="shared" si="104"/>
        <v>0</v>
      </c>
      <c r="CB141" s="2">
        <f t="shared" si="105"/>
        <v>0</v>
      </c>
      <c r="CC141" s="2">
        <f t="shared" si="106"/>
        <v>0</v>
      </c>
      <c r="CD141" s="2">
        <f t="shared" si="107"/>
        <v>0</v>
      </c>
      <c r="CE141" s="2">
        <f t="shared" si="108"/>
        <v>0</v>
      </c>
      <c r="CF141" s="2">
        <f t="shared" si="109"/>
        <v>0</v>
      </c>
      <c r="CG141" s="2">
        <f t="shared" si="110"/>
        <v>-8090.7999999999993</v>
      </c>
      <c r="CH141" s="2">
        <f t="shared" si="111"/>
        <v>173.7</v>
      </c>
      <c r="CI141" s="2">
        <f t="shared" si="112"/>
        <v>0</v>
      </c>
      <c r="CJ141" s="2">
        <f t="shared" si="113"/>
        <v>0</v>
      </c>
      <c r="CK141" s="2">
        <f t="shared" si="114"/>
        <v>0</v>
      </c>
      <c r="CL141" s="2">
        <f t="shared" si="115"/>
        <v>0</v>
      </c>
      <c r="CM141" s="2">
        <f t="shared" si="87"/>
        <v>0</v>
      </c>
      <c r="CN141" s="2">
        <f t="shared" si="88"/>
        <v>0</v>
      </c>
      <c r="CO141" s="2">
        <f t="shared" si="89"/>
        <v>0</v>
      </c>
      <c r="CP141" s="2">
        <f t="shared" si="90"/>
        <v>0</v>
      </c>
      <c r="CQ141" s="2">
        <f t="shared" si="91"/>
        <v>0</v>
      </c>
      <c r="CR141" s="2">
        <f t="shared" si="92"/>
        <v>0</v>
      </c>
      <c r="CV141" t="s">
        <v>64</v>
      </c>
      <c r="CW141" t="s">
        <v>214</v>
      </c>
      <c r="CX141" t="s">
        <v>4</v>
      </c>
      <c r="CY141" s="4">
        <v>42838</v>
      </c>
      <c r="CZ141" t="s">
        <v>65</v>
      </c>
      <c r="DA141" t="s">
        <v>66</v>
      </c>
      <c r="DB141">
        <v>10</v>
      </c>
      <c r="DC141">
        <v>88.56</v>
      </c>
      <c r="DD141" t="s">
        <v>69</v>
      </c>
      <c r="DE141" t="s">
        <v>70</v>
      </c>
      <c r="DF141">
        <v>885.6</v>
      </c>
    </row>
    <row r="142" spans="1:110" x14ac:dyDescent="0.25">
      <c r="A142" s="1">
        <v>42941</v>
      </c>
      <c r="B142">
        <v>148.72</v>
      </c>
      <c r="C142">
        <v>83.82</v>
      </c>
      <c r="D142">
        <v>205</v>
      </c>
      <c r="E142">
        <v>110.66</v>
      </c>
      <c r="F142">
        <v>30.67</v>
      </c>
      <c r="G142">
        <v>97.61</v>
      </c>
      <c r="H142">
        <v>103.92</v>
      </c>
      <c r="I142">
        <v>1</v>
      </c>
      <c r="J142">
        <v>217.14</v>
      </c>
      <c r="K142">
        <v>142.16</v>
      </c>
      <c r="L142">
        <v>135.44999999999999</v>
      </c>
      <c r="M142">
        <v>33.159999999999997</v>
      </c>
      <c r="N142">
        <v>126.81</v>
      </c>
      <c r="O142">
        <v>89.47</v>
      </c>
      <c r="P142">
        <v>43.03</v>
      </c>
      <c r="Q142">
        <v>153.31</v>
      </c>
      <c r="R142">
        <v>190.84</v>
      </c>
      <c r="S142">
        <v>59.56</v>
      </c>
      <c r="T142">
        <v>72.180000000000007</v>
      </c>
      <c r="U142">
        <v>58.33</v>
      </c>
      <c r="V142">
        <v>31.09</v>
      </c>
      <c r="W142">
        <v>84.79</v>
      </c>
      <c r="X142">
        <v>123.11</v>
      </c>
      <c r="Y142">
        <v>186.53</v>
      </c>
      <c r="Z142">
        <v>115.68</v>
      </c>
      <c r="AA142">
        <v>98.82</v>
      </c>
      <c r="AB142">
        <v>41.06</v>
      </c>
      <c r="AC142">
        <v>76.88</v>
      </c>
      <c r="AD142">
        <v>75.819999999999993</v>
      </c>
      <c r="AE142">
        <v>74.81</v>
      </c>
      <c r="AI142" s="2">
        <v>5000</v>
      </c>
      <c r="AJ142" s="2">
        <f t="shared" ref="AJ142:AO142" si="116">AJ141+10</f>
        <v>1100</v>
      </c>
      <c r="AK142" s="2">
        <f t="shared" si="116"/>
        <v>1100</v>
      </c>
      <c r="AL142" s="2">
        <f t="shared" si="116"/>
        <v>1100</v>
      </c>
      <c r="AM142" s="2">
        <f t="shared" si="116"/>
        <v>1100</v>
      </c>
      <c r="AN142" s="2">
        <f t="shared" si="116"/>
        <v>1100</v>
      </c>
      <c r="AO142" s="2">
        <f t="shared" si="116"/>
        <v>1100</v>
      </c>
      <c r="AP142" s="2">
        <v>0</v>
      </c>
      <c r="AQ142" s="2">
        <v>1000</v>
      </c>
      <c r="AR142" s="2">
        <v>0</v>
      </c>
      <c r="AS142" s="2">
        <v>1000</v>
      </c>
      <c r="AT142" s="2">
        <v>0</v>
      </c>
      <c r="AU142" s="2">
        <v>1000</v>
      </c>
      <c r="AV142" s="2">
        <v>1000</v>
      </c>
      <c r="AW142" s="2">
        <v>0</v>
      </c>
      <c r="AX142" s="2">
        <v>0</v>
      </c>
      <c r="AY142" s="2">
        <v>1000</v>
      </c>
      <c r="AZ142" s="2">
        <v>982</v>
      </c>
      <c r="BA142" s="2">
        <v>969</v>
      </c>
      <c r="BB142" s="2">
        <v>944</v>
      </c>
      <c r="BC142" s="2">
        <v>-1000</v>
      </c>
      <c r="BD142" s="2">
        <v>-5000</v>
      </c>
      <c r="BE142" s="2">
        <v>5000</v>
      </c>
      <c r="BF142" s="2">
        <v>3000</v>
      </c>
      <c r="BG142" s="2">
        <v>5000</v>
      </c>
      <c r="BH142" s="2">
        <v>2500</v>
      </c>
      <c r="BI142" s="2">
        <v>3000</v>
      </c>
      <c r="BJ142" s="2">
        <v>0</v>
      </c>
      <c r="BK142" s="2">
        <v>1000</v>
      </c>
      <c r="BL142" s="2">
        <v>1000</v>
      </c>
      <c r="BO142" s="2">
        <f t="shared" si="86"/>
        <v>-371800</v>
      </c>
      <c r="BP142" s="2">
        <f t="shared" si="93"/>
        <v>-838.19999999999993</v>
      </c>
      <c r="BQ142" s="2">
        <f t="shared" si="94"/>
        <v>-2050</v>
      </c>
      <c r="BR142" s="2">
        <f t="shared" si="95"/>
        <v>-1106.5999999999999</v>
      </c>
      <c r="BS142" s="2">
        <f t="shared" si="96"/>
        <v>-306.70000000000005</v>
      </c>
      <c r="BT142" s="2">
        <f t="shared" si="97"/>
        <v>-976.1</v>
      </c>
      <c r="BU142" s="2">
        <f t="shared" si="98"/>
        <v>-1039.2</v>
      </c>
      <c r="BV142" s="2">
        <f t="shared" si="99"/>
        <v>0</v>
      </c>
      <c r="BW142" s="2">
        <f t="shared" si="100"/>
        <v>0</v>
      </c>
      <c r="BX142" s="2">
        <f t="shared" si="101"/>
        <v>0</v>
      </c>
      <c r="BY142" s="2">
        <f t="shared" si="102"/>
        <v>0</v>
      </c>
      <c r="BZ142" s="2">
        <f t="shared" si="103"/>
        <v>0</v>
      </c>
      <c r="CA142" s="2">
        <f t="shared" si="104"/>
        <v>0</v>
      </c>
      <c r="CB142" s="2">
        <f t="shared" si="105"/>
        <v>0</v>
      </c>
      <c r="CC142" s="2">
        <f t="shared" si="106"/>
        <v>0</v>
      </c>
      <c r="CD142" s="2">
        <f t="shared" si="107"/>
        <v>0</v>
      </c>
      <c r="CE142" s="2">
        <f t="shared" si="108"/>
        <v>0</v>
      </c>
      <c r="CF142" s="2">
        <f t="shared" si="109"/>
        <v>-476.48</v>
      </c>
      <c r="CG142" s="2">
        <f t="shared" si="110"/>
        <v>7362.3600000000006</v>
      </c>
      <c r="CH142" s="2">
        <f t="shared" si="111"/>
        <v>-583.29999999999995</v>
      </c>
      <c r="CI142" s="2">
        <f t="shared" si="112"/>
        <v>0</v>
      </c>
      <c r="CJ142" s="2">
        <f t="shared" si="113"/>
        <v>0</v>
      </c>
      <c r="CK142" s="2">
        <f t="shared" si="114"/>
        <v>0</v>
      </c>
      <c r="CL142" s="2">
        <f t="shared" si="115"/>
        <v>0</v>
      </c>
      <c r="CM142" s="2">
        <f t="shared" si="87"/>
        <v>0</v>
      </c>
      <c r="CN142" s="2">
        <f t="shared" si="88"/>
        <v>0</v>
      </c>
      <c r="CO142" s="2">
        <f t="shared" si="89"/>
        <v>0</v>
      </c>
      <c r="CP142" s="2">
        <f t="shared" si="90"/>
        <v>0</v>
      </c>
      <c r="CQ142" s="2">
        <f t="shared" si="91"/>
        <v>0</v>
      </c>
      <c r="CR142" s="2">
        <f t="shared" si="92"/>
        <v>0</v>
      </c>
      <c r="CV142" t="s">
        <v>64</v>
      </c>
      <c r="CW142" t="s">
        <v>215</v>
      </c>
      <c r="CX142" t="s">
        <v>4</v>
      </c>
      <c r="CY142" s="4">
        <v>42859</v>
      </c>
      <c r="CZ142" t="s">
        <v>65</v>
      </c>
      <c r="DA142" t="s">
        <v>66</v>
      </c>
      <c r="DB142">
        <v>10</v>
      </c>
      <c r="DC142">
        <v>95.33</v>
      </c>
      <c r="DD142" t="s">
        <v>69</v>
      </c>
      <c r="DE142" t="s">
        <v>70</v>
      </c>
      <c r="DF142">
        <v>953.3</v>
      </c>
    </row>
    <row r="143" spans="1:110" x14ac:dyDescent="0.25">
      <c r="A143" s="1">
        <v>42942</v>
      </c>
      <c r="B143">
        <v>149.41999999999999</v>
      </c>
      <c r="C143">
        <v>83.71</v>
      </c>
      <c r="D143">
        <v>225.25</v>
      </c>
      <c r="E143">
        <v>109.67</v>
      </c>
      <c r="F143">
        <v>30.23</v>
      </c>
      <c r="G143">
        <v>98.29</v>
      </c>
      <c r="H143">
        <v>104.43</v>
      </c>
      <c r="I143">
        <v>1</v>
      </c>
      <c r="J143">
        <v>217.8</v>
      </c>
      <c r="K143">
        <v>141.88999999999999</v>
      </c>
      <c r="L143">
        <v>134.68</v>
      </c>
      <c r="M143">
        <v>33.24</v>
      </c>
      <c r="N143">
        <v>125.92</v>
      </c>
      <c r="O143">
        <v>88.63</v>
      </c>
      <c r="P143">
        <v>43.51</v>
      </c>
      <c r="Q143">
        <v>150.84</v>
      </c>
      <c r="R143">
        <v>190.49</v>
      </c>
      <c r="S143">
        <v>59.03</v>
      </c>
      <c r="T143">
        <v>72.040000000000006</v>
      </c>
      <c r="U143">
        <v>57.32</v>
      </c>
      <c r="V143">
        <v>30.89</v>
      </c>
      <c r="W143">
        <v>84.95</v>
      </c>
      <c r="X143">
        <v>121.7</v>
      </c>
      <c r="Y143">
        <v>186.87</v>
      </c>
      <c r="Z143">
        <v>114.83</v>
      </c>
      <c r="AA143">
        <v>99.67</v>
      </c>
      <c r="AB143">
        <v>41.45</v>
      </c>
      <c r="AC143">
        <v>75.56</v>
      </c>
      <c r="AD143">
        <v>76.19</v>
      </c>
      <c r="AE143">
        <v>74.900000000000006</v>
      </c>
      <c r="AI143" s="2">
        <v>5000</v>
      </c>
      <c r="AJ143" s="2">
        <f t="shared" ref="AJ143:AO143" si="117">AJ142</f>
        <v>1100</v>
      </c>
      <c r="AK143" s="2">
        <f t="shared" si="117"/>
        <v>1100</v>
      </c>
      <c r="AL143" s="2">
        <f t="shared" si="117"/>
        <v>1100</v>
      </c>
      <c r="AM143" s="2">
        <f t="shared" si="117"/>
        <v>1100</v>
      </c>
      <c r="AN143" s="2">
        <f t="shared" si="117"/>
        <v>1100</v>
      </c>
      <c r="AO143" s="2">
        <f t="shared" si="117"/>
        <v>1100</v>
      </c>
      <c r="AP143" s="2">
        <v>0</v>
      </c>
      <c r="AQ143" s="2">
        <v>1000</v>
      </c>
      <c r="AR143" s="2">
        <v>0</v>
      </c>
      <c r="AS143" s="2">
        <v>1000</v>
      </c>
      <c r="AT143" s="2">
        <v>0</v>
      </c>
      <c r="AU143" s="2">
        <v>1000</v>
      </c>
      <c r="AV143" s="2">
        <v>1000</v>
      </c>
      <c r="AW143" s="2">
        <v>0</v>
      </c>
      <c r="AX143" s="2">
        <v>0</v>
      </c>
      <c r="AY143" s="2">
        <v>1000</v>
      </c>
      <c r="AZ143" s="2">
        <v>1050</v>
      </c>
      <c r="BA143" s="2">
        <v>1001</v>
      </c>
      <c r="BB143" s="2">
        <v>1039</v>
      </c>
      <c r="BC143" s="2">
        <v>-1000</v>
      </c>
      <c r="BD143" s="2">
        <v>-5000</v>
      </c>
      <c r="BE143" s="2">
        <v>5000</v>
      </c>
      <c r="BF143" s="2">
        <v>3000</v>
      </c>
      <c r="BG143" s="2">
        <v>5000</v>
      </c>
      <c r="BH143" s="2">
        <v>2500</v>
      </c>
      <c r="BI143" s="2">
        <v>3000</v>
      </c>
      <c r="BJ143" s="2">
        <v>0</v>
      </c>
      <c r="BK143" s="2">
        <v>1000</v>
      </c>
      <c r="BL143" s="2">
        <v>1000</v>
      </c>
      <c r="BO143" s="2">
        <f t="shared" si="86"/>
        <v>0</v>
      </c>
      <c r="BP143" s="2">
        <f t="shared" si="93"/>
        <v>0</v>
      </c>
      <c r="BQ143" s="2">
        <f t="shared" si="94"/>
        <v>0</v>
      </c>
      <c r="BR143" s="2">
        <f t="shared" si="95"/>
        <v>0</v>
      </c>
      <c r="BS143" s="2">
        <f t="shared" si="96"/>
        <v>0</v>
      </c>
      <c r="BT143" s="2">
        <f t="shared" si="97"/>
        <v>0</v>
      </c>
      <c r="BU143" s="2">
        <f t="shared" si="98"/>
        <v>0</v>
      </c>
      <c r="BV143" s="2">
        <f t="shared" si="99"/>
        <v>0</v>
      </c>
      <c r="BW143" s="2">
        <f t="shared" si="100"/>
        <v>0</v>
      </c>
      <c r="BX143" s="2">
        <f t="shared" si="101"/>
        <v>0</v>
      </c>
      <c r="BY143" s="2">
        <f t="shared" si="102"/>
        <v>0</v>
      </c>
      <c r="BZ143" s="2">
        <f t="shared" si="103"/>
        <v>0</v>
      </c>
      <c r="CA143" s="2">
        <f t="shared" si="104"/>
        <v>0</v>
      </c>
      <c r="CB143" s="2">
        <f t="shared" si="105"/>
        <v>0</v>
      </c>
      <c r="CC143" s="2">
        <f t="shared" si="106"/>
        <v>0</v>
      </c>
      <c r="CD143" s="2">
        <f t="shared" si="107"/>
        <v>0</v>
      </c>
      <c r="CE143" s="2">
        <f t="shared" si="108"/>
        <v>0</v>
      </c>
      <c r="CF143" s="2">
        <f t="shared" si="109"/>
        <v>-4014.04</v>
      </c>
      <c r="CG143" s="2">
        <f t="shared" si="110"/>
        <v>-2305.2800000000002</v>
      </c>
      <c r="CH143" s="2">
        <f t="shared" si="111"/>
        <v>-5445.4</v>
      </c>
      <c r="CI143" s="2">
        <f t="shared" si="112"/>
        <v>0</v>
      </c>
      <c r="CJ143" s="2">
        <f t="shared" si="113"/>
        <v>0</v>
      </c>
      <c r="CK143" s="2">
        <f t="shared" si="114"/>
        <v>0</v>
      </c>
      <c r="CL143" s="2">
        <f t="shared" si="115"/>
        <v>0</v>
      </c>
      <c r="CM143" s="2">
        <f t="shared" si="87"/>
        <v>0</v>
      </c>
      <c r="CN143" s="2">
        <f t="shared" si="88"/>
        <v>0</v>
      </c>
      <c r="CO143" s="2">
        <f t="shared" si="89"/>
        <v>0</v>
      </c>
      <c r="CP143" s="2">
        <f t="shared" si="90"/>
        <v>0</v>
      </c>
      <c r="CQ143" s="2">
        <f t="shared" si="91"/>
        <v>0</v>
      </c>
      <c r="CR143" s="2">
        <f t="shared" si="92"/>
        <v>0</v>
      </c>
      <c r="CV143" t="s">
        <v>64</v>
      </c>
      <c r="CW143" t="s">
        <v>216</v>
      </c>
      <c r="CX143" t="s">
        <v>4</v>
      </c>
      <c r="CY143" s="4">
        <v>42879</v>
      </c>
      <c r="CZ143" t="s">
        <v>65</v>
      </c>
      <c r="DA143" t="s">
        <v>66</v>
      </c>
      <c r="DB143">
        <v>10</v>
      </c>
      <c r="DC143">
        <v>99.71</v>
      </c>
      <c r="DD143" t="s">
        <v>69</v>
      </c>
      <c r="DE143" t="s">
        <v>70</v>
      </c>
      <c r="DF143">
        <v>997.09999999999991</v>
      </c>
    </row>
    <row r="144" spans="1:110" x14ac:dyDescent="0.25">
      <c r="A144" s="1">
        <v>42943</v>
      </c>
      <c r="B144">
        <v>146.59</v>
      </c>
      <c r="C144">
        <v>82.29</v>
      </c>
      <c r="D144">
        <v>232.54</v>
      </c>
      <c r="E144">
        <v>110.49</v>
      </c>
      <c r="F144">
        <v>30.14</v>
      </c>
      <c r="G144">
        <v>99.22</v>
      </c>
      <c r="H144">
        <v>107.42</v>
      </c>
      <c r="I144">
        <v>1</v>
      </c>
      <c r="J144">
        <v>217.04</v>
      </c>
      <c r="K144">
        <v>142.88999999999999</v>
      </c>
      <c r="L144">
        <v>134.41999999999999</v>
      </c>
      <c r="M144">
        <v>33.450000000000003</v>
      </c>
      <c r="N144">
        <v>125.8</v>
      </c>
      <c r="O144">
        <v>88.26</v>
      </c>
      <c r="P144">
        <v>43.87</v>
      </c>
      <c r="Q144">
        <v>151.27000000000001</v>
      </c>
      <c r="R144">
        <v>191.47</v>
      </c>
      <c r="S144">
        <v>60.83</v>
      </c>
      <c r="T144">
        <v>71.180000000000007</v>
      </c>
      <c r="U144">
        <v>57.11</v>
      </c>
      <c r="V144">
        <v>31</v>
      </c>
      <c r="W144">
        <v>86.26</v>
      </c>
      <c r="X144">
        <v>121.59</v>
      </c>
      <c r="Y144">
        <v>185.09</v>
      </c>
      <c r="Z144">
        <v>114.02</v>
      </c>
      <c r="AA144">
        <v>98.41</v>
      </c>
      <c r="AB144">
        <v>44.64</v>
      </c>
      <c r="AC144">
        <v>75.650000000000006</v>
      </c>
      <c r="AD144">
        <v>77.040000000000006</v>
      </c>
      <c r="AE144">
        <v>75.33</v>
      </c>
      <c r="AI144" s="2">
        <v>5000</v>
      </c>
      <c r="AJ144" s="2">
        <f t="shared" ref="AJ144:AO169" si="118">AJ143</f>
        <v>1100</v>
      </c>
      <c r="AK144" s="2">
        <f t="shared" si="118"/>
        <v>1100</v>
      </c>
      <c r="AL144" s="2">
        <f t="shared" si="118"/>
        <v>1100</v>
      </c>
      <c r="AM144" s="2">
        <f t="shared" si="118"/>
        <v>1100</v>
      </c>
      <c r="AN144" s="2">
        <f t="shared" si="118"/>
        <v>1100</v>
      </c>
      <c r="AO144" s="2">
        <f t="shared" si="118"/>
        <v>1100</v>
      </c>
      <c r="AP144" s="2">
        <v>0</v>
      </c>
      <c r="AQ144" s="2">
        <v>1000</v>
      </c>
      <c r="AR144" s="2">
        <v>0</v>
      </c>
      <c r="AS144" s="2">
        <v>1000</v>
      </c>
      <c r="AT144" s="2">
        <v>0</v>
      </c>
      <c r="AU144" s="2">
        <v>1000</v>
      </c>
      <c r="AV144" s="2">
        <v>1000</v>
      </c>
      <c r="AW144" s="2">
        <v>0</v>
      </c>
      <c r="AX144" s="2">
        <v>0</v>
      </c>
      <c r="AY144" s="2">
        <v>1000</v>
      </c>
      <c r="AZ144" s="2">
        <v>1047</v>
      </c>
      <c r="BA144" s="2">
        <v>1067</v>
      </c>
      <c r="BB144" s="2">
        <v>945</v>
      </c>
      <c r="BC144" s="2">
        <v>-1000</v>
      </c>
      <c r="BD144" s="2">
        <v>-5000</v>
      </c>
      <c r="BE144" s="2">
        <v>5000</v>
      </c>
      <c r="BF144" s="2">
        <v>3000</v>
      </c>
      <c r="BG144" s="2">
        <v>5000</v>
      </c>
      <c r="BH144" s="2">
        <v>5000</v>
      </c>
      <c r="BI144" s="2">
        <v>3000</v>
      </c>
      <c r="BJ144" s="2">
        <v>0</v>
      </c>
      <c r="BK144" s="2">
        <v>1000</v>
      </c>
      <c r="BL144" s="2">
        <v>1000</v>
      </c>
      <c r="BO144" s="2">
        <f t="shared" si="86"/>
        <v>0</v>
      </c>
      <c r="BP144" s="2">
        <f t="shared" si="93"/>
        <v>0</v>
      </c>
      <c r="BQ144" s="2">
        <f t="shared" si="94"/>
        <v>0</v>
      </c>
      <c r="BR144" s="2">
        <f t="shared" si="95"/>
        <v>0</v>
      </c>
      <c r="BS144" s="2">
        <f t="shared" si="96"/>
        <v>0</v>
      </c>
      <c r="BT144" s="2">
        <f t="shared" si="97"/>
        <v>0</v>
      </c>
      <c r="BU144" s="2">
        <f t="shared" si="98"/>
        <v>0</v>
      </c>
      <c r="BV144" s="2">
        <f t="shared" si="99"/>
        <v>0</v>
      </c>
      <c r="BW144" s="2">
        <f t="shared" si="100"/>
        <v>0</v>
      </c>
      <c r="BX144" s="2">
        <f t="shared" si="101"/>
        <v>0</v>
      </c>
      <c r="BY144" s="2">
        <f t="shared" si="102"/>
        <v>0</v>
      </c>
      <c r="BZ144" s="2">
        <f t="shared" si="103"/>
        <v>0</v>
      </c>
      <c r="CA144" s="2">
        <f t="shared" si="104"/>
        <v>0</v>
      </c>
      <c r="CB144" s="2">
        <f t="shared" si="105"/>
        <v>0</v>
      </c>
      <c r="CC144" s="2">
        <f t="shared" si="106"/>
        <v>0</v>
      </c>
      <c r="CD144" s="2">
        <f t="shared" si="107"/>
        <v>0</v>
      </c>
      <c r="CE144" s="2">
        <f t="shared" si="108"/>
        <v>0</v>
      </c>
      <c r="CF144" s="2">
        <f t="shared" si="109"/>
        <v>182.49</v>
      </c>
      <c r="CG144" s="2">
        <f t="shared" si="110"/>
        <v>-4697.88</v>
      </c>
      <c r="CH144" s="2">
        <f t="shared" si="111"/>
        <v>5368.34</v>
      </c>
      <c r="CI144" s="2">
        <f t="shared" si="112"/>
        <v>0</v>
      </c>
      <c r="CJ144" s="2">
        <f t="shared" si="113"/>
        <v>0</v>
      </c>
      <c r="CK144" s="2">
        <f t="shared" si="114"/>
        <v>0</v>
      </c>
      <c r="CL144" s="2">
        <f t="shared" si="115"/>
        <v>0</v>
      </c>
      <c r="CM144" s="2">
        <f t="shared" si="87"/>
        <v>0</v>
      </c>
      <c r="CN144" s="2">
        <f t="shared" si="88"/>
        <v>-246025</v>
      </c>
      <c r="CO144" s="2">
        <f t="shared" si="89"/>
        <v>0</v>
      </c>
      <c r="CP144" s="2">
        <f t="shared" si="90"/>
        <v>0</v>
      </c>
      <c r="CQ144" s="2">
        <f t="shared" si="91"/>
        <v>0</v>
      </c>
      <c r="CR144" s="2">
        <f t="shared" si="92"/>
        <v>0</v>
      </c>
      <c r="CV144" t="s">
        <v>64</v>
      </c>
      <c r="CW144" t="s">
        <v>217</v>
      </c>
      <c r="CX144" t="s">
        <v>4</v>
      </c>
      <c r="CY144" s="4">
        <v>42900</v>
      </c>
      <c r="CZ144" t="s">
        <v>65</v>
      </c>
      <c r="DA144" t="s">
        <v>66</v>
      </c>
      <c r="DB144">
        <v>10</v>
      </c>
      <c r="DC144">
        <v>100.44</v>
      </c>
      <c r="DD144" t="s">
        <v>69</v>
      </c>
      <c r="DE144" t="s">
        <v>70</v>
      </c>
      <c r="DF144">
        <v>1004.4</v>
      </c>
    </row>
    <row r="145" spans="1:110" x14ac:dyDescent="0.25">
      <c r="A145" s="1">
        <v>42944</v>
      </c>
      <c r="B145">
        <v>145.56</v>
      </c>
      <c r="C145">
        <v>83.22</v>
      </c>
      <c r="D145">
        <v>232.8</v>
      </c>
      <c r="E145">
        <v>110.23</v>
      </c>
      <c r="F145">
        <v>30.1</v>
      </c>
      <c r="G145">
        <v>101.1</v>
      </c>
      <c r="H145">
        <v>107.38</v>
      </c>
      <c r="I145">
        <v>1</v>
      </c>
      <c r="J145">
        <v>219.13</v>
      </c>
      <c r="K145">
        <v>143.22999999999999</v>
      </c>
      <c r="L145">
        <v>133.69</v>
      </c>
      <c r="M145">
        <v>33.770000000000003</v>
      </c>
      <c r="N145">
        <v>126.78</v>
      </c>
      <c r="O145">
        <v>88</v>
      </c>
      <c r="P145">
        <v>43.76</v>
      </c>
      <c r="Q145">
        <v>150.21</v>
      </c>
      <c r="R145">
        <v>191.15</v>
      </c>
      <c r="S145">
        <v>61.24</v>
      </c>
      <c r="T145">
        <v>71.06</v>
      </c>
      <c r="U145">
        <v>57.62</v>
      </c>
      <c r="V145">
        <v>31.14</v>
      </c>
      <c r="W145">
        <v>85.81</v>
      </c>
      <c r="X145">
        <v>122.87</v>
      </c>
      <c r="Y145">
        <v>187.26</v>
      </c>
      <c r="Z145">
        <v>114.19</v>
      </c>
      <c r="AA145">
        <v>97.99</v>
      </c>
      <c r="AB145">
        <v>44.76</v>
      </c>
      <c r="AC145">
        <v>76.459999999999994</v>
      </c>
      <c r="AD145">
        <v>77.069999999999993</v>
      </c>
      <c r="AE145">
        <v>74.180000000000007</v>
      </c>
      <c r="AI145" s="2">
        <v>5000</v>
      </c>
      <c r="AJ145" s="2">
        <f t="shared" si="118"/>
        <v>1100</v>
      </c>
      <c r="AK145" s="2">
        <f t="shared" si="118"/>
        <v>1100</v>
      </c>
      <c r="AL145" s="2">
        <f t="shared" si="118"/>
        <v>1100</v>
      </c>
      <c r="AM145" s="2">
        <f t="shared" si="118"/>
        <v>1100</v>
      </c>
      <c r="AN145" s="2">
        <f t="shared" si="118"/>
        <v>1100</v>
      </c>
      <c r="AO145" s="2">
        <f t="shared" si="118"/>
        <v>1100</v>
      </c>
      <c r="AP145" s="2">
        <v>0</v>
      </c>
      <c r="AQ145" s="2">
        <v>1000</v>
      </c>
      <c r="AR145" s="2">
        <v>0</v>
      </c>
      <c r="AS145" s="2">
        <v>1000</v>
      </c>
      <c r="AT145" s="2">
        <v>0</v>
      </c>
      <c r="AU145" s="2">
        <v>1000</v>
      </c>
      <c r="AV145" s="2">
        <v>1000</v>
      </c>
      <c r="AW145" s="2">
        <v>0</v>
      </c>
      <c r="AX145" s="2">
        <v>0</v>
      </c>
      <c r="AY145" s="2">
        <v>1000</v>
      </c>
      <c r="AZ145" s="2">
        <v>1001</v>
      </c>
      <c r="BA145" s="2">
        <v>970</v>
      </c>
      <c r="BB145" s="2">
        <v>933</v>
      </c>
      <c r="BC145" s="2">
        <v>-1000</v>
      </c>
      <c r="BD145" s="2">
        <v>-5000</v>
      </c>
      <c r="BE145" s="2">
        <v>5000</v>
      </c>
      <c r="BF145" s="2">
        <v>3000</v>
      </c>
      <c r="BG145" s="2">
        <v>5000</v>
      </c>
      <c r="BH145" s="2">
        <v>5000</v>
      </c>
      <c r="BI145" s="2">
        <v>3000</v>
      </c>
      <c r="BJ145" s="2">
        <v>0</v>
      </c>
      <c r="BK145" s="2">
        <v>1000</v>
      </c>
      <c r="BL145" s="2">
        <v>1000</v>
      </c>
      <c r="BO145" s="2">
        <f t="shared" si="86"/>
        <v>0</v>
      </c>
      <c r="BP145" s="2">
        <f t="shared" si="93"/>
        <v>0</v>
      </c>
      <c r="BQ145" s="2">
        <f t="shared" si="94"/>
        <v>0</v>
      </c>
      <c r="BR145" s="2">
        <f t="shared" si="95"/>
        <v>0</v>
      </c>
      <c r="BS145" s="2">
        <f t="shared" si="96"/>
        <v>0</v>
      </c>
      <c r="BT145" s="2">
        <f t="shared" si="97"/>
        <v>0</v>
      </c>
      <c r="BU145" s="2">
        <f t="shared" si="98"/>
        <v>0</v>
      </c>
      <c r="BV145" s="2">
        <f t="shared" si="99"/>
        <v>0</v>
      </c>
      <c r="BW145" s="2">
        <f t="shared" si="100"/>
        <v>0</v>
      </c>
      <c r="BX145" s="2">
        <f t="shared" si="101"/>
        <v>0</v>
      </c>
      <c r="BY145" s="2">
        <f t="shared" si="102"/>
        <v>0</v>
      </c>
      <c r="BZ145" s="2">
        <f t="shared" si="103"/>
        <v>0</v>
      </c>
      <c r="CA145" s="2">
        <f t="shared" si="104"/>
        <v>0</v>
      </c>
      <c r="CB145" s="2">
        <f t="shared" si="105"/>
        <v>0</v>
      </c>
      <c r="CC145" s="2">
        <f t="shared" si="106"/>
        <v>0</v>
      </c>
      <c r="CD145" s="2">
        <f t="shared" si="107"/>
        <v>0</v>
      </c>
      <c r="CE145" s="2">
        <f t="shared" si="108"/>
        <v>0</v>
      </c>
      <c r="CF145" s="2">
        <f t="shared" si="109"/>
        <v>2817.04</v>
      </c>
      <c r="CG145" s="2">
        <f t="shared" si="110"/>
        <v>6892.8200000000006</v>
      </c>
      <c r="CH145" s="2">
        <f t="shared" si="111"/>
        <v>691.43999999999994</v>
      </c>
      <c r="CI145" s="2">
        <f t="shared" si="112"/>
        <v>0</v>
      </c>
      <c r="CJ145" s="2">
        <f t="shared" si="113"/>
        <v>0</v>
      </c>
      <c r="CK145" s="2">
        <f t="shared" si="114"/>
        <v>0</v>
      </c>
      <c r="CL145" s="2">
        <f t="shared" si="115"/>
        <v>0</v>
      </c>
      <c r="CM145" s="2">
        <f t="shared" si="87"/>
        <v>0</v>
      </c>
      <c r="CN145" s="2">
        <f t="shared" si="88"/>
        <v>0</v>
      </c>
      <c r="CO145" s="2">
        <f t="shared" si="89"/>
        <v>0</v>
      </c>
      <c r="CP145" s="2">
        <f t="shared" si="90"/>
        <v>0</v>
      </c>
      <c r="CQ145" s="2">
        <f t="shared" si="91"/>
        <v>0</v>
      </c>
      <c r="CR145" s="2">
        <f t="shared" si="92"/>
        <v>0</v>
      </c>
      <c r="CV145" t="s">
        <v>64</v>
      </c>
      <c r="CW145" t="s">
        <v>218</v>
      </c>
      <c r="CX145" t="s">
        <v>4</v>
      </c>
      <c r="CY145" s="4">
        <v>42921</v>
      </c>
      <c r="CZ145" t="s">
        <v>65</v>
      </c>
      <c r="DA145" t="s">
        <v>66</v>
      </c>
      <c r="DB145">
        <v>10</v>
      </c>
      <c r="DC145">
        <v>103.1</v>
      </c>
      <c r="DD145" t="s">
        <v>69</v>
      </c>
      <c r="DE145" t="s">
        <v>70</v>
      </c>
      <c r="DF145">
        <v>1031</v>
      </c>
    </row>
    <row r="146" spans="1:110" x14ac:dyDescent="0.25">
      <c r="A146" s="1">
        <v>42947</v>
      </c>
      <c r="B146">
        <v>144.81</v>
      </c>
      <c r="C146">
        <v>83.64</v>
      </c>
      <c r="D146">
        <v>233.94</v>
      </c>
      <c r="E146">
        <v>110.09</v>
      </c>
      <c r="F146">
        <v>30.03</v>
      </c>
      <c r="G146">
        <v>102.1</v>
      </c>
      <c r="H146">
        <v>107.35</v>
      </c>
      <c r="I146">
        <v>1</v>
      </c>
      <c r="J146">
        <v>220.82</v>
      </c>
      <c r="K146">
        <v>144.69999999999999</v>
      </c>
      <c r="L146">
        <v>134.05000000000001</v>
      </c>
      <c r="M146">
        <v>33.93</v>
      </c>
      <c r="N146">
        <v>127.62</v>
      </c>
      <c r="O146">
        <v>88.5</v>
      </c>
      <c r="P146">
        <v>43.6</v>
      </c>
      <c r="Q146">
        <v>149.52000000000001</v>
      </c>
      <c r="R146">
        <v>192.54</v>
      </c>
      <c r="S146">
        <v>61.02</v>
      </c>
      <c r="T146">
        <v>70.73</v>
      </c>
      <c r="U146">
        <v>58</v>
      </c>
      <c r="V146">
        <v>31.15</v>
      </c>
      <c r="W146">
        <v>86.39</v>
      </c>
      <c r="X146">
        <v>123.72</v>
      </c>
      <c r="Y146">
        <v>187.91</v>
      </c>
      <c r="Z146">
        <v>113.9</v>
      </c>
      <c r="AA146">
        <v>98.4</v>
      </c>
      <c r="AB146">
        <v>45.19</v>
      </c>
      <c r="AC146">
        <v>77.47</v>
      </c>
      <c r="AD146">
        <v>77.239999999999995</v>
      </c>
      <c r="AE146">
        <v>74.59</v>
      </c>
      <c r="AI146" s="2">
        <v>5000</v>
      </c>
      <c r="AJ146" s="2">
        <f t="shared" si="118"/>
        <v>1100</v>
      </c>
      <c r="AK146" s="2">
        <f t="shared" si="118"/>
        <v>1100</v>
      </c>
      <c r="AL146" s="2">
        <f t="shared" si="118"/>
        <v>1100</v>
      </c>
      <c r="AM146" s="2">
        <f t="shared" si="118"/>
        <v>1100</v>
      </c>
      <c r="AN146" s="2">
        <f t="shared" si="118"/>
        <v>1100</v>
      </c>
      <c r="AO146" s="2">
        <f t="shared" si="118"/>
        <v>1100</v>
      </c>
      <c r="AP146" s="2">
        <v>0</v>
      </c>
      <c r="AQ146" s="2">
        <v>1000</v>
      </c>
      <c r="AR146" s="2">
        <v>0</v>
      </c>
      <c r="AS146" s="2">
        <v>1000</v>
      </c>
      <c r="AT146" s="2">
        <v>0</v>
      </c>
      <c r="AU146" s="2">
        <v>1000</v>
      </c>
      <c r="AV146" s="2">
        <v>1000</v>
      </c>
      <c r="AW146" s="2">
        <v>0</v>
      </c>
      <c r="AX146" s="2">
        <v>0</v>
      </c>
      <c r="AY146" s="2">
        <v>1000</v>
      </c>
      <c r="AZ146" s="2">
        <v>962</v>
      </c>
      <c r="BA146" s="2">
        <v>987</v>
      </c>
      <c r="BB146" s="2">
        <v>1037</v>
      </c>
      <c r="BC146" s="2">
        <v>-1000</v>
      </c>
      <c r="BD146" s="2">
        <v>-5000</v>
      </c>
      <c r="BE146" s="2">
        <v>5000</v>
      </c>
      <c r="BF146" s="2">
        <v>3000</v>
      </c>
      <c r="BG146" s="2">
        <v>5000</v>
      </c>
      <c r="BH146" s="2">
        <v>5000</v>
      </c>
      <c r="BI146" s="2">
        <v>3000</v>
      </c>
      <c r="BJ146" s="2">
        <v>0</v>
      </c>
      <c r="BK146" s="2">
        <v>1000</v>
      </c>
      <c r="BL146" s="2">
        <v>1000</v>
      </c>
      <c r="BO146" s="2">
        <f t="shared" si="86"/>
        <v>0</v>
      </c>
      <c r="BP146" s="2">
        <f t="shared" si="93"/>
        <v>0</v>
      </c>
      <c r="BQ146" s="2">
        <f t="shared" si="94"/>
        <v>0</v>
      </c>
      <c r="BR146" s="2">
        <f t="shared" si="95"/>
        <v>0</v>
      </c>
      <c r="BS146" s="2">
        <f t="shared" si="96"/>
        <v>0</v>
      </c>
      <c r="BT146" s="2">
        <f t="shared" si="97"/>
        <v>0</v>
      </c>
      <c r="BU146" s="2">
        <f t="shared" si="98"/>
        <v>0</v>
      </c>
      <c r="BV146" s="2">
        <f t="shared" si="99"/>
        <v>0</v>
      </c>
      <c r="BW146" s="2">
        <f t="shared" si="100"/>
        <v>0</v>
      </c>
      <c r="BX146" s="2">
        <f t="shared" si="101"/>
        <v>0</v>
      </c>
      <c r="BY146" s="2">
        <f t="shared" si="102"/>
        <v>0</v>
      </c>
      <c r="BZ146" s="2">
        <f t="shared" si="103"/>
        <v>0</v>
      </c>
      <c r="CA146" s="2">
        <f t="shared" si="104"/>
        <v>0</v>
      </c>
      <c r="CB146" s="2">
        <f t="shared" si="105"/>
        <v>0</v>
      </c>
      <c r="CC146" s="2">
        <f t="shared" si="106"/>
        <v>0</v>
      </c>
      <c r="CD146" s="2">
        <f t="shared" si="107"/>
        <v>0</v>
      </c>
      <c r="CE146" s="2">
        <f t="shared" si="108"/>
        <v>0</v>
      </c>
      <c r="CF146" s="2">
        <f t="shared" si="109"/>
        <v>2379.7800000000002</v>
      </c>
      <c r="CG146" s="2">
        <f t="shared" si="110"/>
        <v>-1202.4100000000001</v>
      </c>
      <c r="CH146" s="2">
        <f t="shared" si="111"/>
        <v>-6032</v>
      </c>
      <c r="CI146" s="2">
        <f t="shared" si="112"/>
        <v>0</v>
      </c>
      <c r="CJ146" s="2">
        <f t="shared" si="113"/>
        <v>0</v>
      </c>
      <c r="CK146" s="2">
        <f t="shared" si="114"/>
        <v>0</v>
      </c>
      <c r="CL146" s="2">
        <f t="shared" si="115"/>
        <v>0</v>
      </c>
      <c r="CM146" s="2">
        <f t="shared" si="87"/>
        <v>0</v>
      </c>
      <c r="CN146" s="2">
        <f t="shared" si="88"/>
        <v>0</v>
      </c>
      <c r="CO146" s="2">
        <f t="shared" si="89"/>
        <v>0</v>
      </c>
      <c r="CP146" s="2">
        <f t="shared" si="90"/>
        <v>0</v>
      </c>
      <c r="CQ146" s="2">
        <f t="shared" si="91"/>
        <v>0</v>
      </c>
      <c r="CR146" s="2">
        <f t="shared" si="92"/>
        <v>0</v>
      </c>
      <c r="CV146" t="s">
        <v>64</v>
      </c>
      <c r="CW146" t="s">
        <v>219</v>
      </c>
      <c r="CX146" t="s">
        <v>4</v>
      </c>
      <c r="CY146" s="4">
        <v>42941</v>
      </c>
      <c r="CZ146" t="s">
        <v>65</v>
      </c>
      <c r="DA146" t="s">
        <v>66</v>
      </c>
      <c r="DB146">
        <v>10</v>
      </c>
      <c r="DC146">
        <v>110.66</v>
      </c>
      <c r="DD146" t="s">
        <v>69</v>
      </c>
      <c r="DE146" t="s">
        <v>70</v>
      </c>
      <c r="DF146">
        <v>1106.5999999999999</v>
      </c>
    </row>
    <row r="147" spans="1:110" x14ac:dyDescent="0.25">
      <c r="A147" s="1">
        <v>42948</v>
      </c>
      <c r="B147">
        <v>146.1</v>
      </c>
      <c r="C147">
        <v>83.65</v>
      </c>
      <c r="D147">
        <v>231.03</v>
      </c>
      <c r="E147">
        <v>109.27</v>
      </c>
      <c r="F147">
        <v>30.22</v>
      </c>
      <c r="G147">
        <v>103.58</v>
      </c>
      <c r="H147">
        <v>108.01</v>
      </c>
      <c r="I147">
        <v>1</v>
      </c>
      <c r="J147">
        <v>222.45</v>
      </c>
      <c r="K147">
        <v>144.94</v>
      </c>
      <c r="L147">
        <v>134.63</v>
      </c>
      <c r="M147">
        <v>34.770000000000003</v>
      </c>
      <c r="N147">
        <v>127.42</v>
      </c>
      <c r="O147">
        <v>89.69</v>
      </c>
      <c r="P147">
        <v>43.47</v>
      </c>
      <c r="Q147">
        <v>148.46</v>
      </c>
      <c r="R147">
        <v>194.47</v>
      </c>
      <c r="S147">
        <v>61.05</v>
      </c>
      <c r="T147">
        <v>70.61</v>
      </c>
      <c r="U147">
        <v>58.77</v>
      </c>
      <c r="V147">
        <v>31.07</v>
      </c>
      <c r="W147">
        <v>86.66</v>
      </c>
      <c r="X147">
        <v>124.8</v>
      </c>
      <c r="Y147">
        <v>188.32</v>
      </c>
      <c r="Z147">
        <v>114.2</v>
      </c>
      <c r="AA147">
        <v>99.69</v>
      </c>
      <c r="AB147">
        <v>45.65</v>
      </c>
      <c r="AC147">
        <v>77.91</v>
      </c>
      <c r="AD147">
        <v>77.73</v>
      </c>
      <c r="AE147">
        <v>74.709999999999994</v>
      </c>
      <c r="AI147" s="2">
        <v>5000</v>
      </c>
      <c r="AJ147" s="2">
        <f t="shared" si="118"/>
        <v>1100</v>
      </c>
      <c r="AK147" s="2">
        <f t="shared" si="118"/>
        <v>1100</v>
      </c>
      <c r="AL147" s="2">
        <f t="shared" si="118"/>
        <v>1100</v>
      </c>
      <c r="AM147" s="2">
        <f t="shared" si="118"/>
        <v>1100</v>
      </c>
      <c r="AN147" s="2">
        <f t="shared" si="118"/>
        <v>1100</v>
      </c>
      <c r="AO147" s="2">
        <f t="shared" si="118"/>
        <v>1100</v>
      </c>
      <c r="AP147" s="2">
        <v>0</v>
      </c>
      <c r="AQ147" s="2">
        <v>1000</v>
      </c>
      <c r="AR147" s="2">
        <v>0</v>
      </c>
      <c r="AS147" s="2">
        <v>1000</v>
      </c>
      <c r="AT147" s="2">
        <v>0</v>
      </c>
      <c r="AU147" s="2">
        <v>1000</v>
      </c>
      <c r="AV147" s="2">
        <v>1000</v>
      </c>
      <c r="AW147" s="2">
        <v>0</v>
      </c>
      <c r="AX147" s="2">
        <v>0</v>
      </c>
      <c r="AY147" s="2">
        <v>1000</v>
      </c>
      <c r="AZ147" s="2">
        <v>1013</v>
      </c>
      <c r="BA147" s="2">
        <v>1097</v>
      </c>
      <c r="BB147" s="2">
        <v>1018</v>
      </c>
      <c r="BC147" s="2">
        <v>-1000</v>
      </c>
      <c r="BD147" s="2">
        <v>-5000</v>
      </c>
      <c r="BE147" s="2">
        <v>5000</v>
      </c>
      <c r="BF147" s="2">
        <v>3000</v>
      </c>
      <c r="BG147" s="2">
        <v>5000</v>
      </c>
      <c r="BH147" s="2">
        <v>5000</v>
      </c>
      <c r="BI147" s="2">
        <v>3000</v>
      </c>
      <c r="BJ147" s="2">
        <v>0</v>
      </c>
      <c r="BK147" s="2">
        <v>1000</v>
      </c>
      <c r="BL147" s="2">
        <v>1000</v>
      </c>
      <c r="BO147" s="2">
        <f t="shared" si="86"/>
        <v>0</v>
      </c>
      <c r="BP147" s="2">
        <f t="shared" si="93"/>
        <v>0</v>
      </c>
      <c r="BQ147" s="2">
        <f t="shared" si="94"/>
        <v>0</v>
      </c>
      <c r="BR147" s="2">
        <f t="shared" si="95"/>
        <v>0</v>
      </c>
      <c r="BS147" s="2">
        <f t="shared" si="96"/>
        <v>0</v>
      </c>
      <c r="BT147" s="2">
        <f t="shared" si="97"/>
        <v>0</v>
      </c>
      <c r="BU147" s="2">
        <f t="shared" si="98"/>
        <v>0</v>
      </c>
      <c r="BV147" s="2">
        <f t="shared" si="99"/>
        <v>0</v>
      </c>
      <c r="BW147" s="2">
        <f t="shared" si="100"/>
        <v>0</v>
      </c>
      <c r="BX147" s="2">
        <f t="shared" si="101"/>
        <v>0</v>
      </c>
      <c r="BY147" s="2">
        <f t="shared" si="102"/>
        <v>0</v>
      </c>
      <c r="BZ147" s="2">
        <f t="shared" si="103"/>
        <v>0</v>
      </c>
      <c r="CA147" s="2">
        <f t="shared" si="104"/>
        <v>0</v>
      </c>
      <c r="CB147" s="2">
        <f t="shared" si="105"/>
        <v>0</v>
      </c>
      <c r="CC147" s="2">
        <f t="shared" si="106"/>
        <v>0</v>
      </c>
      <c r="CD147" s="2">
        <f t="shared" si="107"/>
        <v>0</v>
      </c>
      <c r="CE147" s="2">
        <f t="shared" si="108"/>
        <v>0</v>
      </c>
      <c r="CF147" s="2">
        <f t="shared" si="109"/>
        <v>-3113.5499999999997</v>
      </c>
      <c r="CG147" s="2">
        <f t="shared" si="110"/>
        <v>-7767.1</v>
      </c>
      <c r="CH147" s="2">
        <f t="shared" si="111"/>
        <v>1116.6300000000001</v>
      </c>
      <c r="CI147" s="2">
        <f t="shared" si="112"/>
        <v>0</v>
      </c>
      <c r="CJ147" s="2">
        <f t="shared" si="113"/>
        <v>0</v>
      </c>
      <c r="CK147" s="2">
        <f t="shared" si="114"/>
        <v>0</v>
      </c>
      <c r="CL147" s="2">
        <f t="shared" si="115"/>
        <v>0</v>
      </c>
      <c r="CM147" s="2">
        <f t="shared" si="87"/>
        <v>0</v>
      </c>
      <c r="CN147" s="2">
        <f t="shared" si="88"/>
        <v>0</v>
      </c>
      <c r="CO147" s="2">
        <f t="shared" si="89"/>
        <v>0</v>
      </c>
      <c r="CP147" s="2">
        <f t="shared" si="90"/>
        <v>0</v>
      </c>
      <c r="CQ147" s="2">
        <f t="shared" si="91"/>
        <v>0</v>
      </c>
      <c r="CR147" s="2">
        <f t="shared" si="92"/>
        <v>0</v>
      </c>
      <c r="CV147" t="s">
        <v>64</v>
      </c>
      <c r="CW147" t="s">
        <v>220</v>
      </c>
      <c r="CX147" t="s">
        <v>4</v>
      </c>
      <c r="CY147" s="4">
        <v>42961</v>
      </c>
      <c r="CZ147" t="s">
        <v>65</v>
      </c>
      <c r="DA147" t="s">
        <v>66</v>
      </c>
      <c r="DB147">
        <v>10</v>
      </c>
      <c r="DC147">
        <v>109.86</v>
      </c>
      <c r="DD147" t="s">
        <v>69</v>
      </c>
      <c r="DE147" t="s">
        <v>70</v>
      </c>
      <c r="DF147">
        <v>1098.5999999999999</v>
      </c>
    </row>
    <row r="148" spans="1:110" x14ac:dyDescent="0.25">
      <c r="A148" s="1">
        <v>42949</v>
      </c>
      <c r="B148">
        <v>153</v>
      </c>
      <c r="C148">
        <v>83.71</v>
      </c>
      <c r="D148">
        <v>229.59</v>
      </c>
      <c r="E148">
        <v>109.26</v>
      </c>
      <c r="F148">
        <v>30.1</v>
      </c>
      <c r="G148">
        <v>103.28</v>
      </c>
      <c r="H148">
        <v>106.12</v>
      </c>
      <c r="I148">
        <v>1</v>
      </c>
      <c r="J148">
        <v>221.74</v>
      </c>
      <c r="K148">
        <v>145.57</v>
      </c>
      <c r="L148">
        <v>133.84</v>
      </c>
      <c r="M148">
        <v>35.04</v>
      </c>
      <c r="N148">
        <v>127.08</v>
      </c>
      <c r="O148">
        <v>89.77</v>
      </c>
      <c r="P148">
        <v>43.36</v>
      </c>
      <c r="Q148">
        <v>150.91999999999999</v>
      </c>
      <c r="R148">
        <v>196.6</v>
      </c>
      <c r="S148">
        <v>60.6</v>
      </c>
      <c r="T148">
        <v>70.3</v>
      </c>
      <c r="U148">
        <v>58.72</v>
      </c>
      <c r="V148">
        <v>31.22</v>
      </c>
      <c r="W148">
        <v>86.6</v>
      </c>
      <c r="X148">
        <v>124.34</v>
      </c>
      <c r="Y148">
        <v>189.07</v>
      </c>
      <c r="Z148">
        <v>115.61</v>
      </c>
      <c r="AA148">
        <v>100.1</v>
      </c>
      <c r="AB148">
        <v>45.01</v>
      </c>
      <c r="AC148">
        <v>77.81</v>
      </c>
      <c r="AD148">
        <v>77.760000000000005</v>
      </c>
      <c r="AE148">
        <v>75.11</v>
      </c>
      <c r="AI148" s="2">
        <v>5000</v>
      </c>
      <c r="AJ148" s="2">
        <f t="shared" si="118"/>
        <v>1100</v>
      </c>
      <c r="AK148" s="2">
        <f t="shared" si="118"/>
        <v>1100</v>
      </c>
      <c r="AL148" s="2">
        <f t="shared" si="118"/>
        <v>1100</v>
      </c>
      <c r="AM148" s="2">
        <f t="shared" si="118"/>
        <v>1100</v>
      </c>
      <c r="AN148" s="2">
        <f t="shared" si="118"/>
        <v>1100</v>
      </c>
      <c r="AO148" s="2">
        <f t="shared" si="118"/>
        <v>1100</v>
      </c>
      <c r="AP148" s="2">
        <v>0</v>
      </c>
      <c r="AQ148" s="2">
        <v>1000</v>
      </c>
      <c r="AR148" s="2">
        <v>0</v>
      </c>
      <c r="AS148" s="2">
        <v>1000</v>
      </c>
      <c r="AT148" s="2">
        <v>0</v>
      </c>
      <c r="AU148" s="2">
        <v>1000</v>
      </c>
      <c r="AV148" s="2">
        <v>1000</v>
      </c>
      <c r="AW148" s="2">
        <v>0</v>
      </c>
      <c r="AX148" s="2">
        <v>0</v>
      </c>
      <c r="AY148" s="2">
        <v>1000</v>
      </c>
      <c r="AZ148" s="2">
        <v>985</v>
      </c>
      <c r="BA148" s="2">
        <v>1035</v>
      </c>
      <c r="BB148" s="2">
        <v>975</v>
      </c>
      <c r="BC148" s="2">
        <v>-1000</v>
      </c>
      <c r="BD148" s="2">
        <v>-5000</v>
      </c>
      <c r="BE148" s="2">
        <v>5000</v>
      </c>
      <c r="BF148" s="2">
        <v>3000</v>
      </c>
      <c r="BG148" s="2">
        <v>5000</v>
      </c>
      <c r="BH148" s="2">
        <v>5000</v>
      </c>
      <c r="BI148" s="2">
        <v>3000</v>
      </c>
      <c r="BJ148" s="2">
        <v>0</v>
      </c>
      <c r="BK148" s="2">
        <v>1000</v>
      </c>
      <c r="BL148" s="2">
        <v>1000</v>
      </c>
      <c r="BO148" s="2">
        <f t="shared" si="86"/>
        <v>0</v>
      </c>
      <c r="BP148" s="2">
        <f t="shared" si="93"/>
        <v>0</v>
      </c>
      <c r="BQ148" s="2">
        <f t="shared" si="94"/>
        <v>0</v>
      </c>
      <c r="BR148" s="2">
        <f t="shared" si="95"/>
        <v>0</v>
      </c>
      <c r="BS148" s="2">
        <f t="shared" si="96"/>
        <v>0</v>
      </c>
      <c r="BT148" s="2">
        <f t="shared" si="97"/>
        <v>0</v>
      </c>
      <c r="BU148" s="2">
        <f t="shared" si="98"/>
        <v>0</v>
      </c>
      <c r="BV148" s="2">
        <f t="shared" si="99"/>
        <v>0</v>
      </c>
      <c r="BW148" s="2">
        <f t="shared" si="100"/>
        <v>0</v>
      </c>
      <c r="BX148" s="2">
        <f t="shared" si="101"/>
        <v>0</v>
      </c>
      <c r="BY148" s="2">
        <f t="shared" si="102"/>
        <v>0</v>
      </c>
      <c r="BZ148" s="2">
        <f t="shared" si="103"/>
        <v>0</v>
      </c>
      <c r="CA148" s="2">
        <f t="shared" si="104"/>
        <v>0</v>
      </c>
      <c r="CB148" s="2">
        <f t="shared" si="105"/>
        <v>0</v>
      </c>
      <c r="CC148" s="2">
        <f t="shared" si="106"/>
        <v>0</v>
      </c>
      <c r="CD148" s="2">
        <f t="shared" si="107"/>
        <v>0</v>
      </c>
      <c r="CE148" s="2">
        <f t="shared" si="108"/>
        <v>0</v>
      </c>
      <c r="CF148" s="2">
        <f t="shared" si="109"/>
        <v>1696.8</v>
      </c>
      <c r="CG148" s="2">
        <f t="shared" si="110"/>
        <v>4358.5999999999995</v>
      </c>
      <c r="CH148" s="2">
        <f t="shared" si="111"/>
        <v>2524.96</v>
      </c>
      <c r="CI148" s="2">
        <f t="shared" si="112"/>
        <v>0</v>
      </c>
      <c r="CJ148" s="2">
        <f t="shared" si="113"/>
        <v>0</v>
      </c>
      <c r="CK148" s="2">
        <f t="shared" si="114"/>
        <v>0</v>
      </c>
      <c r="CL148" s="2">
        <f t="shared" si="115"/>
        <v>0</v>
      </c>
      <c r="CM148" s="2">
        <f t="shared" si="87"/>
        <v>0</v>
      </c>
      <c r="CN148" s="2">
        <f t="shared" si="88"/>
        <v>0</v>
      </c>
      <c r="CO148" s="2">
        <f t="shared" si="89"/>
        <v>0</v>
      </c>
      <c r="CP148" s="2">
        <f t="shared" si="90"/>
        <v>0</v>
      </c>
      <c r="CQ148" s="2">
        <f t="shared" si="91"/>
        <v>0</v>
      </c>
      <c r="CR148" s="2">
        <f t="shared" si="92"/>
        <v>0</v>
      </c>
      <c r="CV148" t="s">
        <v>64</v>
      </c>
      <c r="CW148" t="s">
        <v>221</v>
      </c>
      <c r="CX148" t="s">
        <v>4</v>
      </c>
      <c r="CY148" s="4">
        <v>42979</v>
      </c>
      <c r="CZ148" t="s">
        <v>65</v>
      </c>
      <c r="DA148" t="s">
        <v>66</v>
      </c>
      <c r="DB148">
        <v>10</v>
      </c>
      <c r="DC148">
        <v>114.27</v>
      </c>
      <c r="DD148" t="s">
        <v>69</v>
      </c>
      <c r="DE148" t="s">
        <v>70</v>
      </c>
      <c r="DF148">
        <v>1142.7</v>
      </c>
    </row>
    <row r="149" spans="1:110" x14ac:dyDescent="0.25">
      <c r="A149" s="1">
        <v>42950</v>
      </c>
      <c r="B149">
        <v>151.47</v>
      </c>
      <c r="C149">
        <v>83.95</v>
      </c>
      <c r="D149">
        <v>229.88</v>
      </c>
      <c r="E149">
        <v>109.71</v>
      </c>
      <c r="F149">
        <v>30.13</v>
      </c>
      <c r="G149">
        <v>102.32</v>
      </c>
      <c r="H149">
        <v>106.56</v>
      </c>
      <c r="I149">
        <v>1</v>
      </c>
      <c r="J149">
        <v>219.5</v>
      </c>
      <c r="K149">
        <v>145.85</v>
      </c>
      <c r="L149">
        <v>134.30000000000001</v>
      </c>
      <c r="M149">
        <v>35.159999999999997</v>
      </c>
      <c r="N149">
        <v>128.22</v>
      </c>
      <c r="O149">
        <v>89.18</v>
      </c>
      <c r="P149">
        <v>43.44</v>
      </c>
      <c r="Q149">
        <v>149.12</v>
      </c>
      <c r="R149">
        <v>198.71</v>
      </c>
      <c r="S149">
        <v>60.67</v>
      </c>
      <c r="T149">
        <v>70.19</v>
      </c>
      <c r="U149">
        <v>59.07</v>
      </c>
      <c r="V149">
        <v>31.71</v>
      </c>
      <c r="W149">
        <v>86.43</v>
      </c>
      <c r="X149">
        <v>125.14</v>
      </c>
      <c r="Y149">
        <v>190.81</v>
      </c>
      <c r="Z149">
        <v>116.33</v>
      </c>
      <c r="AA149">
        <v>99.41</v>
      </c>
      <c r="AB149">
        <v>45.38</v>
      </c>
      <c r="AC149">
        <v>77.83</v>
      </c>
      <c r="AD149">
        <v>78.09</v>
      </c>
      <c r="AE149">
        <v>75.010000000000005</v>
      </c>
      <c r="AI149" s="2">
        <v>5000</v>
      </c>
      <c r="AJ149" s="2">
        <f t="shared" si="118"/>
        <v>1100</v>
      </c>
      <c r="AK149" s="2">
        <f t="shared" si="118"/>
        <v>1100</v>
      </c>
      <c r="AL149" s="2">
        <f t="shared" si="118"/>
        <v>1100</v>
      </c>
      <c r="AM149" s="2">
        <f t="shared" si="118"/>
        <v>1100</v>
      </c>
      <c r="AN149" s="2">
        <f t="shared" si="118"/>
        <v>1100</v>
      </c>
      <c r="AO149" s="2">
        <f t="shared" si="118"/>
        <v>1100</v>
      </c>
      <c r="AP149" s="2">
        <v>0</v>
      </c>
      <c r="AQ149" s="2">
        <v>1000</v>
      </c>
      <c r="AR149" s="2">
        <v>0</v>
      </c>
      <c r="AS149" s="2">
        <v>1000</v>
      </c>
      <c r="AT149" s="2">
        <v>0</v>
      </c>
      <c r="AU149" s="2">
        <v>1000</v>
      </c>
      <c r="AV149" s="2">
        <v>1000</v>
      </c>
      <c r="AW149" s="2">
        <v>0</v>
      </c>
      <c r="AX149" s="2">
        <v>0</v>
      </c>
      <c r="AY149" s="2">
        <v>1000</v>
      </c>
      <c r="AZ149" s="2">
        <v>976</v>
      </c>
      <c r="BA149" s="2">
        <v>949</v>
      </c>
      <c r="BB149" s="2">
        <v>1020</v>
      </c>
      <c r="BC149" s="2">
        <v>-1000</v>
      </c>
      <c r="BD149" s="2">
        <v>-5000</v>
      </c>
      <c r="BE149" s="2">
        <v>5000</v>
      </c>
      <c r="BF149" s="2">
        <v>3000</v>
      </c>
      <c r="BG149" s="2">
        <v>5000</v>
      </c>
      <c r="BH149" s="2">
        <v>-2500</v>
      </c>
      <c r="BI149" s="2">
        <v>3000</v>
      </c>
      <c r="BJ149" s="2">
        <v>0</v>
      </c>
      <c r="BK149" s="2">
        <v>1000</v>
      </c>
      <c r="BL149" s="2">
        <v>1000</v>
      </c>
      <c r="BO149" s="2">
        <f t="shared" si="86"/>
        <v>0</v>
      </c>
      <c r="BP149" s="2">
        <f t="shared" si="93"/>
        <v>0</v>
      </c>
      <c r="BQ149" s="2">
        <f t="shared" si="94"/>
        <v>0</v>
      </c>
      <c r="BR149" s="2">
        <f t="shared" si="95"/>
        <v>0</v>
      </c>
      <c r="BS149" s="2">
        <f t="shared" si="96"/>
        <v>0</v>
      </c>
      <c r="BT149" s="2">
        <f t="shared" si="97"/>
        <v>0</v>
      </c>
      <c r="BU149" s="2">
        <f t="shared" si="98"/>
        <v>0</v>
      </c>
      <c r="BV149" s="2">
        <f t="shared" si="99"/>
        <v>0</v>
      </c>
      <c r="BW149" s="2">
        <f t="shared" si="100"/>
        <v>0</v>
      </c>
      <c r="BX149" s="2">
        <f t="shared" si="101"/>
        <v>0</v>
      </c>
      <c r="BY149" s="2">
        <f t="shared" si="102"/>
        <v>0</v>
      </c>
      <c r="BZ149" s="2">
        <f t="shared" si="103"/>
        <v>0</v>
      </c>
      <c r="CA149" s="2">
        <f t="shared" si="104"/>
        <v>0</v>
      </c>
      <c r="CB149" s="2">
        <f t="shared" si="105"/>
        <v>0</v>
      </c>
      <c r="CC149" s="2">
        <f t="shared" si="106"/>
        <v>0</v>
      </c>
      <c r="CD149" s="2">
        <f t="shared" si="107"/>
        <v>0</v>
      </c>
      <c r="CE149" s="2">
        <f t="shared" si="108"/>
        <v>0</v>
      </c>
      <c r="CF149" s="2">
        <f t="shared" si="109"/>
        <v>546.03</v>
      </c>
      <c r="CG149" s="2">
        <f t="shared" si="110"/>
        <v>6036.34</v>
      </c>
      <c r="CH149" s="2">
        <f t="shared" si="111"/>
        <v>-2658.15</v>
      </c>
      <c r="CI149" s="2">
        <f t="shared" si="112"/>
        <v>0</v>
      </c>
      <c r="CJ149" s="2">
        <f t="shared" si="113"/>
        <v>0</v>
      </c>
      <c r="CK149" s="2">
        <f t="shared" si="114"/>
        <v>0</v>
      </c>
      <c r="CL149" s="2">
        <f t="shared" si="115"/>
        <v>0</v>
      </c>
      <c r="CM149" s="2">
        <f t="shared" si="87"/>
        <v>0</v>
      </c>
      <c r="CN149" s="2">
        <f t="shared" si="88"/>
        <v>745575</v>
      </c>
      <c r="CO149" s="2">
        <f t="shared" si="89"/>
        <v>0</v>
      </c>
      <c r="CP149" s="2">
        <f t="shared" si="90"/>
        <v>0</v>
      </c>
      <c r="CQ149" s="2">
        <f t="shared" si="91"/>
        <v>0</v>
      </c>
      <c r="CR149" s="2">
        <f t="shared" si="92"/>
        <v>0</v>
      </c>
      <c r="CV149" t="s">
        <v>64</v>
      </c>
      <c r="CW149" t="s">
        <v>222</v>
      </c>
      <c r="CX149" t="s">
        <v>4</v>
      </c>
      <c r="CY149" s="4">
        <v>43000</v>
      </c>
      <c r="CZ149" t="s">
        <v>65</v>
      </c>
      <c r="DA149" t="s">
        <v>66</v>
      </c>
      <c r="DB149">
        <v>10</v>
      </c>
      <c r="DC149">
        <v>120.21</v>
      </c>
      <c r="DD149" t="s">
        <v>69</v>
      </c>
      <c r="DE149" t="s">
        <v>70</v>
      </c>
      <c r="DF149">
        <v>1202.0999999999999</v>
      </c>
    </row>
    <row r="150" spans="1:110" x14ac:dyDescent="0.25">
      <c r="A150" s="1">
        <v>42951</v>
      </c>
      <c r="B150">
        <v>152.27000000000001</v>
      </c>
      <c r="C150">
        <v>84.37</v>
      </c>
      <c r="D150">
        <v>229.36</v>
      </c>
      <c r="E150">
        <v>110.47</v>
      </c>
      <c r="F150">
        <v>30.36</v>
      </c>
      <c r="G150">
        <v>102.96</v>
      </c>
      <c r="H150">
        <v>105.16</v>
      </c>
      <c r="I150">
        <v>1</v>
      </c>
      <c r="J150">
        <v>225.19</v>
      </c>
      <c r="K150">
        <v>147.75</v>
      </c>
      <c r="L150">
        <v>134.5</v>
      </c>
      <c r="M150">
        <v>34.979999999999997</v>
      </c>
      <c r="N150">
        <v>128.06</v>
      </c>
      <c r="O150">
        <v>90.3</v>
      </c>
      <c r="P150">
        <v>43.28</v>
      </c>
      <c r="Q150">
        <v>148.25</v>
      </c>
      <c r="R150">
        <v>198.74</v>
      </c>
      <c r="S150">
        <v>60.27</v>
      </c>
      <c r="T150">
        <v>70.709999999999994</v>
      </c>
      <c r="U150">
        <v>58.7</v>
      </c>
      <c r="V150">
        <v>31.91</v>
      </c>
      <c r="W150">
        <v>86.25</v>
      </c>
      <c r="X150">
        <v>125.27</v>
      </c>
      <c r="Y150">
        <v>190.92</v>
      </c>
      <c r="Z150">
        <v>116.71</v>
      </c>
      <c r="AA150">
        <v>99.71</v>
      </c>
      <c r="AB150">
        <v>45.66</v>
      </c>
      <c r="AC150">
        <v>77.84</v>
      </c>
      <c r="AD150">
        <v>77.709999999999994</v>
      </c>
      <c r="AE150">
        <v>74.75</v>
      </c>
      <c r="AI150" s="2">
        <v>5000</v>
      </c>
      <c r="AJ150" s="2">
        <f t="shared" si="118"/>
        <v>1100</v>
      </c>
      <c r="AK150" s="2">
        <f t="shared" si="118"/>
        <v>1100</v>
      </c>
      <c r="AL150" s="2">
        <f t="shared" si="118"/>
        <v>1100</v>
      </c>
      <c r="AM150" s="2">
        <f t="shared" si="118"/>
        <v>1100</v>
      </c>
      <c r="AN150" s="2">
        <f t="shared" si="118"/>
        <v>1100</v>
      </c>
      <c r="AO150" s="2">
        <f t="shared" si="118"/>
        <v>1100</v>
      </c>
      <c r="AP150" s="2">
        <v>0</v>
      </c>
      <c r="AQ150" s="2">
        <v>1000</v>
      </c>
      <c r="AR150" s="2">
        <v>0</v>
      </c>
      <c r="AS150" s="2">
        <v>1000</v>
      </c>
      <c r="AT150" s="2">
        <v>0</v>
      </c>
      <c r="AU150" s="2">
        <v>1000</v>
      </c>
      <c r="AV150" s="2">
        <v>1000</v>
      </c>
      <c r="AW150" s="2">
        <v>0</v>
      </c>
      <c r="AX150" s="2">
        <v>0</v>
      </c>
      <c r="AY150" s="2">
        <v>1000</v>
      </c>
      <c r="AZ150" s="2">
        <v>1004</v>
      </c>
      <c r="BA150" s="2">
        <v>999</v>
      </c>
      <c r="BB150" s="2">
        <v>974</v>
      </c>
      <c r="BC150" s="2">
        <v>-1000</v>
      </c>
      <c r="BD150" s="2">
        <v>-5000</v>
      </c>
      <c r="BE150" s="2">
        <v>5000</v>
      </c>
      <c r="BF150" s="2">
        <v>3000</v>
      </c>
      <c r="BG150" s="2">
        <v>5000</v>
      </c>
      <c r="BH150" s="2">
        <v>-2500</v>
      </c>
      <c r="BI150" s="2">
        <v>3000</v>
      </c>
      <c r="BJ150" s="2">
        <v>0</v>
      </c>
      <c r="BK150" s="2">
        <v>1000</v>
      </c>
      <c r="BL150" s="2">
        <v>1000</v>
      </c>
      <c r="BO150" s="2">
        <f t="shared" si="86"/>
        <v>0</v>
      </c>
      <c r="BP150" s="2">
        <f t="shared" si="93"/>
        <v>0</v>
      </c>
      <c r="BQ150" s="2">
        <f t="shared" si="94"/>
        <v>0</v>
      </c>
      <c r="BR150" s="2">
        <f t="shared" si="95"/>
        <v>0</v>
      </c>
      <c r="BS150" s="2">
        <f t="shared" si="96"/>
        <v>0</v>
      </c>
      <c r="BT150" s="2">
        <f t="shared" si="97"/>
        <v>0</v>
      </c>
      <c r="BU150" s="2">
        <f t="shared" si="98"/>
        <v>0</v>
      </c>
      <c r="BV150" s="2">
        <f t="shared" si="99"/>
        <v>0</v>
      </c>
      <c r="BW150" s="2">
        <f t="shared" si="100"/>
        <v>0</v>
      </c>
      <c r="BX150" s="2">
        <f t="shared" si="101"/>
        <v>0</v>
      </c>
      <c r="BY150" s="2">
        <f t="shared" si="102"/>
        <v>0</v>
      </c>
      <c r="BZ150" s="2">
        <f t="shared" si="103"/>
        <v>0</v>
      </c>
      <c r="CA150" s="2">
        <f t="shared" si="104"/>
        <v>0</v>
      </c>
      <c r="CB150" s="2">
        <f t="shared" si="105"/>
        <v>0</v>
      </c>
      <c r="CC150" s="2">
        <f t="shared" si="106"/>
        <v>0</v>
      </c>
      <c r="CD150" s="2">
        <f t="shared" si="107"/>
        <v>0</v>
      </c>
      <c r="CE150" s="2">
        <f t="shared" si="108"/>
        <v>0</v>
      </c>
      <c r="CF150" s="2">
        <f t="shared" si="109"/>
        <v>-1687.5600000000002</v>
      </c>
      <c r="CG150" s="2">
        <f t="shared" si="110"/>
        <v>-3535.4999999999995</v>
      </c>
      <c r="CH150" s="2">
        <f t="shared" si="111"/>
        <v>2700.2000000000003</v>
      </c>
      <c r="CI150" s="2">
        <f t="shared" si="112"/>
        <v>0</v>
      </c>
      <c r="CJ150" s="2">
        <f t="shared" si="113"/>
        <v>0</v>
      </c>
      <c r="CK150" s="2">
        <f t="shared" si="114"/>
        <v>0</v>
      </c>
      <c r="CL150" s="2">
        <f t="shared" si="115"/>
        <v>0</v>
      </c>
      <c r="CM150" s="2">
        <f t="shared" si="87"/>
        <v>0</v>
      </c>
      <c r="CN150" s="2">
        <f t="shared" si="88"/>
        <v>0</v>
      </c>
      <c r="CO150" s="2">
        <f t="shared" si="89"/>
        <v>0</v>
      </c>
      <c r="CP150" s="2">
        <f t="shared" si="90"/>
        <v>0</v>
      </c>
      <c r="CQ150" s="2">
        <f t="shared" si="91"/>
        <v>0</v>
      </c>
      <c r="CR150" s="2">
        <f t="shared" si="92"/>
        <v>0</v>
      </c>
      <c r="CV150" t="s">
        <v>64</v>
      </c>
      <c r="CW150" t="s">
        <v>223</v>
      </c>
      <c r="CX150" t="s">
        <v>4</v>
      </c>
      <c r="CY150" s="4">
        <v>43020</v>
      </c>
      <c r="CZ150" t="s">
        <v>65</v>
      </c>
      <c r="DA150" t="s">
        <v>66</v>
      </c>
      <c r="DB150">
        <v>10</v>
      </c>
      <c r="DC150">
        <v>125.58</v>
      </c>
      <c r="DD150" t="s">
        <v>69</v>
      </c>
      <c r="DE150" t="s">
        <v>70</v>
      </c>
      <c r="DF150">
        <v>1255.8</v>
      </c>
    </row>
    <row r="151" spans="1:110" x14ac:dyDescent="0.25">
      <c r="A151" s="1">
        <v>42954</v>
      </c>
      <c r="B151">
        <v>154.63</v>
      </c>
      <c r="C151">
        <v>84.25</v>
      </c>
      <c r="D151">
        <v>231.79</v>
      </c>
      <c r="E151">
        <v>110.82</v>
      </c>
      <c r="F151">
        <v>30.4</v>
      </c>
      <c r="G151">
        <v>102.65</v>
      </c>
      <c r="H151">
        <v>103.85</v>
      </c>
      <c r="I151">
        <v>1</v>
      </c>
      <c r="J151">
        <v>228.26</v>
      </c>
      <c r="K151">
        <v>148.33000000000001</v>
      </c>
      <c r="L151">
        <v>132.93</v>
      </c>
      <c r="M151">
        <v>35.1</v>
      </c>
      <c r="N151">
        <v>127.75</v>
      </c>
      <c r="O151">
        <v>90.64</v>
      </c>
      <c r="P151">
        <v>43.41</v>
      </c>
      <c r="Q151">
        <v>149.36000000000001</v>
      </c>
      <c r="R151">
        <v>198.54</v>
      </c>
      <c r="S151">
        <v>60.02</v>
      </c>
      <c r="T151">
        <v>70.44</v>
      </c>
      <c r="U151">
        <v>58.72</v>
      </c>
      <c r="V151">
        <v>31.59</v>
      </c>
      <c r="W151">
        <v>86.98</v>
      </c>
      <c r="X151">
        <v>124.41</v>
      </c>
      <c r="Y151">
        <v>190.82</v>
      </c>
      <c r="Z151">
        <v>113.85</v>
      </c>
      <c r="AA151">
        <v>100.3</v>
      </c>
      <c r="AB151">
        <v>45.62</v>
      </c>
      <c r="AC151">
        <v>78.27</v>
      </c>
      <c r="AD151">
        <v>78.489999999999995</v>
      </c>
      <c r="AE151">
        <v>74.7</v>
      </c>
      <c r="AI151" s="2">
        <v>5000</v>
      </c>
      <c r="AJ151" s="2">
        <f t="shared" si="118"/>
        <v>1100</v>
      </c>
      <c r="AK151" s="2">
        <f t="shared" si="118"/>
        <v>1100</v>
      </c>
      <c r="AL151" s="2">
        <f t="shared" si="118"/>
        <v>1100</v>
      </c>
      <c r="AM151" s="2">
        <f t="shared" si="118"/>
        <v>1100</v>
      </c>
      <c r="AN151" s="2">
        <f t="shared" si="118"/>
        <v>1100</v>
      </c>
      <c r="AO151" s="2">
        <f t="shared" si="118"/>
        <v>1100</v>
      </c>
      <c r="AP151" s="2">
        <v>0</v>
      </c>
      <c r="AQ151" s="2">
        <v>1000</v>
      </c>
      <c r="AR151" s="2">
        <v>0</v>
      </c>
      <c r="AS151" s="2">
        <v>1000</v>
      </c>
      <c r="AT151" s="2">
        <v>0</v>
      </c>
      <c r="AU151" s="2">
        <v>1000</v>
      </c>
      <c r="AV151" s="2">
        <v>1000</v>
      </c>
      <c r="AW151" s="2">
        <v>0</v>
      </c>
      <c r="AX151" s="2">
        <v>0</v>
      </c>
      <c r="AY151" s="2">
        <v>1000</v>
      </c>
      <c r="AZ151" s="2">
        <v>1014</v>
      </c>
      <c r="BA151" s="2">
        <v>1091</v>
      </c>
      <c r="BB151" s="2">
        <v>1038</v>
      </c>
      <c r="BC151" s="2">
        <v>-1000</v>
      </c>
      <c r="BD151" s="2">
        <v>-5000</v>
      </c>
      <c r="BE151" s="2">
        <v>5000</v>
      </c>
      <c r="BF151" s="2">
        <v>3000</v>
      </c>
      <c r="BG151" s="2">
        <v>5000</v>
      </c>
      <c r="BH151" s="2">
        <v>-2500</v>
      </c>
      <c r="BI151" s="2">
        <v>3000</v>
      </c>
      <c r="BJ151" s="2">
        <v>0</v>
      </c>
      <c r="BK151" s="2">
        <v>1000</v>
      </c>
      <c r="BL151" s="2">
        <v>1000</v>
      </c>
      <c r="BO151" s="2">
        <f t="shared" si="86"/>
        <v>0</v>
      </c>
      <c r="BP151" s="2">
        <f t="shared" si="93"/>
        <v>0</v>
      </c>
      <c r="BQ151" s="2">
        <f t="shared" si="94"/>
        <v>0</v>
      </c>
      <c r="BR151" s="2">
        <f t="shared" si="95"/>
        <v>0</v>
      </c>
      <c r="BS151" s="2">
        <f t="shared" si="96"/>
        <v>0</v>
      </c>
      <c r="BT151" s="2">
        <f t="shared" si="97"/>
        <v>0</v>
      </c>
      <c r="BU151" s="2">
        <f t="shared" si="98"/>
        <v>0</v>
      </c>
      <c r="BV151" s="2">
        <f t="shared" si="99"/>
        <v>0</v>
      </c>
      <c r="BW151" s="2">
        <f t="shared" si="100"/>
        <v>0</v>
      </c>
      <c r="BX151" s="2">
        <f t="shared" si="101"/>
        <v>0</v>
      </c>
      <c r="BY151" s="2">
        <f t="shared" si="102"/>
        <v>0</v>
      </c>
      <c r="BZ151" s="2">
        <f t="shared" si="103"/>
        <v>0</v>
      </c>
      <c r="CA151" s="2">
        <f t="shared" si="104"/>
        <v>0</v>
      </c>
      <c r="CB151" s="2">
        <f t="shared" si="105"/>
        <v>0</v>
      </c>
      <c r="CC151" s="2">
        <f t="shared" si="106"/>
        <v>0</v>
      </c>
      <c r="CD151" s="2">
        <f t="shared" si="107"/>
        <v>0</v>
      </c>
      <c r="CE151" s="2">
        <f t="shared" si="108"/>
        <v>0</v>
      </c>
      <c r="CF151" s="2">
        <f t="shared" si="109"/>
        <v>-600.20000000000005</v>
      </c>
      <c r="CG151" s="2">
        <f t="shared" si="110"/>
        <v>-6480.48</v>
      </c>
      <c r="CH151" s="2">
        <f t="shared" si="111"/>
        <v>-3758.08</v>
      </c>
      <c r="CI151" s="2">
        <f t="shared" si="112"/>
        <v>0</v>
      </c>
      <c r="CJ151" s="2">
        <f t="shared" si="113"/>
        <v>0</v>
      </c>
      <c r="CK151" s="2">
        <f t="shared" si="114"/>
        <v>0</v>
      </c>
      <c r="CL151" s="2">
        <f t="shared" si="115"/>
        <v>0</v>
      </c>
      <c r="CM151" s="2">
        <f t="shared" si="87"/>
        <v>0</v>
      </c>
      <c r="CN151" s="2">
        <f t="shared" si="88"/>
        <v>0</v>
      </c>
      <c r="CO151" s="2">
        <f t="shared" si="89"/>
        <v>0</v>
      </c>
      <c r="CP151" s="2">
        <f t="shared" si="90"/>
        <v>0</v>
      </c>
      <c r="CQ151" s="2">
        <f t="shared" si="91"/>
        <v>0</v>
      </c>
      <c r="CR151" s="2">
        <f t="shared" si="92"/>
        <v>0</v>
      </c>
      <c r="CV151" t="s">
        <v>64</v>
      </c>
      <c r="CW151" t="s">
        <v>224</v>
      </c>
      <c r="CX151" t="s">
        <v>4</v>
      </c>
      <c r="CY151" s="4">
        <v>43040</v>
      </c>
      <c r="CZ151" t="s">
        <v>65</v>
      </c>
      <c r="DA151" t="s">
        <v>66</v>
      </c>
      <c r="DB151">
        <v>10</v>
      </c>
      <c r="DC151">
        <v>132.46</v>
      </c>
      <c r="DD151" t="s">
        <v>69</v>
      </c>
      <c r="DE151" t="s">
        <v>70</v>
      </c>
      <c r="DF151">
        <v>1324.6000000000001</v>
      </c>
    </row>
    <row r="152" spans="1:110" x14ac:dyDescent="0.25">
      <c r="A152" s="1">
        <v>42955</v>
      </c>
      <c r="B152">
        <v>155.86000000000001</v>
      </c>
      <c r="C152">
        <v>84.34</v>
      </c>
      <c r="D152">
        <v>231.09</v>
      </c>
      <c r="E152">
        <v>110.53</v>
      </c>
      <c r="F152">
        <v>30.24</v>
      </c>
      <c r="G152">
        <v>103.18</v>
      </c>
      <c r="H152">
        <v>104.47</v>
      </c>
      <c r="I152">
        <v>1</v>
      </c>
      <c r="J152">
        <v>227.4</v>
      </c>
      <c r="K152">
        <v>148.33000000000001</v>
      </c>
      <c r="L152">
        <v>133.06</v>
      </c>
      <c r="M152">
        <v>35.090000000000003</v>
      </c>
      <c r="N152">
        <v>127.18</v>
      </c>
      <c r="O152">
        <v>90.32</v>
      </c>
      <c r="P152">
        <v>43.37</v>
      </c>
      <c r="Q152">
        <v>149.31</v>
      </c>
      <c r="R152">
        <v>197.58</v>
      </c>
      <c r="S152">
        <v>59.53</v>
      </c>
      <c r="T152">
        <v>70.819999999999993</v>
      </c>
      <c r="U152">
        <v>58.4</v>
      </c>
      <c r="V152">
        <v>31.57</v>
      </c>
      <c r="W152">
        <v>87.12</v>
      </c>
      <c r="X152">
        <v>124.17</v>
      </c>
      <c r="Y152">
        <v>190.93</v>
      </c>
      <c r="Z152">
        <v>113.54</v>
      </c>
      <c r="AA152">
        <v>100.1</v>
      </c>
      <c r="AB152">
        <v>45.37</v>
      </c>
      <c r="AC152">
        <v>77.86</v>
      </c>
      <c r="AD152">
        <v>78.78</v>
      </c>
      <c r="AE152">
        <v>74.52</v>
      </c>
      <c r="AI152" s="2">
        <v>5000</v>
      </c>
      <c r="AJ152" s="2">
        <f t="shared" si="118"/>
        <v>1100</v>
      </c>
      <c r="AK152" s="2">
        <f t="shared" si="118"/>
        <v>1100</v>
      </c>
      <c r="AL152" s="2">
        <f t="shared" si="118"/>
        <v>1100</v>
      </c>
      <c r="AM152" s="2">
        <f t="shared" si="118"/>
        <v>1100</v>
      </c>
      <c r="AN152" s="2">
        <f t="shared" si="118"/>
        <v>1100</v>
      </c>
      <c r="AO152" s="2">
        <f t="shared" si="118"/>
        <v>1100</v>
      </c>
      <c r="AP152" s="2">
        <v>0</v>
      </c>
      <c r="AQ152" s="2">
        <v>1000</v>
      </c>
      <c r="AR152" s="2">
        <v>0</v>
      </c>
      <c r="AS152" s="2">
        <v>1000</v>
      </c>
      <c r="AT152" s="2">
        <v>0</v>
      </c>
      <c r="AU152" s="2">
        <v>1000</v>
      </c>
      <c r="AV152" s="2">
        <v>1000</v>
      </c>
      <c r="AW152" s="2">
        <v>0</v>
      </c>
      <c r="AX152" s="2">
        <v>0</v>
      </c>
      <c r="AY152" s="2">
        <v>1000</v>
      </c>
      <c r="AZ152" s="2">
        <v>989</v>
      </c>
      <c r="BA152" s="2">
        <v>1038</v>
      </c>
      <c r="BB152" s="2">
        <v>993</v>
      </c>
      <c r="BC152" s="2">
        <v>-1000</v>
      </c>
      <c r="BD152" s="2">
        <v>-5000</v>
      </c>
      <c r="BE152" s="2">
        <v>5000</v>
      </c>
      <c r="BF152" s="2">
        <v>3000</v>
      </c>
      <c r="BG152" s="2">
        <v>5000</v>
      </c>
      <c r="BH152" s="2">
        <v>-2500</v>
      </c>
      <c r="BI152" s="2">
        <v>3000</v>
      </c>
      <c r="BJ152" s="2">
        <v>0</v>
      </c>
      <c r="BK152" s="2">
        <v>1000</v>
      </c>
      <c r="BL152" s="2">
        <v>1000</v>
      </c>
      <c r="BO152" s="2">
        <f t="shared" si="86"/>
        <v>0</v>
      </c>
      <c r="BP152" s="2">
        <f t="shared" si="93"/>
        <v>0</v>
      </c>
      <c r="BQ152" s="2">
        <f t="shared" si="94"/>
        <v>0</v>
      </c>
      <c r="BR152" s="2">
        <f t="shared" si="95"/>
        <v>0</v>
      </c>
      <c r="BS152" s="2">
        <f t="shared" si="96"/>
        <v>0</v>
      </c>
      <c r="BT152" s="2">
        <f t="shared" si="97"/>
        <v>0</v>
      </c>
      <c r="BU152" s="2">
        <f t="shared" si="98"/>
        <v>0</v>
      </c>
      <c r="BV152" s="2">
        <f t="shared" si="99"/>
        <v>0</v>
      </c>
      <c r="BW152" s="2">
        <f t="shared" si="100"/>
        <v>0</v>
      </c>
      <c r="BX152" s="2">
        <f t="shared" si="101"/>
        <v>0</v>
      </c>
      <c r="BY152" s="2">
        <f t="shared" si="102"/>
        <v>0</v>
      </c>
      <c r="BZ152" s="2">
        <f t="shared" si="103"/>
        <v>0</v>
      </c>
      <c r="CA152" s="2">
        <f t="shared" si="104"/>
        <v>0</v>
      </c>
      <c r="CB152" s="2">
        <f t="shared" si="105"/>
        <v>0</v>
      </c>
      <c r="CC152" s="2">
        <f t="shared" si="106"/>
        <v>0</v>
      </c>
      <c r="CD152" s="2">
        <f t="shared" si="107"/>
        <v>0</v>
      </c>
      <c r="CE152" s="2">
        <f t="shared" si="108"/>
        <v>0</v>
      </c>
      <c r="CF152" s="2">
        <f t="shared" si="109"/>
        <v>1488.25</v>
      </c>
      <c r="CG152" s="2">
        <f t="shared" si="110"/>
        <v>3753.4599999999996</v>
      </c>
      <c r="CH152" s="2">
        <f t="shared" si="111"/>
        <v>2628</v>
      </c>
      <c r="CI152" s="2">
        <f t="shared" si="112"/>
        <v>0</v>
      </c>
      <c r="CJ152" s="2">
        <f t="shared" si="113"/>
        <v>0</v>
      </c>
      <c r="CK152" s="2">
        <f t="shared" si="114"/>
        <v>0</v>
      </c>
      <c r="CL152" s="2">
        <f t="shared" si="115"/>
        <v>0</v>
      </c>
      <c r="CM152" s="2">
        <f t="shared" si="87"/>
        <v>0</v>
      </c>
      <c r="CN152" s="2">
        <f t="shared" si="88"/>
        <v>0</v>
      </c>
      <c r="CO152" s="2">
        <f t="shared" si="89"/>
        <v>0</v>
      </c>
      <c r="CP152" s="2">
        <f t="shared" si="90"/>
        <v>0</v>
      </c>
      <c r="CQ152" s="2">
        <f t="shared" si="91"/>
        <v>0</v>
      </c>
      <c r="CR152" s="2">
        <f t="shared" si="92"/>
        <v>0</v>
      </c>
      <c r="CV152" t="s">
        <v>64</v>
      </c>
      <c r="CW152" t="s">
        <v>225</v>
      </c>
      <c r="CX152" t="s">
        <v>4</v>
      </c>
      <c r="CY152" s="4">
        <v>43060</v>
      </c>
      <c r="CZ152" t="s">
        <v>65</v>
      </c>
      <c r="DA152" t="s">
        <v>66</v>
      </c>
      <c r="DB152">
        <v>10</v>
      </c>
      <c r="DC152">
        <v>133.72999999999999</v>
      </c>
      <c r="DD152" t="s">
        <v>69</v>
      </c>
      <c r="DE152" t="s">
        <v>70</v>
      </c>
      <c r="DF152">
        <v>1337.3</v>
      </c>
    </row>
    <row r="153" spans="1:110" x14ac:dyDescent="0.25">
      <c r="A153" s="1">
        <v>42956</v>
      </c>
      <c r="B153">
        <v>156.82</v>
      </c>
      <c r="C153">
        <v>84.09</v>
      </c>
      <c r="D153">
        <v>227.43</v>
      </c>
      <c r="E153">
        <v>110.46</v>
      </c>
      <c r="F153">
        <v>30.19</v>
      </c>
      <c r="G153">
        <v>103.69</v>
      </c>
      <c r="H153">
        <v>100.42</v>
      </c>
      <c r="I153">
        <v>1</v>
      </c>
      <c r="J153">
        <v>226.38</v>
      </c>
      <c r="K153">
        <v>150.18</v>
      </c>
      <c r="L153">
        <v>132.75</v>
      </c>
      <c r="M153">
        <v>35.26</v>
      </c>
      <c r="N153">
        <v>128.11000000000001</v>
      </c>
      <c r="O153">
        <v>90.17</v>
      </c>
      <c r="P153">
        <v>43.36</v>
      </c>
      <c r="Q153">
        <v>149.31</v>
      </c>
      <c r="R153">
        <v>197.62</v>
      </c>
      <c r="S153">
        <v>59.69</v>
      </c>
      <c r="T153">
        <v>70.510000000000005</v>
      </c>
      <c r="U153">
        <v>58.83</v>
      </c>
      <c r="V153">
        <v>31.73</v>
      </c>
      <c r="W153">
        <v>87.44</v>
      </c>
      <c r="X153">
        <v>125.71</v>
      </c>
      <c r="Y153">
        <v>190.87</v>
      </c>
      <c r="Z153">
        <v>112.59</v>
      </c>
      <c r="AA153">
        <v>99.79</v>
      </c>
      <c r="AB153">
        <v>45.02</v>
      </c>
      <c r="AC153">
        <v>78.05</v>
      </c>
      <c r="AD153">
        <v>79.3</v>
      </c>
      <c r="AE153">
        <v>74.75</v>
      </c>
      <c r="AI153" s="2">
        <v>5000</v>
      </c>
      <c r="AJ153" s="2">
        <f t="shared" si="118"/>
        <v>1100</v>
      </c>
      <c r="AK153" s="2">
        <f t="shared" si="118"/>
        <v>1100</v>
      </c>
      <c r="AL153" s="2">
        <f t="shared" si="118"/>
        <v>1100</v>
      </c>
      <c r="AM153" s="2">
        <f t="shared" si="118"/>
        <v>1100</v>
      </c>
      <c r="AN153" s="2">
        <f t="shared" si="118"/>
        <v>1100</v>
      </c>
      <c r="AO153" s="2">
        <f t="shared" si="118"/>
        <v>1100</v>
      </c>
      <c r="AP153" s="2">
        <v>0</v>
      </c>
      <c r="AQ153" s="2">
        <v>1000</v>
      </c>
      <c r="AR153" s="2">
        <v>0</v>
      </c>
      <c r="AS153" s="2">
        <v>1000</v>
      </c>
      <c r="AT153" s="2">
        <v>0</v>
      </c>
      <c r="AU153" s="2">
        <v>1000</v>
      </c>
      <c r="AV153" s="2">
        <v>1000</v>
      </c>
      <c r="AW153" s="2">
        <v>0</v>
      </c>
      <c r="AX153" s="2">
        <v>0</v>
      </c>
      <c r="AY153" s="2">
        <v>1000</v>
      </c>
      <c r="AZ153" s="2">
        <v>975</v>
      </c>
      <c r="BA153" s="2">
        <v>967</v>
      </c>
      <c r="BB153" s="2">
        <v>978</v>
      </c>
      <c r="BC153" s="2">
        <v>-1000</v>
      </c>
      <c r="BD153" s="2">
        <v>-5000</v>
      </c>
      <c r="BE153" s="2">
        <v>5000</v>
      </c>
      <c r="BF153" s="2">
        <v>3000</v>
      </c>
      <c r="BG153" s="2">
        <v>5000</v>
      </c>
      <c r="BH153" s="2">
        <v>-2500</v>
      </c>
      <c r="BI153" s="2">
        <v>3000</v>
      </c>
      <c r="BJ153" s="2">
        <v>0</v>
      </c>
      <c r="BK153" s="2">
        <v>1000</v>
      </c>
      <c r="BL153" s="2">
        <v>1000</v>
      </c>
      <c r="BO153" s="2">
        <f t="shared" si="86"/>
        <v>0</v>
      </c>
      <c r="BP153" s="2">
        <f t="shared" si="93"/>
        <v>0</v>
      </c>
      <c r="BQ153" s="2">
        <f t="shared" si="94"/>
        <v>0</v>
      </c>
      <c r="BR153" s="2">
        <f t="shared" si="95"/>
        <v>0</v>
      </c>
      <c r="BS153" s="2">
        <f t="shared" si="96"/>
        <v>0</v>
      </c>
      <c r="BT153" s="2">
        <f t="shared" si="97"/>
        <v>0</v>
      </c>
      <c r="BU153" s="2">
        <f t="shared" si="98"/>
        <v>0</v>
      </c>
      <c r="BV153" s="2">
        <f t="shared" si="99"/>
        <v>0</v>
      </c>
      <c r="BW153" s="2">
        <f t="shared" si="100"/>
        <v>0</v>
      </c>
      <c r="BX153" s="2">
        <f t="shared" si="101"/>
        <v>0</v>
      </c>
      <c r="BY153" s="2">
        <f t="shared" si="102"/>
        <v>0</v>
      </c>
      <c r="BZ153" s="2">
        <f t="shared" si="103"/>
        <v>0</v>
      </c>
      <c r="CA153" s="2">
        <f t="shared" si="104"/>
        <v>0</v>
      </c>
      <c r="CB153" s="2">
        <f t="shared" si="105"/>
        <v>0</v>
      </c>
      <c r="CC153" s="2">
        <f t="shared" si="106"/>
        <v>0</v>
      </c>
      <c r="CD153" s="2">
        <f t="shared" si="107"/>
        <v>0</v>
      </c>
      <c r="CE153" s="2">
        <f t="shared" si="108"/>
        <v>0</v>
      </c>
      <c r="CF153" s="2">
        <f t="shared" si="109"/>
        <v>835.66</v>
      </c>
      <c r="CG153" s="2">
        <f t="shared" si="110"/>
        <v>5006.21</v>
      </c>
      <c r="CH153" s="2">
        <f t="shared" si="111"/>
        <v>882.44999999999993</v>
      </c>
      <c r="CI153" s="2">
        <f t="shared" si="112"/>
        <v>0</v>
      </c>
      <c r="CJ153" s="2">
        <f t="shared" si="113"/>
        <v>0</v>
      </c>
      <c r="CK153" s="2">
        <f t="shared" si="114"/>
        <v>0</v>
      </c>
      <c r="CL153" s="2">
        <f t="shared" si="115"/>
        <v>0</v>
      </c>
      <c r="CM153" s="2">
        <f t="shared" si="87"/>
        <v>0</v>
      </c>
      <c r="CN153" s="2">
        <f t="shared" si="88"/>
        <v>0</v>
      </c>
      <c r="CO153" s="2">
        <f t="shared" si="89"/>
        <v>0</v>
      </c>
      <c r="CP153" s="2">
        <f t="shared" si="90"/>
        <v>0</v>
      </c>
      <c r="CQ153" s="2">
        <f t="shared" si="91"/>
        <v>0</v>
      </c>
      <c r="CR153" s="2">
        <f t="shared" si="92"/>
        <v>0</v>
      </c>
      <c r="CV153" t="s">
        <v>64</v>
      </c>
      <c r="CW153" t="s">
        <v>226</v>
      </c>
      <c r="CX153" t="s">
        <v>4</v>
      </c>
      <c r="CY153" s="4">
        <v>43081</v>
      </c>
      <c r="CZ153" t="s">
        <v>65</v>
      </c>
      <c r="DA153" t="s">
        <v>66</v>
      </c>
      <c r="DB153">
        <v>10</v>
      </c>
      <c r="DC153">
        <v>139.38999999999999</v>
      </c>
      <c r="DD153" t="s">
        <v>69</v>
      </c>
      <c r="DE153" t="s">
        <v>70</v>
      </c>
      <c r="DF153">
        <v>1393.8999999999999</v>
      </c>
    </row>
    <row r="154" spans="1:110" x14ac:dyDescent="0.25">
      <c r="A154" s="1">
        <v>42957</v>
      </c>
      <c r="B154">
        <v>151.82</v>
      </c>
      <c r="C154">
        <v>82.99</v>
      </c>
      <c r="D154">
        <v>226.04</v>
      </c>
      <c r="E154">
        <v>109.32</v>
      </c>
      <c r="F154">
        <v>29.6</v>
      </c>
      <c r="G154">
        <v>102.96</v>
      </c>
      <c r="H154">
        <v>98.97</v>
      </c>
      <c r="I154">
        <v>1</v>
      </c>
      <c r="J154">
        <v>220.98</v>
      </c>
      <c r="K154">
        <v>148.84</v>
      </c>
      <c r="L154">
        <v>132.81</v>
      </c>
      <c r="M154">
        <v>34.82</v>
      </c>
      <c r="N154">
        <v>127.97</v>
      </c>
      <c r="O154">
        <v>88.88</v>
      </c>
      <c r="P154">
        <v>43.51</v>
      </c>
      <c r="Q154">
        <v>150.94999999999999</v>
      </c>
      <c r="R154">
        <v>197.38</v>
      </c>
      <c r="S154">
        <v>59.39</v>
      </c>
      <c r="T154">
        <v>69.47</v>
      </c>
      <c r="U154">
        <v>58.02</v>
      </c>
      <c r="V154">
        <v>31.7</v>
      </c>
      <c r="W154">
        <v>87.27</v>
      </c>
      <c r="X154">
        <v>125.27</v>
      </c>
      <c r="Y154">
        <v>188.65</v>
      </c>
      <c r="Z154">
        <v>112.16</v>
      </c>
      <c r="AA154">
        <v>98.33</v>
      </c>
      <c r="AB154">
        <v>44.83</v>
      </c>
      <c r="AC154">
        <v>76.58</v>
      </c>
      <c r="AD154">
        <v>78.38</v>
      </c>
      <c r="AE154">
        <v>74.31</v>
      </c>
      <c r="AI154" s="2">
        <v>5000</v>
      </c>
      <c r="AJ154" s="2">
        <f t="shared" si="118"/>
        <v>1100</v>
      </c>
      <c r="AK154" s="2">
        <f t="shared" si="118"/>
        <v>1100</v>
      </c>
      <c r="AL154" s="2">
        <f t="shared" si="118"/>
        <v>1100</v>
      </c>
      <c r="AM154" s="2">
        <f t="shared" si="118"/>
        <v>1100</v>
      </c>
      <c r="AN154" s="2">
        <f t="shared" si="118"/>
        <v>1100</v>
      </c>
      <c r="AO154" s="2">
        <f t="shared" si="118"/>
        <v>1100</v>
      </c>
      <c r="AP154" s="2">
        <v>0</v>
      </c>
      <c r="AQ154" s="2">
        <v>1000</v>
      </c>
      <c r="AR154" s="2">
        <v>0</v>
      </c>
      <c r="AS154" s="2">
        <v>1000</v>
      </c>
      <c r="AT154" s="2">
        <v>0</v>
      </c>
      <c r="AU154" s="2">
        <v>1000</v>
      </c>
      <c r="AV154" s="2">
        <v>1000</v>
      </c>
      <c r="AW154" s="2">
        <v>0</v>
      </c>
      <c r="AX154" s="2">
        <v>0</v>
      </c>
      <c r="AY154" s="2">
        <v>1000</v>
      </c>
      <c r="AZ154" s="2">
        <v>984</v>
      </c>
      <c r="BA154" s="2">
        <v>1093</v>
      </c>
      <c r="BB154" s="2">
        <v>1041</v>
      </c>
      <c r="BC154" s="2">
        <v>-1000</v>
      </c>
      <c r="BD154" s="2">
        <v>-5000</v>
      </c>
      <c r="BE154" s="2">
        <v>5000</v>
      </c>
      <c r="BF154" s="2">
        <v>3000</v>
      </c>
      <c r="BG154" s="2">
        <v>5000</v>
      </c>
      <c r="BH154" s="2">
        <v>-1250</v>
      </c>
      <c r="BI154" s="2">
        <v>3000</v>
      </c>
      <c r="BJ154" s="2">
        <v>-1500</v>
      </c>
      <c r="BK154" s="2">
        <v>1000</v>
      </c>
      <c r="BL154" s="2">
        <v>1000</v>
      </c>
      <c r="BO154" s="2">
        <f t="shared" si="86"/>
        <v>0</v>
      </c>
      <c r="BP154" s="2">
        <f t="shared" si="93"/>
        <v>0</v>
      </c>
      <c r="BQ154" s="2">
        <f t="shared" si="94"/>
        <v>0</v>
      </c>
      <c r="BR154" s="2">
        <f t="shared" si="95"/>
        <v>0</v>
      </c>
      <c r="BS154" s="2">
        <f t="shared" si="96"/>
        <v>0</v>
      </c>
      <c r="BT154" s="2">
        <f t="shared" si="97"/>
        <v>0</v>
      </c>
      <c r="BU154" s="2">
        <f t="shared" si="98"/>
        <v>0</v>
      </c>
      <c r="BV154" s="2">
        <f t="shared" si="99"/>
        <v>0</v>
      </c>
      <c r="BW154" s="2">
        <f t="shared" si="100"/>
        <v>0</v>
      </c>
      <c r="BX154" s="2">
        <f t="shared" si="101"/>
        <v>0</v>
      </c>
      <c r="BY154" s="2">
        <f t="shared" si="102"/>
        <v>0</v>
      </c>
      <c r="BZ154" s="2">
        <f t="shared" si="103"/>
        <v>0</v>
      </c>
      <c r="CA154" s="2">
        <f t="shared" si="104"/>
        <v>0</v>
      </c>
      <c r="CB154" s="2">
        <f t="shared" si="105"/>
        <v>0</v>
      </c>
      <c r="CC154" s="2">
        <f t="shared" si="106"/>
        <v>0</v>
      </c>
      <c r="CD154" s="2">
        <f t="shared" si="107"/>
        <v>0</v>
      </c>
      <c r="CE154" s="2">
        <f t="shared" si="108"/>
        <v>0</v>
      </c>
      <c r="CF154" s="2">
        <f t="shared" si="109"/>
        <v>-534.51</v>
      </c>
      <c r="CG154" s="2">
        <f t="shared" si="110"/>
        <v>-8753.2199999999993</v>
      </c>
      <c r="CH154" s="2">
        <f t="shared" si="111"/>
        <v>-3655.26</v>
      </c>
      <c r="CI154" s="2">
        <f t="shared" si="112"/>
        <v>0</v>
      </c>
      <c r="CJ154" s="2">
        <f t="shared" si="113"/>
        <v>0</v>
      </c>
      <c r="CK154" s="2">
        <f t="shared" si="114"/>
        <v>0</v>
      </c>
      <c r="CL154" s="2">
        <f t="shared" si="115"/>
        <v>0</v>
      </c>
      <c r="CM154" s="2">
        <f t="shared" si="87"/>
        <v>0</v>
      </c>
      <c r="CN154" s="2">
        <f t="shared" si="88"/>
        <v>-122912.5</v>
      </c>
      <c r="CO154" s="2">
        <f t="shared" si="89"/>
        <v>0</v>
      </c>
      <c r="CP154" s="2">
        <f t="shared" si="90"/>
        <v>114870</v>
      </c>
      <c r="CQ154" s="2">
        <f t="shared" si="91"/>
        <v>0</v>
      </c>
      <c r="CR154" s="2">
        <f t="shared" si="92"/>
        <v>0</v>
      </c>
      <c r="CV154" t="s">
        <v>64</v>
      </c>
      <c r="CW154" t="s">
        <v>227</v>
      </c>
      <c r="CX154" t="s">
        <v>4</v>
      </c>
      <c r="CY154" s="4">
        <v>43103</v>
      </c>
      <c r="CZ154" t="s">
        <v>65</v>
      </c>
      <c r="DA154" t="s">
        <v>66</v>
      </c>
      <c r="DB154">
        <v>10</v>
      </c>
      <c r="DC154">
        <v>152.86000000000001</v>
      </c>
      <c r="DD154" t="s">
        <v>69</v>
      </c>
      <c r="DE154" t="s">
        <v>70</v>
      </c>
      <c r="DF154">
        <v>1528.6000000000001</v>
      </c>
    </row>
    <row r="155" spans="1:110" x14ac:dyDescent="0.25">
      <c r="A155" s="1">
        <v>42958</v>
      </c>
      <c r="B155">
        <v>153.93</v>
      </c>
      <c r="C155">
        <v>82.72</v>
      </c>
      <c r="D155">
        <v>227.98</v>
      </c>
      <c r="E155">
        <v>109.03</v>
      </c>
      <c r="F155">
        <v>30.05</v>
      </c>
      <c r="G155">
        <v>102.13</v>
      </c>
      <c r="H155">
        <v>99.6</v>
      </c>
      <c r="I155">
        <v>1</v>
      </c>
      <c r="J155">
        <v>219.66</v>
      </c>
      <c r="K155">
        <v>149.81</v>
      </c>
      <c r="L155">
        <v>132.81</v>
      </c>
      <c r="M155">
        <v>34.56</v>
      </c>
      <c r="N155">
        <v>127.98</v>
      </c>
      <c r="O155">
        <v>88.14</v>
      </c>
      <c r="P155">
        <v>43.36</v>
      </c>
      <c r="Q155">
        <v>151.61000000000001</v>
      </c>
      <c r="R155">
        <v>197.15</v>
      </c>
      <c r="S155">
        <v>59.58</v>
      </c>
      <c r="T155">
        <v>70.53</v>
      </c>
      <c r="U155">
        <v>57.92</v>
      </c>
      <c r="V155">
        <v>31.54</v>
      </c>
      <c r="W155">
        <v>86.89</v>
      </c>
      <c r="X155">
        <v>123.81</v>
      </c>
      <c r="Y155">
        <v>189.09</v>
      </c>
      <c r="Z155">
        <v>112.29</v>
      </c>
      <c r="AA155">
        <v>98.92</v>
      </c>
      <c r="AB155">
        <v>44.87</v>
      </c>
      <c r="AC155">
        <v>77.52</v>
      </c>
      <c r="AD155">
        <v>78.12</v>
      </c>
      <c r="AE155">
        <v>73.59</v>
      </c>
      <c r="AI155" s="2">
        <v>5000</v>
      </c>
      <c r="AJ155" s="2">
        <f t="shared" si="118"/>
        <v>1100</v>
      </c>
      <c r="AK155" s="2">
        <f t="shared" si="118"/>
        <v>1100</v>
      </c>
      <c r="AL155" s="2">
        <f t="shared" si="118"/>
        <v>1100</v>
      </c>
      <c r="AM155" s="2">
        <f t="shared" si="118"/>
        <v>1100</v>
      </c>
      <c r="AN155" s="2">
        <f t="shared" si="118"/>
        <v>1100</v>
      </c>
      <c r="AO155" s="2">
        <f t="shared" si="118"/>
        <v>1100</v>
      </c>
      <c r="AP155" s="2">
        <v>0</v>
      </c>
      <c r="AQ155" s="2">
        <v>1000</v>
      </c>
      <c r="AR155" s="2">
        <v>0</v>
      </c>
      <c r="AS155" s="2">
        <v>1000</v>
      </c>
      <c r="AT155" s="2">
        <v>0</v>
      </c>
      <c r="AU155" s="2">
        <v>1000</v>
      </c>
      <c r="AV155" s="2">
        <v>1000</v>
      </c>
      <c r="AW155" s="2">
        <v>0</v>
      </c>
      <c r="AX155" s="2">
        <v>0</v>
      </c>
      <c r="AY155" s="2">
        <v>1000</v>
      </c>
      <c r="AZ155" s="2">
        <v>1007</v>
      </c>
      <c r="BA155" s="2">
        <v>1030</v>
      </c>
      <c r="BB155" s="2">
        <v>929</v>
      </c>
      <c r="BC155" s="2">
        <v>-1000</v>
      </c>
      <c r="BD155" s="2">
        <v>-5000</v>
      </c>
      <c r="BE155" s="2">
        <v>5000</v>
      </c>
      <c r="BF155" s="2">
        <v>3000</v>
      </c>
      <c r="BG155" s="2">
        <v>5000</v>
      </c>
      <c r="BH155" s="2">
        <v>0</v>
      </c>
      <c r="BI155" s="2">
        <v>3000</v>
      </c>
      <c r="BJ155" s="2">
        <v>-1500</v>
      </c>
      <c r="BK155" s="2">
        <v>1000</v>
      </c>
      <c r="BL155" s="2">
        <v>1000</v>
      </c>
      <c r="BO155" s="2">
        <f t="shared" si="86"/>
        <v>0</v>
      </c>
      <c r="BP155" s="2">
        <f t="shared" si="93"/>
        <v>0</v>
      </c>
      <c r="BQ155" s="2">
        <f t="shared" si="94"/>
        <v>0</v>
      </c>
      <c r="BR155" s="2">
        <f t="shared" si="95"/>
        <v>0</v>
      </c>
      <c r="BS155" s="2">
        <f t="shared" si="96"/>
        <v>0</v>
      </c>
      <c r="BT155" s="2">
        <f t="shared" si="97"/>
        <v>0</v>
      </c>
      <c r="BU155" s="2">
        <f t="shared" si="98"/>
        <v>0</v>
      </c>
      <c r="BV155" s="2">
        <f t="shared" si="99"/>
        <v>0</v>
      </c>
      <c r="BW155" s="2">
        <f t="shared" si="100"/>
        <v>0</v>
      </c>
      <c r="BX155" s="2">
        <f t="shared" si="101"/>
        <v>0</v>
      </c>
      <c r="BY155" s="2">
        <f t="shared" si="102"/>
        <v>0</v>
      </c>
      <c r="BZ155" s="2">
        <f t="shared" si="103"/>
        <v>0</v>
      </c>
      <c r="CA155" s="2">
        <f t="shared" si="104"/>
        <v>0</v>
      </c>
      <c r="CB155" s="2">
        <f t="shared" si="105"/>
        <v>0</v>
      </c>
      <c r="CC155" s="2">
        <f t="shared" si="106"/>
        <v>0</v>
      </c>
      <c r="CD155" s="2">
        <f t="shared" si="107"/>
        <v>0</v>
      </c>
      <c r="CE155" s="2">
        <f t="shared" si="108"/>
        <v>0</v>
      </c>
      <c r="CF155" s="2">
        <f t="shared" si="109"/>
        <v>-1370.34</v>
      </c>
      <c r="CG155" s="2">
        <f t="shared" si="110"/>
        <v>4443.3900000000003</v>
      </c>
      <c r="CH155" s="2">
        <f t="shared" si="111"/>
        <v>6487.04</v>
      </c>
      <c r="CI155" s="2">
        <f t="shared" si="112"/>
        <v>0</v>
      </c>
      <c r="CJ155" s="2">
        <f t="shared" si="113"/>
        <v>0</v>
      </c>
      <c r="CK155" s="2">
        <f t="shared" si="114"/>
        <v>0</v>
      </c>
      <c r="CL155" s="2">
        <f t="shared" si="115"/>
        <v>0</v>
      </c>
      <c r="CM155" s="2">
        <f t="shared" si="87"/>
        <v>0</v>
      </c>
      <c r="CN155" s="2">
        <f t="shared" si="88"/>
        <v>-123650</v>
      </c>
      <c r="CO155" s="2">
        <f t="shared" si="89"/>
        <v>0</v>
      </c>
      <c r="CP155" s="2">
        <f t="shared" si="90"/>
        <v>0</v>
      </c>
      <c r="CQ155" s="2">
        <f t="shared" si="91"/>
        <v>0</v>
      </c>
      <c r="CR155" s="2">
        <f t="shared" si="92"/>
        <v>0</v>
      </c>
      <c r="CV155" t="s">
        <v>64</v>
      </c>
      <c r="CW155" t="s">
        <v>228</v>
      </c>
      <c r="CX155" t="s">
        <v>4</v>
      </c>
      <c r="CY155" s="4">
        <v>43124</v>
      </c>
      <c r="CZ155" t="s">
        <v>65</v>
      </c>
      <c r="DA155" t="s">
        <v>66</v>
      </c>
      <c r="DB155">
        <v>10</v>
      </c>
      <c r="DC155">
        <v>164.36</v>
      </c>
      <c r="DD155" t="s">
        <v>69</v>
      </c>
      <c r="DE155" t="s">
        <v>70</v>
      </c>
      <c r="DF155">
        <v>1643.6000000000001</v>
      </c>
    </row>
    <row r="156" spans="1:110" x14ac:dyDescent="0.25">
      <c r="A156" s="1">
        <v>42961</v>
      </c>
      <c r="B156">
        <v>156.25</v>
      </c>
      <c r="C156">
        <v>83.88</v>
      </c>
      <c r="D156">
        <v>230.19</v>
      </c>
      <c r="E156">
        <v>109.86</v>
      </c>
      <c r="F156">
        <v>30.4</v>
      </c>
      <c r="G156">
        <v>101.65</v>
      </c>
      <c r="H156">
        <v>99.02</v>
      </c>
      <c r="I156">
        <v>1</v>
      </c>
      <c r="J156">
        <v>222.81</v>
      </c>
      <c r="K156">
        <v>149.21</v>
      </c>
      <c r="L156">
        <v>133.26</v>
      </c>
      <c r="M156">
        <v>35.020000000000003</v>
      </c>
      <c r="N156">
        <v>128.35</v>
      </c>
      <c r="O156">
        <v>89.17</v>
      </c>
      <c r="P156">
        <v>43.56</v>
      </c>
      <c r="Q156">
        <v>151.57</v>
      </c>
      <c r="R156">
        <v>198.48</v>
      </c>
      <c r="S156">
        <v>59.86</v>
      </c>
      <c r="T156">
        <v>71.59</v>
      </c>
      <c r="U156">
        <v>58.71</v>
      </c>
      <c r="V156">
        <v>31.59</v>
      </c>
      <c r="W156">
        <v>87.18</v>
      </c>
      <c r="X156">
        <v>124.4</v>
      </c>
      <c r="Y156">
        <v>189.77</v>
      </c>
      <c r="Z156">
        <v>112.54</v>
      </c>
      <c r="AA156">
        <v>100.68</v>
      </c>
      <c r="AB156">
        <v>45.54</v>
      </c>
      <c r="AC156">
        <v>78.290000000000006</v>
      </c>
      <c r="AD156">
        <v>78.42</v>
      </c>
      <c r="AE156">
        <v>73.61</v>
      </c>
      <c r="AI156" s="2">
        <v>5000</v>
      </c>
      <c r="AJ156" s="2">
        <f t="shared" ref="AJ156:AO156" si="119">AJ155+10</f>
        <v>1110</v>
      </c>
      <c r="AK156" s="2">
        <f t="shared" si="119"/>
        <v>1110</v>
      </c>
      <c r="AL156" s="2">
        <f t="shared" si="119"/>
        <v>1110</v>
      </c>
      <c r="AM156" s="2">
        <f t="shared" si="119"/>
        <v>1110</v>
      </c>
      <c r="AN156" s="2">
        <f t="shared" si="119"/>
        <v>1110</v>
      </c>
      <c r="AO156" s="2">
        <f t="shared" si="119"/>
        <v>1110</v>
      </c>
      <c r="AP156" s="2">
        <v>0</v>
      </c>
      <c r="AQ156" s="2">
        <v>1000</v>
      </c>
      <c r="AR156" s="2">
        <v>0</v>
      </c>
      <c r="AS156" s="2">
        <v>1000</v>
      </c>
      <c r="AT156" s="2">
        <v>0</v>
      </c>
      <c r="AU156" s="2">
        <v>1000</v>
      </c>
      <c r="AV156" s="2">
        <v>1000</v>
      </c>
      <c r="AW156" s="2">
        <v>0</v>
      </c>
      <c r="AX156" s="2">
        <v>0</v>
      </c>
      <c r="AY156" s="2">
        <v>1000</v>
      </c>
      <c r="AZ156" s="2">
        <v>1040</v>
      </c>
      <c r="BA156" s="2">
        <v>968</v>
      </c>
      <c r="BB156" s="2">
        <v>1065</v>
      </c>
      <c r="BC156" s="2">
        <v>-1000</v>
      </c>
      <c r="BD156" s="2">
        <v>-5000</v>
      </c>
      <c r="BE156" s="2">
        <v>5000</v>
      </c>
      <c r="BF156" s="2">
        <v>3000</v>
      </c>
      <c r="BG156" s="2">
        <v>5000</v>
      </c>
      <c r="BH156" s="2">
        <v>2500</v>
      </c>
      <c r="BI156" s="2">
        <v>3000</v>
      </c>
      <c r="BJ156" s="2">
        <v>-1500</v>
      </c>
      <c r="BK156" s="2">
        <v>1000</v>
      </c>
      <c r="BL156" s="2">
        <v>1000</v>
      </c>
      <c r="BO156" s="2">
        <f t="shared" si="86"/>
        <v>0</v>
      </c>
      <c r="BP156" s="2">
        <f t="shared" si="93"/>
        <v>-838.8</v>
      </c>
      <c r="BQ156" s="2">
        <f t="shared" si="94"/>
        <v>-2301.9</v>
      </c>
      <c r="BR156" s="2">
        <f t="shared" si="95"/>
        <v>-1098.5999999999999</v>
      </c>
      <c r="BS156" s="2">
        <f t="shared" si="96"/>
        <v>-304</v>
      </c>
      <c r="BT156" s="2">
        <f t="shared" si="97"/>
        <v>-1016.5</v>
      </c>
      <c r="BU156" s="2">
        <f t="shared" si="98"/>
        <v>-990.19999999999993</v>
      </c>
      <c r="BV156" s="2">
        <f t="shared" si="99"/>
        <v>0</v>
      </c>
      <c r="BW156" s="2">
        <f t="shared" si="100"/>
        <v>0</v>
      </c>
      <c r="BX156" s="2">
        <f t="shared" si="101"/>
        <v>0</v>
      </c>
      <c r="BY156" s="2">
        <f t="shared" si="102"/>
        <v>0</v>
      </c>
      <c r="BZ156" s="2">
        <f t="shared" si="103"/>
        <v>0</v>
      </c>
      <c r="CA156" s="2">
        <f t="shared" si="104"/>
        <v>0</v>
      </c>
      <c r="CB156" s="2">
        <f t="shared" si="105"/>
        <v>0</v>
      </c>
      <c r="CC156" s="2">
        <f t="shared" si="106"/>
        <v>0</v>
      </c>
      <c r="CD156" s="2">
        <f t="shared" si="107"/>
        <v>0</v>
      </c>
      <c r="CE156" s="2">
        <f t="shared" si="108"/>
        <v>0</v>
      </c>
      <c r="CF156" s="2">
        <f t="shared" si="109"/>
        <v>-1975.3799999999999</v>
      </c>
      <c r="CG156" s="2">
        <f t="shared" si="110"/>
        <v>4438.58</v>
      </c>
      <c r="CH156" s="2">
        <f t="shared" si="111"/>
        <v>-7984.56</v>
      </c>
      <c r="CI156" s="2">
        <f t="shared" si="112"/>
        <v>0</v>
      </c>
      <c r="CJ156" s="2">
        <f t="shared" si="113"/>
        <v>0</v>
      </c>
      <c r="CK156" s="2">
        <f t="shared" si="114"/>
        <v>0</v>
      </c>
      <c r="CL156" s="2">
        <f t="shared" si="115"/>
        <v>0</v>
      </c>
      <c r="CM156" s="2">
        <f t="shared" si="87"/>
        <v>0</v>
      </c>
      <c r="CN156" s="2">
        <f t="shared" si="88"/>
        <v>-251700.00000000003</v>
      </c>
      <c r="CO156" s="2">
        <f t="shared" si="89"/>
        <v>0</v>
      </c>
      <c r="CP156" s="2">
        <f t="shared" si="90"/>
        <v>0</v>
      </c>
      <c r="CQ156" s="2">
        <f t="shared" si="91"/>
        <v>0</v>
      </c>
      <c r="CR156" s="2">
        <f t="shared" si="92"/>
        <v>0</v>
      </c>
      <c r="CV156" t="s">
        <v>64</v>
      </c>
      <c r="CW156" t="s">
        <v>229</v>
      </c>
      <c r="CX156" t="s">
        <v>4</v>
      </c>
      <c r="CY156" s="4">
        <v>43144</v>
      </c>
      <c r="CZ156" t="s">
        <v>65</v>
      </c>
      <c r="DA156" t="s">
        <v>66</v>
      </c>
      <c r="DB156">
        <v>10</v>
      </c>
      <c r="DC156">
        <v>150.33000000000001</v>
      </c>
      <c r="DD156" t="s">
        <v>69</v>
      </c>
      <c r="DE156" t="s">
        <v>70</v>
      </c>
      <c r="DF156">
        <v>1503.3000000000002</v>
      </c>
    </row>
    <row r="157" spans="1:110" x14ac:dyDescent="0.25">
      <c r="A157" s="1">
        <v>42962</v>
      </c>
      <c r="B157">
        <v>157.96</v>
      </c>
      <c r="C157">
        <v>85.17</v>
      </c>
      <c r="D157">
        <v>232.15</v>
      </c>
      <c r="E157">
        <v>109.8</v>
      </c>
      <c r="F157">
        <v>30.64</v>
      </c>
      <c r="G157">
        <v>101.52</v>
      </c>
      <c r="H157">
        <v>99.13</v>
      </c>
      <c r="I157">
        <v>1</v>
      </c>
      <c r="J157">
        <v>223.03</v>
      </c>
      <c r="K157">
        <v>145.25</v>
      </c>
      <c r="L157">
        <v>133.03</v>
      </c>
      <c r="M157">
        <v>34.69</v>
      </c>
      <c r="N157">
        <v>128.25</v>
      </c>
      <c r="O157">
        <v>89.4</v>
      </c>
      <c r="P157">
        <v>43.93</v>
      </c>
      <c r="Q157">
        <v>151.91</v>
      </c>
      <c r="R157">
        <v>198.29</v>
      </c>
      <c r="S157">
        <v>59.7</v>
      </c>
      <c r="T157">
        <v>71.61</v>
      </c>
      <c r="U157">
        <v>57.52</v>
      </c>
      <c r="V157">
        <v>31.66</v>
      </c>
      <c r="W157">
        <v>87.7</v>
      </c>
      <c r="X157">
        <v>124.65</v>
      </c>
      <c r="Y157">
        <v>190.54</v>
      </c>
      <c r="Z157">
        <v>111.39</v>
      </c>
      <c r="AA157">
        <v>101.43</v>
      </c>
      <c r="AB157">
        <v>45.26</v>
      </c>
      <c r="AC157">
        <v>77.91</v>
      </c>
      <c r="AD157">
        <v>78.48</v>
      </c>
      <c r="AE157">
        <v>73.430000000000007</v>
      </c>
      <c r="AI157" s="2">
        <v>5000</v>
      </c>
      <c r="AJ157" s="2">
        <f t="shared" ref="AJ157:AO157" si="120">AJ156</f>
        <v>1110</v>
      </c>
      <c r="AK157" s="2">
        <f t="shared" si="120"/>
        <v>1110</v>
      </c>
      <c r="AL157" s="2">
        <f t="shared" si="120"/>
        <v>1110</v>
      </c>
      <c r="AM157" s="2">
        <f t="shared" si="120"/>
        <v>1110</v>
      </c>
      <c r="AN157" s="2">
        <f t="shared" si="120"/>
        <v>1110</v>
      </c>
      <c r="AO157" s="2">
        <f t="shared" si="120"/>
        <v>1110</v>
      </c>
      <c r="AP157" s="2">
        <v>0</v>
      </c>
      <c r="AQ157" s="2">
        <v>1000</v>
      </c>
      <c r="AR157" s="2">
        <v>0</v>
      </c>
      <c r="AS157" s="2">
        <v>1000</v>
      </c>
      <c r="AT157" s="2">
        <v>0</v>
      </c>
      <c r="AU157" s="2">
        <v>1000</v>
      </c>
      <c r="AV157" s="2">
        <v>1000</v>
      </c>
      <c r="AW157" s="2">
        <v>0</v>
      </c>
      <c r="AX157" s="2">
        <v>0</v>
      </c>
      <c r="AY157" s="2">
        <v>1000</v>
      </c>
      <c r="AZ157" s="2">
        <v>1006</v>
      </c>
      <c r="BA157" s="2">
        <v>915</v>
      </c>
      <c r="BB157" s="2">
        <v>1070</v>
      </c>
      <c r="BC157" s="2">
        <v>-1000</v>
      </c>
      <c r="BD157" s="2">
        <v>-5000</v>
      </c>
      <c r="BE157" s="2">
        <v>5000</v>
      </c>
      <c r="BF157" s="2">
        <v>3000</v>
      </c>
      <c r="BG157" s="2">
        <v>5000</v>
      </c>
      <c r="BH157" s="2">
        <v>5000</v>
      </c>
      <c r="BI157" s="2">
        <v>3000</v>
      </c>
      <c r="BJ157" s="2">
        <v>-1500</v>
      </c>
      <c r="BK157" s="2">
        <v>1000</v>
      </c>
      <c r="BL157" s="2">
        <v>1000</v>
      </c>
      <c r="BO157" s="2">
        <f t="shared" si="86"/>
        <v>0</v>
      </c>
      <c r="BP157" s="2">
        <f t="shared" si="93"/>
        <v>0</v>
      </c>
      <c r="BQ157" s="2">
        <f t="shared" si="94"/>
        <v>0</v>
      </c>
      <c r="BR157" s="2">
        <f t="shared" si="95"/>
        <v>0</v>
      </c>
      <c r="BS157" s="2">
        <f t="shared" si="96"/>
        <v>0</v>
      </c>
      <c r="BT157" s="2">
        <f t="shared" si="97"/>
        <v>0</v>
      </c>
      <c r="BU157" s="2">
        <f t="shared" si="98"/>
        <v>0</v>
      </c>
      <c r="BV157" s="2">
        <f t="shared" si="99"/>
        <v>0</v>
      </c>
      <c r="BW157" s="2">
        <f t="shared" si="100"/>
        <v>0</v>
      </c>
      <c r="BX157" s="2">
        <f t="shared" si="101"/>
        <v>0</v>
      </c>
      <c r="BY157" s="2">
        <f t="shared" si="102"/>
        <v>0</v>
      </c>
      <c r="BZ157" s="2">
        <f t="shared" si="103"/>
        <v>0</v>
      </c>
      <c r="CA157" s="2">
        <f t="shared" si="104"/>
        <v>0</v>
      </c>
      <c r="CB157" s="2">
        <f t="shared" si="105"/>
        <v>0</v>
      </c>
      <c r="CC157" s="2">
        <f t="shared" si="106"/>
        <v>0</v>
      </c>
      <c r="CD157" s="2">
        <f t="shared" si="107"/>
        <v>0</v>
      </c>
      <c r="CE157" s="2">
        <f t="shared" si="108"/>
        <v>0</v>
      </c>
      <c r="CF157" s="2">
        <f t="shared" si="109"/>
        <v>2029.8000000000002</v>
      </c>
      <c r="CG157" s="2">
        <f t="shared" si="110"/>
        <v>3795.33</v>
      </c>
      <c r="CH157" s="2">
        <f t="shared" si="111"/>
        <v>-287.60000000000002</v>
      </c>
      <c r="CI157" s="2">
        <f t="shared" si="112"/>
        <v>0</v>
      </c>
      <c r="CJ157" s="2">
        <f t="shared" si="113"/>
        <v>0</v>
      </c>
      <c r="CK157" s="2">
        <f t="shared" si="114"/>
        <v>0</v>
      </c>
      <c r="CL157" s="2">
        <f t="shared" si="115"/>
        <v>0</v>
      </c>
      <c r="CM157" s="2">
        <f t="shared" si="87"/>
        <v>0</v>
      </c>
      <c r="CN157" s="2">
        <f t="shared" si="88"/>
        <v>-253575.00000000003</v>
      </c>
      <c r="CO157" s="2">
        <f t="shared" si="89"/>
        <v>0</v>
      </c>
      <c r="CP157" s="2">
        <f t="shared" si="90"/>
        <v>0</v>
      </c>
      <c r="CQ157" s="2">
        <f t="shared" si="91"/>
        <v>0</v>
      </c>
      <c r="CR157" s="2">
        <f t="shared" si="92"/>
        <v>0</v>
      </c>
      <c r="CV157" t="s">
        <v>64</v>
      </c>
      <c r="CW157" t="s">
        <v>230</v>
      </c>
      <c r="CX157" t="s">
        <v>4</v>
      </c>
      <c r="CY157" s="4">
        <v>43165</v>
      </c>
      <c r="CZ157" t="s">
        <v>65</v>
      </c>
      <c r="DA157" t="s">
        <v>66</v>
      </c>
      <c r="DB157">
        <v>10</v>
      </c>
      <c r="DC157">
        <v>150.12</v>
      </c>
      <c r="DD157" t="s">
        <v>69</v>
      </c>
      <c r="DE157" t="s">
        <v>70</v>
      </c>
      <c r="DF157">
        <v>1501.2</v>
      </c>
    </row>
    <row r="158" spans="1:110" x14ac:dyDescent="0.25">
      <c r="A158" s="1">
        <v>42963</v>
      </c>
      <c r="B158">
        <v>157.33000000000001</v>
      </c>
      <c r="C158">
        <v>85.76</v>
      </c>
      <c r="D158">
        <v>230.61</v>
      </c>
      <c r="E158">
        <v>110.25</v>
      </c>
      <c r="F158">
        <v>30.88</v>
      </c>
      <c r="G158">
        <v>100.9</v>
      </c>
      <c r="H158">
        <v>99.8</v>
      </c>
      <c r="I158">
        <v>1</v>
      </c>
      <c r="J158">
        <v>221.09</v>
      </c>
      <c r="K158">
        <v>147.26</v>
      </c>
      <c r="L158">
        <v>133.43</v>
      </c>
      <c r="M158">
        <v>34.51</v>
      </c>
      <c r="N158">
        <v>129.01</v>
      </c>
      <c r="O158">
        <v>88.78</v>
      </c>
      <c r="P158">
        <v>43.94</v>
      </c>
      <c r="Q158">
        <v>153.15</v>
      </c>
      <c r="R158">
        <v>199</v>
      </c>
      <c r="S158">
        <v>59.89</v>
      </c>
      <c r="T158">
        <v>72.040000000000006</v>
      </c>
      <c r="U158">
        <v>57.5</v>
      </c>
      <c r="V158">
        <v>31.64</v>
      </c>
      <c r="W158">
        <v>87.93</v>
      </c>
      <c r="X158">
        <v>125.06</v>
      </c>
      <c r="Y158">
        <v>189.83</v>
      </c>
      <c r="Z158">
        <v>114.04</v>
      </c>
      <c r="AA158">
        <v>102.28</v>
      </c>
      <c r="AB158">
        <v>45.2</v>
      </c>
      <c r="AC158">
        <v>78.42</v>
      </c>
      <c r="AD158">
        <v>78.69</v>
      </c>
      <c r="AE158">
        <v>72.900000000000006</v>
      </c>
      <c r="AI158" s="2">
        <v>5000</v>
      </c>
      <c r="AJ158" s="2">
        <f t="shared" si="118"/>
        <v>1110</v>
      </c>
      <c r="AK158" s="2">
        <f t="shared" si="118"/>
        <v>1110</v>
      </c>
      <c r="AL158" s="2">
        <f t="shared" si="118"/>
        <v>1110</v>
      </c>
      <c r="AM158" s="2">
        <f t="shared" si="118"/>
        <v>1110</v>
      </c>
      <c r="AN158" s="2">
        <f t="shared" si="118"/>
        <v>1110</v>
      </c>
      <c r="AO158" s="2">
        <f t="shared" si="118"/>
        <v>1110</v>
      </c>
      <c r="AP158" s="2">
        <v>0</v>
      </c>
      <c r="AQ158" s="2">
        <v>1000</v>
      </c>
      <c r="AR158" s="2">
        <v>0</v>
      </c>
      <c r="AS158" s="2">
        <v>1000</v>
      </c>
      <c r="AT158" s="2">
        <v>0</v>
      </c>
      <c r="AU158" s="2">
        <v>1000</v>
      </c>
      <c r="AV158" s="2">
        <v>1000</v>
      </c>
      <c r="AW158" s="2">
        <v>0</v>
      </c>
      <c r="AX158" s="2">
        <v>0</v>
      </c>
      <c r="AY158" s="2">
        <v>1000</v>
      </c>
      <c r="AZ158" s="2">
        <v>986</v>
      </c>
      <c r="BA158" s="2">
        <v>912</v>
      </c>
      <c r="BB158" s="2">
        <v>974</v>
      </c>
      <c r="BC158" s="2">
        <v>-1000</v>
      </c>
      <c r="BD158" s="2">
        <v>-5000</v>
      </c>
      <c r="BE158" s="2">
        <v>5000</v>
      </c>
      <c r="BF158" s="2">
        <v>3000</v>
      </c>
      <c r="BG158" s="2">
        <v>5000</v>
      </c>
      <c r="BH158" s="2">
        <v>5000</v>
      </c>
      <c r="BI158" s="2">
        <v>3000</v>
      </c>
      <c r="BJ158" s="2">
        <v>-1500</v>
      </c>
      <c r="BK158" s="2">
        <v>1000</v>
      </c>
      <c r="BL158" s="2">
        <v>1000</v>
      </c>
      <c r="BO158" s="2">
        <f t="shared" si="86"/>
        <v>0</v>
      </c>
      <c r="BP158" s="2">
        <f t="shared" si="93"/>
        <v>0</v>
      </c>
      <c r="BQ158" s="2">
        <f t="shared" si="94"/>
        <v>0</v>
      </c>
      <c r="BR158" s="2">
        <f t="shared" si="95"/>
        <v>0</v>
      </c>
      <c r="BS158" s="2">
        <f t="shared" si="96"/>
        <v>0</v>
      </c>
      <c r="BT158" s="2">
        <f t="shared" si="97"/>
        <v>0</v>
      </c>
      <c r="BU158" s="2">
        <f t="shared" si="98"/>
        <v>0</v>
      </c>
      <c r="BV158" s="2">
        <f t="shared" si="99"/>
        <v>0</v>
      </c>
      <c r="BW158" s="2">
        <f t="shared" si="100"/>
        <v>0</v>
      </c>
      <c r="BX158" s="2">
        <f t="shared" si="101"/>
        <v>0</v>
      </c>
      <c r="BY158" s="2">
        <f t="shared" si="102"/>
        <v>0</v>
      </c>
      <c r="BZ158" s="2">
        <f t="shared" si="103"/>
        <v>0</v>
      </c>
      <c r="CA158" s="2">
        <f t="shared" si="104"/>
        <v>0</v>
      </c>
      <c r="CB158" s="2">
        <f t="shared" si="105"/>
        <v>0</v>
      </c>
      <c r="CC158" s="2">
        <f t="shared" si="106"/>
        <v>0</v>
      </c>
      <c r="CD158" s="2">
        <f t="shared" si="107"/>
        <v>0</v>
      </c>
      <c r="CE158" s="2">
        <f t="shared" si="108"/>
        <v>0</v>
      </c>
      <c r="CF158" s="2">
        <f t="shared" si="109"/>
        <v>1197.8</v>
      </c>
      <c r="CG158" s="2">
        <f t="shared" si="110"/>
        <v>216.12</v>
      </c>
      <c r="CH158" s="2">
        <f t="shared" si="111"/>
        <v>5520</v>
      </c>
      <c r="CI158" s="2">
        <f t="shared" si="112"/>
        <v>0</v>
      </c>
      <c r="CJ158" s="2">
        <f t="shared" si="113"/>
        <v>0</v>
      </c>
      <c r="CK158" s="2">
        <f t="shared" si="114"/>
        <v>0</v>
      </c>
      <c r="CL158" s="2">
        <f t="shared" si="115"/>
        <v>0</v>
      </c>
      <c r="CM158" s="2">
        <f t="shared" si="87"/>
        <v>0</v>
      </c>
      <c r="CN158" s="2">
        <f t="shared" si="88"/>
        <v>0</v>
      </c>
      <c r="CO158" s="2">
        <f t="shared" si="89"/>
        <v>0</v>
      </c>
      <c r="CP158" s="2">
        <f t="shared" si="90"/>
        <v>0</v>
      </c>
      <c r="CQ158" s="2">
        <f t="shared" si="91"/>
        <v>0</v>
      </c>
      <c r="CR158" s="2">
        <f t="shared" si="92"/>
        <v>0</v>
      </c>
      <c r="CV158" t="s">
        <v>64</v>
      </c>
      <c r="CW158" t="s">
        <v>231</v>
      </c>
      <c r="CX158" t="s">
        <v>4</v>
      </c>
      <c r="CY158" s="4">
        <v>43185</v>
      </c>
      <c r="CZ158" t="s">
        <v>65</v>
      </c>
      <c r="DA158" t="s">
        <v>66</v>
      </c>
      <c r="DB158">
        <v>10</v>
      </c>
      <c r="DC158">
        <v>145.66999999999999</v>
      </c>
      <c r="DD158" t="s">
        <v>69</v>
      </c>
      <c r="DE158" t="s">
        <v>70</v>
      </c>
      <c r="DF158">
        <v>1456.6999999999998</v>
      </c>
    </row>
    <row r="159" spans="1:110" x14ac:dyDescent="0.25">
      <c r="A159" s="1">
        <v>42964</v>
      </c>
      <c r="B159">
        <v>154.31</v>
      </c>
      <c r="C159">
        <v>84.49</v>
      </c>
      <c r="D159">
        <v>228.67</v>
      </c>
      <c r="E159">
        <v>109.31</v>
      </c>
      <c r="F159">
        <v>29.64</v>
      </c>
      <c r="G159">
        <v>100.03</v>
      </c>
      <c r="H159">
        <v>99</v>
      </c>
      <c r="I159">
        <v>1</v>
      </c>
      <c r="J159">
        <v>216.99</v>
      </c>
      <c r="K159">
        <v>144.77000000000001</v>
      </c>
      <c r="L159">
        <v>131.74</v>
      </c>
      <c r="M159">
        <v>33.89</v>
      </c>
      <c r="N159">
        <v>127.92</v>
      </c>
      <c r="O159">
        <v>87.39</v>
      </c>
      <c r="P159">
        <v>43.62</v>
      </c>
      <c r="Q159">
        <v>152.16999999999999</v>
      </c>
      <c r="R159">
        <v>196.54</v>
      </c>
      <c r="S159">
        <v>59.07</v>
      </c>
      <c r="T159">
        <v>70.81</v>
      </c>
      <c r="U159">
        <v>56.44</v>
      </c>
      <c r="V159">
        <v>31.25</v>
      </c>
      <c r="W159">
        <v>87.58</v>
      </c>
      <c r="X159">
        <v>123.82</v>
      </c>
      <c r="Y159">
        <v>188.78</v>
      </c>
      <c r="Z159">
        <v>112.21</v>
      </c>
      <c r="AA159">
        <v>101.13</v>
      </c>
      <c r="AB159">
        <v>44.71</v>
      </c>
      <c r="AC159">
        <v>78.06</v>
      </c>
      <c r="AD159">
        <v>77.44</v>
      </c>
      <c r="AE159">
        <v>71.760000000000005</v>
      </c>
      <c r="AI159" s="2">
        <v>5000</v>
      </c>
      <c r="AJ159" s="2">
        <f t="shared" si="118"/>
        <v>1110</v>
      </c>
      <c r="AK159" s="2">
        <f t="shared" si="118"/>
        <v>1110</v>
      </c>
      <c r="AL159" s="2">
        <f t="shared" si="118"/>
        <v>1110</v>
      </c>
      <c r="AM159" s="2">
        <f t="shared" si="118"/>
        <v>1110</v>
      </c>
      <c r="AN159" s="2">
        <f t="shared" si="118"/>
        <v>1110</v>
      </c>
      <c r="AO159" s="2">
        <f t="shared" si="118"/>
        <v>1110</v>
      </c>
      <c r="AP159" s="2">
        <v>0</v>
      </c>
      <c r="AQ159" s="2">
        <v>1000</v>
      </c>
      <c r="AR159" s="2">
        <v>0</v>
      </c>
      <c r="AS159" s="2">
        <v>1000</v>
      </c>
      <c r="AT159" s="2">
        <v>0</v>
      </c>
      <c r="AU159" s="2">
        <v>1000</v>
      </c>
      <c r="AV159" s="2">
        <v>1000</v>
      </c>
      <c r="AW159" s="2">
        <v>0</v>
      </c>
      <c r="AX159" s="2">
        <v>0</v>
      </c>
      <c r="AY159" s="2">
        <v>1000</v>
      </c>
      <c r="AZ159" s="2">
        <v>1046</v>
      </c>
      <c r="BA159" s="2">
        <v>1089</v>
      </c>
      <c r="BB159" s="2">
        <v>917</v>
      </c>
      <c r="BC159" s="2">
        <v>-1000</v>
      </c>
      <c r="BD159" s="2">
        <v>-5000</v>
      </c>
      <c r="BE159" s="2">
        <v>5000</v>
      </c>
      <c r="BF159" s="2">
        <v>3000</v>
      </c>
      <c r="BG159" s="2">
        <v>5000</v>
      </c>
      <c r="BH159" s="2">
        <v>5000</v>
      </c>
      <c r="BI159" s="2">
        <v>3000</v>
      </c>
      <c r="BJ159" s="2">
        <v>-1500</v>
      </c>
      <c r="BK159" s="2">
        <v>1000</v>
      </c>
      <c r="BL159" s="2">
        <v>1000</v>
      </c>
      <c r="BO159" s="2">
        <f t="shared" si="86"/>
        <v>0</v>
      </c>
      <c r="BP159" s="2">
        <f t="shared" si="93"/>
        <v>0</v>
      </c>
      <c r="BQ159" s="2">
        <f t="shared" si="94"/>
        <v>0</v>
      </c>
      <c r="BR159" s="2">
        <f t="shared" si="95"/>
        <v>0</v>
      </c>
      <c r="BS159" s="2">
        <f t="shared" si="96"/>
        <v>0</v>
      </c>
      <c r="BT159" s="2">
        <f t="shared" si="97"/>
        <v>0</v>
      </c>
      <c r="BU159" s="2">
        <f t="shared" si="98"/>
        <v>0</v>
      </c>
      <c r="BV159" s="2">
        <f t="shared" si="99"/>
        <v>0</v>
      </c>
      <c r="BW159" s="2">
        <f t="shared" si="100"/>
        <v>0</v>
      </c>
      <c r="BX159" s="2">
        <f t="shared" si="101"/>
        <v>0</v>
      </c>
      <c r="BY159" s="2">
        <f t="shared" si="102"/>
        <v>0</v>
      </c>
      <c r="BZ159" s="2">
        <f t="shared" si="103"/>
        <v>0</v>
      </c>
      <c r="CA159" s="2">
        <f t="shared" si="104"/>
        <v>0</v>
      </c>
      <c r="CB159" s="2">
        <f t="shared" si="105"/>
        <v>0</v>
      </c>
      <c r="CC159" s="2">
        <f t="shared" si="106"/>
        <v>0</v>
      </c>
      <c r="CD159" s="2">
        <f t="shared" si="107"/>
        <v>0</v>
      </c>
      <c r="CE159" s="2">
        <f t="shared" si="108"/>
        <v>0</v>
      </c>
      <c r="CF159" s="2">
        <f t="shared" si="109"/>
        <v>-3544.2</v>
      </c>
      <c r="CG159" s="2">
        <f t="shared" si="110"/>
        <v>-12533.37</v>
      </c>
      <c r="CH159" s="2">
        <f t="shared" si="111"/>
        <v>3217.08</v>
      </c>
      <c r="CI159" s="2">
        <f t="shared" si="112"/>
        <v>0</v>
      </c>
      <c r="CJ159" s="2">
        <f t="shared" si="113"/>
        <v>0</v>
      </c>
      <c r="CK159" s="2">
        <f t="shared" si="114"/>
        <v>0</v>
      </c>
      <c r="CL159" s="2">
        <f t="shared" si="115"/>
        <v>0</v>
      </c>
      <c r="CM159" s="2">
        <f t="shared" si="87"/>
        <v>0</v>
      </c>
      <c r="CN159" s="2">
        <f t="shared" si="88"/>
        <v>0</v>
      </c>
      <c r="CO159" s="2">
        <f t="shared" si="89"/>
        <v>0</v>
      </c>
      <c r="CP159" s="2">
        <f t="shared" si="90"/>
        <v>0</v>
      </c>
      <c r="CQ159" s="2">
        <f t="shared" si="91"/>
        <v>0</v>
      </c>
      <c r="CR159" s="2">
        <f t="shared" si="92"/>
        <v>0</v>
      </c>
      <c r="CV159" t="s">
        <v>64</v>
      </c>
      <c r="CW159" t="s">
        <v>232</v>
      </c>
      <c r="CX159" t="s">
        <v>4</v>
      </c>
      <c r="CY159" s="4">
        <v>43206</v>
      </c>
      <c r="CZ159" t="s">
        <v>65</v>
      </c>
      <c r="DA159" t="s">
        <v>66</v>
      </c>
      <c r="DB159">
        <v>10</v>
      </c>
      <c r="DC159">
        <v>148.55000000000001</v>
      </c>
      <c r="DD159" t="s">
        <v>69</v>
      </c>
      <c r="DE159" t="s">
        <v>70</v>
      </c>
      <c r="DF159">
        <v>1485.5</v>
      </c>
    </row>
    <row r="160" spans="1:110" x14ac:dyDescent="0.25">
      <c r="A160" s="1">
        <v>42965</v>
      </c>
      <c r="B160">
        <v>153.94999999999999</v>
      </c>
      <c r="C160">
        <v>83.79</v>
      </c>
      <c r="D160">
        <v>228.85</v>
      </c>
      <c r="E160">
        <v>110.06</v>
      </c>
      <c r="F160">
        <v>29</v>
      </c>
      <c r="G160">
        <v>100.56</v>
      </c>
      <c r="H160">
        <v>98.34</v>
      </c>
      <c r="I160">
        <v>1</v>
      </c>
      <c r="J160">
        <v>217.7</v>
      </c>
      <c r="K160">
        <v>142.66</v>
      </c>
      <c r="L160">
        <v>130.81</v>
      </c>
      <c r="M160">
        <v>33.74</v>
      </c>
      <c r="N160">
        <v>127.53</v>
      </c>
      <c r="O160">
        <v>87.48</v>
      </c>
      <c r="P160">
        <v>43.44</v>
      </c>
      <c r="Q160">
        <v>152.05000000000001</v>
      </c>
      <c r="R160">
        <v>194.8</v>
      </c>
      <c r="S160">
        <v>58.73</v>
      </c>
      <c r="T160">
        <v>70.900000000000006</v>
      </c>
      <c r="U160">
        <v>53.97</v>
      </c>
      <c r="V160">
        <v>30.99</v>
      </c>
      <c r="W160">
        <v>87.96</v>
      </c>
      <c r="X160">
        <v>123.53</v>
      </c>
      <c r="Y160">
        <v>186.94</v>
      </c>
      <c r="Z160">
        <v>111.61</v>
      </c>
      <c r="AA160">
        <v>101.47</v>
      </c>
      <c r="AB160">
        <v>44.53</v>
      </c>
      <c r="AC160">
        <v>77.23</v>
      </c>
      <c r="AD160">
        <v>77.069999999999993</v>
      </c>
      <c r="AE160">
        <v>72.11</v>
      </c>
      <c r="AI160" s="2">
        <v>5000</v>
      </c>
      <c r="AJ160" s="2">
        <f t="shared" si="118"/>
        <v>1110</v>
      </c>
      <c r="AK160" s="2">
        <f t="shared" si="118"/>
        <v>1110</v>
      </c>
      <c r="AL160" s="2">
        <f t="shared" si="118"/>
        <v>1110</v>
      </c>
      <c r="AM160" s="2">
        <f t="shared" si="118"/>
        <v>1110</v>
      </c>
      <c r="AN160" s="2">
        <f t="shared" si="118"/>
        <v>1110</v>
      </c>
      <c r="AO160" s="2">
        <f t="shared" si="118"/>
        <v>1110</v>
      </c>
      <c r="AP160" s="2">
        <v>0</v>
      </c>
      <c r="AQ160" s="2">
        <v>1000</v>
      </c>
      <c r="AR160" s="2">
        <v>0</v>
      </c>
      <c r="AS160" s="2">
        <v>1000</v>
      </c>
      <c r="AT160" s="2">
        <v>0</v>
      </c>
      <c r="AU160" s="2">
        <v>1000</v>
      </c>
      <c r="AV160" s="2">
        <v>1000</v>
      </c>
      <c r="AW160" s="2">
        <v>0</v>
      </c>
      <c r="AX160" s="2">
        <v>0</v>
      </c>
      <c r="AY160" s="2">
        <v>1000</v>
      </c>
      <c r="AZ160" s="2">
        <v>993</v>
      </c>
      <c r="BA160" s="2">
        <v>1033</v>
      </c>
      <c r="BB160" s="2">
        <v>982</v>
      </c>
      <c r="BC160" s="2">
        <v>-1000</v>
      </c>
      <c r="BD160" s="2">
        <v>-5000</v>
      </c>
      <c r="BE160" s="2">
        <v>5000</v>
      </c>
      <c r="BF160" s="2">
        <v>3000</v>
      </c>
      <c r="BG160" s="2">
        <v>5000</v>
      </c>
      <c r="BH160" s="2">
        <v>5000</v>
      </c>
      <c r="BI160" s="2">
        <v>3000</v>
      </c>
      <c r="BJ160" s="2">
        <v>-1500</v>
      </c>
      <c r="BK160" s="2">
        <v>1000</v>
      </c>
      <c r="BL160" s="2">
        <v>1000</v>
      </c>
      <c r="BO160" s="2">
        <f t="shared" si="86"/>
        <v>0</v>
      </c>
      <c r="BP160" s="2">
        <f t="shared" si="93"/>
        <v>0</v>
      </c>
      <c r="BQ160" s="2">
        <f t="shared" si="94"/>
        <v>0</v>
      </c>
      <c r="BR160" s="2">
        <f t="shared" si="95"/>
        <v>0</v>
      </c>
      <c r="BS160" s="2">
        <f t="shared" si="96"/>
        <v>0</v>
      </c>
      <c r="BT160" s="2">
        <f t="shared" si="97"/>
        <v>0</v>
      </c>
      <c r="BU160" s="2">
        <f t="shared" si="98"/>
        <v>0</v>
      </c>
      <c r="BV160" s="2">
        <f t="shared" si="99"/>
        <v>0</v>
      </c>
      <c r="BW160" s="2">
        <f t="shared" si="100"/>
        <v>0</v>
      </c>
      <c r="BX160" s="2">
        <f t="shared" si="101"/>
        <v>0</v>
      </c>
      <c r="BY160" s="2">
        <f t="shared" si="102"/>
        <v>0</v>
      </c>
      <c r="BZ160" s="2">
        <f t="shared" si="103"/>
        <v>0</v>
      </c>
      <c r="CA160" s="2">
        <f t="shared" si="104"/>
        <v>0</v>
      </c>
      <c r="CB160" s="2">
        <f t="shared" si="105"/>
        <v>0</v>
      </c>
      <c r="CC160" s="2">
        <f t="shared" si="106"/>
        <v>0</v>
      </c>
      <c r="CD160" s="2">
        <f t="shared" si="107"/>
        <v>0</v>
      </c>
      <c r="CE160" s="2">
        <f t="shared" si="108"/>
        <v>0</v>
      </c>
      <c r="CF160" s="2">
        <f t="shared" si="109"/>
        <v>3112.69</v>
      </c>
      <c r="CG160" s="2">
        <f t="shared" si="110"/>
        <v>3970.4000000000005</v>
      </c>
      <c r="CH160" s="2">
        <f t="shared" si="111"/>
        <v>-3508.0499999999997</v>
      </c>
      <c r="CI160" s="2">
        <f t="shared" si="112"/>
        <v>0</v>
      </c>
      <c r="CJ160" s="2">
        <f t="shared" si="113"/>
        <v>0</v>
      </c>
      <c r="CK160" s="2">
        <f t="shared" si="114"/>
        <v>0</v>
      </c>
      <c r="CL160" s="2">
        <f t="shared" si="115"/>
        <v>0</v>
      </c>
      <c r="CM160" s="2">
        <f t="shared" si="87"/>
        <v>0</v>
      </c>
      <c r="CN160" s="2">
        <f t="shared" si="88"/>
        <v>0</v>
      </c>
      <c r="CO160" s="2">
        <f t="shared" si="89"/>
        <v>0</v>
      </c>
      <c r="CP160" s="2">
        <f t="shared" si="90"/>
        <v>0</v>
      </c>
      <c r="CQ160" s="2">
        <f t="shared" si="91"/>
        <v>0</v>
      </c>
      <c r="CR160" s="2">
        <f t="shared" si="92"/>
        <v>0</v>
      </c>
      <c r="CV160" t="s">
        <v>64</v>
      </c>
      <c r="CW160" t="s">
        <v>233</v>
      </c>
      <c r="CX160" t="s">
        <v>4</v>
      </c>
      <c r="CY160" s="4">
        <v>43224</v>
      </c>
      <c r="CZ160" t="s">
        <v>65</v>
      </c>
      <c r="DA160" t="s">
        <v>66</v>
      </c>
      <c r="DB160">
        <v>10</v>
      </c>
      <c r="DC160">
        <v>143.63</v>
      </c>
      <c r="DD160" t="s">
        <v>69</v>
      </c>
      <c r="DE160" t="s">
        <v>70</v>
      </c>
      <c r="DF160">
        <v>1436.3</v>
      </c>
    </row>
    <row r="161" spans="1:110" x14ac:dyDescent="0.25">
      <c r="A161" s="1">
        <v>42968</v>
      </c>
      <c r="B161">
        <v>153.66999999999999</v>
      </c>
      <c r="C161">
        <v>83.71</v>
      </c>
      <c r="D161">
        <v>228.76</v>
      </c>
      <c r="E161">
        <v>109.75</v>
      </c>
      <c r="F161">
        <v>29.29</v>
      </c>
      <c r="G161">
        <v>99.9</v>
      </c>
      <c r="H161">
        <v>98.8</v>
      </c>
      <c r="I161">
        <v>1</v>
      </c>
      <c r="J161">
        <v>216.37</v>
      </c>
      <c r="K161">
        <v>144.31</v>
      </c>
      <c r="L161">
        <v>131.4</v>
      </c>
      <c r="M161">
        <v>33.65</v>
      </c>
      <c r="N161">
        <v>128.32</v>
      </c>
      <c r="O161">
        <v>87.38</v>
      </c>
      <c r="P161">
        <v>43.45</v>
      </c>
      <c r="Q161">
        <v>152.63</v>
      </c>
      <c r="R161">
        <v>195.78</v>
      </c>
      <c r="S161">
        <v>59.19</v>
      </c>
      <c r="T161">
        <v>70.569999999999993</v>
      </c>
      <c r="U161">
        <v>52.65</v>
      </c>
      <c r="V161">
        <v>31.07</v>
      </c>
      <c r="W161">
        <v>88.33</v>
      </c>
      <c r="X161">
        <v>123.1</v>
      </c>
      <c r="Y161">
        <v>188.12</v>
      </c>
      <c r="Z161">
        <v>111.41</v>
      </c>
      <c r="AA161">
        <v>102.18</v>
      </c>
      <c r="AB161">
        <v>44.95</v>
      </c>
      <c r="AC161">
        <v>77.78</v>
      </c>
      <c r="AD161">
        <v>77.45</v>
      </c>
      <c r="AE161">
        <v>71.87</v>
      </c>
      <c r="AI161" s="2">
        <v>5000</v>
      </c>
      <c r="AJ161" s="2">
        <f t="shared" si="118"/>
        <v>1110</v>
      </c>
      <c r="AK161" s="2">
        <f t="shared" si="118"/>
        <v>1110</v>
      </c>
      <c r="AL161" s="2">
        <f t="shared" si="118"/>
        <v>1110</v>
      </c>
      <c r="AM161" s="2">
        <f t="shared" si="118"/>
        <v>1110</v>
      </c>
      <c r="AN161" s="2">
        <f t="shared" si="118"/>
        <v>1110</v>
      </c>
      <c r="AO161" s="2">
        <f t="shared" si="118"/>
        <v>1110</v>
      </c>
      <c r="AP161" s="2">
        <v>0</v>
      </c>
      <c r="AQ161" s="2">
        <v>1000</v>
      </c>
      <c r="AR161" s="2">
        <v>0</v>
      </c>
      <c r="AS161" s="2">
        <v>1000</v>
      </c>
      <c r="AT161" s="2">
        <v>0</v>
      </c>
      <c r="AU161" s="2">
        <v>1000</v>
      </c>
      <c r="AV161" s="2">
        <v>1000</v>
      </c>
      <c r="AW161" s="2">
        <v>0</v>
      </c>
      <c r="AX161" s="2">
        <v>0</v>
      </c>
      <c r="AY161" s="2">
        <v>1000</v>
      </c>
      <c r="AZ161" s="2">
        <v>988</v>
      </c>
      <c r="BA161" s="2">
        <v>1031</v>
      </c>
      <c r="BB161" s="2">
        <v>1091</v>
      </c>
      <c r="BC161" s="2">
        <v>-1000</v>
      </c>
      <c r="BD161" s="2">
        <v>-5000</v>
      </c>
      <c r="BE161" s="2">
        <v>5000</v>
      </c>
      <c r="BF161" s="2">
        <v>3000</v>
      </c>
      <c r="BG161" s="2">
        <v>5000</v>
      </c>
      <c r="BH161" s="2">
        <v>4500</v>
      </c>
      <c r="BI161" s="2">
        <v>3000</v>
      </c>
      <c r="BJ161" s="2">
        <v>-1500</v>
      </c>
      <c r="BK161" s="2">
        <v>1000</v>
      </c>
      <c r="BL161" s="2">
        <v>1000</v>
      </c>
      <c r="BO161" s="2">
        <f t="shared" si="86"/>
        <v>0</v>
      </c>
      <c r="BP161" s="2">
        <f t="shared" si="93"/>
        <v>0</v>
      </c>
      <c r="BQ161" s="2">
        <f t="shared" si="94"/>
        <v>0</v>
      </c>
      <c r="BR161" s="2">
        <f t="shared" si="95"/>
        <v>0</v>
      </c>
      <c r="BS161" s="2">
        <f t="shared" si="96"/>
        <v>0</v>
      </c>
      <c r="BT161" s="2">
        <f t="shared" si="97"/>
        <v>0</v>
      </c>
      <c r="BU161" s="2">
        <f t="shared" si="98"/>
        <v>0</v>
      </c>
      <c r="BV161" s="2">
        <f t="shared" si="99"/>
        <v>0</v>
      </c>
      <c r="BW161" s="2">
        <f t="shared" si="100"/>
        <v>0</v>
      </c>
      <c r="BX161" s="2">
        <f t="shared" si="101"/>
        <v>0</v>
      </c>
      <c r="BY161" s="2">
        <f t="shared" si="102"/>
        <v>0</v>
      </c>
      <c r="BZ161" s="2">
        <f t="shared" si="103"/>
        <v>0</v>
      </c>
      <c r="CA161" s="2">
        <f t="shared" si="104"/>
        <v>0</v>
      </c>
      <c r="CB161" s="2">
        <f t="shared" si="105"/>
        <v>0</v>
      </c>
      <c r="CC161" s="2">
        <f t="shared" si="106"/>
        <v>0</v>
      </c>
      <c r="CD161" s="2">
        <f t="shared" si="107"/>
        <v>0</v>
      </c>
      <c r="CE161" s="2">
        <f t="shared" si="108"/>
        <v>0</v>
      </c>
      <c r="CF161" s="2">
        <f t="shared" si="109"/>
        <v>295.95</v>
      </c>
      <c r="CG161" s="2">
        <f t="shared" si="110"/>
        <v>141.13999999999999</v>
      </c>
      <c r="CH161" s="2">
        <f t="shared" si="111"/>
        <v>-5738.8499999999995</v>
      </c>
      <c r="CI161" s="2">
        <f t="shared" si="112"/>
        <v>0</v>
      </c>
      <c r="CJ161" s="2">
        <f t="shared" si="113"/>
        <v>0</v>
      </c>
      <c r="CK161" s="2">
        <f t="shared" si="114"/>
        <v>0</v>
      </c>
      <c r="CL161" s="2">
        <f t="shared" si="115"/>
        <v>0</v>
      </c>
      <c r="CM161" s="2">
        <f t="shared" si="87"/>
        <v>0</v>
      </c>
      <c r="CN161" s="2">
        <f t="shared" si="88"/>
        <v>51090</v>
      </c>
      <c r="CO161" s="2">
        <f t="shared" si="89"/>
        <v>0</v>
      </c>
      <c r="CP161" s="2">
        <f t="shared" si="90"/>
        <v>0</v>
      </c>
      <c r="CQ161" s="2">
        <f t="shared" si="91"/>
        <v>0</v>
      </c>
      <c r="CR161" s="2">
        <f t="shared" si="92"/>
        <v>0</v>
      </c>
      <c r="CV161" t="s">
        <v>64</v>
      </c>
      <c r="CW161" t="s">
        <v>234</v>
      </c>
      <c r="CX161" t="s">
        <v>4</v>
      </c>
      <c r="CY161" s="4">
        <v>43244</v>
      </c>
      <c r="CZ161" t="s">
        <v>65</v>
      </c>
      <c r="DA161" t="s">
        <v>66</v>
      </c>
      <c r="DB161">
        <v>10</v>
      </c>
      <c r="DC161">
        <v>154.75</v>
      </c>
      <c r="DD161" t="s">
        <v>69</v>
      </c>
      <c r="DE161" t="s">
        <v>70</v>
      </c>
      <c r="DF161">
        <v>1547.5</v>
      </c>
    </row>
    <row r="162" spans="1:110" x14ac:dyDescent="0.25">
      <c r="A162" s="1">
        <v>42969</v>
      </c>
      <c r="B162">
        <v>156.18</v>
      </c>
      <c r="C162">
        <v>83.71</v>
      </c>
      <c r="D162">
        <v>232.71</v>
      </c>
      <c r="E162">
        <v>111.89</v>
      </c>
      <c r="F162">
        <v>29.86</v>
      </c>
      <c r="G162">
        <v>100.45</v>
      </c>
      <c r="H162">
        <v>100.36</v>
      </c>
      <c r="I162">
        <v>1</v>
      </c>
      <c r="J162">
        <v>219.1</v>
      </c>
      <c r="K162">
        <v>145</v>
      </c>
      <c r="L162">
        <v>132.03</v>
      </c>
      <c r="M162">
        <v>33.39</v>
      </c>
      <c r="N162">
        <v>129.52000000000001</v>
      </c>
      <c r="O162">
        <v>88.27</v>
      </c>
      <c r="P162">
        <v>43.37</v>
      </c>
      <c r="Q162">
        <v>153.86000000000001</v>
      </c>
      <c r="R162">
        <v>196.65</v>
      </c>
      <c r="S162">
        <v>59.62</v>
      </c>
      <c r="T162">
        <v>71.56</v>
      </c>
      <c r="U162">
        <v>53.17</v>
      </c>
      <c r="V162">
        <v>31.44</v>
      </c>
      <c r="W162">
        <v>88.27</v>
      </c>
      <c r="X162">
        <v>123.41</v>
      </c>
      <c r="Y162">
        <v>190.83</v>
      </c>
      <c r="Z162">
        <v>111.81</v>
      </c>
      <c r="AA162">
        <v>103.02</v>
      </c>
      <c r="AB162">
        <v>45.14</v>
      </c>
      <c r="AC162">
        <v>78.44</v>
      </c>
      <c r="AD162">
        <v>77.760000000000005</v>
      </c>
      <c r="AE162">
        <v>72.209999999999994</v>
      </c>
      <c r="AI162" s="2">
        <v>5000</v>
      </c>
      <c r="AJ162" s="2">
        <f t="shared" si="118"/>
        <v>1110</v>
      </c>
      <c r="AK162" s="2">
        <f t="shared" si="118"/>
        <v>1110</v>
      </c>
      <c r="AL162" s="2">
        <f t="shared" si="118"/>
        <v>1110</v>
      </c>
      <c r="AM162" s="2">
        <f t="shared" si="118"/>
        <v>1110</v>
      </c>
      <c r="AN162" s="2">
        <f t="shared" si="118"/>
        <v>1110</v>
      </c>
      <c r="AO162" s="2">
        <f t="shared" si="118"/>
        <v>1110</v>
      </c>
      <c r="AP162" s="2">
        <v>0</v>
      </c>
      <c r="AQ162" s="2">
        <v>1000</v>
      </c>
      <c r="AR162" s="2">
        <v>0</v>
      </c>
      <c r="AS162" s="2">
        <v>1000</v>
      </c>
      <c r="AT162" s="2">
        <v>0</v>
      </c>
      <c r="AU162" s="2">
        <v>1000</v>
      </c>
      <c r="AV162" s="2">
        <v>1000</v>
      </c>
      <c r="AW162" s="2">
        <v>0</v>
      </c>
      <c r="AX162" s="2">
        <v>0</v>
      </c>
      <c r="AY162" s="2">
        <v>1000</v>
      </c>
      <c r="AZ162" s="2">
        <v>1018</v>
      </c>
      <c r="BA162" s="2">
        <v>901</v>
      </c>
      <c r="BB162" s="2">
        <v>1069</v>
      </c>
      <c r="BC162" s="2">
        <v>-1000</v>
      </c>
      <c r="BD162" s="2">
        <v>-5000</v>
      </c>
      <c r="BE162" s="2">
        <v>5000</v>
      </c>
      <c r="BF162" s="2">
        <v>3000</v>
      </c>
      <c r="BG162" s="2">
        <v>5000</v>
      </c>
      <c r="BH162" s="2">
        <v>4000</v>
      </c>
      <c r="BI162" s="2">
        <v>3000</v>
      </c>
      <c r="BJ162" s="2">
        <v>-1500</v>
      </c>
      <c r="BK162" s="2">
        <v>1000</v>
      </c>
      <c r="BL162" s="2">
        <v>1000</v>
      </c>
      <c r="BO162" s="2">
        <f t="shared" si="86"/>
        <v>0</v>
      </c>
      <c r="BP162" s="2">
        <f t="shared" si="93"/>
        <v>0</v>
      </c>
      <c r="BQ162" s="2">
        <f t="shared" si="94"/>
        <v>0</v>
      </c>
      <c r="BR162" s="2">
        <f t="shared" si="95"/>
        <v>0</v>
      </c>
      <c r="BS162" s="2">
        <f t="shared" si="96"/>
        <v>0</v>
      </c>
      <c r="BT162" s="2">
        <f t="shared" si="97"/>
        <v>0</v>
      </c>
      <c r="BU162" s="2">
        <f t="shared" si="98"/>
        <v>0</v>
      </c>
      <c r="BV162" s="2">
        <f t="shared" si="99"/>
        <v>0</v>
      </c>
      <c r="BW162" s="2">
        <f t="shared" si="100"/>
        <v>0</v>
      </c>
      <c r="BX162" s="2">
        <f t="shared" si="101"/>
        <v>0</v>
      </c>
      <c r="BY162" s="2">
        <f t="shared" si="102"/>
        <v>0</v>
      </c>
      <c r="BZ162" s="2">
        <f t="shared" si="103"/>
        <v>0</v>
      </c>
      <c r="CA162" s="2">
        <f t="shared" si="104"/>
        <v>0</v>
      </c>
      <c r="CB162" s="2">
        <f t="shared" si="105"/>
        <v>0</v>
      </c>
      <c r="CC162" s="2">
        <f t="shared" si="106"/>
        <v>0</v>
      </c>
      <c r="CD162" s="2">
        <f t="shared" si="107"/>
        <v>0</v>
      </c>
      <c r="CE162" s="2">
        <f t="shared" si="108"/>
        <v>0</v>
      </c>
      <c r="CF162" s="2">
        <f t="shared" si="109"/>
        <v>-1788.6</v>
      </c>
      <c r="CG162" s="2">
        <f t="shared" si="110"/>
        <v>9302.8000000000011</v>
      </c>
      <c r="CH162" s="2">
        <f t="shared" si="111"/>
        <v>1169.74</v>
      </c>
      <c r="CI162" s="2">
        <f t="shared" si="112"/>
        <v>0</v>
      </c>
      <c r="CJ162" s="2">
        <f t="shared" si="113"/>
        <v>0</v>
      </c>
      <c r="CK162" s="2">
        <f t="shared" si="114"/>
        <v>0</v>
      </c>
      <c r="CL162" s="2">
        <f t="shared" si="115"/>
        <v>0</v>
      </c>
      <c r="CM162" s="2">
        <f t="shared" si="87"/>
        <v>0</v>
      </c>
      <c r="CN162" s="2">
        <f t="shared" si="88"/>
        <v>51510</v>
      </c>
      <c r="CO162" s="2">
        <f t="shared" si="89"/>
        <v>0</v>
      </c>
      <c r="CP162" s="2">
        <f t="shared" si="90"/>
        <v>0</v>
      </c>
      <c r="CQ162" s="2">
        <f t="shared" si="91"/>
        <v>0</v>
      </c>
      <c r="CR162" s="2">
        <f t="shared" si="92"/>
        <v>0</v>
      </c>
      <c r="CV162" t="s">
        <v>64</v>
      </c>
      <c r="CW162" t="s">
        <v>235</v>
      </c>
      <c r="CX162" t="s">
        <v>4</v>
      </c>
      <c r="CY162" s="4">
        <v>43265</v>
      </c>
      <c r="CZ162" t="s">
        <v>65</v>
      </c>
      <c r="DA162" t="s">
        <v>66</v>
      </c>
      <c r="DB162">
        <v>10</v>
      </c>
      <c r="DC162">
        <v>150.28</v>
      </c>
      <c r="DD162" t="s">
        <v>69</v>
      </c>
      <c r="DE162" t="s">
        <v>70</v>
      </c>
      <c r="DF162">
        <v>1502.8</v>
      </c>
    </row>
    <row r="163" spans="1:110" x14ac:dyDescent="0.25">
      <c r="A163" s="1">
        <v>42970</v>
      </c>
      <c r="B163">
        <v>156.38</v>
      </c>
      <c r="C163">
        <v>83.69</v>
      </c>
      <c r="D163">
        <v>231.1</v>
      </c>
      <c r="E163">
        <v>110.86</v>
      </c>
      <c r="F163">
        <v>29.52</v>
      </c>
      <c r="G163">
        <v>100.69</v>
      </c>
      <c r="H163">
        <v>99.12</v>
      </c>
      <c r="I163">
        <v>1</v>
      </c>
      <c r="J163">
        <v>218.28</v>
      </c>
      <c r="K163">
        <v>144.22</v>
      </c>
      <c r="L163">
        <v>133.09</v>
      </c>
      <c r="M163">
        <v>33.4</v>
      </c>
      <c r="N163">
        <v>127.69</v>
      </c>
      <c r="O163">
        <v>88.38</v>
      </c>
      <c r="P163">
        <v>43.32</v>
      </c>
      <c r="Q163">
        <v>153.06</v>
      </c>
      <c r="R163">
        <v>195.09</v>
      </c>
      <c r="S163">
        <v>59.36</v>
      </c>
      <c r="T163">
        <v>71.13</v>
      </c>
      <c r="U163">
        <v>52.65</v>
      </c>
      <c r="V163">
        <v>31.53</v>
      </c>
      <c r="W163">
        <v>87.93</v>
      </c>
      <c r="X163">
        <v>122.82</v>
      </c>
      <c r="Y163">
        <v>190.29</v>
      </c>
      <c r="Z163">
        <v>113.11</v>
      </c>
      <c r="AA163">
        <v>102.14</v>
      </c>
      <c r="AB163">
        <v>45.08</v>
      </c>
      <c r="AC163">
        <v>78.52</v>
      </c>
      <c r="AD163">
        <v>77.7</v>
      </c>
      <c r="AE163">
        <v>72.09</v>
      </c>
      <c r="AI163" s="2">
        <v>5000</v>
      </c>
      <c r="AJ163" s="2">
        <f t="shared" si="118"/>
        <v>1110</v>
      </c>
      <c r="AK163" s="2">
        <f t="shared" si="118"/>
        <v>1110</v>
      </c>
      <c r="AL163" s="2">
        <f t="shared" si="118"/>
        <v>1110</v>
      </c>
      <c r="AM163" s="2">
        <f t="shared" si="118"/>
        <v>1110</v>
      </c>
      <c r="AN163" s="2">
        <f t="shared" si="118"/>
        <v>1110</v>
      </c>
      <c r="AO163" s="2">
        <f t="shared" si="118"/>
        <v>1110</v>
      </c>
      <c r="AP163" s="2">
        <v>0</v>
      </c>
      <c r="AQ163" s="2">
        <v>1000</v>
      </c>
      <c r="AR163" s="2">
        <v>0</v>
      </c>
      <c r="AS163" s="2">
        <v>1000</v>
      </c>
      <c r="AT163" s="2">
        <v>0</v>
      </c>
      <c r="AU163" s="2">
        <v>1000</v>
      </c>
      <c r="AV163" s="2">
        <v>1000</v>
      </c>
      <c r="AW163" s="2">
        <v>0</v>
      </c>
      <c r="AX163" s="2">
        <v>0</v>
      </c>
      <c r="AY163" s="2">
        <v>1000</v>
      </c>
      <c r="AZ163" s="2">
        <v>951</v>
      </c>
      <c r="BA163" s="2">
        <v>1053</v>
      </c>
      <c r="BB163" s="2">
        <v>1060</v>
      </c>
      <c r="BC163" s="2">
        <v>-1000</v>
      </c>
      <c r="BD163" s="2">
        <v>-5000</v>
      </c>
      <c r="BE163" s="2">
        <v>5000</v>
      </c>
      <c r="BF163" s="2">
        <v>3000</v>
      </c>
      <c r="BG163" s="2">
        <v>5000</v>
      </c>
      <c r="BH163" s="2">
        <v>4000</v>
      </c>
      <c r="BI163" s="2">
        <v>3000</v>
      </c>
      <c r="BJ163" s="2">
        <v>-1500</v>
      </c>
      <c r="BK163" s="2">
        <v>1000</v>
      </c>
      <c r="BL163" s="2">
        <v>1000</v>
      </c>
      <c r="BO163" s="2">
        <f t="shared" si="86"/>
        <v>0</v>
      </c>
      <c r="BP163" s="2">
        <f t="shared" si="93"/>
        <v>0</v>
      </c>
      <c r="BQ163" s="2">
        <f t="shared" si="94"/>
        <v>0</v>
      </c>
      <c r="BR163" s="2">
        <f t="shared" si="95"/>
        <v>0</v>
      </c>
      <c r="BS163" s="2">
        <f t="shared" si="96"/>
        <v>0</v>
      </c>
      <c r="BT163" s="2">
        <f t="shared" si="97"/>
        <v>0</v>
      </c>
      <c r="BU163" s="2">
        <f t="shared" si="98"/>
        <v>0</v>
      </c>
      <c r="BV163" s="2">
        <f t="shared" si="99"/>
        <v>0</v>
      </c>
      <c r="BW163" s="2">
        <f t="shared" si="100"/>
        <v>0</v>
      </c>
      <c r="BX163" s="2">
        <f t="shared" si="101"/>
        <v>0</v>
      </c>
      <c r="BY163" s="2">
        <f t="shared" si="102"/>
        <v>0</v>
      </c>
      <c r="BZ163" s="2">
        <f t="shared" si="103"/>
        <v>0</v>
      </c>
      <c r="CA163" s="2">
        <f t="shared" si="104"/>
        <v>0</v>
      </c>
      <c r="CB163" s="2">
        <f t="shared" si="105"/>
        <v>0</v>
      </c>
      <c r="CC163" s="2">
        <f t="shared" si="106"/>
        <v>0</v>
      </c>
      <c r="CD163" s="2">
        <f t="shared" si="107"/>
        <v>0</v>
      </c>
      <c r="CE163" s="2">
        <f t="shared" si="108"/>
        <v>0</v>
      </c>
      <c r="CF163" s="2">
        <f t="shared" si="109"/>
        <v>3977.12</v>
      </c>
      <c r="CG163" s="2">
        <f t="shared" si="110"/>
        <v>-10811.759999999998</v>
      </c>
      <c r="CH163" s="2">
        <f t="shared" si="111"/>
        <v>473.84999999999997</v>
      </c>
      <c r="CI163" s="2">
        <f t="shared" si="112"/>
        <v>0</v>
      </c>
      <c r="CJ163" s="2">
        <f t="shared" si="113"/>
        <v>0</v>
      </c>
      <c r="CK163" s="2">
        <f t="shared" si="114"/>
        <v>0</v>
      </c>
      <c r="CL163" s="2">
        <f t="shared" si="115"/>
        <v>0</v>
      </c>
      <c r="CM163" s="2">
        <f t="shared" si="87"/>
        <v>0</v>
      </c>
      <c r="CN163" s="2">
        <f t="shared" si="88"/>
        <v>0</v>
      </c>
      <c r="CO163" s="2">
        <f t="shared" si="89"/>
        <v>0</v>
      </c>
      <c r="CP163" s="2">
        <f t="shared" si="90"/>
        <v>0</v>
      </c>
      <c r="CQ163" s="2">
        <f t="shared" si="91"/>
        <v>0</v>
      </c>
      <c r="CR163" s="2">
        <f t="shared" si="92"/>
        <v>0</v>
      </c>
      <c r="CV163" t="s">
        <v>64</v>
      </c>
      <c r="CW163" t="s">
        <v>236</v>
      </c>
      <c r="CX163" t="s">
        <v>4</v>
      </c>
      <c r="CY163" s="4">
        <v>43286</v>
      </c>
      <c r="CZ163" t="s">
        <v>65</v>
      </c>
      <c r="DA163" t="s">
        <v>66</v>
      </c>
      <c r="DB163">
        <v>10</v>
      </c>
      <c r="DC163">
        <v>133.27000000000001</v>
      </c>
      <c r="DD163" t="s">
        <v>69</v>
      </c>
      <c r="DE163" t="s">
        <v>70</v>
      </c>
      <c r="DF163">
        <v>1332.7</v>
      </c>
    </row>
    <row r="164" spans="1:110" x14ac:dyDescent="0.25">
      <c r="A164" s="1">
        <v>42971</v>
      </c>
      <c r="B164">
        <v>155.68</v>
      </c>
      <c r="C164">
        <v>83.77</v>
      </c>
      <c r="D164">
        <v>231.73</v>
      </c>
      <c r="E164">
        <v>110.89</v>
      </c>
      <c r="F164">
        <v>29.83</v>
      </c>
      <c r="G164">
        <v>101.47</v>
      </c>
      <c r="H164">
        <v>99.14</v>
      </c>
      <c r="I164">
        <v>1</v>
      </c>
      <c r="J164">
        <v>218.52</v>
      </c>
      <c r="K164">
        <v>143.4</v>
      </c>
      <c r="L164">
        <v>133.84</v>
      </c>
      <c r="M164">
        <v>33.450000000000003</v>
      </c>
      <c r="N164">
        <v>127.78</v>
      </c>
      <c r="O164">
        <v>88.23</v>
      </c>
      <c r="P164">
        <v>43.19</v>
      </c>
      <c r="Q164">
        <v>152.68</v>
      </c>
      <c r="R164">
        <v>194.56</v>
      </c>
      <c r="S164">
        <v>59.9</v>
      </c>
      <c r="T164">
        <v>71.099999999999994</v>
      </c>
      <c r="U164">
        <v>52.88</v>
      </c>
      <c r="V164">
        <v>31.52</v>
      </c>
      <c r="W164">
        <v>87.77</v>
      </c>
      <c r="X164">
        <v>121.29</v>
      </c>
      <c r="Y164">
        <v>190.79</v>
      </c>
      <c r="Z164">
        <v>111.43</v>
      </c>
      <c r="AA164">
        <v>102.18</v>
      </c>
      <c r="AB164">
        <v>45.1</v>
      </c>
      <c r="AC164">
        <v>77.69</v>
      </c>
      <c r="AD164">
        <v>76.12</v>
      </c>
      <c r="AE164">
        <v>71.819999999999993</v>
      </c>
      <c r="AI164" s="2">
        <v>5000</v>
      </c>
      <c r="AJ164" s="2">
        <f t="shared" si="118"/>
        <v>1110</v>
      </c>
      <c r="AK164" s="2">
        <f t="shared" si="118"/>
        <v>1110</v>
      </c>
      <c r="AL164" s="2">
        <f t="shared" si="118"/>
        <v>1110</v>
      </c>
      <c r="AM164" s="2">
        <f t="shared" si="118"/>
        <v>1110</v>
      </c>
      <c r="AN164" s="2">
        <f t="shared" si="118"/>
        <v>1110</v>
      </c>
      <c r="AO164" s="2">
        <f t="shared" si="118"/>
        <v>1110</v>
      </c>
      <c r="AP164" s="2">
        <v>0</v>
      </c>
      <c r="AQ164" s="2">
        <v>1000</v>
      </c>
      <c r="AR164" s="2">
        <v>0</v>
      </c>
      <c r="AS164" s="2">
        <v>1000</v>
      </c>
      <c r="AT164" s="2">
        <v>0</v>
      </c>
      <c r="AU164" s="2">
        <v>1000</v>
      </c>
      <c r="AV164" s="2">
        <v>1000</v>
      </c>
      <c r="AW164" s="2">
        <v>0</v>
      </c>
      <c r="AX164" s="2">
        <v>0</v>
      </c>
      <c r="AY164" s="2">
        <v>1000</v>
      </c>
      <c r="AZ164" s="2">
        <v>1036</v>
      </c>
      <c r="BA164" s="2">
        <v>942</v>
      </c>
      <c r="BB164" s="2">
        <v>1038</v>
      </c>
      <c r="BC164" s="2">
        <v>-1000</v>
      </c>
      <c r="BD164" s="2">
        <v>-5000</v>
      </c>
      <c r="BE164" s="2">
        <v>5000</v>
      </c>
      <c r="BF164" s="2">
        <v>3000</v>
      </c>
      <c r="BG164" s="2">
        <v>5000</v>
      </c>
      <c r="BH164" s="2">
        <v>4000</v>
      </c>
      <c r="BI164" s="2">
        <v>3000</v>
      </c>
      <c r="BJ164" s="2">
        <v>-1500</v>
      </c>
      <c r="BK164" s="2">
        <v>1000</v>
      </c>
      <c r="BL164" s="2">
        <v>1000</v>
      </c>
      <c r="BO164" s="2">
        <f t="shared" si="86"/>
        <v>0</v>
      </c>
      <c r="BP164" s="2">
        <f t="shared" si="93"/>
        <v>0</v>
      </c>
      <c r="BQ164" s="2">
        <f t="shared" si="94"/>
        <v>0</v>
      </c>
      <c r="BR164" s="2">
        <f t="shared" si="95"/>
        <v>0</v>
      </c>
      <c r="BS164" s="2">
        <f t="shared" si="96"/>
        <v>0</v>
      </c>
      <c r="BT164" s="2">
        <f t="shared" si="97"/>
        <v>0</v>
      </c>
      <c r="BU164" s="2">
        <f t="shared" si="98"/>
        <v>0</v>
      </c>
      <c r="BV164" s="2">
        <f t="shared" si="99"/>
        <v>0</v>
      </c>
      <c r="BW164" s="2">
        <f t="shared" si="100"/>
        <v>0</v>
      </c>
      <c r="BX164" s="2">
        <f t="shared" si="101"/>
        <v>0</v>
      </c>
      <c r="BY164" s="2">
        <f t="shared" si="102"/>
        <v>0</v>
      </c>
      <c r="BZ164" s="2">
        <f t="shared" si="103"/>
        <v>0</v>
      </c>
      <c r="CA164" s="2">
        <f t="shared" si="104"/>
        <v>0</v>
      </c>
      <c r="CB164" s="2">
        <f t="shared" si="105"/>
        <v>0</v>
      </c>
      <c r="CC164" s="2">
        <f t="shared" si="106"/>
        <v>0</v>
      </c>
      <c r="CD164" s="2">
        <f t="shared" si="107"/>
        <v>0</v>
      </c>
      <c r="CE164" s="2">
        <f t="shared" si="108"/>
        <v>0</v>
      </c>
      <c r="CF164" s="2">
        <f t="shared" si="109"/>
        <v>-5091.5</v>
      </c>
      <c r="CG164" s="2">
        <f t="shared" si="110"/>
        <v>7892.0999999999995</v>
      </c>
      <c r="CH164" s="2">
        <f t="shared" si="111"/>
        <v>1163.3600000000001</v>
      </c>
      <c r="CI164" s="2">
        <f t="shared" si="112"/>
        <v>0</v>
      </c>
      <c r="CJ164" s="2">
        <f t="shared" si="113"/>
        <v>0</v>
      </c>
      <c r="CK164" s="2">
        <f t="shared" si="114"/>
        <v>0</v>
      </c>
      <c r="CL164" s="2">
        <f t="shared" si="115"/>
        <v>0</v>
      </c>
      <c r="CM164" s="2">
        <f t="shared" si="87"/>
        <v>0</v>
      </c>
      <c r="CN164" s="2">
        <f t="shared" si="88"/>
        <v>0</v>
      </c>
      <c r="CO164" s="2">
        <f t="shared" si="89"/>
        <v>0</v>
      </c>
      <c r="CP164" s="2">
        <f t="shared" si="90"/>
        <v>0</v>
      </c>
      <c r="CQ164" s="2">
        <f t="shared" si="91"/>
        <v>0</v>
      </c>
      <c r="CR164" s="2">
        <f t="shared" si="92"/>
        <v>0</v>
      </c>
      <c r="CV164" t="s">
        <v>64</v>
      </c>
      <c r="CW164" t="s">
        <v>237</v>
      </c>
      <c r="CX164" t="s">
        <v>4</v>
      </c>
      <c r="CY164" s="4">
        <v>43306</v>
      </c>
      <c r="CZ164" t="s">
        <v>65</v>
      </c>
      <c r="DA164" t="s">
        <v>66</v>
      </c>
      <c r="DB164">
        <v>10</v>
      </c>
      <c r="DC164">
        <v>138.69999999999999</v>
      </c>
      <c r="DD164" t="s">
        <v>69</v>
      </c>
      <c r="DE164" t="s">
        <v>70</v>
      </c>
      <c r="DF164">
        <v>1387</v>
      </c>
    </row>
    <row r="165" spans="1:110" x14ac:dyDescent="0.25">
      <c r="A165" s="1">
        <v>42972</v>
      </c>
      <c r="B165">
        <v>156.26</v>
      </c>
      <c r="C165">
        <v>83.88</v>
      </c>
      <c r="D165">
        <v>228.96</v>
      </c>
      <c r="E165">
        <v>111.44</v>
      </c>
      <c r="F165">
        <v>30.02</v>
      </c>
      <c r="G165">
        <v>102.22</v>
      </c>
      <c r="H165">
        <v>100.01</v>
      </c>
      <c r="I165">
        <v>1</v>
      </c>
      <c r="J165">
        <v>218.02</v>
      </c>
      <c r="K165">
        <v>144.75</v>
      </c>
      <c r="L165">
        <v>134.59</v>
      </c>
      <c r="M165">
        <v>33.409999999999997</v>
      </c>
      <c r="N165">
        <v>127.42</v>
      </c>
      <c r="O165">
        <v>88.59</v>
      </c>
      <c r="P165">
        <v>43.34</v>
      </c>
      <c r="Q165">
        <v>153.07</v>
      </c>
      <c r="R165">
        <v>194.57</v>
      </c>
      <c r="S165">
        <v>60.12</v>
      </c>
      <c r="T165">
        <v>71.22</v>
      </c>
      <c r="U165">
        <v>52.94</v>
      </c>
      <c r="V165">
        <v>31.67</v>
      </c>
      <c r="W165">
        <v>88</v>
      </c>
      <c r="X165">
        <v>122.16</v>
      </c>
      <c r="Y165">
        <v>190.41</v>
      </c>
      <c r="Z165">
        <v>111.21</v>
      </c>
      <c r="AA165">
        <v>102.31</v>
      </c>
      <c r="AB165">
        <v>45.45</v>
      </c>
      <c r="AC165">
        <v>78.3</v>
      </c>
      <c r="AD165">
        <v>76.400000000000006</v>
      </c>
      <c r="AE165">
        <v>72.19</v>
      </c>
      <c r="AI165" s="2">
        <v>5000</v>
      </c>
      <c r="AJ165" s="2">
        <f t="shared" si="118"/>
        <v>1110</v>
      </c>
      <c r="AK165" s="2">
        <f t="shared" si="118"/>
        <v>1110</v>
      </c>
      <c r="AL165" s="2">
        <f t="shared" si="118"/>
        <v>1110</v>
      </c>
      <c r="AM165" s="2">
        <f t="shared" si="118"/>
        <v>1110</v>
      </c>
      <c r="AN165" s="2">
        <f t="shared" si="118"/>
        <v>1110</v>
      </c>
      <c r="AO165" s="2">
        <f t="shared" si="118"/>
        <v>1110</v>
      </c>
      <c r="AP165" s="2">
        <v>0</v>
      </c>
      <c r="AQ165" s="2">
        <v>1000</v>
      </c>
      <c r="AR165" s="2">
        <v>0</v>
      </c>
      <c r="AS165" s="2">
        <v>1000</v>
      </c>
      <c r="AT165" s="2">
        <v>0</v>
      </c>
      <c r="AU165" s="2">
        <v>1000</v>
      </c>
      <c r="AV165" s="2">
        <v>1000</v>
      </c>
      <c r="AW165" s="2">
        <v>0</v>
      </c>
      <c r="AX165" s="2">
        <v>0</v>
      </c>
      <c r="AY165" s="2">
        <v>1000</v>
      </c>
      <c r="AZ165" s="2">
        <v>991</v>
      </c>
      <c r="BA165" s="2">
        <v>1001</v>
      </c>
      <c r="BB165" s="2">
        <v>990</v>
      </c>
      <c r="BC165" s="2">
        <v>-1000</v>
      </c>
      <c r="BD165" s="2">
        <v>-5000</v>
      </c>
      <c r="BE165" s="2">
        <v>5000</v>
      </c>
      <c r="BF165" s="2">
        <v>3000</v>
      </c>
      <c r="BG165" s="2">
        <v>5000</v>
      </c>
      <c r="BH165" s="2">
        <v>4000</v>
      </c>
      <c r="BI165" s="2">
        <v>3000</v>
      </c>
      <c r="BJ165" s="2">
        <v>-1500</v>
      </c>
      <c r="BK165" s="2">
        <v>1000</v>
      </c>
      <c r="BL165" s="2">
        <v>1000</v>
      </c>
      <c r="BO165" s="2">
        <f t="shared" si="86"/>
        <v>0</v>
      </c>
      <c r="BP165" s="2">
        <f t="shared" si="93"/>
        <v>0</v>
      </c>
      <c r="BQ165" s="2">
        <f t="shared" si="94"/>
        <v>0</v>
      </c>
      <c r="BR165" s="2">
        <f t="shared" si="95"/>
        <v>0</v>
      </c>
      <c r="BS165" s="2">
        <f t="shared" si="96"/>
        <v>0</v>
      </c>
      <c r="BT165" s="2">
        <f t="shared" si="97"/>
        <v>0</v>
      </c>
      <c r="BU165" s="2">
        <f t="shared" si="98"/>
        <v>0</v>
      </c>
      <c r="BV165" s="2">
        <f t="shared" si="99"/>
        <v>0</v>
      </c>
      <c r="BW165" s="2">
        <f t="shared" si="100"/>
        <v>0</v>
      </c>
      <c r="BX165" s="2">
        <f t="shared" si="101"/>
        <v>0</v>
      </c>
      <c r="BY165" s="2">
        <f t="shared" si="102"/>
        <v>0</v>
      </c>
      <c r="BZ165" s="2">
        <f t="shared" si="103"/>
        <v>0</v>
      </c>
      <c r="CA165" s="2">
        <f t="shared" si="104"/>
        <v>0</v>
      </c>
      <c r="CB165" s="2">
        <f t="shared" si="105"/>
        <v>0</v>
      </c>
      <c r="CC165" s="2">
        <f t="shared" si="106"/>
        <v>0</v>
      </c>
      <c r="CD165" s="2">
        <f t="shared" si="107"/>
        <v>0</v>
      </c>
      <c r="CE165" s="2">
        <f t="shared" si="108"/>
        <v>0</v>
      </c>
      <c r="CF165" s="2">
        <f t="shared" si="109"/>
        <v>2705.4</v>
      </c>
      <c r="CG165" s="2">
        <f t="shared" si="110"/>
        <v>-4201.9799999999996</v>
      </c>
      <c r="CH165" s="2">
        <f t="shared" si="111"/>
        <v>2541.12</v>
      </c>
      <c r="CI165" s="2">
        <f t="shared" si="112"/>
        <v>0</v>
      </c>
      <c r="CJ165" s="2">
        <f t="shared" si="113"/>
        <v>0</v>
      </c>
      <c r="CK165" s="2">
        <f t="shared" si="114"/>
        <v>0</v>
      </c>
      <c r="CL165" s="2">
        <f t="shared" si="115"/>
        <v>0</v>
      </c>
      <c r="CM165" s="2">
        <f t="shared" si="87"/>
        <v>0</v>
      </c>
      <c r="CN165" s="2">
        <f t="shared" si="88"/>
        <v>0</v>
      </c>
      <c r="CO165" s="2">
        <f t="shared" si="89"/>
        <v>0</v>
      </c>
      <c r="CP165" s="2">
        <f t="shared" si="90"/>
        <v>0</v>
      </c>
      <c r="CQ165" s="2">
        <f t="shared" si="91"/>
        <v>0</v>
      </c>
      <c r="CR165" s="2">
        <f t="shared" si="92"/>
        <v>0</v>
      </c>
      <c r="CV165" t="s">
        <v>64</v>
      </c>
      <c r="CW165" t="s">
        <v>238</v>
      </c>
      <c r="CX165" t="s">
        <v>4</v>
      </c>
      <c r="CY165" s="4">
        <v>43326</v>
      </c>
      <c r="CZ165" t="s">
        <v>65</v>
      </c>
      <c r="DA165" t="s">
        <v>66</v>
      </c>
      <c r="DB165">
        <v>10</v>
      </c>
      <c r="DC165">
        <v>133.21</v>
      </c>
      <c r="DD165" t="s">
        <v>69</v>
      </c>
      <c r="DE165" t="s">
        <v>70</v>
      </c>
      <c r="DF165">
        <v>1332.1000000000001</v>
      </c>
    </row>
    <row r="166" spans="1:110" x14ac:dyDescent="0.25">
      <c r="A166" s="1">
        <v>42975</v>
      </c>
      <c r="B166">
        <v>157.83000000000001</v>
      </c>
      <c r="C166">
        <v>83.82</v>
      </c>
      <c r="D166">
        <v>230.21</v>
      </c>
      <c r="E166">
        <v>111.17</v>
      </c>
      <c r="F166">
        <v>30.11</v>
      </c>
      <c r="G166">
        <v>101.77</v>
      </c>
      <c r="H166">
        <v>100.15</v>
      </c>
      <c r="I166">
        <v>1</v>
      </c>
      <c r="J166">
        <v>215.94</v>
      </c>
      <c r="K166">
        <v>146.43</v>
      </c>
      <c r="L166">
        <v>133.44</v>
      </c>
      <c r="M166">
        <v>33.39</v>
      </c>
      <c r="N166">
        <v>127.48</v>
      </c>
      <c r="O166">
        <v>88.31</v>
      </c>
      <c r="P166">
        <v>43.2</v>
      </c>
      <c r="Q166">
        <v>153.88999999999999</v>
      </c>
      <c r="R166">
        <v>194.89</v>
      </c>
      <c r="S166">
        <v>60.48</v>
      </c>
      <c r="T166">
        <v>71.23</v>
      </c>
      <c r="U166">
        <v>52.77</v>
      </c>
      <c r="V166">
        <v>31.75</v>
      </c>
      <c r="W166">
        <v>87.96</v>
      </c>
      <c r="X166">
        <v>119.03</v>
      </c>
      <c r="Y166">
        <v>191.12</v>
      </c>
      <c r="Z166">
        <v>111.46</v>
      </c>
      <c r="AA166">
        <v>102.73</v>
      </c>
      <c r="AB166">
        <v>45.38</v>
      </c>
      <c r="AC166">
        <v>78.319999999999993</v>
      </c>
      <c r="AD166">
        <v>75.819999999999993</v>
      </c>
      <c r="AE166">
        <v>71.95</v>
      </c>
      <c r="AI166" s="2">
        <v>5000</v>
      </c>
      <c r="AJ166" s="2">
        <f t="shared" si="118"/>
        <v>1110</v>
      </c>
      <c r="AK166" s="2">
        <f t="shared" si="118"/>
        <v>1110</v>
      </c>
      <c r="AL166" s="2">
        <f t="shared" si="118"/>
        <v>1110</v>
      </c>
      <c r="AM166" s="2">
        <f t="shared" si="118"/>
        <v>1110</v>
      </c>
      <c r="AN166" s="2">
        <f t="shared" si="118"/>
        <v>1110</v>
      </c>
      <c r="AO166" s="2">
        <f t="shared" si="118"/>
        <v>1110</v>
      </c>
      <c r="AP166" s="2">
        <v>0</v>
      </c>
      <c r="AQ166" s="2">
        <v>1000</v>
      </c>
      <c r="AR166" s="2">
        <v>0</v>
      </c>
      <c r="AS166" s="2">
        <v>1000</v>
      </c>
      <c r="AT166" s="2">
        <v>0</v>
      </c>
      <c r="AU166" s="2">
        <v>1000</v>
      </c>
      <c r="AV166" s="2">
        <v>1000</v>
      </c>
      <c r="AW166" s="2">
        <v>0</v>
      </c>
      <c r="AX166" s="2">
        <v>0</v>
      </c>
      <c r="AY166" s="2">
        <v>1000</v>
      </c>
      <c r="AZ166" s="2">
        <v>983</v>
      </c>
      <c r="BA166" s="2">
        <v>1055</v>
      </c>
      <c r="BB166" s="2">
        <v>980</v>
      </c>
      <c r="BC166" s="2">
        <v>-1000</v>
      </c>
      <c r="BD166" s="2">
        <v>-5000</v>
      </c>
      <c r="BE166" s="2">
        <v>5000</v>
      </c>
      <c r="BF166" s="2">
        <v>3000</v>
      </c>
      <c r="BG166" s="2">
        <v>5000</v>
      </c>
      <c r="BH166" s="2">
        <v>4000</v>
      </c>
      <c r="BI166" s="2">
        <v>3000</v>
      </c>
      <c r="BJ166" s="2">
        <v>-1500</v>
      </c>
      <c r="BK166" s="2">
        <v>1000</v>
      </c>
      <c r="BL166" s="2">
        <v>1000</v>
      </c>
      <c r="BO166" s="2">
        <f t="shared" si="86"/>
        <v>0</v>
      </c>
      <c r="BP166" s="2">
        <f t="shared" si="93"/>
        <v>0</v>
      </c>
      <c r="BQ166" s="2">
        <f t="shared" si="94"/>
        <v>0</v>
      </c>
      <c r="BR166" s="2">
        <f t="shared" si="95"/>
        <v>0</v>
      </c>
      <c r="BS166" s="2">
        <f t="shared" si="96"/>
        <v>0</v>
      </c>
      <c r="BT166" s="2">
        <f t="shared" si="97"/>
        <v>0</v>
      </c>
      <c r="BU166" s="2">
        <f t="shared" si="98"/>
        <v>0</v>
      </c>
      <c r="BV166" s="2">
        <f t="shared" si="99"/>
        <v>0</v>
      </c>
      <c r="BW166" s="2">
        <f t="shared" si="100"/>
        <v>0</v>
      </c>
      <c r="BX166" s="2">
        <f t="shared" si="101"/>
        <v>0</v>
      </c>
      <c r="BY166" s="2">
        <f t="shared" si="102"/>
        <v>0</v>
      </c>
      <c r="BZ166" s="2">
        <f t="shared" si="103"/>
        <v>0</v>
      </c>
      <c r="CA166" s="2">
        <f t="shared" si="104"/>
        <v>0</v>
      </c>
      <c r="CB166" s="2">
        <f t="shared" si="105"/>
        <v>0</v>
      </c>
      <c r="CC166" s="2">
        <f t="shared" si="106"/>
        <v>0</v>
      </c>
      <c r="CD166" s="2">
        <f t="shared" si="107"/>
        <v>0</v>
      </c>
      <c r="CE166" s="2">
        <f t="shared" si="108"/>
        <v>0</v>
      </c>
      <c r="CF166" s="2">
        <f t="shared" si="109"/>
        <v>483.84</v>
      </c>
      <c r="CG166" s="2">
        <f t="shared" si="110"/>
        <v>-3846.42</v>
      </c>
      <c r="CH166" s="2">
        <f t="shared" si="111"/>
        <v>527.70000000000005</v>
      </c>
      <c r="CI166" s="2">
        <f t="shared" si="112"/>
        <v>0</v>
      </c>
      <c r="CJ166" s="2">
        <f t="shared" si="113"/>
        <v>0</v>
      </c>
      <c r="CK166" s="2">
        <f t="shared" si="114"/>
        <v>0</v>
      </c>
      <c r="CL166" s="2">
        <f t="shared" si="115"/>
        <v>0</v>
      </c>
      <c r="CM166" s="2">
        <f t="shared" si="87"/>
        <v>0</v>
      </c>
      <c r="CN166" s="2">
        <f t="shared" si="88"/>
        <v>0</v>
      </c>
      <c r="CO166" s="2">
        <f t="shared" si="89"/>
        <v>0</v>
      </c>
      <c r="CP166" s="2">
        <f t="shared" si="90"/>
        <v>0</v>
      </c>
      <c r="CQ166" s="2">
        <f t="shared" si="91"/>
        <v>0</v>
      </c>
      <c r="CR166" s="2">
        <f t="shared" si="92"/>
        <v>0</v>
      </c>
      <c r="CV166" t="s">
        <v>64</v>
      </c>
      <c r="CW166" t="s">
        <v>239</v>
      </c>
      <c r="CX166" t="s">
        <v>4</v>
      </c>
      <c r="CY166" s="4">
        <v>43347</v>
      </c>
      <c r="CZ166" t="s">
        <v>65</v>
      </c>
      <c r="DA166" t="s">
        <v>66</v>
      </c>
      <c r="DB166">
        <v>10</v>
      </c>
      <c r="DC166">
        <v>136.49</v>
      </c>
      <c r="DD166" t="s">
        <v>69</v>
      </c>
      <c r="DE166" t="s">
        <v>70</v>
      </c>
      <c r="DF166">
        <v>1364.9</v>
      </c>
    </row>
    <row r="167" spans="1:110" x14ac:dyDescent="0.25">
      <c r="A167" s="1">
        <v>42976</v>
      </c>
      <c r="B167">
        <v>159.24</v>
      </c>
      <c r="C167">
        <v>83.83</v>
      </c>
      <c r="D167">
        <v>233.43</v>
      </c>
      <c r="E167">
        <v>112.08</v>
      </c>
      <c r="F167">
        <v>30.06</v>
      </c>
      <c r="G167">
        <v>101.87</v>
      </c>
      <c r="H167">
        <v>100.16</v>
      </c>
      <c r="I167">
        <v>1</v>
      </c>
      <c r="J167">
        <v>216.29</v>
      </c>
      <c r="K167">
        <v>145.79</v>
      </c>
      <c r="L167">
        <v>134.03</v>
      </c>
      <c r="M167">
        <v>33.47</v>
      </c>
      <c r="N167">
        <v>127.94</v>
      </c>
      <c r="O167">
        <v>87.83</v>
      </c>
      <c r="P167">
        <v>43.23</v>
      </c>
      <c r="Q167">
        <v>153.61000000000001</v>
      </c>
      <c r="R167">
        <v>195.33</v>
      </c>
      <c r="S167">
        <v>60.29</v>
      </c>
      <c r="T167">
        <v>71.45</v>
      </c>
      <c r="U167">
        <v>51.79</v>
      </c>
      <c r="V167">
        <v>31.77</v>
      </c>
      <c r="W167">
        <v>87.82</v>
      </c>
      <c r="X167">
        <v>118.82</v>
      </c>
      <c r="Y167">
        <v>192.73</v>
      </c>
      <c r="Z167">
        <v>114.72</v>
      </c>
      <c r="AA167">
        <v>102.72</v>
      </c>
      <c r="AB167">
        <v>45.29</v>
      </c>
      <c r="AC167">
        <v>78.58</v>
      </c>
      <c r="AD167">
        <v>76.540000000000006</v>
      </c>
      <c r="AE167">
        <v>71.94</v>
      </c>
      <c r="AI167" s="2">
        <v>5000</v>
      </c>
      <c r="AJ167" s="2">
        <f t="shared" si="118"/>
        <v>1110</v>
      </c>
      <c r="AK167" s="2">
        <f t="shared" si="118"/>
        <v>1110</v>
      </c>
      <c r="AL167" s="2">
        <f t="shared" si="118"/>
        <v>1110</v>
      </c>
      <c r="AM167" s="2">
        <f t="shared" si="118"/>
        <v>1110</v>
      </c>
      <c r="AN167" s="2">
        <f t="shared" si="118"/>
        <v>1110</v>
      </c>
      <c r="AO167" s="2">
        <f t="shared" si="118"/>
        <v>1110</v>
      </c>
      <c r="AP167" s="2">
        <v>0</v>
      </c>
      <c r="AQ167" s="2">
        <v>1000</v>
      </c>
      <c r="AR167" s="2">
        <v>0</v>
      </c>
      <c r="AS167" s="2">
        <v>1000</v>
      </c>
      <c r="AT167" s="2">
        <v>0</v>
      </c>
      <c r="AU167" s="2">
        <v>1000</v>
      </c>
      <c r="AV167" s="2">
        <v>1000</v>
      </c>
      <c r="AW167" s="2">
        <v>0</v>
      </c>
      <c r="AX167" s="2">
        <v>0</v>
      </c>
      <c r="AY167" s="2">
        <v>0</v>
      </c>
      <c r="AZ167" s="2">
        <v>1028</v>
      </c>
      <c r="BA167" s="2">
        <v>943</v>
      </c>
      <c r="BB167" s="2">
        <v>1061</v>
      </c>
      <c r="BC167" s="2">
        <v>-1000</v>
      </c>
      <c r="BD167" s="2">
        <v>-5000</v>
      </c>
      <c r="BE167" s="2">
        <v>5000</v>
      </c>
      <c r="BF167" s="2">
        <v>3000</v>
      </c>
      <c r="BG167" s="2">
        <v>2500</v>
      </c>
      <c r="BH167" s="2">
        <v>4000</v>
      </c>
      <c r="BI167" s="2">
        <v>3000</v>
      </c>
      <c r="BJ167" s="2">
        <v>-1500</v>
      </c>
      <c r="BK167" s="2">
        <v>1000</v>
      </c>
      <c r="BL167" s="2">
        <v>1000</v>
      </c>
      <c r="BO167" s="2">
        <f t="shared" si="86"/>
        <v>0</v>
      </c>
      <c r="BP167" s="2">
        <f t="shared" si="93"/>
        <v>0</v>
      </c>
      <c r="BQ167" s="2">
        <f t="shared" si="94"/>
        <v>0</v>
      </c>
      <c r="BR167" s="2">
        <f t="shared" si="95"/>
        <v>0</v>
      </c>
      <c r="BS167" s="2">
        <f t="shared" si="96"/>
        <v>0</v>
      </c>
      <c r="BT167" s="2">
        <f t="shared" si="97"/>
        <v>0</v>
      </c>
      <c r="BU167" s="2">
        <f t="shared" si="98"/>
        <v>0</v>
      </c>
      <c r="BV167" s="2">
        <f t="shared" si="99"/>
        <v>0</v>
      </c>
      <c r="BW167" s="2">
        <f t="shared" si="100"/>
        <v>0</v>
      </c>
      <c r="BX167" s="2">
        <f t="shared" si="101"/>
        <v>0</v>
      </c>
      <c r="BY167" s="2">
        <f t="shared" si="102"/>
        <v>0</v>
      </c>
      <c r="BZ167" s="2">
        <f t="shared" si="103"/>
        <v>0</v>
      </c>
      <c r="CA167" s="2">
        <f t="shared" si="104"/>
        <v>0</v>
      </c>
      <c r="CB167" s="2">
        <f t="shared" si="105"/>
        <v>0</v>
      </c>
      <c r="CC167" s="2">
        <f t="shared" si="106"/>
        <v>0</v>
      </c>
      <c r="CD167" s="2">
        <f t="shared" si="107"/>
        <v>0</v>
      </c>
      <c r="CE167" s="2">
        <f t="shared" si="108"/>
        <v>195330</v>
      </c>
      <c r="CF167" s="2">
        <f t="shared" si="109"/>
        <v>-2713.05</v>
      </c>
      <c r="CG167" s="2">
        <f t="shared" si="110"/>
        <v>8002.4000000000005</v>
      </c>
      <c r="CH167" s="2">
        <f t="shared" si="111"/>
        <v>-4194.99</v>
      </c>
      <c r="CI167" s="2">
        <f t="shared" si="112"/>
        <v>0</v>
      </c>
      <c r="CJ167" s="2">
        <f t="shared" si="113"/>
        <v>0</v>
      </c>
      <c r="CK167" s="2">
        <f t="shared" si="114"/>
        <v>0</v>
      </c>
      <c r="CL167" s="2">
        <f t="shared" si="115"/>
        <v>0</v>
      </c>
      <c r="CM167" s="2">
        <f t="shared" si="87"/>
        <v>286800</v>
      </c>
      <c r="CN167" s="2">
        <f t="shared" si="88"/>
        <v>0</v>
      </c>
      <c r="CO167" s="2">
        <f t="shared" si="89"/>
        <v>0</v>
      </c>
      <c r="CP167" s="2">
        <f t="shared" si="90"/>
        <v>0</v>
      </c>
      <c r="CQ167" s="2">
        <f t="shared" si="91"/>
        <v>0</v>
      </c>
      <c r="CR167" s="2">
        <f t="shared" si="92"/>
        <v>0</v>
      </c>
      <c r="CV167" t="s">
        <v>64</v>
      </c>
      <c r="CW167" t="s">
        <v>240</v>
      </c>
      <c r="CX167" t="s">
        <v>4</v>
      </c>
      <c r="CY167" s="4">
        <v>43367</v>
      </c>
      <c r="CZ167" t="s">
        <v>65</v>
      </c>
      <c r="DA167" t="s">
        <v>66</v>
      </c>
      <c r="DB167">
        <v>10</v>
      </c>
      <c r="DC167">
        <v>152.05000000000001</v>
      </c>
      <c r="DD167" t="s">
        <v>69</v>
      </c>
      <c r="DE167" t="s">
        <v>70</v>
      </c>
      <c r="DF167">
        <v>1520.5</v>
      </c>
    </row>
    <row r="168" spans="1:110" x14ac:dyDescent="0.25">
      <c r="A168" s="1">
        <v>42977</v>
      </c>
      <c r="B168">
        <v>159.66999999999999</v>
      </c>
      <c r="C168">
        <v>84.09</v>
      </c>
      <c r="D168">
        <v>233.4</v>
      </c>
      <c r="E168">
        <v>113.57</v>
      </c>
      <c r="F168">
        <v>30.54</v>
      </c>
      <c r="G168">
        <v>101.74</v>
      </c>
      <c r="H168">
        <v>100.46</v>
      </c>
      <c r="I168">
        <v>1</v>
      </c>
      <c r="J168">
        <v>218.71</v>
      </c>
      <c r="K168">
        <v>145.94999999999999</v>
      </c>
      <c r="L168">
        <v>133.49</v>
      </c>
      <c r="M168">
        <v>33.619999999999997</v>
      </c>
      <c r="N168">
        <v>126.83</v>
      </c>
      <c r="O168">
        <v>88.03</v>
      </c>
      <c r="P168">
        <v>43.17</v>
      </c>
      <c r="Q168">
        <v>154.66999999999999</v>
      </c>
      <c r="R168">
        <v>196.07</v>
      </c>
      <c r="S168">
        <v>60.29</v>
      </c>
      <c r="T168">
        <v>72.39</v>
      </c>
      <c r="U168">
        <v>51.62</v>
      </c>
      <c r="V168">
        <v>31.73</v>
      </c>
      <c r="W168">
        <v>87.39</v>
      </c>
      <c r="X168">
        <v>117.66</v>
      </c>
      <c r="Y168">
        <v>191.9</v>
      </c>
      <c r="Z168">
        <v>115.59</v>
      </c>
      <c r="AA168">
        <v>102.68</v>
      </c>
      <c r="AB168">
        <v>44.93</v>
      </c>
      <c r="AC168">
        <v>78.92</v>
      </c>
      <c r="AD168">
        <v>76.319999999999993</v>
      </c>
      <c r="AE168">
        <v>71.61</v>
      </c>
      <c r="AI168" s="2">
        <v>5000</v>
      </c>
      <c r="AJ168" s="2">
        <f t="shared" si="118"/>
        <v>1110</v>
      </c>
      <c r="AK168" s="2">
        <f t="shared" si="118"/>
        <v>1110</v>
      </c>
      <c r="AL168" s="2">
        <f t="shared" si="118"/>
        <v>1110</v>
      </c>
      <c r="AM168" s="2">
        <f t="shared" si="118"/>
        <v>1110</v>
      </c>
      <c r="AN168" s="2">
        <f t="shared" si="118"/>
        <v>1110</v>
      </c>
      <c r="AO168" s="2">
        <f t="shared" si="118"/>
        <v>1110</v>
      </c>
      <c r="AP168" s="2">
        <v>0</v>
      </c>
      <c r="AQ168" s="2">
        <v>1000</v>
      </c>
      <c r="AR168" s="2">
        <v>0</v>
      </c>
      <c r="AS168" s="2">
        <v>1000</v>
      </c>
      <c r="AT168" s="2">
        <v>0</v>
      </c>
      <c r="AU168" s="2">
        <v>1000</v>
      </c>
      <c r="AV168" s="2">
        <v>1000</v>
      </c>
      <c r="AW168" s="2">
        <v>0</v>
      </c>
      <c r="AX168" s="2">
        <v>0</v>
      </c>
      <c r="AY168" s="2">
        <v>0</v>
      </c>
      <c r="AZ168" s="2">
        <v>955</v>
      </c>
      <c r="BA168" s="2">
        <v>948</v>
      </c>
      <c r="BB168" s="2">
        <v>949</v>
      </c>
      <c r="BC168" s="2">
        <v>-1000</v>
      </c>
      <c r="BD168" s="2">
        <v>-5000</v>
      </c>
      <c r="BE168" s="2">
        <v>5000</v>
      </c>
      <c r="BF168" s="2">
        <v>3000</v>
      </c>
      <c r="BG168" s="2">
        <v>2500</v>
      </c>
      <c r="BH168" s="2">
        <v>4000</v>
      </c>
      <c r="BI168" s="2">
        <v>3000</v>
      </c>
      <c r="BJ168" s="2">
        <v>-1500</v>
      </c>
      <c r="BK168" s="2">
        <v>1000</v>
      </c>
      <c r="BL168" s="2">
        <v>1000</v>
      </c>
      <c r="BO168" s="2">
        <f t="shared" si="86"/>
        <v>0</v>
      </c>
      <c r="BP168" s="2">
        <f t="shared" si="93"/>
        <v>0</v>
      </c>
      <c r="BQ168" s="2">
        <f t="shared" si="94"/>
        <v>0</v>
      </c>
      <c r="BR168" s="2">
        <f t="shared" si="95"/>
        <v>0</v>
      </c>
      <c r="BS168" s="2">
        <f t="shared" si="96"/>
        <v>0</v>
      </c>
      <c r="BT168" s="2">
        <f t="shared" si="97"/>
        <v>0</v>
      </c>
      <c r="BU168" s="2">
        <f t="shared" si="98"/>
        <v>0</v>
      </c>
      <c r="BV168" s="2">
        <f t="shared" si="99"/>
        <v>0</v>
      </c>
      <c r="BW168" s="2">
        <f t="shared" si="100"/>
        <v>0</v>
      </c>
      <c r="BX168" s="2">
        <f t="shared" si="101"/>
        <v>0</v>
      </c>
      <c r="BY168" s="2">
        <f t="shared" si="102"/>
        <v>0</v>
      </c>
      <c r="BZ168" s="2">
        <f t="shared" si="103"/>
        <v>0</v>
      </c>
      <c r="CA168" s="2">
        <f t="shared" si="104"/>
        <v>0</v>
      </c>
      <c r="CB168" s="2">
        <f t="shared" si="105"/>
        <v>0</v>
      </c>
      <c r="CC168" s="2">
        <f t="shared" si="106"/>
        <v>0</v>
      </c>
      <c r="CD168" s="2">
        <f t="shared" si="107"/>
        <v>0</v>
      </c>
      <c r="CE168" s="2">
        <f t="shared" si="108"/>
        <v>0</v>
      </c>
      <c r="CF168" s="2">
        <f t="shared" si="109"/>
        <v>4401.17</v>
      </c>
      <c r="CG168" s="2">
        <f t="shared" si="110"/>
        <v>-361.95</v>
      </c>
      <c r="CH168" s="2">
        <f t="shared" si="111"/>
        <v>5781.44</v>
      </c>
      <c r="CI168" s="2">
        <f t="shared" si="112"/>
        <v>0</v>
      </c>
      <c r="CJ168" s="2">
        <f t="shared" si="113"/>
        <v>0</v>
      </c>
      <c r="CK168" s="2">
        <f t="shared" si="114"/>
        <v>0</v>
      </c>
      <c r="CL168" s="2">
        <f t="shared" si="115"/>
        <v>0</v>
      </c>
      <c r="CM168" s="2">
        <f t="shared" si="87"/>
        <v>0</v>
      </c>
      <c r="CN168" s="2">
        <f t="shared" si="88"/>
        <v>0</v>
      </c>
      <c r="CO168" s="2">
        <f t="shared" si="89"/>
        <v>0</v>
      </c>
      <c r="CP168" s="2">
        <f t="shared" si="90"/>
        <v>0</v>
      </c>
      <c r="CQ168" s="2">
        <f t="shared" si="91"/>
        <v>0</v>
      </c>
      <c r="CR168" s="2">
        <f t="shared" si="92"/>
        <v>0</v>
      </c>
      <c r="CV168" t="s">
        <v>64</v>
      </c>
      <c r="CW168" t="s">
        <v>241</v>
      </c>
      <c r="CX168" t="s">
        <v>4</v>
      </c>
      <c r="CY168" s="4">
        <v>43385</v>
      </c>
      <c r="CZ168" t="s">
        <v>65</v>
      </c>
      <c r="DA168" t="s">
        <v>66</v>
      </c>
      <c r="DB168">
        <v>10</v>
      </c>
      <c r="DC168">
        <v>140.27000000000001</v>
      </c>
      <c r="DD168" t="s">
        <v>69</v>
      </c>
      <c r="DE168" t="s">
        <v>70</v>
      </c>
      <c r="DF168">
        <v>1402.7</v>
      </c>
    </row>
    <row r="169" spans="1:110" x14ac:dyDescent="0.25">
      <c r="A169" s="1">
        <v>42978</v>
      </c>
      <c r="B169">
        <v>160.31</v>
      </c>
      <c r="C169">
        <v>84.5</v>
      </c>
      <c r="D169">
        <v>232.62</v>
      </c>
      <c r="E169">
        <v>113.51</v>
      </c>
      <c r="F169">
        <v>30.75</v>
      </c>
      <c r="G169">
        <v>101.64</v>
      </c>
      <c r="H169">
        <v>98.83</v>
      </c>
      <c r="I169">
        <v>1</v>
      </c>
      <c r="J169">
        <v>220.01</v>
      </c>
      <c r="K169">
        <v>145.82</v>
      </c>
      <c r="L169">
        <v>133.93</v>
      </c>
      <c r="M169">
        <v>33.79</v>
      </c>
      <c r="N169">
        <v>128.09</v>
      </c>
      <c r="O169">
        <v>87.63</v>
      </c>
      <c r="P169">
        <v>43.32</v>
      </c>
      <c r="Q169">
        <v>155.09</v>
      </c>
      <c r="R169">
        <v>196.68</v>
      </c>
      <c r="S169">
        <v>61</v>
      </c>
      <c r="T169">
        <v>73.13</v>
      </c>
      <c r="U169">
        <v>52.05</v>
      </c>
      <c r="V169">
        <v>32.17</v>
      </c>
      <c r="W169">
        <v>87.77</v>
      </c>
      <c r="X169">
        <v>117.05</v>
      </c>
      <c r="Y169">
        <v>194.85</v>
      </c>
      <c r="Z169">
        <v>115.71</v>
      </c>
      <c r="AA169">
        <v>102.47</v>
      </c>
      <c r="AB169">
        <v>44.79</v>
      </c>
      <c r="AC169">
        <v>78.650000000000006</v>
      </c>
      <c r="AD169">
        <v>75.86</v>
      </c>
      <c r="AE169">
        <v>71.819999999999993</v>
      </c>
      <c r="AI169" s="2">
        <v>5000</v>
      </c>
      <c r="AJ169" s="2">
        <f t="shared" si="118"/>
        <v>1110</v>
      </c>
      <c r="AK169" s="2">
        <f t="shared" si="118"/>
        <v>1110</v>
      </c>
      <c r="AL169" s="2">
        <f t="shared" si="118"/>
        <v>1110</v>
      </c>
      <c r="AM169" s="2">
        <f t="shared" si="118"/>
        <v>1110</v>
      </c>
      <c r="AN169" s="2">
        <f t="shared" si="118"/>
        <v>1110</v>
      </c>
      <c r="AO169" s="2">
        <f t="shared" si="118"/>
        <v>1110</v>
      </c>
      <c r="AP169" s="2">
        <v>0</v>
      </c>
      <c r="AQ169" s="2">
        <v>1000</v>
      </c>
      <c r="AR169" s="2">
        <v>0</v>
      </c>
      <c r="AS169" s="2">
        <v>1000</v>
      </c>
      <c r="AT169" s="2">
        <v>0</v>
      </c>
      <c r="AU169" s="2">
        <v>1000</v>
      </c>
      <c r="AV169" s="2">
        <v>1000</v>
      </c>
      <c r="AW169" s="2">
        <v>0</v>
      </c>
      <c r="AX169" s="2">
        <v>0</v>
      </c>
      <c r="AY169" s="2">
        <v>0</v>
      </c>
      <c r="AZ169" s="2">
        <v>967</v>
      </c>
      <c r="BA169" s="2">
        <v>943</v>
      </c>
      <c r="BB169" s="2">
        <v>1060</v>
      </c>
      <c r="BC169" s="2">
        <v>-1000</v>
      </c>
      <c r="BD169" s="2">
        <v>-5000</v>
      </c>
      <c r="BE169" s="2">
        <v>5000</v>
      </c>
      <c r="BF169" s="2">
        <v>3000</v>
      </c>
      <c r="BG169" s="2">
        <v>2500</v>
      </c>
      <c r="BH169" s="2">
        <v>4000</v>
      </c>
      <c r="BI169" s="2">
        <v>3000</v>
      </c>
      <c r="BJ169" s="2">
        <v>-1500</v>
      </c>
      <c r="BK169" s="2">
        <v>1000</v>
      </c>
      <c r="BL169" s="2">
        <v>1000</v>
      </c>
      <c r="BO169" s="2">
        <f t="shared" si="86"/>
        <v>0</v>
      </c>
      <c r="BP169" s="2">
        <f t="shared" si="93"/>
        <v>0</v>
      </c>
      <c r="BQ169" s="2">
        <f t="shared" si="94"/>
        <v>0</v>
      </c>
      <c r="BR169" s="2">
        <f t="shared" si="95"/>
        <v>0</v>
      </c>
      <c r="BS169" s="2">
        <f t="shared" si="96"/>
        <v>0</v>
      </c>
      <c r="BT169" s="2">
        <f t="shared" si="97"/>
        <v>0</v>
      </c>
      <c r="BU169" s="2">
        <f t="shared" si="98"/>
        <v>0</v>
      </c>
      <c r="BV169" s="2">
        <f t="shared" si="99"/>
        <v>0</v>
      </c>
      <c r="BW169" s="2">
        <f t="shared" si="100"/>
        <v>0</v>
      </c>
      <c r="BX169" s="2">
        <f t="shared" si="101"/>
        <v>0</v>
      </c>
      <c r="BY169" s="2">
        <f t="shared" si="102"/>
        <v>0</v>
      </c>
      <c r="BZ169" s="2">
        <f t="shared" si="103"/>
        <v>0</v>
      </c>
      <c r="CA169" s="2">
        <f t="shared" si="104"/>
        <v>0</v>
      </c>
      <c r="CB169" s="2">
        <f t="shared" si="105"/>
        <v>0</v>
      </c>
      <c r="CC169" s="2">
        <f t="shared" si="106"/>
        <v>0</v>
      </c>
      <c r="CD169" s="2">
        <f t="shared" si="107"/>
        <v>0</v>
      </c>
      <c r="CE169" s="2">
        <f t="shared" si="108"/>
        <v>0</v>
      </c>
      <c r="CF169" s="2">
        <f t="shared" si="109"/>
        <v>-732</v>
      </c>
      <c r="CG169" s="2">
        <f t="shared" si="110"/>
        <v>365.65</v>
      </c>
      <c r="CH169" s="2">
        <f t="shared" si="111"/>
        <v>-5777.5499999999993</v>
      </c>
      <c r="CI169" s="2">
        <f t="shared" si="112"/>
        <v>0</v>
      </c>
      <c r="CJ169" s="2">
        <f t="shared" si="113"/>
        <v>0</v>
      </c>
      <c r="CK169" s="2">
        <f t="shared" si="114"/>
        <v>0</v>
      </c>
      <c r="CL169" s="2">
        <f t="shared" si="115"/>
        <v>0</v>
      </c>
      <c r="CM169" s="2">
        <f t="shared" si="87"/>
        <v>0</v>
      </c>
      <c r="CN169" s="2">
        <f t="shared" si="88"/>
        <v>0</v>
      </c>
      <c r="CO169" s="2">
        <f t="shared" si="89"/>
        <v>0</v>
      </c>
      <c r="CP169" s="2">
        <f t="shared" si="90"/>
        <v>0</v>
      </c>
      <c r="CQ169" s="2">
        <f t="shared" si="91"/>
        <v>0</v>
      </c>
      <c r="CR169" s="2">
        <f t="shared" si="92"/>
        <v>0</v>
      </c>
      <c r="CV169" t="s">
        <v>64</v>
      </c>
      <c r="CW169" t="s">
        <v>242</v>
      </c>
      <c r="CX169" t="s">
        <v>4</v>
      </c>
      <c r="CY169" s="4">
        <v>43405</v>
      </c>
      <c r="CZ169" t="s">
        <v>65</v>
      </c>
      <c r="DA169" t="s">
        <v>66</v>
      </c>
      <c r="DB169">
        <v>10</v>
      </c>
      <c r="DC169">
        <v>123.9</v>
      </c>
      <c r="DD169" t="s">
        <v>69</v>
      </c>
      <c r="DE169" t="s">
        <v>70</v>
      </c>
      <c r="DF169">
        <v>1239</v>
      </c>
    </row>
    <row r="170" spans="1:110" x14ac:dyDescent="0.25">
      <c r="A170" s="1">
        <v>42979</v>
      </c>
      <c r="B170">
        <v>160.36000000000001</v>
      </c>
      <c r="C170">
        <v>84.54</v>
      </c>
      <c r="D170">
        <v>233.27</v>
      </c>
      <c r="E170">
        <v>114.27</v>
      </c>
      <c r="F170">
        <v>30.84</v>
      </c>
      <c r="G170">
        <v>102.72</v>
      </c>
      <c r="H170">
        <v>99.12</v>
      </c>
      <c r="I170">
        <v>65.290000000000006</v>
      </c>
      <c r="J170">
        <v>222.11</v>
      </c>
      <c r="K170">
        <v>146.69999999999999</v>
      </c>
      <c r="L170">
        <v>134.91</v>
      </c>
      <c r="M170">
        <v>33.81</v>
      </c>
      <c r="N170">
        <v>126.79</v>
      </c>
      <c r="O170">
        <v>88.41</v>
      </c>
      <c r="P170">
        <v>43.54</v>
      </c>
      <c r="Q170">
        <v>154.94</v>
      </c>
      <c r="R170">
        <v>195.95</v>
      </c>
      <c r="S170">
        <v>60.97</v>
      </c>
      <c r="T170">
        <v>72.319999999999993</v>
      </c>
      <c r="U170">
        <v>52.59</v>
      </c>
      <c r="V170">
        <v>32.21</v>
      </c>
      <c r="W170">
        <v>88.02</v>
      </c>
      <c r="X170">
        <v>115.81</v>
      </c>
      <c r="Y170">
        <v>195.69</v>
      </c>
      <c r="Z170">
        <v>113.97</v>
      </c>
      <c r="AA170">
        <v>102.85</v>
      </c>
      <c r="AB170">
        <v>44.74</v>
      </c>
      <c r="AC170">
        <v>78.38</v>
      </c>
      <c r="AD170">
        <v>76.150000000000006</v>
      </c>
      <c r="AE170">
        <v>72.05</v>
      </c>
      <c r="AI170" s="2">
        <v>5000</v>
      </c>
      <c r="AJ170" s="2">
        <f t="shared" ref="AJ170:AO170" si="121">AJ169+10</f>
        <v>1120</v>
      </c>
      <c r="AK170" s="2">
        <f t="shared" si="121"/>
        <v>1120</v>
      </c>
      <c r="AL170" s="2">
        <f t="shared" si="121"/>
        <v>1120</v>
      </c>
      <c r="AM170" s="2">
        <f t="shared" si="121"/>
        <v>1120</v>
      </c>
      <c r="AN170" s="2">
        <f t="shared" si="121"/>
        <v>1120</v>
      </c>
      <c r="AO170" s="2">
        <f t="shared" si="121"/>
        <v>1120</v>
      </c>
      <c r="AP170" s="2">
        <v>1000</v>
      </c>
      <c r="AQ170" s="2">
        <v>1000</v>
      </c>
      <c r="AR170" s="2">
        <v>0</v>
      </c>
      <c r="AS170" s="2">
        <v>1000</v>
      </c>
      <c r="AT170" s="2">
        <v>0</v>
      </c>
      <c r="AU170" s="2">
        <v>1000</v>
      </c>
      <c r="AV170" s="2">
        <v>1000</v>
      </c>
      <c r="AW170" s="2">
        <v>0</v>
      </c>
      <c r="AX170" s="2">
        <v>0</v>
      </c>
      <c r="AY170" s="2">
        <v>0</v>
      </c>
      <c r="AZ170" s="2">
        <v>965</v>
      </c>
      <c r="BA170" s="2">
        <v>983</v>
      </c>
      <c r="BB170" s="2">
        <v>1050</v>
      </c>
      <c r="BC170" s="2">
        <v>-1000</v>
      </c>
      <c r="BD170" s="2">
        <v>-5000</v>
      </c>
      <c r="BE170" s="2">
        <v>5000</v>
      </c>
      <c r="BF170" s="2">
        <v>3000</v>
      </c>
      <c r="BG170" s="2">
        <v>1500</v>
      </c>
      <c r="BH170" s="2">
        <v>5000</v>
      </c>
      <c r="BI170" s="2">
        <v>3000</v>
      </c>
      <c r="BJ170" s="2">
        <v>-1500</v>
      </c>
      <c r="BK170" s="2">
        <v>1000</v>
      </c>
      <c r="BL170" s="2">
        <v>1000</v>
      </c>
      <c r="BO170" s="2">
        <f t="shared" si="86"/>
        <v>0</v>
      </c>
      <c r="BP170" s="2">
        <f t="shared" si="93"/>
        <v>-845.40000000000009</v>
      </c>
      <c r="BQ170" s="2">
        <f t="shared" si="94"/>
        <v>-2332.7000000000003</v>
      </c>
      <c r="BR170" s="2">
        <f t="shared" si="95"/>
        <v>-1142.7</v>
      </c>
      <c r="BS170" s="2">
        <f t="shared" si="96"/>
        <v>-308.39999999999998</v>
      </c>
      <c r="BT170" s="2">
        <f t="shared" si="97"/>
        <v>-1027.2</v>
      </c>
      <c r="BU170" s="2">
        <f t="shared" si="98"/>
        <v>-991.2</v>
      </c>
      <c r="BV170" s="2">
        <f t="shared" si="99"/>
        <v>-65290.000000000007</v>
      </c>
      <c r="BW170" s="2">
        <f t="shared" si="100"/>
        <v>0</v>
      </c>
      <c r="BX170" s="2">
        <f t="shared" si="101"/>
        <v>0</v>
      </c>
      <c r="BY170" s="2">
        <f t="shared" si="102"/>
        <v>0</v>
      </c>
      <c r="BZ170" s="2">
        <f t="shared" si="103"/>
        <v>0</v>
      </c>
      <c r="CA170" s="2">
        <f t="shared" si="104"/>
        <v>0</v>
      </c>
      <c r="CB170" s="2">
        <f t="shared" si="105"/>
        <v>0</v>
      </c>
      <c r="CC170" s="2">
        <f t="shared" si="106"/>
        <v>0</v>
      </c>
      <c r="CD170" s="2">
        <f t="shared" si="107"/>
        <v>0</v>
      </c>
      <c r="CE170" s="2">
        <f t="shared" si="108"/>
        <v>0</v>
      </c>
      <c r="CF170" s="2">
        <f t="shared" si="109"/>
        <v>121.94</v>
      </c>
      <c r="CG170" s="2">
        <f t="shared" si="110"/>
        <v>-2892.7999999999997</v>
      </c>
      <c r="CH170" s="2">
        <f t="shared" si="111"/>
        <v>525.90000000000009</v>
      </c>
      <c r="CI170" s="2">
        <f t="shared" si="112"/>
        <v>0</v>
      </c>
      <c r="CJ170" s="2">
        <f t="shared" si="113"/>
        <v>0</v>
      </c>
      <c r="CK170" s="2">
        <f t="shared" si="114"/>
        <v>0</v>
      </c>
      <c r="CL170" s="2">
        <f t="shared" si="115"/>
        <v>0</v>
      </c>
      <c r="CM170" s="2">
        <f t="shared" si="87"/>
        <v>113970</v>
      </c>
      <c r="CN170" s="2">
        <f t="shared" si="88"/>
        <v>-102850</v>
      </c>
      <c r="CO170" s="2">
        <f t="shared" si="89"/>
        <v>0</v>
      </c>
      <c r="CP170" s="2">
        <f t="shared" si="90"/>
        <v>0</v>
      </c>
      <c r="CQ170" s="2">
        <f t="shared" si="91"/>
        <v>0</v>
      </c>
      <c r="CR170" s="2">
        <f t="shared" si="92"/>
        <v>0</v>
      </c>
      <c r="CV170" t="s">
        <v>64</v>
      </c>
      <c r="CW170" t="s">
        <v>243</v>
      </c>
      <c r="CX170" t="s">
        <v>4</v>
      </c>
      <c r="CY170" s="4">
        <v>43425</v>
      </c>
      <c r="CZ170" t="s">
        <v>65</v>
      </c>
      <c r="DA170" t="s">
        <v>66</v>
      </c>
      <c r="DB170">
        <v>10</v>
      </c>
      <c r="DC170">
        <v>123.08</v>
      </c>
      <c r="DD170" t="s">
        <v>69</v>
      </c>
      <c r="DE170" t="s">
        <v>70</v>
      </c>
      <c r="DF170">
        <v>1230.8</v>
      </c>
    </row>
    <row r="171" spans="1:110" x14ac:dyDescent="0.25">
      <c r="A171" s="1">
        <v>42983</v>
      </c>
      <c r="B171">
        <v>158.43</v>
      </c>
      <c r="C171">
        <v>83.72</v>
      </c>
      <c r="D171">
        <v>230.04</v>
      </c>
      <c r="E171">
        <v>114.29</v>
      </c>
      <c r="F171">
        <v>30.19</v>
      </c>
      <c r="G171">
        <v>103.36</v>
      </c>
      <c r="H171">
        <v>99.22</v>
      </c>
      <c r="I171">
        <v>63.15</v>
      </c>
      <c r="J171">
        <v>214.15</v>
      </c>
      <c r="K171">
        <v>148.80000000000001</v>
      </c>
      <c r="L171">
        <v>133.94</v>
      </c>
      <c r="M171">
        <v>33.75</v>
      </c>
      <c r="N171">
        <v>125.7</v>
      </c>
      <c r="O171">
        <v>86.3</v>
      </c>
      <c r="P171">
        <v>43.68</v>
      </c>
      <c r="Q171">
        <v>154.25</v>
      </c>
      <c r="R171">
        <v>193.47</v>
      </c>
      <c r="S171">
        <v>60.77</v>
      </c>
      <c r="T171">
        <v>72</v>
      </c>
      <c r="U171">
        <v>52.24</v>
      </c>
      <c r="V171">
        <v>32.06</v>
      </c>
      <c r="W171">
        <v>88.2</v>
      </c>
      <c r="X171">
        <v>111.49</v>
      </c>
      <c r="Y171">
        <v>195.26</v>
      </c>
      <c r="Z171">
        <v>107.48</v>
      </c>
      <c r="AA171">
        <v>101.97</v>
      </c>
      <c r="AB171">
        <v>44.22</v>
      </c>
      <c r="AC171">
        <v>78.61</v>
      </c>
      <c r="AD171">
        <v>77.540000000000006</v>
      </c>
      <c r="AE171">
        <v>72.62</v>
      </c>
      <c r="AI171" s="2">
        <v>5000</v>
      </c>
      <c r="AJ171" s="2">
        <f t="shared" ref="AJ171:AP171" si="122">AJ170</f>
        <v>1120</v>
      </c>
      <c r="AK171" s="2">
        <f t="shared" si="122"/>
        <v>1120</v>
      </c>
      <c r="AL171" s="2">
        <f t="shared" si="122"/>
        <v>1120</v>
      </c>
      <c r="AM171" s="2">
        <f t="shared" si="122"/>
        <v>1120</v>
      </c>
      <c r="AN171" s="2">
        <f t="shared" si="122"/>
        <v>1120</v>
      </c>
      <c r="AO171" s="2">
        <f t="shared" si="122"/>
        <v>1120</v>
      </c>
      <c r="AP171" s="2">
        <f t="shared" si="122"/>
        <v>1000</v>
      </c>
      <c r="AQ171" s="2">
        <v>1000</v>
      </c>
      <c r="AR171" s="2">
        <v>0</v>
      </c>
      <c r="AS171" s="2">
        <v>1000</v>
      </c>
      <c r="AT171" s="2">
        <v>0</v>
      </c>
      <c r="AU171" s="2">
        <v>1000</v>
      </c>
      <c r="AV171" s="2">
        <v>1000</v>
      </c>
      <c r="AW171" s="2">
        <v>0</v>
      </c>
      <c r="AX171" s="2">
        <v>0</v>
      </c>
      <c r="AY171" s="2">
        <v>0</v>
      </c>
      <c r="AZ171" s="2">
        <v>978</v>
      </c>
      <c r="BA171" s="2">
        <v>960</v>
      </c>
      <c r="BB171" s="2">
        <v>1000</v>
      </c>
      <c r="BC171" s="2">
        <v>-1000</v>
      </c>
      <c r="BD171" s="2">
        <v>-5000</v>
      </c>
      <c r="BE171" s="2">
        <v>5000</v>
      </c>
      <c r="BF171" s="2">
        <v>3000</v>
      </c>
      <c r="BG171" s="2">
        <v>1500</v>
      </c>
      <c r="BH171" s="2">
        <v>5000</v>
      </c>
      <c r="BI171" s="2">
        <v>3000</v>
      </c>
      <c r="BJ171" s="2">
        <v>-1500</v>
      </c>
      <c r="BK171" s="2">
        <v>1000</v>
      </c>
      <c r="BL171" s="2">
        <v>1000</v>
      </c>
      <c r="BO171" s="2">
        <f t="shared" si="86"/>
        <v>0</v>
      </c>
      <c r="BP171" s="2">
        <f t="shared" si="93"/>
        <v>0</v>
      </c>
      <c r="BQ171" s="2">
        <f t="shared" si="94"/>
        <v>0</v>
      </c>
      <c r="BR171" s="2">
        <f t="shared" si="95"/>
        <v>0</v>
      </c>
      <c r="BS171" s="2">
        <f t="shared" si="96"/>
        <v>0</v>
      </c>
      <c r="BT171" s="2">
        <f t="shared" si="97"/>
        <v>0</v>
      </c>
      <c r="BU171" s="2">
        <f t="shared" si="98"/>
        <v>0</v>
      </c>
      <c r="BV171" s="2">
        <f t="shared" si="99"/>
        <v>0</v>
      </c>
      <c r="BW171" s="2">
        <f t="shared" si="100"/>
        <v>0</v>
      </c>
      <c r="BX171" s="2">
        <f t="shared" si="101"/>
        <v>0</v>
      </c>
      <c r="BY171" s="2">
        <f t="shared" si="102"/>
        <v>0</v>
      </c>
      <c r="BZ171" s="2">
        <f t="shared" si="103"/>
        <v>0</v>
      </c>
      <c r="CA171" s="2">
        <f t="shared" si="104"/>
        <v>0</v>
      </c>
      <c r="CB171" s="2">
        <f t="shared" si="105"/>
        <v>0</v>
      </c>
      <c r="CC171" s="2">
        <f t="shared" si="106"/>
        <v>0</v>
      </c>
      <c r="CD171" s="2">
        <f t="shared" si="107"/>
        <v>0</v>
      </c>
      <c r="CE171" s="2">
        <f t="shared" si="108"/>
        <v>0</v>
      </c>
      <c r="CF171" s="2">
        <f t="shared" si="109"/>
        <v>-790.01</v>
      </c>
      <c r="CG171" s="2">
        <f t="shared" si="110"/>
        <v>1656</v>
      </c>
      <c r="CH171" s="2">
        <f t="shared" si="111"/>
        <v>2612</v>
      </c>
      <c r="CI171" s="2">
        <f t="shared" si="112"/>
        <v>0</v>
      </c>
      <c r="CJ171" s="2">
        <f t="shared" si="113"/>
        <v>0</v>
      </c>
      <c r="CK171" s="2">
        <f t="shared" si="114"/>
        <v>0</v>
      </c>
      <c r="CL171" s="2">
        <f t="shared" si="115"/>
        <v>0</v>
      </c>
      <c r="CM171" s="2">
        <f t="shared" si="87"/>
        <v>0</v>
      </c>
      <c r="CN171" s="2">
        <f t="shared" si="88"/>
        <v>0</v>
      </c>
      <c r="CO171" s="2">
        <f t="shared" si="89"/>
        <v>0</v>
      </c>
      <c r="CP171" s="2">
        <f t="shared" si="90"/>
        <v>0</v>
      </c>
      <c r="CQ171" s="2">
        <f t="shared" si="91"/>
        <v>0</v>
      </c>
      <c r="CR171" s="2">
        <f t="shared" si="92"/>
        <v>0</v>
      </c>
      <c r="CV171" t="s">
        <v>64</v>
      </c>
      <c r="CW171" t="s">
        <v>244</v>
      </c>
      <c r="CX171" t="s">
        <v>4</v>
      </c>
      <c r="CY171" s="4">
        <v>43447</v>
      </c>
      <c r="CZ171" t="s">
        <v>65</v>
      </c>
      <c r="DA171" t="s">
        <v>66</v>
      </c>
      <c r="DB171">
        <v>10</v>
      </c>
      <c r="DC171">
        <v>125.1</v>
      </c>
      <c r="DD171" t="s">
        <v>69</v>
      </c>
      <c r="DE171" t="s">
        <v>70</v>
      </c>
      <c r="DF171">
        <v>1251</v>
      </c>
    </row>
    <row r="172" spans="1:110" x14ac:dyDescent="0.25">
      <c r="A172" s="1">
        <v>42984</v>
      </c>
      <c r="B172">
        <v>158.27000000000001</v>
      </c>
      <c r="C172">
        <v>83.64</v>
      </c>
      <c r="D172">
        <v>227.73</v>
      </c>
      <c r="E172">
        <v>113.02</v>
      </c>
      <c r="F172">
        <v>30.43</v>
      </c>
      <c r="G172">
        <v>105.58</v>
      </c>
      <c r="H172">
        <v>99.12</v>
      </c>
      <c r="I172">
        <v>63.05</v>
      </c>
      <c r="J172">
        <v>215.18</v>
      </c>
      <c r="K172">
        <v>152.33000000000001</v>
      </c>
      <c r="L172">
        <v>134.66999999999999</v>
      </c>
      <c r="M172">
        <v>34.46</v>
      </c>
      <c r="N172">
        <v>126.45</v>
      </c>
      <c r="O172">
        <v>86.87</v>
      </c>
      <c r="P172">
        <v>43.71</v>
      </c>
      <c r="Q172">
        <v>153.4</v>
      </c>
      <c r="R172">
        <v>194.5</v>
      </c>
      <c r="S172">
        <v>61.13</v>
      </c>
      <c r="T172">
        <v>71.790000000000006</v>
      </c>
      <c r="U172">
        <v>52</v>
      </c>
      <c r="V172">
        <v>32.24</v>
      </c>
      <c r="W172">
        <v>88.2</v>
      </c>
      <c r="X172">
        <v>113.72</v>
      </c>
      <c r="Y172">
        <v>194.34</v>
      </c>
      <c r="Z172">
        <v>105.93</v>
      </c>
      <c r="AA172">
        <v>102.14</v>
      </c>
      <c r="AB172">
        <v>43.8</v>
      </c>
      <c r="AC172">
        <v>78.900000000000006</v>
      </c>
      <c r="AD172">
        <v>77.81</v>
      </c>
      <c r="AE172">
        <v>74.13</v>
      </c>
      <c r="AI172" s="2">
        <v>5000</v>
      </c>
      <c r="AJ172" s="2">
        <f t="shared" ref="AJ172:AP197" si="123">AJ171</f>
        <v>1120</v>
      </c>
      <c r="AK172" s="2">
        <f t="shared" si="123"/>
        <v>1120</v>
      </c>
      <c r="AL172" s="2">
        <f t="shared" si="123"/>
        <v>1120</v>
      </c>
      <c r="AM172" s="2">
        <f t="shared" si="123"/>
        <v>1120</v>
      </c>
      <c r="AN172" s="2">
        <f t="shared" si="123"/>
        <v>1120</v>
      </c>
      <c r="AO172" s="2">
        <f t="shared" si="123"/>
        <v>1120</v>
      </c>
      <c r="AP172" s="2">
        <f t="shared" si="123"/>
        <v>1000</v>
      </c>
      <c r="AQ172" s="2">
        <v>1000</v>
      </c>
      <c r="AR172" s="2">
        <v>0</v>
      </c>
      <c r="AS172" s="2">
        <v>1000</v>
      </c>
      <c r="AT172" s="2">
        <v>0</v>
      </c>
      <c r="AU172" s="2">
        <v>1000</v>
      </c>
      <c r="AV172" s="2">
        <v>1000</v>
      </c>
      <c r="AW172" s="2">
        <v>0</v>
      </c>
      <c r="AX172" s="2">
        <v>0</v>
      </c>
      <c r="AY172" s="2">
        <v>0</v>
      </c>
      <c r="AZ172" s="2">
        <v>980</v>
      </c>
      <c r="BA172" s="2">
        <v>957</v>
      </c>
      <c r="BB172" s="2">
        <v>917</v>
      </c>
      <c r="BC172" s="2">
        <v>-1000</v>
      </c>
      <c r="BD172" s="2">
        <v>-5000</v>
      </c>
      <c r="BE172" s="2">
        <v>5000</v>
      </c>
      <c r="BF172" s="2">
        <v>3000</v>
      </c>
      <c r="BG172" s="2">
        <v>1500</v>
      </c>
      <c r="BH172" s="2">
        <v>5000</v>
      </c>
      <c r="BI172" s="2">
        <v>3000</v>
      </c>
      <c r="BJ172" s="2">
        <v>-1500</v>
      </c>
      <c r="BK172" s="2">
        <v>1000</v>
      </c>
      <c r="BL172" s="2">
        <v>1000</v>
      </c>
      <c r="BO172" s="2">
        <f t="shared" si="86"/>
        <v>0</v>
      </c>
      <c r="BP172" s="2">
        <f t="shared" si="93"/>
        <v>0</v>
      </c>
      <c r="BQ172" s="2">
        <f t="shared" si="94"/>
        <v>0</v>
      </c>
      <c r="BR172" s="2">
        <f t="shared" si="95"/>
        <v>0</v>
      </c>
      <c r="BS172" s="2">
        <f t="shared" si="96"/>
        <v>0</v>
      </c>
      <c r="BT172" s="2">
        <f t="shared" si="97"/>
        <v>0</v>
      </c>
      <c r="BU172" s="2">
        <f t="shared" si="98"/>
        <v>0</v>
      </c>
      <c r="BV172" s="2">
        <f t="shared" si="99"/>
        <v>0</v>
      </c>
      <c r="BW172" s="2">
        <f t="shared" si="100"/>
        <v>0</v>
      </c>
      <c r="BX172" s="2">
        <f t="shared" si="101"/>
        <v>0</v>
      </c>
      <c r="BY172" s="2">
        <f t="shared" si="102"/>
        <v>0</v>
      </c>
      <c r="BZ172" s="2">
        <f t="shared" si="103"/>
        <v>0</v>
      </c>
      <c r="CA172" s="2">
        <f t="shared" si="104"/>
        <v>0</v>
      </c>
      <c r="CB172" s="2">
        <f t="shared" si="105"/>
        <v>0</v>
      </c>
      <c r="CC172" s="2">
        <f t="shared" si="106"/>
        <v>0</v>
      </c>
      <c r="CD172" s="2">
        <f t="shared" si="107"/>
        <v>0</v>
      </c>
      <c r="CE172" s="2">
        <f t="shared" si="108"/>
        <v>0</v>
      </c>
      <c r="CF172" s="2">
        <f t="shared" si="109"/>
        <v>-122.26</v>
      </c>
      <c r="CG172" s="2">
        <f t="shared" si="110"/>
        <v>215.37</v>
      </c>
      <c r="CH172" s="2">
        <f t="shared" si="111"/>
        <v>4316</v>
      </c>
      <c r="CI172" s="2">
        <f t="shared" si="112"/>
        <v>0</v>
      </c>
      <c r="CJ172" s="2">
        <f t="shared" si="113"/>
        <v>0</v>
      </c>
      <c r="CK172" s="2">
        <f t="shared" si="114"/>
        <v>0</v>
      </c>
      <c r="CL172" s="2">
        <f t="shared" si="115"/>
        <v>0</v>
      </c>
      <c r="CM172" s="2">
        <f t="shared" si="87"/>
        <v>0</v>
      </c>
      <c r="CN172" s="2">
        <f t="shared" si="88"/>
        <v>0</v>
      </c>
      <c r="CO172" s="2">
        <f t="shared" si="89"/>
        <v>0</v>
      </c>
      <c r="CP172" s="2">
        <f t="shared" si="90"/>
        <v>0</v>
      </c>
      <c r="CQ172" s="2">
        <f t="shared" si="91"/>
        <v>0</v>
      </c>
      <c r="CR172" s="2">
        <f t="shared" si="92"/>
        <v>0</v>
      </c>
      <c r="CV172" t="s">
        <v>64</v>
      </c>
      <c r="CW172" t="s">
        <v>245</v>
      </c>
      <c r="CX172" t="s">
        <v>5</v>
      </c>
      <c r="CY172" s="4">
        <v>42738</v>
      </c>
      <c r="CZ172" t="s">
        <v>65</v>
      </c>
      <c r="DA172" t="s">
        <v>66</v>
      </c>
      <c r="DB172">
        <v>1000</v>
      </c>
      <c r="DC172">
        <v>28.4</v>
      </c>
      <c r="DD172" t="s">
        <v>69</v>
      </c>
      <c r="DE172" t="s">
        <v>70</v>
      </c>
      <c r="DF172">
        <v>28400</v>
      </c>
    </row>
    <row r="173" spans="1:110" x14ac:dyDescent="0.25">
      <c r="A173" s="1">
        <v>42985</v>
      </c>
      <c r="B173">
        <v>157.63</v>
      </c>
      <c r="C173">
        <v>82.84</v>
      </c>
      <c r="D173">
        <v>229.37</v>
      </c>
      <c r="E173">
        <v>113.78</v>
      </c>
      <c r="F173">
        <v>30.32</v>
      </c>
      <c r="G173">
        <v>105.59</v>
      </c>
      <c r="H173">
        <v>94.78</v>
      </c>
      <c r="I173">
        <v>62.86</v>
      </c>
      <c r="J173">
        <v>212.24</v>
      </c>
      <c r="K173">
        <v>153.66</v>
      </c>
      <c r="L173">
        <v>133.80000000000001</v>
      </c>
      <c r="M173">
        <v>34.25</v>
      </c>
      <c r="N173">
        <v>127.92</v>
      </c>
      <c r="O173">
        <v>85.35</v>
      </c>
      <c r="P173">
        <v>44.02</v>
      </c>
      <c r="Q173">
        <v>155.03</v>
      </c>
      <c r="R173">
        <v>196.82</v>
      </c>
      <c r="S173">
        <v>61.44</v>
      </c>
      <c r="T173">
        <v>72.709999999999994</v>
      </c>
      <c r="U173">
        <v>51.63</v>
      </c>
      <c r="V173">
        <v>32.24</v>
      </c>
      <c r="W173">
        <v>88.44</v>
      </c>
      <c r="X173">
        <v>111.94</v>
      </c>
      <c r="Y173">
        <v>194.88</v>
      </c>
      <c r="Z173">
        <v>106.29</v>
      </c>
      <c r="AA173">
        <v>103.5</v>
      </c>
      <c r="AB173">
        <v>43.13</v>
      </c>
      <c r="AC173">
        <v>78.709999999999994</v>
      </c>
      <c r="AD173">
        <v>77.849999999999994</v>
      </c>
      <c r="AE173">
        <v>74.36</v>
      </c>
      <c r="AI173" s="2">
        <v>5000</v>
      </c>
      <c r="AJ173" s="2">
        <f t="shared" si="123"/>
        <v>1120</v>
      </c>
      <c r="AK173" s="2">
        <f t="shared" si="123"/>
        <v>1120</v>
      </c>
      <c r="AL173" s="2">
        <f t="shared" si="123"/>
        <v>1120</v>
      </c>
      <c r="AM173" s="2">
        <f t="shared" si="123"/>
        <v>1120</v>
      </c>
      <c r="AN173" s="2">
        <f t="shared" si="123"/>
        <v>1120</v>
      </c>
      <c r="AO173" s="2">
        <f t="shared" si="123"/>
        <v>1120</v>
      </c>
      <c r="AP173" s="2">
        <f t="shared" si="123"/>
        <v>1000</v>
      </c>
      <c r="AQ173" s="2">
        <v>1000</v>
      </c>
      <c r="AR173" s="2">
        <v>0</v>
      </c>
      <c r="AS173" s="2">
        <v>1000</v>
      </c>
      <c r="AT173" s="2">
        <v>0</v>
      </c>
      <c r="AU173" s="2">
        <v>1000</v>
      </c>
      <c r="AV173" s="2">
        <v>1000</v>
      </c>
      <c r="AW173" s="2">
        <v>0</v>
      </c>
      <c r="AX173" s="2">
        <v>0</v>
      </c>
      <c r="AY173" s="2">
        <v>0</v>
      </c>
      <c r="AZ173" s="2">
        <v>1036</v>
      </c>
      <c r="BA173" s="2">
        <v>965</v>
      </c>
      <c r="BB173" s="2">
        <v>1067</v>
      </c>
      <c r="BC173" s="2">
        <v>-1000</v>
      </c>
      <c r="BD173" s="2">
        <v>-5000</v>
      </c>
      <c r="BE173" s="2">
        <v>5000</v>
      </c>
      <c r="BF173" s="2">
        <v>3000</v>
      </c>
      <c r="BG173" s="2">
        <v>1500</v>
      </c>
      <c r="BH173" s="2">
        <v>3500</v>
      </c>
      <c r="BI173" s="2">
        <v>3000</v>
      </c>
      <c r="BJ173" s="2">
        <v>-1500</v>
      </c>
      <c r="BK173" s="2">
        <v>1000</v>
      </c>
      <c r="BL173" s="2">
        <v>1000</v>
      </c>
      <c r="BO173" s="2">
        <f t="shared" si="86"/>
        <v>0</v>
      </c>
      <c r="BP173" s="2">
        <f t="shared" si="93"/>
        <v>0</v>
      </c>
      <c r="BQ173" s="2">
        <f t="shared" si="94"/>
        <v>0</v>
      </c>
      <c r="BR173" s="2">
        <f t="shared" si="95"/>
        <v>0</v>
      </c>
      <c r="BS173" s="2">
        <f t="shared" si="96"/>
        <v>0</v>
      </c>
      <c r="BT173" s="2">
        <f t="shared" si="97"/>
        <v>0</v>
      </c>
      <c r="BU173" s="2">
        <f t="shared" si="98"/>
        <v>0</v>
      </c>
      <c r="BV173" s="2">
        <f t="shared" si="99"/>
        <v>0</v>
      </c>
      <c r="BW173" s="2">
        <f t="shared" si="100"/>
        <v>0</v>
      </c>
      <c r="BX173" s="2">
        <f t="shared" si="101"/>
        <v>0</v>
      </c>
      <c r="BY173" s="2">
        <f t="shared" si="102"/>
        <v>0</v>
      </c>
      <c r="BZ173" s="2">
        <f t="shared" si="103"/>
        <v>0</v>
      </c>
      <c r="CA173" s="2">
        <f t="shared" si="104"/>
        <v>0</v>
      </c>
      <c r="CB173" s="2">
        <f t="shared" si="105"/>
        <v>0</v>
      </c>
      <c r="CC173" s="2">
        <f t="shared" si="106"/>
        <v>0</v>
      </c>
      <c r="CD173" s="2">
        <f t="shared" si="107"/>
        <v>0</v>
      </c>
      <c r="CE173" s="2">
        <f t="shared" si="108"/>
        <v>0</v>
      </c>
      <c r="CF173" s="2">
        <f t="shared" si="109"/>
        <v>-3440.64</v>
      </c>
      <c r="CG173" s="2">
        <f t="shared" si="110"/>
        <v>-581.67999999999995</v>
      </c>
      <c r="CH173" s="2">
        <f t="shared" si="111"/>
        <v>-7744.5</v>
      </c>
      <c r="CI173" s="2">
        <f t="shared" si="112"/>
        <v>0</v>
      </c>
      <c r="CJ173" s="2">
        <f t="shared" si="113"/>
        <v>0</v>
      </c>
      <c r="CK173" s="2">
        <f t="shared" si="114"/>
        <v>0</v>
      </c>
      <c r="CL173" s="2">
        <f t="shared" si="115"/>
        <v>0</v>
      </c>
      <c r="CM173" s="2">
        <f t="shared" si="87"/>
        <v>0</v>
      </c>
      <c r="CN173" s="2">
        <f t="shared" si="88"/>
        <v>155250</v>
      </c>
      <c r="CO173" s="2">
        <f t="shared" si="89"/>
        <v>0</v>
      </c>
      <c r="CP173" s="2">
        <f t="shared" si="90"/>
        <v>0</v>
      </c>
      <c r="CQ173" s="2">
        <f t="shared" si="91"/>
        <v>0</v>
      </c>
      <c r="CR173" s="2">
        <f t="shared" si="92"/>
        <v>0</v>
      </c>
      <c r="CV173" t="s">
        <v>64</v>
      </c>
      <c r="CW173" t="s">
        <v>246</v>
      </c>
      <c r="CX173" t="s">
        <v>5</v>
      </c>
      <c r="CY173" s="4">
        <v>42759</v>
      </c>
      <c r="CZ173" t="s">
        <v>65</v>
      </c>
      <c r="DA173" t="s">
        <v>66</v>
      </c>
      <c r="DB173">
        <v>10</v>
      </c>
      <c r="DC173">
        <v>28.7</v>
      </c>
      <c r="DD173" t="s">
        <v>69</v>
      </c>
      <c r="DE173" t="s">
        <v>70</v>
      </c>
      <c r="DF173">
        <v>287</v>
      </c>
    </row>
    <row r="174" spans="1:110" x14ac:dyDescent="0.25">
      <c r="A174" s="1">
        <v>42986</v>
      </c>
      <c r="B174">
        <v>155.06</v>
      </c>
      <c r="C174">
        <v>82.68</v>
      </c>
      <c r="D174">
        <v>231.77</v>
      </c>
      <c r="E174">
        <v>113.83</v>
      </c>
      <c r="F174">
        <v>30.06</v>
      </c>
      <c r="G174">
        <v>104.62</v>
      </c>
      <c r="H174">
        <v>94.79</v>
      </c>
      <c r="I174">
        <v>63.03</v>
      </c>
      <c r="J174">
        <v>213.59</v>
      </c>
      <c r="K174">
        <v>155.34</v>
      </c>
      <c r="L174">
        <v>133.38</v>
      </c>
      <c r="M174">
        <v>33.909999999999997</v>
      </c>
      <c r="N174">
        <v>126.75</v>
      </c>
      <c r="O174">
        <v>85.25</v>
      </c>
      <c r="P174">
        <v>44.04</v>
      </c>
      <c r="Q174">
        <v>154.84</v>
      </c>
      <c r="R174">
        <v>198</v>
      </c>
      <c r="S174">
        <v>61.39</v>
      </c>
      <c r="T174">
        <v>72.36</v>
      </c>
      <c r="U174">
        <v>51.45</v>
      </c>
      <c r="V174">
        <v>32.340000000000003</v>
      </c>
      <c r="W174">
        <v>88.31</v>
      </c>
      <c r="X174">
        <v>116.39</v>
      </c>
      <c r="Y174">
        <v>194.46</v>
      </c>
      <c r="Z174">
        <v>105.88</v>
      </c>
      <c r="AA174">
        <v>103.37</v>
      </c>
      <c r="AB174">
        <v>43.05</v>
      </c>
      <c r="AC174">
        <v>78.55</v>
      </c>
      <c r="AD174">
        <v>76.650000000000006</v>
      </c>
      <c r="AE174">
        <v>74.17</v>
      </c>
      <c r="AI174" s="2">
        <v>5000</v>
      </c>
      <c r="AJ174" s="2">
        <f t="shared" si="123"/>
        <v>1120</v>
      </c>
      <c r="AK174" s="2">
        <f t="shared" si="123"/>
        <v>1120</v>
      </c>
      <c r="AL174" s="2">
        <f t="shared" si="123"/>
        <v>1120</v>
      </c>
      <c r="AM174" s="2">
        <f t="shared" si="123"/>
        <v>1120</v>
      </c>
      <c r="AN174" s="2">
        <f t="shared" si="123"/>
        <v>1120</v>
      </c>
      <c r="AO174" s="2">
        <f t="shared" si="123"/>
        <v>1120</v>
      </c>
      <c r="AP174" s="2">
        <f t="shared" si="123"/>
        <v>1000</v>
      </c>
      <c r="AQ174" s="2">
        <v>1000</v>
      </c>
      <c r="AR174" s="2">
        <v>0</v>
      </c>
      <c r="AS174" s="2">
        <v>1000</v>
      </c>
      <c r="AT174" s="2">
        <v>0</v>
      </c>
      <c r="AU174" s="2">
        <v>1000</v>
      </c>
      <c r="AV174" s="2">
        <v>1000</v>
      </c>
      <c r="AW174" s="2">
        <v>0</v>
      </c>
      <c r="AX174" s="2">
        <v>0</v>
      </c>
      <c r="AY174" s="2">
        <v>0</v>
      </c>
      <c r="AZ174" s="2">
        <v>998</v>
      </c>
      <c r="BA174" s="2">
        <v>1007</v>
      </c>
      <c r="BB174" s="2">
        <v>1035</v>
      </c>
      <c r="BC174" s="2">
        <v>-1000</v>
      </c>
      <c r="BD174" s="2">
        <v>-5000</v>
      </c>
      <c r="BE174" s="2">
        <v>5000</v>
      </c>
      <c r="BF174" s="2">
        <v>3000</v>
      </c>
      <c r="BG174" s="2">
        <v>1500</v>
      </c>
      <c r="BH174" s="2">
        <v>1000</v>
      </c>
      <c r="BI174" s="2">
        <v>3000</v>
      </c>
      <c r="BJ174" s="2">
        <v>-1500</v>
      </c>
      <c r="BK174" s="2">
        <v>1000</v>
      </c>
      <c r="BL174" s="2">
        <v>1000</v>
      </c>
      <c r="BO174" s="2">
        <f t="shared" si="86"/>
        <v>0</v>
      </c>
      <c r="BP174" s="2">
        <f t="shared" si="93"/>
        <v>0</v>
      </c>
      <c r="BQ174" s="2">
        <f t="shared" si="94"/>
        <v>0</v>
      </c>
      <c r="BR174" s="2">
        <f t="shared" si="95"/>
        <v>0</v>
      </c>
      <c r="BS174" s="2">
        <f t="shared" si="96"/>
        <v>0</v>
      </c>
      <c r="BT174" s="2">
        <f t="shared" si="97"/>
        <v>0</v>
      </c>
      <c r="BU174" s="2">
        <f t="shared" si="98"/>
        <v>0</v>
      </c>
      <c r="BV174" s="2">
        <f t="shared" si="99"/>
        <v>0</v>
      </c>
      <c r="BW174" s="2">
        <f t="shared" si="100"/>
        <v>0</v>
      </c>
      <c r="BX174" s="2">
        <f t="shared" si="101"/>
        <v>0</v>
      </c>
      <c r="BY174" s="2">
        <f t="shared" si="102"/>
        <v>0</v>
      </c>
      <c r="BZ174" s="2">
        <f t="shared" si="103"/>
        <v>0</v>
      </c>
      <c r="CA174" s="2">
        <f t="shared" si="104"/>
        <v>0</v>
      </c>
      <c r="CB174" s="2">
        <f t="shared" si="105"/>
        <v>0</v>
      </c>
      <c r="CC174" s="2">
        <f t="shared" si="106"/>
        <v>0</v>
      </c>
      <c r="CD174" s="2">
        <f t="shared" si="107"/>
        <v>0</v>
      </c>
      <c r="CE174" s="2">
        <f t="shared" si="108"/>
        <v>0</v>
      </c>
      <c r="CF174" s="2">
        <f t="shared" si="109"/>
        <v>2332.8200000000002</v>
      </c>
      <c r="CG174" s="2">
        <f t="shared" si="110"/>
        <v>-3039.12</v>
      </c>
      <c r="CH174" s="2">
        <f t="shared" si="111"/>
        <v>1646.4</v>
      </c>
      <c r="CI174" s="2">
        <f t="shared" si="112"/>
        <v>0</v>
      </c>
      <c r="CJ174" s="2">
        <f t="shared" si="113"/>
        <v>0</v>
      </c>
      <c r="CK174" s="2">
        <f t="shared" si="114"/>
        <v>0</v>
      </c>
      <c r="CL174" s="2">
        <f t="shared" si="115"/>
        <v>0</v>
      </c>
      <c r="CM174" s="2">
        <f t="shared" si="87"/>
        <v>0</v>
      </c>
      <c r="CN174" s="2">
        <f t="shared" si="88"/>
        <v>258425</v>
      </c>
      <c r="CO174" s="2">
        <f t="shared" si="89"/>
        <v>0</v>
      </c>
      <c r="CP174" s="2">
        <f t="shared" si="90"/>
        <v>0</v>
      </c>
      <c r="CQ174" s="2">
        <f t="shared" si="91"/>
        <v>0</v>
      </c>
      <c r="CR174" s="2">
        <f t="shared" si="92"/>
        <v>0</v>
      </c>
      <c r="CV174" t="s">
        <v>64</v>
      </c>
      <c r="CW174" t="s">
        <v>247</v>
      </c>
      <c r="CX174" t="s">
        <v>5</v>
      </c>
      <c r="CY174" s="4">
        <v>42779</v>
      </c>
      <c r="CZ174" t="s">
        <v>65</v>
      </c>
      <c r="DA174" t="s">
        <v>66</v>
      </c>
      <c r="DB174">
        <v>10</v>
      </c>
      <c r="DC174">
        <v>29.98</v>
      </c>
      <c r="DD174" t="s">
        <v>69</v>
      </c>
      <c r="DE174" t="s">
        <v>70</v>
      </c>
      <c r="DF174">
        <v>299.8</v>
      </c>
    </row>
    <row r="175" spans="1:110" x14ac:dyDescent="0.25">
      <c r="A175" s="1">
        <v>42989</v>
      </c>
      <c r="B175">
        <v>157.86000000000001</v>
      </c>
      <c r="C175">
        <v>84.09</v>
      </c>
      <c r="D175">
        <v>233.52</v>
      </c>
      <c r="E175">
        <v>114.84</v>
      </c>
      <c r="F175">
        <v>30.73</v>
      </c>
      <c r="G175">
        <v>106.27</v>
      </c>
      <c r="H175">
        <v>94.81</v>
      </c>
      <c r="I175">
        <v>64.97</v>
      </c>
      <c r="J175">
        <v>217.37</v>
      </c>
      <c r="K175">
        <v>154.09</v>
      </c>
      <c r="L175">
        <v>135.63999999999999</v>
      </c>
      <c r="M175">
        <v>34.47</v>
      </c>
      <c r="N175">
        <v>128.9</v>
      </c>
      <c r="O175">
        <v>86.57</v>
      </c>
      <c r="P175">
        <v>44.25</v>
      </c>
      <c r="Q175">
        <v>156.61000000000001</v>
      </c>
      <c r="R175">
        <v>201.73</v>
      </c>
      <c r="S175">
        <v>62.21</v>
      </c>
      <c r="T175">
        <v>73.12</v>
      </c>
      <c r="U175">
        <v>52.26</v>
      </c>
      <c r="V175">
        <v>32.549999999999997</v>
      </c>
      <c r="W175">
        <v>89.41</v>
      </c>
      <c r="X175">
        <v>119.11</v>
      </c>
      <c r="Y175">
        <v>196.26</v>
      </c>
      <c r="Z175">
        <v>105.96</v>
      </c>
      <c r="AA175">
        <v>105.08</v>
      </c>
      <c r="AB175">
        <v>43.23</v>
      </c>
      <c r="AC175">
        <v>79.41</v>
      </c>
      <c r="AD175">
        <v>76.84</v>
      </c>
      <c r="AE175">
        <v>74.569999999999993</v>
      </c>
      <c r="AI175" s="2">
        <v>5000</v>
      </c>
      <c r="AJ175" s="2">
        <f t="shared" si="123"/>
        <v>1120</v>
      </c>
      <c r="AK175" s="2">
        <f t="shared" si="123"/>
        <v>1120</v>
      </c>
      <c r="AL175" s="2">
        <f t="shared" si="123"/>
        <v>1120</v>
      </c>
      <c r="AM175" s="2">
        <f t="shared" si="123"/>
        <v>1120</v>
      </c>
      <c r="AN175" s="2">
        <f t="shared" si="123"/>
        <v>1120</v>
      </c>
      <c r="AO175" s="2">
        <f t="shared" si="123"/>
        <v>1120</v>
      </c>
      <c r="AP175" s="2">
        <f t="shared" si="123"/>
        <v>1000</v>
      </c>
      <c r="AQ175" s="2">
        <v>1000</v>
      </c>
      <c r="AR175" s="2">
        <v>0</v>
      </c>
      <c r="AS175" s="2">
        <v>1000</v>
      </c>
      <c r="AT175" s="2">
        <v>0</v>
      </c>
      <c r="AU175" s="2">
        <v>1000</v>
      </c>
      <c r="AV175" s="2">
        <v>1000</v>
      </c>
      <c r="AW175" s="2">
        <v>0</v>
      </c>
      <c r="AX175" s="2">
        <v>0</v>
      </c>
      <c r="AY175" s="2">
        <v>0</v>
      </c>
      <c r="AZ175" s="2">
        <v>997</v>
      </c>
      <c r="BA175" s="2">
        <v>949</v>
      </c>
      <c r="BB175" s="2">
        <v>1034</v>
      </c>
      <c r="BC175" s="2">
        <v>-1000</v>
      </c>
      <c r="BD175" s="2">
        <v>-5000</v>
      </c>
      <c r="BE175" s="2">
        <v>5000</v>
      </c>
      <c r="BF175" s="2">
        <v>3000</v>
      </c>
      <c r="BG175" s="2">
        <v>1250</v>
      </c>
      <c r="BH175" s="2">
        <v>0</v>
      </c>
      <c r="BI175" s="2">
        <v>3000</v>
      </c>
      <c r="BJ175" s="2">
        <v>-1500</v>
      </c>
      <c r="BK175" s="2">
        <v>1000</v>
      </c>
      <c r="BL175" s="2">
        <v>1000</v>
      </c>
      <c r="BO175" s="2">
        <f t="shared" si="86"/>
        <v>0</v>
      </c>
      <c r="BP175" s="2">
        <f t="shared" si="93"/>
        <v>0</v>
      </c>
      <c r="BQ175" s="2">
        <f t="shared" si="94"/>
        <v>0</v>
      </c>
      <c r="BR175" s="2">
        <f t="shared" si="95"/>
        <v>0</v>
      </c>
      <c r="BS175" s="2">
        <f t="shared" si="96"/>
        <v>0</v>
      </c>
      <c r="BT175" s="2">
        <f t="shared" si="97"/>
        <v>0</v>
      </c>
      <c r="BU175" s="2">
        <f t="shared" si="98"/>
        <v>0</v>
      </c>
      <c r="BV175" s="2">
        <f t="shared" si="99"/>
        <v>0</v>
      </c>
      <c r="BW175" s="2">
        <f t="shared" si="100"/>
        <v>0</v>
      </c>
      <c r="BX175" s="2">
        <f t="shared" si="101"/>
        <v>0</v>
      </c>
      <c r="BY175" s="2">
        <f t="shared" si="102"/>
        <v>0</v>
      </c>
      <c r="BZ175" s="2">
        <f t="shared" si="103"/>
        <v>0</v>
      </c>
      <c r="CA175" s="2">
        <f t="shared" si="104"/>
        <v>0</v>
      </c>
      <c r="CB175" s="2">
        <f t="shared" si="105"/>
        <v>0</v>
      </c>
      <c r="CC175" s="2">
        <f t="shared" si="106"/>
        <v>0</v>
      </c>
      <c r="CD175" s="2">
        <f t="shared" si="107"/>
        <v>0</v>
      </c>
      <c r="CE175" s="2">
        <f t="shared" si="108"/>
        <v>0</v>
      </c>
      <c r="CF175" s="2">
        <f t="shared" si="109"/>
        <v>62.21</v>
      </c>
      <c r="CG175" s="2">
        <f t="shared" si="110"/>
        <v>4240.96</v>
      </c>
      <c r="CH175" s="2">
        <f t="shared" si="111"/>
        <v>52.26</v>
      </c>
      <c r="CI175" s="2">
        <f t="shared" si="112"/>
        <v>0</v>
      </c>
      <c r="CJ175" s="2">
        <f t="shared" si="113"/>
        <v>0</v>
      </c>
      <c r="CK175" s="2">
        <f t="shared" si="114"/>
        <v>0</v>
      </c>
      <c r="CL175" s="2">
        <f t="shared" si="115"/>
        <v>0</v>
      </c>
      <c r="CM175" s="2">
        <f t="shared" si="87"/>
        <v>26490</v>
      </c>
      <c r="CN175" s="2">
        <f t="shared" si="88"/>
        <v>105080</v>
      </c>
      <c r="CO175" s="2">
        <f t="shared" si="89"/>
        <v>0</v>
      </c>
      <c r="CP175" s="2">
        <f t="shared" si="90"/>
        <v>0</v>
      </c>
      <c r="CQ175" s="2">
        <f t="shared" si="91"/>
        <v>0</v>
      </c>
      <c r="CR175" s="2">
        <f t="shared" si="92"/>
        <v>0</v>
      </c>
      <c r="CV175" t="s">
        <v>64</v>
      </c>
      <c r="CW175" t="s">
        <v>248</v>
      </c>
      <c r="CX175" t="s">
        <v>5</v>
      </c>
      <c r="CY175" s="4">
        <v>42800</v>
      </c>
      <c r="CZ175" t="s">
        <v>65</v>
      </c>
      <c r="DA175" t="s">
        <v>66</v>
      </c>
      <c r="DB175">
        <v>10</v>
      </c>
      <c r="DC175">
        <v>32.06</v>
      </c>
      <c r="DD175" t="s">
        <v>69</v>
      </c>
      <c r="DE175" t="s">
        <v>70</v>
      </c>
      <c r="DF175">
        <v>320.60000000000002</v>
      </c>
    </row>
    <row r="176" spans="1:110" x14ac:dyDescent="0.25">
      <c r="A176" s="1">
        <v>42990</v>
      </c>
      <c r="B176">
        <v>157.24</v>
      </c>
      <c r="C176">
        <v>84.94</v>
      </c>
      <c r="D176">
        <v>233.51</v>
      </c>
      <c r="E176">
        <v>116.84</v>
      </c>
      <c r="F176">
        <v>30.95</v>
      </c>
      <c r="G176">
        <v>106.24</v>
      </c>
      <c r="H176">
        <v>95.59</v>
      </c>
      <c r="I176">
        <v>66.59</v>
      </c>
      <c r="J176">
        <v>222.18</v>
      </c>
      <c r="K176">
        <v>155.59</v>
      </c>
      <c r="L176">
        <v>136.47999999999999</v>
      </c>
      <c r="M176">
        <v>34.78</v>
      </c>
      <c r="N176">
        <v>128.34</v>
      </c>
      <c r="O176">
        <v>87.63</v>
      </c>
      <c r="P176">
        <v>44.44</v>
      </c>
      <c r="Q176">
        <v>151.57</v>
      </c>
      <c r="R176">
        <v>201.8</v>
      </c>
      <c r="S176">
        <v>62.53</v>
      </c>
      <c r="T176">
        <v>73.040000000000006</v>
      </c>
      <c r="U176">
        <v>52.63</v>
      </c>
      <c r="V176">
        <v>33.549999999999997</v>
      </c>
      <c r="W176">
        <v>88.95</v>
      </c>
      <c r="X176">
        <v>119.03</v>
      </c>
      <c r="Y176">
        <v>194.19</v>
      </c>
      <c r="Z176">
        <v>106.18</v>
      </c>
      <c r="AA176">
        <v>105.14</v>
      </c>
      <c r="AB176">
        <v>43.68</v>
      </c>
      <c r="AC176">
        <v>79.849999999999994</v>
      </c>
      <c r="AD176">
        <v>77.36</v>
      </c>
      <c r="AE176">
        <v>74.81</v>
      </c>
      <c r="AI176" s="2">
        <v>5000</v>
      </c>
      <c r="AJ176" s="2">
        <f t="shared" si="123"/>
        <v>1120</v>
      </c>
      <c r="AK176" s="2">
        <f t="shared" si="123"/>
        <v>1120</v>
      </c>
      <c r="AL176" s="2">
        <f t="shared" si="123"/>
        <v>1120</v>
      </c>
      <c r="AM176" s="2">
        <f t="shared" si="123"/>
        <v>1120</v>
      </c>
      <c r="AN176" s="2">
        <f t="shared" si="123"/>
        <v>1120</v>
      </c>
      <c r="AO176" s="2">
        <f t="shared" si="123"/>
        <v>1120</v>
      </c>
      <c r="AP176" s="2">
        <f t="shared" si="123"/>
        <v>1000</v>
      </c>
      <c r="AQ176" s="2">
        <v>1000</v>
      </c>
      <c r="AR176" s="2">
        <v>0</v>
      </c>
      <c r="AS176" s="2">
        <v>1000</v>
      </c>
      <c r="AT176" s="2">
        <v>0</v>
      </c>
      <c r="AU176" s="2">
        <v>1000</v>
      </c>
      <c r="AV176" s="2">
        <v>1000</v>
      </c>
      <c r="AW176" s="2">
        <v>0</v>
      </c>
      <c r="AX176" s="2">
        <v>0</v>
      </c>
      <c r="AY176" s="2">
        <v>0</v>
      </c>
      <c r="AZ176" s="2">
        <v>1000</v>
      </c>
      <c r="BA176" s="2">
        <v>1056</v>
      </c>
      <c r="BB176" s="2">
        <v>966</v>
      </c>
      <c r="BC176" s="2">
        <v>-1000</v>
      </c>
      <c r="BD176" s="2">
        <v>-5000</v>
      </c>
      <c r="BE176" s="2">
        <v>5000</v>
      </c>
      <c r="BF176" s="2">
        <v>3000</v>
      </c>
      <c r="BG176" s="2">
        <v>1250</v>
      </c>
      <c r="BH176" s="2">
        <v>0</v>
      </c>
      <c r="BI176" s="2">
        <v>3000</v>
      </c>
      <c r="BJ176" s="2">
        <v>-1500</v>
      </c>
      <c r="BK176" s="2">
        <v>1000</v>
      </c>
      <c r="BL176" s="2">
        <v>1000</v>
      </c>
      <c r="BO176" s="2">
        <f t="shared" si="86"/>
        <v>0</v>
      </c>
      <c r="BP176" s="2">
        <f t="shared" si="93"/>
        <v>0</v>
      </c>
      <c r="BQ176" s="2">
        <f t="shared" si="94"/>
        <v>0</v>
      </c>
      <c r="BR176" s="2">
        <f t="shared" si="95"/>
        <v>0</v>
      </c>
      <c r="BS176" s="2">
        <f t="shared" si="96"/>
        <v>0</v>
      </c>
      <c r="BT176" s="2">
        <f t="shared" si="97"/>
        <v>0</v>
      </c>
      <c r="BU176" s="2">
        <f t="shared" si="98"/>
        <v>0</v>
      </c>
      <c r="BV176" s="2">
        <f t="shared" si="99"/>
        <v>0</v>
      </c>
      <c r="BW176" s="2">
        <f t="shared" si="100"/>
        <v>0</v>
      </c>
      <c r="BX176" s="2">
        <f t="shared" si="101"/>
        <v>0</v>
      </c>
      <c r="BY176" s="2">
        <f t="shared" si="102"/>
        <v>0</v>
      </c>
      <c r="BZ176" s="2">
        <f t="shared" si="103"/>
        <v>0</v>
      </c>
      <c r="CA176" s="2">
        <f t="shared" si="104"/>
        <v>0</v>
      </c>
      <c r="CB176" s="2">
        <f t="shared" si="105"/>
        <v>0</v>
      </c>
      <c r="CC176" s="2">
        <f t="shared" si="106"/>
        <v>0</v>
      </c>
      <c r="CD176" s="2">
        <f t="shared" si="107"/>
        <v>0</v>
      </c>
      <c r="CE176" s="2">
        <f t="shared" si="108"/>
        <v>0</v>
      </c>
      <c r="CF176" s="2">
        <f t="shared" si="109"/>
        <v>-187.59</v>
      </c>
      <c r="CG176" s="2">
        <f t="shared" si="110"/>
        <v>-7815.2800000000007</v>
      </c>
      <c r="CH176" s="2">
        <f t="shared" si="111"/>
        <v>3578.84</v>
      </c>
      <c r="CI176" s="2">
        <f t="shared" si="112"/>
        <v>0</v>
      </c>
      <c r="CJ176" s="2">
        <f t="shared" si="113"/>
        <v>0</v>
      </c>
      <c r="CK176" s="2">
        <f t="shared" si="114"/>
        <v>0</v>
      </c>
      <c r="CL176" s="2">
        <f t="shared" si="115"/>
        <v>0</v>
      </c>
      <c r="CM176" s="2">
        <f t="shared" si="87"/>
        <v>0</v>
      </c>
      <c r="CN176" s="2">
        <f t="shared" si="88"/>
        <v>0</v>
      </c>
      <c r="CO176" s="2">
        <f t="shared" si="89"/>
        <v>0</v>
      </c>
      <c r="CP176" s="2">
        <f t="shared" si="90"/>
        <v>0</v>
      </c>
      <c r="CQ176" s="2">
        <f t="shared" si="91"/>
        <v>0</v>
      </c>
      <c r="CR176" s="2">
        <f t="shared" si="92"/>
        <v>0</v>
      </c>
      <c r="CV176" t="s">
        <v>64</v>
      </c>
      <c r="CW176" t="s">
        <v>249</v>
      </c>
      <c r="CX176" t="s">
        <v>5</v>
      </c>
      <c r="CY176" s="4">
        <v>42818</v>
      </c>
      <c r="CZ176" t="s">
        <v>65</v>
      </c>
      <c r="DA176" t="s">
        <v>66</v>
      </c>
      <c r="DB176">
        <v>10</v>
      </c>
      <c r="DC176">
        <v>31.96</v>
      </c>
      <c r="DD176" t="s">
        <v>69</v>
      </c>
      <c r="DE176" t="s">
        <v>70</v>
      </c>
      <c r="DF176">
        <v>319.60000000000002</v>
      </c>
    </row>
    <row r="177" spans="1:110" x14ac:dyDescent="0.25">
      <c r="A177" s="1">
        <v>42991</v>
      </c>
      <c r="B177">
        <v>156.06</v>
      </c>
      <c r="C177">
        <v>85.03</v>
      </c>
      <c r="D177">
        <v>234.82</v>
      </c>
      <c r="E177">
        <v>115.58</v>
      </c>
      <c r="F177">
        <v>30.73</v>
      </c>
      <c r="G177">
        <v>107.83</v>
      </c>
      <c r="H177">
        <v>96.5</v>
      </c>
      <c r="I177">
        <v>67.55</v>
      </c>
      <c r="J177">
        <v>222.78</v>
      </c>
      <c r="K177">
        <v>155.69999999999999</v>
      </c>
      <c r="L177">
        <v>136.69999999999999</v>
      </c>
      <c r="M177">
        <v>35.01</v>
      </c>
      <c r="N177">
        <v>128.16999999999999</v>
      </c>
      <c r="O177">
        <v>87.88</v>
      </c>
      <c r="P177">
        <v>44.58</v>
      </c>
      <c r="Q177">
        <v>152.21</v>
      </c>
      <c r="R177">
        <v>201.66</v>
      </c>
      <c r="S177">
        <v>62.52</v>
      </c>
      <c r="T177">
        <v>73.56</v>
      </c>
      <c r="U177">
        <v>52.75</v>
      </c>
      <c r="V177">
        <v>33.25</v>
      </c>
      <c r="W177">
        <v>88.99</v>
      </c>
      <c r="X177">
        <v>118.09</v>
      </c>
      <c r="Y177">
        <v>195.03</v>
      </c>
      <c r="Z177">
        <v>106.58</v>
      </c>
      <c r="AA177">
        <v>104.76</v>
      </c>
      <c r="AB177">
        <v>44.11</v>
      </c>
      <c r="AC177">
        <v>79.84</v>
      </c>
      <c r="AD177">
        <v>77.599999999999994</v>
      </c>
      <c r="AE177">
        <v>75.06</v>
      </c>
      <c r="AI177" s="2">
        <v>5000</v>
      </c>
      <c r="AJ177" s="2">
        <f t="shared" si="123"/>
        <v>1120</v>
      </c>
      <c r="AK177" s="2">
        <f t="shared" si="123"/>
        <v>1120</v>
      </c>
      <c r="AL177" s="2">
        <f t="shared" si="123"/>
        <v>1120</v>
      </c>
      <c r="AM177" s="2">
        <f t="shared" si="123"/>
        <v>1120</v>
      </c>
      <c r="AN177" s="2">
        <f t="shared" si="123"/>
        <v>1120</v>
      </c>
      <c r="AO177" s="2">
        <f t="shared" si="123"/>
        <v>1120</v>
      </c>
      <c r="AP177" s="2">
        <f t="shared" si="123"/>
        <v>1000</v>
      </c>
      <c r="AQ177" s="2">
        <v>1000</v>
      </c>
      <c r="AR177" s="2">
        <v>0</v>
      </c>
      <c r="AS177" s="2">
        <v>1000</v>
      </c>
      <c r="AT177" s="2">
        <v>0</v>
      </c>
      <c r="AU177" s="2">
        <v>1000</v>
      </c>
      <c r="AV177" s="2">
        <v>1000</v>
      </c>
      <c r="AW177" s="2">
        <v>0</v>
      </c>
      <c r="AX177" s="2">
        <v>0</v>
      </c>
      <c r="AY177" s="2">
        <v>0</v>
      </c>
      <c r="AZ177" s="2">
        <v>1040</v>
      </c>
      <c r="BA177" s="2">
        <v>932</v>
      </c>
      <c r="BB177" s="2">
        <v>1063</v>
      </c>
      <c r="BC177" s="2">
        <v>-1000</v>
      </c>
      <c r="BD177" s="2">
        <v>-5000</v>
      </c>
      <c r="BE177" s="2">
        <v>5000</v>
      </c>
      <c r="BF177" s="2">
        <v>3000</v>
      </c>
      <c r="BG177" s="2">
        <v>2500</v>
      </c>
      <c r="BH177" s="2">
        <v>0</v>
      </c>
      <c r="BI177" s="2">
        <v>3000</v>
      </c>
      <c r="BJ177" s="2">
        <v>-1500</v>
      </c>
      <c r="BK177" s="2">
        <v>1000</v>
      </c>
      <c r="BL177" s="2">
        <v>1000</v>
      </c>
      <c r="BO177" s="2">
        <f t="shared" si="86"/>
        <v>0</v>
      </c>
      <c r="BP177" s="2">
        <f t="shared" si="93"/>
        <v>0</v>
      </c>
      <c r="BQ177" s="2">
        <f t="shared" si="94"/>
        <v>0</v>
      </c>
      <c r="BR177" s="2">
        <f t="shared" si="95"/>
        <v>0</v>
      </c>
      <c r="BS177" s="2">
        <f t="shared" si="96"/>
        <v>0</v>
      </c>
      <c r="BT177" s="2">
        <f t="shared" si="97"/>
        <v>0</v>
      </c>
      <c r="BU177" s="2">
        <f t="shared" si="98"/>
        <v>0</v>
      </c>
      <c r="BV177" s="2">
        <f t="shared" si="99"/>
        <v>0</v>
      </c>
      <c r="BW177" s="2">
        <f t="shared" si="100"/>
        <v>0</v>
      </c>
      <c r="BX177" s="2">
        <f t="shared" si="101"/>
        <v>0</v>
      </c>
      <c r="BY177" s="2">
        <f t="shared" si="102"/>
        <v>0</v>
      </c>
      <c r="BZ177" s="2">
        <f t="shared" si="103"/>
        <v>0</v>
      </c>
      <c r="CA177" s="2">
        <f t="shared" si="104"/>
        <v>0</v>
      </c>
      <c r="CB177" s="2">
        <f t="shared" si="105"/>
        <v>0</v>
      </c>
      <c r="CC177" s="2">
        <f t="shared" si="106"/>
        <v>0</v>
      </c>
      <c r="CD177" s="2">
        <f t="shared" si="107"/>
        <v>0</v>
      </c>
      <c r="CE177" s="2">
        <f t="shared" si="108"/>
        <v>0</v>
      </c>
      <c r="CF177" s="2">
        <f t="shared" si="109"/>
        <v>-2500.8000000000002</v>
      </c>
      <c r="CG177" s="2">
        <f t="shared" si="110"/>
        <v>9121.44</v>
      </c>
      <c r="CH177" s="2">
        <f t="shared" si="111"/>
        <v>-5116.75</v>
      </c>
      <c r="CI177" s="2">
        <f t="shared" si="112"/>
        <v>0</v>
      </c>
      <c r="CJ177" s="2">
        <f t="shared" si="113"/>
        <v>0</v>
      </c>
      <c r="CK177" s="2">
        <f t="shared" si="114"/>
        <v>0</v>
      </c>
      <c r="CL177" s="2">
        <f t="shared" si="115"/>
        <v>0</v>
      </c>
      <c r="CM177" s="2">
        <f t="shared" si="87"/>
        <v>-133225</v>
      </c>
      <c r="CN177" s="2">
        <f t="shared" si="88"/>
        <v>0</v>
      </c>
      <c r="CO177" s="2">
        <f t="shared" si="89"/>
        <v>0</v>
      </c>
      <c r="CP177" s="2">
        <f t="shared" si="90"/>
        <v>0</v>
      </c>
      <c r="CQ177" s="2">
        <f t="shared" si="91"/>
        <v>0</v>
      </c>
      <c r="CR177" s="2">
        <f t="shared" si="92"/>
        <v>0</v>
      </c>
      <c r="CV177" t="s">
        <v>64</v>
      </c>
      <c r="CW177" t="s">
        <v>250</v>
      </c>
      <c r="CX177" t="s">
        <v>5</v>
      </c>
      <c r="CY177" s="4">
        <v>42838</v>
      </c>
      <c r="CZ177" t="s">
        <v>65</v>
      </c>
      <c r="DA177" t="s">
        <v>66</v>
      </c>
      <c r="DB177">
        <v>10</v>
      </c>
      <c r="DC177">
        <v>30.67</v>
      </c>
      <c r="DD177" t="s">
        <v>69</v>
      </c>
      <c r="DE177" t="s">
        <v>70</v>
      </c>
      <c r="DF177">
        <v>306.70000000000005</v>
      </c>
    </row>
    <row r="178" spans="1:110" x14ac:dyDescent="0.25">
      <c r="A178" s="1">
        <v>42992</v>
      </c>
      <c r="B178">
        <v>154.72</v>
      </c>
      <c r="C178">
        <v>84.59</v>
      </c>
      <c r="D178">
        <v>238.03</v>
      </c>
      <c r="E178">
        <v>116.4</v>
      </c>
      <c r="F178">
        <v>30.73</v>
      </c>
      <c r="G178">
        <v>108.09</v>
      </c>
      <c r="H178">
        <v>95.6</v>
      </c>
      <c r="I178">
        <v>68.05</v>
      </c>
      <c r="J178">
        <v>223.07</v>
      </c>
      <c r="K178">
        <v>155.07</v>
      </c>
      <c r="L178">
        <v>136.28</v>
      </c>
      <c r="M178">
        <v>35.15</v>
      </c>
      <c r="N178">
        <v>129.84</v>
      </c>
      <c r="O178">
        <v>87.7</v>
      </c>
      <c r="P178">
        <v>44.21</v>
      </c>
      <c r="Q178">
        <v>152.21</v>
      </c>
      <c r="R178">
        <v>203.53</v>
      </c>
      <c r="S178">
        <v>63.61</v>
      </c>
      <c r="T178">
        <v>73.13</v>
      </c>
      <c r="U178">
        <v>52.95</v>
      </c>
      <c r="V178">
        <v>33.89</v>
      </c>
      <c r="W178">
        <v>88.99</v>
      </c>
      <c r="X178">
        <v>116.58</v>
      </c>
      <c r="Y178">
        <v>194.44</v>
      </c>
      <c r="Z178">
        <v>109.35</v>
      </c>
      <c r="AA178">
        <v>105.01</v>
      </c>
      <c r="AB178">
        <v>44.05</v>
      </c>
      <c r="AC178">
        <v>79.14</v>
      </c>
      <c r="AD178">
        <v>77.42</v>
      </c>
      <c r="AE178">
        <v>75.36</v>
      </c>
      <c r="AI178" s="2">
        <v>5000</v>
      </c>
      <c r="AJ178" s="2">
        <f t="shared" si="123"/>
        <v>1120</v>
      </c>
      <c r="AK178" s="2">
        <f t="shared" si="123"/>
        <v>1120</v>
      </c>
      <c r="AL178" s="2">
        <f t="shared" si="123"/>
        <v>1120</v>
      </c>
      <c r="AM178" s="2">
        <f t="shared" si="123"/>
        <v>1120</v>
      </c>
      <c r="AN178" s="2">
        <f t="shared" si="123"/>
        <v>1120</v>
      </c>
      <c r="AO178" s="2">
        <f t="shared" si="123"/>
        <v>1120</v>
      </c>
      <c r="AP178" s="2">
        <f t="shared" si="123"/>
        <v>1000</v>
      </c>
      <c r="AQ178" s="2">
        <v>1000</v>
      </c>
      <c r="AR178" s="2">
        <v>0</v>
      </c>
      <c r="AS178" s="2">
        <v>1000</v>
      </c>
      <c r="AT178" s="2">
        <v>0</v>
      </c>
      <c r="AU178" s="2">
        <v>1000</v>
      </c>
      <c r="AV178" s="2">
        <v>1000</v>
      </c>
      <c r="AW178" s="2">
        <v>0</v>
      </c>
      <c r="AX178" s="2">
        <v>0</v>
      </c>
      <c r="AY178" s="2">
        <v>0</v>
      </c>
      <c r="AZ178" s="2">
        <v>982</v>
      </c>
      <c r="BA178" s="2">
        <v>1008</v>
      </c>
      <c r="BB178" s="2">
        <v>1037</v>
      </c>
      <c r="BC178" s="2">
        <v>-1000</v>
      </c>
      <c r="BD178" s="2">
        <v>-5000</v>
      </c>
      <c r="BE178" s="2">
        <v>5000</v>
      </c>
      <c r="BF178" s="2">
        <v>3000</v>
      </c>
      <c r="BG178" s="2">
        <v>2500</v>
      </c>
      <c r="BH178" s="2">
        <v>0</v>
      </c>
      <c r="BI178" s="2">
        <v>3000</v>
      </c>
      <c r="BJ178" s="2">
        <v>-1500</v>
      </c>
      <c r="BK178" s="2">
        <v>1000</v>
      </c>
      <c r="BL178" s="2">
        <v>1000</v>
      </c>
      <c r="BO178" s="2">
        <f t="shared" si="86"/>
        <v>0</v>
      </c>
      <c r="BP178" s="2">
        <f t="shared" si="93"/>
        <v>0</v>
      </c>
      <c r="BQ178" s="2">
        <f t="shared" si="94"/>
        <v>0</v>
      </c>
      <c r="BR178" s="2">
        <f t="shared" si="95"/>
        <v>0</v>
      </c>
      <c r="BS178" s="2">
        <f t="shared" si="96"/>
        <v>0</v>
      </c>
      <c r="BT178" s="2">
        <f t="shared" si="97"/>
        <v>0</v>
      </c>
      <c r="BU178" s="2">
        <f t="shared" si="98"/>
        <v>0</v>
      </c>
      <c r="BV178" s="2">
        <f t="shared" si="99"/>
        <v>0</v>
      </c>
      <c r="BW178" s="2">
        <f t="shared" si="100"/>
        <v>0</v>
      </c>
      <c r="BX178" s="2">
        <f t="shared" si="101"/>
        <v>0</v>
      </c>
      <c r="BY178" s="2">
        <f t="shared" si="102"/>
        <v>0</v>
      </c>
      <c r="BZ178" s="2">
        <f t="shared" si="103"/>
        <v>0</v>
      </c>
      <c r="CA178" s="2">
        <f t="shared" si="104"/>
        <v>0</v>
      </c>
      <c r="CB178" s="2">
        <f t="shared" si="105"/>
        <v>0</v>
      </c>
      <c r="CC178" s="2">
        <f t="shared" si="106"/>
        <v>0</v>
      </c>
      <c r="CD178" s="2">
        <f t="shared" si="107"/>
        <v>0</v>
      </c>
      <c r="CE178" s="2">
        <f t="shared" si="108"/>
        <v>0</v>
      </c>
      <c r="CF178" s="2">
        <f t="shared" si="109"/>
        <v>3689.38</v>
      </c>
      <c r="CG178" s="2">
        <f t="shared" si="110"/>
        <v>-5557.8799999999992</v>
      </c>
      <c r="CH178" s="2">
        <f t="shared" si="111"/>
        <v>1376.7</v>
      </c>
      <c r="CI178" s="2">
        <f t="shared" si="112"/>
        <v>0</v>
      </c>
      <c r="CJ178" s="2">
        <f t="shared" si="113"/>
        <v>0</v>
      </c>
      <c r="CK178" s="2">
        <f t="shared" si="114"/>
        <v>0</v>
      </c>
      <c r="CL178" s="2">
        <f t="shared" si="115"/>
        <v>0</v>
      </c>
      <c r="CM178" s="2">
        <f t="shared" si="87"/>
        <v>0</v>
      </c>
      <c r="CN178" s="2">
        <f t="shared" si="88"/>
        <v>0</v>
      </c>
      <c r="CO178" s="2">
        <f t="shared" si="89"/>
        <v>0</v>
      </c>
      <c r="CP178" s="2">
        <f t="shared" si="90"/>
        <v>0</v>
      </c>
      <c r="CQ178" s="2">
        <f t="shared" si="91"/>
        <v>0</v>
      </c>
      <c r="CR178" s="2">
        <f t="shared" si="92"/>
        <v>0</v>
      </c>
      <c r="CV178" t="s">
        <v>64</v>
      </c>
      <c r="CW178" t="s">
        <v>251</v>
      </c>
      <c r="CX178" t="s">
        <v>5</v>
      </c>
      <c r="CY178" s="4">
        <v>42859</v>
      </c>
      <c r="CZ178" t="s">
        <v>65</v>
      </c>
      <c r="DA178" t="s">
        <v>66</v>
      </c>
      <c r="DB178">
        <v>10</v>
      </c>
      <c r="DC178">
        <v>32.33</v>
      </c>
      <c r="DD178" t="s">
        <v>69</v>
      </c>
      <c r="DE178" t="s">
        <v>70</v>
      </c>
      <c r="DF178">
        <v>323.29999999999995</v>
      </c>
    </row>
    <row r="179" spans="1:110" x14ac:dyDescent="0.25">
      <c r="A179" s="1">
        <v>42993</v>
      </c>
      <c r="B179">
        <v>156.28</v>
      </c>
      <c r="C179">
        <v>85.37</v>
      </c>
      <c r="D179">
        <v>241.69</v>
      </c>
      <c r="E179">
        <v>117.26</v>
      </c>
      <c r="F179">
        <v>30.97</v>
      </c>
      <c r="G179">
        <v>108.26</v>
      </c>
      <c r="H179">
        <v>96.21</v>
      </c>
      <c r="I179">
        <v>67.900000000000006</v>
      </c>
      <c r="J179">
        <v>221.46</v>
      </c>
      <c r="K179">
        <v>154.12</v>
      </c>
      <c r="L179">
        <v>135.6</v>
      </c>
      <c r="M179">
        <v>35.65</v>
      </c>
      <c r="N179">
        <v>130.1</v>
      </c>
      <c r="O179">
        <v>88.33</v>
      </c>
      <c r="P179">
        <v>44.27</v>
      </c>
      <c r="Q179">
        <v>152.13999999999999</v>
      </c>
      <c r="R179">
        <v>205.37</v>
      </c>
      <c r="S179">
        <v>63.65</v>
      </c>
      <c r="T179">
        <v>73.66</v>
      </c>
      <c r="U179">
        <v>53.09</v>
      </c>
      <c r="V179">
        <v>33.54</v>
      </c>
      <c r="W179">
        <v>88.72</v>
      </c>
      <c r="X179">
        <v>117.3</v>
      </c>
      <c r="Y179">
        <v>194.89</v>
      </c>
      <c r="Z179">
        <v>109.29</v>
      </c>
      <c r="AA179">
        <v>104.24</v>
      </c>
      <c r="AB179">
        <v>44.68</v>
      </c>
      <c r="AC179">
        <v>79.62</v>
      </c>
      <c r="AD179">
        <v>78.099999999999994</v>
      </c>
      <c r="AE179">
        <v>75.34</v>
      </c>
      <c r="AI179" s="2">
        <v>5000</v>
      </c>
      <c r="AJ179" s="2">
        <f t="shared" si="123"/>
        <v>1120</v>
      </c>
      <c r="AK179" s="2">
        <f t="shared" si="123"/>
        <v>1120</v>
      </c>
      <c r="AL179" s="2">
        <f t="shared" si="123"/>
        <v>1120</v>
      </c>
      <c r="AM179" s="2">
        <f t="shared" si="123"/>
        <v>1120</v>
      </c>
      <c r="AN179" s="2">
        <f t="shared" si="123"/>
        <v>1120</v>
      </c>
      <c r="AO179" s="2">
        <f t="shared" si="123"/>
        <v>1120</v>
      </c>
      <c r="AP179" s="2">
        <f t="shared" si="123"/>
        <v>1000</v>
      </c>
      <c r="AQ179" s="2">
        <v>1000</v>
      </c>
      <c r="AR179" s="2">
        <v>0</v>
      </c>
      <c r="AS179" s="2">
        <v>1000</v>
      </c>
      <c r="AT179" s="2">
        <v>0</v>
      </c>
      <c r="AU179" s="2">
        <v>1000</v>
      </c>
      <c r="AV179" s="2">
        <v>1000</v>
      </c>
      <c r="AW179" s="2">
        <v>0</v>
      </c>
      <c r="AX179" s="2">
        <v>0</v>
      </c>
      <c r="AY179" s="2">
        <v>0</v>
      </c>
      <c r="AZ179" s="2">
        <v>968</v>
      </c>
      <c r="BA179" s="2">
        <v>1031</v>
      </c>
      <c r="BB179" s="2">
        <v>988</v>
      </c>
      <c r="BC179" s="2">
        <v>-1000</v>
      </c>
      <c r="BD179" s="2">
        <v>-5000</v>
      </c>
      <c r="BE179" s="2">
        <v>5000</v>
      </c>
      <c r="BF179" s="2">
        <v>3000</v>
      </c>
      <c r="BG179" s="2">
        <v>3500</v>
      </c>
      <c r="BH179" s="2">
        <v>0</v>
      </c>
      <c r="BI179" s="2">
        <v>3000</v>
      </c>
      <c r="BJ179" s="2">
        <v>-1500</v>
      </c>
      <c r="BK179" s="2">
        <v>1000</v>
      </c>
      <c r="BL179" s="2">
        <v>1000</v>
      </c>
      <c r="BO179" s="2">
        <f t="shared" si="86"/>
        <v>0</v>
      </c>
      <c r="BP179" s="2">
        <f t="shared" si="93"/>
        <v>0</v>
      </c>
      <c r="BQ179" s="2">
        <f t="shared" si="94"/>
        <v>0</v>
      </c>
      <c r="BR179" s="2">
        <f t="shared" si="95"/>
        <v>0</v>
      </c>
      <c r="BS179" s="2">
        <f t="shared" si="96"/>
        <v>0</v>
      </c>
      <c r="BT179" s="2">
        <f t="shared" si="97"/>
        <v>0</v>
      </c>
      <c r="BU179" s="2">
        <f t="shared" si="98"/>
        <v>0</v>
      </c>
      <c r="BV179" s="2">
        <f t="shared" si="99"/>
        <v>0</v>
      </c>
      <c r="BW179" s="2">
        <f t="shared" si="100"/>
        <v>0</v>
      </c>
      <c r="BX179" s="2">
        <f t="shared" si="101"/>
        <v>0</v>
      </c>
      <c r="BY179" s="2">
        <f t="shared" si="102"/>
        <v>0</v>
      </c>
      <c r="BZ179" s="2">
        <f t="shared" si="103"/>
        <v>0</v>
      </c>
      <c r="CA179" s="2">
        <f t="shared" si="104"/>
        <v>0</v>
      </c>
      <c r="CB179" s="2">
        <f t="shared" si="105"/>
        <v>0</v>
      </c>
      <c r="CC179" s="2">
        <f t="shared" si="106"/>
        <v>0</v>
      </c>
      <c r="CD179" s="2">
        <f t="shared" si="107"/>
        <v>0</v>
      </c>
      <c r="CE179" s="2">
        <f t="shared" si="108"/>
        <v>0</v>
      </c>
      <c r="CF179" s="2">
        <f t="shared" si="109"/>
        <v>891.1</v>
      </c>
      <c r="CG179" s="2">
        <f t="shared" si="110"/>
        <v>-1694.1799999999998</v>
      </c>
      <c r="CH179" s="2">
        <f t="shared" si="111"/>
        <v>2601.4100000000003</v>
      </c>
      <c r="CI179" s="2">
        <f t="shared" si="112"/>
        <v>0</v>
      </c>
      <c r="CJ179" s="2">
        <f t="shared" si="113"/>
        <v>0</v>
      </c>
      <c r="CK179" s="2">
        <f t="shared" si="114"/>
        <v>0</v>
      </c>
      <c r="CL179" s="2">
        <f t="shared" si="115"/>
        <v>0</v>
      </c>
      <c r="CM179" s="2">
        <f t="shared" si="87"/>
        <v>-109290</v>
      </c>
      <c r="CN179" s="2">
        <f t="shared" si="88"/>
        <v>0</v>
      </c>
      <c r="CO179" s="2">
        <f t="shared" si="89"/>
        <v>0</v>
      </c>
      <c r="CP179" s="2">
        <f t="shared" si="90"/>
        <v>0</v>
      </c>
      <c r="CQ179" s="2">
        <f t="shared" si="91"/>
        <v>0</v>
      </c>
      <c r="CR179" s="2">
        <f t="shared" si="92"/>
        <v>0</v>
      </c>
      <c r="CV179" t="s">
        <v>64</v>
      </c>
      <c r="CW179" t="s">
        <v>252</v>
      </c>
      <c r="CX179" t="s">
        <v>5</v>
      </c>
      <c r="CY179" s="4">
        <v>42879</v>
      </c>
      <c r="CZ179" t="s">
        <v>65</v>
      </c>
      <c r="DA179" t="s">
        <v>66</v>
      </c>
      <c r="DB179">
        <v>10</v>
      </c>
      <c r="DC179">
        <v>29.79</v>
      </c>
      <c r="DD179" t="s">
        <v>69</v>
      </c>
      <c r="DE179" t="s">
        <v>70</v>
      </c>
      <c r="DF179">
        <v>297.89999999999998</v>
      </c>
    </row>
    <row r="180" spans="1:110" x14ac:dyDescent="0.25">
      <c r="A180" s="1">
        <v>42996</v>
      </c>
      <c r="B180">
        <v>155.1</v>
      </c>
      <c r="C180">
        <v>86.23</v>
      </c>
      <c r="D180">
        <v>245.65</v>
      </c>
      <c r="E180">
        <v>119.63</v>
      </c>
      <c r="F180">
        <v>31.05</v>
      </c>
      <c r="G180">
        <v>108.79</v>
      </c>
      <c r="H180">
        <v>95.8</v>
      </c>
      <c r="I180">
        <v>67.81</v>
      </c>
      <c r="J180">
        <v>223.74</v>
      </c>
      <c r="K180">
        <v>153.54</v>
      </c>
      <c r="L180">
        <v>135.35</v>
      </c>
      <c r="M180">
        <v>35.65</v>
      </c>
      <c r="N180">
        <v>131</v>
      </c>
      <c r="O180">
        <v>89.58</v>
      </c>
      <c r="P180">
        <v>44.21</v>
      </c>
      <c r="Q180">
        <v>151.9</v>
      </c>
      <c r="R180">
        <v>205.77</v>
      </c>
      <c r="S180">
        <v>63.49</v>
      </c>
      <c r="T180">
        <v>73.510000000000005</v>
      </c>
      <c r="U180">
        <v>52.73</v>
      </c>
      <c r="V180">
        <v>33.72</v>
      </c>
      <c r="W180">
        <v>88.61</v>
      </c>
      <c r="X180">
        <v>117.32</v>
      </c>
      <c r="Y180">
        <v>194.89</v>
      </c>
      <c r="Z180">
        <v>108.99</v>
      </c>
      <c r="AA180">
        <v>103.77</v>
      </c>
      <c r="AB180">
        <v>44.9</v>
      </c>
      <c r="AC180">
        <v>79.709999999999994</v>
      </c>
      <c r="AD180">
        <v>77.739999999999995</v>
      </c>
      <c r="AE180">
        <v>75.36</v>
      </c>
      <c r="AI180" s="2">
        <v>5000</v>
      </c>
      <c r="AJ180" s="2">
        <f t="shared" si="123"/>
        <v>1120</v>
      </c>
      <c r="AK180" s="2">
        <f t="shared" si="123"/>
        <v>1120</v>
      </c>
      <c r="AL180" s="2">
        <f t="shared" si="123"/>
        <v>1120</v>
      </c>
      <c r="AM180" s="2">
        <f t="shared" si="123"/>
        <v>1120</v>
      </c>
      <c r="AN180" s="2">
        <f t="shared" si="123"/>
        <v>1120</v>
      </c>
      <c r="AO180" s="2">
        <f t="shared" si="123"/>
        <v>1120</v>
      </c>
      <c r="AP180" s="2">
        <f t="shared" si="123"/>
        <v>1000</v>
      </c>
      <c r="AQ180" s="2">
        <v>1000</v>
      </c>
      <c r="AR180" s="2">
        <v>0</v>
      </c>
      <c r="AS180" s="2">
        <v>1000</v>
      </c>
      <c r="AT180" s="2">
        <v>0</v>
      </c>
      <c r="AU180" s="2">
        <v>1000</v>
      </c>
      <c r="AV180" s="2">
        <v>1000</v>
      </c>
      <c r="AW180" s="2">
        <v>0</v>
      </c>
      <c r="AX180" s="2">
        <v>0</v>
      </c>
      <c r="AY180" s="2">
        <v>0</v>
      </c>
      <c r="AZ180" s="2">
        <v>985</v>
      </c>
      <c r="BA180" s="2">
        <v>1010</v>
      </c>
      <c r="BB180" s="2">
        <v>1099</v>
      </c>
      <c r="BC180" s="2">
        <v>-1000</v>
      </c>
      <c r="BD180" s="2">
        <v>-5000</v>
      </c>
      <c r="BE180" s="2">
        <v>5000</v>
      </c>
      <c r="BF180" s="2">
        <v>3000</v>
      </c>
      <c r="BG180" s="2">
        <v>3500</v>
      </c>
      <c r="BH180" s="2">
        <v>0</v>
      </c>
      <c r="BI180" s="2">
        <v>3000</v>
      </c>
      <c r="BJ180" s="2">
        <v>-1500</v>
      </c>
      <c r="BK180" s="2">
        <v>1000</v>
      </c>
      <c r="BL180" s="2">
        <v>1000</v>
      </c>
      <c r="BO180" s="2">
        <f t="shared" si="86"/>
        <v>0</v>
      </c>
      <c r="BP180" s="2">
        <f t="shared" si="93"/>
        <v>0</v>
      </c>
      <c r="BQ180" s="2">
        <f t="shared" si="94"/>
        <v>0</v>
      </c>
      <c r="BR180" s="2">
        <f t="shared" si="95"/>
        <v>0</v>
      </c>
      <c r="BS180" s="2">
        <f t="shared" si="96"/>
        <v>0</v>
      </c>
      <c r="BT180" s="2">
        <f t="shared" si="97"/>
        <v>0</v>
      </c>
      <c r="BU180" s="2">
        <f t="shared" si="98"/>
        <v>0</v>
      </c>
      <c r="BV180" s="2">
        <f t="shared" si="99"/>
        <v>0</v>
      </c>
      <c r="BW180" s="2">
        <f t="shared" si="100"/>
        <v>0</v>
      </c>
      <c r="BX180" s="2">
        <f t="shared" si="101"/>
        <v>0</v>
      </c>
      <c r="BY180" s="2">
        <f t="shared" si="102"/>
        <v>0</v>
      </c>
      <c r="BZ180" s="2">
        <f t="shared" si="103"/>
        <v>0</v>
      </c>
      <c r="CA180" s="2">
        <f t="shared" si="104"/>
        <v>0</v>
      </c>
      <c r="CB180" s="2">
        <f t="shared" si="105"/>
        <v>0</v>
      </c>
      <c r="CC180" s="2">
        <f t="shared" si="106"/>
        <v>0</v>
      </c>
      <c r="CD180" s="2">
        <f t="shared" si="107"/>
        <v>0</v>
      </c>
      <c r="CE180" s="2">
        <f t="shared" si="108"/>
        <v>0</v>
      </c>
      <c r="CF180" s="2">
        <f t="shared" si="109"/>
        <v>-1079.33</v>
      </c>
      <c r="CG180" s="2">
        <f t="shared" si="110"/>
        <v>1543.71</v>
      </c>
      <c r="CH180" s="2">
        <f t="shared" si="111"/>
        <v>-5853.03</v>
      </c>
      <c r="CI180" s="2">
        <f t="shared" si="112"/>
        <v>0</v>
      </c>
      <c r="CJ180" s="2">
        <f t="shared" si="113"/>
        <v>0</v>
      </c>
      <c r="CK180" s="2">
        <f t="shared" si="114"/>
        <v>0</v>
      </c>
      <c r="CL180" s="2">
        <f t="shared" si="115"/>
        <v>0</v>
      </c>
      <c r="CM180" s="2">
        <f t="shared" si="87"/>
        <v>0</v>
      </c>
      <c r="CN180" s="2">
        <f t="shared" si="88"/>
        <v>0</v>
      </c>
      <c r="CO180" s="2">
        <f t="shared" si="89"/>
        <v>0</v>
      </c>
      <c r="CP180" s="2">
        <f t="shared" si="90"/>
        <v>0</v>
      </c>
      <c r="CQ180" s="2">
        <f t="shared" si="91"/>
        <v>0</v>
      </c>
      <c r="CR180" s="2">
        <f t="shared" si="92"/>
        <v>0</v>
      </c>
      <c r="CV180" t="s">
        <v>64</v>
      </c>
      <c r="CW180" t="s">
        <v>253</v>
      </c>
      <c r="CX180" t="s">
        <v>5</v>
      </c>
      <c r="CY180" s="4">
        <v>42900</v>
      </c>
      <c r="CZ180" t="s">
        <v>65</v>
      </c>
      <c r="DA180" t="s">
        <v>66</v>
      </c>
      <c r="DB180">
        <v>10</v>
      </c>
      <c r="DC180">
        <v>29.89</v>
      </c>
      <c r="DD180" t="s">
        <v>69</v>
      </c>
      <c r="DE180" t="s">
        <v>70</v>
      </c>
      <c r="DF180">
        <v>298.89999999999998</v>
      </c>
    </row>
    <row r="181" spans="1:110" x14ac:dyDescent="0.25">
      <c r="A181" s="1">
        <v>42997</v>
      </c>
      <c r="B181">
        <v>155.16</v>
      </c>
      <c r="C181">
        <v>87.34</v>
      </c>
      <c r="D181">
        <v>245.05</v>
      </c>
      <c r="E181">
        <v>120.51</v>
      </c>
      <c r="F181">
        <v>31.02</v>
      </c>
      <c r="G181">
        <v>109.87</v>
      </c>
      <c r="H181">
        <v>96.12</v>
      </c>
      <c r="I181">
        <v>68.08</v>
      </c>
      <c r="J181">
        <v>225.09</v>
      </c>
      <c r="K181">
        <v>153.4</v>
      </c>
      <c r="L181">
        <v>135.19999999999999</v>
      </c>
      <c r="M181">
        <v>35.880000000000003</v>
      </c>
      <c r="N181">
        <v>130.85</v>
      </c>
      <c r="O181">
        <v>90.57</v>
      </c>
      <c r="P181">
        <v>44.08</v>
      </c>
      <c r="Q181">
        <v>152.63</v>
      </c>
      <c r="R181">
        <v>205.58</v>
      </c>
      <c r="S181">
        <v>63.45</v>
      </c>
      <c r="T181">
        <v>73.790000000000006</v>
      </c>
      <c r="U181">
        <v>52.56</v>
      </c>
      <c r="V181">
        <v>33.619999999999997</v>
      </c>
      <c r="W181">
        <v>89.58</v>
      </c>
      <c r="X181">
        <v>117.19</v>
      </c>
      <c r="Y181">
        <v>191.41</v>
      </c>
      <c r="Z181">
        <v>109.84</v>
      </c>
      <c r="AA181">
        <v>104.35</v>
      </c>
      <c r="AB181">
        <v>46.07</v>
      </c>
      <c r="AC181">
        <v>78.37</v>
      </c>
      <c r="AD181">
        <v>77.78</v>
      </c>
      <c r="AE181">
        <v>75.48</v>
      </c>
      <c r="AI181" s="2">
        <v>5000</v>
      </c>
      <c r="AJ181" s="2">
        <f t="shared" si="123"/>
        <v>1120</v>
      </c>
      <c r="AK181" s="2">
        <f t="shared" si="123"/>
        <v>1120</v>
      </c>
      <c r="AL181" s="2">
        <f t="shared" si="123"/>
        <v>1120</v>
      </c>
      <c r="AM181" s="2">
        <f t="shared" si="123"/>
        <v>1120</v>
      </c>
      <c r="AN181" s="2">
        <f t="shared" si="123"/>
        <v>1120</v>
      </c>
      <c r="AO181" s="2">
        <f t="shared" si="123"/>
        <v>1120</v>
      </c>
      <c r="AP181" s="2">
        <f t="shared" si="123"/>
        <v>1000</v>
      </c>
      <c r="AQ181" s="2">
        <v>1000</v>
      </c>
      <c r="AR181" s="2">
        <v>0</v>
      </c>
      <c r="AS181" s="2">
        <v>1000</v>
      </c>
      <c r="AT181" s="2">
        <v>0</v>
      </c>
      <c r="AU181" s="2">
        <v>1000</v>
      </c>
      <c r="AV181" s="2">
        <v>1000</v>
      </c>
      <c r="AW181" s="2">
        <v>0</v>
      </c>
      <c r="AX181" s="2">
        <v>0</v>
      </c>
      <c r="AY181" s="2">
        <v>0</v>
      </c>
      <c r="AZ181" s="2">
        <v>1006</v>
      </c>
      <c r="BA181" s="2">
        <v>951</v>
      </c>
      <c r="BB181" s="2">
        <v>1047</v>
      </c>
      <c r="BC181" s="2">
        <v>-1000</v>
      </c>
      <c r="BD181" s="2">
        <v>-5000</v>
      </c>
      <c r="BE181" s="2">
        <v>5000</v>
      </c>
      <c r="BF181" s="2">
        <v>3000</v>
      </c>
      <c r="BG181" s="2">
        <v>3500</v>
      </c>
      <c r="BH181" s="2">
        <v>0</v>
      </c>
      <c r="BI181" s="2">
        <v>3000</v>
      </c>
      <c r="BJ181" s="2">
        <v>-1500</v>
      </c>
      <c r="BK181" s="2">
        <v>1000</v>
      </c>
      <c r="BL181" s="2">
        <v>1000</v>
      </c>
      <c r="BO181" s="2">
        <f t="shared" si="86"/>
        <v>0</v>
      </c>
      <c r="BP181" s="2">
        <f t="shared" si="93"/>
        <v>0</v>
      </c>
      <c r="BQ181" s="2">
        <f t="shared" si="94"/>
        <v>0</v>
      </c>
      <c r="BR181" s="2">
        <f t="shared" si="95"/>
        <v>0</v>
      </c>
      <c r="BS181" s="2">
        <f t="shared" si="96"/>
        <v>0</v>
      </c>
      <c r="BT181" s="2">
        <f t="shared" si="97"/>
        <v>0</v>
      </c>
      <c r="BU181" s="2">
        <f t="shared" si="98"/>
        <v>0</v>
      </c>
      <c r="BV181" s="2">
        <f t="shared" si="99"/>
        <v>0</v>
      </c>
      <c r="BW181" s="2">
        <f t="shared" si="100"/>
        <v>0</v>
      </c>
      <c r="BX181" s="2">
        <f t="shared" si="101"/>
        <v>0</v>
      </c>
      <c r="BY181" s="2">
        <f t="shared" si="102"/>
        <v>0</v>
      </c>
      <c r="BZ181" s="2">
        <f t="shared" si="103"/>
        <v>0</v>
      </c>
      <c r="CA181" s="2">
        <f t="shared" si="104"/>
        <v>0</v>
      </c>
      <c r="CB181" s="2">
        <f t="shared" si="105"/>
        <v>0</v>
      </c>
      <c r="CC181" s="2">
        <f t="shared" si="106"/>
        <v>0</v>
      </c>
      <c r="CD181" s="2">
        <f t="shared" si="107"/>
        <v>0</v>
      </c>
      <c r="CE181" s="2">
        <f t="shared" si="108"/>
        <v>0</v>
      </c>
      <c r="CF181" s="2">
        <f t="shared" si="109"/>
        <v>-1332.45</v>
      </c>
      <c r="CG181" s="2">
        <f t="shared" si="110"/>
        <v>4353.6100000000006</v>
      </c>
      <c r="CH181" s="2">
        <f t="shared" si="111"/>
        <v>2733.12</v>
      </c>
      <c r="CI181" s="2">
        <f t="shared" si="112"/>
        <v>0</v>
      </c>
      <c r="CJ181" s="2">
        <f t="shared" si="113"/>
        <v>0</v>
      </c>
      <c r="CK181" s="2">
        <f t="shared" si="114"/>
        <v>0</v>
      </c>
      <c r="CL181" s="2">
        <f t="shared" si="115"/>
        <v>0</v>
      </c>
      <c r="CM181" s="2">
        <f t="shared" si="87"/>
        <v>0</v>
      </c>
      <c r="CN181" s="2">
        <f t="shared" si="88"/>
        <v>0</v>
      </c>
      <c r="CO181" s="2">
        <f t="shared" si="89"/>
        <v>0</v>
      </c>
      <c r="CP181" s="2">
        <f t="shared" si="90"/>
        <v>0</v>
      </c>
      <c r="CQ181" s="2">
        <f t="shared" si="91"/>
        <v>0</v>
      </c>
      <c r="CR181" s="2">
        <f t="shared" si="92"/>
        <v>0</v>
      </c>
      <c r="CV181" t="s">
        <v>64</v>
      </c>
      <c r="CW181" t="s">
        <v>254</v>
      </c>
      <c r="CX181" t="s">
        <v>5</v>
      </c>
      <c r="CY181" s="4">
        <v>42921</v>
      </c>
      <c r="CZ181" t="s">
        <v>65</v>
      </c>
      <c r="DA181" t="s">
        <v>66</v>
      </c>
      <c r="DB181">
        <v>10</v>
      </c>
      <c r="DC181">
        <v>29.7</v>
      </c>
      <c r="DD181" t="s">
        <v>69</v>
      </c>
      <c r="DE181" t="s">
        <v>70</v>
      </c>
      <c r="DF181">
        <v>297</v>
      </c>
    </row>
    <row r="182" spans="1:110" x14ac:dyDescent="0.25">
      <c r="A182" s="1">
        <v>42998</v>
      </c>
      <c r="B182">
        <v>152.56</v>
      </c>
      <c r="C182">
        <v>86.78</v>
      </c>
      <c r="D182">
        <v>247.96</v>
      </c>
      <c r="E182">
        <v>120.62</v>
      </c>
      <c r="F182">
        <v>31.13</v>
      </c>
      <c r="G182">
        <v>109.9</v>
      </c>
      <c r="H182">
        <v>96.88</v>
      </c>
      <c r="I182">
        <v>68.430000000000007</v>
      </c>
      <c r="J182">
        <v>225.96</v>
      </c>
      <c r="K182">
        <v>154.38999999999999</v>
      </c>
      <c r="L182">
        <v>136.59</v>
      </c>
      <c r="M182">
        <v>35.72</v>
      </c>
      <c r="N182">
        <v>128.91</v>
      </c>
      <c r="O182">
        <v>91.2</v>
      </c>
      <c r="P182">
        <v>43.89</v>
      </c>
      <c r="Q182">
        <v>155.01</v>
      </c>
      <c r="R182">
        <v>202.64</v>
      </c>
      <c r="S182">
        <v>63.3</v>
      </c>
      <c r="T182">
        <v>73.3</v>
      </c>
      <c r="U182">
        <v>52.79</v>
      </c>
      <c r="V182">
        <v>34.14</v>
      </c>
      <c r="W182">
        <v>89.8</v>
      </c>
      <c r="X182">
        <v>118.48</v>
      </c>
      <c r="Y182">
        <v>192.5</v>
      </c>
      <c r="Z182">
        <v>110.27</v>
      </c>
      <c r="AA182">
        <v>103.91</v>
      </c>
      <c r="AB182">
        <v>46.2</v>
      </c>
      <c r="AC182">
        <v>76.09</v>
      </c>
      <c r="AD182">
        <v>78.22</v>
      </c>
      <c r="AE182">
        <v>75.790000000000006</v>
      </c>
      <c r="AI182" s="2">
        <v>5000</v>
      </c>
      <c r="AJ182" s="2">
        <f t="shared" si="123"/>
        <v>1120</v>
      </c>
      <c r="AK182" s="2">
        <f t="shared" si="123"/>
        <v>1120</v>
      </c>
      <c r="AL182" s="2">
        <f t="shared" si="123"/>
        <v>1120</v>
      </c>
      <c r="AM182" s="2">
        <f t="shared" si="123"/>
        <v>1120</v>
      </c>
      <c r="AN182" s="2">
        <f t="shared" si="123"/>
        <v>1120</v>
      </c>
      <c r="AO182" s="2">
        <f t="shared" si="123"/>
        <v>1120</v>
      </c>
      <c r="AP182" s="2">
        <f t="shared" si="123"/>
        <v>1000</v>
      </c>
      <c r="AQ182" s="2">
        <v>1000</v>
      </c>
      <c r="AR182" s="2">
        <v>0</v>
      </c>
      <c r="AS182" s="2">
        <v>1000</v>
      </c>
      <c r="AT182" s="2">
        <v>0</v>
      </c>
      <c r="AU182" s="2">
        <v>1000</v>
      </c>
      <c r="AV182" s="2">
        <v>1000</v>
      </c>
      <c r="AW182" s="2">
        <v>0</v>
      </c>
      <c r="AX182" s="2">
        <v>0</v>
      </c>
      <c r="AY182" s="2">
        <v>0</v>
      </c>
      <c r="AZ182" s="2">
        <v>1012</v>
      </c>
      <c r="BA182" s="2">
        <v>1090</v>
      </c>
      <c r="BB182" s="2">
        <v>940</v>
      </c>
      <c r="BC182" s="2">
        <v>-1000</v>
      </c>
      <c r="BD182" s="2">
        <v>-5000</v>
      </c>
      <c r="BE182" s="2">
        <v>5000</v>
      </c>
      <c r="BF182" s="2">
        <v>3000</v>
      </c>
      <c r="BG182" s="2">
        <v>4250</v>
      </c>
      <c r="BH182" s="2">
        <v>0</v>
      </c>
      <c r="BI182" s="2">
        <v>3000</v>
      </c>
      <c r="BJ182" s="2">
        <v>-1500</v>
      </c>
      <c r="BK182" s="2">
        <v>1000</v>
      </c>
      <c r="BL182" s="2">
        <v>1000</v>
      </c>
      <c r="BO182" s="2">
        <f t="shared" si="86"/>
        <v>0</v>
      </c>
      <c r="BP182" s="2">
        <f t="shared" si="93"/>
        <v>0</v>
      </c>
      <c r="BQ182" s="2">
        <f t="shared" si="94"/>
        <v>0</v>
      </c>
      <c r="BR182" s="2">
        <f t="shared" si="95"/>
        <v>0</v>
      </c>
      <c r="BS182" s="2">
        <f t="shared" si="96"/>
        <v>0</v>
      </c>
      <c r="BT182" s="2">
        <f t="shared" si="97"/>
        <v>0</v>
      </c>
      <c r="BU182" s="2">
        <f t="shared" si="98"/>
        <v>0</v>
      </c>
      <c r="BV182" s="2">
        <f t="shared" si="99"/>
        <v>0</v>
      </c>
      <c r="BW182" s="2">
        <f t="shared" si="100"/>
        <v>0</v>
      </c>
      <c r="BX182" s="2">
        <f t="shared" si="101"/>
        <v>0</v>
      </c>
      <c r="BY182" s="2">
        <f t="shared" si="102"/>
        <v>0</v>
      </c>
      <c r="BZ182" s="2">
        <f t="shared" si="103"/>
        <v>0</v>
      </c>
      <c r="CA182" s="2">
        <f t="shared" si="104"/>
        <v>0</v>
      </c>
      <c r="CB182" s="2">
        <f t="shared" si="105"/>
        <v>0</v>
      </c>
      <c r="CC182" s="2">
        <f t="shared" si="106"/>
        <v>0</v>
      </c>
      <c r="CD182" s="2">
        <f t="shared" si="107"/>
        <v>0</v>
      </c>
      <c r="CE182" s="2">
        <f t="shared" si="108"/>
        <v>0</v>
      </c>
      <c r="CF182" s="2">
        <f t="shared" si="109"/>
        <v>-379.79999999999995</v>
      </c>
      <c r="CG182" s="2">
        <f t="shared" si="110"/>
        <v>-10188.699999999999</v>
      </c>
      <c r="CH182" s="2">
        <f t="shared" si="111"/>
        <v>5648.53</v>
      </c>
      <c r="CI182" s="2">
        <f t="shared" si="112"/>
        <v>0</v>
      </c>
      <c r="CJ182" s="2">
        <f t="shared" si="113"/>
        <v>0</v>
      </c>
      <c r="CK182" s="2">
        <f t="shared" si="114"/>
        <v>0</v>
      </c>
      <c r="CL182" s="2">
        <f t="shared" si="115"/>
        <v>0</v>
      </c>
      <c r="CM182" s="2">
        <f t="shared" si="87"/>
        <v>-82702.5</v>
      </c>
      <c r="CN182" s="2">
        <f t="shared" si="88"/>
        <v>0</v>
      </c>
      <c r="CO182" s="2">
        <f t="shared" si="89"/>
        <v>0</v>
      </c>
      <c r="CP182" s="2">
        <f t="shared" si="90"/>
        <v>0</v>
      </c>
      <c r="CQ182" s="2">
        <f t="shared" si="91"/>
        <v>0</v>
      </c>
      <c r="CR182" s="2">
        <f t="shared" si="92"/>
        <v>0</v>
      </c>
      <c r="CV182" t="s">
        <v>64</v>
      </c>
      <c r="CW182" t="s">
        <v>255</v>
      </c>
      <c r="CX182" t="s">
        <v>5</v>
      </c>
      <c r="CY182" s="4">
        <v>42941</v>
      </c>
      <c r="CZ182" t="s">
        <v>65</v>
      </c>
      <c r="DA182" t="s">
        <v>66</v>
      </c>
      <c r="DB182">
        <v>10</v>
      </c>
      <c r="DC182">
        <v>30.67</v>
      </c>
      <c r="DD182" t="s">
        <v>69</v>
      </c>
      <c r="DE182" t="s">
        <v>70</v>
      </c>
      <c r="DF182">
        <v>306.70000000000005</v>
      </c>
    </row>
    <row r="183" spans="1:110" x14ac:dyDescent="0.25">
      <c r="A183" s="1">
        <v>42999</v>
      </c>
      <c r="B183">
        <v>149.94</v>
      </c>
      <c r="C183">
        <v>86.77</v>
      </c>
      <c r="D183">
        <v>248.52</v>
      </c>
      <c r="E183">
        <v>120.56</v>
      </c>
      <c r="F183">
        <v>31.22</v>
      </c>
      <c r="G183">
        <v>110</v>
      </c>
      <c r="H183">
        <v>96.57</v>
      </c>
      <c r="I183">
        <v>68.34</v>
      </c>
      <c r="J183">
        <v>227.43</v>
      </c>
      <c r="K183">
        <v>154.88999999999999</v>
      </c>
      <c r="L183">
        <v>136.01</v>
      </c>
      <c r="M183">
        <v>35.85</v>
      </c>
      <c r="N183">
        <v>127.49</v>
      </c>
      <c r="O183">
        <v>91.62</v>
      </c>
      <c r="P183">
        <v>43.53</v>
      </c>
      <c r="Q183">
        <v>154.18</v>
      </c>
      <c r="R183">
        <v>202.57</v>
      </c>
      <c r="S183">
        <v>63.11</v>
      </c>
      <c r="T183">
        <v>72.58</v>
      </c>
      <c r="U183">
        <v>52.42</v>
      </c>
      <c r="V183">
        <v>34.119999999999997</v>
      </c>
      <c r="W183">
        <v>88.12</v>
      </c>
      <c r="X183">
        <v>118.07</v>
      </c>
      <c r="Y183">
        <v>191.96</v>
      </c>
      <c r="Z183">
        <v>110.66</v>
      </c>
      <c r="AA183">
        <v>104.25</v>
      </c>
      <c r="AB183">
        <v>45.69</v>
      </c>
      <c r="AC183">
        <v>75.47</v>
      </c>
      <c r="AD183">
        <v>77.75</v>
      </c>
      <c r="AE183">
        <v>75.17</v>
      </c>
      <c r="AI183" s="2">
        <v>5000</v>
      </c>
      <c r="AJ183" s="2">
        <f t="shared" si="123"/>
        <v>1120</v>
      </c>
      <c r="AK183" s="2">
        <f t="shared" si="123"/>
        <v>1120</v>
      </c>
      <c r="AL183" s="2">
        <f t="shared" si="123"/>
        <v>1120</v>
      </c>
      <c r="AM183" s="2">
        <f t="shared" si="123"/>
        <v>1120</v>
      </c>
      <c r="AN183" s="2">
        <f t="shared" si="123"/>
        <v>1120</v>
      </c>
      <c r="AO183" s="2">
        <f t="shared" si="123"/>
        <v>1120</v>
      </c>
      <c r="AP183" s="2">
        <f t="shared" si="123"/>
        <v>1000</v>
      </c>
      <c r="AQ183" s="2">
        <v>1000</v>
      </c>
      <c r="AR183" s="2">
        <v>0</v>
      </c>
      <c r="AS183" s="2">
        <v>1000</v>
      </c>
      <c r="AT183" s="2">
        <v>0</v>
      </c>
      <c r="AU183" s="2">
        <v>1000</v>
      </c>
      <c r="AV183" s="2">
        <v>1000</v>
      </c>
      <c r="AW183" s="2">
        <v>0</v>
      </c>
      <c r="AX183" s="2">
        <v>0</v>
      </c>
      <c r="AY183" s="2">
        <v>0</v>
      </c>
      <c r="AZ183" s="2">
        <v>1024</v>
      </c>
      <c r="BA183" s="2">
        <v>1078</v>
      </c>
      <c r="BB183" s="2">
        <v>1003</v>
      </c>
      <c r="BC183" s="2">
        <v>-1000</v>
      </c>
      <c r="BD183" s="2">
        <v>-5000</v>
      </c>
      <c r="BE183" s="2">
        <v>5000</v>
      </c>
      <c r="BF183" s="2">
        <v>3000</v>
      </c>
      <c r="BG183" s="2">
        <v>4250</v>
      </c>
      <c r="BH183" s="2">
        <v>0</v>
      </c>
      <c r="BI183" s="2">
        <v>3000</v>
      </c>
      <c r="BJ183" s="2">
        <v>-1500</v>
      </c>
      <c r="BK183" s="2">
        <v>1000</v>
      </c>
      <c r="BL183" s="2">
        <v>1000</v>
      </c>
      <c r="BO183" s="2">
        <f t="shared" si="86"/>
        <v>0</v>
      </c>
      <c r="BP183" s="2">
        <f t="shared" si="93"/>
        <v>0</v>
      </c>
      <c r="BQ183" s="2">
        <f t="shared" si="94"/>
        <v>0</v>
      </c>
      <c r="BR183" s="2">
        <f t="shared" si="95"/>
        <v>0</v>
      </c>
      <c r="BS183" s="2">
        <f t="shared" si="96"/>
        <v>0</v>
      </c>
      <c r="BT183" s="2">
        <f t="shared" si="97"/>
        <v>0</v>
      </c>
      <c r="BU183" s="2">
        <f t="shared" si="98"/>
        <v>0</v>
      </c>
      <c r="BV183" s="2">
        <f t="shared" si="99"/>
        <v>0</v>
      </c>
      <c r="BW183" s="2">
        <f t="shared" si="100"/>
        <v>0</v>
      </c>
      <c r="BX183" s="2">
        <f t="shared" si="101"/>
        <v>0</v>
      </c>
      <c r="BY183" s="2">
        <f t="shared" si="102"/>
        <v>0</v>
      </c>
      <c r="BZ183" s="2">
        <f t="shared" si="103"/>
        <v>0</v>
      </c>
      <c r="CA183" s="2">
        <f t="shared" si="104"/>
        <v>0</v>
      </c>
      <c r="CB183" s="2">
        <f t="shared" si="105"/>
        <v>0</v>
      </c>
      <c r="CC183" s="2">
        <f t="shared" si="106"/>
        <v>0</v>
      </c>
      <c r="CD183" s="2">
        <f t="shared" si="107"/>
        <v>0</v>
      </c>
      <c r="CE183" s="2">
        <f t="shared" si="108"/>
        <v>0</v>
      </c>
      <c r="CF183" s="2">
        <f t="shared" si="109"/>
        <v>-757.31999999999994</v>
      </c>
      <c r="CG183" s="2">
        <f t="shared" si="110"/>
        <v>870.96</v>
      </c>
      <c r="CH183" s="2">
        <f t="shared" si="111"/>
        <v>-3302.46</v>
      </c>
      <c r="CI183" s="2">
        <f t="shared" si="112"/>
        <v>0</v>
      </c>
      <c r="CJ183" s="2">
        <f t="shared" si="113"/>
        <v>0</v>
      </c>
      <c r="CK183" s="2">
        <f t="shared" si="114"/>
        <v>0</v>
      </c>
      <c r="CL183" s="2">
        <f t="shared" si="115"/>
        <v>0</v>
      </c>
      <c r="CM183" s="2">
        <f t="shared" si="87"/>
        <v>0</v>
      </c>
      <c r="CN183" s="2">
        <f t="shared" si="88"/>
        <v>0</v>
      </c>
      <c r="CO183" s="2">
        <f t="shared" si="89"/>
        <v>0</v>
      </c>
      <c r="CP183" s="2">
        <f t="shared" si="90"/>
        <v>0</v>
      </c>
      <c r="CQ183" s="2">
        <f t="shared" si="91"/>
        <v>0</v>
      </c>
      <c r="CR183" s="2">
        <f t="shared" si="92"/>
        <v>0</v>
      </c>
      <c r="CV183" t="s">
        <v>64</v>
      </c>
      <c r="CW183" t="s">
        <v>256</v>
      </c>
      <c r="CX183" t="s">
        <v>5</v>
      </c>
      <c r="CY183" s="4">
        <v>42961</v>
      </c>
      <c r="CZ183" t="s">
        <v>65</v>
      </c>
      <c r="DA183" t="s">
        <v>66</v>
      </c>
      <c r="DB183">
        <v>10</v>
      </c>
      <c r="DC183">
        <v>30.4</v>
      </c>
      <c r="DD183" t="s">
        <v>69</v>
      </c>
      <c r="DE183" t="s">
        <v>70</v>
      </c>
      <c r="DF183">
        <v>304</v>
      </c>
    </row>
    <row r="184" spans="1:110" x14ac:dyDescent="0.25">
      <c r="A184" s="1">
        <v>43000</v>
      </c>
      <c r="B184">
        <v>148.47</v>
      </c>
      <c r="C184">
        <v>86.75</v>
      </c>
      <c r="D184">
        <v>248.92</v>
      </c>
      <c r="E184">
        <v>120.21</v>
      </c>
      <c r="F184">
        <v>31.86</v>
      </c>
      <c r="G184">
        <v>110.77</v>
      </c>
      <c r="H184">
        <v>96.29</v>
      </c>
      <c r="I184">
        <v>67.989999999999995</v>
      </c>
      <c r="J184">
        <v>227.18</v>
      </c>
      <c r="K184">
        <v>155.65</v>
      </c>
      <c r="L184">
        <v>135.88999999999999</v>
      </c>
      <c r="M184">
        <v>35.83</v>
      </c>
      <c r="N184">
        <v>127.14</v>
      </c>
      <c r="O184">
        <v>91.42</v>
      </c>
      <c r="P184">
        <v>43.61</v>
      </c>
      <c r="Q184">
        <v>154.07</v>
      </c>
      <c r="R184">
        <v>202.88</v>
      </c>
      <c r="S184">
        <v>62.66</v>
      </c>
      <c r="T184">
        <v>72.78</v>
      </c>
      <c r="U184">
        <v>52.47</v>
      </c>
      <c r="V184">
        <v>34.11</v>
      </c>
      <c r="W184">
        <v>87.74</v>
      </c>
      <c r="X184">
        <v>118.6</v>
      </c>
      <c r="Y184">
        <v>189.82</v>
      </c>
      <c r="Z184">
        <v>111.15</v>
      </c>
      <c r="AA184">
        <v>104.49</v>
      </c>
      <c r="AB184">
        <v>46.59</v>
      </c>
      <c r="AC184">
        <v>75.67</v>
      </c>
      <c r="AD184">
        <v>77.28</v>
      </c>
      <c r="AE184">
        <v>75.2</v>
      </c>
      <c r="AI184" s="2">
        <v>5000</v>
      </c>
      <c r="AJ184" s="2">
        <f t="shared" ref="AJ184:AP184" si="124">AJ183+10</f>
        <v>1130</v>
      </c>
      <c r="AK184" s="2">
        <f t="shared" si="124"/>
        <v>1130</v>
      </c>
      <c r="AL184" s="2">
        <f t="shared" si="124"/>
        <v>1130</v>
      </c>
      <c r="AM184" s="2">
        <f t="shared" si="124"/>
        <v>1130</v>
      </c>
      <c r="AN184" s="2">
        <f t="shared" si="124"/>
        <v>1130</v>
      </c>
      <c r="AO184" s="2">
        <f t="shared" si="124"/>
        <v>1130</v>
      </c>
      <c r="AP184" s="2">
        <f t="shared" si="124"/>
        <v>1010</v>
      </c>
      <c r="AQ184" s="2">
        <v>1000</v>
      </c>
      <c r="AR184" s="2">
        <v>0</v>
      </c>
      <c r="AS184" s="2">
        <v>1000</v>
      </c>
      <c r="AT184" s="2">
        <v>0</v>
      </c>
      <c r="AU184" s="2">
        <v>1000</v>
      </c>
      <c r="AV184" s="2">
        <v>1000</v>
      </c>
      <c r="AW184" s="2">
        <v>0</v>
      </c>
      <c r="AX184" s="2">
        <v>0</v>
      </c>
      <c r="AY184" s="2">
        <v>0</v>
      </c>
      <c r="AZ184" s="2">
        <v>1047</v>
      </c>
      <c r="BA184" s="2">
        <v>967</v>
      </c>
      <c r="BB184" s="2">
        <v>1091</v>
      </c>
      <c r="BC184" s="2">
        <v>-1000</v>
      </c>
      <c r="BD184" s="2">
        <v>-5000</v>
      </c>
      <c r="BE184" s="2">
        <v>5000</v>
      </c>
      <c r="BF184" s="2">
        <v>3000</v>
      </c>
      <c r="BG184" s="2">
        <v>5000</v>
      </c>
      <c r="BH184" s="2">
        <v>0</v>
      </c>
      <c r="BI184" s="2">
        <v>3000</v>
      </c>
      <c r="BJ184" s="2">
        <v>-1500</v>
      </c>
      <c r="BK184" s="2">
        <v>1000</v>
      </c>
      <c r="BL184" s="2">
        <v>1000</v>
      </c>
      <c r="BO184" s="2">
        <f t="shared" si="86"/>
        <v>0</v>
      </c>
      <c r="BP184" s="2">
        <f t="shared" si="93"/>
        <v>-867.5</v>
      </c>
      <c r="BQ184" s="2">
        <f t="shared" si="94"/>
        <v>-2489.1999999999998</v>
      </c>
      <c r="BR184" s="2">
        <f t="shared" si="95"/>
        <v>-1202.0999999999999</v>
      </c>
      <c r="BS184" s="2">
        <f t="shared" si="96"/>
        <v>-318.60000000000002</v>
      </c>
      <c r="BT184" s="2">
        <f t="shared" si="97"/>
        <v>-1107.7</v>
      </c>
      <c r="BU184" s="2">
        <f t="shared" si="98"/>
        <v>-962.90000000000009</v>
      </c>
      <c r="BV184" s="2">
        <f t="shared" si="99"/>
        <v>-679.9</v>
      </c>
      <c r="BW184" s="2">
        <f t="shared" si="100"/>
        <v>0</v>
      </c>
      <c r="BX184" s="2">
        <f t="shared" si="101"/>
        <v>0</v>
      </c>
      <c r="BY184" s="2">
        <f t="shared" si="102"/>
        <v>0</v>
      </c>
      <c r="BZ184" s="2">
        <f t="shared" si="103"/>
        <v>0</v>
      </c>
      <c r="CA184" s="2">
        <f t="shared" si="104"/>
        <v>0</v>
      </c>
      <c r="CB184" s="2">
        <f t="shared" si="105"/>
        <v>0</v>
      </c>
      <c r="CC184" s="2">
        <f t="shared" si="106"/>
        <v>0</v>
      </c>
      <c r="CD184" s="2">
        <f t="shared" si="107"/>
        <v>0</v>
      </c>
      <c r="CE184" s="2">
        <f t="shared" si="108"/>
        <v>0</v>
      </c>
      <c r="CF184" s="2">
        <f t="shared" si="109"/>
        <v>-1441.1799999999998</v>
      </c>
      <c r="CG184" s="2">
        <f t="shared" si="110"/>
        <v>8078.58</v>
      </c>
      <c r="CH184" s="2">
        <f t="shared" si="111"/>
        <v>-4617.3599999999997</v>
      </c>
      <c r="CI184" s="2">
        <f t="shared" si="112"/>
        <v>0</v>
      </c>
      <c r="CJ184" s="2">
        <f t="shared" si="113"/>
        <v>0</v>
      </c>
      <c r="CK184" s="2">
        <f t="shared" si="114"/>
        <v>0</v>
      </c>
      <c r="CL184" s="2">
        <f t="shared" si="115"/>
        <v>0</v>
      </c>
      <c r="CM184" s="2">
        <f t="shared" si="87"/>
        <v>-83362.5</v>
      </c>
      <c r="CN184" s="2">
        <f t="shared" si="88"/>
        <v>0</v>
      </c>
      <c r="CO184" s="2">
        <f t="shared" si="89"/>
        <v>0</v>
      </c>
      <c r="CP184" s="2">
        <f t="shared" si="90"/>
        <v>0</v>
      </c>
      <c r="CQ184" s="2">
        <f t="shared" si="91"/>
        <v>0</v>
      </c>
      <c r="CR184" s="2">
        <f t="shared" si="92"/>
        <v>0</v>
      </c>
      <c r="CV184" t="s">
        <v>64</v>
      </c>
      <c r="CW184" t="s">
        <v>257</v>
      </c>
      <c r="CX184" t="s">
        <v>5</v>
      </c>
      <c r="CY184" s="4">
        <v>42979</v>
      </c>
      <c r="CZ184" t="s">
        <v>65</v>
      </c>
      <c r="DA184" t="s">
        <v>66</v>
      </c>
      <c r="DB184">
        <v>10</v>
      </c>
      <c r="DC184">
        <v>30.84</v>
      </c>
      <c r="DD184" t="s">
        <v>69</v>
      </c>
      <c r="DE184" t="s">
        <v>70</v>
      </c>
      <c r="DF184">
        <v>308.39999999999998</v>
      </c>
    </row>
    <row r="185" spans="1:110" x14ac:dyDescent="0.25">
      <c r="A185" s="1">
        <v>43003</v>
      </c>
      <c r="B185">
        <v>147.16</v>
      </c>
      <c r="C185">
        <v>86.57</v>
      </c>
      <c r="D185">
        <v>246.85</v>
      </c>
      <c r="E185">
        <v>120.11</v>
      </c>
      <c r="F185">
        <v>32.200000000000003</v>
      </c>
      <c r="G185">
        <v>111.43</v>
      </c>
      <c r="H185">
        <v>97.23</v>
      </c>
      <c r="I185">
        <v>68.36</v>
      </c>
      <c r="J185">
        <v>226.42</v>
      </c>
      <c r="K185">
        <v>156.75</v>
      </c>
      <c r="L185">
        <v>136.59</v>
      </c>
      <c r="M185">
        <v>35.81</v>
      </c>
      <c r="N185">
        <v>126.93</v>
      </c>
      <c r="O185">
        <v>90.74</v>
      </c>
      <c r="P185">
        <v>43.8</v>
      </c>
      <c r="Q185">
        <v>151.5</v>
      </c>
      <c r="R185">
        <v>202.85</v>
      </c>
      <c r="S185">
        <v>62.71</v>
      </c>
      <c r="T185">
        <v>71.650000000000006</v>
      </c>
      <c r="U185">
        <v>52.46</v>
      </c>
      <c r="V185">
        <v>33.68</v>
      </c>
      <c r="W185">
        <v>88.2</v>
      </c>
      <c r="X185">
        <v>119.22</v>
      </c>
      <c r="Y185">
        <v>188.56</v>
      </c>
      <c r="Z185">
        <v>110.46</v>
      </c>
      <c r="AA185">
        <v>101.98</v>
      </c>
      <c r="AB185">
        <v>46.59</v>
      </c>
      <c r="AC185">
        <v>76.2</v>
      </c>
      <c r="AD185">
        <v>76.91</v>
      </c>
      <c r="AE185">
        <v>76.2</v>
      </c>
      <c r="AI185" s="2">
        <v>5000</v>
      </c>
      <c r="AJ185" s="2">
        <f t="shared" ref="AJ185:AP185" si="125">AJ184</f>
        <v>1130</v>
      </c>
      <c r="AK185" s="2">
        <f t="shared" si="125"/>
        <v>1130</v>
      </c>
      <c r="AL185" s="2">
        <f t="shared" si="125"/>
        <v>1130</v>
      </c>
      <c r="AM185" s="2">
        <f t="shared" si="125"/>
        <v>1130</v>
      </c>
      <c r="AN185" s="2">
        <f t="shared" si="125"/>
        <v>1130</v>
      </c>
      <c r="AO185" s="2">
        <f t="shared" si="125"/>
        <v>1130</v>
      </c>
      <c r="AP185" s="2">
        <f t="shared" si="125"/>
        <v>1010</v>
      </c>
      <c r="AQ185" s="2">
        <v>1000</v>
      </c>
      <c r="AR185" s="2">
        <v>0</v>
      </c>
      <c r="AS185" s="2">
        <v>1000</v>
      </c>
      <c r="AT185" s="2">
        <v>0</v>
      </c>
      <c r="AU185" s="2">
        <v>1000</v>
      </c>
      <c r="AV185" s="2">
        <v>1000</v>
      </c>
      <c r="AW185" s="2">
        <v>0</v>
      </c>
      <c r="AX185" s="2">
        <v>0</v>
      </c>
      <c r="AY185" s="2">
        <v>0</v>
      </c>
      <c r="AZ185" s="2">
        <v>977</v>
      </c>
      <c r="BA185" s="2">
        <v>930</v>
      </c>
      <c r="BB185" s="2">
        <v>1003</v>
      </c>
      <c r="BC185" s="2">
        <v>-1000</v>
      </c>
      <c r="BD185" s="2">
        <v>-5000</v>
      </c>
      <c r="BE185" s="2">
        <v>5000</v>
      </c>
      <c r="BF185" s="2">
        <v>3000</v>
      </c>
      <c r="BG185" s="2">
        <v>5000</v>
      </c>
      <c r="BH185" s="2">
        <v>2500</v>
      </c>
      <c r="BI185" s="2">
        <v>3000</v>
      </c>
      <c r="BJ185" s="2">
        <v>-1500</v>
      </c>
      <c r="BK185" s="2">
        <v>1000</v>
      </c>
      <c r="BL185" s="2">
        <v>1000</v>
      </c>
      <c r="BO185" s="2">
        <f t="shared" si="86"/>
        <v>0</v>
      </c>
      <c r="BP185" s="2">
        <f t="shared" si="93"/>
        <v>0</v>
      </c>
      <c r="BQ185" s="2">
        <f t="shared" si="94"/>
        <v>0</v>
      </c>
      <c r="BR185" s="2">
        <f t="shared" si="95"/>
        <v>0</v>
      </c>
      <c r="BS185" s="2">
        <f t="shared" si="96"/>
        <v>0</v>
      </c>
      <c r="BT185" s="2">
        <f t="shared" si="97"/>
        <v>0</v>
      </c>
      <c r="BU185" s="2">
        <f t="shared" si="98"/>
        <v>0</v>
      </c>
      <c r="BV185" s="2">
        <f t="shared" si="99"/>
        <v>0</v>
      </c>
      <c r="BW185" s="2">
        <f t="shared" si="100"/>
        <v>0</v>
      </c>
      <c r="BX185" s="2">
        <f t="shared" si="101"/>
        <v>0</v>
      </c>
      <c r="BY185" s="2">
        <f t="shared" si="102"/>
        <v>0</v>
      </c>
      <c r="BZ185" s="2">
        <f t="shared" si="103"/>
        <v>0</v>
      </c>
      <c r="CA185" s="2">
        <f t="shared" si="104"/>
        <v>0</v>
      </c>
      <c r="CB185" s="2">
        <f t="shared" si="105"/>
        <v>0</v>
      </c>
      <c r="CC185" s="2">
        <f t="shared" si="106"/>
        <v>0</v>
      </c>
      <c r="CD185" s="2">
        <f t="shared" si="107"/>
        <v>0</v>
      </c>
      <c r="CE185" s="2">
        <f t="shared" si="108"/>
        <v>0</v>
      </c>
      <c r="CF185" s="2">
        <f t="shared" si="109"/>
        <v>4389.7</v>
      </c>
      <c r="CG185" s="2">
        <f t="shared" si="110"/>
        <v>2651.05</v>
      </c>
      <c r="CH185" s="2">
        <f t="shared" si="111"/>
        <v>4616.4800000000005</v>
      </c>
      <c r="CI185" s="2">
        <f t="shared" si="112"/>
        <v>0</v>
      </c>
      <c r="CJ185" s="2">
        <f t="shared" si="113"/>
        <v>0</v>
      </c>
      <c r="CK185" s="2">
        <f t="shared" si="114"/>
        <v>0</v>
      </c>
      <c r="CL185" s="2">
        <f t="shared" si="115"/>
        <v>0</v>
      </c>
      <c r="CM185" s="2">
        <f t="shared" si="87"/>
        <v>0</v>
      </c>
      <c r="CN185" s="2">
        <f t="shared" si="88"/>
        <v>-254950</v>
      </c>
      <c r="CO185" s="2">
        <f t="shared" si="89"/>
        <v>0</v>
      </c>
      <c r="CP185" s="2">
        <f t="shared" si="90"/>
        <v>0</v>
      </c>
      <c r="CQ185" s="2">
        <f t="shared" si="91"/>
        <v>0</v>
      </c>
      <c r="CR185" s="2">
        <f t="shared" si="92"/>
        <v>0</v>
      </c>
      <c r="CV185" t="s">
        <v>64</v>
      </c>
      <c r="CW185" t="s">
        <v>258</v>
      </c>
      <c r="CX185" t="s">
        <v>5</v>
      </c>
      <c r="CY185" s="4">
        <v>43000</v>
      </c>
      <c r="CZ185" t="s">
        <v>65</v>
      </c>
      <c r="DA185" t="s">
        <v>66</v>
      </c>
      <c r="DB185">
        <v>10</v>
      </c>
      <c r="DC185">
        <v>31.86</v>
      </c>
      <c r="DD185" t="s">
        <v>69</v>
      </c>
      <c r="DE185" t="s">
        <v>70</v>
      </c>
      <c r="DF185">
        <v>318.60000000000002</v>
      </c>
    </row>
    <row r="186" spans="1:110" x14ac:dyDescent="0.25">
      <c r="A186" s="1">
        <v>43004</v>
      </c>
      <c r="B186">
        <v>149.69</v>
      </c>
      <c r="C186">
        <v>87.04</v>
      </c>
      <c r="D186">
        <v>246.25</v>
      </c>
      <c r="E186">
        <v>120.29</v>
      </c>
      <c r="F186">
        <v>32.229999999999997</v>
      </c>
      <c r="G186">
        <v>110.99</v>
      </c>
      <c r="H186">
        <v>96.32</v>
      </c>
      <c r="I186">
        <v>67.400000000000006</v>
      </c>
      <c r="J186">
        <v>226.11</v>
      </c>
      <c r="K186">
        <v>156.9</v>
      </c>
      <c r="L186">
        <v>137.22999999999999</v>
      </c>
      <c r="M186">
        <v>36.11</v>
      </c>
      <c r="N186">
        <v>126.71</v>
      </c>
      <c r="O186">
        <v>90.34</v>
      </c>
      <c r="P186">
        <v>43.69</v>
      </c>
      <c r="Q186">
        <v>148.68</v>
      </c>
      <c r="R186">
        <v>203.14</v>
      </c>
      <c r="S186">
        <v>62.3</v>
      </c>
      <c r="T186">
        <v>71.650000000000006</v>
      </c>
      <c r="U186">
        <v>52.92</v>
      </c>
      <c r="V186">
        <v>33.479999999999997</v>
      </c>
      <c r="W186">
        <v>88.13</v>
      </c>
      <c r="X186">
        <v>119.12</v>
      </c>
      <c r="Y186">
        <v>189.5</v>
      </c>
      <c r="Z186">
        <v>110.87</v>
      </c>
      <c r="AA186">
        <v>101.9</v>
      </c>
      <c r="AB186">
        <v>46.22</v>
      </c>
      <c r="AC186">
        <v>76.319999999999993</v>
      </c>
      <c r="AD186">
        <v>77.14</v>
      </c>
      <c r="AE186">
        <v>76.11</v>
      </c>
      <c r="AI186" s="2">
        <v>5000</v>
      </c>
      <c r="AJ186" s="2">
        <f t="shared" si="123"/>
        <v>1130</v>
      </c>
      <c r="AK186" s="2">
        <f t="shared" si="123"/>
        <v>1130</v>
      </c>
      <c r="AL186" s="2">
        <f t="shared" si="123"/>
        <v>1130</v>
      </c>
      <c r="AM186" s="2">
        <f t="shared" si="123"/>
        <v>1130</v>
      </c>
      <c r="AN186" s="2">
        <f t="shared" si="123"/>
        <v>1130</v>
      </c>
      <c r="AO186" s="2">
        <f t="shared" si="123"/>
        <v>1130</v>
      </c>
      <c r="AP186" s="2">
        <f t="shared" si="123"/>
        <v>1010</v>
      </c>
      <c r="AQ186" s="2">
        <v>1000</v>
      </c>
      <c r="AR186" s="2">
        <v>0</v>
      </c>
      <c r="AS186" s="2">
        <v>1000</v>
      </c>
      <c r="AT186" s="2">
        <v>0</v>
      </c>
      <c r="AU186" s="2">
        <v>1000</v>
      </c>
      <c r="AV186" s="2">
        <v>1000</v>
      </c>
      <c r="AW186" s="2">
        <v>0</v>
      </c>
      <c r="AX186" s="2">
        <v>0</v>
      </c>
      <c r="AY186" s="2">
        <v>0</v>
      </c>
      <c r="AZ186" s="2">
        <v>1039</v>
      </c>
      <c r="BA186" s="2">
        <v>929</v>
      </c>
      <c r="BB186" s="2">
        <v>999</v>
      </c>
      <c r="BC186" s="2">
        <v>-1000</v>
      </c>
      <c r="BD186" s="2">
        <v>-5000</v>
      </c>
      <c r="BE186" s="2">
        <v>5000</v>
      </c>
      <c r="BF186" s="2">
        <v>3000</v>
      </c>
      <c r="BG186" s="2">
        <v>5000</v>
      </c>
      <c r="BH186" s="2">
        <v>2000</v>
      </c>
      <c r="BI186" s="2">
        <v>3000</v>
      </c>
      <c r="BJ186" s="2">
        <v>-1500</v>
      </c>
      <c r="BK186" s="2">
        <v>1000</v>
      </c>
      <c r="BL186" s="2">
        <v>1000</v>
      </c>
      <c r="BO186" s="2">
        <f t="shared" si="86"/>
        <v>0</v>
      </c>
      <c r="BP186" s="2">
        <f t="shared" si="93"/>
        <v>0</v>
      </c>
      <c r="BQ186" s="2">
        <f t="shared" si="94"/>
        <v>0</v>
      </c>
      <c r="BR186" s="2">
        <f t="shared" si="95"/>
        <v>0</v>
      </c>
      <c r="BS186" s="2">
        <f t="shared" si="96"/>
        <v>0</v>
      </c>
      <c r="BT186" s="2">
        <f t="shared" si="97"/>
        <v>0</v>
      </c>
      <c r="BU186" s="2">
        <f t="shared" si="98"/>
        <v>0</v>
      </c>
      <c r="BV186" s="2">
        <f t="shared" si="99"/>
        <v>0</v>
      </c>
      <c r="BW186" s="2">
        <f t="shared" si="100"/>
        <v>0</v>
      </c>
      <c r="BX186" s="2">
        <f t="shared" si="101"/>
        <v>0</v>
      </c>
      <c r="BY186" s="2">
        <f t="shared" si="102"/>
        <v>0</v>
      </c>
      <c r="BZ186" s="2">
        <f t="shared" si="103"/>
        <v>0</v>
      </c>
      <c r="CA186" s="2">
        <f t="shared" si="104"/>
        <v>0</v>
      </c>
      <c r="CB186" s="2">
        <f t="shared" si="105"/>
        <v>0</v>
      </c>
      <c r="CC186" s="2">
        <f t="shared" si="106"/>
        <v>0</v>
      </c>
      <c r="CD186" s="2">
        <f t="shared" si="107"/>
        <v>0</v>
      </c>
      <c r="CE186" s="2">
        <f t="shared" si="108"/>
        <v>0</v>
      </c>
      <c r="CF186" s="2">
        <f t="shared" si="109"/>
        <v>-3862.6</v>
      </c>
      <c r="CG186" s="2">
        <f t="shared" si="110"/>
        <v>71.650000000000006</v>
      </c>
      <c r="CH186" s="2">
        <f t="shared" si="111"/>
        <v>211.68</v>
      </c>
      <c r="CI186" s="2">
        <f t="shared" si="112"/>
        <v>0</v>
      </c>
      <c r="CJ186" s="2">
        <f t="shared" si="113"/>
        <v>0</v>
      </c>
      <c r="CK186" s="2">
        <f t="shared" si="114"/>
        <v>0</v>
      </c>
      <c r="CL186" s="2">
        <f t="shared" si="115"/>
        <v>0</v>
      </c>
      <c r="CM186" s="2">
        <f t="shared" si="87"/>
        <v>0</v>
      </c>
      <c r="CN186" s="2">
        <f t="shared" si="88"/>
        <v>50950</v>
      </c>
      <c r="CO186" s="2">
        <f t="shared" si="89"/>
        <v>0</v>
      </c>
      <c r="CP186" s="2">
        <f t="shared" si="90"/>
        <v>0</v>
      </c>
      <c r="CQ186" s="2">
        <f t="shared" si="91"/>
        <v>0</v>
      </c>
      <c r="CR186" s="2">
        <f t="shared" si="92"/>
        <v>0</v>
      </c>
      <c r="CV186" t="s">
        <v>64</v>
      </c>
      <c r="CW186" t="s">
        <v>259</v>
      </c>
      <c r="CX186" t="s">
        <v>5</v>
      </c>
      <c r="CY186" s="4">
        <v>43020</v>
      </c>
      <c r="CZ186" t="s">
        <v>65</v>
      </c>
      <c r="DA186" t="s">
        <v>66</v>
      </c>
      <c r="DB186">
        <v>10</v>
      </c>
      <c r="DC186">
        <v>32.03</v>
      </c>
      <c r="DD186" t="s">
        <v>69</v>
      </c>
      <c r="DE186" t="s">
        <v>70</v>
      </c>
      <c r="DF186">
        <v>320.3</v>
      </c>
    </row>
    <row r="187" spans="1:110" x14ac:dyDescent="0.25">
      <c r="A187" s="1">
        <v>43005</v>
      </c>
      <c r="B187">
        <v>150.76</v>
      </c>
      <c r="C187">
        <v>87.82</v>
      </c>
      <c r="D187">
        <v>247.78</v>
      </c>
      <c r="E187">
        <v>120.3</v>
      </c>
      <c r="F187">
        <v>31.97</v>
      </c>
      <c r="G187">
        <v>110.92</v>
      </c>
      <c r="H187">
        <v>96.91</v>
      </c>
      <c r="I187">
        <v>66.87</v>
      </c>
      <c r="J187">
        <v>230.84</v>
      </c>
      <c r="K187">
        <v>156.57</v>
      </c>
      <c r="L187">
        <v>136.38999999999999</v>
      </c>
      <c r="M187">
        <v>36.17</v>
      </c>
      <c r="N187">
        <v>125.55</v>
      </c>
      <c r="O187">
        <v>91.76</v>
      </c>
      <c r="P187">
        <v>42.8</v>
      </c>
      <c r="Q187">
        <v>149.35</v>
      </c>
      <c r="R187">
        <v>201.65</v>
      </c>
      <c r="S187">
        <v>62.12</v>
      </c>
      <c r="T187">
        <v>72.23</v>
      </c>
      <c r="U187">
        <v>51.91</v>
      </c>
      <c r="V187">
        <v>33.619999999999997</v>
      </c>
      <c r="W187">
        <v>86.44</v>
      </c>
      <c r="X187">
        <v>119.14</v>
      </c>
      <c r="Y187">
        <v>191.26</v>
      </c>
      <c r="Z187">
        <v>113.25</v>
      </c>
      <c r="AA187">
        <v>102.84</v>
      </c>
      <c r="AB187">
        <v>46.22</v>
      </c>
      <c r="AC187">
        <v>75.42</v>
      </c>
      <c r="AD187">
        <v>77.05</v>
      </c>
      <c r="AE187">
        <v>76.62</v>
      </c>
      <c r="AI187" s="2">
        <v>5000</v>
      </c>
      <c r="AJ187" s="2">
        <f t="shared" si="123"/>
        <v>1130</v>
      </c>
      <c r="AK187" s="2">
        <f t="shared" si="123"/>
        <v>1130</v>
      </c>
      <c r="AL187" s="2">
        <f t="shared" si="123"/>
        <v>1130</v>
      </c>
      <c r="AM187" s="2">
        <f t="shared" si="123"/>
        <v>1130</v>
      </c>
      <c r="AN187" s="2">
        <f t="shared" si="123"/>
        <v>1130</v>
      </c>
      <c r="AO187" s="2">
        <f t="shared" si="123"/>
        <v>1130</v>
      </c>
      <c r="AP187" s="2">
        <f t="shared" si="123"/>
        <v>1010</v>
      </c>
      <c r="AQ187" s="2">
        <v>1000</v>
      </c>
      <c r="AR187" s="2">
        <v>0</v>
      </c>
      <c r="AS187" s="2">
        <v>1000</v>
      </c>
      <c r="AT187" s="2">
        <v>0</v>
      </c>
      <c r="AU187" s="2">
        <v>1000</v>
      </c>
      <c r="AV187" s="2">
        <v>1000</v>
      </c>
      <c r="AW187" s="2">
        <v>0</v>
      </c>
      <c r="AX187" s="2">
        <v>0</v>
      </c>
      <c r="AY187" s="2">
        <v>0</v>
      </c>
      <c r="AZ187" s="2">
        <v>1047</v>
      </c>
      <c r="BA187" s="2">
        <v>914</v>
      </c>
      <c r="BB187" s="2">
        <v>975</v>
      </c>
      <c r="BC187" s="2">
        <v>-1000</v>
      </c>
      <c r="BD187" s="2">
        <v>-5000</v>
      </c>
      <c r="BE187" s="2">
        <v>5000</v>
      </c>
      <c r="BF187" s="2">
        <v>3000</v>
      </c>
      <c r="BG187" s="2">
        <v>5000</v>
      </c>
      <c r="BH187" s="2">
        <v>2500</v>
      </c>
      <c r="BI187" s="2">
        <v>3000</v>
      </c>
      <c r="BJ187" s="2">
        <v>-1500</v>
      </c>
      <c r="BK187" s="2">
        <v>1000</v>
      </c>
      <c r="BL187" s="2">
        <v>1000</v>
      </c>
      <c r="BO187" s="2">
        <f t="shared" si="86"/>
        <v>0</v>
      </c>
      <c r="BP187" s="2">
        <f t="shared" si="93"/>
        <v>0</v>
      </c>
      <c r="BQ187" s="2">
        <f t="shared" si="94"/>
        <v>0</v>
      </c>
      <c r="BR187" s="2">
        <f t="shared" si="95"/>
        <v>0</v>
      </c>
      <c r="BS187" s="2">
        <f t="shared" si="96"/>
        <v>0</v>
      </c>
      <c r="BT187" s="2">
        <f t="shared" si="97"/>
        <v>0</v>
      </c>
      <c r="BU187" s="2">
        <f t="shared" si="98"/>
        <v>0</v>
      </c>
      <c r="BV187" s="2">
        <f t="shared" si="99"/>
        <v>0</v>
      </c>
      <c r="BW187" s="2">
        <f t="shared" si="100"/>
        <v>0</v>
      </c>
      <c r="BX187" s="2">
        <f t="shared" si="101"/>
        <v>0</v>
      </c>
      <c r="BY187" s="2">
        <f t="shared" si="102"/>
        <v>0</v>
      </c>
      <c r="BZ187" s="2">
        <f t="shared" si="103"/>
        <v>0</v>
      </c>
      <c r="CA187" s="2">
        <f t="shared" si="104"/>
        <v>0</v>
      </c>
      <c r="CB187" s="2">
        <f t="shared" si="105"/>
        <v>0</v>
      </c>
      <c r="CC187" s="2">
        <f t="shared" si="106"/>
        <v>0</v>
      </c>
      <c r="CD187" s="2">
        <f t="shared" si="107"/>
        <v>0</v>
      </c>
      <c r="CE187" s="2">
        <f t="shared" si="108"/>
        <v>0</v>
      </c>
      <c r="CF187" s="2">
        <f t="shared" si="109"/>
        <v>-496.96</v>
      </c>
      <c r="CG187" s="2">
        <f t="shared" si="110"/>
        <v>1083.45</v>
      </c>
      <c r="CH187" s="2">
        <f t="shared" si="111"/>
        <v>1245.8399999999999</v>
      </c>
      <c r="CI187" s="2">
        <f t="shared" si="112"/>
        <v>0</v>
      </c>
      <c r="CJ187" s="2">
        <f t="shared" si="113"/>
        <v>0</v>
      </c>
      <c r="CK187" s="2">
        <f t="shared" si="114"/>
        <v>0</v>
      </c>
      <c r="CL187" s="2">
        <f t="shared" si="115"/>
        <v>0</v>
      </c>
      <c r="CM187" s="2">
        <f t="shared" si="87"/>
        <v>0</v>
      </c>
      <c r="CN187" s="2">
        <f t="shared" si="88"/>
        <v>-51420</v>
      </c>
      <c r="CO187" s="2">
        <f t="shared" si="89"/>
        <v>0</v>
      </c>
      <c r="CP187" s="2">
        <f t="shared" si="90"/>
        <v>0</v>
      </c>
      <c r="CQ187" s="2">
        <f t="shared" si="91"/>
        <v>0</v>
      </c>
      <c r="CR187" s="2">
        <f t="shared" si="92"/>
        <v>0</v>
      </c>
      <c r="CV187" t="s">
        <v>64</v>
      </c>
      <c r="CW187" t="s">
        <v>260</v>
      </c>
      <c r="CX187" t="s">
        <v>5</v>
      </c>
      <c r="CY187" s="4">
        <v>43040</v>
      </c>
      <c r="CZ187" t="s">
        <v>65</v>
      </c>
      <c r="DA187" t="s">
        <v>66</v>
      </c>
      <c r="DB187">
        <v>10</v>
      </c>
      <c r="DC187">
        <v>33.340000000000003</v>
      </c>
      <c r="DD187" t="s">
        <v>69</v>
      </c>
      <c r="DE187" t="s">
        <v>70</v>
      </c>
      <c r="DF187">
        <v>333.40000000000003</v>
      </c>
    </row>
    <row r="188" spans="1:110" x14ac:dyDescent="0.25">
      <c r="A188" s="1">
        <v>43006</v>
      </c>
      <c r="B188">
        <v>149.83000000000001</v>
      </c>
      <c r="C188">
        <v>88.46</v>
      </c>
      <c r="D188">
        <v>246.8</v>
      </c>
      <c r="E188">
        <v>120.99</v>
      </c>
      <c r="F188">
        <v>31.84</v>
      </c>
      <c r="G188">
        <v>111.08</v>
      </c>
      <c r="H188">
        <v>95.75</v>
      </c>
      <c r="I188">
        <v>67.12</v>
      </c>
      <c r="J188">
        <v>231.54</v>
      </c>
      <c r="K188">
        <v>157.97</v>
      </c>
      <c r="L188">
        <v>136.38999999999999</v>
      </c>
      <c r="M188">
        <v>36.450000000000003</v>
      </c>
      <c r="N188">
        <v>125.28</v>
      </c>
      <c r="O188">
        <v>91.96</v>
      </c>
      <c r="P188">
        <v>43.06</v>
      </c>
      <c r="Q188">
        <v>152.69</v>
      </c>
      <c r="R188">
        <v>201.72</v>
      </c>
      <c r="S188">
        <v>61.85</v>
      </c>
      <c r="T188">
        <v>72.25</v>
      </c>
      <c r="U188">
        <v>51.87</v>
      </c>
      <c r="V188">
        <v>33.770000000000003</v>
      </c>
      <c r="W188">
        <v>86.46</v>
      </c>
      <c r="X188">
        <v>119.34</v>
      </c>
      <c r="Y188">
        <v>192.84</v>
      </c>
      <c r="Z188">
        <v>111.96</v>
      </c>
      <c r="AA188">
        <v>103.52</v>
      </c>
      <c r="AB188">
        <v>46.13</v>
      </c>
      <c r="AC188">
        <v>74.81</v>
      </c>
      <c r="AD188">
        <v>76.72</v>
      </c>
      <c r="AE188">
        <v>77.34</v>
      </c>
      <c r="AI188" s="2">
        <v>5000</v>
      </c>
      <c r="AJ188" s="2">
        <f t="shared" si="123"/>
        <v>1130</v>
      </c>
      <c r="AK188" s="2">
        <f t="shared" si="123"/>
        <v>1130</v>
      </c>
      <c r="AL188" s="2">
        <f t="shared" si="123"/>
        <v>1130</v>
      </c>
      <c r="AM188" s="2">
        <f t="shared" si="123"/>
        <v>1130</v>
      </c>
      <c r="AN188" s="2">
        <f t="shared" si="123"/>
        <v>1130</v>
      </c>
      <c r="AO188" s="2">
        <f t="shared" si="123"/>
        <v>1130</v>
      </c>
      <c r="AP188" s="2">
        <f t="shared" si="123"/>
        <v>1010</v>
      </c>
      <c r="AQ188" s="2">
        <v>1000</v>
      </c>
      <c r="AR188" s="2">
        <v>0</v>
      </c>
      <c r="AS188" s="2">
        <v>1000</v>
      </c>
      <c r="AT188" s="2">
        <v>0</v>
      </c>
      <c r="AU188" s="2">
        <v>1000</v>
      </c>
      <c r="AV188" s="2">
        <v>1000</v>
      </c>
      <c r="AW188" s="2">
        <v>0</v>
      </c>
      <c r="AX188" s="2">
        <v>0</v>
      </c>
      <c r="AY188" s="2">
        <v>0</v>
      </c>
      <c r="AZ188" s="2">
        <v>1000</v>
      </c>
      <c r="BA188" s="2">
        <v>987</v>
      </c>
      <c r="BB188" s="2">
        <v>1038</v>
      </c>
      <c r="BC188" s="2">
        <v>-1000</v>
      </c>
      <c r="BD188" s="2">
        <v>-5000</v>
      </c>
      <c r="BE188" s="2">
        <v>5000</v>
      </c>
      <c r="BF188" s="2">
        <v>3000</v>
      </c>
      <c r="BG188" s="2">
        <v>5000</v>
      </c>
      <c r="BH188" s="2">
        <v>4000</v>
      </c>
      <c r="BI188" s="2">
        <v>3000</v>
      </c>
      <c r="BJ188" s="2">
        <v>-1500</v>
      </c>
      <c r="BK188" s="2">
        <v>1000</v>
      </c>
      <c r="BL188" s="2">
        <v>1000</v>
      </c>
      <c r="BO188" s="2">
        <f t="shared" si="86"/>
        <v>0</v>
      </c>
      <c r="BP188" s="2">
        <f t="shared" si="93"/>
        <v>0</v>
      </c>
      <c r="BQ188" s="2">
        <f t="shared" si="94"/>
        <v>0</v>
      </c>
      <c r="BR188" s="2">
        <f t="shared" si="95"/>
        <v>0</v>
      </c>
      <c r="BS188" s="2">
        <f t="shared" si="96"/>
        <v>0</v>
      </c>
      <c r="BT188" s="2">
        <f t="shared" si="97"/>
        <v>0</v>
      </c>
      <c r="BU188" s="2">
        <f t="shared" si="98"/>
        <v>0</v>
      </c>
      <c r="BV188" s="2">
        <f t="shared" si="99"/>
        <v>0</v>
      </c>
      <c r="BW188" s="2">
        <f t="shared" si="100"/>
        <v>0</v>
      </c>
      <c r="BX188" s="2">
        <f t="shared" si="101"/>
        <v>0</v>
      </c>
      <c r="BY188" s="2">
        <f t="shared" si="102"/>
        <v>0</v>
      </c>
      <c r="BZ188" s="2">
        <f t="shared" si="103"/>
        <v>0</v>
      </c>
      <c r="CA188" s="2">
        <f t="shared" si="104"/>
        <v>0</v>
      </c>
      <c r="CB188" s="2">
        <f t="shared" si="105"/>
        <v>0</v>
      </c>
      <c r="CC188" s="2">
        <f t="shared" si="106"/>
        <v>0</v>
      </c>
      <c r="CD188" s="2">
        <f t="shared" si="107"/>
        <v>0</v>
      </c>
      <c r="CE188" s="2">
        <f t="shared" si="108"/>
        <v>0</v>
      </c>
      <c r="CF188" s="2">
        <f t="shared" si="109"/>
        <v>2906.9500000000003</v>
      </c>
      <c r="CG188" s="2">
        <f t="shared" si="110"/>
        <v>-5274.25</v>
      </c>
      <c r="CH188" s="2">
        <f t="shared" si="111"/>
        <v>-3267.81</v>
      </c>
      <c r="CI188" s="2">
        <f t="shared" si="112"/>
        <v>0</v>
      </c>
      <c r="CJ188" s="2">
        <f t="shared" si="113"/>
        <v>0</v>
      </c>
      <c r="CK188" s="2">
        <f t="shared" si="114"/>
        <v>0</v>
      </c>
      <c r="CL188" s="2">
        <f t="shared" si="115"/>
        <v>0</v>
      </c>
      <c r="CM188" s="2">
        <f t="shared" si="87"/>
        <v>0</v>
      </c>
      <c r="CN188" s="2">
        <f t="shared" si="88"/>
        <v>-155280</v>
      </c>
      <c r="CO188" s="2">
        <f t="shared" si="89"/>
        <v>0</v>
      </c>
      <c r="CP188" s="2">
        <f t="shared" si="90"/>
        <v>0</v>
      </c>
      <c r="CQ188" s="2">
        <f t="shared" si="91"/>
        <v>0</v>
      </c>
      <c r="CR188" s="2">
        <f t="shared" si="92"/>
        <v>0</v>
      </c>
      <c r="CV188" t="s">
        <v>64</v>
      </c>
      <c r="CW188" t="s">
        <v>261</v>
      </c>
      <c r="CX188" t="s">
        <v>5</v>
      </c>
      <c r="CY188" s="4">
        <v>43060</v>
      </c>
      <c r="CZ188" t="s">
        <v>65</v>
      </c>
      <c r="DA188" t="s">
        <v>66</v>
      </c>
      <c r="DB188">
        <v>10</v>
      </c>
      <c r="DC188">
        <v>35.299999999999997</v>
      </c>
      <c r="DD188" t="s">
        <v>69</v>
      </c>
      <c r="DE188" t="s">
        <v>70</v>
      </c>
      <c r="DF188">
        <v>353</v>
      </c>
    </row>
    <row r="189" spans="1:110" x14ac:dyDescent="0.25">
      <c r="A189" s="1">
        <v>43007</v>
      </c>
      <c r="B189">
        <v>150.65</v>
      </c>
      <c r="C189">
        <v>88.78</v>
      </c>
      <c r="D189">
        <v>246.74</v>
      </c>
      <c r="E189">
        <v>120.48</v>
      </c>
      <c r="F189">
        <v>32.11</v>
      </c>
      <c r="G189">
        <v>110.97</v>
      </c>
      <c r="H189">
        <v>96.26</v>
      </c>
      <c r="I189">
        <v>67.28</v>
      </c>
      <c r="J189">
        <v>233.23</v>
      </c>
      <c r="K189">
        <v>159.13999999999999</v>
      </c>
      <c r="L189">
        <v>135.85</v>
      </c>
      <c r="M189">
        <v>36.69</v>
      </c>
      <c r="N189">
        <v>125.81</v>
      </c>
      <c r="O189">
        <v>92.08</v>
      </c>
      <c r="P189">
        <v>43.15</v>
      </c>
      <c r="Q189">
        <v>151.9</v>
      </c>
      <c r="R189">
        <v>202.05</v>
      </c>
      <c r="S189">
        <v>61.6</v>
      </c>
      <c r="T189">
        <v>72.86</v>
      </c>
      <c r="U189">
        <v>51.1</v>
      </c>
      <c r="V189">
        <v>33.86</v>
      </c>
      <c r="W189">
        <v>86.54</v>
      </c>
      <c r="X189">
        <v>119.07</v>
      </c>
      <c r="Y189">
        <v>192.59</v>
      </c>
      <c r="Z189">
        <v>112.19</v>
      </c>
      <c r="AA189">
        <v>104.18</v>
      </c>
      <c r="AB189">
        <v>46.21</v>
      </c>
      <c r="AC189">
        <v>74.52</v>
      </c>
      <c r="AD189">
        <v>75.930000000000007</v>
      </c>
      <c r="AE189">
        <v>77.14</v>
      </c>
      <c r="AI189" s="2">
        <v>5000</v>
      </c>
      <c r="AJ189" s="2">
        <f t="shared" si="123"/>
        <v>1130</v>
      </c>
      <c r="AK189" s="2">
        <f t="shared" si="123"/>
        <v>1130</v>
      </c>
      <c r="AL189" s="2">
        <f t="shared" si="123"/>
        <v>1130</v>
      </c>
      <c r="AM189" s="2">
        <f t="shared" si="123"/>
        <v>1130</v>
      </c>
      <c r="AN189" s="2">
        <f t="shared" si="123"/>
        <v>1130</v>
      </c>
      <c r="AO189" s="2">
        <f t="shared" si="123"/>
        <v>1130</v>
      </c>
      <c r="AP189" s="2">
        <f t="shared" si="123"/>
        <v>1010</v>
      </c>
      <c r="AQ189" s="2">
        <v>1000</v>
      </c>
      <c r="AR189" s="2">
        <v>0</v>
      </c>
      <c r="AS189" s="2">
        <v>1000</v>
      </c>
      <c r="AT189" s="2">
        <v>0</v>
      </c>
      <c r="AU189" s="2">
        <v>1000</v>
      </c>
      <c r="AV189" s="2">
        <v>1000</v>
      </c>
      <c r="AW189" s="2">
        <v>0</v>
      </c>
      <c r="AX189" s="2">
        <v>0</v>
      </c>
      <c r="AY189" s="2">
        <v>0</v>
      </c>
      <c r="AZ189" s="2">
        <v>983</v>
      </c>
      <c r="BA189" s="2">
        <v>964</v>
      </c>
      <c r="BB189" s="2">
        <v>1068</v>
      </c>
      <c r="BC189" s="2">
        <v>-1000</v>
      </c>
      <c r="BD189" s="2">
        <v>-5000</v>
      </c>
      <c r="BE189" s="2">
        <v>5000</v>
      </c>
      <c r="BF189" s="2">
        <v>3000</v>
      </c>
      <c r="BG189" s="2">
        <v>5000</v>
      </c>
      <c r="BH189" s="2">
        <v>4000</v>
      </c>
      <c r="BI189" s="2">
        <v>3000</v>
      </c>
      <c r="BJ189" s="2">
        <v>-1500</v>
      </c>
      <c r="BK189" s="2">
        <v>1000</v>
      </c>
      <c r="BL189" s="2">
        <v>1000</v>
      </c>
      <c r="BO189" s="2">
        <f t="shared" si="86"/>
        <v>0</v>
      </c>
      <c r="BP189" s="2">
        <f t="shared" si="93"/>
        <v>0</v>
      </c>
      <c r="BQ189" s="2">
        <f t="shared" si="94"/>
        <v>0</v>
      </c>
      <c r="BR189" s="2">
        <f t="shared" si="95"/>
        <v>0</v>
      </c>
      <c r="BS189" s="2">
        <f t="shared" si="96"/>
        <v>0</v>
      </c>
      <c r="BT189" s="2">
        <f t="shared" si="97"/>
        <v>0</v>
      </c>
      <c r="BU189" s="2">
        <f t="shared" si="98"/>
        <v>0</v>
      </c>
      <c r="BV189" s="2">
        <f t="shared" si="99"/>
        <v>0</v>
      </c>
      <c r="BW189" s="2">
        <f t="shared" si="100"/>
        <v>0</v>
      </c>
      <c r="BX189" s="2">
        <f t="shared" si="101"/>
        <v>0</v>
      </c>
      <c r="BY189" s="2">
        <f t="shared" si="102"/>
        <v>0</v>
      </c>
      <c r="BZ189" s="2">
        <f t="shared" si="103"/>
        <v>0</v>
      </c>
      <c r="CA189" s="2">
        <f t="shared" si="104"/>
        <v>0</v>
      </c>
      <c r="CB189" s="2">
        <f t="shared" si="105"/>
        <v>0</v>
      </c>
      <c r="CC189" s="2">
        <f t="shared" si="106"/>
        <v>0</v>
      </c>
      <c r="CD189" s="2">
        <f t="shared" si="107"/>
        <v>0</v>
      </c>
      <c r="CE189" s="2">
        <f t="shared" si="108"/>
        <v>0</v>
      </c>
      <c r="CF189" s="2">
        <f t="shared" si="109"/>
        <v>1047.2</v>
      </c>
      <c r="CG189" s="2">
        <f t="shared" si="110"/>
        <v>1675.78</v>
      </c>
      <c r="CH189" s="2">
        <f t="shared" si="111"/>
        <v>-1533</v>
      </c>
      <c r="CI189" s="2">
        <f t="shared" si="112"/>
        <v>0</v>
      </c>
      <c r="CJ189" s="2">
        <f t="shared" si="113"/>
        <v>0</v>
      </c>
      <c r="CK189" s="2">
        <f t="shared" si="114"/>
        <v>0</v>
      </c>
      <c r="CL189" s="2">
        <f t="shared" si="115"/>
        <v>0</v>
      </c>
      <c r="CM189" s="2">
        <f t="shared" si="87"/>
        <v>0</v>
      </c>
      <c r="CN189" s="2">
        <f t="shared" si="88"/>
        <v>0</v>
      </c>
      <c r="CO189" s="2">
        <f t="shared" si="89"/>
        <v>0</v>
      </c>
      <c r="CP189" s="2">
        <f t="shared" si="90"/>
        <v>0</v>
      </c>
      <c r="CQ189" s="2">
        <f t="shared" si="91"/>
        <v>0</v>
      </c>
      <c r="CR189" s="2">
        <f t="shared" si="92"/>
        <v>0</v>
      </c>
      <c r="CV189" t="s">
        <v>64</v>
      </c>
      <c r="CW189" t="s">
        <v>262</v>
      </c>
      <c r="CX189" t="s">
        <v>5</v>
      </c>
      <c r="CY189" s="4">
        <v>43081</v>
      </c>
      <c r="CZ189" t="s">
        <v>65</v>
      </c>
      <c r="DA189" t="s">
        <v>66</v>
      </c>
      <c r="DB189">
        <v>10</v>
      </c>
      <c r="DC189">
        <v>36.51</v>
      </c>
      <c r="DD189" t="s">
        <v>69</v>
      </c>
      <c r="DE189" t="s">
        <v>70</v>
      </c>
      <c r="DF189">
        <v>365.09999999999997</v>
      </c>
    </row>
    <row r="190" spans="1:110" x14ac:dyDescent="0.25">
      <c r="A190" s="1">
        <v>43010</v>
      </c>
      <c r="B190">
        <v>150.35</v>
      </c>
      <c r="C190">
        <v>88.85</v>
      </c>
      <c r="D190">
        <v>248.47</v>
      </c>
      <c r="E190">
        <v>120.49</v>
      </c>
      <c r="F190">
        <v>32.22</v>
      </c>
      <c r="G190">
        <v>110.9</v>
      </c>
      <c r="H190">
        <v>97.52</v>
      </c>
      <c r="I190">
        <v>68.44</v>
      </c>
      <c r="J190">
        <v>236.64</v>
      </c>
      <c r="K190">
        <v>159.59</v>
      </c>
      <c r="L190">
        <v>137.32</v>
      </c>
      <c r="M190">
        <v>37.619999999999997</v>
      </c>
      <c r="N190">
        <v>126.98</v>
      </c>
      <c r="O190">
        <v>93.36</v>
      </c>
      <c r="P190">
        <v>42.95</v>
      </c>
      <c r="Q190">
        <v>152.18</v>
      </c>
      <c r="R190">
        <v>204.81</v>
      </c>
      <c r="S190">
        <v>62.1</v>
      </c>
      <c r="T190">
        <v>72.97</v>
      </c>
      <c r="U190">
        <v>51.12</v>
      </c>
      <c r="V190">
        <v>34.21</v>
      </c>
      <c r="W190">
        <v>87.3</v>
      </c>
      <c r="X190">
        <v>119.85</v>
      </c>
      <c r="Y190">
        <v>194.16</v>
      </c>
      <c r="Z190">
        <v>113.64</v>
      </c>
      <c r="AA190">
        <v>104.37</v>
      </c>
      <c r="AB190">
        <v>46.08</v>
      </c>
      <c r="AC190">
        <v>73.92</v>
      </c>
      <c r="AD190">
        <v>76.23</v>
      </c>
      <c r="AE190">
        <v>76.81</v>
      </c>
      <c r="AI190" s="2">
        <v>5000</v>
      </c>
      <c r="AJ190" s="2">
        <f t="shared" si="123"/>
        <v>1130</v>
      </c>
      <c r="AK190" s="2">
        <f t="shared" si="123"/>
        <v>1130</v>
      </c>
      <c r="AL190" s="2">
        <f t="shared" si="123"/>
        <v>1130</v>
      </c>
      <c r="AM190" s="2">
        <f t="shared" si="123"/>
        <v>1130</v>
      </c>
      <c r="AN190" s="2">
        <f t="shared" si="123"/>
        <v>1130</v>
      </c>
      <c r="AO190" s="2">
        <f t="shared" si="123"/>
        <v>1130</v>
      </c>
      <c r="AP190" s="2">
        <f t="shared" si="123"/>
        <v>1010</v>
      </c>
      <c r="AQ190" s="2">
        <v>1000</v>
      </c>
      <c r="AR190" s="2">
        <v>0</v>
      </c>
      <c r="AS190" s="2">
        <v>1000</v>
      </c>
      <c r="AT190" s="2">
        <v>0</v>
      </c>
      <c r="AU190" s="2">
        <v>1000</v>
      </c>
      <c r="AV190" s="2">
        <v>1000</v>
      </c>
      <c r="AW190" s="2">
        <v>0</v>
      </c>
      <c r="AX190" s="2">
        <v>0</v>
      </c>
      <c r="AY190" s="2">
        <v>0</v>
      </c>
      <c r="AZ190" s="2">
        <v>1014</v>
      </c>
      <c r="BA190" s="2">
        <v>1071</v>
      </c>
      <c r="BB190" s="2">
        <v>1008</v>
      </c>
      <c r="BC190" s="2">
        <v>-1000</v>
      </c>
      <c r="BD190" s="2">
        <v>-5000</v>
      </c>
      <c r="BE190" s="2">
        <v>5000</v>
      </c>
      <c r="BF190" s="2">
        <v>3000</v>
      </c>
      <c r="BG190" s="2">
        <v>5000</v>
      </c>
      <c r="BH190" s="2">
        <v>4000</v>
      </c>
      <c r="BI190" s="2">
        <v>3000</v>
      </c>
      <c r="BJ190" s="2">
        <v>-1500</v>
      </c>
      <c r="BK190" s="2">
        <v>1000</v>
      </c>
      <c r="BL190" s="2">
        <v>1000</v>
      </c>
      <c r="BO190" s="2">
        <f t="shared" si="86"/>
        <v>0</v>
      </c>
      <c r="BP190" s="2">
        <f t="shared" si="93"/>
        <v>0</v>
      </c>
      <c r="BQ190" s="2">
        <f t="shared" si="94"/>
        <v>0</v>
      </c>
      <c r="BR190" s="2">
        <f t="shared" si="95"/>
        <v>0</v>
      </c>
      <c r="BS190" s="2">
        <f t="shared" si="96"/>
        <v>0</v>
      </c>
      <c r="BT190" s="2">
        <f t="shared" si="97"/>
        <v>0</v>
      </c>
      <c r="BU190" s="2">
        <f t="shared" si="98"/>
        <v>0</v>
      </c>
      <c r="BV190" s="2">
        <f t="shared" si="99"/>
        <v>0</v>
      </c>
      <c r="BW190" s="2">
        <f t="shared" si="100"/>
        <v>0</v>
      </c>
      <c r="BX190" s="2">
        <f t="shared" si="101"/>
        <v>0</v>
      </c>
      <c r="BY190" s="2">
        <f t="shared" si="102"/>
        <v>0</v>
      </c>
      <c r="BZ190" s="2">
        <f t="shared" si="103"/>
        <v>0</v>
      </c>
      <c r="CA190" s="2">
        <f t="shared" si="104"/>
        <v>0</v>
      </c>
      <c r="CB190" s="2">
        <f t="shared" si="105"/>
        <v>0</v>
      </c>
      <c r="CC190" s="2">
        <f t="shared" si="106"/>
        <v>0</v>
      </c>
      <c r="CD190" s="2">
        <f t="shared" si="107"/>
        <v>0</v>
      </c>
      <c r="CE190" s="2">
        <f t="shared" si="108"/>
        <v>0</v>
      </c>
      <c r="CF190" s="2">
        <f t="shared" si="109"/>
        <v>-1925.1000000000001</v>
      </c>
      <c r="CG190" s="2">
        <f t="shared" si="110"/>
        <v>-7807.79</v>
      </c>
      <c r="CH190" s="2">
        <f t="shared" si="111"/>
        <v>3067.2</v>
      </c>
      <c r="CI190" s="2">
        <f t="shared" si="112"/>
        <v>0</v>
      </c>
      <c r="CJ190" s="2">
        <f t="shared" si="113"/>
        <v>0</v>
      </c>
      <c r="CK190" s="2">
        <f t="shared" si="114"/>
        <v>0</v>
      </c>
      <c r="CL190" s="2">
        <f t="shared" si="115"/>
        <v>0</v>
      </c>
      <c r="CM190" s="2">
        <f t="shared" si="87"/>
        <v>0</v>
      </c>
      <c r="CN190" s="2">
        <f t="shared" si="88"/>
        <v>0</v>
      </c>
      <c r="CO190" s="2">
        <f t="shared" si="89"/>
        <v>0</v>
      </c>
      <c r="CP190" s="2">
        <f t="shared" si="90"/>
        <v>0</v>
      </c>
      <c r="CQ190" s="2">
        <f t="shared" si="91"/>
        <v>0</v>
      </c>
      <c r="CR190" s="2">
        <f t="shared" si="92"/>
        <v>0</v>
      </c>
      <c r="CV190" t="s">
        <v>64</v>
      </c>
      <c r="CW190" t="s">
        <v>263</v>
      </c>
      <c r="CX190" t="s">
        <v>5</v>
      </c>
      <c r="CY190" s="4">
        <v>43103</v>
      </c>
      <c r="CZ190" t="s">
        <v>65</v>
      </c>
      <c r="DA190" t="s">
        <v>66</v>
      </c>
      <c r="DB190">
        <v>10</v>
      </c>
      <c r="DC190">
        <v>37.72</v>
      </c>
      <c r="DD190" t="s">
        <v>69</v>
      </c>
      <c r="DE190" t="s">
        <v>70</v>
      </c>
      <c r="DF190">
        <v>377.2</v>
      </c>
    </row>
    <row r="191" spans="1:110" x14ac:dyDescent="0.25">
      <c r="A191" s="1">
        <v>43011</v>
      </c>
      <c r="B191">
        <v>151</v>
      </c>
      <c r="C191">
        <v>89.73</v>
      </c>
      <c r="D191">
        <v>247.96</v>
      </c>
      <c r="E191">
        <v>121.26</v>
      </c>
      <c r="F191">
        <v>32.32</v>
      </c>
      <c r="G191">
        <v>111.27</v>
      </c>
      <c r="H191">
        <v>98.42</v>
      </c>
      <c r="I191">
        <v>68.38</v>
      </c>
      <c r="J191">
        <v>237.59</v>
      </c>
      <c r="K191">
        <v>160.71</v>
      </c>
      <c r="L191">
        <v>137.44</v>
      </c>
      <c r="M191">
        <v>37.950000000000003</v>
      </c>
      <c r="N191">
        <v>127.83</v>
      </c>
      <c r="O191">
        <v>93.85</v>
      </c>
      <c r="P191">
        <v>43.32</v>
      </c>
      <c r="Q191">
        <v>152.08000000000001</v>
      </c>
      <c r="R191">
        <v>206.55</v>
      </c>
      <c r="S191">
        <v>61.93</v>
      </c>
      <c r="T191">
        <v>72.63</v>
      </c>
      <c r="U191">
        <v>50.73</v>
      </c>
      <c r="V191">
        <v>34.28</v>
      </c>
      <c r="W191">
        <v>87.63</v>
      </c>
      <c r="X191">
        <v>120.22</v>
      </c>
      <c r="Y191">
        <v>195.33</v>
      </c>
      <c r="Z191">
        <v>113.76</v>
      </c>
      <c r="AA191">
        <v>104.52</v>
      </c>
      <c r="AB191">
        <v>46.54</v>
      </c>
      <c r="AC191">
        <v>74.11</v>
      </c>
      <c r="AD191">
        <v>76.98</v>
      </c>
      <c r="AE191">
        <v>76.930000000000007</v>
      </c>
      <c r="AI191" s="2">
        <v>2500</v>
      </c>
      <c r="AJ191" s="2">
        <f t="shared" si="123"/>
        <v>1130</v>
      </c>
      <c r="AK191" s="2">
        <f t="shared" si="123"/>
        <v>1130</v>
      </c>
      <c r="AL191" s="2">
        <f t="shared" si="123"/>
        <v>1130</v>
      </c>
      <c r="AM191" s="2">
        <f t="shared" si="123"/>
        <v>1130</v>
      </c>
      <c r="AN191" s="2">
        <f t="shared" si="123"/>
        <v>1130</v>
      </c>
      <c r="AO191" s="2">
        <f t="shared" si="123"/>
        <v>1130</v>
      </c>
      <c r="AP191" s="2">
        <f t="shared" si="123"/>
        <v>1010</v>
      </c>
      <c r="AQ191" s="2">
        <v>1000</v>
      </c>
      <c r="AR191" s="2">
        <v>0</v>
      </c>
      <c r="AS191" s="2">
        <v>1000</v>
      </c>
      <c r="AT191" s="2">
        <v>0</v>
      </c>
      <c r="AU191" s="2">
        <v>1000</v>
      </c>
      <c r="AV191" s="2">
        <v>1000</v>
      </c>
      <c r="AW191" s="2">
        <v>0</v>
      </c>
      <c r="AX191" s="2">
        <v>0</v>
      </c>
      <c r="AY191" s="2">
        <v>0</v>
      </c>
      <c r="AZ191" s="2">
        <v>994</v>
      </c>
      <c r="BA191" s="2">
        <v>1031</v>
      </c>
      <c r="BB191" s="2">
        <v>971</v>
      </c>
      <c r="BC191" s="2">
        <v>-1000</v>
      </c>
      <c r="BD191" s="2">
        <v>-5000</v>
      </c>
      <c r="BE191" s="2">
        <v>5000</v>
      </c>
      <c r="BF191" s="2">
        <v>3000</v>
      </c>
      <c r="BG191" s="2">
        <v>5000</v>
      </c>
      <c r="BH191" s="2">
        <v>5000</v>
      </c>
      <c r="BI191" s="2">
        <v>3000</v>
      </c>
      <c r="BJ191" s="2">
        <v>-1500</v>
      </c>
      <c r="BK191" s="2">
        <v>1000</v>
      </c>
      <c r="BL191" s="2">
        <v>1000</v>
      </c>
      <c r="BO191" s="2">
        <f t="shared" si="86"/>
        <v>377500</v>
      </c>
      <c r="BP191" s="2">
        <f t="shared" si="93"/>
        <v>0</v>
      </c>
      <c r="BQ191" s="2">
        <f t="shared" si="94"/>
        <v>0</v>
      </c>
      <c r="BR191" s="2">
        <f t="shared" si="95"/>
        <v>0</v>
      </c>
      <c r="BS191" s="2">
        <f t="shared" si="96"/>
        <v>0</v>
      </c>
      <c r="BT191" s="2">
        <f t="shared" si="97"/>
        <v>0</v>
      </c>
      <c r="BU191" s="2">
        <f t="shared" si="98"/>
        <v>0</v>
      </c>
      <c r="BV191" s="2">
        <f t="shared" si="99"/>
        <v>0</v>
      </c>
      <c r="BW191" s="2">
        <f t="shared" si="100"/>
        <v>0</v>
      </c>
      <c r="BX191" s="2">
        <f t="shared" si="101"/>
        <v>0</v>
      </c>
      <c r="BY191" s="2">
        <f t="shared" si="102"/>
        <v>0</v>
      </c>
      <c r="BZ191" s="2">
        <f t="shared" si="103"/>
        <v>0</v>
      </c>
      <c r="CA191" s="2">
        <f t="shared" si="104"/>
        <v>0</v>
      </c>
      <c r="CB191" s="2">
        <f t="shared" si="105"/>
        <v>0</v>
      </c>
      <c r="CC191" s="2">
        <f t="shared" si="106"/>
        <v>0</v>
      </c>
      <c r="CD191" s="2">
        <f t="shared" si="107"/>
        <v>0</v>
      </c>
      <c r="CE191" s="2">
        <f t="shared" si="108"/>
        <v>0</v>
      </c>
      <c r="CF191" s="2">
        <f t="shared" si="109"/>
        <v>1238.5999999999999</v>
      </c>
      <c r="CG191" s="2">
        <f t="shared" si="110"/>
        <v>2905.2</v>
      </c>
      <c r="CH191" s="2">
        <f t="shared" si="111"/>
        <v>1877.01</v>
      </c>
      <c r="CI191" s="2">
        <f t="shared" si="112"/>
        <v>0</v>
      </c>
      <c r="CJ191" s="2">
        <f t="shared" si="113"/>
        <v>0</v>
      </c>
      <c r="CK191" s="2">
        <f t="shared" si="114"/>
        <v>0</v>
      </c>
      <c r="CL191" s="2">
        <f t="shared" si="115"/>
        <v>0</v>
      </c>
      <c r="CM191" s="2">
        <f t="shared" si="87"/>
        <v>0</v>
      </c>
      <c r="CN191" s="2">
        <f t="shared" si="88"/>
        <v>-104520</v>
      </c>
      <c r="CO191" s="2">
        <f t="shared" si="89"/>
        <v>0</v>
      </c>
      <c r="CP191" s="2">
        <f t="shared" si="90"/>
        <v>0</v>
      </c>
      <c r="CQ191" s="2">
        <f t="shared" si="91"/>
        <v>0</v>
      </c>
      <c r="CR191" s="2">
        <f t="shared" si="92"/>
        <v>0</v>
      </c>
      <c r="CV191" t="s">
        <v>64</v>
      </c>
      <c r="CW191" t="s">
        <v>264</v>
      </c>
      <c r="CX191" t="s">
        <v>5</v>
      </c>
      <c r="CY191" s="4">
        <v>43124</v>
      </c>
      <c r="CZ191" t="s">
        <v>65</v>
      </c>
      <c r="DA191" t="s">
        <v>66</v>
      </c>
      <c r="DB191">
        <v>10</v>
      </c>
      <c r="DC191">
        <v>40.909999999999997</v>
      </c>
      <c r="DD191" t="s">
        <v>69</v>
      </c>
      <c r="DE191" t="s">
        <v>70</v>
      </c>
      <c r="DF191">
        <v>409.09999999999997</v>
      </c>
    </row>
    <row r="192" spans="1:110" x14ac:dyDescent="0.25">
      <c r="A192" s="1">
        <v>43012</v>
      </c>
      <c r="B192">
        <v>150.02000000000001</v>
      </c>
      <c r="C192">
        <v>89.32</v>
      </c>
      <c r="D192">
        <v>248.25</v>
      </c>
      <c r="E192">
        <v>122.44</v>
      </c>
      <c r="F192">
        <v>32.200000000000003</v>
      </c>
      <c r="G192">
        <v>111.05</v>
      </c>
      <c r="H192">
        <v>98.19</v>
      </c>
      <c r="I192">
        <v>68.47</v>
      </c>
      <c r="J192">
        <v>236.3</v>
      </c>
      <c r="K192">
        <v>160.82</v>
      </c>
      <c r="L192">
        <v>137.16</v>
      </c>
      <c r="M192">
        <v>37.909999999999997</v>
      </c>
      <c r="N192">
        <v>128.59</v>
      </c>
      <c r="O192">
        <v>92.9</v>
      </c>
      <c r="P192">
        <v>43.62</v>
      </c>
      <c r="Q192">
        <v>152.41999999999999</v>
      </c>
      <c r="R192">
        <v>208.43</v>
      </c>
      <c r="S192">
        <v>62.15</v>
      </c>
      <c r="T192">
        <v>73.05</v>
      </c>
      <c r="U192">
        <v>51.33</v>
      </c>
      <c r="V192">
        <v>34.11</v>
      </c>
      <c r="W192">
        <v>87.91</v>
      </c>
      <c r="X192">
        <v>120.41</v>
      </c>
      <c r="Y192">
        <v>197.15</v>
      </c>
      <c r="Z192">
        <v>113.69</v>
      </c>
      <c r="AA192">
        <v>104.25</v>
      </c>
      <c r="AB192">
        <v>46.59</v>
      </c>
      <c r="AC192">
        <v>73.180000000000007</v>
      </c>
      <c r="AD192">
        <v>76.849999999999994</v>
      </c>
      <c r="AE192">
        <v>76.959999999999994</v>
      </c>
      <c r="AI192" s="2">
        <v>2500</v>
      </c>
      <c r="AJ192" s="2">
        <f t="shared" si="123"/>
        <v>1130</v>
      </c>
      <c r="AK192" s="2">
        <f t="shared" si="123"/>
        <v>1130</v>
      </c>
      <c r="AL192" s="2">
        <f t="shared" si="123"/>
        <v>1130</v>
      </c>
      <c r="AM192" s="2">
        <f t="shared" si="123"/>
        <v>1130</v>
      </c>
      <c r="AN192" s="2">
        <f t="shared" si="123"/>
        <v>1130</v>
      </c>
      <c r="AO192" s="2">
        <f t="shared" si="123"/>
        <v>1130</v>
      </c>
      <c r="AP192" s="2">
        <f t="shared" si="123"/>
        <v>1010</v>
      </c>
      <c r="AQ192" s="2">
        <v>1000</v>
      </c>
      <c r="AR192" s="2">
        <v>0</v>
      </c>
      <c r="AS192" s="2">
        <v>1000</v>
      </c>
      <c r="AT192" s="2">
        <v>0</v>
      </c>
      <c r="AU192" s="2">
        <v>1000</v>
      </c>
      <c r="AV192" s="2">
        <v>1000</v>
      </c>
      <c r="AW192" s="2">
        <v>0</v>
      </c>
      <c r="AX192" s="2">
        <v>0</v>
      </c>
      <c r="AY192" s="2">
        <v>0</v>
      </c>
      <c r="AZ192" s="2">
        <v>977</v>
      </c>
      <c r="BA192" s="2">
        <v>1025</v>
      </c>
      <c r="BB192" s="2">
        <v>945</v>
      </c>
      <c r="BC192" s="2">
        <v>-1000</v>
      </c>
      <c r="BD192" s="2">
        <v>-5000</v>
      </c>
      <c r="BE192" s="2">
        <v>5000</v>
      </c>
      <c r="BF192" s="2">
        <v>3000</v>
      </c>
      <c r="BG192" s="2">
        <v>5000</v>
      </c>
      <c r="BH192" s="2">
        <v>5000</v>
      </c>
      <c r="BI192" s="2">
        <v>3000</v>
      </c>
      <c r="BJ192" s="2">
        <v>-1500</v>
      </c>
      <c r="BK192" s="2">
        <v>1000</v>
      </c>
      <c r="BL192" s="2">
        <v>1000</v>
      </c>
      <c r="BO192" s="2">
        <f t="shared" si="86"/>
        <v>0</v>
      </c>
      <c r="BP192" s="2">
        <f t="shared" si="93"/>
        <v>0</v>
      </c>
      <c r="BQ192" s="2">
        <f t="shared" si="94"/>
        <v>0</v>
      </c>
      <c r="BR192" s="2">
        <f t="shared" si="95"/>
        <v>0</v>
      </c>
      <c r="BS192" s="2">
        <f t="shared" si="96"/>
        <v>0</v>
      </c>
      <c r="BT192" s="2">
        <f t="shared" si="97"/>
        <v>0</v>
      </c>
      <c r="BU192" s="2">
        <f t="shared" si="98"/>
        <v>0</v>
      </c>
      <c r="BV192" s="2">
        <f t="shared" si="99"/>
        <v>0</v>
      </c>
      <c r="BW192" s="2">
        <f t="shared" si="100"/>
        <v>0</v>
      </c>
      <c r="BX192" s="2">
        <f t="shared" si="101"/>
        <v>0</v>
      </c>
      <c r="BY192" s="2">
        <f t="shared" si="102"/>
        <v>0</v>
      </c>
      <c r="BZ192" s="2">
        <f t="shared" si="103"/>
        <v>0</v>
      </c>
      <c r="CA192" s="2">
        <f t="shared" si="104"/>
        <v>0</v>
      </c>
      <c r="CB192" s="2">
        <f t="shared" si="105"/>
        <v>0</v>
      </c>
      <c r="CC192" s="2">
        <f t="shared" si="106"/>
        <v>0</v>
      </c>
      <c r="CD192" s="2">
        <f t="shared" si="107"/>
        <v>0</v>
      </c>
      <c r="CE192" s="2">
        <f t="shared" si="108"/>
        <v>0</v>
      </c>
      <c r="CF192" s="2">
        <f t="shared" si="109"/>
        <v>1056.55</v>
      </c>
      <c r="CG192" s="2">
        <f t="shared" si="110"/>
        <v>438.29999999999995</v>
      </c>
      <c r="CH192" s="2">
        <f t="shared" si="111"/>
        <v>1334.58</v>
      </c>
      <c r="CI192" s="2">
        <f t="shared" si="112"/>
        <v>0</v>
      </c>
      <c r="CJ192" s="2">
        <f t="shared" si="113"/>
        <v>0</v>
      </c>
      <c r="CK192" s="2">
        <f t="shared" si="114"/>
        <v>0</v>
      </c>
      <c r="CL192" s="2">
        <f t="shared" si="115"/>
        <v>0</v>
      </c>
      <c r="CM192" s="2">
        <f t="shared" si="87"/>
        <v>0</v>
      </c>
      <c r="CN192" s="2">
        <f t="shared" si="88"/>
        <v>0</v>
      </c>
      <c r="CO192" s="2">
        <f t="shared" si="89"/>
        <v>0</v>
      </c>
      <c r="CP192" s="2">
        <f t="shared" si="90"/>
        <v>0</v>
      </c>
      <c r="CQ192" s="2">
        <f t="shared" si="91"/>
        <v>0</v>
      </c>
      <c r="CR192" s="2">
        <f t="shared" si="92"/>
        <v>0</v>
      </c>
      <c r="CV192" t="s">
        <v>64</v>
      </c>
      <c r="CW192" t="s">
        <v>265</v>
      </c>
      <c r="CX192" t="s">
        <v>5</v>
      </c>
      <c r="CY192" s="4">
        <v>43144</v>
      </c>
      <c r="CZ192" t="s">
        <v>65</v>
      </c>
      <c r="DA192" t="s">
        <v>66</v>
      </c>
      <c r="DB192">
        <v>10</v>
      </c>
      <c r="DC192">
        <v>40</v>
      </c>
      <c r="DD192" t="s">
        <v>69</v>
      </c>
      <c r="DE192" t="s">
        <v>70</v>
      </c>
      <c r="DF192">
        <v>400</v>
      </c>
    </row>
    <row r="193" spans="1:110" x14ac:dyDescent="0.25">
      <c r="A193" s="1">
        <v>43013</v>
      </c>
      <c r="B193">
        <v>151.88999999999999</v>
      </c>
      <c r="C193">
        <v>89.81</v>
      </c>
      <c r="D193">
        <v>251.29</v>
      </c>
      <c r="E193">
        <v>122.12</v>
      </c>
      <c r="F193">
        <v>32.35</v>
      </c>
      <c r="G193">
        <v>111.99</v>
      </c>
      <c r="H193">
        <v>97.76</v>
      </c>
      <c r="I193">
        <v>68.98</v>
      </c>
      <c r="J193">
        <v>241.96</v>
      </c>
      <c r="K193">
        <v>161.63</v>
      </c>
      <c r="L193">
        <v>137.38</v>
      </c>
      <c r="M193">
        <v>38.090000000000003</v>
      </c>
      <c r="N193">
        <v>128.88</v>
      </c>
      <c r="O193">
        <v>94.15</v>
      </c>
      <c r="P193">
        <v>43.64</v>
      </c>
      <c r="Q193">
        <v>153.96</v>
      </c>
      <c r="R193">
        <v>208.28</v>
      </c>
      <c r="S193">
        <v>62.15</v>
      </c>
      <c r="T193">
        <v>74.3</v>
      </c>
      <c r="U193">
        <v>51.43</v>
      </c>
      <c r="V193">
        <v>34.15</v>
      </c>
      <c r="W193">
        <v>87.54</v>
      </c>
      <c r="X193">
        <v>120.94</v>
      </c>
      <c r="Y193">
        <v>194.61</v>
      </c>
      <c r="Z193">
        <v>114.21</v>
      </c>
      <c r="AA193">
        <v>105.17</v>
      </c>
      <c r="AB193">
        <v>46.47</v>
      </c>
      <c r="AC193">
        <v>74.260000000000005</v>
      </c>
      <c r="AD193">
        <v>77.16</v>
      </c>
      <c r="AE193">
        <v>77.180000000000007</v>
      </c>
      <c r="AI193" s="2">
        <v>2500</v>
      </c>
      <c r="AJ193" s="2">
        <f t="shared" si="123"/>
        <v>1130</v>
      </c>
      <c r="AK193" s="2">
        <f t="shared" si="123"/>
        <v>1130</v>
      </c>
      <c r="AL193" s="2">
        <f t="shared" si="123"/>
        <v>1130</v>
      </c>
      <c r="AM193" s="2">
        <f t="shared" si="123"/>
        <v>1130</v>
      </c>
      <c r="AN193" s="2">
        <f t="shared" si="123"/>
        <v>1130</v>
      </c>
      <c r="AO193" s="2">
        <f t="shared" si="123"/>
        <v>1130</v>
      </c>
      <c r="AP193" s="2">
        <f t="shared" si="123"/>
        <v>1010</v>
      </c>
      <c r="AQ193" s="2">
        <v>1000</v>
      </c>
      <c r="AR193" s="2">
        <v>0</v>
      </c>
      <c r="AS193" s="2">
        <v>1000</v>
      </c>
      <c r="AT193" s="2">
        <v>0</v>
      </c>
      <c r="AU193" s="2">
        <v>1000</v>
      </c>
      <c r="AV193" s="2">
        <v>1000</v>
      </c>
      <c r="AW193" s="2">
        <v>0</v>
      </c>
      <c r="AX193" s="2">
        <v>0</v>
      </c>
      <c r="AY193" s="2">
        <v>0</v>
      </c>
      <c r="AZ193" s="2">
        <v>968</v>
      </c>
      <c r="BA193" s="2">
        <v>1081</v>
      </c>
      <c r="BB193" s="2">
        <v>1091</v>
      </c>
      <c r="BC193" s="2">
        <v>-1000</v>
      </c>
      <c r="BD193" s="2">
        <v>-5000</v>
      </c>
      <c r="BE193" s="2">
        <v>5000</v>
      </c>
      <c r="BF193" s="2">
        <v>3000</v>
      </c>
      <c r="BG193" s="2">
        <v>5000</v>
      </c>
      <c r="BH193" s="2">
        <v>5000</v>
      </c>
      <c r="BI193" s="2">
        <v>3000</v>
      </c>
      <c r="BJ193" s="2">
        <v>-1500</v>
      </c>
      <c r="BK193" s="2">
        <v>1000</v>
      </c>
      <c r="BL193" s="2">
        <v>1000</v>
      </c>
      <c r="BO193" s="2">
        <f t="shared" si="86"/>
        <v>0</v>
      </c>
      <c r="BP193" s="2">
        <f t="shared" si="93"/>
        <v>0</v>
      </c>
      <c r="BQ193" s="2">
        <f t="shared" si="94"/>
        <v>0</v>
      </c>
      <c r="BR193" s="2">
        <f t="shared" si="95"/>
        <v>0</v>
      </c>
      <c r="BS193" s="2">
        <f t="shared" si="96"/>
        <v>0</v>
      </c>
      <c r="BT193" s="2">
        <f t="shared" si="97"/>
        <v>0</v>
      </c>
      <c r="BU193" s="2">
        <f t="shared" si="98"/>
        <v>0</v>
      </c>
      <c r="BV193" s="2">
        <f t="shared" si="99"/>
        <v>0</v>
      </c>
      <c r="BW193" s="2">
        <f t="shared" si="100"/>
        <v>0</v>
      </c>
      <c r="BX193" s="2">
        <f t="shared" si="101"/>
        <v>0</v>
      </c>
      <c r="BY193" s="2">
        <f t="shared" si="102"/>
        <v>0</v>
      </c>
      <c r="BZ193" s="2">
        <f t="shared" si="103"/>
        <v>0</v>
      </c>
      <c r="CA193" s="2">
        <f t="shared" si="104"/>
        <v>0</v>
      </c>
      <c r="CB193" s="2">
        <f t="shared" si="105"/>
        <v>0</v>
      </c>
      <c r="CC193" s="2">
        <f t="shared" si="106"/>
        <v>0</v>
      </c>
      <c r="CD193" s="2">
        <f t="shared" si="107"/>
        <v>0</v>
      </c>
      <c r="CE193" s="2">
        <f t="shared" si="108"/>
        <v>0</v>
      </c>
      <c r="CF193" s="2">
        <f t="shared" si="109"/>
        <v>559.35</v>
      </c>
      <c r="CG193" s="2">
        <f t="shared" si="110"/>
        <v>-4160.8</v>
      </c>
      <c r="CH193" s="2">
        <f t="shared" si="111"/>
        <v>-7508.78</v>
      </c>
      <c r="CI193" s="2">
        <f t="shared" si="112"/>
        <v>0</v>
      </c>
      <c r="CJ193" s="2">
        <f t="shared" si="113"/>
        <v>0</v>
      </c>
      <c r="CK193" s="2">
        <f t="shared" si="114"/>
        <v>0</v>
      </c>
      <c r="CL193" s="2">
        <f t="shared" si="115"/>
        <v>0</v>
      </c>
      <c r="CM193" s="2">
        <f t="shared" si="87"/>
        <v>0</v>
      </c>
      <c r="CN193" s="2">
        <f t="shared" si="88"/>
        <v>0</v>
      </c>
      <c r="CO193" s="2">
        <f t="shared" si="89"/>
        <v>0</v>
      </c>
      <c r="CP193" s="2">
        <f t="shared" si="90"/>
        <v>0</v>
      </c>
      <c r="CQ193" s="2">
        <f t="shared" si="91"/>
        <v>0</v>
      </c>
      <c r="CR193" s="2">
        <f t="shared" si="92"/>
        <v>0</v>
      </c>
      <c r="CV193" t="s">
        <v>64</v>
      </c>
      <c r="CW193" t="s">
        <v>266</v>
      </c>
      <c r="CX193" t="s">
        <v>5</v>
      </c>
      <c r="CY193" s="4">
        <v>43165</v>
      </c>
      <c r="CZ193" t="s">
        <v>65</v>
      </c>
      <c r="DA193" t="s">
        <v>66</v>
      </c>
      <c r="DB193">
        <v>10</v>
      </c>
      <c r="DC193">
        <v>42.97</v>
      </c>
      <c r="DD193" t="s">
        <v>69</v>
      </c>
      <c r="DE193" t="s">
        <v>70</v>
      </c>
      <c r="DF193">
        <v>429.7</v>
      </c>
    </row>
    <row r="194" spans="1:110" x14ac:dyDescent="0.25">
      <c r="A194" s="1">
        <v>43014</v>
      </c>
      <c r="B194">
        <v>151.80000000000001</v>
      </c>
      <c r="C194">
        <v>90.19</v>
      </c>
      <c r="D194">
        <v>250.99</v>
      </c>
      <c r="E194">
        <v>122.63</v>
      </c>
      <c r="F194">
        <v>32.5</v>
      </c>
      <c r="G194">
        <v>110.53</v>
      </c>
      <c r="H194">
        <v>97.72</v>
      </c>
      <c r="I194">
        <v>69.22</v>
      </c>
      <c r="J194">
        <v>241.92</v>
      </c>
      <c r="K194">
        <v>161.37</v>
      </c>
      <c r="L194">
        <v>137.16</v>
      </c>
      <c r="M194">
        <v>38.19</v>
      </c>
      <c r="N194">
        <v>128.91</v>
      </c>
      <c r="O194">
        <v>93.99</v>
      </c>
      <c r="P194">
        <v>43.61</v>
      </c>
      <c r="Q194">
        <v>154.74</v>
      </c>
      <c r="R194">
        <v>208.43</v>
      </c>
      <c r="S194">
        <v>62.1</v>
      </c>
      <c r="T194">
        <v>74.33</v>
      </c>
      <c r="U194">
        <v>51.66</v>
      </c>
      <c r="V194">
        <v>34.19</v>
      </c>
      <c r="W194">
        <v>87.83</v>
      </c>
      <c r="X194">
        <v>121.55</v>
      </c>
      <c r="Y194">
        <v>194.77</v>
      </c>
      <c r="Z194">
        <v>114.27</v>
      </c>
      <c r="AA194">
        <v>105.65</v>
      </c>
      <c r="AB194">
        <v>46.12</v>
      </c>
      <c r="AC194">
        <v>70.64</v>
      </c>
      <c r="AD194">
        <v>76.760000000000005</v>
      </c>
      <c r="AE194">
        <v>76.89</v>
      </c>
      <c r="AI194" s="2">
        <v>0</v>
      </c>
      <c r="AJ194" s="2">
        <f t="shared" si="123"/>
        <v>1130</v>
      </c>
      <c r="AK194" s="2">
        <f t="shared" si="123"/>
        <v>1130</v>
      </c>
      <c r="AL194" s="2">
        <f t="shared" si="123"/>
        <v>1130</v>
      </c>
      <c r="AM194" s="2">
        <f t="shared" si="123"/>
        <v>1130</v>
      </c>
      <c r="AN194" s="2">
        <f t="shared" si="123"/>
        <v>1130</v>
      </c>
      <c r="AO194" s="2">
        <f t="shared" si="123"/>
        <v>1130</v>
      </c>
      <c r="AP194" s="2">
        <f t="shared" si="123"/>
        <v>1010</v>
      </c>
      <c r="AQ194" s="2">
        <v>1000</v>
      </c>
      <c r="AR194" s="2">
        <v>0</v>
      </c>
      <c r="AS194" s="2">
        <v>1000</v>
      </c>
      <c r="AT194" s="2">
        <v>0</v>
      </c>
      <c r="AU194" s="2">
        <v>1000</v>
      </c>
      <c r="AV194" s="2">
        <v>1000</v>
      </c>
      <c r="AW194" s="2">
        <v>0</v>
      </c>
      <c r="AX194" s="2">
        <v>0</v>
      </c>
      <c r="AY194" s="2">
        <v>0</v>
      </c>
      <c r="AZ194" s="2">
        <v>994</v>
      </c>
      <c r="BA194" s="2">
        <v>926</v>
      </c>
      <c r="BB194" s="2">
        <v>1055</v>
      </c>
      <c r="BC194" s="2">
        <v>-1000</v>
      </c>
      <c r="BD194" s="2">
        <v>-5000</v>
      </c>
      <c r="BE194" s="2">
        <v>5000</v>
      </c>
      <c r="BF194" s="2">
        <v>3000</v>
      </c>
      <c r="BG194" s="2">
        <v>5000</v>
      </c>
      <c r="BH194" s="2">
        <v>5000</v>
      </c>
      <c r="BI194" s="2">
        <v>3000</v>
      </c>
      <c r="BJ194" s="2">
        <v>-1500</v>
      </c>
      <c r="BK194" s="2">
        <v>1000</v>
      </c>
      <c r="BL194" s="2">
        <v>1000</v>
      </c>
      <c r="BO194" s="2">
        <f t="shared" si="86"/>
        <v>379500</v>
      </c>
      <c r="BP194" s="2">
        <f t="shared" si="93"/>
        <v>0</v>
      </c>
      <c r="BQ194" s="2">
        <f t="shared" si="94"/>
        <v>0</v>
      </c>
      <c r="BR194" s="2">
        <f t="shared" si="95"/>
        <v>0</v>
      </c>
      <c r="BS194" s="2">
        <f t="shared" si="96"/>
        <v>0</v>
      </c>
      <c r="BT194" s="2">
        <f t="shared" si="97"/>
        <v>0</v>
      </c>
      <c r="BU194" s="2">
        <f t="shared" si="98"/>
        <v>0</v>
      </c>
      <c r="BV194" s="2">
        <f t="shared" si="99"/>
        <v>0</v>
      </c>
      <c r="BW194" s="2">
        <f t="shared" si="100"/>
        <v>0</v>
      </c>
      <c r="BX194" s="2">
        <f t="shared" si="101"/>
        <v>0</v>
      </c>
      <c r="BY194" s="2">
        <f t="shared" si="102"/>
        <v>0</v>
      </c>
      <c r="BZ194" s="2">
        <f t="shared" si="103"/>
        <v>0</v>
      </c>
      <c r="CA194" s="2">
        <f t="shared" si="104"/>
        <v>0</v>
      </c>
      <c r="CB194" s="2">
        <f t="shared" si="105"/>
        <v>0</v>
      </c>
      <c r="CC194" s="2">
        <f t="shared" si="106"/>
        <v>0</v>
      </c>
      <c r="CD194" s="2">
        <f t="shared" si="107"/>
        <v>0</v>
      </c>
      <c r="CE194" s="2">
        <f t="shared" si="108"/>
        <v>0</v>
      </c>
      <c r="CF194" s="2">
        <f t="shared" si="109"/>
        <v>-1614.6000000000001</v>
      </c>
      <c r="CG194" s="2">
        <f t="shared" si="110"/>
        <v>11521.15</v>
      </c>
      <c r="CH194" s="2">
        <f t="shared" si="111"/>
        <v>1859.7599999999998</v>
      </c>
      <c r="CI194" s="2">
        <f t="shared" si="112"/>
        <v>0</v>
      </c>
      <c r="CJ194" s="2">
        <f t="shared" si="113"/>
        <v>0</v>
      </c>
      <c r="CK194" s="2">
        <f t="shared" si="114"/>
        <v>0</v>
      </c>
      <c r="CL194" s="2">
        <f t="shared" si="115"/>
        <v>0</v>
      </c>
      <c r="CM194" s="2">
        <f t="shared" si="87"/>
        <v>0</v>
      </c>
      <c r="CN194" s="2">
        <f t="shared" si="88"/>
        <v>0</v>
      </c>
      <c r="CO194" s="2">
        <f t="shared" si="89"/>
        <v>0</v>
      </c>
      <c r="CP194" s="2">
        <f t="shared" si="90"/>
        <v>0</v>
      </c>
      <c r="CQ194" s="2">
        <f t="shared" si="91"/>
        <v>0</v>
      </c>
      <c r="CR194" s="2">
        <f t="shared" si="92"/>
        <v>0</v>
      </c>
      <c r="CV194" t="s">
        <v>64</v>
      </c>
      <c r="CW194" t="s">
        <v>267</v>
      </c>
      <c r="CX194" t="s">
        <v>5</v>
      </c>
      <c r="CY194" s="4">
        <v>43185</v>
      </c>
      <c r="CZ194" t="s">
        <v>65</v>
      </c>
      <c r="DA194" t="s">
        <v>66</v>
      </c>
      <c r="DB194">
        <v>10</v>
      </c>
      <c r="DC194">
        <v>42.75</v>
      </c>
      <c r="DD194" t="s">
        <v>69</v>
      </c>
      <c r="DE194" t="s">
        <v>70</v>
      </c>
      <c r="DF194">
        <v>427.5</v>
      </c>
    </row>
    <row r="195" spans="1:110" x14ac:dyDescent="0.25">
      <c r="A195" s="1">
        <v>43017</v>
      </c>
      <c r="B195">
        <v>152.33000000000001</v>
      </c>
      <c r="C195">
        <v>90.33</v>
      </c>
      <c r="D195">
        <v>250.8</v>
      </c>
      <c r="E195">
        <v>122.58</v>
      </c>
      <c r="F195">
        <v>32.51</v>
      </c>
      <c r="G195">
        <v>111.17</v>
      </c>
      <c r="H195">
        <v>97.23</v>
      </c>
      <c r="I195">
        <v>69.67</v>
      </c>
      <c r="J195">
        <v>238.75</v>
      </c>
      <c r="K195">
        <v>161.22999999999999</v>
      </c>
      <c r="L195">
        <v>138.01</v>
      </c>
      <c r="M195">
        <v>38.409999999999997</v>
      </c>
      <c r="N195">
        <v>129.13999999999999</v>
      </c>
      <c r="O195">
        <v>93.49</v>
      </c>
      <c r="P195">
        <v>43.54</v>
      </c>
      <c r="Q195">
        <v>155.24</v>
      </c>
      <c r="R195">
        <v>208.58</v>
      </c>
      <c r="S195">
        <v>61.89</v>
      </c>
      <c r="T195">
        <v>74.62</v>
      </c>
      <c r="U195">
        <v>50.78</v>
      </c>
      <c r="V195">
        <v>34.28</v>
      </c>
      <c r="W195">
        <v>87.63</v>
      </c>
      <c r="X195">
        <v>121.43</v>
      </c>
      <c r="Y195">
        <v>193.04</v>
      </c>
      <c r="Z195">
        <v>114.65</v>
      </c>
      <c r="AA195">
        <v>105.93</v>
      </c>
      <c r="AB195">
        <v>46.34</v>
      </c>
      <c r="AC195">
        <v>68.39</v>
      </c>
      <c r="AD195">
        <v>78.25</v>
      </c>
      <c r="AE195">
        <v>77.19</v>
      </c>
      <c r="AI195" s="2">
        <v>0</v>
      </c>
      <c r="AJ195" s="2">
        <f t="shared" si="123"/>
        <v>1130</v>
      </c>
      <c r="AK195" s="2">
        <f t="shared" si="123"/>
        <v>1130</v>
      </c>
      <c r="AL195" s="2">
        <f t="shared" si="123"/>
        <v>1130</v>
      </c>
      <c r="AM195" s="2">
        <f t="shared" si="123"/>
        <v>1130</v>
      </c>
      <c r="AN195" s="2">
        <f t="shared" si="123"/>
        <v>1130</v>
      </c>
      <c r="AO195" s="2">
        <f t="shared" si="123"/>
        <v>1130</v>
      </c>
      <c r="AP195" s="2">
        <f t="shared" si="123"/>
        <v>1010</v>
      </c>
      <c r="AQ195" s="2">
        <v>1000</v>
      </c>
      <c r="AR195" s="2">
        <v>0</v>
      </c>
      <c r="AS195" s="2">
        <v>1000</v>
      </c>
      <c r="AT195" s="2">
        <v>0</v>
      </c>
      <c r="AU195" s="2">
        <v>1000</v>
      </c>
      <c r="AV195" s="2">
        <v>1000</v>
      </c>
      <c r="AW195" s="2">
        <v>0</v>
      </c>
      <c r="AX195" s="2">
        <v>0</v>
      </c>
      <c r="AY195" s="2">
        <v>0</v>
      </c>
      <c r="AZ195" s="2">
        <v>981</v>
      </c>
      <c r="BA195" s="2">
        <v>1089</v>
      </c>
      <c r="BB195" s="2">
        <v>1005</v>
      </c>
      <c r="BC195" s="2">
        <v>-1000</v>
      </c>
      <c r="BD195" s="2">
        <v>-5000</v>
      </c>
      <c r="BE195" s="2">
        <v>5000</v>
      </c>
      <c r="BF195" s="2">
        <v>3000</v>
      </c>
      <c r="BG195" s="2">
        <v>5000</v>
      </c>
      <c r="BH195" s="2">
        <v>5000</v>
      </c>
      <c r="BI195" s="2">
        <v>3000</v>
      </c>
      <c r="BJ195" s="2">
        <v>-1500</v>
      </c>
      <c r="BK195" s="2">
        <v>1000</v>
      </c>
      <c r="BL195" s="2">
        <v>1000</v>
      </c>
      <c r="BO195" s="2">
        <f t="shared" si="86"/>
        <v>0</v>
      </c>
      <c r="BP195" s="2">
        <f t="shared" si="93"/>
        <v>0</v>
      </c>
      <c r="BQ195" s="2">
        <f t="shared" si="94"/>
        <v>0</v>
      </c>
      <c r="BR195" s="2">
        <f t="shared" si="95"/>
        <v>0</v>
      </c>
      <c r="BS195" s="2">
        <f t="shared" si="96"/>
        <v>0</v>
      </c>
      <c r="BT195" s="2">
        <f t="shared" si="97"/>
        <v>0</v>
      </c>
      <c r="BU195" s="2">
        <f t="shared" si="98"/>
        <v>0</v>
      </c>
      <c r="BV195" s="2">
        <f t="shared" si="99"/>
        <v>0</v>
      </c>
      <c r="BW195" s="2">
        <f t="shared" si="100"/>
        <v>0</v>
      </c>
      <c r="BX195" s="2">
        <f t="shared" si="101"/>
        <v>0</v>
      </c>
      <c r="BY195" s="2">
        <f t="shared" si="102"/>
        <v>0</v>
      </c>
      <c r="BZ195" s="2">
        <f t="shared" si="103"/>
        <v>0</v>
      </c>
      <c r="CA195" s="2">
        <f t="shared" si="104"/>
        <v>0</v>
      </c>
      <c r="CB195" s="2">
        <f t="shared" si="105"/>
        <v>0</v>
      </c>
      <c r="CC195" s="2">
        <f t="shared" si="106"/>
        <v>0</v>
      </c>
      <c r="CD195" s="2">
        <f t="shared" si="107"/>
        <v>0</v>
      </c>
      <c r="CE195" s="2">
        <f t="shared" si="108"/>
        <v>0</v>
      </c>
      <c r="CF195" s="2">
        <f t="shared" si="109"/>
        <v>804.57</v>
      </c>
      <c r="CG195" s="2">
        <f t="shared" si="110"/>
        <v>-12163.060000000001</v>
      </c>
      <c r="CH195" s="2">
        <f t="shared" si="111"/>
        <v>2539</v>
      </c>
      <c r="CI195" s="2">
        <f t="shared" si="112"/>
        <v>0</v>
      </c>
      <c r="CJ195" s="2">
        <f t="shared" si="113"/>
        <v>0</v>
      </c>
      <c r="CK195" s="2">
        <f t="shared" si="114"/>
        <v>0</v>
      </c>
      <c r="CL195" s="2">
        <f t="shared" si="115"/>
        <v>0</v>
      </c>
      <c r="CM195" s="2">
        <f t="shared" si="87"/>
        <v>0</v>
      </c>
      <c r="CN195" s="2">
        <f t="shared" si="88"/>
        <v>0</v>
      </c>
      <c r="CO195" s="2">
        <f t="shared" si="89"/>
        <v>0</v>
      </c>
      <c r="CP195" s="2">
        <f t="shared" si="90"/>
        <v>0</v>
      </c>
      <c r="CQ195" s="2">
        <f t="shared" si="91"/>
        <v>0</v>
      </c>
      <c r="CR195" s="2">
        <f t="shared" si="92"/>
        <v>0</v>
      </c>
      <c r="CV195" t="s">
        <v>64</v>
      </c>
      <c r="CW195" t="s">
        <v>268</v>
      </c>
      <c r="CX195" t="s">
        <v>5</v>
      </c>
      <c r="CY195" s="4">
        <v>43206</v>
      </c>
      <c r="CZ195" t="s">
        <v>65</v>
      </c>
      <c r="DA195" t="s">
        <v>66</v>
      </c>
      <c r="DB195">
        <v>10</v>
      </c>
      <c r="DC195">
        <v>42.35</v>
      </c>
      <c r="DD195" t="s">
        <v>69</v>
      </c>
      <c r="DE195" t="s">
        <v>70</v>
      </c>
      <c r="DF195">
        <v>423.5</v>
      </c>
    </row>
    <row r="196" spans="1:110" x14ac:dyDescent="0.25">
      <c r="A196" s="1">
        <v>43018</v>
      </c>
      <c r="B196">
        <v>152.38999999999999</v>
      </c>
      <c r="C196">
        <v>90.53</v>
      </c>
      <c r="D196">
        <v>253.27</v>
      </c>
      <c r="E196">
        <v>123.85</v>
      </c>
      <c r="F196">
        <v>32.31</v>
      </c>
      <c r="G196">
        <v>112.2</v>
      </c>
      <c r="H196">
        <v>97.24</v>
      </c>
      <c r="I196">
        <v>69.56</v>
      </c>
      <c r="J196">
        <v>238.55</v>
      </c>
      <c r="K196">
        <v>160.69999999999999</v>
      </c>
      <c r="L196">
        <v>139.05000000000001</v>
      </c>
      <c r="M196">
        <v>38.21</v>
      </c>
      <c r="N196">
        <v>129.57</v>
      </c>
      <c r="O196">
        <v>94.19</v>
      </c>
      <c r="P196">
        <v>43.98</v>
      </c>
      <c r="Q196">
        <v>155.69</v>
      </c>
      <c r="R196">
        <v>208.65</v>
      </c>
      <c r="S196">
        <v>62.02</v>
      </c>
      <c r="T196">
        <v>74.62</v>
      </c>
      <c r="U196">
        <v>50.79</v>
      </c>
      <c r="V196">
        <v>34.520000000000003</v>
      </c>
      <c r="W196">
        <v>87.15</v>
      </c>
      <c r="X196">
        <v>122.39</v>
      </c>
      <c r="Y196">
        <v>191.44</v>
      </c>
      <c r="Z196">
        <v>114.16</v>
      </c>
      <c r="AA196">
        <v>106.23</v>
      </c>
      <c r="AB196">
        <v>46.43</v>
      </c>
      <c r="AC196">
        <v>67.41</v>
      </c>
      <c r="AD196">
        <v>81.75</v>
      </c>
      <c r="AE196">
        <v>77.400000000000006</v>
      </c>
      <c r="AI196" s="2">
        <v>0</v>
      </c>
      <c r="AJ196" s="2">
        <f t="shared" si="123"/>
        <v>1130</v>
      </c>
      <c r="AK196" s="2">
        <f t="shared" si="123"/>
        <v>1130</v>
      </c>
      <c r="AL196" s="2">
        <f t="shared" si="123"/>
        <v>1130</v>
      </c>
      <c r="AM196" s="2">
        <f t="shared" si="123"/>
        <v>1130</v>
      </c>
      <c r="AN196" s="2">
        <f t="shared" si="123"/>
        <v>1130</v>
      </c>
      <c r="AO196" s="2">
        <f t="shared" si="123"/>
        <v>1130</v>
      </c>
      <c r="AP196" s="2">
        <f t="shared" si="123"/>
        <v>1010</v>
      </c>
      <c r="AQ196" s="2">
        <v>1000</v>
      </c>
      <c r="AR196" s="2">
        <v>0</v>
      </c>
      <c r="AS196" s="2">
        <v>1000</v>
      </c>
      <c r="AT196" s="2">
        <v>0</v>
      </c>
      <c r="AU196" s="2">
        <v>1000</v>
      </c>
      <c r="AV196" s="2">
        <v>1000</v>
      </c>
      <c r="AW196" s="2">
        <v>0</v>
      </c>
      <c r="AX196" s="2">
        <v>0</v>
      </c>
      <c r="AY196" s="2">
        <v>0</v>
      </c>
      <c r="AZ196" s="2">
        <v>974</v>
      </c>
      <c r="BA196" s="2">
        <v>1036</v>
      </c>
      <c r="BB196" s="2">
        <v>1003</v>
      </c>
      <c r="BC196" s="2">
        <v>-1000</v>
      </c>
      <c r="BD196" s="2">
        <v>-5000</v>
      </c>
      <c r="BE196" s="2">
        <v>5000</v>
      </c>
      <c r="BF196" s="2">
        <v>3000</v>
      </c>
      <c r="BG196" s="2">
        <v>5000</v>
      </c>
      <c r="BH196" s="2">
        <v>5000</v>
      </c>
      <c r="BI196" s="2">
        <v>3000</v>
      </c>
      <c r="BJ196" s="2">
        <v>-1500</v>
      </c>
      <c r="BK196" s="2">
        <v>1000</v>
      </c>
      <c r="BL196" s="2">
        <v>1000</v>
      </c>
      <c r="BO196" s="2">
        <f t="shared" ref="BO196:BO259" si="126">(AI195-AI196)*B196</f>
        <v>0</v>
      </c>
      <c r="BP196" s="2">
        <f t="shared" si="93"/>
        <v>0</v>
      </c>
      <c r="BQ196" s="2">
        <f t="shared" si="94"/>
        <v>0</v>
      </c>
      <c r="BR196" s="2">
        <f t="shared" si="95"/>
        <v>0</v>
      </c>
      <c r="BS196" s="2">
        <f t="shared" si="96"/>
        <v>0</v>
      </c>
      <c r="BT196" s="2">
        <f t="shared" si="97"/>
        <v>0</v>
      </c>
      <c r="BU196" s="2">
        <f t="shared" si="98"/>
        <v>0</v>
      </c>
      <c r="BV196" s="2">
        <f t="shared" si="99"/>
        <v>0</v>
      </c>
      <c r="BW196" s="2">
        <f t="shared" si="100"/>
        <v>0</v>
      </c>
      <c r="BX196" s="2">
        <f t="shared" si="101"/>
        <v>0</v>
      </c>
      <c r="BY196" s="2">
        <f t="shared" si="102"/>
        <v>0</v>
      </c>
      <c r="BZ196" s="2">
        <f t="shared" si="103"/>
        <v>0</v>
      </c>
      <c r="CA196" s="2">
        <f t="shared" si="104"/>
        <v>0</v>
      </c>
      <c r="CB196" s="2">
        <f t="shared" si="105"/>
        <v>0</v>
      </c>
      <c r="CC196" s="2">
        <f t="shared" si="106"/>
        <v>0</v>
      </c>
      <c r="CD196" s="2">
        <f t="shared" si="107"/>
        <v>0</v>
      </c>
      <c r="CE196" s="2">
        <f t="shared" si="108"/>
        <v>0</v>
      </c>
      <c r="CF196" s="2">
        <f t="shared" si="109"/>
        <v>434.14000000000004</v>
      </c>
      <c r="CG196" s="2">
        <f t="shared" si="110"/>
        <v>3954.86</v>
      </c>
      <c r="CH196" s="2">
        <f t="shared" si="111"/>
        <v>101.58</v>
      </c>
      <c r="CI196" s="2">
        <f t="shared" si="112"/>
        <v>0</v>
      </c>
      <c r="CJ196" s="2">
        <f t="shared" si="113"/>
        <v>0</v>
      </c>
      <c r="CK196" s="2">
        <f t="shared" si="114"/>
        <v>0</v>
      </c>
      <c r="CL196" s="2">
        <f t="shared" si="115"/>
        <v>0</v>
      </c>
      <c r="CM196" s="2">
        <f t="shared" si="87"/>
        <v>0</v>
      </c>
      <c r="CN196" s="2">
        <f t="shared" si="88"/>
        <v>0</v>
      </c>
      <c r="CO196" s="2">
        <f t="shared" si="89"/>
        <v>0</v>
      </c>
      <c r="CP196" s="2">
        <f t="shared" si="90"/>
        <v>0</v>
      </c>
      <c r="CQ196" s="2">
        <f t="shared" si="91"/>
        <v>0</v>
      </c>
      <c r="CR196" s="2">
        <f t="shared" si="92"/>
        <v>0</v>
      </c>
      <c r="CV196" t="s">
        <v>64</v>
      </c>
      <c r="CW196" t="s">
        <v>269</v>
      </c>
      <c r="CX196" t="s">
        <v>5</v>
      </c>
      <c r="CY196" s="4">
        <v>43224</v>
      </c>
      <c r="CZ196" t="s">
        <v>65</v>
      </c>
      <c r="DA196" t="s">
        <v>66</v>
      </c>
      <c r="DB196">
        <v>10</v>
      </c>
      <c r="DC196">
        <v>44.3</v>
      </c>
      <c r="DD196" t="s">
        <v>69</v>
      </c>
      <c r="DE196" t="s">
        <v>70</v>
      </c>
      <c r="DF196">
        <v>443</v>
      </c>
    </row>
    <row r="197" spans="1:110" x14ac:dyDescent="0.25">
      <c r="A197" s="1">
        <v>43019</v>
      </c>
      <c r="B197">
        <v>153.03</v>
      </c>
      <c r="C197">
        <v>90.6</v>
      </c>
      <c r="D197">
        <v>253.76</v>
      </c>
      <c r="E197">
        <v>124.24</v>
      </c>
      <c r="F197">
        <v>32.35</v>
      </c>
      <c r="G197">
        <v>112.7</v>
      </c>
      <c r="H197">
        <v>96.24</v>
      </c>
      <c r="I197">
        <v>69.61</v>
      </c>
      <c r="J197">
        <v>238.36</v>
      </c>
      <c r="K197">
        <v>160.78</v>
      </c>
      <c r="L197">
        <v>138.22</v>
      </c>
      <c r="M197">
        <v>37.869999999999997</v>
      </c>
      <c r="N197">
        <v>132.22999999999999</v>
      </c>
      <c r="O197">
        <v>93.91</v>
      </c>
      <c r="P197">
        <v>44.2</v>
      </c>
      <c r="Q197">
        <v>158.18</v>
      </c>
      <c r="R197">
        <v>208.42</v>
      </c>
      <c r="S197">
        <v>61.36</v>
      </c>
      <c r="T197">
        <v>74.739999999999995</v>
      </c>
      <c r="U197">
        <v>50.29</v>
      </c>
      <c r="V197">
        <v>34.57</v>
      </c>
      <c r="W197">
        <v>87</v>
      </c>
      <c r="X197">
        <v>122.07</v>
      </c>
      <c r="Y197">
        <v>192.01</v>
      </c>
      <c r="Z197">
        <v>113.8</v>
      </c>
      <c r="AA197">
        <v>107.34</v>
      </c>
      <c r="AB197">
        <v>46.16</v>
      </c>
      <c r="AC197">
        <v>66.510000000000005</v>
      </c>
      <c r="AD197">
        <v>83.3</v>
      </c>
      <c r="AE197">
        <v>77.72</v>
      </c>
      <c r="AI197" s="2">
        <v>0</v>
      </c>
      <c r="AJ197" s="2">
        <f t="shared" si="123"/>
        <v>1130</v>
      </c>
      <c r="AK197" s="2">
        <f t="shared" si="123"/>
        <v>1130</v>
      </c>
      <c r="AL197" s="2">
        <f t="shared" si="123"/>
        <v>1130</v>
      </c>
      <c r="AM197" s="2">
        <f t="shared" si="123"/>
        <v>1130</v>
      </c>
      <c r="AN197" s="2">
        <f t="shared" si="123"/>
        <v>1130</v>
      </c>
      <c r="AO197" s="2">
        <f t="shared" si="123"/>
        <v>1130</v>
      </c>
      <c r="AP197" s="2">
        <f t="shared" si="123"/>
        <v>1010</v>
      </c>
      <c r="AQ197" s="2">
        <v>1000</v>
      </c>
      <c r="AR197" s="2">
        <v>0</v>
      </c>
      <c r="AS197" s="2">
        <v>1000</v>
      </c>
      <c r="AT197" s="2">
        <v>0</v>
      </c>
      <c r="AU197" s="2">
        <v>1000</v>
      </c>
      <c r="AV197" s="2">
        <v>1000</v>
      </c>
      <c r="AW197" s="2">
        <v>0</v>
      </c>
      <c r="AX197" s="2">
        <v>0</v>
      </c>
      <c r="AY197" s="2">
        <v>0</v>
      </c>
      <c r="AZ197" s="2">
        <v>993</v>
      </c>
      <c r="BA197" s="2">
        <v>901</v>
      </c>
      <c r="BB197" s="2">
        <v>934</v>
      </c>
      <c r="BC197" s="2">
        <v>-1000</v>
      </c>
      <c r="BD197" s="2">
        <v>-5000</v>
      </c>
      <c r="BE197" s="2">
        <v>5000</v>
      </c>
      <c r="BF197" s="2">
        <v>3000</v>
      </c>
      <c r="BG197" s="2">
        <v>5000</v>
      </c>
      <c r="BH197" s="2">
        <v>5000</v>
      </c>
      <c r="BI197" s="2">
        <v>3000</v>
      </c>
      <c r="BJ197" s="2">
        <v>-1500</v>
      </c>
      <c r="BK197" s="2">
        <v>1000</v>
      </c>
      <c r="BL197" s="2">
        <v>1000</v>
      </c>
      <c r="BO197" s="2">
        <f t="shared" si="126"/>
        <v>0</v>
      </c>
      <c r="BP197" s="2">
        <f t="shared" si="93"/>
        <v>0</v>
      </c>
      <c r="BQ197" s="2">
        <f t="shared" si="94"/>
        <v>0</v>
      </c>
      <c r="BR197" s="2">
        <f t="shared" si="95"/>
        <v>0</v>
      </c>
      <c r="BS197" s="2">
        <f t="shared" si="96"/>
        <v>0</v>
      </c>
      <c r="BT197" s="2">
        <f t="shared" si="97"/>
        <v>0</v>
      </c>
      <c r="BU197" s="2">
        <f t="shared" si="98"/>
        <v>0</v>
      </c>
      <c r="BV197" s="2">
        <f t="shared" si="99"/>
        <v>0</v>
      </c>
      <c r="BW197" s="2">
        <f t="shared" si="100"/>
        <v>0</v>
      </c>
      <c r="BX197" s="2">
        <f t="shared" si="101"/>
        <v>0</v>
      </c>
      <c r="BY197" s="2">
        <f t="shared" si="102"/>
        <v>0</v>
      </c>
      <c r="BZ197" s="2">
        <f t="shared" si="103"/>
        <v>0</v>
      </c>
      <c r="CA197" s="2">
        <f t="shared" si="104"/>
        <v>0</v>
      </c>
      <c r="CB197" s="2">
        <f t="shared" si="105"/>
        <v>0</v>
      </c>
      <c r="CC197" s="2">
        <f t="shared" si="106"/>
        <v>0</v>
      </c>
      <c r="CD197" s="2">
        <f t="shared" si="107"/>
        <v>0</v>
      </c>
      <c r="CE197" s="2">
        <f t="shared" si="108"/>
        <v>0</v>
      </c>
      <c r="CF197" s="2">
        <f t="shared" si="109"/>
        <v>-1165.8399999999999</v>
      </c>
      <c r="CG197" s="2">
        <f t="shared" si="110"/>
        <v>10089.9</v>
      </c>
      <c r="CH197" s="2">
        <f t="shared" si="111"/>
        <v>3470.0099999999998</v>
      </c>
      <c r="CI197" s="2">
        <f t="shared" si="112"/>
        <v>0</v>
      </c>
      <c r="CJ197" s="2">
        <f t="shared" si="113"/>
        <v>0</v>
      </c>
      <c r="CK197" s="2">
        <f t="shared" si="114"/>
        <v>0</v>
      </c>
      <c r="CL197" s="2">
        <f t="shared" si="115"/>
        <v>0</v>
      </c>
      <c r="CM197" s="2">
        <f t="shared" si="87"/>
        <v>0</v>
      </c>
      <c r="CN197" s="2">
        <f t="shared" si="88"/>
        <v>0</v>
      </c>
      <c r="CO197" s="2">
        <f t="shared" si="89"/>
        <v>0</v>
      </c>
      <c r="CP197" s="2">
        <f t="shared" si="90"/>
        <v>0</v>
      </c>
      <c r="CQ197" s="2">
        <f t="shared" si="91"/>
        <v>0</v>
      </c>
      <c r="CR197" s="2">
        <f t="shared" si="92"/>
        <v>0</v>
      </c>
      <c r="CV197" t="s">
        <v>64</v>
      </c>
      <c r="CW197" t="s">
        <v>270</v>
      </c>
      <c r="CX197" t="s">
        <v>5</v>
      </c>
      <c r="CY197" s="4">
        <v>43244</v>
      </c>
      <c r="CZ197" t="s">
        <v>65</v>
      </c>
      <c r="DA197" t="s">
        <v>66</v>
      </c>
      <c r="DB197">
        <v>10</v>
      </c>
      <c r="DC197">
        <v>42.61</v>
      </c>
      <c r="DD197" t="s">
        <v>69</v>
      </c>
      <c r="DE197" t="s">
        <v>70</v>
      </c>
      <c r="DF197">
        <v>426.1</v>
      </c>
    </row>
    <row r="198" spans="1:110" x14ac:dyDescent="0.25">
      <c r="A198" s="1">
        <v>43020</v>
      </c>
      <c r="B198">
        <v>152.49</v>
      </c>
      <c r="C198">
        <v>90.25</v>
      </c>
      <c r="D198">
        <v>254.22</v>
      </c>
      <c r="E198">
        <v>125.58</v>
      </c>
      <c r="F198">
        <v>32.03</v>
      </c>
      <c r="G198">
        <v>112.52</v>
      </c>
      <c r="H198">
        <v>94.66</v>
      </c>
      <c r="I198">
        <v>69.39</v>
      </c>
      <c r="J198">
        <v>235.8</v>
      </c>
      <c r="K198">
        <v>160.13999999999999</v>
      </c>
      <c r="L198">
        <v>137.66999999999999</v>
      </c>
      <c r="M198">
        <v>37.76</v>
      </c>
      <c r="N198">
        <v>132.41</v>
      </c>
      <c r="O198">
        <v>93.08</v>
      </c>
      <c r="P198">
        <v>44.21</v>
      </c>
      <c r="Q198">
        <v>158.91</v>
      </c>
      <c r="R198">
        <v>209.46</v>
      </c>
      <c r="S198">
        <v>61.41</v>
      </c>
      <c r="T198">
        <v>75.430000000000007</v>
      </c>
      <c r="U198">
        <v>50.1</v>
      </c>
      <c r="V198">
        <v>34.479999999999997</v>
      </c>
      <c r="W198">
        <v>87.66</v>
      </c>
      <c r="X198">
        <v>122.4</v>
      </c>
      <c r="Y198">
        <v>189.71</v>
      </c>
      <c r="Z198">
        <v>114.84</v>
      </c>
      <c r="AA198">
        <v>107.02</v>
      </c>
      <c r="AB198">
        <v>45.68</v>
      </c>
      <c r="AC198">
        <v>66.59</v>
      </c>
      <c r="AD198">
        <v>83.66</v>
      </c>
      <c r="AE198">
        <v>77.56</v>
      </c>
      <c r="AI198" s="2">
        <v>0</v>
      </c>
      <c r="AJ198" s="2">
        <f t="shared" ref="AJ198:AP198" si="127">AJ197+10</f>
        <v>1140</v>
      </c>
      <c r="AK198" s="2">
        <f t="shared" si="127"/>
        <v>1140</v>
      </c>
      <c r="AL198" s="2">
        <f t="shared" si="127"/>
        <v>1140</v>
      </c>
      <c r="AM198" s="2">
        <f t="shared" si="127"/>
        <v>1140</v>
      </c>
      <c r="AN198" s="2">
        <f t="shared" si="127"/>
        <v>1140</v>
      </c>
      <c r="AO198" s="2">
        <f t="shared" si="127"/>
        <v>1140</v>
      </c>
      <c r="AP198" s="2">
        <f t="shared" si="127"/>
        <v>1020</v>
      </c>
      <c r="AQ198" s="2">
        <v>1000</v>
      </c>
      <c r="AR198" s="2">
        <v>0</v>
      </c>
      <c r="AS198" s="2">
        <v>1000</v>
      </c>
      <c r="AT198" s="2">
        <v>0</v>
      </c>
      <c r="AU198" s="2">
        <v>1000</v>
      </c>
      <c r="AV198" s="2">
        <v>1000</v>
      </c>
      <c r="AW198" s="2">
        <v>0</v>
      </c>
      <c r="AX198" s="2">
        <v>0</v>
      </c>
      <c r="AY198" s="2">
        <v>0</v>
      </c>
      <c r="AZ198" s="2">
        <v>1020</v>
      </c>
      <c r="BA198" s="2">
        <v>933</v>
      </c>
      <c r="BB198" s="2">
        <v>1010</v>
      </c>
      <c r="BC198" s="2">
        <v>-1000</v>
      </c>
      <c r="BD198" s="2">
        <v>-5000</v>
      </c>
      <c r="BE198" s="2">
        <v>5000</v>
      </c>
      <c r="BF198" s="2">
        <v>3000</v>
      </c>
      <c r="BG198" s="2">
        <v>5000</v>
      </c>
      <c r="BH198" s="2">
        <v>5000</v>
      </c>
      <c r="BI198" s="2">
        <v>3000</v>
      </c>
      <c r="BJ198" s="2">
        <v>-1500</v>
      </c>
      <c r="BK198" s="2">
        <v>1000</v>
      </c>
      <c r="BL198" s="2">
        <v>1000</v>
      </c>
      <c r="BO198" s="2">
        <f t="shared" si="126"/>
        <v>0</v>
      </c>
      <c r="BP198" s="2">
        <f t="shared" si="93"/>
        <v>-902.5</v>
      </c>
      <c r="BQ198" s="2">
        <f t="shared" si="94"/>
        <v>-2542.1999999999998</v>
      </c>
      <c r="BR198" s="2">
        <f t="shared" si="95"/>
        <v>-1255.8</v>
      </c>
      <c r="BS198" s="2">
        <f t="shared" si="96"/>
        <v>-320.3</v>
      </c>
      <c r="BT198" s="2">
        <f t="shared" si="97"/>
        <v>-1125.2</v>
      </c>
      <c r="BU198" s="2">
        <f t="shared" si="98"/>
        <v>-946.59999999999991</v>
      </c>
      <c r="BV198" s="2">
        <f t="shared" si="99"/>
        <v>-693.9</v>
      </c>
      <c r="BW198" s="2">
        <f t="shared" si="100"/>
        <v>0</v>
      </c>
      <c r="BX198" s="2">
        <f t="shared" si="101"/>
        <v>0</v>
      </c>
      <c r="BY198" s="2">
        <f t="shared" si="102"/>
        <v>0</v>
      </c>
      <c r="BZ198" s="2">
        <f t="shared" si="103"/>
        <v>0</v>
      </c>
      <c r="CA198" s="2">
        <f t="shared" si="104"/>
        <v>0</v>
      </c>
      <c r="CB198" s="2">
        <f t="shared" si="105"/>
        <v>0</v>
      </c>
      <c r="CC198" s="2">
        <f t="shared" si="106"/>
        <v>0</v>
      </c>
      <c r="CD198" s="2">
        <f t="shared" si="107"/>
        <v>0</v>
      </c>
      <c r="CE198" s="2">
        <f t="shared" si="108"/>
        <v>0</v>
      </c>
      <c r="CF198" s="2">
        <f t="shared" si="109"/>
        <v>-1658.07</v>
      </c>
      <c r="CG198" s="2">
        <f t="shared" si="110"/>
        <v>-2413.7600000000002</v>
      </c>
      <c r="CH198" s="2">
        <f t="shared" si="111"/>
        <v>-3807.6</v>
      </c>
      <c r="CI198" s="2">
        <f t="shared" si="112"/>
        <v>0</v>
      </c>
      <c r="CJ198" s="2">
        <f t="shared" si="113"/>
        <v>0</v>
      </c>
      <c r="CK198" s="2">
        <f t="shared" si="114"/>
        <v>0</v>
      </c>
      <c r="CL198" s="2">
        <f t="shared" si="115"/>
        <v>0</v>
      </c>
      <c r="CM198" s="2">
        <f t="shared" si="87"/>
        <v>0</v>
      </c>
      <c r="CN198" s="2">
        <f t="shared" si="88"/>
        <v>0</v>
      </c>
      <c r="CO198" s="2">
        <f t="shared" si="89"/>
        <v>0</v>
      </c>
      <c r="CP198" s="2">
        <f t="shared" si="90"/>
        <v>0</v>
      </c>
      <c r="CQ198" s="2">
        <f t="shared" si="91"/>
        <v>0</v>
      </c>
      <c r="CR198" s="2">
        <f t="shared" si="92"/>
        <v>0</v>
      </c>
      <c r="CV198" t="s">
        <v>64</v>
      </c>
      <c r="CW198" t="s">
        <v>271</v>
      </c>
      <c r="CX198" t="s">
        <v>5</v>
      </c>
      <c r="CY198" s="4">
        <v>43265</v>
      </c>
      <c r="CZ198" t="s">
        <v>65</v>
      </c>
      <c r="DA198" t="s">
        <v>66</v>
      </c>
      <c r="DB198">
        <v>10</v>
      </c>
      <c r="DC198">
        <v>43.71</v>
      </c>
      <c r="DD198" t="s">
        <v>69</v>
      </c>
      <c r="DE198" t="s">
        <v>70</v>
      </c>
      <c r="DF198">
        <v>437.1</v>
      </c>
    </row>
    <row r="199" spans="1:110" x14ac:dyDescent="0.25">
      <c r="A199" s="1">
        <v>43021</v>
      </c>
      <c r="B199">
        <v>153.46</v>
      </c>
      <c r="C199">
        <v>91.48</v>
      </c>
      <c r="D199">
        <v>253.08</v>
      </c>
      <c r="E199">
        <v>126.28</v>
      </c>
      <c r="F199">
        <v>32.229999999999997</v>
      </c>
      <c r="G199">
        <v>112.54</v>
      </c>
      <c r="H199">
        <v>95.09</v>
      </c>
      <c r="I199">
        <v>69.42</v>
      </c>
      <c r="J199">
        <v>234.55</v>
      </c>
      <c r="K199">
        <v>160.02000000000001</v>
      </c>
      <c r="L199">
        <v>137.74</v>
      </c>
      <c r="M199">
        <v>38.229999999999997</v>
      </c>
      <c r="N199">
        <v>132.02000000000001</v>
      </c>
      <c r="O199">
        <v>92.96</v>
      </c>
      <c r="P199">
        <v>44.27</v>
      </c>
      <c r="Q199">
        <v>160.33000000000001</v>
      </c>
      <c r="R199">
        <v>209.58</v>
      </c>
      <c r="S199">
        <v>60.99</v>
      </c>
      <c r="T199">
        <v>75.790000000000006</v>
      </c>
      <c r="U199">
        <v>50.24</v>
      </c>
      <c r="V199">
        <v>34.47</v>
      </c>
      <c r="W199">
        <v>88.5</v>
      </c>
      <c r="X199">
        <v>123.1</v>
      </c>
      <c r="Y199">
        <v>189.32</v>
      </c>
      <c r="Z199">
        <v>114.74</v>
      </c>
      <c r="AA199">
        <v>107.56</v>
      </c>
      <c r="AB199">
        <v>45.22</v>
      </c>
      <c r="AC199">
        <v>65.2</v>
      </c>
      <c r="AD199">
        <v>84.17</v>
      </c>
      <c r="AE199">
        <v>77.540000000000006</v>
      </c>
      <c r="AI199" s="2">
        <v>2500</v>
      </c>
      <c r="AJ199" s="2">
        <f t="shared" ref="AJ199:AP199" si="128">AJ198</f>
        <v>1140</v>
      </c>
      <c r="AK199" s="2">
        <f t="shared" si="128"/>
        <v>1140</v>
      </c>
      <c r="AL199" s="2">
        <f t="shared" si="128"/>
        <v>1140</v>
      </c>
      <c r="AM199" s="2">
        <f t="shared" si="128"/>
        <v>1140</v>
      </c>
      <c r="AN199" s="2">
        <f t="shared" si="128"/>
        <v>1140</v>
      </c>
      <c r="AO199" s="2">
        <f t="shared" si="128"/>
        <v>1140</v>
      </c>
      <c r="AP199" s="2">
        <f t="shared" si="128"/>
        <v>1020</v>
      </c>
      <c r="AQ199" s="2">
        <v>1000</v>
      </c>
      <c r="AR199" s="2">
        <v>0</v>
      </c>
      <c r="AS199" s="2">
        <v>1000</v>
      </c>
      <c r="AT199" s="2">
        <v>0</v>
      </c>
      <c r="AU199" s="2">
        <v>1000</v>
      </c>
      <c r="AV199" s="2">
        <v>1000</v>
      </c>
      <c r="AW199" s="2">
        <v>0</v>
      </c>
      <c r="AX199" s="2">
        <v>0</v>
      </c>
      <c r="AY199" s="2">
        <v>0</v>
      </c>
      <c r="AZ199" s="2">
        <v>987</v>
      </c>
      <c r="BA199" s="2">
        <v>961</v>
      </c>
      <c r="BB199" s="2">
        <v>1033</v>
      </c>
      <c r="BC199" s="2">
        <v>-1000</v>
      </c>
      <c r="BD199" s="2">
        <v>-5000</v>
      </c>
      <c r="BE199" s="2">
        <v>5000</v>
      </c>
      <c r="BF199" s="2">
        <v>3000</v>
      </c>
      <c r="BG199" s="2">
        <v>5000</v>
      </c>
      <c r="BH199" s="2">
        <v>5000</v>
      </c>
      <c r="BI199" s="2">
        <v>3000</v>
      </c>
      <c r="BJ199" s="2">
        <v>-1500</v>
      </c>
      <c r="BK199" s="2">
        <v>1000</v>
      </c>
      <c r="BL199" s="2">
        <v>1000</v>
      </c>
      <c r="BO199" s="2">
        <f t="shared" si="126"/>
        <v>-383650</v>
      </c>
      <c r="BP199" s="2">
        <f t="shared" si="93"/>
        <v>0</v>
      </c>
      <c r="BQ199" s="2">
        <f t="shared" si="94"/>
        <v>0</v>
      </c>
      <c r="BR199" s="2">
        <f t="shared" si="95"/>
        <v>0</v>
      </c>
      <c r="BS199" s="2">
        <f t="shared" si="96"/>
        <v>0</v>
      </c>
      <c r="BT199" s="2">
        <f t="shared" si="97"/>
        <v>0</v>
      </c>
      <c r="BU199" s="2">
        <f t="shared" si="98"/>
        <v>0</v>
      </c>
      <c r="BV199" s="2">
        <f t="shared" si="99"/>
        <v>0</v>
      </c>
      <c r="BW199" s="2">
        <f t="shared" si="100"/>
        <v>0</v>
      </c>
      <c r="BX199" s="2">
        <f t="shared" si="101"/>
        <v>0</v>
      </c>
      <c r="BY199" s="2">
        <f t="shared" si="102"/>
        <v>0</v>
      </c>
      <c r="BZ199" s="2">
        <f t="shared" si="103"/>
        <v>0</v>
      </c>
      <c r="CA199" s="2">
        <f t="shared" si="104"/>
        <v>0</v>
      </c>
      <c r="CB199" s="2">
        <f t="shared" si="105"/>
        <v>0</v>
      </c>
      <c r="CC199" s="2">
        <f t="shared" si="106"/>
        <v>0</v>
      </c>
      <c r="CD199" s="2">
        <f t="shared" si="107"/>
        <v>0</v>
      </c>
      <c r="CE199" s="2">
        <f t="shared" si="108"/>
        <v>0</v>
      </c>
      <c r="CF199" s="2">
        <f t="shared" si="109"/>
        <v>2012.67</v>
      </c>
      <c r="CG199" s="2">
        <f t="shared" si="110"/>
        <v>-2122.1200000000003</v>
      </c>
      <c r="CH199" s="2">
        <f t="shared" si="111"/>
        <v>-1155.52</v>
      </c>
      <c r="CI199" s="2">
        <f t="shared" si="112"/>
        <v>0</v>
      </c>
      <c r="CJ199" s="2">
        <f t="shared" si="113"/>
        <v>0</v>
      </c>
      <c r="CK199" s="2">
        <f t="shared" si="114"/>
        <v>0</v>
      </c>
      <c r="CL199" s="2">
        <f t="shared" si="115"/>
        <v>0</v>
      </c>
      <c r="CM199" s="2">
        <f t="shared" si="87"/>
        <v>0</v>
      </c>
      <c r="CN199" s="2">
        <f t="shared" si="88"/>
        <v>0</v>
      </c>
      <c r="CO199" s="2">
        <f t="shared" si="89"/>
        <v>0</v>
      </c>
      <c r="CP199" s="2">
        <f t="shared" si="90"/>
        <v>0</v>
      </c>
      <c r="CQ199" s="2">
        <f t="shared" si="91"/>
        <v>0</v>
      </c>
      <c r="CR199" s="2">
        <f t="shared" si="92"/>
        <v>0</v>
      </c>
      <c r="CV199" t="s">
        <v>64</v>
      </c>
      <c r="CW199" t="s">
        <v>272</v>
      </c>
      <c r="CX199" t="s">
        <v>5</v>
      </c>
      <c r="CY199" s="4">
        <v>43286</v>
      </c>
      <c r="CZ199" t="s">
        <v>65</v>
      </c>
      <c r="DA199" t="s">
        <v>66</v>
      </c>
      <c r="DB199">
        <v>10</v>
      </c>
      <c r="DC199">
        <v>41.95</v>
      </c>
      <c r="DD199" t="s">
        <v>69</v>
      </c>
      <c r="DE199" t="s">
        <v>70</v>
      </c>
      <c r="DF199">
        <v>419.5</v>
      </c>
    </row>
    <row r="200" spans="1:110" x14ac:dyDescent="0.25">
      <c r="A200" s="1">
        <v>43024</v>
      </c>
      <c r="B200">
        <v>156.28</v>
      </c>
      <c r="C200">
        <v>90.6</v>
      </c>
      <c r="D200">
        <v>252.12</v>
      </c>
      <c r="E200">
        <v>127.01</v>
      </c>
      <c r="F200">
        <v>32.299999999999997</v>
      </c>
      <c r="G200">
        <v>113.45</v>
      </c>
      <c r="H200">
        <v>95.83</v>
      </c>
      <c r="I200">
        <v>68.94</v>
      </c>
      <c r="J200">
        <v>238.37</v>
      </c>
      <c r="K200">
        <v>159.78</v>
      </c>
      <c r="L200">
        <v>137.47999999999999</v>
      </c>
      <c r="M200">
        <v>38.31</v>
      </c>
      <c r="N200">
        <v>131.72</v>
      </c>
      <c r="O200">
        <v>94.88</v>
      </c>
      <c r="P200">
        <v>44.7</v>
      </c>
      <c r="Q200">
        <v>159.97999999999999</v>
      </c>
      <c r="R200">
        <v>210.54</v>
      </c>
      <c r="S200">
        <v>60.94</v>
      </c>
      <c r="T200">
        <v>75.95</v>
      </c>
      <c r="U200">
        <v>50.63</v>
      </c>
      <c r="V200">
        <v>34.130000000000003</v>
      </c>
      <c r="W200">
        <v>88.6</v>
      </c>
      <c r="X200">
        <v>125.19</v>
      </c>
      <c r="Y200">
        <v>189.99</v>
      </c>
      <c r="Z200">
        <v>115.02</v>
      </c>
      <c r="AA200">
        <v>107.21</v>
      </c>
      <c r="AB200">
        <v>45.44</v>
      </c>
      <c r="AC200">
        <v>64.959999999999994</v>
      </c>
      <c r="AD200">
        <v>83.31</v>
      </c>
      <c r="AE200">
        <v>77.92</v>
      </c>
      <c r="AI200" s="2">
        <v>2500</v>
      </c>
      <c r="AJ200" s="2">
        <f t="shared" ref="AJ200:AP225" si="129">AJ199</f>
        <v>1140</v>
      </c>
      <c r="AK200" s="2">
        <f t="shared" si="129"/>
        <v>1140</v>
      </c>
      <c r="AL200" s="2">
        <f t="shared" si="129"/>
        <v>1140</v>
      </c>
      <c r="AM200" s="2">
        <f t="shared" si="129"/>
        <v>1140</v>
      </c>
      <c r="AN200" s="2">
        <f t="shared" si="129"/>
        <v>1140</v>
      </c>
      <c r="AO200" s="2">
        <f t="shared" si="129"/>
        <v>1140</v>
      </c>
      <c r="AP200" s="2">
        <f t="shared" si="129"/>
        <v>1020</v>
      </c>
      <c r="AQ200" s="2">
        <v>1000</v>
      </c>
      <c r="AR200" s="2">
        <v>0</v>
      </c>
      <c r="AS200" s="2">
        <v>1000</v>
      </c>
      <c r="AT200" s="2">
        <v>0</v>
      </c>
      <c r="AU200" s="2">
        <v>1000</v>
      </c>
      <c r="AV200" s="2">
        <v>1000</v>
      </c>
      <c r="AW200" s="2">
        <v>0</v>
      </c>
      <c r="AX200" s="2">
        <v>0</v>
      </c>
      <c r="AY200" s="2">
        <v>0</v>
      </c>
      <c r="AZ200" s="2">
        <v>991</v>
      </c>
      <c r="BA200" s="2">
        <v>1063</v>
      </c>
      <c r="BB200" s="2">
        <v>1038</v>
      </c>
      <c r="BC200" s="2">
        <v>-1000</v>
      </c>
      <c r="BD200" s="2">
        <v>-5000</v>
      </c>
      <c r="BE200" s="2">
        <v>5000</v>
      </c>
      <c r="BF200" s="2">
        <v>3000</v>
      </c>
      <c r="BG200" s="2">
        <v>5000</v>
      </c>
      <c r="BH200" s="2">
        <v>5000</v>
      </c>
      <c r="BI200" s="2">
        <v>3000</v>
      </c>
      <c r="BJ200" s="2">
        <v>-1500</v>
      </c>
      <c r="BK200" s="2">
        <v>1000</v>
      </c>
      <c r="BL200" s="2">
        <v>1000</v>
      </c>
      <c r="BO200" s="2">
        <f t="shared" si="126"/>
        <v>0</v>
      </c>
      <c r="BP200" s="2">
        <f t="shared" si="93"/>
        <v>0</v>
      </c>
      <c r="BQ200" s="2">
        <f t="shared" si="94"/>
        <v>0</v>
      </c>
      <c r="BR200" s="2">
        <f t="shared" si="95"/>
        <v>0</v>
      </c>
      <c r="BS200" s="2">
        <f t="shared" si="96"/>
        <v>0</v>
      </c>
      <c r="BT200" s="2">
        <f t="shared" si="97"/>
        <v>0</v>
      </c>
      <c r="BU200" s="2">
        <f t="shared" si="98"/>
        <v>0</v>
      </c>
      <c r="BV200" s="2">
        <f t="shared" si="99"/>
        <v>0</v>
      </c>
      <c r="BW200" s="2">
        <f t="shared" si="100"/>
        <v>0</v>
      </c>
      <c r="BX200" s="2">
        <f t="shared" si="101"/>
        <v>0</v>
      </c>
      <c r="BY200" s="2">
        <f t="shared" si="102"/>
        <v>0</v>
      </c>
      <c r="BZ200" s="2">
        <f t="shared" si="103"/>
        <v>0</v>
      </c>
      <c r="CA200" s="2">
        <f t="shared" si="104"/>
        <v>0</v>
      </c>
      <c r="CB200" s="2">
        <f t="shared" si="105"/>
        <v>0</v>
      </c>
      <c r="CC200" s="2">
        <f t="shared" si="106"/>
        <v>0</v>
      </c>
      <c r="CD200" s="2">
        <f t="shared" si="107"/>
        <v>0</v>
      </c>
      <c r="CE200" s="2">
        <f t="shared" si="108"/>
        <v>0</v>
      </c>
      <c r="CF200" s="2">
        <f t="shared" si="109"/>
        <v>-243.76</v>
      </c>
      <c r="CG200" s="2">
        <f t="shared" si="110"/>
        <v>-7746.9000000000005</v>
      </c>
      <c r="CH200" s="2">
        <f t="shared" si="111"/>
        <v>-253.15</v>
      </c>
      <c r="CI200" s="2">
        <f t="shared" si="112"/>
        <v>0</v>
      </c>
      <c r="CJ200" s="2">
        <f t="shared" si="113"/>
        <v>0</v>
      </c>
      <c r="CK200" s="2">
        <f t="shared" si="114"/>
        <v>0</v>
      </c>
      <c r="CL200" s="2">
        <f t="shared" si="115"/>
        <v>0</v>
      </c>
      <c r="CM200" s="2">
        <f t="shared" si="87"/>
        <v>0</v>
      </c>
      <c r="CN200" s="2">
        <f t="shared" si="88"/>
        <v>0</v>
      </c>
      <c r="CO200" s="2">
        <f t="shared" si="89"/>
        <v>0</v>
      </c>
      <c r="CP200" s="2">
        <f t="shared" si="90"/>
        <v>0</v>
      </c>
      <c r="CQ200" s="2">
        <f t="shared" si="91"/>
        <v>0</v>
      </c>
      <c r="CR200" s="2">
        <f t="shared" si="92"/>
        <v>0</v>
      </c>
      <c r="CV200" t="s">
        <v>64</v>
      </c>
      <c r="CW200" t="s">
        <v>273</v>
      </c>
      <c r="CX200" t="s">
        <v>5</v>
      </c>
      <c r="CY200" s="4">
        <v>43306</v>
      </c>
      <c r="CZ200" t="s">
        <v>65</v>
      </c>
      <c r="DA200" t="s">
        <v>66</v>
      </c>
      <c r="DB200">
        <v>10</v>
      </c>
      <c r="DC200">
        <v>42.54</v>
      </c>
      <c r="DD200" t="s">
        <v>69</v>
      </c>
      <c r="DE200" t="s">
        <v>70</v>
      </c>
      <c r="DF200">
        <v>425.4</v>
      </c>
    </row>
    <row r="201" spans="1:110" x14ac:dyDescent="0.25">
      <c r="A201" s="1">
        <v>43025</v>
      </c>
      <c r="B201">
        <v>156.86000000000001</v>
      </c>
      <c r="C201">
        <v>90.33</v>
      </c>
      <c r="D201">
        <v>251.02</v>
      </c>
      <c r="E201">
        <v>126.12</v>
      </c>
      <c r="F201">
        <v>32.36</v>
      </c>
      <c r="G201">
        <v>113.54</v>
      </c>
      <c r="H201">
        <v>96.05</v>
      </c>
      <c r="I201">
        <v>68.89</v>
      </c>
      <c r="J201">
        <v>232.15</v>
      </c>
      <c r="K201">
        <v>158.94</v>
      </c>
      <c r="L201">
        <v>137.21</v>
      </c>
      <c r="M201">
        <v>38.340000000000003</v>
      </c>
      <c r="N201">
        <v>136.24</v>
      </c>
      <c r="O201">
        <v>94.66</v>
      </c>
      <c r="P201">
        <v>44.6</v>
      </c>
      <c r="Q201">
        <v>160.36000000000001</v>
      </c>
      <c r="R201">
        <v>209.61</v>
      </c>
      <c r="S201">
        <v>60.82</v>
      </c>
      <c r="T201">
        <v>75.89</v>
      </c>
      <c r="U201">
        <v>51.25</v>
      </c>
      <c r="V201">
        <v>34.340000000000003</v>
      </c>
      <c r="W201">
        <v>88.28</v>
      </c>
      <c r="X201">
        <v>125.03</v>
      </c>
      <c r="Y201">
        <v>200.5</v>
      </c>
      <c r="Z201">
        <v>115.36</v>
      </c>
      <c r="AA201">
        <v>106.45</v>
      </c>
      <c r="AB201">
        <v>45.73</v>
      </c>
      <c r="AC201">
        <v>65.05</v>
      </c>
      <c r="AD201">
        <v>83.55</v>
      </c>
      <c r="AE201">
        <v>78.06</v>
      </c>
      <c r="AI201" s="2">
        <v>2500</v>
      </c>
      <c r="AJ201" s="2">
        <f t="shared" si="129"/>
        <v>1140</v>
      </c>
      <c r="AK201" s="2">
        <f t="shared" si="129"/>
        <v>1140</v>
      </c>
      <c r="AL201" s="2">
        <f t="shared" si="129"/>
        <v>1140</v>
      </c>
      <c r="AM201" s="2">
        <f t="shared" si="129"/>
        <v>1140</v>
      </c>
      <c r="AN201" s="2">
        <f t="shared" si="129"/>
        <v>1140</v>
      </c>
      <c r="AO201" s="2">
        <f t="shared" si="129"/>
        <v>1140</v>
      </c>
      <c r="AP201" s="2">
        <f t="shared" si="129"/>
        <v>1020</v>
      </c>
      <c r="AQ201" s="2">
        <v>1000</v>
      </c>
      <c r="AR201" s="2">
        <v>0</v>
      </c>
      <c r="AS201" s="2">
        <v>1000</v>
      </c>
      <c r="AT201" s="2">
        <v>0</v>
      </c>
      <c r="AU201" s="2">
        <v>1000</v>
      </c>
      <c r="AV201" s="2">
        <v>1000</v>
      </c>
      <c r="AW201" s="2">
        <v>0</v>
      </c>
      <c r="AX201" s="2">
        <v>0</v>
      </c>
      <c r="AY201" s="2">
        <v>0</v>
      </c>
      <c r="AZ201" s="2">
        <v>957</v>
      </c>
      <c r="BA201" s="2">
        <v>933</v>
      </c>
      <c r="BB201" s="2">
        <v>905</v>
      </c>
      <c r="BC201" s="2">
        <v>-1000</v>
      </c>
      <c r="BD201" s="2">
        <v>-5000</v>
      </c>
      <c r="BE201" s="2">
        <v>5000</v>
      </c>
      <c r="BF201" s="2">
        <v>3000</v>
      </c>
      <c r="BG201" s="2">
        <v>5000</v>
      </c>
      <c r="BH201" s="2">
        <v>5000</v>
      </c>
      <c r="BI201" s="2">
        <v>3000</v>
      </c>
      <c r="BJ201" s="2">
        <v>-1500</v>
      </c>
      <c r="BK201" s="2">
        <v>1000</v>
      </c>
      <c r="BL201" s="2">
        <v>1000</v>
      </c>
      <c r="BO201" s="2">
        <f t="shared" si="126"/>
        <v>0</v>
      </c>
      <c r="BP201" s="2">
        <f t="shared" si="93"/>
        <v>0</v>
      </c>
      <c r="BQ201" s="2">
        <f t="shared" si="94"/>
        <v>0</v>
      </c>
      <c r="BR201" s="2">
        <f t="shared" si="95"/>
        <v>0</v>
      </c>
      <c r="BS201" s="2">
        <f t="shared" si="96"/>
        <v>0</v>
      </c>
      <c r="BT201" s="2">
        <f t="shared" si="97"/>
        <v>0</v>
      </c>
      <c r="BU201" s="2">
        <f t="shared" si="98"/>
        <v>0</v>
      </c>
      <c r="BV201" s="2">
        <f t="shared" si="99"/>
        <v>0</v>
      </c>
      <c r="BW201" s="2">
        <f t="shared" si="100"/>
        <v>0</v>
      </c>
      <c r="BX201" s="2">
        <f t="shared" si="101"/>
        <v>0</v>
      </c>
      <c r="BY201" s="2">
        <f t="shared" si="102"/>
        <v>0</v>
      </c>
      <c r="BZ201" s="2">
        <f t="shared" si="103"/>
        <v>0</v>
      </c>
      <c r="CA201" s="2">
        <f t="shared" si="104"/>
        <v>0</v>
      </c>
      <c r="CB201" s="2">
        <f t="shared" si="105"/>
        <v>0</v>
      </c>
      <c r="CC201" s="2">
        <f t="shared" si="106"/>
        <v>0</v>
      </c>
      <c r="CD201" s="2">
        <f t="shared" si="107"/>
        <v>0</v>
      </c>
      <c r="CE201" s="2">
        <f t="shared" si="108"/>
        <v>0</v>
      </c>
      <c r="CF201" s="2">
        <f t="shared" si="109"/>
        <v>2067.88</v>
      </c>
      <c r="CG201" s="2">
        <f t="shared" si="110"/>
        <v>9865.7000000000007</v>
      </c>
      <c r="CH201" s="2">
        <f t="shared" si="111"/>
        <v>6816.25</v>
      </c>
      <c r="CI201" s="2">
        <f t="shared" si="112"/>
        <v>0</v>
      </c>
      <c r="CJ201" s="2">
        <f t="shared" si="113"/>
        <v>0</v>
      </c>
      <c r="CK201" s="2">
        <f t="shared" si="114"/>
        <v>0</v>
      </c>
      <c r="CL201" s="2">
        <f t="shared" si="115"/>
        <v>0</v>
      </c>
      <c r="CM201" s="2">
        <f t="shared" si="87"/>
        <v>0</v>
      </c>
      <c r="CN201" s="2">
        <f t="shared" si="88"/>
        <v>0</v>
      </c>
      <c r="CO201" s="2">
        <f t="shared" si="89"/>
        <v>0</v>
      </c>
      <c r="CP201" s="2">
        <f t="shared" si="90"/>
        <v>0</v>
      </c>
      <c r="CQ201" s="2">
        <f t="shared" si="91"/>
        <v>0</v>
      </c>
      <c r="CR201" s="2">
        <f t="shared" si="92"/>
        <v>0</v>
      </c>
      <c r="CV201" t="s">
        <v>64</v>
      </c>
      <c r="CW201" t="s">
        <v>274</v>
      </c>
      <c r="CX201" t="s">
        <v>5</v>
      </c>
      <c r="CY201" s="4">
        <v>43326</v>
      </c>
      <c r="CZ201" t="s">
        <v>65</v>
      </c>
      <c r="DA201" t="s">
        <v>66</v>
      </c>
      <c r="DB201">
        <v>10</v>
      </c>
      <c r="DC201">
        <v>43.37</v>
      </c>
      <c r="DD201" t="s">
        <v>69</v>
      </c>
      <c r="DE201" t="s">
        <v>70</v>
      </c>
      <c r="DF201">
        <v>433.7</v>
      </c>
    </row>
    <row r="202" spans="1:110" x14ac:dyDescent="0.25">
      <c r="A202" s="1">
        <v>43026</v>
      </c>
      <c r="B202">
        <v>156.16</v>
      </c>
      <c r="C202">
        <v>90.71</v>
      </c>
      <c r="D202">
        <v>252.4</v>
      </c>
      <c r="E202">
        <v>126.84</v>
      </c>
      <c r="F202">
        <v>32.31</v>
      </c>
      <c r="G202">
        <v>111.58</v>
      </c>
      <c r="H202">
        <v>95.94</v>
      </c>
      <c r="I202">
        <v>68.790000000000006</v>
      </c>
      <c r="J202">
        <v>237.99</v>
      </c>
      <c r="K202">
        <v>159.03</v>
      </c>
      <c r="L202">
        <v>149.38</v>
      </c>
      <c r="M202">
        <v>38.79</v>
      </c>
      <c r="N202">
        <v>136.13</v>
      </c>
      <c r="O202">
        <v>95.02</v>
      </c>
      <c r="P202">
        <v>44.48</v>
      </c>
      <c r="Q202">
        <v>160.72</v>
      </c>
      <c r="R202">
        <v>210.11</v>
      </c>
      <c r="S202">
        <v>61.1</v>
      </c>
      <c r="T202">
        <v>75.91</v>
      </c>
      <c r="U202">
        <v>51.54</v>
      </c>
      <c r="V202">
        <v>33.979999999999997</v>
      </c>
      <c r="W202">
        <v>88.25</v>
      </c>
      <c r="X202">
        <v>126.36</v>
      </c>
      <c r="Y202">
        <v>201.82</v>
      </c>
      <c r="Z202">
        <v>115.18</v>
      </c>
      <c r="AA202">
        <v>106.71</v>
      </c>
      <c r="AB202">
        <v>45.97</v>
      </c>
      <c r="AC202">
        <v>65.37</v>
      </c>
      <c r="AD202">
        <v>83.78</v>
      </c>
      <c r="AE202">
        <v>77.87</v>
      </c>
      <c r="AI202" s="2">
        <v>2500</v>
      </c>
      <c r="AJ202" s="2">
        <f t="shared" si="129"/>
        <v>1140</v>
      </c>
      <c r="AK202" s="2">
        <f t="shared" si="129"/>
        <v>1140</v>
      </c>
      <c r="AL202" s="2">
        <f t="shared" si="129"/>
        <v>1140</v>
      </c>
      <c r="AM202" s="2">
        <f t="shared" si="129"/>
        <v>1140</v>
      </c>
      <c r="AN202" s="2">
        <f t="shared" si="129"/>
        <v>1140</v>
      </c>
      <c r="AO202" s="2">
        <f t="shared" si="129"/>
        <v>1140</v>
      </c>
      <c r="AP202" s="2">
        <f t="shared" si="129"/>
        <v>1020</v>
      </c>
      <c r="AQ202" s="2">
        <v>1000</v>
      </c>
      <c r="AR202" s="2">
        <v>0</v>
      </c>
      <c r="AS202" s="2">
        <v>1000</v>
      </c>
      <c r="AT202" s="2">
        <v>0</v>
      </c>
      <c r="AU202" s="2">
        <v>1000</v>
      </c>
      <c r="AV202" s="2">
        <v>1000</v>
      </c>
      <c r="AW202" s="2">
        <v>0</v>
      </c>
      <c r="AX202" s="2">
        <v>0</v>
      </c>
      <c r="AY202" s="2">
        <v>0</v>
      </c>
      <c r="AZ202" s="2">
        <v>998</v>
      </c>
      <c r="BA202" s="2">
        <v>1095</v>
      </c>
      <c r="BB202" s="2">
        <v>988</v>
      </c>
      <c r="BC202" s="2">
        <v>-1000</v>
      </c>
      <c r="BD202" s="2">
        <v>-5000</v>
      </c>
      <c r="BE202" s="2">
        <v>5000</v>
      </c>
      <c r="BF202" s="2">
        <v>3000</v>
      </c>
      <c r="BG202" s="2">
        <v>5000</v>
      </c>
      <c r="BH202" s="2">
        <v>5000</v>
      </c>
      <c r="BI202" s="2">
        <v>3000</v>
      </c>
      <c r="BJ202" s="2">
        <v>-1500</v>
      </c>
      <c r="BK202" s="2">
        <v>1000</v>
      </c>
      <c r="BL202" s="2">
        <v>1000</v>
      </c>
      <c r="BO202" s="2">
        <f t="shared" si="126"/>
        <v>0</v>
      </c>
      <c r="BP202" s="2">
        <f t="shared" si="93"/>
        <v>0</v>
      </c>
      <c r="BQ202" s="2">
        <f t="shared" si="94"/>
        <v>0</v>
      </c>
      <c r="BR202" s="2">
        <f t="shared" si="95"/>
        <v>0</v>
      </c>
      <c r="BS202" s="2">
        <f t="shared" si="96"/>
        <v>0</v>
      </c>
      <c r="BT202" s="2">
        <f t="shared" si="97"/>
        <v>0</v>
      </c>
      <c r="BU202" s="2">
        <f t="shared" si="98"/>
        <v>0</v>
      </c>
      <c r="BV202" s="2">
        <f t="shared" si="99"/>
        <v>0</v>
      </c>
      <c r="BW202" s="2">
        <f t="shared" si="100"/>
        <v>0</v>
      </c>
      <c r="BX202" s="2">
        <f t="shared" si="101"/>
        <v>0</v>
      </c>
      <c r="BY202" s="2">
        <f t="shared" si="102"/>
        <v>0</v>
      </c>
      <c r="BZ202" s="2">
        <f t="shared" si="103"/>
        <v>0</v>
      </c>
      <c r="CA202" s="2">
        <f t="shared" si="104"/>
        <v>0</v>
      </c>
      <c r="CB202" s="2">
        <f t="shared" si="105"/>
        <v>0</v>
      </c>
      <c r="CC202" s="2">
        <f t="shared" si="106"/>
        <v>0</v>
      </c>
      <c r="CD202" s="2">
        <f t="shared" si="107"/>
        <v>0</v>
      </c>
      <c r="CE202" s="2">
        <f t="shared" si="108"/>
        <v>0</v>
      </c>
      <c r="CF202" s="2">
        <f t="shared" si="109"/>
        <v>-2505.1</v>
      </c>
      <c r="CG202" s="2">
        <f t="shared" si="110"/>
        <v>-12297.42</v>
      </c>
      <c r="CH202" s="2">
        <f t="shared" si="111"/>
        <v>-4277.82</v>
      </c>
      <c r="CI202" s="2">
        <f t="shared" si="112"/>
        <v>0</v>
      </c>
      <c r="CJ202" s="2">
        <f t="shared" si="113"/>
        <v>0</v>
      </c>
      <c r="CK202" s="2">
        <f t="shared" si="114"/>
        <v>0</v>
      </c>
      <c r="CL202" s="2">
        <f t="shared" si="115"/>
        <v>0</v>
      </c>
      <c r="CM202" s="2">
        <f t="shared" si="87"/>
        <v>0</v>
      </c>
      <c r="CN202" s="2">
        <f t="shared" si="88"/>
        <v>0</v>
      </c>
      <c r="CO202" s="2">
        <f t="shared" si="89"/>
        <v>0</v>
      </c>
      <c r="CP202" s="2">
        <f t="shared" si="90"/>
        <v>0</v>
      </c>
      <c r="CQ202" s="2">
        <f t="shared" si="91"/>
        <v>0</v>
      </c>
      <c r="CR202" s="2">
        <f t="shared" si="92"/>
        <v>0</v>
      </c>
      <c r="CV202" t="s">
        <v>64</v>
      </c>
      <c r="CW202" t="s">
        <v>275</v>
      </c>
      <c r="CX202" t="s">
        <v>5</v>
      </c>
      <c r="CY202" s="4">
        <v>43347</v>
      </c>
      <c r="CZ202" t="s">
        <v>65</v>
      </c>
      <c r="DA202" t="s">
        <v>66</v>
      </c>
      <c r="DB202">
        <v>10</v>
      </c>
      <c r="DC202">
        <v>47.05</v>
      </c>
      <c r="DD202" t="s">
        <v>69</v>
      </c>
      <c r="DE202" t="s">
        <v>70</v>
      </c>
      <c r="DF202">
        <v>470.5</v>
      </c>
    </row>
    <row r="203" spans="1:110" x14ac:dyDescent="0.25">
      <c r="A203" s="1">
        <v>43027</v>
      </c>
      <c r="B203">
        <v>152.47</v>
      </c>
      <c r="C203">
        <v>90.54</v>
      </c>
      <c r="D203">
        <v>251.43</v>
      </c>
      <c r="E203">
        <v>127.09</v>
      </c>
      <c r="F203">
        <v>32.5</v>
      </c>
      <c r="G203">
        <v>111.63</v>
      </c>
      <c r="H203">
        <v>96.69</v>
      </c>
      <c r="I203">
        <v>68.900000000000006</v>
      </c>
      <c r="J203">
        <v>235.99</v>
      </c>
      <c r="K203">
        <v>158.83000000000001</v>
      </c>
      <c r="L203">
        <v>150.66</v>
      </c>
      <c r="M203">
        <v>38.630000000000003</v>
      </c>
      <c r="N203">
        <v>137.44999999999999</v>
      </c>
      <c r="O203">
        <v>95.14</v>
      </c>
      <c r="P203">
        <v>44.67</v>
      </c>
      <c r="Q203">
        <v>161.43</v>
      </c>
      <c r="R203">
        <v>211.04</v>
      </c>
      <c r="S203">
        <v>61.33</v>
      </c>
      <c r="T203">
        <v>76.2</v>
      </c>
      <c r="U203">
        <v>51.93</v>
      </c>
      <c r="V203">
        <v>34.369999999999997</v>
      </c>
      <c r="W203">
        <v>87.78</v>
      </c>
      <c r="X203">
        <v>129.41999999999999</v>
      </c>
      <c r="Y203">
        <v>199.87</v>
      </c>
      <c r="Z203">
        <v>115.48</v>
      </c>
      <c r="AA203">
        <v>105.94</v>
      </c>
      <c r="AB203">
        <v>46.5</v>
      </c>
      <c r="AC203">
        <v>64.849999999999994</v>
      </c>
      <c r="AD203">
        <v>83.95</v>
      </c>
      <c r="AE203">
        <v>77.849999999999994</v>
      </c>
      <c r="AI203" s="2">
        <v>2500</v>
      </c>
      <c r="AJ203" s="2">
        <f t="shared" si="129"/>
        <v>1140</v>
      </c>
      <c r="AK203" s="2">
        <f t="shared" si="129"/>
        <v>1140</v>
      </c>
      <c r="AL203" s="2">
        <f t="shared" si="129"/>
        <v>1140</v>
      </c>
      <c r="AM203" s="2">
        <f t="shared" si="129"/>
        <v>1140</v>
      </c>
      <c r="AN203" s="2">
        <f t="shared" si="129"/>
        <v>1140</v>
      </c>
      <c r="AO203" s="2">
        <f t="shared" si="129"/>
        <v>1140</v>
      </c>
      <c r="AP203" s="2">
        <f t="shared" si="129"/>
        <v>1020</v>
      </c>
      <c r="AQ203" s="2">
        <v>1000</v>
      </c>
      <c r="AR203" s="2">
        <v>0</v>
      </c>
      <c r="AS203" s="2">
        <v>1000</v>
      </c>
      <c r="AT203" s="2">
        <v>0</v>
      </c>
      <c r="AU203" s="2">
        <v>1000</v>
      </c>
      <c r="AV203" s="2">
        <v>1000</v>
      </c>
      <c r="AW203" s="2">
        <v>0</v>
      </c>
      <c r="AX203" s="2">
        <v>0</v>
      </c>
      <c r="AY203" s="2">
        <v>0</v>
      </c>
      <c r="AZ203" s="2">
        <v>971</v>
      </c>
      <c r="BA203" s="2">
        <v>925</v>
      </c>
      <c r="BB203" s="2">
        <v>1048</v>
      </c>
      <c r="BC203" s="2">
        <v>-1000</v>
      </c>
      <c r="BD203" s="2">
        <v>-5000</v>
      </c>
      <c r="BE203" s="2">
        <v>5000</v>
      </c>
      <c r="BF203" s="2">
        <v>3000</v>
      </c>
      <c r="BG203" s="2">
        <v>5000</v>
      </c>
      <c r="BH203" s="2">
        <v>5000</v>
      </c>
      <c r="BI203" s="2">
        <v>3000</v>
      </c>
      <c r="BJ203" s="2">
        <v>-1500</v>
      </c>
      <c r="BK203" s="2">
        <v>1000</v>
      </c>
      <c r="BL203" s="2">
        <v>1000</v>
      </c>
      <c r="BO203" s="2">
        <f t="shared" si="126"/>
        <v>0</v>
      </c>
      <c r="BP203" s="2">
        <f t="shared" si="93"/>
        <v>0</v>
      </c>
      <c r="BQ203" s="2">
        <f t="shared" si="94"/>
        <v>0</v>
      </c>
      <c r="BR203" s="2">
        <f t="shared" si="95"/>
        <v>0</v>
      </c>
      <c r="BS203" s="2">
        <f t="shared" si="96"/>
        <v>0</v>
      </c>
      <c r="BT203" s="2">
        <f t="shared" si="97"/>
        <v>0</v>
      </c>
      <c r="BU203" s="2">
        <f t="shared" si="98"/>
        <v>0</v>
      </c>
      <c r="BV203" s="2">
        <f t="shared" si="99"/>
        <v>0</v>
      </c>
      <c r="BW203" s="2">
        <f t="shared" si="100"/>
        <v>0</v>
      </c>
      <c r="BX203" s="2">
        <f t="shared" si="101"/>
        <v>0</v>
      </c>
      <c r="BY203" s="2">
        <f t="shared" si="102"/>
        <v>0</v>
      </c>
      <c r="BZ203" s="2">
        <f t="shared" si="103"/>
        <v>0</v>
      </c>
      <c r="CA203" s="2">
        <f t="shared" si="104"/>
        <v>0</v>
      </c>
      <c r="CB203" s="2">
        <f t="shared" si="105"/>
        <v>0</v>
      </c>
      <c r="CC203" s="2">
        <f t="shared" si="106"/>
        <v>0</v>
      </c>
      <c r="CD203" s="2">
        <f t="shared" si="107"/>
        <v>0</v>
      </c>
      <c r="CE203" s="2">
        <f t="shared" si="108"/>
        <v>0</v>
      </c>
      <c r="CF203" s="2">
        <f t="shared" si="109"/>
        <v>1655.9099999999999</v>
      </c>
      <c r="CG203" s="2">
        <f t="shared" si="110"/>
        <v>12954</v>
      </c>
      <c r="CH203" s="2">
        <f t="shared" si="111"/>
        <v>-3115.8</v>
      </c>
      <c r="CI203" s="2">
        <f t="shared" si="112"/>
        <v>0</v>
      </c>
      <c r="CJ203" s="2">
        <f t="shared" si="113"/>
        <v>0</v>
      </c>
      <c r="CK203" s="2">
        <f t="shared" si="114"/>
        <v>0</v>
      </c>
      <c r="CL203" s="2">
        <f t="shared" si="115"/>
        <v>0</v>
      </c>
      <c r="CM203" s="2">
        <f t="shared" ref="CM203:CM266" si="130">(BG202-BG203)*Z203</f>
        <v>0</v>
      </c>
      <c r="CN203" s="2">
        <f t="shared" ref="CN203:CN266" si="131">(BH202-BH203)*AA203</f>
        <v>0</v>
      </c>
      <c r="CO203" s="2">
        <f t="shared" ref="CO203:CO266" si="132">(BI202-BI203)*AB203</f>
        <v>0</v>
      </c>
      <c r="CP203" s="2">
        <f t="shared" ref="CP203:CP266" si="133">(BJ202-BJ203)*AC203</f>
        <v>0</v>
      </c>
      <c r="CQ203" s="2">
        <f t="shared" ref="CQ203:CQ266" si="134">(BK202-BK203)*AD203</f>
        <v>0</v>
      </c>
      <c r="CR203" s="2">
        <f t="shared" ref="CR203:CR266" si="135">(BL202-BL203)*AE203</f>
        <v>0</v>
      </c>
      <c r="CV203" t="s">
        <v>64</v>
      </c>
      <c r="CW203" t="s">
        <v>276</v>
      </c>
      <c r="CX203" t="s">
        <v>5</v>
      </c>
      <c r="CY203" s="4">
        <v>43367</v>
      </c>
      <c r="CZ203" t="s">
        <v>65</v>
      </c>
      <c r="DA203" t="s">
        <v>66</v>
      </c>
      <c r="DB203">
        <v>10</v>
      </c>
      <c r="DC203">
        <v>47.75</v>
      </c>
      <c r="DD203" t="s">
        <v>69</v>
      </c>
      <c r="DE203" t="s">
        <v>70</v>
      </c>
      <c r="DF203">
        <v>477.5</v>
      </c>
    </row>
    <row r="204" spans="1:110" x14ac:dyDescent="0.25">
      <c r="A204" s="1">
        <v>43028</v>
      </c>
      <c r="B204">
        <v>152.72999999999999</v>
      </c>
      <c r="C204">
        <v>90.72</v>
      </c>
      <c r="D204">
        <v>256.97000000000003</v>
      </c>
      <c r="E204">
        <v>127.67</v>
      </c>
      <c r="F204">
        <v>32.979999999999997</v>
      </c>
      <c r="G204">
        <v>112.05</v>
      </c>
      <c r="H204">
        <v>97.07</v>
      </c>
      <c r="I204">
        <v>69.180000000000007</v>
      </c>
      <c r="J204">
        <v>240.65</v>
      </c>
      <c r="K204">
        <v>159.01</v>
      </c>
      <c r="L204">
        <v>151.75</v>
      </c>
      <c r="M204">
        <v>38.96</v>
      </c>
      <c r="N204">
        <v>137.80000000000001</v>
      </c>
      <c r="O204">
        <v>96.5</v>
      </c>
      <c r="P204">
        <v>44.47</v>
      </c>
      <c r="Q204">
        <v>161.22999999999999</v>
      </c>
      <c r="R204">
        <v>213.05</v>
      </c>
      <c r="S204">
        <v>61.46</v>
      </c>
      <c r="T204">
        <v>77.08</v>
      </c>
      <c r="U204">
        <v>52.29</v>
      </c>
      <c r="V204">
        <v>34.54</v>
      </c>
      <c r="W204">
        <v>84.58</v>
      </c>
      <c r="X204">
        <v>129.57</v>
      </c>
      <c r="Y204">
        <v>204.04</v>
      </c>
      <c r="Z204">
        <v>116.87</v>
      </c>
      <c r="AA204">
        <v>106.46</v>
      </c>
      <c r="AB204">
        <v>46.8</v>
      </c>
      <c r="AC204">
        <v>65.680000000000007</v>
      </c>
      <c r="AD204">
        <v>84.96</v>
      </c>
      <c r="AE204">
        <v>78.2</v>
      </c>
      <c r="AI204" s="2">
        <v>2500</v>
      </c>
      <c r="AJ204" s="2">
        <f t="shared" si="129"/>
        <v>1140</v>
      </c>
      <c r="AK204" s="2">
        <f t="shared" si="129"/>
        <v>1140</v>
      </c>
      <c r="AL204" s="2">
        <f t="shared" si="129"/>
        <v>1140</v>
      </c>
      <c r="AM204" s="2">
        <f t="shared" si="129"/>
        <v>1140</v>
      </c>
      <c r="AN204" s="2">
        <f t="shared" si="129"/>
        <v>1140</v>
      </c>
      <c r="AO204" s="2">
        <f t="shared" si="129"/>
        <v>1140</v>
      </c>
      <c r="AP204" s="2">
        <f t="shared" si="129"/>
        <v>1020</v>
      </c>
      <c r="AQ204" s="2">
        <v>1000</v>
      </c>
      <c r="AR204" s="2">
        <v>0</v>
      </c>
      <c r="AS204" s="2">
        <v>1000</v>
      </c>
      <c r="AT204" s="2">
        <v>0</v>
      </c>
      <c r="AU204" s="2">
        <v>1000</v>
      </c>
      <c r="AV204" s="2">
        <v>1000</v>
      </c>
      <c r="AW204" s="2">
        <v>0</v>
      </c>
      <c r="AX204" s="2">
        <v>0</v>
      </c>
      <c r="AY204" s="2">
        <v>0</v>
      </c>
      <c r="AZ204" s="2">
        <v>999</v>
      </c>
      <c r="BA204" s="2">
        <v>935</v>
      </c>
      <c r="BB204" s="2">
        <v>954</v>
      </c>
      <c r="BC204" s="2">
        <v>-1000</v>
      </c>
      <c r="BD204" s="2">
        <v>-5000</v>
      </c>
      <c r="BE204" s="2">
        <v>5000</v>
      </c>
      <c r="BF204" s="2">
        <v>3000</v>
      </c>
      <c r="BG204" s="2">
        <v>5000</v>
      </c>
      <c r="BH204" s="2">
        <v>5000</v>
      </c>
      <c r="BI204" s="2">
        <v>3000</v>
      </c>
      <c r="BJ204" s="2">
        <v>-1500</v>
      </c>
      <c r="BK204" s="2">
        <v>1000</v>
      </c>
      <c r="BL204" s="2">
        <v>1000</v>
      </c>
      <c r="BO204" s="2">
        <f t="shared" si="126"/>
        <v>0</v>
      </c>
      <c r="BP204" s="2">
        <f t="shared" ref="BP204:BP267" si="136">(AJ203-AJ204)*C204</f>
        <v>0</v>
      </c>
      <c r="BQ204" s="2">
        <f t="shared" ref="BQ204:BQ267" si="137">(AK203-AK204)*D204</f>
        <v>0</v>
      </c>
      <c r="BR204" s="2">
        <f t="shared" ref="BR204:BR267" si="138">(AL203-AL204)*E204</f>
        <v>0</v>
      </c>
      <c r="BS204" s="2">
        <f t="shared" ref="BS204:BS267" si="139">(AM203-AM204)*F204</f>
        <v>0</v>
      </c>
      <c r="BT204" s="2">
        <f t="shared" ref="BT204:BT267" si="140">(AN203-AN204)*G204</f>
        <v>0</v>
      </c>
      <c r="BU204" s="2">
        <f t="shared" ref="BU204:BU267" si="141">(AO203-AO204)*H204</f>
        <v>0</v>
      </c>
      <c r="BV204" s="2">
        <f t="shared" ref="BV204:BV267" si="142">(AP203-AP204)*I204</f>
        <v>0</v>
      </c>
      <c r="BW204" s="2">
        <f t="shared" ref="BW204:BW267" si="143">(AQ203-AQ204)*J204</f>
        <v>0</v>
      </c>
      <c r="BX204" s="2">
        <f t="shared" ref="BX204:BX267" si="144">(AR203-AR204)*K204</f>
        <v>0</v>
      </c>
      <c r="BY204" s="2">
        <f t="shared" ref="BY204:BY267" si="145">(AS203-AS204)*L204</f>
        <v>0</v>
      </c>
      <c r="BZ204" s="2">
        <f t="shared" ref="BZ204:BZ267" si="146">(AT203-AT204)*M204</f>
        <v>0</v>
      </c>
      <c r="CA204" s="2">
        <f t="shared" ref="CA204:CA267" si="147">(AU203-AU204)*N204</f>
        <v>0</v>
      </c>
      <c r="CB204" s="2">
        <f t="shared" ref="CB204:CB267" si="148">(AV203-AV204)*O204</f>
        <v>0</v>
      </c>
      <c r="CC204" s="2">
        <f t="shared" ref="CC204:CC267" si="149">(AW203-AW204)*P204</f>
        <v>0</v>
      </c>
      <c r="CD204" s="2">
        <f t="shared" ref="CD204:CD267" si="150">(AX203-AX204)*Q204</f>
        <v>0</v>
      </c>
      <c r="CE204" s="2">
        <f t="shared" ref="CE204:CE267" si="151">(AY203-AY204)*R204</f>
        <v>0</v>
      </c>
      <c r="CF204" s="2">
        <f t="shared" ref="CF204:CF267" si="152">(AZ203-AZ204)*S204</f>
        <v>-1720.88</v>
      </c>
      <c r="CG204" s="2">
        <f t="shared" ref="CG204:CG267" si="153">(BA203-BA204)*T204</f>
        <v>-770.8</v>
      </c>
      <c r="CH204" s="2">
        <f t="shared" ref="CH204:CH267" si="154">(BB203-BB204)*U204</f>
        <v>4915.26</v>
      </c>
      <c r="CI204" s="2">
        <f t="shared" ref="CI204:CI267" si="155">(BC203-BC204)*V204</f>
        <v>0</v>
      </c>
      <c r="CJ204" s="2">
        <f t="shared" ref="CJ204:CJ267" si="156">(BD203-BD204)*W204</f>
        <v>0</v>
      </c>
      <c r="CK204" s="2">
        <f t="shared" ref="CK204:CK267" si="157">(BE203-BE204)*X204</f>
        <v>0</v>
      </c>
      <c r="CL204" s="2">
        <f t="shared" ref="CL204:CL267" si="158">(BF203-BF204)*Y204</f>
        <v>0</v>
      </c>
      <c r="CM204" s="2">
        <f t="shared" si="130"/>
        <v>0</v>
      </c>
      <c r="CN204" s="2">
        <f t="shared" si="131"/>
        <v>0</v>
      </c>
      <c r="CO204" s="2">
        <f t="shared" si="132"/>
        <v>0</v>
      </c>
      <c r="CP204" s="2">
        <f t="shared" si="133"/>
        <v>0</v>
      </c>
      <c r="CQ204" s="2">
        <f t="shared" si="134"/>
        <v>0</v>
      </c>
      <c r="CR204" s="2">
        <f t="shared" si="135"/>
        <v>0</v>
      </c>
      <c r="CV204" t="s">
        <v>64</v>
      </c>
      <c r="CW204" t="s">
        <v>277</v>
      </c>
      <c r="CX204" t="s">
        <v>5</v>
      </c>
      <c r="CY204" s="4">
        <v>43385</v>
      </c>
      <c r="CZ204" t="s">
        <v>65</v>
      </c>
      <c r="DA204" t="s">
        <v>66</v>
      </c>
      <c r="DB204">
        <v>10</v>
      </c>
      <c r="DC204">
        <v>45.36</v>
      </c>
      <c r="DD204" t="s">
        <v>69</v>
      </c>
      <c r="DE204" t="s">
        <v>70</v>
      </c>
      <c r="DF204">
        <v>453.6</v>
      </c>
    </row>
    <row r="205" spans="1:110" x14ac:dyDescent="0.25">
      <c r="A205" s="1">
        <v>43031</v>
      </c>
      <c r="B205">
        <v>152.65</v>
      </c>
      <c r="C205">
        <v>91.01</v>
      </c>
      <c r="D205">
        <v>254.62</v>
      </c>
      <c r="E205">
        <v>127.98</v>
      </c>
      <c r="F205">
        <v>33.08</v>
      </c>
      <c r="G205">
        <v>112.32</v>
      </c>
      <c r="H205">
        <v>96.38</v>
      </c>
      <c r="I205">
        <v>69.540000000000006</v>
      </c>
      <c r="J205">
        <v>238.09</v>
      </c>
      <c r="K205">
        <v>160.29</v>
      </c>
      <c r="L205">
        <v>149.38999999999999</v>
      </c>
      <c r="M205">
        <v>39.340000000000003</v>
      </c>
      <c r="N205">
        <v>138.97999999999999</v>
      </c>
      <c r="O205">
        <v>96.33</v>
      </c>
      <c r="P205">
        <v>44.41</v>
      </c>
      <c r="Q205">
        <v>158.36000000000001</v>
      </c>
      <c r="R205">
        <v>213.27</v>
      </c>
      <c r="S205">
        <v>61</v>
      </c>
      <c r="T205">
        <v>77.099999999999994</v>
      </c>
      <c r="U205">
        <v>52.88</v>
      </c>
      <c r="V205">
        <v>34.520000000000003</v>
      </c>
      <c r="W205">
        <v>83.67</v>
      </c>
      <c r="X205">
        <v>130.66</v>
      </c>
      <c r="Y205">
        <v>203.57</v>
      </c>
      <c r="Z205">
        <v>116.84</v>
      </c>
      <c r="AA205">
        <v>106.44</v>
      </c>
      <c r="AB205">
        <v>46.29</v>
      </c>
      <c r="AC205">
        <v>65.150000000000006</v>
      </c>
      <c r="AD205">
        <v>86.14</v>
      </c>
      <c r="AE205">
        <v>78.33</v>
      </c>
      <c r="AI205" s="2">
        <v>3750</v>
      </c>
      <c r="AJ205" s="2">
        <f t="shared" si="129"/>
        <v>1140</v>
      </c>
      <c r="AK205" s="2">
        <f t="shared" si="129"/>
        <v>1140</v>
      </c>
      <c r="AL205" s="2">
        <f t="shared" si="129"/>
        <v>1140</v>
      </c>
      <c r="AM205" s="2">
        <f t="shared" si="129"/>
        <v>1140</v>
      </c>
      <c r="AN205" s="2">
        <f t="shared" si="129"/>
        <v>1140</v>
      </c>
      <c r="AO205" s="2">
        <f t="shared" si="129"/>
        <v>1140</v>
      </c>
      <c r="AP205" s="2">
        <f t="shared" si="129"/>
        <v>1020</v>
      </c>
      <c r="AQ205" s="2">
        <v>1000</v>
      </c>
      <c r="AR205" s="2">
        <v>0</v>
      </c>
      <c r="AS205" s="2">
        <v>1000</v>
      </c>
      <c r="AT205" s="2">
        <v>0</v>
      </c>
      <c r="AU205" s="2">
        <v>1000</v>
      </c>
      <c r="AV205" s="2">
        <v>1000</v>
      </c>
      <c r="AW205" s="2">
        <v>0</v>
      </c>
      <c r="AX205" s="2">
        <v>0</v>
      </c>
      <c r="AY205" s="2">
        <v>0</v>
      </c>
      <c r="AZ205" s="2">
        <v>1044</v>
      </c>
      <c r="BA205" s="2">
        <v>1056</v>
      </c>
      <c r="BB205" s="2">
        <v>1069</v>
      </c>
      <c r="BC205" s="2">
        <v>-1000</v>
      </c>
      <c r="BD205" s="2">
        <v>-5000</v>
      </c>
      <c r="BE205" s="2">
        <v>5000</v>
      </c>
      <c r="BF205" s="2">
        <v>3000</v>
      </c>
      <c r="BG205" s="2">
        <v>5000</v>
      </c>
      <c r="BH205" s="2">
        <v>5000</v>
      </c>
      <c r="BI205" s="2">
        <v>3000</v>
      </c>
      <c r="BJ205" s="2">
        <v>-1500</v>
      </c>
      <c r="BK205" s="2">
        <v>1000</v>
      </c>
      <c r="BL205" s="2">
        <v>1000</v>
      </c>
      <c r="BO205" s="2">
        <f t="shared" si="126"/>
        <v>-190812.5</v>
      </c>
      <c r="BP205" s="2">
        <f t="shared" si="136"/>
        <v>0</v>
      </c>
      <c r="BQ205" s="2">
        <f t="shared" si="137"/>
        <v>0</v>
      </c>
      <c r="BR205" s="2">
        <f t="shared" si="138"/>
        <v>0</v>
      </c>
      <c r="BS205" s="2">
        <f t="shared" si="139"/>
        <v>0</v>
      </c>
      <c r="BT205" s="2">
        <f t="shared" si="140"/>
        <v>0</v>
      </c>
      <c r="BU205" s="2">
        <f t="shared" si="141"/>
        <v>0</v>
      </c>
      <c r="BV205" s="2">
        <f t="shared" si="142"/>
        <v>0</v>
      </c>
      <c r="BW205" s="2">
        <f t="shared" si="143"/>
        <v>0</v>
      </c>
      <c r="BX205" s="2">
        <f t="shared" si="144"/>
        <v>0</v>
      </c>
      <c r="BY205" s="2">
        <f t="shared" si="145"/>
        <v>0</v>
      </c>
      <c r="BZ205" s="2">
        <f t="shared" si="146"/>
        <v>0</v>
      </c>
      <c r="CA205" s="2">
        <f t="shared" si="147"/>
        <v>0</v>
      </c>
      <c r="CB205" s="2">
        <f t="shared" si="148"/>
        <v>0</v>
      </c>
      <c r="CC205" s="2">
        <f t="shared" si="149"/>
        <v>0</v>
      </c>
      <c r="CD205" s="2">
        <f t="shared" si="150"/>
        <v>0</v>
      </c>
      <c r="CE205" s="2">
        <f t="shared" si="151"/>
        <v>0</v>
      </c>
      <c r="CF205" s="2">
        <f t="shared" si="152"/>
        <v>-2745</v>
      </c>
      <c r="CG205" s="2">
        <f t="shared" si="153"/>
        <v>-9329.0999999999985</v>
      </c>
      <c r="CH205" s="2">
        <f t="shared" si="154"/>
        <v>-6081.2000000000007</v>
      </c>
      <c r="CI205" s="2">
        <f t="shared" si="155"/>
        <v>0</v>
      </c>
      <c r="CJ205" s="2">
        <f t="shared" si="156"/>
        <v>0</v>
      </c>
      <c r="CK205" s="2">
        <f t="shared" si="157"/>
        <v>0</v>
      </c>
      <c r="CL205" s="2">
        <f t="shared" si="158"/>
        <v>0</v>
      </c>
      <c r="CM205" s="2">
        <f t="shared" si="130"/>
        <v>0</v>
      </c>
      <c r="CN205" s="2">
        <f t="shared" si="131"/>
        <v>0</v>
      </c>
      <c r="CO205" s="2">
        <f t="shared" si="132"/>
        <v>0</v>
      </c>
      <c r="CP205" s="2">
        <f t="shared" si="133"/>
        <v>0</v>
      </c>
      <c r="CQ205" s="2">
        <f t="shared" si="134"/>
        <v>0</v>
      </c>
      <c r="CR205" s="2">
        <f t="shared" si="135"/>
        <v>0</v>
      </c>
      <c r="CV205" t="s">
        <v>64</v>
      </c>
      <c r="CW205" t="s">
        <v>278</v>
      </c>
      <c r="CX205" t="s">
        <v>5</v>
      </c>
      <c r="CY205" s="4">
        <v>43405</v>
      </c>
      <c r="CZ205" t="s">
        <v>65</v>
      </c>
      <c r="DA205" t="s">
        <v>66</v>
      </c>
      <c r="DB205">
        <v>10</v>
      </c>
      <c r="DC205">
        <v>45.3</v>
      </c>
      <c r="DD205" t="s">
        <v>69</v>
      </c>
      <c r="DE205" t="s">
        <v>70</v>
      </c>
      <c r="DF205">
        <v>453</v>
      </c>
    </row>
    <row r="206" spans="1:110" x14ac:dyDescent="0.25">
      <c r="A206" s="1">
        <v>43032</v>
      </c>
      <c r="B206">
        <v>153.56</v>
      </c>
      <c r="C206">
        <v>92.47</v>
      </c>
      <c r="D206">
        <v>258.19</v>
      </c>
      <c r="E206">
        <v>134.35</v>
      </c>
      <c r="F206">
        <v>33.299999999999997</v>
      </c>
      <c r="G206">
        <v>112.6</v>
      </c>
      <c r="H206">
        <v>95.98</v>
      </c>
      <c r="I206">
        <v>69.84</v>
      </c>
      <c r="J206">
        <v>240.76</v>
      </c>
      <c r="K206">
        <v>161.54</v>
      </c>
      <c r="L206">
        <v>145.96</v>
      </c>
      <c r="M206">
        <v>39.46</v>
      </c>
      <c r="N206">
        <v>137.06</v>
      </c>
      <c r="O206">
        <v>97.86</v>
      </c>
      <c r="P206">
        <v>44.27</v>
      </c>
      <c r="Q206">
        <v>158.88999999999999</v>
      </c>
      <c r="R206">
        <v>225.88</v>
      </c>
      <c r="S206">
        <v>60.72</v>
      </c>
      <c r="T206">
        <v>77.13</v>
      </c>
      <c r="U206">
        <v>52.65</v>
      </c>
      <c r="V206">
        <v>34.4</v>
      </c>
      <c r="W206">
        <v>83.36</v>
      </c>
      <c r="X206">
        <v>129.44</v>
      </c>
      <c r="Y206">
        <v>204.69</v>
      </c>
      <c r="Z206">
        <v>115.72</v>
      </c>
      <c r="AA206">
        <v>107.31</v>
      </c>
      <c r="AB206">
        <v>46.24</v>
      </c>
      <c r="AC206">
        <v>64.94</v>
      </c>
      <c r="AD206">
        <v>85.49</v>
      </c>
      <c r="AE206">
        <v>78.540000000000006</v>
      </c>
      <c r="AI206" s="2">
        <v>3750</v>
      </c>
      <c r="AJ206" s="2">
        <f t="shared" si="129"/>
        <v>1140</v>
      </c>
      <c r="AK206" s="2">
        <f t="shared" si="129"/>
        <v>1140</v>
      </c>
      <c r="AL206" s="2">
        <f t="shared" si="129"/>
        <v>1140</v>
      </c>
      <c r="AM206" s="2">
        <f t="shared" si="129"/>
        <v>1140</v>
      </c>
      <c r="AN206" s="2">
        <f t="shared" si="129"/>
        <v>1140</v>
      </c>
      <c r="AO206" s="2">
        <f t="shared" si="129"/>
        <v>1140</v>
      </c>
      <c r="AP206" s="2">
        <f t="shared" si="129"/>
        <v>1020</v>
      </c>
      <c r="AQ206" s="2">
        <v>1000</v>
      </c>
      <c r="AR206" s="2">
        <v>0</v>
      </c>
      <c r="AS206" s="2">
        <v>1000</v>
      </c>
      <c r="AT206" s="2">
        <v>0</v>
      </c>
      <c r="AU206" s="2">
        <v>1000</v>
      </c>
      <c r="AV206" s="2">
        <v>1000</v>
      </c>
      <c r="AW206" s="2">
        <v>0</v>
      </c>
      <c r="AX206" s="2">
        <v>0</v>
      </c>
      <c r="AY206" s="2">
        <v>0</v>
      </c>
      <c r="AZ206" s="2">
        <v>971</v>
      </c>
      <c r="BA206" s="2">
        <v>996</v>
      </c>
      <c r="BB206" s="2">
        <v>1052</v>
      </c>
      <c r="BC206" s="2">
        <v>-1000</v>
      </c>
      <c r="BD206" s="2">
        <v>-5000</v>
      </c>
      <c r="BE206" s="2">
        <v>5000</v>
      </c>
      <c r="BF206" s="2">
        <v>3000</v>
      </c>
      <c r="BG206" s="2">
        <v>5000</v>
      </c>
      <c r="BH206" s="2">
        <v>5000</v>
      </c>
      <c r="BI206" s="2">
        <v>3000</v>
      </c>
      <c r="BJ206" s="2">
        <v>-1500</v>
      </c>
      <c r="BK206" s="2">
        <v>1000</v>
      </c>
      <c r="BL206" s="2">
        <v>1000</v>
      </c>
      <c r="BO206" s="2">
        <f t="shared" si="126"/>
        <v>0</v>
      </c>
      <c r="BP206" s="2">
        <f t="shared" si="136"/>
        <v>0</v>
      </c>
      <c r="BQ206" s="2">
        <f t="shared" si="137"/>
        <v>0</v>
      </c>
      <c r="BR206" s="2">
        <f t="shared" si="138"/>
        <v>0</v>
      </c>
      <c r="BS206" s="2">
        <f t="shared" si="139"/>
        <v>0</v>
      </c>
      <c r="BT206" s="2">
        <f t="shared" si="140"/>
        <v>0</v>
      </c>
      <c r="BU206" s="2">
        <f t="shared" si="141"/>
        <v>0</v>
      </c>
      <c r="BV206" s="2">
        <f t="shared" si="142"/>
        <v>0</v>
      </c>
      <c r="BW206" s="2">
        <f t="shared" si="143"/>
        <v>0</v>
      </c>
      <c r="BX206" s="2">
        <f t="shared" si="144"/>
        <v>0</v>
      </c>
      <c r="BY206" s="2">
        <f t="shared" si="145"/>
        <v>0</v>
      </c>
      <c r="BZ206" s="2">
        <f t="shared" si="146"/>
        <v>0</v>
      </c>
      <c r="CA206" s="2">
        <f t="shared" si="147"/>
        <v>0</v>
      </c>
      <c r="CB206" s="2">
        <f t="shared" si="148"/>
        <v>0</v>
      </c>
      <c r="CC206" s="2">
        <f t="shared" si="149"/>
        <v>0</v>
      </c>
      <c r="CD206" s="2">
        <f t="shared" si="150"/>
        <v>0</v>
      </c>
      <c r="CE206" s="2">
        <f t="shared" si="151"/>
        <v>0</v>
      </c>
      <c r="CF206" s="2">
        <f t="shared" si="152"/>
        <v>4432.5599999999995</v>
      </c>
      <c r="CG206" s="2">
        <f t="shared" si="153"/>
        <v>4627.7999999999993</v>
      </c>
      <c r="CH206" s="2">
        <f t="shared" si="154"/>
        <v>895.05</v>
      </c>
      <c r="CI206" s="2">
        <f t="shared" si="155"/>
        <v>0</v>
      </c>
      <c r="CJ206" s="2">
        <f t="shared" si="156"/>
        <v>0</v>
      </c>
      <c r="CK206" s="2">
        <f t="shared" si="157"/>
        <v>0</v>
      </c>
      <c r="CL206" s="2">
        <f t="shared" si="158"/>
        <v>0</v>
      </c>
      <c r="CM206" s="2">
        <f t="shared" si="130"/>
        <v>0</v>
      </c>
      <c r="CN206" s="2">
        <f t="shared" si="131"/>
        <v>0</v>
      </c>
      <c r="CO206" s="2">
        <f t="shared" si="132"/>
        <v>0</v>
      </c>
      <c r="CP206" s="2">
        <f t="shared" si="133"/>
        <v>0</v>
      </c>
      <c r="CQ206" s="2">
        <f t="shared" si="134"/>
        <v>0</v>
      </c>
      <c r="CR206" s="2">
        <f t="shared" si="135"/>
        <v>0</v>
      </c>
      <c r="CV206" t="s">
        <v>64</v>
      </c>
      <c r="CW206" t="s">
        <v>279</v>
      </c>
      <c r="CX206" t="s">
        <v>5</v>
      </c>
      <c r="CY206" s="4">
        <v>43425</v>
      </c>
      <c r="CZ206" t="s">
        <v>65</v>
      </c>
      <c r="DA206" t="s">
        <v>66</v>
      </c>
      <c r="DB206">
        <v>10</v>
      </c>
      <c r="DC206">
        <v>44.55</v>
      </c>
      <c r="DD206" t="s">
        <v>69</v>
      </c>
      <c r="DE206" t="s">
        <v>70</v>
      </c>
      <c r="DF206">
        <v>445.5</v>
      </c>
    </row>
    <row r="207" spans="1:110" x14ac:dyDescent="0.25">
      <c r="A207" s="1">
        <v>43033</v>
      </c>
      <c r="B207">
        <v>152.88999999999999</v>
      </c>
      <c r="C207">
        <v>92.14</v>
      </c>
      <c r="D207">
        <v>250.83</v>
      </c>
      <c r="E207">
        <v>132.99</v>
      </c>
      <c r="F207">
        <v>33.03</v>
      </c>
      <c r="G207">
        <v>111.86</v>
      </c>
      <c r="H207">
        <v>95.51</v>
      </c>
      <c r="I207">
        <v>69.09</v>
      </c>
      <c r="J207">
        <v>237.68</v>
      </c>
      <c r="K207">
        <v>161.58000000000001</v>
      </c>
      <c r="L207">
        <v>143.72999999999999</v>
      </c>
      <c r="M207">
        <v>39.299999999999997</v>
      </c>
      <c r="N207">
        <v>137.76</v>
      </c>
      <c r="O207">
        <v>97.96</v>
      </c>
      <c r="P207">
        <v>44.15</v>
      </c>
      <c r="Q207">
        <v>158.59</v>
      </c>
      <c r="R207">
        <v>228.79</v>
      </c>
      <c r="S207">
        <v>60.08</v>
      </c>
      <c r="T207">
        <v>76.91</v>
      </c>
      <c r="U207">
        <v>54.15</v>
      </c>
      <c r="V207">
        <v>34.299999999999997</v>
      </c>
      <c r="W207">
        <v>83.24</v>
      </c>
      <c r="X207">
        <v>128.07</v>
      </c>
      <c r="Y207">
        <v>204.11</v>
      </c>
      <c r="Z207">
        <v>115</v>
      </c>
      <c r="AA207">
        <v>108.38</v>
      </c>
      <c r="AB207">
        <v>45.96</v>
      </c>
      <c r="AC207">
        <v>66.94</v>
      </c>
      <c r="AD207">
        <v>85.98</v>
      </c>
      <c r="AE207">
        <v>78.260000000000005</v>
      </c>
      <c r="AI207" s="2">
        <v>4500</v>
      </c>
      <c r="AJ207" s="2">
        <f t="shared" si="129"/>
        <v>1140</v>
      </c>
      <c r="AK207" s="2">
        <f t="shared" si="129"/>
        <v>1140</v>
      </c>
      <c r="AL207" s="2">
        <f t="shared" si="129"/>
        <v>1140</v>
      </c>
      <c r="AM207" s="2">
        <f t="shared" si="129"/>
        <v>1140</v>
      </c>
      <c r="AN207" s="2">
        <f t="shared" si="129"/>
        <v>1140</v>
      </c>
      <c r="AO207" s="2">
        <f t="shared" si="129"/>
        <v>1140</v>
      </c>
      <c r="AP207" s="2">
        <f t="shared" si="129"/>
        <v>1020</v>
      </c>
      <c r="AQ207" s="2">
        <v>1000</v>
      </c>
      <c r="AR207" s="2">
        <v>0</v>
      </c>
      <c r="AS207" s="2">
        <v>1000</v>
      </c>
      <c r="AT207" s="2">
        <v>0</v>
      </c>
      <c r="AU207" s="2">
        <v>1000</v>
      </c>
      <c r="AV207" s="2">
        <v>1000</v>
      </c>
      <c r="AW207" s="2">
        <v>0</v>
      </c>
      <c r="AX207" s="2">
        <v>0</v>
      </c>
      <c r="AY207" s="2">
        <v>0</v>
      </c>
      <c r="AZ207" s="2">
        <v>990</v>
      </c>
      <c r="BA207" s="2">
        <v>973</v>
      </c>
      <c r="BB207" s="2">
        <v>1064</v>
      </c>
      <c r="BC207" s="2">
        <v>-1000</v>
      </c>
      <c r="BD207" s="2">
        <v>-5000</v>
      </c>
      <c r="BE207" s="2">
        <v>5000</v>
      </c>
      <c r="BF207" s="2">
        <v>3000</v>
      </c>
      <c r="BG207" s="2">
        <v>5000</v>
      </c>
      <c r="BH207" s="2">
        <v>5000</v>
      </c>
      <c r="BI207" s="2">
        <v>3000</v>
      </c>
      <c r="BJ207" s="2">
        <v>-1500</v>
      </c>
      <c r="BK207" s="2">
        <v>1000</v>
      </c>
      <c r="BL207" s="2">
        <v>1000</v>
      </c>
      <c r="BO207" s="2">
        <f t="shared" si="126"/>
        <v>-114667.49999999999</v>
      </c>
      <c r="BP207" s="2">
        <f t="shared" si="136"/>
        <v>0</v>
      </c>
      <c r="BQ207" s="2">
        <f t="shared" si="137"/>
        <v>0</v>
      </c>
      <c r="BR207" s="2">
        <f t="shared" si="138"/>
        <v>0</v>
      </c>
      <c r="BS207" s="2">
        <f t="shared" si="139"/>
        <v>0</v>
      </c>
      <c r="BT207" s="2">
        <f t="shared" si="140"/>
        <v>0</v>
      </c>
      <c r="BU207" s="2">
        <f t="shared" si="141"/>
        <v>0</v>
      </c>
      <c r="BV207" s="2">
        <f t="shared" si="142"/>
        <v>0</v>
      </c>
      <c r="BW207" s="2">
        <f t="shared" si="143"/>
        <v>0</v>
      </c>
      <c r="BX207" s="2">
        <f t="shared" si="144"/>
        <v>0</v>
      </c>
      <c r="BY207" s="2">
        <f t="shared" si="145"/>
        <v>0</v>
      </c>
      <c r="BZ207" s="2">
        <f t="shared" si="146"/>
        <v>0</v>
      </c>
      <c r="CA207" s="2">
        <f t="shared" si="147"/>
        <v>0</v>
      </c>
      <c r="CB207" s="2">
        <f t="shared" si="148"/>
        <v>0</v>
      </c>
      <c r="CC207" s="2">
        <f t="shared" si="149"/>
        <v>0</v>
      </c>
      <c r="CD207" s="2">
        <f t="shared" si="150"/>
        <v>0</v>
      </c>
      <c r="CE207" s="2">
        <f t="shared" si="151"/>
        <v>0</v>
      </c>
      <c r="CF207" s="2">
        <f t="shared" si="152"/>
        <v>-1141.52</v>
      </c>
      <c r="CG207" s="2">
        <f t="shared" si="153"/>
        <v>1768.9299999999998</v>
      </c>
      <c r="CH207" s="2">
        <f t="shared" si="154"/>
        <v>-649.79999999999995</v>
      </c>
      <c r="CI207" s="2">
        <f t="shared" si="155"/>
        <v>0</v>
      </c>
      <c r="CJ207" s="2">
        <f t="shared" si="156"/>
        <v>0</v>
      </c>
      <c r="CK207" s="2">
        <f t="shared" si="157"/>
        <v>0</v>
      </c>
      <c r="CL207" s="2">
        <f t="shared" si="158"/>
        <v>0</v>
      </c>
      <c r="CM207" s="2">
        <f t="shared" si="130"/>
        <v>0</v>
      </c>
      <c r="CN207" s="2">
        <f t="shared" si="131"/>
        <v>0</v>
      </c>
      <c r="CO207" s="2">
        <f t="shared" si="132"/>
        <v>0</v>
      </c>
      <c r="CP207" s="2">
        <f t="shared" si="133"/>
        <v>0</v>
      </c>
      <c r="CQ207" s="2">
        <f t="shared" si="134"/>
        <v>0</v>
      </c>
      <c r="CR207" s="2">
        <f t="shared" si="135"/>
        <v>0</v>
      </c>
      <c r="CV207" t="s">
        <v>64</v>
      </c>
      <c r="CW207" t="s">
        <v>280</v>
      </c>
      <c r="CX207" t="s">
        <v>5</v>
      </c>
      <c r="CY207" s="4">
        <v>43447</v>
      </c>
      <c r="CZ207" t="s">
        <v>65</v>
      </c>
      <c r="DA207" t="s">
        <v>66</v>
      </c>
      <c r="DB207">
        <v>10</v>
      </c>
      <c r="DC207">
        <v>47.11</v>
      </c>
      <c r="DD207" t="s">
        <v>69</v>
      </c>
      <c r="DE207" t="s">
        <v>70</v>
      </c>
      <c r="DF207">
        <v>471.1</v>
      </c>
    </row>
    <row r="208" spans="1:110" x14ac:dyDescent="0.25">
      <c r="A208" s="1">
        <v>43034</v>
      </c>
      <c r="B208">
        <v>153.87</v>
      </c>
      <c r="C208">
        <v>94.27</v>
      </c>
      <c r="D208">
        <v>251.66</v>
      </c>
      <c r="E208">
        <v>133.09</v>
      </c>
      <c r="F208">
        <v>33</v>
      </c>
      <c r="G208">
        <v>111.86</v>
      </c>
      <c r="H208">
        <v>96.25</v>
      </c>
      <c r="I208">
        <v>71</v>
      </c>
      <c r="J208">
        <v>237.69</v>
      </c>
      <c r="K208">
        <v>163.12</v>
      </c>
      <c r="L208">
        <v>143.82</v>
      </c>
      <c r="M208">
        <v>39.85</v>
      </c>
      <c r="N208">
        <v>137.22</v>
      </c>
      <c r="O208">
        <v>98.66</v>
      </c>
      <c r="P208">
        <v>44.32</v>
      </c>
      <c r="Q208">
        <v>159.01</v>
      </c>
      <c r="R208">
        <v>224.23</v>
      </c>
      <c r="S208">
        <v>59.64</v>
      </c>
      <c r="T208">
        <v>77.03</v>
      </c>
      <c r="U208">
        <v>55.99</v>
      </c>
      <c r="V208">
        <v>33.9</v>
      </c>
      <c r="W208">
        <v>83.86</v>
      </c>
      <c r="X208">
        <v>128.22999999999999</v>
      </c>
      <c r="Y208">
        <v>205.67</v>
      </c>
      <c r="Z208">
        <v>115.91</v>
      </c>
      <c r="AA208">
        <v>108.69</v>
      </c>
      <c r="AB208">
        <v>46.19</v>
      </c>
      <c r="AC208">
        <v>64.77</v>
      </c>
      <c r="AD208">
        <v>86.11</v>
      </c>
      <c r="AE208">
        <v>78.540000000000006</v>
      </c>
      <c r="AI208" s="2">
        <v>5000</v>
      </c>
      <c r="AJ208" s="2">
        <f t="shared" si="129"/>
        <v>1140</v>
      </c>
      <c r="AK208" s="2">
        <f t="shared" si="129"/>
        <v>1140</v>
      </c>
      <c r="AL208" s="2">
        <f t="shared" si="129"/>
        <v>1140</v>
      </c>
      <c r="AM208" s="2">
        <f t="shared" si="129"/>
        <v>1140</v>
      </c>
      <c r="AN208" s="2">
        <f t="shared" si="129"/>
        <v>1140</v>
      </c>
      <c r="AO208" s="2">
        <f t="shared" si="129"/>
        <v>1140</v>
      </c>
      <c r="AP208" s="2">
        <f t="shared" si="129"/>
        <v>1020</v>
      </c>
      <c r="AQ208" s="2">
        <v>1000</v>
      </c>
      <c r="AR208" s="2">
        <v>0</v>
      </c>
      <c r="AS208" s="2">
        <v>1000</v>
      </c>
      <c r="AT208" s="2">
        <v>0</v>
      </c>
      <c r="AU208" s="2">
        <v>1000</v>
      </c>
      <c r="AV208" s="2">
        <v>1000</v>
      </c>
      <c r="AW208" s="2">
        <v>0</v>
      </c>
      <c r="AX208" s="2">
        <v>0</v>
      </c>
      <c r="AY208" s="2">
        <v>0</v>
      </c>
      <c r="AZ208" s="2">
        <v>1046</v>
      </c>
      <c r="BA208" s="2">
        <v>999</v>
      </c>
      <c r="BB208" s="2">
        <v>1011</v>
      </c>
      <c r="BC208" s="2">
        <v>-1000</v>
      </c>
      <c r="BD208" s="2">
        <v>-5000</v>
      </c>
      <c r="BE208" s="2">
        <v>5000</v>
      </c>
      <c r="BF208" s="2">
        <v>3000</v>
      </c>
      <c r="BG208" s="2">
        <v>5000</v>
      </c>
      <c r="BH208" s="2">
        <v>5000</v>
      </c>
      <c r="BI208" s="2">
        <v>3000</v>
      </c>
      <c r="BJ208" s="2">
        <v>-1500</v>
      </c>
      <c r="BK208" s="2">
        <v>1000</v>
      </c>
      <c r="BL208" s="2">
        <v>1000</v>
      </c>
      <c r="BO208" s="2">
        <f t="shared" si="126"/>
        <v>-76935</v>
      </c>
      <c r="BP208" s="2">
        <f t="shared" si="136"/>
        <v>0</v>
      </c>
      <c r="BQ208" s="2">
        <f t="shared" si="137"/>
        <v>0</v>
      </c>
      <c r="BR208" s="2">
        <f t="shared" si="138"/>
        <v>0</v>
      </c>
      <c r="BS208" s="2">
        <f t="shared" si="139"/>
        <v>0</v>
      </c>
      <c r="BT208" s="2">
        <f t="shared" si="140"/>
        <v>0</v>
      </c>
      <c r="BU208" s="2">
        <f t="shared" si="141"/>
        <v>0</v>
      </c>
      <c r="BV208" s="2">
        <f t="shared" si="142"/>
        <v>0</v>
      </c>
      <c r="BW208" s="2">
        <f t="shared" si="143"/>
        <v>0</v>
      </c>
      <c r="BX208" s="2">
        <f t="shared" si="144"/>
        <v>0</v>
      </c>
      <c r="BY208" s="2">
        <f t="shared" si="145"/>
        <v>0</v>
      </c>
      <c r="BZ208" s="2">
        <f t="shared" si="146"/>
        <v>0</v>
      </c>
      <c r="CA208" s="2">
        <f t="shared" si="147"/>
        <v>0</v>
      </c>
      <c r="CB208" s="2">
        <f t="shared" si="148"/>
        <v>0</v>
      </c>
      <c r="CC208" s="2">
        <f t="shared" si="149"/>
        <v>0</v>
      </c>
      <c r="CD208" s="2">
        <f t="shared" si="150"/>
        <v>0</v>
      </c>
      <c r="CE208" s="2">
        <f t="shared" si="151"/>
        <v>0</v>
      </c>
      <c r="CF208" s="2">
        <f t="shared" si="152"/>
        <v>-3339.84</v>
      </c>
      <c r="CG208" s="2">
        <f t="shared" si="153"/>
        <v>-2002.78</v>
      </c>
      <c r="CH208" s="2">
        <f t="shared" si="154"/>
        <v>2967.4700000000003</v>
      </c>
      <c r="CI208" s="2">
        <f t="shared" si="155"/>
        <v>0</v>
      </c>
      <c r="CJ208" s="2">
        <f t="shared" si="156"/>
        <v>0</v>
      </c>
      <c r="CK208" s="2">
        <f t="shared" si="157"/>
        <v>0</v>
      </c>
      <c r="CL208" s="2">
        <f t="shared" si="158"/>
        <v>0</v>
      </c>
      <c r="CM208" s="2">
        <f t="shared" si="130"/>
        <v>0</v>
      </c>
      <c r="CN208" s="2">
        <f t="shared" si="131"/>
        <v>0</v>
      </c>
      <c r="CO208" s="2">
        <f t="shared" si="132"/>
        <v>0</v>
      </c>
      <c r="CP208" s="2">
        <f t="shared" si="133"/>
        <v>0</v>
      </c>
      <c r="CQ208" s="2">
        <f t="shared" si="134"/>
        <v>0</v>
      </c>
      <c r="CR208" s="2">
        <f t="shared" si="135"/>
        <v>0</v>
      </c>
      <c r="CV208" t="s">
        <v>64</v>
      </c>
      <c r="CW208" t="s">
        <v>281</v>
      </c>
      <c r="CX208" t="s">
        <v>6</v>
      </c>
      <c r="CY208" s="4">
        <v>42738</v>
      </c>
      <c r="CZ208" t="s">
        <v>65</v>
      </c>
      <c r="DA208" t="s">
        <v>66</v>
      </c>
      <c r="DB208">
        <v>1000</v>
      </c>
      <c r="DC208">
        <v>108.05</v>
      </c>
      <c r="DD208" t="s">
        <v>69</v>
      </c>
      <c r="DE208" t="s">
        <v>70</v>
      </c>
      <c r="DF208">
        <v>108050</v>
      </c>
    </row>
    <row r="209" spans="1:110" x14ac:dyDescent="0.25">
      <c r="A209" s="1">
        <v>43035</v>
      </c>
      <c r="B209">
        <v>159.38</v>
      </c>
      <c r="C209">
        <v>94.37</v>
      </c>
      <c r="D209">
        <v>248.93</v>
      </c>
      <c r="E209">
        <v>133.93</v>
      </c>
      <c r="F209">
        <v>33.159999999999997</v>
      </c>
      <c r="G209">
        <v>107.23</v>
      </c>
      <c r="H209">
        <v>96</v>
      </c>
      <c r="I209">
        <v>70.5</v>
      </c>
      <c r="J209">
        <v>237.68</v>
      </c>
      <c r="K209">
        <v>162.82</v>
      </c>
      <c r="L209">
        <v>143.9</v>
      </c>
      <c r="M209">
        <v>42.78</v>
      </c>
      <c r="N209">
        <v>137.19999999999999</v>
      </c>
      <c r="O209">
        <v>98.69</v>
      </c>
      <c r="P209">
        <v>44.17</v>
      </c>
      <c r="Q209">
        <v>160.35</v>
      </c>
      <c r="R209">
        <v>225.96</v>
      </c>
      <c r="S209">
        <v>56.03</v>
      </c>
      <c r="T209">
        <v>81.97</v>
      </c>
      <c r="U209">
        <v>55.15</v>
      </c>
      <c r="V209">
        <v>33.770000000000003</v>
      </c>
      <c r="W209">
        <v>83.42</v>
      </c>
      <c r="X209">
        <v>127.37</v>
      </c>
      <c r="Y209">
        <v>209.07</v>
      </c>
      <c r="Z209">
        <v>115.08</v>
      </c>
      <c r="AA209">
        <v>108.6</v>
      </c>
      <c r="AB209">
        <v>46.17</v>
      </c>
      <c r="AC209">
        <v>62.23</v>
      </c>
      <c r="AD209">
        <v>85.67</v>
      </c>
      <c r="AE209">
        <v>78.77</v>
      </c>
      <c r="AI209" s="2">
        <v>5000</v>
      </c>
      <c r="AJ209" s="2">
        <f t="shared" si="129"/>
        <v>1140</v>
      </c>
      <c r="AK209" s="2">
        <f t="shared" si="129"/>
        <v>1140</v>
      </c>
      <c r="AL209" s="2">
        <f t="shared" si="129"/>
        <v>1140</v>
      </c>
      <c r="AM209" s="2">
        <f t="shared" si="129"/>
        <v>1140</v>
      </c>
      <c r="AN209" s="2">
        <f t="shared" si="129"/>
        <v>1140</v>
      </c>
      <c r="AO209" s="2">
        <f t="shared" si="129"/>
        <v>1140</v>
      </c>
      <c r="AP209" s="2">
        <f t="shared" si="129"/>
        <v>1020</v>
      </c>
      <c r="AQ209" s="2">
        <v>1000</v>
      </c>
      <c r="AR209" s="2">
        <v>0</v>
      </c>
      <c r="AS209" s="2">
        <v>1000</v>
      </c>
      <c r="AT209" s="2">
        <v>0</v>
      </c>
      <c r="AU209" s="2">
        <v>1000</v>
      </c>
      <c r="AV209" s="2">
        <v>1000</v>
      </c>
      <c r="AW209" s="2">
        <v>0</v>
      </c>
      <c r="AX209" s="2">
        <v>0</v>
      </c>
      <c r="AY209" s="2">
        <v>0</v>
      </c>
      <c r="AZ209" s="2">
        <v>1005</v>
      </c>
      <c r="BA209" s="2">
        <v>995</v>
      </c>
      <c r="BB209" s="2">
        <v>1054</v>
      </c>
      <c r="BC209" s="2">
        <v>-1000</v>
      </c>
      <c r="BD209" s="2">
        <v>-5000</v>
      </c>
      <c r="BE209" s="2">
        <v>5000</v>
      </c>
      <c r="BF209" s="2">
        <v>3000</v>
      </c>
      <c r="BG209" s="2">
        <v>3750</v>
      </c>
      <c r="BH209" s="2">
        <v>5000</v>
      </c>
      <c r="BI209" s="2">
        <v>3000</v>
      </c>
      <c r="BJ209" s="2">
        <v>-1500</v>
      </c>
      <c r="BK209" s="2">
        <v>1000</v>
      </c>
      <c r="BL209" s="2">
        <v>1000</v>
      </c>
      <c r="BO209" s="2">
        <f t="shared" si="126"/>
        <v>0</v>
      </c>
      <c r="BP209" s="2">
        <f t="shared" si="136"/>
        <v>0</v>
      </c>
      <c r="BQ209" s="2">
        <f t="shared" si="137"/>
        <v>0</v>
      </c>
      <c r="BR209" s="2">
        <f t="shared" si="138"/>
        <v>0</v>
      </c>
      <c r="BS209" s="2">
        <f t="shared" si="139"/>
        <v>0</v>
      </c>
      <c r="BT209" s="2">
        <f t="shared" si="140"/>
        <v>0</v>
      </c>
      <c r="BU209" s="2">
        <f t="shared" si="141"/>
        <v>0</v>
      </c>
      <c r="BV209" s="2">
        <f t="shared" si="142"/>
        <v>0</v>
      </c>
      <c r="BW209" s="2">
        <f t="shared" si="143"/>
        <v>0</v>
      </c>
      <c r="BX209" s="2">
        <f t="shared" si="144"/>
        <v>0</v>
      </c>
      <c r="BY209" s="2">
        <f t="shared" si="145"/>
        <v>0</v>
      </c>
      <c r="BZ209" s="2">
        <f t="shared" si="146"/>
        <v>0</v>
      </c>
      <c r="CA209" s="2">
        <f t="shared" si="147"/>
        <v>0</v>
      </c>
      <c r="CB209" s="2">
        <f t="shared" si="148"/>
        <v>0</v>
      </c>
      <c r="CC209" s="2">
        <f t="shared" si="149"/>
        <v>0</v>
      </c>
      <c r="CD209" s="2">
        <f t="shared" si="150"/>
        <v>0</v>
      </c>
      <c r="CE209" s="2">
        <f t="shared" si="151"/>
        <v>0</v>
      </c>
      <c r="CF209" s="2">
        <f t="shared" si="152"/>
        <v>2297.23</v>
      </c>
      <c r="CG209" s="2">
        <f t="shared" si="153"/>
        <v>327.88</v>
      </c>
      <c r="CH209" s="2">
        <f t="shared" si="154"/>
        <v>-2371.4499999999998</v>
      </c>
      <c r="CI209" s="2">
        <f t="shared" si="155"/>
        <v>0</v>
      </c>
      <c r="CJ209" s="2">
        <f t="shared" si="156"/>
        <v>0</v>
      </c>
      <c r="CK209" s="2">
        <f t="shared" si="157"/>
        <v>0</v>
      </c>
      <c r="CL209" s="2">
        <f t="shared" si="158"/>
        <v>0</v>
      </c>
      <c r="CM209" s="2">
        <f t="shared" si="130"/>
        <v>143850</v>
      </c>
      <c r="CN209" s="2">
        <f t="shared" si="131"/>
        <v>0</v>
      </c>
      <c r="CO209" s="2">
        <f t="shared" si="132"/>
        <v>0</v>
      </c>
      <c r="CP209" s="2">
        <f t="shared" si="133"/>
        <v>0</v>
      </c>
      <c r="CQ209" s="2">
        <f t="shared" si="134"/>
        <v>0</v>
      </c>
      <c r="CR209" s="2">
        <f t="shared" si="135"/>
        <v>0</v>
      </c>
      <c r="CV209" t="s">
        <v>64</v>
      </c>
      <c r="CW209" t="s">
        <v>282</v>
      </c>
      <c r="CX209" t="s">
        <v>6</v>
      </c>
      <c r="CY209" s="4">
        <v>42759</v>
      </c>
      <c r="CZ209" t="s">
        <v>65</v>
      </c>
      <c r="DA209" t="s">
        <v>66</v>
      </c>
      <c r="DB209">
        <v>10</v>
      </c>
      <c r="DC209">
        <v>106.69</v>
      </c>
      <c r="DD209" t="s">
        <v>69</v>
      </c>
      <c r="DE209" t="s">
        <v>70</v>
      </c>
      <c r="DF209">
        <v>1066.9000000000001</v>
      </c>
    </row>
    <row r="210" spans="1:110" x14ac:dyDescent="0.25">
      <c r="A210" s="1">
        <v>43038</v>
      </c>
      <c r="B210">
        <v>162.97</v>
      </c>
      <c r="C210">
        <v>93.66</v>
      </c>
      <c r="D210">
        <v>251.64</v>
      </c>
      <c r="E210">
        <v>132.65</v>
      </c>
      <c r="F210">
        <v>32.78</v>
      </c>
      <c r="G210">
        <v>108.03</v>
      </c>
      <c r="H210">
        <v>95.74</v>
      </c>
      <c r="I210">
        <v>69.67</v>
      </c>
      <c r="J210">
        <v>236.87</v>
      </c>
      <c r="K210">
        <v>160.84</v>
      </c>
      <c r="L210">
        <v>144.53</v>
      </c>
      <c r="M210">
        <v>42.76</v>
      </c>
      <c r="N210">
        <v>135.47</v>
      </c>
      <c r="O210">
        <v>98.34</v>
      </c>
      <c r="P210">
        <v>43.97</v>
      </c>
      <c r="Q210">
        <v>161.16</v>
      </c>
      <c r="R210">
        <v>222.38</v>
      </c>
      <c r="S210">
        <v>52.64</v>
      </c>
      <c r="T210">
        <v>82.05</v>
      </c>
      <c r="U210">
        <v>54.47</v>
      </c>
      <c r="V210">
        <v>33.340000000000003</v>
      </c>
      <c r="W210">
        <v>82.68</v>
      </c>
      <c r="X210">
        <v>128.88999999999999</v>
      </c>
      <c r="Y210">
        <v>205.91</v>
      </c>
      <c r="Z210">
        <v>115.81</v>
      </c>
      <c r="AA210">
        <v>108.93</v>
      </c>
      <c r="AB210">
        <v>45.19</v>
      </c>
      <c r="AC210">
        <v>63.94</v>
      </c>
      <c r="AD210">
        <v>84.49</v>
      </c>
      <c r="AE210">
        <v>78.61</v>
      </c>
      <c r="AI210" s="2">
        <v>5000</v>
      </c>
      <c r="AJ210" s="2">
        <f t="shared" si="129"/>
        <v>1140</v>
      </c>
      <c r="AK210" s="2">
        <f t="shared" si="129"/>
        <v>1140</v>
      </c>
      <c r="AL210" s="2">
        <f t="shared" si="129"/>
        <v>1140</v>
      </c>
      <c r="AM210" s="2">
        <f t="shared" si="129"/>
        <v>1140</v>
      </c>
      <c r="AN210" s="2">
        <f t="shared" si="129"/>
        <v>1140</v>
      </c>
      <c r="AO210" s="2">
        <f t="shared" si="129"/>
        <v>1140</v>
      </c>
      <c r="AP210" s="2">
        <f t="shared" si="129"/>
        <v>1020</v>
      </c>
      <c r="AQ210" s="2">
        <v>1000</v>
      </c>
      <c r="AR210" s="2">
        <v>0</v>
      </c>
      <c r="AS210" s="2">
        <v>1000</v>
      </c>
      <c r="AT210" s="2">
        <v>0</v>
      </c>
      <c r="AU210" s="2">
        <v>1000</v>
      </c>
      <c r="AV210" s="2">
        <v>1000</v>
      </c>
      <c r="AW210" s="2">
        <v>0</v>
      </c>
      <c r="AX210" s="2">
        <v>0</v>
      </c>
      <c r="AY210" s="2">
        <v>0</v>
      </c>
      <c r="AZ210" s="2">
        <v>961</v>
      </c>
      <c r="BA210" s="2">
        <v>959</v>
      </c>
      <c r="BB210" s="2">
        <v>1023</v>
      </c>
      <c r="BC210" s="2">
        <v>-1000</v>
      </c>
      <c r="BD210" s="2">
        <v>-5000</v>
      </c>
      <c r="BE210" s="2">
        <v>5000</v>
      </c>
      <c r="BF210" s="2">
        <v>3000</v>
      </c>
      <c r="BG210" s="2">
        <v>2500</v>
      </c>
      <c r="BH210" s="2">
        <v>5000</v>
      </c>
      <c r="BI210" s="2">
        <v>3000</v>
      </c>
      <c r="BJ210" s="2">
        <v>-1500</v>
      </c>
      <c r="BK210" s="2">
        <v>1000</v>
      </c>
      <c r="BL210" s="2">
        <v>1000</v>
      </c>
      <c r="BO210" s="2">
        <f t="shared" si="126"/>
        <v>0</v>
      </c>
      <c r="BP210" s="2">
        <f t="shared" si="136"/>
        <v>0</v>
      </c>
      <c r="BQ210" s="2">
        <f t="shared" si="137"/>
        <v>0</v>
      </c>
      <c r="BR210" s="2">
        <f t="shared" si="138"/>
        <v>0</v>
      </c>
      <c r="BS210" s="2">
        <f t="shared" si="139"/>
        <v>0</v>
      </c>
      <c r="BT210" s="2">
        <f t="shared" si="140"/>
        <v>0</v>
      </c>
      <c r="BU210" s="2">
        <f t="shared" si="141"/>
        <v>0</v>
      </c>
      <c r="BV210" s="2">
        <f t="shared" si="142"/>
        <v>0</v>
      </c>
      <c r="BW210" s="2">
        <f t="shared" si="143"/>
        <v>0</v>
      </c>
      <c r="BX210" s="2">
        <f t="shared" si="144"/>
        <v>0</v>
      </c>
      <c r="BY210" s="2">
        <f t="shared" si="145"/>
        <v>0</v>
      </c>
      <c r="BZ210" s="2">
        <f t="shared" si="146"/>
        <v>0</v>
      </c>
      <c r="CA210" s="2">
        <f t="shared" si="147"/>
        <v>0</v>
      </c>
      <c r="CB210" s="2">
        <f t="shared" si="148"/>
        <v>0</v>
      </c>
      <c r="CC210" s="2">
        <f t="shared" si="149"/>
        <v>0</v>
      </c>
      <c r="CD210" s="2">
        <f t="shared" si="150"/>
        <v>0</v>
      </c>
      <c r="CE210" s="2">
        <f t="shared" si="151"/>
        <v>0</v>
      </c>
      <c r="CF210" s="2">
        <f t="shared" si="152"/>
        <v>2316.16</v>
      </c>
      <c r="CG210" s="2">
        <f t="shared" si="153"/>
        <v>2953.7999999999997</v>
      </c>
      <c r="CH210" s="2">
        <f t="shared" si="154"/>
        <v>1688.57</v>
      </c>
      <c r="CI210" s="2">
        <f t="shared" si="155"/>
        <v>0</v>
      </c>
      <c r="CJ210" s="2">
        <f t="shared" si="156"/>
        <v>0</v>
      </c>
      <c r="CK210" s="2">
        <f t="shared" si="157"/>
        <v>0</v>
      </c>
      <c r="CL210" s="2">
        <f t="shared" si="158"/>
        <v>0</v>
      </c>
      <c r="CM210" s="2">
        <f t="shared" si="130"/>
        <v>144762.5</v>
      </c>
      <c r="CN210" s="2">
        <f t="shared" si="131"/>
        <v>0</v>
      </c>
      <c r="CO210" s="2">
        <f t="shared" si="132"/>
        <v>0</v>
      </c>
      <c r="CP210" s="2">
        <f t="shared" si="133"/>
        <v>0</v>
      </c>
      <c r="CQ210" s="2">
        <f t="shared" si="134"/>
        <v>0</v>
      </c>
      <c r="CR210" s="2">
        <f t="shared" si="135"/>
        <v>0</v>
      </c>
      <c r="CV210" t="s">
        <v>64</v>
      </c>
      <c r="CW210" t="s">
        <v>283</v>
      </c>
      <c r="CX210" t="s">
        <v>6</v>
      </c>
      <c r="CY210" s="4">
        <v>42779</v>
      </c>
      <c r="CZ210" t="s">
        <v>65</v>
      </c>
      <c r="DA210" t="s">
        <v>66</v>
      </c>
      <c r="DB210">
        <v>10</v>
      </c>
      <c r="DC210">
        <v>104.44</v>
      </c>
      <c r="DD210" t="s">
        <v>69</v>
      </c>
      <c r="DE210" t="s">
        <v>70</v>
      </c>
      <c r="DF210">
        <v>1044.4000000000001</v>
      </c>
    </row>
    <row r="211" spans="1:110" x14ac:dyDescent="0.25">
      <c r="A211" s="1">
        <v>43039</v>
      </c>
      <c r="B211">
        <v>165.23</v>
      </c>
      <c r="C211">
        <v>94.1</v>
      </c>
      <c r="D211">
        <v>250.4</v>
      </c>
      <c r="E211">
        <v>131.97999999999999</v>
      </c>
      <c r="F211">
        <v>32.89</v>
      </c>
      <c r="G211">
        <v>109.45</v>
      </c>
      <c r="H211">
        <v>95.51</v>
      </c>
      <c r="I211">
        <v>70.28</v>
      </c>
      <c r="J211">
        <v>238.44</v>
      </c>
      <c r="K211">
        <v>161.30000000000001</v>
      </c>
      <c r="L211">
        <v>144.25</v>
      </c>
      <c r="M211">
        <v>43.83</v>
      </c>
      <c r="N211">
        <v>134.9</v>
      </c>
      <c r="O211">
        <v>97.56</v>
      </c>
      <c r="P211">
        <v>44.08</v>
      </c>
      <c r="Q211">
        <v>161.82</v>
      </c>
      <c r="R211">
        <v>221.58</v>
      </c>
      <c r="S211">
        <v>53</v>
      </c>
      <c r="T211">
        <v>81.36</v>
      </c>
      <c r="U211">
        <v>54.2</v>
      </c>
      <c r="V211">
        <v>33.25</v>
      </c>
      <c r="W211">
        <v>82.75</v>
      </c>
      <c r="X211">
        <v>128.72</v>
      </c>
      <c r="Y211">
        <v>206.72</v>
      </c>
      <c r="Z211">
        <v>115.74</v>
      </c>
      <c r="AA211">
        <v>108.87</v>
      </c>
      <c r="AB211">
        <v>45.23</v>
      </c>
      <c r="AC211">
        <v>63.95</v>
      </c>
      <c r="AD211">
        <v>84.84</v>
      </c>
      <c r="AE211">
        <v>78.430000000000007</v>
      </c>
      <c r="AI211" s="2">
        <v>5000</v>
      </c>
      <c r="AJ211" s="2">
        <f t="shared" si="129"/>
        <v>1140</v>
      </c>
      <c r="AK211" s="2">
        <f t="shared" si="129"/>
        <v>1140</v>
      </c>
      <c r="AL211" s="2">
        <f t="shared" si="129"/>
        <v>1140</v>
      </c>
      <c r="AM211" s="2">
        <f t="shared" si="129"/>
        <v>1140</v>
      </c>
      <c r="AN211" s="2">
        <f t="shared" si="129"/>
        <v>1140</v>
      </c>
      <c r="AO211" s="2">
        <f t="shared" si="129"/>
        <v>1140</v>
      </c>
      <c r="AP211" s="2">
        <f t="shared" si="129"/>
        <v>1020</v>
      </c>
      <c r="AQ211" s="2">
        <v>1000</v>
      </c>
      <c r="AR211" s="2">
        <v>0</v>
      </c>
      <c r="AS211" s="2">
        <v>1000</v>
      </c>
      <c r="AT211" s="2">
        <v>0</v>
      </c>
      <c r="AU211" s="2">
        <v>1000</v>
      </c>
      <c r="AV211" s="2">
        <v>1000</v>
      </c>
      <c r="AW211" s="2">
        <v>0</v>
      </c>
      <c r="AX211" s="2">
        <v>0</v>
      </c>
      <c r="AY211" s="2">
        <v>0</v>
      </c>
      <c r="AZ211" s="2">
        <v>1047</v>
      </c>
      <c r="BA211" s="2">
        <v>919</v>
      </c>
      <c r="BB211" s="2">
        <v>1015</v>
      </c>
      <c r="BC211" s="2">
        <v>-1000</v>
      </c>
      <c r="BD211" s="2">
        <v>-5000</v>
      </c>
      <c r="BE211" s="2">
        <v>5000</v>
      </c>
      <c r="BF211" s="2">
        <v>3000</v>
      </c>
      <c r="BG211" s="2">
        <v>-2500</v>
      </c>
      <c r="BH211" s="2">
        <v>5000</v>
      </c>
      <c r="BI211" s="2">
        <v>3000</v>
      </c>
      <c r="BJ211" s="2">
        <v>-1500</v>
      </c>
      <c r="BK211" s="2">
        <v>1000</v>
      </c>
      <c r="BL211" s="2">
        <v>1000</v>
      </c>
      <c r="BO211" s="2">
        <f t="shared" si="126"/>
        <v>0</v>
      </c>
      <c r="BP211" s="2">
        <f t="shared" si="136"/>
        <v>0</v>
      </c>
      <c r="BQ211" s="2">
        <f t="shared" si="137"/>
        <v>0</v>
      </c>
      <c r="BR211" s="2">
        <f t="shared" si="138"/>
        <v>0</v>
      </c>
      <c r="BS211" s="2">
        <f t="shared" si="139"/>
        <v>0</v>
      </c>
      <c r="BT211" s="2">
        <f t="shared" si="140"/>
        <v>0</v>
      </c>
      <c r="BU211" s="2">
        <f t="shared" si="141"/>
        <v>0</v>
      </c>
      <c r="BV211" s="2">
        <f t="shared" si="142"/>
        <v>0</v>
      </c>
      <c r="BW211" s="2">
        <f t="shared" si="143"/>
        <v>0</v>
      </c>
      <c r="BX211" s="2">
        <f t="shared" si="144"/>
        <v>0</v>
      </c>
      <c r="BY211" s="2">
        <f t="shared" si="145"/>
        <v>0</v>
      </c>
      <c r="BZ211" s="2">
        <f t="shared" si="146"/>
        <v>0</v>
      </c>
      <c r="CA211" s="2">
        <f t="shared" si="147"/>
        <v>0</v>
      </c>
      <c r="CB211" s="2">
        <f t="shared" si="148"/>
        <v>0</v>
      </c>
      <c r="CC211" s="2">
        <f t="shared" si="149"/>
        <v>0</v>
      </c>
      <c r="CD211" s="2">
        <f t="shared" si="150"/>
        <v>0</v>
      </c>
      <c r="CE211" s="2">
        <f t="shared" si="151"/>
        <v>0</v>
      </c>
      <c r="CF211" s="2">
        <f t="shared" si="152"/>
        <v>-4558</v>
      </c>
      <c r="CG211" s="2">
        <f t="shared" si="153"/>
        <v>3254.4</v>
      </c>
      <c r="CH211" s="2">
        <f t="shared" si="154"/>
        <v>433.6</v>
      </c>
      <c r="CI211" s="2">
        <f t="shared" si="155"/>
        <v>0</v>
      </c>
      <c r="CJ211" s="2">
        <f t="shared" si="156"/>
        <v>0</v>
      </c>
      <c r="CK211" s="2">
        <f t="shared" si="157"/>
        <v>0</v>
      </c>
      <c r="CL211" s="2">
        <f t="shared" si="158"/>
        <v>0</v>
      </c>
      <c r="CM211" s="2">
        <f t="shared" si="130"/>
        <v>578700</v>
      </c>
      <c r="CN211" s="2">
        <f t="shared" si="131"/>
        <v>0</v>
      </c>
      <c r="CO211" s="2">
        <f t="shared" si="132"/>
        <v>0</v>
      </c>
      <c r="CP211" s="2">
        <f t="shared" si="133"/>
        <v>0</v>
      </c>
      <c r="CQ211" s="2">
        <f t="shared" si="134"/>
        <v>0</v>
      </c>
      <c r="CR211" s="2">
        <f t="shared" si="135"/>
        <v>0</v>
      </c>
      <c r="CV211" t="s">
        <v>64</v>
      </c>
      <c r="CW211" t="s">
        <v>284</v>
      </c>
      <c r="CX211" t="s">
        <v>6</v>
      </c>
      <c r="CY211" s="4">
        <v>42800</v>
      </c>
      <c r="CZ211" t="s">
        <v>65</v>
      </c>
      <c r="DA211" t="s">
        <v>66</v>
      </c>
      <c r="DB211">
        <v>10</v>
      </c>
      <c r="DC211">
        <v>104.75</v>
      </c>
      <c r="DD211" t="s">
        <v>69</v>
      </c>
      <c r="DE211" t="s">
        <v>70</v>
      </c>
      <c r="DF211">
        <v>1047.5</v>
      </c>
    </row>
    <row r="212" spans="1:110" x14ac:dyDescent="0.25">
      <c r="A212" s="1">
        <v>43040</v>
      </c>
      <c r="B212">
        <v>163.13</v>
      </c>
      <c r="C212">
        <v>94.37</v>
      </c>
      <c r="D212">
        <v>250.91</v>
      </c>
      <c r="E212">
        <v>132.46</v>
      </c>
      <c r="F212">
        <v>33.340000000000003</v>
      </c>
      <c r="G212">
        <v>109.46</v>
      </c>
      <c r="H212">
        <v>96.71</v>
      </c>
      <c r="I212">
        <v>71.260000000000005</v>
      </c>
      <c r="J212">
        <v>240.19</v>
      </c>
      <c r="K212">
        <v>160.91</v>
      </c>
      <c r="L212">
        <v>144.22999999999999</v>
      </c>
      <c r="M212">
        <v>45.01</v>
      </c>
      <c r="N212">
        <v>135.44999999999999</v>
      </c>
      <c r="O212">
        <v>97.86</v>
      </c>
      <c r="P212">
        <v>43.91</v>
      </c>
      <c r="Q212">
        <v>161.30000000000001</v>
      </c>
      <c r="R212">
        <v>221.57</v>
      </c>
      <c r="S212">
        <v>53.24</v>
      </c>
      <c r="T212">
        <v>81.36</v>
      </c>
      <c r="U212">
        <v>54.27</v>
      </c>
      <c r="V212">
        <v>33.44</v>
      </c>
      <c r="W212">
        <v>83.27</v>
      </c>
      <c r="X212">
        <v>129.71</v>
      </c>
      <c r="Y212">
        <v>206.05</v>
      </c>
      <c r="Z212">
        <v>116.09</v>
      </c>
      <c r="AA212">
        <v>109.95</v>
      </c>
      <c r="AB212">
        <v>45.19</v>
      </c>
      <c r="AC212">
        <v>64.67</v>
      </c>
      <c r="AD212">
        <v>85.45</v>
      </c>
      <c r="AE212">
        <v>78.92</v>
      </c>
      <c r="AI212" s="2">
        <v>5000</v>
      </c>
      <c r="AJ212" s="2">
        <f t="shared" ref="AJ212:AP212" si="159">AJ211+10</f>
        <v>1150</v>
      </c>
      <c r="AK212" s="2">
        <f t="shared" si="159"/>
        <v>1150</v>
      </c>
      <c r="AL212" s="2">
        <f t="shared" si="159"/>
        <v>1150</v>
      </c>
      <c r="AM212" s="2">
        <f t="shared" si="159"/>
        <v>1150</v>
      </c>
      <c r="AN212" s="2">
        <f t="shared" si="159"/>
        <v>1150</v>
      </c>
      <c r="AO212" s="2">
        <f t="shared" si="159"/>
        <v>1150</v>
      </c>
      <c r="AP212" s="2">
        <f t="shared" si="159"/>
        <v>1030</v>
      </c>
      <c r="AQ212" s="2">
        <v>1000</v>
      </c>
      <c r="AR212" s="2">
        <v>0</v>
      </c>
      <c r="AS212" s="2">
        <v>1000</v>
      </c>
      <c r="AT212" s="2">
        <v>0</v>
      </c>
      <c r="AU212" s="2">
        <v>1000</v>
      </c>
      <c r="AV212" s="2">
        <v>1000</v>
      </c>
      <c r="AW212" s="2">
        <v>0</v>
      </c>
      <c r="AX212" s="2">
        <v>0</v>
      </c>
      <c r="AY212" s="2">
        <v>0</v>
      </c>
      <c r="AZ212" s="2">
        <v>999</v>
      </c>
      <c r="BA212" s="2">
        <v>946</v>
      </c>
      <c r="BB212" s="2">
        <v>987</v>
      </c>
      <c r="BC212" s="2">
        <v>-1000</v>
      </c>
      <c r="BD212" s="2">
        <v>-5000</v>
      </c>
      <c r="BE212" s="2">
        <v>5000</v>
      </c>
      <c r="BF212" s="2">
        <v>3000</v>
      </c>
      <c r="BG212" s="2">
        <v>-5000</v>
      </c>
      <c r="BH212" s="2">
        <v>5000</v>
      </c>
      <c r="BI212" s="2">
        <v>3000</v>
      </c>
      <c r="BJ212" s="2">
        <v>-1500</v>
      </c>
      <c r="BK212" s="2">
        <v>1000</v>
      </c>
      <c r="BL212" s="2">
        <v>1000</v>
      </c>
      <c r="BO212" s="2">
        <f t="shared" si="126"/>
        <v>0</v>
      </c>
      <c r="BP212" s="2">
        <f t="shared" si="136"/>
        <v>-943.7</v>
      </c>
      <c r="BQ212" s="2">
        <f t="shared" si="137"/>
        <v>-2509.1</v>
      </c>
      <c r="BR212" s="2">
        <f t="shared" si="138"/>
        <v>-1324.6000000000001</v>
      </c>
      <c r="BS212" s="2">
        <f t="shared" si="139"/>
        <v>-333.40000000000003</v>
      </c>
      <c r="BT212" s="2">
        <f t="shared" si="140"/>
        <v>-1094.5999999999999</v>
      </c>
      <c r="BU212" s="2">
        <f t="shared" si="141"/>
        <v>-967.09999999999991</v>
      </c>
      <c r="BV212" s="2">
        <f t="shared" si="142"/>
        <v>-712.6</v>
      </c>
      <c r="BW212" s="2">
        <f t="shared" si="143"/>
        <v>0</v>
      </c>
      <c r="BX212" s="2">
        <f t="shared" si="144"/>
        <v>0</v>
      </c>
      <c r="BY212" s="2">
        <f t="shared" si="145"/>
        <v>0</v>
      </c>
      <c r="BZ212" s="2">
        <f t="shared" si="146"/>
        <v>0</v>
      </c>
      <c r="CA212" s="2">
        <f t="shared" si="147"/>
        <v>0</v>
      </c>
      <c r="CB212" s="2">
        <f t="shared" si="148"/>
        <v>0</v>
      </c>
      <c r="CC212" s="2">
        <f t="shared" si="149"/>
        <v>0</v>
      </c>
      <c r="CD212" s="2">
        <f t="shared" si="150"/>
        <v>0</v>
      </c>
      <c r="CE212" s="2">
        <f t="shared" si="151"/>
        <v>0</v>
      </c>
      <c r="CF212" s="2">
        <f t="shared" si="152"/>
        <v>2555.52</v>
      </c>
      <c r="CG212" s="2">
        <f t="shared" si="153"/>
        <v>-2196.7199999999998</v>
      </c>
      <c r="CH212" s="2">
        <f t="shared" si="154"/>
        <v>1519.5600000000002</v>
      </c>
      <c r="CI212" s="2">
        <f t="shared" si="155"/>
        <v>0</v>
      </c>
      <c r="CJ212" s="2">
        <f t="shared" si="156"/>
        <v>0</v>
      </c>
      <c r="CK212" s="2">
        <f t="shared" si="157"/>
        <v>0</v>
      </c>
      <c r="CL212" s="2">
        <f t="shared" si="158"/>
        <v>0</v>
      </c>
      <c r="CM212" s="2">
        <f t="shared" si="130"/>
        <v>290225</v>
      </c>
      <c r="CN212" s="2">
        <f t="shared" si="131"/>
        <v>0</v>
      </c>
      <c r="CO212" s="2">
        <f t="shared" si="132"/>
        <v>0</v>
      </c>
      <c r="CP212" s="2">
        <f t="shared" si="133"/>
        <v>0</v>
      </c>
      <c r="CQ212" s="2">
        <f t="shared" si="134"/>
        <v>0</v>
      </c>
      <c r="CR212" s="2">
        <f t="shared" si="135"/>
        <v>0</v>
      </c>
      <c r="CV212" t="s">
        <v>64</v>
      </c>
      <c r="CW212" t="s">
        <v>285</v>
      </c>
      <c r="CX212" t="s">
        <v>6</v>
      </c>
      <c r="CY212" s="4">
        <v>42818</v>
      </c>
      <c r="CZ212" t="s">
        <v>65</v>
      </c>
      <c r="DA212" t="s">
        <v>66</v>
      </c>
      <c r="DB212">
        <v>10</v>
      </c>
      <c r="DC212">
        <v>99.96</v>
      </c>
      <c r="DD212" t="s">
        <v>69</v>
      </c>
      <c r="DE212" t="s">
        <v>70</v>
      </c>
      <c r="DF212">
        <v>999.59999999999991</v>
      </c>
    </row>
    <row r="213" spans="1:110" x14ac:dyDescent="0.25">
      <c r="A213" s="1">
        <v>43041</v>
      </c>
      <c r="B213">
        <v>164.33</v>
      </c>
      <c r="C213">
        <v>94.56</v>
      </c>
      <c r="D213">
        <v>254.92</v>
      </c>
      <c r="E213">
        <v>132.63</v>
      </c>
      <c r="F213">
        <v>32.950000000000003</v>
      </c>
      <c r="G213">
        <v>108.92</v>
      </c>
      <c r="H213">
        <v>96.04</v>
      </c>
      <c r="I213">
        <v>70.02</v>
      </c>
      <c r="J213">
        <v>242.76</v>
      </c>
      <c r="K213">
        <v>158.31</v>
      </c>
      <c r="L213">
        <v>143.59</v>
      </c>
      <c r="M213">
        <v>45.39</v>
      </c>
      <c r="N213">
        <v>135.41</v>
      </c>
      <c r="O213">
        <v>98.51</v>
      </c>
      <c r="P213">
        <v>43.99</v>
      </c>
      <c r="Q213">
        <v>162.97999999999999</v>
      </c>
      <c r="R213">
        <v>223.55</v>
      </c>
      <c r="S213">
        <v>53.27</v>
      </c>
      <c r="T213">
        <v>82.21</v>
      </c>
      <c r="U213">
        <v>54.32</v>
      </c>
      <c r="V213">
        <v>33.630000000000003</v>
      </c>
      <c r="W213">
        <v>82.91</v>
      </c>
      <c r="X213">
        <v>130.9</v>
      </c>
      <c r="Y213">
        <v>207.59</v>
      </c>
      <c r="Z213">
        <v>117.39</v>
      </c>
      <c r="AA213">
        <v>109.86</v>
      </c>
      <c r="AB213">
        <v>44.84</v>
      </c>
      <c r="AC213">
        <v>64.45</v>
      </c>
      <c r="AD213">
        <v>86.29</v>
      </c>
      <c r="AE213">
        <v>78.599999999999994</v>
      </c>
      <c r="AI213" s="2">
        <v>5000</v>
      </c>
      <c r="AJ213" s="2">
        <f t="shared" ref="AJ213:AP213" si="160">AJ212</f>
        <v>1150</v>
      </c>
      <c r="AK213" s="2">
        <f t="shared" si="160"/>
        <v>1150</v>
      </c>
      <c r="AL213" s="2">
        <f t="shared" si="160"/>
        <v>1150</v>
      </c>
      <c r="AM213" s="2">
        <f t="shared" si="160"/>
        <v>1150</v>
      </c>
      <c r="AN213" s="2">
        <f t="shared" si="160"/>
        <v>1150</v>
      </c>
      <c r="AO213" s="2">
        <f t="shared" si="160"/>
        <v>1150</v>
      </c>
      <c r="AP213" s="2">
        <f t="shared" si="160"/>
        <v>1030</v>
      </c>
      <c r="AQ213" s="2">
        <v>1000</v>
      </c>
      <c r="AR213" s="2">
        <v>0</v>
      </c>
      <c r="AS213" s="2">
        <v>1000</v>
      </c>
      <c r="AT213" s="2">
        <v>0</v>
      </c>
      <c r="AU213" s="2">
        <v>1000</v>
      </c>
      <c r="AV213" s="2">
        <v>1000</v>
      </c>
      <c r="AW213" s="2">
        <v>0</v>
      </c>
      <c r="AX213" s="2">
        <v>0</v>
      </c>
      <c r="AY213" s="2">
        <v>0</v>
      </c>
      <c r="AZ213" s="2">
        <v>971</v>
      </c>
      <c r="BA213" s="2">
        <v>1086</v>
      </c>
      <c r="BB213" s="2">
        <v>933</v>
      </c>
      <c r="BC213" s="2">
        <v>-1000</v>
      </c>
      <c r="BD213" s="2">
        <v>-5000</v>
      </c>
      <c r="BE213" s="2">
        <v>5000</v>
      </c>
      <c r="BF213" s="2">
        <v>3000</v>
      </c>
      <c r="BG213" s="2">
        <v>-5000</v>
      </c>
      <c r="BH213" s="2">
        <v>5000</v>
      </c>
      <c r="BI213" s="2">
        <v>3000</v>
      </c>
      <c r="BJ213" s="2">
        <v>-1500</v>
      </c>
      <c r="BK213" s="2">
        <v>1000</v>
      </c>
      <c r="BL213" s="2">
        <v>1000</v>
      </c>
      <c r="BO213" s="2">
        <f t="shared" si="126"/>
        <v>0</v>
      </c>
      <c r="BP213" s="2">
        <f t="shared" si="136"/>
        <v>0</v>
      </c>
      <c r="BQ213" s="2">
        <f t="shared" si="137"/>
        <v>0</v>
      </c>
      <c r="BR213" s="2">
        <f t="shared" si="138"/>
        <v>0</v>
      </c>
      <c r="BS213" s="2">
        <f t="shared" si="139"/>
        <v>0</v>
      </c>
      <c r="BT213" s="2">
        <f t="shared" si="140"/>
        <v>0</v>
      </c>
      <c r="BU213" s="2">
        <f t="shared" si="141"/>
        <v>0</v>
      </c>
      <c r="BV213" s="2">
        <f t="shared" si="142"/>
        <v>0</v>
      </c>
      <c r="BW213" s="2">
        <f t="shared" si="143"/>
        <v>0</v>
      </c>
      <c r="BX213" s="2">
        <f t="shared" si="144"/>
        <v>0</v>
      </c>
      <c r="BY213" s="2">
        <f t="shared" si="145"/>
        <v>0</v>
      </c>
      <c r="BZ213" s="2">
        <f t="shared" si="146"/>
        <v>0</v>
      </c>
      <c r="CA213" s="2">
        <f t="shared" si="147"/>
        <v>0</v>
      </c>
      <c r="CB213" s="2">
        <f t="shared" si="148"/>
        <v>0</v>
      </c>
      <c r="CC213" s="2">
        <f t="shared" si="149"/>
        <v>0</v>
      </c>
      <c r="CD213" s="2">
        <f t="shared" si="150"/>
        <v>0</v>
      </c>
      <c r="CE213" s="2">
        <f t="shared" si="151"/>
        <v>0</v>
      </c>
      <c r="CF213" s="2">
        <f t="shared" si="152"/>
        <v>1491.5600000000002</v>
      </c>
      <c r="CG213" s="2">
        <f t="shared" si="153"/>
        <v>-11509.4</v>
      </c>
      <c r="CH213" s="2">
        <f t="shared" si="154"/>
        <v>2933.28</v>
      </c>
      <c r="CI213" s="2">
        <f t="shared" si="155"/>
        <v>0</v>
      </c>
      <c r="CJ213" s="2">
        <f t="shared" si="156"/>
        <v>0</v>
      </c>
      <c r="CK213" s="2">
        <f t="shared" si="157"/>
        <v>0</v>
      </c>
      <c r="CL213" s="2">
        <f t="shared" si="158"/>
        <v>0</v>
      </c>
      <c r="CM213" s="2">
        <f t="shared" si="130"/>
        <v>0</v>
      </c>
      <c r="CN213" s="2">
        <f t="shared" si="131"/>
        <v>0</v>
      </c>
      <c r="CO213" s="2">
        <f t="shared" si="132"/>
        <v>0</v>
      </c>
      <c r="CP213" s="2">
        <f t="shared" si="133"/>
        <v>0</v>
      </c>
      <c r="CQ213" s="2">
        <f t="shared" si="134"/>
        <v>0</v>
      </c>
      <c r="CR213" s="2">
        <f t="shared" si="135"/>
        <v>0</v>
      </c>
      <c r="CV213" t="s">
        <v>64</v>
      </c>
      <c r="CW213" t="s">
        <v>286</v>
      </c>
      <c r="CX213" t="s">
        <v>6</v>
      </c>
      <c r="CY213" s="4">
        <v>42838</v>
      </c>
      <c r="CZ213" t="s">
        <v>65</v>
      </c>
      <c r="DA213" t="s">
        <v>66</v>
      </c>
      <c r="DB213">
        <v>10</v>
      </c>
      <c r="DC213">
        <v>98.21</v>
      </c>
      <c r="DD213" t="s">
        <v>69</v>
      </c>
      <c r="DE213" t="s">
        <v>70</v>
      </c>
      <c r="DF213">
        <v>982.09999999999991</v>
      </c>
    </row>
    <row r="214" spans="1:110" x14ac:dyDescent="0.25">
      <c r="A214" s="1">
        <v>43042</v>
      </c>
      <c r="B214">
        <v>168.62</v>
      </c>
      <c r="C214">
        <v>95</v>
      </c>
      <c r="D214">
        <v>254.06</v>
      </c>
      <c r="E214">
        <v>132.79</v>
      </c>
      <c r="F214">
        <v>33.200000000000003</v>
      </c>
      <c r="G214">
        <v>108.6</v>
      </c>
      <c r="H214">
        <v>96.33</v>
      </c>
      <c r="I214">
        <v>69.16</v>
      </c>
      <c r="J214">
        <v>240.32</v>
      </c>
      <c r="K214">
        <v>159.94999999999999</v>
      </c>
      <c r="L214">
        <v>141.93</v>
      </c>
      <c r="M214">
        <v>44.65</v>
      </c>
      <c r="N214">
        <v>135.55000000000001</v>
      </c>
      <c r="O214">
        <v>98.34</v>
      </c>
      <c r="P214">
        <v>44.07</v>
      </c>
      <c r="Q214">
        <v>163.51</v>
      </c>
      <c r="R214">
        <v>223.54</v>
      </c>
      <c r="S214">
        <v>53.93</v>
      </c>
      <c r="T214">
        <v>82.29</v>
      </c>
      <c r="U214">
        <v>54.91</v>
      </c>
      <c r="V214">
        <v>33.72</v>
      </c>
      <c r="W214">
        <v>82.98</v>
      </c>
      <c r="X214">
        <v>129.57</v>
      </c>
      <c r="Y214">
        <v>209.33</v>
      </c>
      <c r="Z214">
        <v>117.01</v>
      </c>
      <c r="AA214">
        <v>110.23</v>
      </c>
      <c r="AB214">
        <v>44.8</v>
      </c>
      <c r="AC214">
        <v>64.53</v>
      </c>
      <c r="AD214">
        <v>87.14</v>
      </c>
      <c r="AE214">
        <v>78.27</v>
      </c>
      <c r="AI214" s="2">
        <v>5000</v>
      </c>
      <c r="AJ214" s="2">
        <f t="shared" si="129"/>
        <v>1150</v>
      </c>
      <c r="AK214" s="2">
        <f t="shared" si="129"/>
        <v>1150</v>
      </c>
      <c r="AL214" s="2">
        <f t="shared" si="129"/>
        <v>1150</v>
      </c>
      <c r="AM214" s="2">
        <f t="shared" si="129"/>
        <v>1150</v>
      </c>
      <c r="AN214" s="2">
        <f t="shared" si="129"/>
        <v>1150</v>
      </c>
      <c r="AO214" s="2">
        <f t="shared" si="129"/>
        <v>1150</v>
      </c>
      <c r="AP214" s="2">
        <f t="shared" si="129"/>
        <v>1030</v>
      </c>
      <c r="AQ214" s="2">
        <v>1000</v>
      </c>
      <c r="AR214" s="2">
        <v>0</v>
      </c>
      <c r="AS214" s="2">
        <v>1000</v>
      </c>
      <c r="AT214" s="2">
        <v>0</v>
      </c>
      <c r="AU214" s="2">
        <v>1000</v>
      </c>
      <c r="AV214" s="2">
        <v>1000</v>
      </c>
      <c r="AW214" s="2">
        <v>0</v>
      </c>
      <c r="AX214" s="2">
        <v>0</v>
      </c>
      <c r="AY214" s="2">
        <v>0</v>
      </c>
      <c r="AZ214" s="2">
        <v>1040</v>
      </c>
      <c r="BA214" s="2">
        <v>1021</v>
      </c>
      <c r="BB214" s="2">
        <v>948</v>
      </c>
      <c r="BC214" s="2">
        <v>-1000</v>
      </c>
      <c r="BD214" s="2">
        <v>-5000</v>
      </c>
      <c r="BE214" s="2">
        <v>5000</v>
      </c>
      <c r="BF214" s="2">
        <v>3000</v>
      </c>
      <c r="BG214" s="2">
        <v>-5000</v>
      </c>
      <c r="BH214" s="2">
        <v>5000</v>
      </c>
      <c r="BI214" s="2">
        <v>3000</v>
      </c>
      <c r="BJ214" s="2">
        <v>-1500</v>
      </c>
      <c r="BK214" s="2">
        <v>1000</v>
      </c>
      <c r="BL214" s="2">
        <v>1000</v>
      </c>
      <c r="BO214" s="2">
        <f t="shared" si="126"/>
        <v>0</v>
      </c>
      <c r="BP214" s="2">
        <f t="shared" si="136"/>
        <v>0</v>
      </c>
      <c r="BQ214" s="2">
        <f t="shared" si="137"/>
        <v>0</v>
      </c>
      <c r="BR214" s="2">
        <f t="shared" si="138"/>
        <v>0</v>
      </c>
      <c r="BS214" s="2">
        <f t="shared" si="139"/>
        <v>0</v>
      </c>
      <c r="BT214" s="2">
        <f t="shared" si="140"/>
        <v>0</v>
      </c>
      <c r="BU214" s="2">
        <f t="shared" si="141"/>
        <v>0</v>
      </c>
      <c r="BV214" s="2">
        <f t="shared" si="142"/>
        <v>0</v>
      </c>
      <c r="BW214" s="2">
        <f t="shared" si="143"/>
        <v>0</v>
      </c>
      <c r="BX214" s="2">
        <f t="shared" si="144"/>
        <v>0</v>
      </c>
      <c r="BY214" s="2">
        <f t="shared" si="145"/>
        <v>0</v>
      </c>
      <c r="BZ214" s="2">
        <f t="shared" si="146"/>
        <v>0</v>
      </c>
      <c r="CA214" s="2">
        <f t="shared" si="147"/>
        <v>0</v>
      </c>
      <c r="CB214" s="2">
        <f t="shared" si="148"/>
        <v>0</v>
      </c>
      <c r="CC214" s="2">
        <f t="shared" si="149"/>
        <v>0</v>
      </c>
      <c r="CD214" s="2">
        <f t="shared" si="150"/>
        <v>0</v>
      </c>
      <c r="CE214" s="2">
        <f t="shared" si="151"/>
        <v>0</v>
      </c>
      <c r="CF214" s="2">
        <f t="shared" si="152"/>
        <v>-3721.17</v>
      </c>
      <c r="CG214" s="2">
        <f t="shared" si="153"/>
        <v>5348.85</v>
      </c>
      <c r="CH214" s="2">
        <f t="shared" si="154"/>
        <v>-823.65</v>
      </c>
      <c r="CI214" s="2">
        <f t="shared" si="155"/>
        <v>0</v>
      </c>
      <c r="CJ214" s="2">
        <f t="shared" si="156"/>
        <v>0</v>
      </c>
      <c r="CK214" s="2">
        <f t="shared" si="157"/>
        <v>0</v>
      </c>
      <c r="CL214" s="2">
        <f t="shared" si="158"/>
        <v>0</v>
      </c>
      <c r="CM214" s="2">
        <f t="shared" si="130"/>
        <v>0</v>
      </c>
      <c r="CN214" s="2">
        <f t="shared" si="131"/>
        <v>0</v>
      </c>
      <c r="CO214" s="2">
        <f t="shared" si="132"/>
        <v>0</v>
      </c>
      <c r="CP214" s="2">
        <f t="shared" si="133"/>
        <v>0</v>
      </c>
      <c r="CQ214" s="2">
        <f t="shared" si="134"/>
        <v>0</v>
      </c>
      <c r="CR214" s="2">
        <f t="shared" si="135"/>
        <v>0</v>
      </c>
      <c r="CV214" t="s">
        <v>64</v>
      </c>
      <c r="CW214" t="s">
        <v>287</v>
      </c>
      <c r="CX214" t="s">
        <v>6</v>
      </c>
      <c r="CY214" s="4">
        <v>42859</v>
      </c>
      <c r="CZ214" t="s">
        <v>65</v>
      </c>
      <c r="DA214" t="s">
        <v>66</v>
      </c>
      <c r="DB214">
        <v>10</v>
      </c>
      <c r="DC214">
        <v>97.01</v>
      </c>
      <c r="DD214" t="s">
        <v>69</v>
      </c>
      <c r="DE214" t="s">
        <v>70</v>
      </c>
      <c r="DF214">
        <v>970.1</v>
      </c>
    </row>
    <row r="215" spans="1:110" x14ac:dyDescent="0.25">
      <c r="A215" s="1">
        <v>43045</v>
      </c>
      <c r="B215">
        <v>170.33</v>
      </c>
      <c r="C215">
        <v>94.86</v>
      </c>
      <c r="D215">
        <v>256.31</v>
      </c>
      <c r="E215">
        <v>133.84</v>
      </c>
      <c r="F215">
        <v>33.14</v>
      </c>
      <c r="G215">
        <v>110.54</v>
      </c>
      <c r="H215">
        <v>98.28</v>
      </c>
      <c r="I215">
        <v>68.27</v>
      </c>
      <c r="J215">
        <v>239.43</v>
      </c>
      <c r="K215">
        <v>159.78</v>
      </c>
      <c r="L215">
        <v>141.24</v>
      </c>
      <c r="M215">
        <v>45.27</v>
      </c>
      <c r="N215">
        <v>135.24</v>
      </c>
      <c r="O215">
        <v>97.73</v>
      </c>
      <c r="P215">
        <v>43.59</v>
      </c>
      <c r="Q215">
        <v>164.89</v>
      </c>
      <c r="R215">
        <v>221.7</v>
      </c>
      <c r="S215">
        <v>53.76</v>
      </c>
      <c r="T215">
        <v>82.62</v>
      </c>
      <c r="U215">
        <v>55.23</v>
      </c>
      <c r="V215">
        <v>33.5</v>
      </c>
      <c r="W215">
        <v>82.47</v>
      </c>
      <c r="X215">
        <v>129.68</v>
      </c>
      <c r="Y215">
        <v>208.59</v>
      </c>
      <c r="Z215">
        <v>116.35</v>
      </c>
      <c r="AA215">
        <v>110.79</v>
      </c>
      <c r="AB215">
        <v>43.02</v>
      </c>
      <c r="AC215">
        <v>63.64</v>
      </c>
      <c r="AD215">
        <v>86.19</v>
      </c>
      <c r="AE215">
        <v>78.81</v>
      </c>
      <c r="AI215" s="2">
        <v>5000</v>
      </c>
      <c r="AJ215" s="2">
        <f t="shared" si="129"/>
        <v>1150</v>
      </c>
      <c r="AK215" s="2">
        <f t="shared" si="129"/>
        <v>1150</v>
      </c>
      <c r="AL215" s="2">
        <f t="shared" si="129"/>
        <v>1150</v>
      </c>
      <c r="AM215" s="2">
        <f t="shared" si="129"/>
        <v>1150</v>
      </c>
      <c r="AN215" s="2">
        <f t="shared" si="129"/>
        <v>1150</v>
      </c>
      <c r="AO215" s="2">
        <f t="shared" si="129"/>
        <v>1150</v>
      </c>
      <c r="AP215" s="2">
        <f t="shared" si="129"/>
        <v>1030</v>
      </c>
      <c r="AQ215" s="2">
        <v>1000</v>
      </c>
      <c r="AR215" s="2">
        <v>0</v>
      </c>
      <c r="AS215" s="2">
        <v>1000</v>
      </c>
      <c r="AT215" s="2">
        <v>0</v>
      </c>
      <c r="AU215" s="2">
        <v>1000</v>
      </c>
      <c r="AV215" s="2">
        <v>1000</v>
      </c>
      <c r="AW215" s="2">
        <v>0</v>
      </c>
      <c r="AX215" s="2">
        <v>0</v>
      </c>
      <c r="AY215" s="2">
        <v>0</v>
      </c>
      <c r="AZ215" s="2">
        <v>1037</v>
      </c>
      <c r="BA215" s="2">
        <v>965</v>
      </c>
      <c r="BB215" s="2">
        <v>1036</v>
      </c>
      <c r="BC215" s="2">
        <v>-1000</v>
      </c>
      <c r="BD215" s="2">
        <v>-5000</v>
      </c>
      <c r="BE215" s="2">
        <v>5000</v>
      </c>
      <c r="BF215" s="2">
        <v>3000</v>
      </c>
      <c r="BG215" s="2">
        <v>-5000</v>
      </c>
      <c r="BH215" s="2">
        <v>5000</v>
      </c>
      <c r="BI215" s="2">
        <v>3000</v>
      </c>
      <c r="BJ215" s="2">
        <v>-1500</v>
      </c>
      <c r="BK215" s="2">
        <v>1000</v>
      </c>
      <c r="BL215" s="2">
        <v>1000</v>
      </c>
      <c r="BO215" s="2">
        <f t="shared" si="126"/>
        <v>0</v>
      </c>
      <c r="BP215" s="2">
        <f t="shared" si="136"/>
        <v>0</v>
      </c>
      <c r="BQ215" s="2">
        <f t="shared" si="137"/>
        <v>0</v>
      </c>
      <c r="BR215" s="2">
        <f t="shared" si="138"/>
        <v>0</v>
      </c>
      <c r="BS215" s="2">
        <f t="shared" si="139"/>
        <v>0</v>
      </c>
      <c r="BT215" s="2">
        <f t="shared" si="140"/>
        <v>0</v>
      </c>
      <c r="BU215" s="2">
        <f t="shared" si="141"/>
        <v>0</v>
      </c>
      <c r="BV215" s="2">
        <f t="shared" si="142"/>
        <v>0</v>
      </c>
      <c r="BW215" s="2">
        <f t="shared" si="143"/>
        <v>0</v>
      </c>
      <c r="BX215" s="2">
        <f t="shared" si="144"/>
        <v>0</v>
      </c>
      <c r="BY215" s="2">
        <f t="shared" si="145"/>
        <v>0</v>
      </c>
      <c r="BZ215" s="2">
        <f t="shared" si="146"/>
        <v>0</v>
      </c>
      <c r="CA215" s="2">
        <f t="shared" si="147"/>
        <v>0</v>
      </c>
      <c r="CB215" s="2">
        <f t="shared" si="148"/>
        <v>0</v>
      </c>
      <c r="CC215" s="2">
        <f t="shared" si="149"/>
        <v>0</v>
      </c>
      <c r="CD215" s="2">
        <f t="shared" si="150"/>
        <v>0</v>
      </c>
      <c r="CE215" s="2">
        <f t="shared" si="151"/>
        <v>0</v>
      </c>
      <c r="CF215" s="2">
        <f t="shared" si="152"/>
        <v>161.28</v>
      </c>
      <c r="CG215" s="2">
        <f t="shared" si="153"/>
        <v>4626.72</v>
      </c>
      <c r="CH215" s="2">
        <f t="shared" si="154"/>
        <v>-4860.24</v>
      </c>
      <c r="CI215" s="2">
        <f t="shared" si="155"/>
        <v>0</v>
      </c>
      <c r="CJ215" s="2">
        <f t="shared" si="156"/>
        <v>0</v>
      </c>
      <c r="CK215" s="2">
        <f t="shared" si="157"/>
        <v>0</v>
      </c>
      <c r="CL215" s="2">
        <f t="shared" si="158"/>
        <v>0</v>
      </c>
      <c r="CM215" s="2">
        <f t="shared" si="130"/>
        <v>0</v>
      </c>
      <c r="CN215" s="2">
        <f t="shared" si="131"/>
        <v>0</v>
      </c>
      <c r="CO215" s="2">
        <f t="shared" si="132"/>
        <v>0</v>
      </c>
      <c r="CP215" s="2">
        <f t="shared" si="133"/>
        <v>0</v>
      </c>
      <c r="CQ215" s="2">
        <f t="shared" si="134"/>
        <v>0</v>
      </c>
      <c r="CR215" s="2">
        <f t="shared" si="135"/>
        <v>0</v>
      </c>
      <c r="CV215" t="s">
        <v>64</v>
      </c>
      <c r="CW215" t="s">
        <v>288</v>
      </c>
      <c r="CX215" t="s">
        <v>6</v>
      </c>
      <c r="CY215" s="4">
        <v>42879</v>
      </c>
      <c r="CZ215" t="s">
        <v>65</v>
      </c>
      <c r="DA215" t="s">
        <v>66</v>
      </c>
      <c r="DB215">
        <v>10</v>
      </c>
      <c r="DC215">
        <v>99.32</v>
      </c>
      <c r="DD215" t="s">
        <v>69</v>
      </c>
      <c r="DE215" t="s">
        <v>70</v>
      </c>
      <c r="DF215">
        <v>993.19999999999993</v>
      </c>
    </row>
    <row r="216" spans="1:110" x14ac:dyDescent="0.25">
      <c r="A216" s="1">
        <v>43046</v>
      </c>
      <c r="B216">
        <v>170.87</v>
      </c>
      <c r="C216">
        <v>93.96</v>
      </c>
      <c r="D216">
        <v>258.31</v>
      </c>
      <c r="E216">
        <v>134.91</v>
      </c>
      <c r="F216">
        <v>33.130000000000003</v>
      </c>
      <c r="G216">
        <v>110.72</v>
      </c>
      <c r="H216">
        <v>99.23</v>
      </c>
      <c r="I216">
        <v>69.14</v>
      </c>
      <c r="J216">
        <v>235.81</v>
      </c>
      <c r="K216">
        <v>159.24</v>
      </c>
      <c r="L216">
        <v>141.72</v>
      </c>
      <c r="M216">
        <v>45.34</v>
      </c>
      <c r="N216">
        <v>135.25</v>
      </c>
      <c r="O216">
        <v>95.76</v>
      </c>
      <c r="P216">
        <v>44.04</v>
      </c>
      <c r="Q216">
        <v>165.57</v>
      </c>
      <c r="R216">
        <v>221.45</v>
      </c>
      <c r="S216">
        <v>53.48</v>
      </c>
      <c r="T216">
        <v>82.42</v>
      </c>
      <c r="U216">
        <v>54.35</v>
      </c>
      <c r="V216">
        <v>33.54</v>
      </c>
      <c r="W216">
        <v>83.36</v>
      </c>
      <c r="X216">
        <v>129.96</v>
      </c>
      <c r="Y216">
        <v>209.16</v>
      </c>
      <c r="Z216">
        <v>116.7</v>
      </c>
      <c r="AA216">
        <v>110.96</v>
      </c>
      <c r="AB216">
        <v>43.06</v>
      </c>
      <c r="AC216">
        <v>65.55</v>
      </c>
      <c r="AD216">
        <v>86.43</v>
      </c>
      <c r="AE216">
        <v>78.650000000000006</v>
      </c>
      <c r="AI216" s="2">
        <v>5000</v>
      </c>
      <c r="AJ216" s="2">
        <f t="shared" si="129"/>
        <v>1150</v>
      </c>
      <c r="AK216" s="2">
        <f t="shared" si="129"/>
        <v>1150</v>
      </c>
      <c r="AL216" s="2">
        <f t="shared" si="129"/>
        <v>1150</v>
      </c>
      <c r="AM216" s="2">
        <f t="shared" si="129"/>
        <v>1150</v>
      </c>
      <c r="AN216" s="2">
        <f t="shared" si="129"/>
        <v>1150</v>
      </c>
      <c r="AO216" s="2">
        <f t="shared" si="129"/>
        <v>1150</v>
      </c>
      <c r="AP216" s="2">
        <f t="shared" si="129"/>
        <v>1030</v>
      </c>
      <c r="AQ216" s="2">
        <v>1000</v>
      </c>
      <c r="AR216" s="2">
        <v>0</v>
      </c>
      <c r="AS216" s="2">
        <v>1000</v>
      </c>
      <c r="AT216" s="2">
        <v>0</v>
      </c>
      <c r="AU216" s="2">
        <v>1000</v>
      </c>
      <c r="AV216" s="2">
        <v>1000</v>
      </c>
      <c r="AW216" s="2">
        <v>0</v>
      </c>
      <c r="AX216" s="2">
        <v>0</v>
      </c>
      <c r="AY216" s="2">
        <v>0</v>
      </c>
      <c r="AZ216" s="2">
        <v>972</v>
      </c>
      <c r="BA216" s="2">
        <v>978</v>
      </c>
      <c r="BB216" s="2">
        <v>995</v>
      </c>
      <c r="BC216" s="2">
        <v>-1000</v>
      </c>
      <c r="BD216" s="2">
        <v>-5000</v>
      </c>
      <c r="BE216" s="2">
        <v>5000</v>
      </c>
      <c r="BF216" s="2">
        <v>3000</v>
      </c>
      <c r="BG216" s="2">
        <v>0</v>
      </c>
      <c r="BH216" s="2">
        <v>5000</v>
      </c>
      <c r="BI216" s="2">
        <v>3000</v>
      </c>
      <c r="BJ216" s="2">
        <v>-1500</v>
      </c>
      <c r="BK216" s="2">
        <v>1000</v>
      </c>
      <c r="BL216" s="2">
        <v>1000</v>
      </c>
      <c r="BO216" s="2">
        <f t="shared" si="126"/>
        <v>0</v>
      </c>
      <c r="BP216" s="2">
        <f t="shared" si="136"/>
        <v>0</v>
      </c>
      <c r="BQ216" s="2">
        <f t="shared" si="137"/>
        <v>0</v>
      </c>
      <c r="BR216" s="2">
        <f t="shared" si="138"/>
        <v>0</v>
      </c>
      <c r="BS216" s="2">
        <f t="shared" si="139"/>
        <v>0</v>
      </c>
      <c r="BT216" s="2">
        <f t="shared" si="140"/>
        <v>0</v>
      </c>
      <c r="BU216" s="2">
        <f t="shared" si="141"/>
        <v>0</v>
      </c>
      <c r="BV216" s="2">
        <f t="shared" si="142"/>
        <v>0</v>
      </c>
      <c r="BW216" s="2">
        <f t="shared" si="143"/>
        <v>0</v>
      </c>
      <c r="BX216" s="2">
        <f t="shared" si="144"/>
        <v>0</v>
      </c>
      <c r="BY216" s="2">
        <f t="shared" si="145"/>
        <v>0</v>
      </c>
      <c r="BZ216" s="2">
        <f t="shared" si="146"/>
        <v>0</v>
      </c>
      <c r="CA216" s="2">
        <f t="shared" si="147"/>
        <v>0</v>
      </c>
      <c r="CB216" s="2">
        <f t="shared" si="148"/>
        <v>0</v>
      </c>
      <c r="CC216" s="2">
        <f t="shared" si="149"/>
        <v>0</v>
      </c>
      <c r="CD216" s="2">
        <f t="shared" si="150"/>
        <v>0</v>
      </c>
      <c r="CE216" s="2">
        <f t="shared" si="151"/>
        <v>0</v>
      </c>
      <c r="CF216" s="2">
        <f t="shared" si="152"/>
        <v>3476.2</v>
      </c>
      <c r="CG216" s="2">
        <f t="shared" si="153"/>
        <v>-1071.46</v>
      </c>
      <c r="CH216" s="2">
        <f t="shared" si="154"/>
        <v>2228.35</v>
      </c>
      <c r="CI216" s="2">
        <f t="shared" si="155"/>
        <v>0</v>
      </c>
      <c r="CJ216" s="2">
        <f t="shared" si="156"/>
        <v>0</v>
      </c>
      <c r="CK216" s="2">
        <f t="shared" si="157"/>
        <v>0</v>
      </c>
      <c r="CL216" s="2">
        <f t="shared" si="158"/>
        <v>0</v>
      </c>
      <c r="CM216" s="2">
        <f t="shared" si="130"/>
        <v>-583500</v>
      </c>
      <c r="CN216" s="2">
        <f t="shared" si="131"/>
        <v>0</v>
      </c>
      <c r="CO216" s="2">
        <f t="shared" si="132"/>
        <v>0</v>
      </c>
      <c r="CP216" s="2">
        <f t="shared" si="133"/>
        <v>0</v>
      </c>
      <c r="CQ216" s="2">
        <f t="shared" si="134"/>
        <v>0</v>
      </c>
      <c r="CR216" s="2">
        <f t="shared" si="135"/>
        <v>0</v>
      </c>
      <c r="CV216" t="s">
        <v>64</v>
      </c>
      <c r="CW216" t="s">
        <v>289</v>
      </c>
      <c r="CX216" t="s">
        <v>6</v>
      </c>
      <c r="CY216" s="4">
        <v>42900</v>
      </c>
      <c r="CZ216" t="s">
        <v>65</v>
      </c>
      <c r="DA216" t="s">
        <v>66</v>
      </c>
      <c r="DB216">
        <v>10</v>
      </c>
      <c r="DC216">
        <v>99.67</v>
      </c>
      <c r="DD216" t="s">
        <v>69</v>
      </c>
      <c r="DE216" t="s">
        <v>70</v>
      </c>
      <c r="DF216">
        <v>996.7</v>
      </c>
    </row>
    <row r="217" spans="1:110" x14ac:dyDescent="0.25">
      <c r="A217" s="1">
        <v>43047</v>
      </c>
      <c r="B217">
        <v>172.27</v>
      </c>
      <c r="C217">
        <v>93.72</v>
      </c>
      <c r="D217">
        <v>257.77</v>
      </c>
      <c r="E217">
        <v>133.43</v>
      </c>
      <c r="F217">
        <v>33.229999999999997</v>
      </c>
      <c r="G217">
        <v>110.19</v>
      </c>
      <c r="H217">
        <v>98.81</v>
      </c>
      <c r="I217">
        <v>68.819999999999993</v>
      </c>
      <c r="J217">
        <v>237.23</v>
      </c>
      <c r="K217">
        <v>159.62</v>
      </c>
      <c r="L217">
        <v>141.91999999999999</v>
      </c>
      <c r="M217">
        <v>45.27</v>
      </c>
      <c r="N217">
        <v>136.75</v>
      </c>
      <c r="O217">
        <v>94.68</v>
      </c>
      <c r="P217">
        <v>44.27</v>
      </c>
      <c r="Q217">
        <v>164.92</v>
      </c>
      <c r="R217">
        <v>221.24</v>
      </c>
      <c r="S217">
        <v>54.43</v>
      </c>
      <c r="T217">
        <v>82.71</v>
      </c>
      <c r="U217">
        <v>54.95</v>
      </c>
      <c r="V217">
        <v>33.520000000000003</v>
      </c>
      <c r="W217">
        <v>83.93</v>
      </c>
      <c r="X217">
        <v>129.76</v>
      </c>
      <c r="Y217">
        <v>207.27</v>
      </c>
      <c r="Z217">
        <v>116.25</v>
      </c>
      <c r="AA217">
        <v>111.33</v>
      </c>
      <c r="AB217">
        <v>42.95</v>
      </c>
      <c r="AC217">
        <v>66.489999999999995</v>
      </c>
      <c r="AD217">
        <v>87.71</v>
      </c>
      <c r="AE217">
        <v>78.540000000000006</v>
      </c>
      <c r="AI217" s="2">
        <v>5000</v>
      </c>
      <c r="AJ217" s="2">
        <f t="shared" si="129"/>
        <v>1150</v>
      </c>
      <c r="AK217" s="2">
        <f t="shared" si="129"/>
        <v>1150</v>
      </c>
      <c r="AL217" s="2">
        <f t="shared" si="129"/>
        <v>1150</v>
      </c>
      <c r="AM217" s="2">
        <f t="shared" si="129"/>
        <v>1150</v>
      </c>
      <c r="AN217" s="2">
        <f t="shared" si="129"/>
        <v>1150</v>
      </c>
      <c r="AO217" s="2">
        <f t="shared" si="129"/>
        <v>1150</v>
      </c>
      <c r="AP217" s="2">
        <f t="shared" si="129"/>
        <v>1030</v>
      </c>
      <c r="AQ217" s="2">
        <v>1000</v>
      </c>
      <c r="AR217" s="2">
        <v>0</v>
      </c>
      <c r="AS217" s="2">
        <v>1000</v>
      </c>
      <c r="AT217" s="2">
        <v>0</v>
      </c>
      <c r="AU217" s="2">
        <v>1000</v>
      </c>
      <c r="AV217" s="2">
        <v>1000</v>
      </c>
      <c r="AW217" s="2">
        <v>0</v>
      </c>
      <c r="AX217" s="2">
        <v>0</v>
      </c>
      <c r="AY217" s="2">
        <v>0</v>
      </c>
      <c r="AZ217" s="2">
        <v>1000</v>
      </c>
      <c r="BA217" s="2">
        <v>1016</v>
      </c>
      <c r="BB217" s="2">
        <v>1095</v>
      </c>
      <c r="BC217" s="2">
        <v>-1000</v>
      </c>
      <c r="BD217" s="2">
        <v>-5000</v>
      </c>
      <c r="BE217" s="2">
        <v>5000</v>
      </c>
      <c r="BF217" s="2">
        <v>3000</v>
      </c>
      <c r="BG217" s="2">
        <v>0</v>
      </c>
      <c r="BH217" s="2">
        <v>5000</v>
      </c>
      <c r="BI217" s="2">
        <v>3000</v>
      </c>
      <c r="BJ217" s="2">
        <v>-1500</v>
      </c>
      <c r="BK217" s="2">
        <v>1000</v>
      </c>
      <c r="BL217" s="2">
        <v>1000</v>
      </c>
      <c r="BO217" s="2">
        <f t="shared" si="126"/>
        <v>0</v>
      </c>
      <c r="BP217" s="2">
        <f t="shared" si="136"/>
        <v>0</v>
      </c>
      <c r="BQ217" s="2">
        <f t="shared" si="137"/>
        <v>0</v>
      </c>
      <c r="BR217" s="2">
        <f t="shared" si="138"/>
        <v>0</v>
      </c>
      <c r="BS217" s="2">
        <f t="shared" si="139"/>
        <v>0</v>
      </c>
      <c r="BT217" s="2">
        <f t="shared" si="140"/>
        <v>0</v>
      </c>
      <c r="BU217" s="2">
        <f t="shared" si="141"/>
        <v>0</v>
      </c>
      <c r="BV217" s="2">
        <f t="shared" si="142"/>
        <v>0</v>
      </c>
      <c r="BW217" s="2">
        <f t="shared" si="143"/>
        <v>0</v>
      </c>
      <c r="BX217" s="2">
        <f t="shared" si="144"/>
        <v>0</v>
      </c>
      <c r="BY217" s="2">
        <f t="shared" si="145"/>
        <v>0</v>
      </c>
      <c r="BZ217" s="2">
        <f t="shared" si="146"/>
        <v>0</v>
      </c>
      <c r="CA217" s="2">
        <f t="shared" si="147"/>
        <v>0</v>
      </c>
      <c r="CB217" s="2">
        <f t="shared" si="148"/>
        <v>0</v>
      </c>
      <c r="CC217" s="2">
        <f t="shared" si="149"/>
        <v>0</v>
      </c>
      <c r="CD217" s="2">
        <f t="shared" si="150"/>
        <v>0</v>
      </c>
      <c r="CE217" s="2">
        <f t="shared" si="151"/>
        <v>0</v>
      </c>
      <c r="CF217" s="2">
        <f t="shared" si="152"/>
        <v>-1524.04</v>
      </c>
      <c r="CG217" s="2">
        <f t="shared" si="153"/>
        <v>-3142.9799999999996</v>
      </c>
      <c r="CH217" s="2">
        <f t="shared" si="154"/>
        <v>-5495</v>
      </c>
      <c r="CI217" s="2">
        <f t="shared" si="155"/>
        <v>0</v>
      </c>
      <c r="CJ217" s="2">
        <f t="shared" si="156"/>
        <v>0</v>
      </c>
      <c r="CK217" s="2">
        <f t="shared" si="157"/>
        <v>0</v>
      </c>
      <c r="CL217" s="2">
        <f t="shared" si="158"/>
        <v>0</v>
      </c>
      <c r="CM217" s="2">
        <f t="shared" si="130"/>
        <v>0</v>
      </c>
      <c r="CN217" s="2">
        <f t="shared" si="131"/>
        <v>0</v>
      </c>
      <c r="CO217" s="2">
        <f t="shared" si="132"/>
        <v>0</v>
      </c>
      <c r="CP217" s="2">
        <f t="shared" si="133"/>
        <v>0</v>
      </c>
      <c r="CQ217" s="2">
        <f t="shared" si="134"/>
        <v>0</v>
      </c>
      <c r="CR217" s="2">
        <f t="shared" si="135"/>
        <v>0</v>
      </c>
      <c r="CV217" t="s">
        <v>64</v>
      </c>
      <c r="CW217" t="s">
        <v>290</v>
      </c>
      <c r="CX217" t="s">
        <v>6</v>
      </c>
      <c r="CY217" s="4">
        <v>42921</v>
      </c>
      <c r="CZ217" t="s">
        <v>65</v>
      </c>
      <c r="DA217" t="s">
        <v>66</v>
      </c>
      <c r="DB217">
        <v>10</v>
      </c>
      <c r="DC217">
        <v>97.82</v>
      </c>
      <c r="DD217" t="s">
        <v>69</v>
      </c>
      <c r="DE217" t="s">
        <v>70</v>
      </c>
      <c r="DF217">
        <v>978.19999999999993</v>
      </c>
    </row>
    <row r="218" spans="1:110" x14ac:dyDescent="0.25">
      <c r="A218" s="1">
        <v>43048</v>
      </c>
      <c r="B218">
        <v>171.92</v>
      </c>
      <c r="C218">
        <v>92.36</v>
      </c>
      <c r="D218">
        <v>256.36</v>
      </c>
      <c r="E218">
        <v>131.53</v>
      </c>
      <c r="F218">
        <v>32.79</v>
      </c>
      <c r="G218">
        <v>110.72</v>
      </c>
      <c r="H218">
        <v>100.27</v>
      </c>
      <c r="I218">
        <v>68.260000000000005</v>
      </c>
      <c r="J218">
        <v>236.77</v>
      </c>
      <c r="K218">
        <v>158.86000000000001</v>
      </c>
      <c r="L218">
        <v>142.13999999999999</v>
      </c>
      <c r="M218">
        <v>44.88</v>
      </c>
      <c r="N218">
        <v>135.81</v>
      </c>
      <c r="O218">
        <v>94.67</v>
      </c>
      <c r="P218">
        <v>44.32</v>
      </c>
      <c r="Q218">
        <v>161.91</v>
      </c>
      <c r="R218">
        <v>219.85</v>
      </c>
      <c r="S218">
        <v>54.08</v>
      </c>
      <c r="T218">
        <v>82.25</v>
      </c>
      <c r="U218">
        <v>55.32</v>
      </c>
      <c r="V218">
        <v>33.69</v>
      </c>
      <c r="W218">
        <v>84.13</v>
      </c>
      <c r="X218">
        <v>130.74</v>
      </c>
      <c r="Y218">
        <v>208.04</v>
      </c>
      <c r="Z218">
        <v>114.4</v>
      </c>
      <c r="AA218">
        <v>111.01</v>
      </c>
      <c r="AB218">
        <v>42.58</v>
      </c>
      <c r="AC218">
        <v>67.11</v>
      </c>
      <c r="AD218">
        <v>87.74</v>
      </c>
      <c r="AE218">
        <v>79.010000000000005</v>
      </c>
      <c r="AI218" s="2">
        <v>5000</v>
      </c>
      <c r="AJ218" s="2">
        <f t="shared" si="129"/>
        <v>1150</v>
      </c>
      <c r="AK218" s="2">
        <f t="shared" si="129"/>
        <v>1150</v>
      </c>
      <c r="AL218" s="2">
        <f t="shared" si="129"/>
        <v>1150</v>
      </c>
      <c r="AM218" s="2">
        <f t="shared" si="129"/>
        <v>1150</v>
      </c>
      <c r="AN218" s="2">
        <f t="shared" si="129"/>
        <v>1150</v>
      </c>
      <c r="AO218" s="2">
        <f t="shared" si="129"/>
        <v>1150</v>
      </c>
      <c r="AP218" s="2">
        <f t="shared" si="129"/>
        <v>1030</v>
      </c>
      <c r="AQ218" s="2">
        <v>1000</v>
      </c>
      <c r="AR218" s="2">
        <v>0</v>
      </c>
      <c r="AS218" s="2">
        <v>1000</v>
      </c>
      <c r="AT218" s="2">
        <v>0</v>
      </c>
      <c r="AU218" s="2">
        <v>1000</v>
      </c>
      <c r="AV218" s="2">
        <v>1000</v>
      </c>
      <c r="AW218" s="2">
        <v>0</v>
      </c>
      <c r="AX218" s="2">
        <v>0</v>
      </c>
      <c r="AY218" s="2">
        <v>0</v>
      </c>
      <c r="AZ218" s="2">
        <v>1002</v>
      </c>
      <c r="BA218" s="2">
        <v>1025</v>
      </c>
      <c r="BB218" s="2">
        <v>1034</v>
      </c>
      <c r="BC218" s="2">
        <v>-1000</v>
      </c>
      <c r="BD218" s="2">
        <v>-5000</v>
      </c>
      <c r="BE218" s="2">
        <v>5000</v>
      </c>
      <c r="BF218" s="2">
        <v>3000</v>
      </c>
      <c r="BG218" s="2">
        <v>0</v>
      </c>
      <c r="BH218" s="2">
        <v>5000</v>
      </c>
      <c r="BI218" s="2">
        <v>3000</v>
      </c>
      <c r="BJ218" s="2">
        <v>-1500</v>
      </c>
      <c r="BK218" s="2">
        <v>1000</v>
      </c>
      <c r="BL218" s="2">
        <v>1000</v>
      </c>
      <c r="BO218" s="2">
        <f t="shared" si="126"/>
        <v>0</v>
      </c>
      <c r="BP218" s="2">
        <f t="shared" si="136"/>
        <v>0</v>
      </c>
      <c r="BQ218" s="2">
        <f t="shared" si="137"/>
        <v>0</v>
      </c>
      <c r="BR218" s="2">
        <f t="shared" si="138"/>
        <v>0</v>
      </c>
      <c r="BS218" s="2">
        <f t="shared" si="139"/>
        <v>0</v>
      </c>
      <c r="BT218" s="2">
        <f t="shared" si="140"/>
        <v>0</v>
      </c>
      <c r="BU218" s="2">
        <f t="shared" si="141"/>
        <v>0</v>
      </c>
      <c r="BV218" s="2">
        <f t="shared" si="142"/>
        <v>0</v>
      </c>
      <c r="BW218" s="2">
        <f t="shared" si="143"/>
        <v>0</v>
      </c>
      <c r="BX218" s="2">
        <f t="shared" si="144"/>
        <v>0</v>
      </c>
      <c r="BY218" s="2">
        <f t="shared" si="145"/>
        <v>0</v>
      </c>
      <c r="BZ218" s="2">
        <f t="shared" si="146"/>
        <v>0</v>
      </c>
      <c r="CA218" s="2">
        <f t="shared" si="147"/>
        <v>0</v>
      </c>
      <c r="CB218" s="2">
        <f t="shared" si="148"/>
        <v>0</v>
      </c>
      <c r="CC218" s="2">
        <f t="shared" si="149"/>
        <v>0</v>
      </c>
      <c r="CD218" s="2">
        <f t="shared" si="150"/>
        <v>0</v>
      </c>
      <c r="CE218" s="2">
        <f t="shared" si="151"/>
        <v>0</v>
      </c>
      <c r="CF218" s="2">
        <f t="shared" si="152"/>
        <v>-108.16</v>
      </c>
      <c r="CG218" s="2">
        <f t="shared" si="153"/>
        <v>-740.25</v>
      </c>
      <c r="CH218" s="2">
        <f t="shared" si="154"/>
        <v>3374.52</v>
      </c>
      <c r="CI218" s="2">
        <f t="shared" si="155"/>
        <v>0</v>
      </c>
      <c r="CJ218" s="2">
        <f t="shared" si="156"/>
        <v>0</v>
      </c>
      <c r="CK218" s="2">
        <f t="shared" si="157"/>
        <v>0</v>
      </c>
      <c r="CL218" s="2">
        <f t="shared" si="158"/>
        <v>0</v>
      </c>
      <c r="CM218" s="2">
        <f t="shared" si="130"/>
        <v>0</v>
      </c>
      <c r="CN218" s="2">
        <f t="shared" si="131"/>
        <v>0</v>
      </c>
      <c r="CO218" s="2">
        <f t="shared" si="132"/>
        <v>0</v>
      </c>
      <c r="CP218" s="2">
        <f t="shared" si="133"/>
        <v>0</v>
      </c>
      <c r="CQ218" s="2">
        <f t="shared" si="134"/>
        <v>0</v>
      </c>
      <c r="CR218" s="2">
        <f t="shared" si="135"/>
        <v>0</v>
      </c>
      <c r="CV218" t="s">
        <v>64</v>
      </c>
      <c r="CW218" t="s">
        <v>291</v>
      </c>
      <c r="CX218" t="s">
        <v>6</v>
      </c>
      <c r="CY218" s="4">
        <v>42941</v>
      </c>
      <c r="CZ218" t="s">
        <v>65</v>
      </c>
      <c r="DA218" t="s">
        <v>66</v>
      </c>
      <c r="DB218">
        <v>10</v>
      </c>
      <c r="DC218">
        <v>97.61</v>
      </c>
      <c r="DD218" t="s">
        <v>69</v>
      </c>
      <c r="DE218" t="s">
        <v>70</v>
      </c>
      <c r="DF218">
        <v>976.1</v>
      </c>
    </row>
    <row r="219" spans="1:110" x14ac:dyDescent="0.25">
      <c r="A219" s="1">
        <v>43049</v>
      </c>
      <c r="B219">
        <v>171.35</v>
      </c>
      <c r="C219">
        <v>92.13</v>
      </c>
      <c r="D219">
        <v>254.55</v>
      </c>
      <c r="E219">
        <v>132.63999999999999</v>
      </c>
      <c r="F219">
        <v>32.729999999999997</v>
      </c>
      <c r="G219">
        <v>110.67</v>
      </c>
      <c r="H219">
        <v>102.32</v>
      </c>
      <c r="I219">
        <v>68</v>
      </c>
      <c r="J219">
        <v>236.14</v>
      </c>
      <c r="K219">
        <v>159.66999999999999</v>
      </c>
      <c r="L219">
        <v>141.06</v>
      </c>
      <c r="M219">
        <v>44.18</v>
      </c>
      <c r="N219">
        <v>135.05000000000001</v>
      </c>
      <c r="O219">
        <v>94.56</v>
      </c>
      <c r="P219">
        <v>44.62</v>
      </c>
      <c r="Q219">
        <v>160.54</v>
      </c>
      <c r="R219">
        <v>218.95</v>
      </c>
      <c r="S219">
        <v>53.38</v>
      </c>
      <c r="T219">
        <v>82.03</v>
      </c>
      <c r="U219">
        <v>55.28</v>
      </c>
      <c r="V219">
        <v>33.67</v>
      </c>
      <c r="W219">
        <v>84.49</v>
      </c>
      <c r="X219">
        <v>131.72</v>
      </c>
      <c r="Y219">
        <v>207.56</v>
      </c>
      <c r="Z219">
        <v>114.15</v>
      </c>
      <c r="AA219">
        <v>110.75</v>
      </c>
      <c r="AB219">
        <v>42.4</v>
      </c>
      <c r="AC219">
        <v>68.91</v>
      </c>
      <c r="AD219">
        <v>88.35</v>
      </c>
      <c r="AE219">
        <v>78.77</v>
      </c>
      <c r="AI219" s="2">
        <v>5000</v>
      </c>
      <c r="AJ219" s="2">
        <f t="shared" si="129"/>
        <v>1150</v>
      </c>
      <c r="AK219" s="2">
        <f t="shared" si="129"/>
        <v>1150</v>
      </c>
      <c r="AL219" s="2">
        <f t="shared" si="129"/>
        <v>1150</v>
      </c>
      <c r="AM219" s="2">
        <f t="shared" si="129"/>
        <v>1150</v>
      </c>
      <c r="AN219" s="2">
        <f t="shared" si="129"/>
        <v>1150</v>
      </c>
      <c r="AO219" s="2">
        <f t="shared" si="129"/>
        <v>1150</v>
      </c>
      <c r="AP219" s="2">
        <f t="shared" si="129"/>
        <v>1030</v>
      </c>
      <c r="AQ219" s="2">
        <v>1000</v>
      </c>
      <c r="AR219" s="2">
        <v>0</v>
      </c>
      <c r="AS219" s="2">
        <v>1000</v>
      </c>
      <c r="AT219" s="2">
        <v>0</v>
      </c>
      <c r="AU219" s="2">
        <v>1000</v>
      </c>
      <c r="AV219" s="2">
        <v>1000</v>
      </c>
      <c r="AW219" s="2">
        <v>0</v>
      </c>
      <c r="AX219" s="2">
        <v>0</v>
      </c>
      <c r="AY219" s="2">
        <v>0</v>
      </c>
      <c r="AZ219" s="2">
        <v>956</v>
      </c>
      <c r="BA219" s="2">
        <v>1095</v>
      </c>
      <c r="BB219" s="2">
        <v>982</v>
      </c>
      <c r="BC219" s="2">
        <v>-1000</v>
      </c>
      <c r="BD219" s="2">
        <v>-5000</v>
      </c>
      <c r="BE219" s="2">
        <v>5000</v>
      </c>
      <c r="BF219" s="2">
        <v>3000</v>
      </c>
      <c r="BG219" s="2">
        <v>0</v>
      </c>
      <c r="BH219" s="2">
        <v>2500</v>
      </c>
      <c r="BI219" s="2">
        <v>3000</v>
      </c>
      <c r="BJ219" s="2">
        <v>-1500</v>
      </c>
      <c r="BK219" s="2">
        <v>1000</v>
      </c>
      <c r="BL219" s="2">
        <v>1000</v>
      </c>
      <c r="BO219" s="2">
        <f t="shared" si="126"/>
        <v>0</v>
      </c>
      <c r="BP219" s="2">
        <f t="shared" si="136"/>
        <v>0</v>
      </c>
      <c r="BQ219" s="2">
        <f t="shared" si="137"/>
        <v>0</v>
      </c>
      <c r="BR219" s="2">
        <f t="shared" si="138"/>
        <v>0</v>
      </c>
      <c r="BS219" s="2">
        <f t="shared" si="139"/>
        <v>0</v>
      </c>
      <c r="BT219" s="2">
        <f t="shared" si="140"/>
        <v>0</v>
      </c>
      <c r="BU219" s="2">
        <f t="shared" si="141"/>
        <v>0</v>
      </c>
      <c r="BV219" s="2">
        <f t="shared" si="142"/>
        <v>0</v>
      </c>
      <c r="BW219" s="2">
        <f t="shared" si="143"/>
        <v>0</v>
      </c>
      <c r="BX219" s="2">
        <f t="shared" si="144"/>
        <v>0</v>
      </c>
      <c r="BY219" s="2">
        <f t="shared" si="145"/>
        <v>0</v>
      </c>
      <c r="BZ219" s="2">
        <f t="shared" si="146"/>
        <v>0</v>
      </c>
      <c r="CA219" s="2">
        <f t="shared" si="147"/>
        <v>0</v>
      </c>
      <c r="CB219" s="2">
        <f t="shared" si="148"/>
        <v>0</v>
      </c>
      <c r="CC219" s="2">
        <f t="shared" si="149"/>
        <v>0</v>
      </c>
      <c r="CD219" s="2">
        <f t="shared" si="150"/>
        <v>0</v>
      </c>
      <c r="CE219" s="2">
        <f t="shared" si="151"/>
        <v>0</v>
      </c>
      <c r="CF219" s="2">
        <f t="shared" si="152"/>
        <v>2455.48</v>
      </c>
      <c r="CG219" s="2">
        <f t="shared" si="153"/>
        <v>-5742.1</v>
      </c>
      <c r="CH219" s="2">
        <f t="shared" si="154"/>
        <v>2874.56</v>
      </c>
      <c r="CI219" s="2">
        <f t="shared" si="155"/>
        <v>0</v>
      </c>
      <c r="CJ219" s="2">
        <f t="shared" si="156"/>
        <v>0</v>
      </c>
      <c r="CK219" s="2">
        <f t="shared" si="157"/>
        <v>0</v>
      </c>
      <c r="CL219" s="2">
        <f t="shared" si="158"/>
        <v>0</v>
      </c>
      <c r="CM219" s="2">
        <f t="shared" si="130"/>
        <v>0</v>
      </c>
      <c r="CN219" s="2">
        <f t="shared" si="131"/>
        <v>276875</v>
      </c>
      <c r="CO219" s="2">
        <f t="shared" si="132"/>
        <v>0</v>
      </c>
      <c r="CP219" s="2">
        <f t="shared" si="133"/>
        <v>0</v>
      </c>
      <c r="CQ219" s="2">
        <f t="shared" si="134"/>
        <v>0</v>
      </c>
      <c r="CR219" s="2">
        <f t="shared" si="135"/>
        <v>0</v>
      </c>
      <c r="CV219" t="s">
        <v>64</v>
      </c>
      <c r="CW219" t="s">
        <v>292</v>
      </c>
      <c r="CX219" t="s">
        <v>6</v>
      </c>
      <c r="CY219" s="4">
        <v>42961</v>
      </c>
      <c r="CZ219" t="s">
        <v>65</v>
      </c>
      <c r="DA219" t="s">
        <v>66</v>
      </c>
      <c r="DB219">
        <v>10</v>
      </c>
      <c r="DC219">
        <v>101.65</v>
      </c>
      <c r="DD219" t="s">
        <v>69</v>
      </c>
      <c r="DE219" t="s">
        <v>70</v>
      </c>
      <c r="DF219">
        <v>1016.5</v>
      </c>
    </row>
    <row r="220" spans="1:110" x14ac:dyDescent="0.25">
      <c r="A220" s="1">
        <v>43052</v>
      </c>
      <c r="B220">
        <v>170.66</v>
      </c>
      <c r="C220">
        <v>92.51</v>
      </c>
      <c r="D220">
        <v>256.08</v>
      </c>
      <c r="E220">
        <v>132.69</v>
      </c>
      <c r="F220">
        <v>32.700000000000003</v>
      </c>
      <c r="G220">
        <v>110.72</v>
      </c>
      <c r="H220">
        <v>102.28</v>
      </c>
      <c r="I220">
        <v>68.48</v>
      </c>
      <c r="J220">
        <v>236.26</v>
      </c>
      <c r="K220">
        <v>160.88</v>
      </c>
      <c r="L220">
        <v>140.34</v>
      </c>
      <c r="M220">
        <v>44.35</v>
      </c>
      <c r="N220">
        <v>135.24</v>
      </c>
      <c r="O220">
        <v>94.9</v>
      </c>
      <c r="P220">
        <v>44.79</v>
      </c>
      <c r="Q220">
        <v>162.27000000000001</v>
      </c>
      <c r="R220">
        <v>219.69</v>
      </c>
      <c r="S220">
        <v>53.01</v>
      </c>
      <c r="T220">
        <v>82.09</v>
      </c>
      <c r="U220">
        <v>55.1</v>
      </c>
      <c r="V220">
        <v>33.79</v>
      </c>
      <c r="W220">
        <v>85.29</v>
      </c>
      <c r="X220">
        <v>129.57</v>
      </c>
      <c r="Y220">
        <v>209.12</v>
      </c>
      <c r="Z220">
        <v>113.14</v>
      </c>
      <c r="AA220">
        <v>110.27</v>
      </c>
      <c r="AB220">
        <v>42.28</v>
      </c>
      <c r="AC220">
        <v>68.3</v>
      </c>
      <c r="AD220">
        <v>88.41</v>
      </c>
      <c r="AE220">
        <v>78.72</v>
      </c>
      <c r="AI220" s="2">
        <v>5000</v>
      </c>
      <c r="AJ220" s="2">
        <f t="shared" si="129"/>
        <v>1150</v>
      </c>
      <c r="AK220" s="2">
        <f t="shared" si="129"/>
        <v>1150</v>
      </c>
      <c r="AL220" s="2">
        <f t="shared" si="129"/>
        <v>1150</v>
      </c>
      <c r="AM220" s="2">
        <f t="shared" si="129"/>
        <v>1150</v>
      </c>
      <c r="AN220" s="2">
        <f t="shared" si="129"/>
        <v>1150</v>
      </c>
      <c r="AO220" s="2">
        <f t="shared" si="129"/>
        <v>1150</v>
      </c>
      <c r="AP220" s="2">
        <f t="shared" si="129"/>
        <v>1030</v>
      </c>
      <c r="AQ220" s="2">
        <v>1000</v>
      </c>
      <c r="AR220" s="2">
        <v>0</v>
      </c>
      <c r="AS220" s="2">
        <v>1000</v>
      </c>
      <c r="AT220" s="2">
        <v>0</v>
      </c>
      <c r="AU220" s="2">
        <v>1000</v>
      </c>
      <c r="AV220" s="2">
        <v>1000</v>
      </c>
      <c r="AW220" s="2">
        <v>0</v>
      </c>
      <c r="AX220" s="2">
        <v>0</v>
      </c>
      <c r="AY220" s="2">
        <v>0</v>
      </c>
      <c r="AZ220" s="2">
        <v>1034</v>
      </c>
      <c r="BA220" s="2">
        <v>961</v>
      </c>
      <c r="BB220" s="2">
        <v>942</v>
      </c>
      <c r="BC220" s="2">
        <v>-1000</v>
      </c>
      <c r="BD220" s="2">
        <v>-5000</v>
      </c>
      <c r="BE220" s="2">
        <v>5000</v>
      </c>
      <c r="BF220" s="2">
        <v>3000</v>
      </c>
      <c r="BG220" s="2">
        <v>2500</v>
      </c>
      <c r="BH220" s="2">
        <v>0</v>
      </c>
      <c r="BI220" s="2">
        <v>3000</v>
      </c>
      <c r="BJ220" s="2">
        <v>-1500</v>
      </c>
      <c r="BK220" s="2">
        <v>1000</v>
      </c>
      <c r="BL220" s="2">
        <v>1000</v>
      </c>
      <c r="BO220" s="2">
        <f t="shared" si="126"/>
        <v>0</v>
      </c>
      <c r="BP220" s="2">
        <f t="shared" si="136"/>
        <v>0</v>
      </c>
      <c r="BQ220" s="2">
        <f t="shared" si="137"/>
        <v>0</v>
      </c>
      <c r="BR220" s="2">
        <f t="shared" si="138"/>
        <v>0</v>
      </c>
      <c r="BS220" s="2">
        <f t="shared" si="139"/>
        <v>0</v>
      </c>
      <c r="BT220" s="2">
        <f t="shared" si="140"/>
        <v>0</v>
      </c>
      <c r="BU220" s="2">
        <f t="shared" si="141"/>
        <v>0</v>
      </c>
      <c r="BV220" s="2">
        <f t="shared" si="142"/>
        <v>0</v>
      </c>
      <c r="BW220" s="2">
        <f t="shared" si="143"/>
        <v>0</v>
      </c>
      <c r="BX220" s="2">
        <f t="shared" si="144"/>
        <v>0</v>
      </c>
      <c r="BY220" s="2">
        <f t="shared" si="145"/>
        <v>0</v>
      </c>
      <c r="BZ220" s="2">
        <f t="shared" si="146"/>
        <v>0</v>
      </c>
      <c r="CA220" s="2">
        <f t="shared" si="147"/>
        <v>0</v>
      </c>
      <c r="CB220" s="2">
        <f t="shared" si="148"/>
        <v>0</v>
      </c>
      <c r="CC220" s="2">
        <f t="shared" si="149"/>
        <v>0</v>
      </c>
      <c r="CD220" s="2">
        <f t="shared" si="150"/>
        <v>0</v>
      </c>
      <c r="CE220" s="2">
        <f t="shared" si="151"/>
        <v>0</v>
      </c>
      <c r="CF220" s="2">
        <f t="shared" si="152"/>
        <v>-4134.78</v>
      </c>
      <c r="CG220" s="2">
        <f t="shared" si="153"/>
        <v>11000.060000000001</v>
      </c>
      <c r="CH220" s="2">
        <f t="shared" si="154"/>
        <v>2204</v>
      </c>
      <c r="CI220" s="2">
        <f t="shared" si="155"/>
        <v>0</v>
      </c>
      <c r="CJ220" s="2">
        <f t="shared" si="156"/>
        <v>0</v>
      </c>
      <c r="CK220" s="2">
        <f t="shared" si="157"/>
        <v>0</v>
      </c>
      <c r="CL220" s="2">
        <f t="shared" si="158"/>
        <v>0</v>
      </c>
      <c r="CM220" s="2">
        <f t="shared" si="130"/>
        <v>-282850</v>
      </c>
      <c r="CN220" s="2">
        <f t="shared" si="131"/>
        <v>275675</v>
      </c>
      <c r="CO220" s="2">
        <f t="shared" si="132"/>
        <v>0</v>
      </c>
      <c r="CP220" s="2">
        <f t="shared" si="133"/>
        <v>0</v>
      </c>
      <c r="CQ220" s="2">
        <f t="shared" si="134"/>
        <v>0</v>
      </c>
      <c r="CR220" s="2">
        <f t="shared" si="135"/>
        <v>0</v>
      </c>
      <c r="CV220" t="s">
        <v>64</v>
      </c>
      <c r="CW220" t="s">
        <v>293</v>
      </c>
      <c r="CX220" t="s">
        <v>6</v>
      </c>
      <c r="CY220" s="4">
        <v>42979</v>
      </c>
      <c r="CZ220" t="s">
        <v>65</v>
      </c>
      <c r="DA220" t="s">
        <v>66</v>
      </c>
      <c r="DB220">
        <v>10</v>
      </c>
      <c r="DC220">
        <v>102.72</v>
      </c>
      <c r="DD220" t="s">
        <v>69</v>
      </c>
      <c r="DE220" t="s">
        <v>70</v>
      </c>
      <c r="DF220">
        <v>1027.2</v>
      </c>
    </row>
    <row r="221" spans="1:110" x14ac:dyDescent="0.25">
      <c r="A221" s="1">
        <v>43053</v>
      </c>
      <c r="B221">
        <v>168.08</v>
      </c>
      <c r="C221">
        <v>92.37</v>
      </c>
      <c r="D221">
        <v>255.44</v>
      </c>
      <c r="E221">
        <v>133.66999999999999</v>
      </c>
      <c r="F221">
        <v>32.78</v>
      </c>
      <c r="G221">
        <v>110.42</v>
      </c>
      <c r="H221">
        <v>100.75</v>
      </c>
      <c r="I221">
        <v>67</v>
      </c>
      <c r="J221">
        <v>233.28</v>
      </c>
      <c r="K221">
        <v>163.52000000000001</v>
      </c>
      <c r="L221">
        <v>140.81</v>
      </c>
      <c r="M221">
        <v>44.45</v>
      </c>
      <c r="N221">
        <v>134.97999999999999</v>
      </c>
      <c r="O221">
        <v>94.33</v>
      </c>
      <c r="P221">
        <v>45.47</v>
      </c>
      <c r="Q221">
        <v>162.99</v>
      </c>
      <c r="R221">
        <v>220.76</v>
      </c>
      <c r="S221">
        <v>52.9</v>
      </c>
      <c r="T221">
        <v>82.21</v>
      </c>
      <c r="U221">
        <v>55.17</v>
      </c>
      <c r="V221">
        <v>33.86</v>
      </c>
      <c r="W221">
        <v>85.17</v>
      </c>
      <c r="X221">
        <v>130.09</v>
      </c>
      <c r="Y221">
        <v>208.19</v>
      </c>
      <c r="Z221">
        <v>114.82</v>
      </c>
      <c r="AA221">
        <v>110.85</v>
      </c>
      <c r="AB221">
        <v>41.78</v>
      </c>
      <c r="AC221">
        <v>68.52</v>
      </c>
      <c r="AD221">
        <v>88.51</v>
      </c>
      <c r="AE221">
        <v>78.099999999999994</v>
      </c>
      <c r="AI221" s="2">
        <v>5000</v>
      </c>
      <c r="AJ221" s="2">
        <f t="shared" si="129"/>
        <v>1150</v>
      </c>
      <c r="AK221" s="2">
        <f t="shared" si="129"/>
        <v>1150</v>
      </c>
      <c r="AL221" s="2">
        <f t="shared" si="129"/>
        <v>1150</v>
      </c>
      <c r="AM221" s="2">
        <f t="shared" si="129"/>
        <v>1150</v>
      </c>
      <c r="AN221" s="2">
        <f t="shared" si="129"/>
        <v>1150</v>
      </c>
      <c r="AO221" s="2">
        <f t="shared" si="129"/>
        <v>1150</v>
      </c>
      <c r="AP221" s="2">
        <f t="shared" si="129"/>
        <v>1030</v>
      </c>
      <c r="AQ221" s="2">
        <v>1000</v>
      </c>
      <c r="AR221" s="2">
        <v>0</v>
      </c>
      <c r="AS221" s="2">
        <v>1000</v>
      </c>
      <c r="AT221" s="2">
        <v>0</v>
      </c>
      <c r="AU221" s="2">
        <v>1000</v>
      </c>
      <c r="AV221" s="2">
        <v>1000</v>
      </c>
      <c r="AW221" s="2">
        <v>0</v>
      </c>
      <c r="AX221" s="2">
        <v>0</v>
      </c>
      <c r="AY221" s="2">
        <v>0</v>
      </c>
      <c r="AZ221" s="2">
        <v>1045</v>
      </c>
      <c r="BA221" s="2">
        <v>1015</v>
      </c>
      <c r="BB221" s="2">
        <v>928</v>
      </c>
      <c r="BC221" s="2">
        <v>-1000</v>
      </c>
      <c r="BD221" s="2">
        <v>-5000</v>
      </c>
      <c r="BE221" s="2">
        <v>5000</v>
      </c>
      <c r="BF221" s="2">
        <v>3000</v>
      </c>
      <c r="BG221" s="2">
        <v>2500</v>
      </c>
      <c r="BH221" s="2">
        <v>-5000</v>
      </c>
      <c r="BI221" s="2">
        <v>3000</v>
      </c>
      <c r="BJ221" s="2">
        <v>-1500</v>
      </c>
      <c r="BK221" s="2">
        <v>1000</v>
      </c>
      <c r="BL221" s="2">
        <v>1000</v>
      </c>
      <c r="BO221" s="2">
        <f t="shared" si="126"/>
        <v>0</v>
      </c>
      <c r="BP221" s="2">
        <f t="shared" si="136"/>
        <v>0</v>
      </c>
      <c r="BQ221" s="2">
        <f t="shared" si="137"/>
        <v>0</v>
      </c>
      <c r="BR221" s="2">
        <f t="shared" si="138"/>
        <v>0</v>
      </c>
      <c r="BS221" s="2">
        <f t="shared" si="139"/>
        <v>0</v>
      </c>
      <c r="BT221" s="2">
        <f t="shared" si="140"/>
        <v>0</v>
      </c>
      <c r="BU221" s="2">
        <f t="shared" si="141"/>
        <v>0</v>
      </c>
      <c r="BV221" s="2">
        <f t="shared" si="142"/>
        <v>0</v>
      </c>
      <c r="BW221" s="2">
        <f t="shared" si="143"/>
        <v>0</v>
      </c>
      <c r="BX221" s="2">
        <f t="shared" si="144"/>
        <v>0</v>
      </c>
      <c r="BY221" s="2">
        <f t="shared" si="145"/>
        <v>0</v>
      </c>
      <c r="BZ221" s="2">
        <f t="shared" si="146"/>
        <v>0</v>
      </c>
      <c r="CA221" s="2">
        <f t="shared" si="147"/>
        <v>0</v>
      </c>
      <c r="CB221" s="2">
        <f t="shared" si="148"/>
        <v>0</v>
      </c>
      <c r="CC221" s="2">
        <f t="shared" si="149"/>
        <v>0</v>
      </c>
      <c r="CD221" s="2">
        <f t="shared" si="150"/>
        <v>0</v>
      </c>
      <c r="CE221" s="2">
        <f t="shared" si="151"/>
        <v>0</v>
      </c>
      <c r="CF221" s="2">
        <f t="shared" si="152"/>
        <v>-581.9</v>
      </c>
      <c r="CG221" s="2">
        <f t="shared" si="153"/>
        <v>-4439.3399999999992</v>
      </c>
      <c r="CH221" s="2">
        <f t="shared" si="154"/>
        <v>772.38</v>
      </c>
      <c r="CI221" s="2">
        <f t="shared" si="155"/>
        <v>0</v>
      </c>
      <c r="CJ221" s="2">
        <f t="shared" si="156"/>
        <v>0</v>
      </c>
      <c r="CK221" s="2">
        <f t="shared" si="157"/>
        <v>0</v>
      </c>
      <c r="CL221" s="2">
        <f t="shared" si="158"/>
        <v>0</v>
      </c>
      <c r="CM221" s="2">
        <f t="shared" si="130"/>
        <v>0</v>
      </c>
      <c r="CN221" s="2">
        <f t="shared" si="131"/>
        <v>554250</v>
      </c>
      <c r="CO221" s="2">
        <f t="shared" si="132"/>
        <v>0</v>
      </c>
      <c r="CP221" s="2">
        <f t="shared" si="133"/>
        <v>0</v>
      </c>
      <c r="CQ221" s="2">
        <f t="shared" si="134"/>
        <v>0</v>
      </c>
      <c r="CR221" s="2">
        <f t="shared" si="135"/>
        <v>0</v>
      </c>
      <c r="CV221" t="s">
        <v>64</v>
      </c>
      <c r="CW221" t="s">
        <v>294</v>
      </c>
      <c r="CX221" t="s">
        <v>6</v>
      </c>
      <c r="CY221" s="4">
        <v>43000</v>
      </c>
      <c r="CZ221" t="s">
        <v>65</v>
      </c>
      <c r="DA221" t="s">
        <v>66</v>
      </c>
      <c r="DB221">
        <v>10</v>
      </c>
      <c r="DC221">
        <v>110.77</v>
      </c>
      <c r="DD221" t="s">
        <v>69</v>
      </c>
      <c r="DE221" t="s">
        <v>70</v>
      </c>
      <c r="DF221">
        <v>1107.7</v>
      </c>
    </row>
    <row r="222" spans="1:110" x14ac:dyDescent="0.25">
      <c r="A222" s="1">
        <v>43054</v>
      </c>
      <c r="B222">
        <v>165.87</v>
      </c>
      <c r="C222">
        <v>91.88</v>
      </c>
      <c r="D222">
        <v>256.51</v>
      </c>
      <c r="E222">
        <v>130.33000000000001</v>
      </c>
      <c r="F222">
        <v>32.85</v>
      </c>
      <c r="G222">
        <v>109.98</v>
      </c>
      <c r="H222">
        <v>101.26</v>
      </c>
      <c r="I222">
        <v>67.400000000000006</v>
      </c>
      <c r="J222">
        <v>233.65</v>
      </c>
      <c r="K222">
        <v>161</v>
      </c>
      <c r="L222">
        <v>139.11000000000001</v>
      </c>
      <c r="M222">
        <v>44.06</v>
      </c>
      <c r="N222">
        <v>134.6</v>
      </c>
      <c r="O222">
        <v>95.22</v>
      </c>
      <c r="P222">
        <v>44.88</v>
      </c>
      <c r="Q222">
        <v>162.22</v>
      </c>
      <c r="R222">
        <v>218.9</v>
      </c>
      <c r="S222">
        <v>52.72</v>
      </c>
      <c r="T222">
        <v>81.569999999999993</v>
      </c>
      <c r="U222">
        <v>55.81</v>
      </c>
      <c r="V222">
        <v>33.840000000000003</v>
      </c>
      <c r="W222">
        <v>84.56</v>
      </c>
      <c r="X222">
        <v>129.94999999999999</v>
      </c>
      <c r="Y222">
        <v>206.37</v>
      </c>
      <c r="Z222">
        <v>113.63</v>
      </c>
      <c r="AA222">
        <v>109.14</v>
      </c>
      <c r="AB222">
        <v>41.68</v>
      </c>
      <c r="AC222">
        <v>68.14</v>
      </c>
      <c r="AD222">
        <v>87.29</v>
      </c>
      <c r="AE222">
        <v>77.12</v>
      </c>
      <c r="AI222" s="2">
        <v>5000</v>
      </c>
      <c r="AJ222" s="2">
        <f t="shared" si="129"/>
        <v>1150</v>
      </c>
      <c r="AK222" s="2">
        <f t="shared" si="129"/>
        <v>1150</v>
      </c>
      <c r="AL222" s="2">
        <f t="shared" si="129"/>
        <v>1150</v>
      </c>
      <c r="AM222" s="2">
        <f t="shared" si="129"/>
        <v>1150</v>
      </c>
      <c r="AN222" s="2">
        <f t="shared" si="129"/>
        <v>1150</v>
      </c>
      <c r="AO222" s="2">
        <f t="shared" si="129"/>
        <v>1150</v>
      </c>
      <c r="AP222" s="2">
        <f t="shared" si="129"/>
        <v>1030</v>
      </c>
      <c r="AQ222" s="2">
        <v>1000</v>
      </c>
      <c r="AR222" s="2">
        <v>0</v>
      </c>
      <c r="AS222" s="2">
        <v>1000</v>
      </c>
      <c r="AT222" s="2">
        <v>0</v>
      </c>
      <c r="AU222" s="2">
        <v>1000</v>
      </c>
      <c r="AV222" s="2">
        <v>1000</v>
      </c>
      <c r="AW222" s="2">
        <v>0</v>
      </c>
      <c r="AX222" s="2">
        <v>0</v>
      </c>
      <c r="AY222" s="2">
        <v>0</v>
      </c>
      <c r="AZ222" s="2">
        <v>950</v>
      </c>
      <c r="BA222" s="2">
        <v>1041</v>
      </c>
      <c r="BB222" s="2">
        <v>1084</v>
      </c>
      <c r="BC222" s="2">
        <v>-1000</v>
      </c>
      <c r="BD222" s="2">
        <v>-5000</v>
      </c>
      <c r="BE222" s="2">
        <v>5000</v>
      </c>
      <c r="BF222" s="2">
        <v>3000</v>
      </c>
      <c r="BG222" s="2">
        <v>2500</v>
      </c>
      <c r="BH222" s="2">
        <v>-5000</v>
      </c>
      <c r="BI222" s="2">
        <v>3000</v>
      </c>
      <c r="BJ222" s="2">
        <v>-1500</v>
      </c>
      <c r="BK222" s="2">
        <v>1000</v>
      </c>
      <c r="BL222" s="2">
        <v>1000</v>
      </c>
      <c r="BO222" s="2">
        <f t="shared" si="126"/>
        <v>0</v>
      </c>
      <c r="BP222" s="2">
        <f t="shared" si="136"/>
        <v>0</v>
      </c>
      <c r="BQ222" s="2">
        <f t="shared" si="137"/>
        <v>0</v>
      </c>
      <c r="BR222" s="2">
        <f t="shared" si="138"/>
        <v>0</v>
      </c>
      <c r="BS222" s="2">
        <f t="shared" si="139"/>
        <v>0</v>
      </c>
      <c r="BT222" s="2">
        <f t="shared" si="140"/>
        <v>0</v>
      </c>
      <c r="BU222" s="2">
        <f t="shared" si="141"/>
        <v>0</v>
      </c>
      <c r="BV222" s="2">
        <f t="shared" si="142"/>
        <v>0</v>
      </c>
      <c r="BW222" s="2">
        <f t="shared" si="143"/>
        <v>0</v>
      </c>
      <c r="BX222" s="2">
        <f t="shared" si="144"/>
        <v>0</v>
      </c>
      <c r="BY222" s="2">
        <f t="shared" si="145"/>
        <v>0</v>
      </c>
      <c r="BZ222" s="2">
        <f t="shared" si="146"/>
        <v>0</v>
      </c>
      <c r="CA222" s="2">
        <f t="shared" si="147"/>
        <v>0</v>
      </c>
      <c r="CB222" s="2">
        <f t="shared" si="148"/>
        <v>0</v>
      </c>
      <c r="CC222" s="2">
        <f t="shared" si="149"/>
        <v>0</v>
      </c>
      <c r="CD222" s="2">
        <f t="shared" si="150"/>
        <v>0</v>
      </c>
      <c r="CE222" s="2">
        <f t="shared" si="151"/>
        <v>0</v>
      </c>
      <c r="CF222" s="2">
        <f t="shared" si="152"/>
        <v>5008.3999999999996</v>
      </c>
      <c r="CG222" s="2">
        <f t="shared" si="153"/>
        <v>-2120.8199999999997</v>
      </c>
      <c r="CH222" s="2">
        <f t="shared" si="154"/>
        <v>-8706.36</v>
      </c>
      <c r="CI222" s="2">
        <f t="shared" si="155"/>
        <v>0</v>
      </c>
      <c r="CJ222" s="2">
        <f t="shared" si="156"/>
        <v>0</v>
      </c>
      <c r="CK222" s="2">
        <f t="shared" si="157"/>
        <v>0</v>
      </c>
      <c r="CL222" s="2">
        <f t="shared" si="158"/>
        <v>0</v>
      </c>
      <c r="CM222" s="2">
        <f t="shared" si="130"/>
        <v>0</v>
      </c>
      <c r="CN222" s="2">
        <f t="shared" si="131"/>
        <v>0</v>
      </c>
      <c r="CO222" s="2">
        <f t="shared" si="132"/>
        <v>0</v>
      </c>
      <c r="CP222" s="2">
        <f t="shared" si="133"/>
        <v>0</v>
      </c>
      <c r="CQ222" s="2">
        <f t="shared" si="134"/>
        <v>0</v>
      </c>
      <c r="CR222" s="2">
        <f t="shared" si="135"/>
        <v>0</v>
      </c>
      <c r="CV222" t="s">
        <v>64</v>
      </c>
      <c r="CW222" t="s">
        <v>295</v>
      </c>
      <c r="CX222" t="s">
        <v>6</v>
      </c>
      <c r="CY222" s="4">
        <v>43020</v>
      </c>
      <c r="CZ222" t="s">
        <v>65</v>
      </c>
      <c r="DA222" t="s">
        <v>66</v>
      </c>
      <c r="DB222">
        <v>10</v>
      </c>
      <c r="DC222">
        <v>112.52</v>
      </c>
      <c r="DD222" t="s">
        <v>69</v>
      </c>
      <c r="DE222" t="s">
        <v>70</v>
      </c>
      <c r="DF222">
        <v>1125.2</v>
      </c>
    </row>
    <row r="223" spans="1:110" x14ac:dyDescent="0.25">
      <c r="A223" s="1">
        <v>43055</v>
      </c>
      <c r="B223">
        <v>167.85</v>
      </c>
      <c r="C223">
        <v>92.17</v>
      </c>
      <c r="D223">
        <v>257.33</v>
      </c>
      <c r="E223">
        <v>132.52000000000001</v>
      </c>
      <c r="F223">
        <v>34.549999999999997</v>
      </c>
      <c r="G223">
        <v>109.22</v>
      </c>
      <c r="H223">
        <v>101.17</v>
      </c>
      <c r="I223">
        <v>69.069999999999993</v>
      </c>
      <c r="J223">
        <v>235.38</v>
      </c>
      <c r="K223">
        <v>162.97</v>
      </c>
      <c r="L223">
        <v>141.02000000000001</v>
      </c>
      <c r="M223">
        <v>44.25</v>
      </c>
      <c r="N223">
        <v>134.38</v>
      </c>
      <c r="O223">
        <v>95.49</v>
      </c>
      <c r="P223">
        <v>44.63</v>
      </c>
      <c r="Q223">
        <v>162.97</v>
      </c>
      <c r="R223">
        <v>220.84</v>
      </c>
      <c r="S223">
        <v>53.08</v>
      </c>
      <c r="T223">
        <v>81.78</v>
      </c>
      <c r="U223">
        <v>56.4</v>
      </c>
      <c r="V223">
        <v>34.04</v>
      </c>
      <c r="W223">
        <v>85.53</v>
      </c>
      <c r="X223">
        <v>127.13</v>
      </c>
      <c r="Y223">
        <v>207.62</v>
      </c>
      <c r="Z223">
        <v>114.62</v>
      </c>
      <c r="AA223">
        <v>110.09</v>
      </c>
      <c r="AB223">
        <v>42.3</v>
      </c>
      <c r="AC223">
        <v>69.209999999999994</v>
      </c>
      <c r="AD223">
        <v>96.8</v>
      </c>
      <c r="AE223">
        <v>76.5</v>
      </c>
      <c r="AI223" s="2">
        <v>5000</v>
      </c>
      <c r="AJ223" s="2">
        <f t="shared" si="129"/>
        <v>1150</v>
      </c>
      <c r="AK223" s="2">
        <f t="shared" si="129"/>
        <v>1150</v>
      </c>
      <c r="AL223" s="2">
        <f t="shared" si="129"/>
        <v>1150</v>
      </c>
      <c r="AM223" s="2">
        <f t="shared" si="129"/>
        <v>1150</v>
      </c>
      <c r="AN223" s="2">
        <f t="shared" si="129"/>
        <v>1150</v>
      </c>
      <c r="AO223" s="2">
        <f t="shared" si="129"/>
        <v>1150</v>
      </c>
      <c r="AP223" s="2">
        <f t="shared" si="129"/>
        <v>1030</v>
      </c>
      <c r="AQ223" s="2">
        <v>1000</v>
      </c>
      <c r="AR223" s="2">
        <v>0</v>
      </c>
      <c r="AS223" s="2">
        <v>1000</v>
      </c>
      <c r="AT223" s="2">
        <v>0</v>
      </c>
      <c r="AU223" s="2">
        <v>1000</v>
      </c>
      <c r="AV223" s="2">
        <v>1000</v>
      </c>
      <c r="AW223" s="2">
        <v>0</v>
      </c>
      <c r="AX223" s="2">
        <v>0</v>
      </c>
      <c r="AY223" s="2">
        <v>0</v>
      </c>
      <c r="AZ223" s="2">
        <v>971</v>
      </c>
      <c r="BA223" s="2">
        <v>1092</v>
      </c>
      <c r="BB223" s="2">
        <v>907</v>
      </c>
      <c r="BC223" s="2">
        <v>-1000</v>
      </c>
      <c r="BD223" s="2">
        <v>-5000</v>
      </c>
      <c r="BE223" s="2">
        <v>5000</v>
      </c>
      <c r="BF223" s="2">
        <v>3000</v>
      </c>
      <c r="BG223" s="2">
        <v>5000</v>
      </c>
      <c r="BH223" s="2">
        <v>-5000</v>
      </c>
      <c r="BI223" s="2">
        <v>3000</v>
      </c>
      <c r="BJ223" s="2">
        <v>-1500</v>
      </c>
      <c r="BK223" s="2">
        <v>1000</v>
      </c>
      <c r="BL223" s="2">
        <v>1000</v>
      </c>
      <c r="BO223" s="2">
        <f t="shared" si="126"/>
        <v>0</v>
      </c>
      <c r="BP223" s="2">
        <f t="shared" si="136"/>
        <v>0</v>
      </c>
      <c r="BQ223" s="2">
        <f t="shared" si="137"/>
        <v>0</v>
      </c>
      <c r="BR223" s="2">
        <f t="shared" si="138"/>
        <v>0</v>
      </c>
      <c r="BS223" s="2">
        <f t="shared" si="139"/>
        <v>0</v>
      </c>
      <c r="BT223" s="2">
        <f t="shared" si="140"/>
        <v>0</v>
      </c>
      <c r="BU223" s="2">
        <f t="shared" si="141"/>
        <v>0</v>
      </c>
      <c r="BV223" s="2">
        <f t="shared" si="142"/>
        <v>0</v>
      </c>
      <c r="BW223" s="2">
        <f t="shared" si="143"/>
        <v>0</v>
      </c>
      <c r="BX223" s="2">
        <f t="shared" si="144"/>
        <v>0</v>
      </c>
      <c r="BY223" s="2">
        <f t="shared" si="145"/>
        <v>0</v>
      </c>
      <c r="BZ223" s="2">
        <f t="shared" si="146"/>
        <v>0</v>
      </c>
      <c r="CA223" s="2">
        <f t="shared" si="147"/>
        <v>0</v>
      </c>
      <c r="CB223" s="2">
        <f t="shared" si="148"/>
        <v>0</v>
      </c>
      <c r="CC223" s="2">
        <f t="shared" si="149"/>
        <v>0</v>
      </c>
      <c r="CD223" s="2">
        <f t="shared" si="150"/>
        <v>0</v>
      </c>
      <c r="CE223" s="2">
        <f t="shared" si="151"/>
        <v>0</v>
      </c>
      <c r="CF223" s="2">
        <f t="shared" si="152"/>
        <v>-1114.68</v>
      </c>
      <c r="CG223" s="2">
        <f t="shared" si="153"/>
        <v>-4170.78</v>
      </c>
      <c r="CH223" s="2">
        <f t="shared" si="154"/>
        <v>9982.7999999999993</v>
      </c>
      <c r="CI223" s="2">
        <f t="shared" si="155"/>
        <v>0</v>
      </c>
      <c r="CJ223" s="2">
        <f t="shared" si="156"/>
        <v>0</v>
      </c>
      <c r="CK223" s="2">
        <f t="shared" si="157"/>
        <v>0</v>
      </c>
      <c r="CL223" s="2">
        <f t="shared" si="158"/>
        <v>0</v>
      </c>
      <c r="CM223" s="2">
        <f t="shared" si="130"/>
        <v>-286550</v>
      </c>
      <c r="CN223" s="2">
        <f t="shared" si="131"/>
        <v>0</v>
      </c>
      <c r="CO223" s="2">
        <f t="shared" si="132"/>
        <v>0</v>
      </c>
      <c r="CP223" s="2">
        <f t="shared" si="133"/>
        <v>0</v>
      </c>
      <c r="CQ223" s="2">
        <f t="shared" si="134"/>
        <v>0</v>
      </c>
      <c r="CR223" s="2">
        <f t="shared" si="135"/>
        <v>0</v>
      </c>
      <c r="CV223" t="s">
        <v>64</v>
      </c>
      <c r="CW223" t="s">
        <v>296</v>
      </c>
      <c r="CX223" t="s">
        <v>6</v>
      </c>
      <c r="CY223" s="4">
        <v>43040</v>
      </c>
      <c r="CZ223" t="s">
        <v>65</v>
      </c>
      <c r="DA223" t="s">
        <v>66</v>
      </c>
      <c r="DB223">
        <v>10</v>
      </c>
      <c r="DC223">
        <v>109.46</v>
      </c>
      <c r="DD223" t="s">
        <v>69</v>
      </c>
      <c r="DE223" t="s">
        <v>70</v>
      </c>
      <c r="DF223">
        <v>1094.5999999999999</v>
      </c>
    </row>
    <row r="224" spans="1:110" x14ac:dyDescent="0.25">
      <c r="A224" s="1">
        <v>43056</v>
      </c>
      <c r="B224">
        <v>166.92</v>
      </c>
      <c r="C224">
        <v>92.3</v>
      </c>
      <c r="D224">
        <v>255.93</v>
      </c>
      <c r="E224">
        <v>132.30000000000001</v>
      </c>
      <c r="F224">
        <v>34.57</v>
      </c>
      <c r="G224">
        <v>109.35</v>
      </c>
      <c r="H224">
        <v>101.01</v>
      </c>
      <c r="I224">
        <v>69.12</v>
      </c>
      <c r="J224">
        <v>234.05</v>
      </c>
      <c r="K224">
        <v>163.21</v>
      </c>
      <c r="L224">
        <v>140.88</v>
      </c>
      <c r="M224">
        <v>43.26</v>
      </c>
      <c r="N224">
        <v>133.54</v>
      </c>
      <c r="O224">
        <v>95.17</v>
      </c>
      <c r="P224">
        <v>43.82</v>
      </c>
      <c r="Q224">
        <v>161.63999999999999</v>
      </c>
      <c r="R224">
        <v>220.78</v>
      </c>
      <c r="S224">
        <v>53.11</v>
      </c>
      <c r="T224">
        <v>81</v>
      </c>
      <c r="U224">
        <v>58.34</v>
      </c>
      <c r="V224">
        <v>33.85</v>
      </c>
      <c r="W224">
        <v>84.75</v>
      </c>
      <c r="X224">
        <v>126.26</v>
      </c>
      <c r="Y224">
        <v>206.41</v>
      </c>
      <c r="Z224">
        <v>113.3</v>
      </c>
      <c r="AA224">
        <v>108.9</v>
      </c>
      <c r="AB224">
        <v>42.91</v>
      </c>
      <c r="AC224">
        <v>69.16</v>
      </c>
      <c r="AD224">
        <v>94.71</v>
      </c>
      <c r="AE224">
        <v>76.2</v>
      </c>
      <c r="AI224" s="2">
        <v>5000</v>
      </c>
      <c r="AJ224" s="2">
        <f t="shared" si="129"/>
        <v>1150</v>
      </c>
      <c r="AK224" s="2">
        <f t="shared" si="129"/>
        <v>1150</v>
      </c>
      <c r="AL224" s="2">
        <f t="shared" si="129"/>
        <v>1150</v>
      </c>
      <c r="AM224" s="2">
        <f t="shared" si="129"/>
        <v>1150</v>
      </c>
      <c r="AN224" s="2">
        <f t="shared" si="129"/>
        <v>1150</v>
      </c>
      <c r="AO224" s="2">
        <f t="shared" si="129"/>
        <v>1150</v>
      </c>
      <c r="AP224" s="2">
        <f t="shared" si="129"/>
        <v>1030</v>
      </c>
      <c r="AQ224" s="2">
        <v>1000</v>
      </c>
      <c r="AR224" s="2">
        <v>0</v>
      </c>
      <c r="AS224" s="2">
        <v>1000</v>
      </c>
      <c r="AT224" s="2">
        <v>0</v>
      </c>
      <c r="AU224" s="2">
        <v>1000</v>
      </c>
      <c r="AV224" s="2">
        <v>1000</v>
      </c>
      <c r="AW224" s="2">
        <v>0</v>
      </c>
      <c r="AX224" s="2">
        <v>0</v>
      </c>
      <c r="AY224" s="2">
        <v>0</v>
      </c>
      <c r="AZ224" s="2">
        <v>1048</v>
      </c>
      <c r="BA224" s="2">
        <v>965</v>
      </c>
      <c r="BB224" s="2">
        <v>1064</v>
      </c>
      <c r="BC224" s="2">
        <v>-1000</v>
      </c>
      <c r="BD224" s="2">
        <v>-5000</v>
      </c>
      <c r="BE224" s="2">
        <v>5000</v>
      </c>
      <c r="BF224" s="2">
        <v>3000</v>
      </c>
      <c r="BG224" s="2">
        <v>5000</v>
      </c>
      <c r="BH224" s="2">
        <v>0</v>
      </c>
      <c r="BI224" s="2">
        <v>3000</v>
      </c>
      <c r="BJ224" s="2">
        <v>-1500</v>
      </c>
      <c r="BK224" s="2">
        <v>1000</v>
      </c>
      <c r="BL224" s="2">
        <v>1000</v>
      </c>
      <c r="BO224" s="2">
        <f t="shared" si="126"/>
        <v>0</v>
      </c>
      <c r="BP224" s="2">
        <f t="shared" si="136"/>
        <v>0</v>
      </c>
      <c r="BQ224" s="2">
        <f t="shared" si="137"/>
        <v>0</v>
      </c>
      <c r="BR224" s="2">
        <f t="shared" si="138"/>
        <v>0</v>
      </c>
      <c r="BS224" s="2">
        <f t="shared" si="139"/>
        <v>0</v>
      </c>
      <c r="BT224" s="2">
        <f t="shared" si="140"/>
        <v>0</v>
      </c>
      <c r="BU224" s="2">
        <f t="shared" si="141"/>
        <v>0</v>
      </c>
      <c r="BV224" s="2">
        <f t="shared" si="142"/>
        <v>0</v>
      </c>
      <c r="BW224" s="2">
        <f t="shared" si="143"/>
        <v>0</v>
      </c>
      <c r="BX224" s="2">
        <f t="shared" si="144"/>
        <v>0</v>
      </c>
      <c r="BY224" s="2">
        <f t="shared" si="145"/>
        <v>0</v>
      </c>
      <c r="BZ224" s="2">
        <f t="shared" si="146"/>
        <v>0</v>
      </c>
      <c r="CA224" s="2">
        <f t="shared" si="147"/>
        <v>0</v>
      </c>
      <c r="CB224" s="2">
        <f t="shared" si="148"/>
        <v>0</v>
      </c>
      <c r="CC224" s="2">
        <f t="shared" si="149"/>
        <v>0</v>
      </c>
      <c r="CD224" s="2">
        <f t="shared" si="150"/>
        <v>0</v>
      </c>
      <c r="CE224" s="2">
        <f t="shared" si="151"/>
        <v>0</v>
      </c>
      <c r="CF224" s="2">
        <f t="shared" si="152"/>
        <v>-4089.47</v>
      </c>
      <c r="CG224" s="2">
        <f t="shared" si="153"/>
        <v>10287</v>
      </c>
      <c r="CH224" s="2">
        <f t="shared" si="154"/>
        <v>-9159.380000000001</v>
      </c>
      <c r="CI224" s="2">
        <f t="shared" si="155"/>
        <v>0</v>
      </c>
      <c r="CJ224" s="2">
        <f t="shared" si="156"/>
        <v>0</v>
      </c>
      <c r="CK224" s="2">
        <f t="shared" si="157"/>
        <v>0</v>
      </c>
      <c r="CL224" s="2">
        <f t="shared" si="158"/>
        <v>0</v>
      </c>
      <c r="CM224" s="2">
        <f t="shared" si="130"/>
        <v>0</v>
      </c>
      <c r="CN224" s="2">
        <f t="shared" si="131"/>
        <v>-544500</v>
      </c>
      <c r="CO224" s="2">
        <f t="shared" si="132"/>
        <v>0</v>
      </c>
      <c r="CP224" s="2">
        <f t="shared" si="133"/>
        <v>0</v>
      </c>
      <c r="CQ224" s="2">
        <f t="shared" si="134"/>
        <v>0</v>
      </c>
      <c r="CR224" s="2">
        <f t="shared" si="135"/>
        <v>0</v>
      </c>
      <c r="CV224" t="s">
        <v>64</v>
      </c>
      <c r="CW224" t="s">
        <v>297</v>
      </c>
      <c r="CX224" t="s">
        <v>6</v>
      </c>
      <c r="CY224" s="4">
        <v>43060</v>
      </c>
      <c r="CZ224" t="s">
        <v>65</v>
      </c>
      <c r="DA224" t="s">
        <v>66</v>
      </c>
      <c r="DB224">
        <v>10</v>
      </c>
      <c r="DC224">
        <v>109.79</v>
      </c>
      <c r="DD224" t="s">
        <v>69</v>
      </c>
      <c r="DE224" t="s">
        <v>70</v>
      </c>
      <c r="DF224">
        <v>1097.9000000000001</v>
      </c>
    </row>
    <row r="225" spans="1:110" x14ac:dyDescent="0.25">
      <c r="A225" s="1">
        <v>43059</v>
      </c>
      <c r="B225">
        <v>166.75</v>
      </c>
      <c r="C225">
        <v>92.56</v>
      </c>
      <c r="D225">
        <v>258.24</v>
      </c>
      <c r="E225">
        <v>133.06</v>
      </c>
      <c r="F225">
        <v>35.15</v>
      </c>
      <c r="G225">
        <v>109.36</v>
      </c>
      <c r="H225">
        <v>100.34</v>
      </c>
      <c r="I225">
        <v>69.23</v>
      </c>
      <c r="J225">
        <v>234.16</v>
      </c>
      <c r="K225">
        <v>165.84</v>
      </c>
      <c r="L225">
        <v>142.34</v>
      </c>
      <c r="M225">
        <v>43.25</v>
      </c>
      <c r="N225">
        <v>133.47</v>
      </c>
      <c r="O225">
        <v>96.01</v>
      </c>
      <c r="P225">
        <v>43.58</v>
      </c>
      <c r="Q225">
        <v>161.84</v>
      </c>
      <c r="R225">
        <v>222.84</v>
      </c>
      <c r="S225">
        <v>52.05</v>
      </c>
      <c r="T225">
        <v>81.13</v>
      </c>
      <c r="U225">
        <v>58.39</v>
      </c>
      <c r="V225">
        <v>33.840000000000003</v>
      </c>
      <c r="W225">
        <v>84.6</v>
      </c>
      <c r="X225">
        <v>126.12</v>
      </c>
      <c r="Y225">
        <v>206.75</v>
      </c>
      <c r="Z225">
        <v>113.15</v>
      </c>
      <c r="AA225">
        <v>109.03</v>
      </c>
      <c r="AB225">
        <v>43.65</v>
      </c>
      <c r="AC225">
        <v>68.7</v>
      </c>
      <c r="AD225">
        <v>94.72</v>
      </c>
      <c r="AE225">
        <v>76.5</v>
      </c>
      <c r="AI225" s="2">
        <v>5000</v>
      </c>
      <c r="AJ225" s="2">
        <f t="shared" si="129"/>
        <v>1150</v>
      </c>
      <c r="AK225" s="2">
        <f t="shared" si="129"/>
        <v>1150</v>
      </c>
      <c r="AL225" s="2">
        <f t="shared" si="129"/>
        <v>1150</v>
      </c>
      <c r="AM225" s="2">
        <f t="shared" si="129"/>
        <v>1150</v>
      </c>
      <c r="AN225" s="2">
        <f t="shared" si="129"/>
        <v>1150</v>
      </c>
      <c r="AO225" s="2">
        <f t="shared" si="129"/>
        <v>1150</v>
      </c>
      <c r="AP225" s="2">
        <f t="shared" si="129"/>
        <v>1030</v>
      </c>
      <c r="AQ225" s="2">
        <v>1000</v>
      </c>
      <c r="AR225" s="2">
        <v>0</v>
      </c>
      <c r="AS225" s="2">
        <v>1000</v>
      </c>
      <c r="AT225" s="2">
        <v>0</v>
      </c>
      <c r="AU225" s="2">
        <v>1000</v>
      </c>
      <c r="AV225" s="2">
        <v>1000</v>
      </c>
      <c r="AW225" s="2">
        <v>0</v>
      </c>
      <c r="AX225" s="2">
        <v>0</v>
      </c>
      <c r="AY225" s="2">
        <v>0</v>
      </c>
      <c r="AZ225" s="2">
        <v>1005</v>
      </c>
      <c r="BA225" s="2">
        <v>942</v>
      </c>
      <c r="BB225" s="2">
        <v>955</v>
      </c>
      <c r="BC225" s="2">
        <v>-1000</v>
      </c>
      <c r="BD225" s="2">
        <v>-5000</v>
      </c>
      <c r="BE225" s="2">
        <v>5000</v>
      </c>
      <c r="BF225" s="2">
        <v>3000</v>
      </c>
      <c r="BG225" s="2">
        <v>5000</v>
      </c>
      <c r="BH225" s="2">
        <v>0</v>
      </c>
      <c r="BI225" s="2">
        <v>3000</v>
      </c>
      <c r="BJ225" s="2">
        <v>-1500</v>
      </c>
      <c r="BK225" s="2">
        <v>1000</v>
      </c>
      <c r="BL225" s="2">
        <v>1000</v>
      </c>
      <c r="BO225" s="2">
        <f t="shared" si="126"/>
        <v>0</v>
      </c>
      <c r="BP225" s="2">
        <f t="shared" si="136"/>
        <v>0</v>
      </c>
      <c r="BQ225" s="2">
        <f t="shared" si="137"/>
        <v>0</v>
      </c>
      <c r="BR225" s="2">
        <f t="shared" si="138"/>
        <v>0</v>
      </c>
      <c r="BS225" s="2">
        <f t="shared" si="139"/>
        <v>0</v>
      </c>
      <c r="BT225" s="2">
        <f t="shared" si="140"/>
        <v>0</v>
      </c>
      <c r="BU225" s="2">
        <f t="shared" si="141"/>
        <v>0</v>
      </c>
      <c r="BV225" s="2">
        <f t="shared" si="142"/>
        <v>0</v>
      </c>
      <c r="BW225" s="2">
        <f t="shared" si="143"/>
        <v>0</v>
      </c>
      <c r="BX225" s="2">
        <f t="shared" si="144"/>
        <v>0</v>
      </c>
      <c r="BY225" s="2">
        <f t="shared" si="145"/>
        <v>0</v>
      </c>
      <c r="BZ225" s="2">
        <f t="shared" si="146"/>
        <v>0</v>
      </c>
      <c r="CA225" s="2">
        <f t="shared" si="147"/>
        <v>0</v>
      </c>
      <c r="CB225" s="2">
        <f t="shared" si="148"/>
        <v>0</v>
      </c>
      <c r="CC225" s="2">
        <f t="shared" si="149"/>
        <v>0</v>
      </c>
      <c r="CD225" s="2">
        <f t="shared" si="150"/>
        <v>0</v>
      </c>
      <c r="CE225" s="2">
        <f t="shared" si="151"/>
        <v>0</v>
      </c>
      <c r="CF225" s="2">
        <f t="shared" si="152"/>
        <v>2238.15</v>
      </c>
      <c r="CG225" s="2">
        <f t="shared" si="153"/>
        <v>1865.9899999999998</v>
      </c>
      <c r="CH225" s="2">
        <f t="shared" si="154"/>
        <v>6364.51</v>
      </c>
      <c r="CI225" s="2">
        <f t="shared" si="155"/>
        <v>0</v>
      </c>
      <c r="CJ225" s="2">
        <f t="shared" si="156"/>
        <v>0</v>
      </c>
      <c r="CK225" s="2">
        <f t="shared" si="157"/>
        <v>0</v>
      </c>
      <c r="CL225" s="2">
        <f t="shared" si="158"/>
        <v>0</v>
      </c>
      <c r="CM225" s="2">
        <f t="shared" si="130"/>
        <v>0</v>
      </c>
      <c r="CN225" s="2">
        <f t="shared" si="131"/>
        <v>0</v>
      </c>
      <c r="CO225" s="2">
        <f t="shared" si="132"/>
        <v>0</v>
      </c>
      <c r="CP225" s="2">
        <f t="shared" si="133"/>
        <v>0</v>
      </c>
      <c r="CQ225" s="2">
        <f t="shared" si="134"/>
        <v>0</v>
      </c>
      <c r="CR225" s="2">
        <f t="shared" si="135"/>
        <v>0</v>
      </c>
      <c r="CV225" t="s">
        <v>64</v>
      </c>
      <c r="CW225" t="s">
        <v>298</v>
      </c>
      <c r="CX225" t="s">
        <v>6</v>
      </c>
      <c r="CY225" s="4">
        <v>43081</v>
      </c>
      <c r="CZ225" t="s">
        <v>65</v>
      </c>
      <c r="DA225" t="s">
        <v>66</v>
      </c>
      <c r="DB225">
        <v>10</v>
      </c>
      <c r="DC225">
        <v>114.09</v>
      </c>
      <c r="DD225" t="s">
        <v>69</v>
      </c>
      <c r="DE225" t="s">
        <v>70</v>
      </c>
      <c r="DF225">
        <v>1140.9000000000001</v>
      </c>
    </row>
    <row r="226" spans="1:110" x14ac:dyDescent="0.25">
      <c r="A226" s="1">
        <v>43060</v>
      </c>
      <c r="B226">
        <v>169.85</v>
      </c>
      <c r="C226">
        <v>93.01</v>
      </c>
      <c r="D226">
        <v>260.54000000000002</v>
      </c>
      <c r="E226">
        <v>133.72999999999999</v>
      </c>
      <c r="F226">
        <v>35.299999999999997</v>
      </c>
      <c r="G226">
        <v>109.79</v>
      </c>
      <c r="H226">
        <v>100.58</v>
      </c>
      <c r="I226">
        <v>69.63</v>
      </c>
      <c r="J226">
        <v>234.05</v>
      </c>
      <c r="K226">
        <v>168.19</v>
      </c>
      <c r="L226">
        <v>143.69999999999999</v>
      </c>
      <c r="M226">
        <v>43.56</v>
      </c>
      <c r="N226">
        <v>133.87</v>
      </c>
      <c r="O226">
        <v>95.94</v>
      </c>
      <c r="P226">
        <v>43.89</v>
      </c>
      <c r="Q226">
        <v>163.16999999999999</v>
      </c>
      <c r="R226">
        <v>225.34</v>
      </c>
      <c r="S226">
        <v>52.21</v>
      </c>
      <c r="T226">
        <v>82.3</v>
      </c>
      <c r="U226">
        <v>58.53</v>
      </c>
      <c r="V226">
        <v>34.020000000000003</v>
      </c>
      <c r="W226">
        <v>85.03</v>
      </c>
      <c r="X226">
        <v>126.95</v>
      </c>
      <c r="Y226">
        <v>209.07</v>
      </c>
      <c r="Z226">
        <v>113.79</v>
      </c>
      <c r="AA226">
        <v>110.52</v>
      </c>
      <c r="AB226">
        <v>43.63</v>
      </c>
      <c r="AC226">
        <v>69.069999999999993</v>
      </c>
      <c r="AD226">
        <v>93.79</v>
      </c>
      <c r="AE226">
        <v>76.8</v>
      </c>
      <c r="AI226" s="2">
        <v>5000</v>
      </c>
      <c r="AJ226" s="2">
        <f t="shared" ref="AJ226:AP226" si="161">AJ225+10</f>
        <v>1160</v>
      </c>
      <c r="AK226" s="2">
        <f t="shared" si="161"/>
        <v>1160</v>
      </c>
      <c r="AL226" s="2">
        <f t="shared" si="161"/>
        <v>1160</v>
      </c>
      <c r="AM226" s="2">
        <f t="shared" si="161"/>
        <v>1160</v>
      </c>
      <c r="AN226" s="2">
        <f t="shared" si="161"/>
        <v>1160</v>
      </c>
      <c r="AO226" s="2">
        <f t="shared" si="161"/>
        <v>1160</v>
      </c>
      <c r="AP226" s="2">
        <f t="shared" si="161"/>
        <v>1040</v>
      </c>
      <c r="AQ226" s="2">
        <v>1000</v>
      </c>
      <c r="AR226" s="2">
        <v>0</v>
      </c>
      <c r="AS226" s="2">
        <v>1000</v>
      </c>
      <c r="AT226" s="2">
        <v>0</v>
      </c>
      <c r="AU226" s="2">
        <v>1000</v>
      </c>
      <c r="AV226" s="2">
        <v>1000</v>
      </c>
      <c r="AW226" s="2">
        <v>0</v>
      </c>
      <c r="AX226" s="2">
        <v>0</v>
      </c>
      <c r="AY226" s="2">
        <v>0</v>
      </c>
      <c r="AZ226" s="2">
        <v>1007</v>
      </c>
      <c r="BA226" s="2">
        <v>1006</v>
      </c>
      <c r="BB226" s="2">
        <v>991</v>
      </c>
      <c r="BC226" s="2">
        <v>-1000</v>
      </c>
      <c r="BD226" s="2">
        <v>-5000</v>
      </c>
      <c r="BE226" s="2">
        <v>5000</v>
      </c>
      <c r="BF226" s="2">
        <v>3000</v>
      </c>
      <c r="BG226" s="2">
        <v>5000</v>
      </c>
      <c r="BH226" s="2">
        <v>0</v>
      </c>
      <c r="BI226" s="2">
        <v>3000</v>
      </c>
      <c r="BJ226" s="2">
        <v>-1500</v>
      </c>
      <c r="BK226" s="2">
        <v>1000</v>
      </c>
      <c r="BL226" s="2">
        <v>1000</v>
      </c>
      <c r="BO226" s="2">
        <f t="shared" si="126"/>
        <v>0</v>
      </c>
      <c r="BP226" s="2">
        <f t="shared" si="136"/>
        <v>-930.1</v>
      </c>
      <c r="BQ226" s="2">
        <f t="shared" si="137"/>
        <v>-2605.4</v>
      </c>
      <c r="BR226" s="2">
        <f t="shared" si="138"/>
        <v>-1337.3</v>
      </c>
      <c r="BS226" s="2">
        <f t="shared" si="139"/>
        <v>-353</v>
      </c>
      <c r="BT226" s="2">
        <f t="shared" si="140"/>
        <v>-1097.9000000000001</v>
      </c>
      <c r="BU226" s="2">
        <f t="shared" si="141"/>
        <v>-1005.8</v>
      </c>
      <c r="BV226" s="2">
        <f t="shared" si="142"/>
        <v>-696.3</v>
      </c>
      <c r="BW226" s="2">
        <f t="shared" si="143"/>
        <v>0</v>
      </c>
      <c r="BX226" s="2">
        <f t="shared" si="144"/>
        <v>0</v>
      </c>
      <c r="BY226" s="2">
        <f t="shared" si="145"/>
        <v>0</v>
      </c>
      <c r="BZ226" s="2">
        <f t="shared" si="146"/>
        <v>0</v>
      </c>
      <c r="CA226" s="2">
        <f t="shared" si="147"/>
        <v>0</v>
      </c>
      <c r="CB226" s="2">
        <f t="shared" si="148"/>
        <v>0</v>
      </c>
      <c r="CC226" s="2">
        <f t="shared" si="149"/>
        <v>0</v>
      </c>
      <c r="CD226" s="2">
        <f t="shared" si="150"/>
        <v>0</v>
      </c>
      <c r="CE226" s="2">
        <f t="shared" si="151"/>
        <v>0</v>
      </c>
      <c r="CF226" s="2">
        <f t="shared" si="152"/>
        <v>-104.42</v>
      </c>
      <c r="CG226" s="2">
        <f t="shared" si="153"/>
        <v>-5267.2</v>
      </c>
      <c r="CH226" s="2">
        <f t="shared" si="154"/>
        <v>-2107.08</v>
      </c>
      <c r="CI226" s="2">
        <f t="shared" si="155"/>
        <v>0</v>
      </c>
      <c r="CJ226" s="2">
        <f t="shared" si="156"/>
        <v>0</v>
      </c>
      <c r="CK226" s="2">
        <f t="shared" si="157"/>
        <v>0</v>
      </c>
      <c r="CL226" s="2">
        <f t="shared" si="158"/>
        <v>0</v>
      </c>
      <c r="CM226" s="2">
        <f t="shared" si="130"/>
        <v>0</v>
      </c>
      <c r="CN226" s="2">
        <f t="shared" si="131"/>
        <v>0</v>
      </c>
      <c r="CO226" s="2">
        <f t="shared" si="132"/>
        <v>0</v>
      </c>
      <c r="CP226" s="2">
        <f t="shared" si="133"/>
        <v>0</v>
      </c>
      <c r="CQ226" s="2">
        <f t="shared" si="134"/>
        <v>0</v>
      </c>
      <c r="CR226" s="2">
        <f t="shared" si="135"/>
        <v>0</v>
      </c>
      <c r="CV226" t="s">
        <v>64</v>
      </c>
      <c r="CW226" t="s">
        <v>299</v>
      </c>
      <c r="CX226" t="s">
        <v>6</v>
      </c>
      <c r="CY226" s="4">
        <v>43103</v>
      </c>
      <c r="CZ226" t="s">
        <v>65</v>
      </c>
      <c r="DA226" t="s">
        <v>66</v>
      </c>
      <c r="DB226">
        <v>10</v>
      </c>
      <c r="DC226">
        <v>122.5</v>
      </c>
      <c r="DD226" t="s">
        <v>69</v>
      </c>
      <c r="DE226" t="s">
        <v>70</v>
      </c>
      <c r="DF226">
        <v>1225</v>
      </c>
    </row>
    <row r="227" spans="1:110" x14ac:dyDescent="0.25">
      <c r="A227" s="1">
        <v>43061</v>
      </c>
      <c r="B227">
        <v>171.64</v>
      </c>
      <c r="C227">
        <v>92.43</v>
      </c>
      <c r="D227">
        <v>258.75</v>
      </c>
      <c r="E227">
        <v>134.13</v>
      </c>
      <c r="F227">
        <v>35.1</v>
      </c>
      <c r="G227">
        <v>110.49</v>
      </c>
      <c r="H227">
        <v>100.33</v>
      </c>
      <c r="I227">
        <v>68.989999999999995</v>
      </c>
      <c r="J227">
        <v>232.49</v>
      </c>
      <c r="K227">
        <v>167.41</v>
      </c>
      <c r="L227">
        <v>143.53</v>
      </c>
      <c r="M227">
        <v>43.28</v>
      </c>
      <c r="N227">
        <v>132.85</v>
      </c>
      <c r="O227">
        <v>95.65</v>
      </c>
      <c r="P227">
        <v>43.95</v>
      </c>
      <c r="Q227">
        <v>163.9</v>
      </c>
      <c r="R227">
        <v>224.05</v>
      </c>
      <c r="S227">
        <v>52.31</v>
      </c>
      <c r="T227">
        <v>81.7</v>
      </c>
      <c r="U227">
        <v>58.22</v>
      </c>
      <c r="V227">
        <v>33.909999999999997</v>
      </c>
      <c r="W227">
        <v>84.65</v>
      </c>
      <c r="X227">
        <v>126.35</v>
      </c>
      <c r="Y227">
        <v>207.71</v>
      </c>
      <c r="Z227">
        <v>113.49</v>
      </c>
      <c r="AA227">
        <v>109.89</v>
      </c>
      <c r="AB227">
        <v>44.5</v>
      </c>
      <c r="AC227">
        <v>69.239999999999995</v>
      </c>
      <c r="AD227">
        <v>93.68</v>
      </c>
      <c r="AE227">
        <v>77.02</v>
      </c>
      <c r="AI227" s="2">
        <v>5000</v>
      </c>
      <c r="AJ227" s="2">
        <f t="shared" ref="AJ227:AP227" si="162">AJ226</f>
        <v>1160</v>
      </c>
      <c r="AK227" s="2">
        <f t="shared" si="162"/>
        <v>1160</v>
      </c>
      <c r="AL227" s="2">
        <f t="shared" si="162"/>
        <v>1160</v>
      </c>
      <c r="AM227" s="2">
        <f t="shared" si="162"/>
        <v>1160</v>
      </c>
      <c r="AN227" s="2">
        <f t="shared" si="162"/>
        <v>1160</v>
      </c>
      <c r="AO227" s="2">
        <f t="shared" si="162"/>
        <v>1160</v>
      </c>
      <c r="AP227" s="2">
        <f t="shared" si="162"/>
        <v>1040</v>
      </c>
      <c r="AQ227" s="2">
        <v>1000</v>
      </c>
      <c r="AR227" s="2">
        <v>0</v>
      </c>
      <c r="AS227" s="2">
        <v>1000</v>
      </c>
      <c r="AT227" s="2">
        <v>0</v>
      </c>
      <c r="AU227" s="2">
        <v>1000</v>
      </c>
      <c r="AV227" s="2">
        <v>1000</v>
      </c>
      <c r="AW227" s="2">
        <v>0</v>
      </c>
      <c r="AX227" s="2">
        <v>0</v>
      </c>
      <c r="AY227" s="2">
        <v>0</v>
      </c>
      <c r="AZ227" s="2">
        <v>992</v>
      </c>
      <c r="BA227" s="2">
        <v>905</v>
      </c>
      <c r="BB227" s="2">
        <v>1037</v>
      </c>
      <c r="BC227" s="2">
        <v>-1000</v>
      </c>
      <c r="BD227" s="2">
        <v>-5000</v>
      </c>
      <c r="BE227" s="2">
        <v>5000</v>
      </c>
      <c r="BF227" s="2">
        <v>3000</v>
      </c>
      <c r="BG227" s="2">
        <v>5000</v>
      </c>
      <c r="BH227" s="2">
        <v>0</v>
      </c>
      <c r="BI227" s="2">
        <v>3000</v>
      </c>
      <c r="BJ227" s="2">
        <v>-1500</v>
      </c>
      <c r="BK227" s="2">
        <v>1000</v>
      </c>
      <c r="BL227" s="2">
        <v>1000</v>
      </c>
      <c r="BO227" s="2">
        <f t="shared" si="126"/>
        <v>0</v>
      </c>
      <c r="BP227" s="2">
        <f t="shared" si="136"/>
        <v>0</v>
      </c>
      <c r="BQ227" s="2">
        <f t="shared" si="137"/>
        <v>0</v>
      </c>
      <c r="BR227" s="2">
        <f t="shared" si="138"/>
        <v>0</v>
      </c>
      <c r="BS227" s="2">
        <f t="shared" si="139"/>
        <v>0</v>
      </c>
      <c r="BT227" s="2">
        <f t="shared" si="140"/>
        <v>0</v>
      </c>
      <c r="BU227" s="2">
        <f t="shared" si="141"/>
        <v>0</v>
      </c>
      <c r="BV227" s="2">
        <f t="shared" si="142"/>
        <v>0</v>
      </c>
      <c r="BW227" s="2">
        <f t="shared" si="143"/>
        <v>0</v>
      </c>
      <c r="BX227" s="2">
        <f t="shared" si="144"/>
        <v>0</v>
      </c>
      <c r="BY227" s="2">
        <f t="shared" si="145"/>
        <v>0</v>
      </c>
      <c r="BZ227" s="2">
        <f t="shared" si="146"/>
        <v>0</v>
      </c>
      <c r="CA227" s="2">
        <f t="shared" si="147"/>
        <v>0</v>
      </c>
      <c r="CB227" s="2">
        <f t="shared" si="148"/>
        <v>0</v>
      </c>
      <c r="CC227" s="2">
        <f t="shared" si="149"/>
        <v>0</v>
      </c>
      <c r="CD227" s="2">
        <f t="shared" si="150"/>
        <v>0</v>
      </c>
      <c r="CE227" s="2">
        <f t="shared" si="151"/>
        <v>0</v>
      </c>
      <c r="CF227" s="2">
        <f t="shared" si="152"/>
        <v>784.65000000000009</v>
      </c>
      <c r="CG227" s="2">
        <f t="shared" si="153"/>
        <v>8251.7000000000007</v>
      </c>
      <c r="CH227" s="2">
        <f t="shared" si="154"/>
        <v>-2678.12</v>
      </c>
      <c r="CI227" s="2">
        <f t="shared" si="155"/>
        <v>0</v>
      </c>
      <c r="CJ227" s="2">
        <f t="shared" si="156"/>
        <v>0</v>
      </c>
      <c r="CK227" s="2">
        <f t="shared" si="157"/>
        <v>0</v>
      </c>
      <c r="CL227" s="2">
        <f t="shared" si="158"/>
        <v>0</v>
      </c>
      <c r="CM227" s="2">
        <f t="shared" si="130"/>
        <v>0</v>
      </c>
      <c r="CN227" s="2">
        <f t="shared" si="131"/>
        <v>0</v>
      </c>
      <c r="CO227" s="2">
        <f t="shared" si="132"/>
        <v>0</v>
      </c>
      <c r="CP227" s="2">
        <f t="shared" si="133"/>
        <v>0</v>
      </c>
      <c r="CQ227" s="2">
        <f t="shared" si="134"/>
        <v>0</v>
      </c>
      <c r="CR227" s="2">
        <f t="shared" si="135"/>
        <v>0</v>
      </c>
      <c r="CV227" t="s">
        <v>64</v>
      </c>
      <c r="CW227" t="s">
        <v>300</v>
      </c>
      <c r="CX227" t="s">
        <v>6</v>
      </c>
      <c r="CY227" s="4">
        <v>43124</v>
      </c>
      <c r="CZ227" t="s">
        <v>65</v>
      </c>
      <c r="DA227" t="s">
        <v>66</v>
      </c>
      <c r="DB227">
        <v>10</v>
      </c>
      <c r="DC227">
        <v>125.25</v>
      </c>
      <c r="DD227" t="s">
        <v>69</v>
      </c>
      <c r="DE227" t="s">
        <v>70</v>
      </c>
      <c r="DF227">
        <v>1252.5</v>
      </c>
    </row>
    <row r="228" spans="1:110" x14ac:dyDescent="0.25">
      <c r="A228" s="1">
        <v>43063</v>
      </c>
      <c r="B228">
        <v>171.65</v>
      </c>
      <c r="C228">
        <v>92.09</v>
      </c>
      <c r="D228">
        <v>259.45999999999998</v>
      </c>
      <c r="E228">
        <v>133.53</v>
      </c>
      <c r="F228">
        <v>35.14</v>
      </c>
      <c r="G228">
        <v>111.07</v>
      </c>
      <c r="H228">
        <v>100.23</v>
      </c>
      <c r="I228">
        <v>69.53</v>
      </c>
      <c r="J228">
        <v>232.01</v>
      </c>
      <c r="K228">
        <v>167.67</v>
      </c>
      <c r="L228">
        <v>143.6</v>
      </c>
      <c r="M228">
        <v>43.38</v>
      </c>
      <c r="N228">
        <v>133.55000000000001</v>
      </c>
      <c r="O228">
        <v>95.34</v>
      </c>
      <c r="P228">
        <v>43.99</v>
      </c>
      <c r="Q228">
        <v>163.96</v>
      </c>
      <c r="R228">
        <v>223.85</v>
      </c>
      <c r="S228">
        <v>52.29</v>
      </c>
      <c r="T228">
        <v>81.84</v>
      </c>
      <c r="U228">
        <v>58.46</v>
      </c>
      <c r="V228">
        <v>33.97</v>
      </c>
      <c r="W228">
        <v>84.77</v>
      </c>
      <c r="X228">
        <v>126.17</v>
      </c>
      <c r="Y228">
        <v>208.98</v>
      </c>
      <c r="Z228">
        <v>113.67</v>
      </c>
      <c r="AA228">
        <v>111.04</v>
      </c>
      <c r="AB228">
        <v>44.42</v>
      </c>
      <c r="AC228">
        <v>68.22</v>
      </c>
      <c r="AD228">
        <v>93.89</v>
      </c>
      <c r="AE228">
        <v>77.319999999999993</v>
      </c>
      <c r="AI228" s="2">
        <v>5000</v>
      </c>
      <c r="AJ228" s="2">
        <f t="shared" ref="AJ228:AP253" si="163">AJ227</f>
        <v>1160</v>
      </c>
      <c r="AK228" s="2">
        <f t="shared" si="163"/>
        <v>1160</v>
      </c>
      <c r="AL228" s="2">
        <f t="shared" si="163"/>
        <v>1160</v>
      </c>
      <c r="AM228" s="2">
        <f t="shared" si="163"/>
        <v>1160</v>
      </c>
      <c r="AN228" s="2">
        <f t="shared" si="163"/>
        <v>1160</v>
      </c>
      <c r="AO228" s="2">
        <f t="shared" si="163"/>
        <v>1160</v>
      </c>
      <c r="AP228" s="2">
        <f t="shared" si="163"/>
        <v>1040</v>
      </c>
      <c r="AQ228" s="2">
        <v>1000</v>
      </c>
      <c r="AR228" s="2">
        <v>0</v>
      </c>
      <c r="AS228" s="2">
        <v>1000</v>
      </c>
      <c r="AT228" s="2">
        <v>0</v>
      </c>
      <c r="AU228" s="2">
        <v>1000</v>
      </c>
      <c r="AV228" s="2">
        <v>1000</v>
      </c>
      <c r="AW228" s="2">
        <v>0</v>
      </c>
      <c r="AX228" s="2">
        <v>0</v>
      </c>
      <c r="AY228" s="2">
        <v>0</v>
      </c>
      <c r="AZ228" s="2">
        <v>989</v>
      </c>
      <c r="BA228" s="2">
        <v>923</v>
      </c>
      <c r="BB228" s="2">
        <v>1060</v>
      </c>
      <c r="BC228" s="2">
        <v>-1000</v>
      </c>
      <c r="BD228" s="2">
        <v>-5000</v>
      </c>
      <c r="BE228" s="2">
        <v>5000</v>
      </c>
      <c r="BF228" s="2">
        <v>3000</v>
      </c>
      <c r="BG228" s="2">
        <v>5000</v>
      </c>
      <c r="BH228" s="2">
        <v>-2500</v>
      </c>
      <c r="BI228" s="2">
        <v>3000</v>
      </c>
      <c r="BJ228" s="2">
        <v>-1500</v>
      </c>
      <c r="BK228" s="2">
        <v>1000</v>
      </c>
      <c r="BL228" s="2">
        <v>1000</v>
      </c>
      <c r="BO228" s="2">
        <f t="shared" si="126"/>
        <v>0</v>
      </c>
      <c r="BP228" s="2">
        <f t="shared" si="136"/>
        <v>0</v>
      </c>
      <c r="BQ228" s="2">
        <f t="shared" si="137"/>
        <v>0</v>
      </c>
      <c r="BR228" s="2">
        <f t="shared" si="138"/>
        <v>0</v>
      </c>
      <c r="BS228" s="2">
        <f t="shared" si="139"/>
        <v>0</v>
      </c>
      <c r="BT228" s="2">
        <f t="shared" si="140"/>
        <v>0</v>
      </c>
      <c r="BU228" s="2">
        <f t="shared" si="141"/>
        <v>0</v>
      </c>
      <c r="BV228" s="2">
        <f t="shared" si="142"/>
        <v>0</v>
      </c>
      <c r="BW228" s="2">
        <f t="shared" si="143"/>
        <v>0</v>
      </c>
      <c r="BX228" s="2">
        <f t="shared" si="144"/>
        <v>0</v>
      </c>
      <c r="BY228" s="2">
        <f t="shared" si="145"/>
        <v>0</v>
      </c>
      <c r="BZ228" s="2">
        <f t="shared" si="146"/>
        <v>0</v>
      </c>
      <c r="CA228" s="2">
        <f t="shared" si="147"/>
        <v>0</v>
      </c>
      <c r="CB228" s="2">
        <f t="shared" si="148"/>
        <v>0</v>
      </c>
      <c r="CC228" s="2">
        <f t="shared" si="149"/>
        <v>0</v>
      </c>
      <c r="CD228" s="2">
        <f t="shared" si="150"/>
        <v>0</v>
      </c>
      <c r="CE228" s="2">
        <f t="shared" si="151"/>
        <v>0</v>
      </c>
      <c r="CF228" s="2">
        <f t="shared" si="152"/>
        <v>156.87</v>
      </c>
      <c r="CG228" s="2">
        <f t="shared" si="153"/>
        <v>-1473.1200000000001</v>
      </c>
      <c r="CH228" s="2">
        <f t="shared" si="154"/>
        <v>-1344.58</v>
      </c>
      <c r="CI228" s="2">
        <f t="shared" si="155"/>
        <v>0</v>
      </c>
      <c r="CJ228" s="2">
        <f t="shared" si="156"/>
        <v>0</v>
      </c>
      <c r="CK228" s="2">
        <f t="shared" si="157"/>
        <v>0</v>
      </c>
      <c r="CL228" s="2">
        <f t="shared" si="158"/>
        <v>0</v>
      </c>
      <c r="CM228" s="2">
        <f t="shared" si="130"/>
        <v>0</v>
      </c>
      <c r="CN228" s="2">
        <f t="shared" si="131"/>
        <v>277600</v>
      </c>
      <c r="CO228" s="2">
        <f t="shared" si="132"/>
        <v>0</v>
      </c>
      <c r="CP228" s="2">
        <f t="shared" si="133"/>
        <v>0</v>
      </c>
      <c r="CQ228" s="2">
        <f t="shared" si="134"/>
        <v>0</v>
      </c>
      <c r="CR228" s="2">
        <f t="shared" si="135"/>
        <v>0</v>
      </c>
      <c r="CV228" t="s">
        <v>64</v>
      </c>
      <c r="CW228" t="s">
        <v>301</v>
      </c>
      <c r="CX228" t="s">
        <v>6</v>
      </c>
      <c r="CY228" s="4">
        <v>43144</v>
      </c>
      <c r="CZ228" t="s">
        <v>65</v>
      </c>
      <c r="DA228" t="s">
        <v>66</v>
      </c>
      <c r="DB228">
        <v>10</v>
      </c>
      <c r="DC228">
        <v>108</v>
      </c>
      <c r="DD228" t="s">
        <v>69</v>
      </c>
      <c r="DE228" t="s">
        <v>70</v>
      </c>
      <c r="DF228">
        <v>1080</v>
      </c>
    </row>
    <row r="229" spans="1:110" x14ac:dyDescent="0.25">
      <c r="A229" s="1">
        <v>43066</v>
      </c>
      <c r="B229">
        <v>170.78</v>
      </c>
      <c r="C229">
        <v>92.08</v>
      </c>
      <c r="D229">
        <v>259.17</v>
      </c>
      <c r="E229">
        <v>133.33000000000001</v>
      </c>
      <c r="F229">
        <v>35.51</v>
      </c>
      <c r="G229">
        <v>110.19</v>
      </c>
      <c r="H229">
        <v>100.38</v>
      </c>
      <c r="I229">
        <v>68.53</v>
      </c>
      <c r="J229">
        <v>231.19</v>
      </c>
      <c r="K229">
        <v>169.45</v>
      </c>
      <c r="L229">
        <v>143.72999999999999</v>
      </c>
      <c r="M229">
        <v>43.12</v>
      </c>
      <c r="N229">
        <v>134.44999999999999</v>
      </c>
      <c r="O229">
        <v>94.97</v>
      </c>
      <c r="P229">
        <v>44</v>
      </c>
      <c r="Q229">
        <v>163.81</v>
      </c>
      <c r="R229">
        <v>226.39</v>
      </c>
      <c r="S229">
        <v>52.48</v>
      </c>
      <c r="T229">
        <v>82.44</v>
      </c>
      <c r="U229">
        <v>58.77</v>
      </c>
      <c r="V229">
        <v>33.97</v>
      </c>
      <c r="W229">
        <v>85.26</v>
      </c>
      <c r="X229">
        <v>126.81</v>
      </c>
      <c r="Y229">
        <v>208.87</v>
      </c>
      <c r="Z229">
        <v>113.87</v>
      </c>
      <c r="AA229">
        <v>111.44</v>
      </c>
      <c r="AB229">
        <v>45.03</v>
      </c>
      <c r="AC229">
        <v>67.349999999999994</v>
      </c>
      <c r="AD229">
        <v>93.89</v>
      </c>
      <c r="AE229">
        <v>77.03</v>
      </c>
      <c r="AI229" s="2">
        <v>5000</v>
      </c>
      <c r="AJ229" s="2">
        <f t="shared" si="163"/>
        <v>1160</v>
      </c>
      <c r="AK229" s="2">
        <f t="shared" si="163"/>
        <v>1160</v>
      </c>
      <c r="AL229" s="2">
        <f t="shared" si="163"/>
        <v>1160</v>
      </c>
      <c r="AM229" s="2">
        <f t="shared" si="163"/>
        <v>1160</v>
      </c>
      <c r="AN229" s="2">
        <f t="shared" si="163"/>
        <v>1160</v>
      </c>
      <c r="AO229" s="2">
        <f t="shared" si="163"/>
        <v>1160</v>
      </c>
      <c r="AP229" s="2">
        <f t="shared" si="163"/>
        <v>1040</v>
      </c>
      <c r="AQ229" s="2">
        <v>1000</v>
      </c>
      <c r="AR229" s="2">
        <v>0</v>
      </c>
      <c r="AS229" s="2">
        <v>1000</v>
      </c>
      <c r="AT229" s="2">
        <v>0</v>
      </c>
      <c r="AU229" s="2">
        <v>1000</v>
      </c>
      <c r="AV229" s="2">
        <v>1000</v>
      </c>
      <c r="AW229" s="2">
        <v>0</v>
      </c>
      <c r="AX229" s="2">
        <v>0</v>
      </c>
      <c r="AY229" s="2">
        <v>0</v>
      </c>
      <c r="AZ229" s="2">
        <v>957</v>
      </c>
      <c r="BA229" s="2">
        <v>1049</v>
      </c>
      <c r="BB229" s="2">
        <v>960</v>
      </c>
      <c r="BC229" s="2">
        <v>-1000</v>
      </c>
      <c r="BD229" s="2">
        <v>-5000</v>
      </c>
      <c r="BE229" s="2">
        <v>5000</v>
      </c>
      <c r="BF229" s="2">
        <v>3000</v>
      </c>
      <c r="BG229" s="2">
        <v>5000</v>
      </c>
      <c r="BH229" s="2">
        <v>-2500</v>
      </c>
      <c r="BI229" s="2">
        <v>3000</v>
      </c>
      <c r="BJ229" s="2">
        <v>-1500</v>
      </c>
      <c r="BK229" s="2">
        <v>1000</v>
      </c>
      <c r="BL229" s="2">
        <v>1000</v>
      </c>
      <c r="BO229" s="2">
        <f t="shared" si="126"/>
        <v>0</v>
      </c>
      <c r="BP229" s="2">
        <f t="shared" si="136"/>
        <v>0</v>
      </c>
      <c r="BQ229" s="2">
        <f t="shared" si="137"/>
        <v>0</v>
      </c>
      <c r="BR229" s="2">
        <f t="shared" si="138"/>
        <v>0</v>
      </c>
      <c r="BS229" s="2">
        <f t="shared" si="139"/>
        <v>0</v>
      </c>
      <c r="BT229" s="2">
        <f t="shared" si="140"/>
        <v>0</v>
      </c>
      <c r="BU229" s="2">
        <f t="shared" si="141"/>
        <v>0</v>
      </c>
      <c r="BV229" s="2">
        <f t="shared" si="142"/>
        <v>0</v>
      </c>
      <c r="BW229" s="2">
        <f t="shared" si="143"/>
        <v>0</v>
      </c>
      <c r="BX229" s="2">
        <f t="shared" si="144"/>
        <v>0</v>
      </c>
      <c r="BY229" s="2">
        <f t="shared" si="145"/>
        <v>0</v>
      </c>
      <c r="BZ229" s="2">
        <f t="shared" si="146"/>
        <v>0</v>
      </c>
      <c r="CA229" s="2">
        <f t="shared" si="147"/>
        <v>0</v>
      </c>
      <c r="CB229" s="2">
        <f t="shared" si="148"/>
        <v>0</v>
      </c>
      <c r="CC229" s="2">
        <f t="shared" si="149"/>
        <v>0</v>
      </c>
      <c r="CD229" s="2">
        <f t="shared" si="150"/>
        <v>0</v>
      </c>
      <c r="CE229" s="2">
        <f t="shared" si="151"/>
        <v>0</v>
      </c>
      <c r="CF229" s="2">
        <f t="shared" si="152"/>
        <v>1679.36</v>
      </c>
      <c r="CG229" s="2">
        <f t="shared" si="153"/>
        <v>-10387.44</v>
      </c>
      <c r="CH229" s="2">
        <f t="shared" si="154"/>
        <v>5877</v>
      </c>
      <c r="CI229" s="2">
        <f t="shared" si="155"/>
        <v>0</v>
      </c>
      <c r="CJ229" s="2">
        <f t="shared" si="156"/>
        <v>0</v>
      </c>
      <c r="CK229" s="2">
        <f t="shared" si="157"/>
        <v>0</v>
      </c>
      <c r="CL229" s="2">
        <f t="shared" si="158"/>
        <v>0</v>
      </c>
      <c r="CM229" s="2">
        <f t="shared" si="130"/>
        <v>0</v>
      </c>
      <c r="CN229" s="2">
        <f t="shared" si="131"/>
        <v>0</v>
      </c>
      <c r="CO229" s="2">
        <f t="shared" si="132"/>
        <v>0</v>
      </c>
      <c r="CP229" s="2">
        <f t="shared" si="133"/>
        <v>0</v>
      </c>
      <c r="CQ229" s="2">
        <f t="shared" si="134"/>
        <v>0</v>
      </c>
      <c r="CR229" s="2">
        <f t="shared" si="135"/>
        <v>0</v>
      </c>
      <c r="CV229" t="s">
        <v>64</v>
      </c>
      <c r="CW229" t="s">
        <v>302</v>
      </c>
      <c r="CX229" t="s">
        <v>6</v>
      </c>
      <c r="CY229" s="4">
        <v>43165</v>
      </c>
      <c r="CZ229" t="s">
        <v>65</v>
      </c>
      <c r="DA229" t="s">
        <v>66</v>
      </c>
      <c r="DB229">
        <v>10</v>
      </c>
      <c r="DC229">
        <v>109.42</v>
      </c>
      <c r="DD229" t="s">
        <v>69</v>
      </c>
      <c r="DE229" t="s">
        <v>70</v>
      </c>
      <c r="DF229">
        <v>1094.2</v>
      </c>
    </row>
    <row r="230" spans="1:110" x14ac:dyDescent="0.25">
      <c r="A230" s="1">
        <v>43067</v>
      </c>
      <c r="B230">
        <v>169.78</v>
      </c>
      <c r="C230">
        <v>93.87</v>
      </c>
      <c r="D230">
        <v>261.52</v>
      </c>
      <c r="E230">
        <v>135.08000000000001</v>
      </c>
      <c r="F230">
        <v>36.340000000000003</v>
      </c>
      <c r="G230">
        <v>111.01</v>
      </c>
      <c r="H230">
        <v>100.98</v>
      </c>
      <c r="I230">
        <v>69.47</v>
      </c>
      <c r="J230">
        <v>235.42</v>
      </c>
      <c r="K230">
        <v>171.8</v>
      </c>
      <c r="L230">
        <v>144.19</v>
      </c>
      <c r="M230">
        <v>43.36</v>
      </c>
      <c r="N230">
        <v>136.32</v>
      </c>
      <c r="O230">
        <v>98.29</v>
      </c>
      <c r="P230">
        <v>43.94</v>
      </c>
      <c r="Q230">
        <v>166.12</v>
      </c>
      <c r="R230">
        <v>227.96</v>
      </c>
      <c r="S230">
        <v>52.85</v>
      </c>
      <c r="T230">
        <v>83.44</v>
      </c>
      <c r="U230">
        <v>58.72</v>
      </c>
      <c r="V230">
        <v>34.31</v>
      </c>
      <c r="W230">
        <v>85.68</v>
      </c>
      <c r="X230">
        <v>129.27000000000001</v>
      </c>
      <c r="Y230">
        <v>212.55</v>
      </c>
      <c r="Z230">
        <v>114.44</v>
      </c>
      <c r="AA230">
        <v>112.41</v>
      </c>
      <c r="AB230">
        <v>46.13</v>
      </c>
      <c r="AC230">
        <v>70.12</v>
      </c>
      <c r="AD230">
        <v>94.03</v>
      </c>
      <c r="AE230">
        <v>77.56</v>
      </c>
      <c r="AI230" s="2">
        <v>5000</v>
      </c>
      <c r="AJ230" s="2">
        <f t="shared" si="163"/>
        <v>1160</v>
      </c>
      <c r="AK230" s="2">
        <f t="shared" si="163"/>
        <v>1160</v>
      </c>
      <c r="AL230" s="2">
        <f t="shared" si="163"/>
        <v>1160</v>
      </c>
      <c r="AM230" s="2">
        <f t="shared" si="163"/>
        <v>1160</v>
      </c>
      <c r="AN230" s="2">
        <f t="shared" si="163"/>
        <v>1160</v>
      </c>
      <c r="AO230" s="2">
        <f t="shared" si="163"/>
        <v>1160</v>
      </c>
      <c r="AP230" s="2">
        <f t="shared" si="163"/>
        <v>1040</v>
      </c>
      <c r="AQ230" s="2">
        <v>1000</v>
      </c>
      <c r="AR230" s="2">
        <v>0</v>
      </c>
      <c r="AS230" s="2">
        <v>1000</v>
      </c>
      <c r="AT230" s="2">
        <v>0</v>
      </c>
      <c r="AU230" s="2">
        <v>1000</v>
      </c>
      <c r="AV230" s="2">
        <v>1000</v>
      </c>
      <c r="AW230" s="2">
        <v>0</v>
      </c>
      <c r="AX230" s="2">
        <v>0</v>
      </c>
      <c r="AY230" s="2">
        <v>0</v>
      </c>
      <c r="AZ230" s="2">
        <v>1014</v>
      </c>
      <c r="BA230" s="2">
        <v>988</v>
      </c>
      <c r="BB230" s="2">
        <v>1034</v>
      </c>
      <c r="BC230" s="2">
        <v>-1000</v>
      </c>
      <c r="BD230" s="2">
        <v>-5000</v>
      </c>
      <c r="BE230" s="2">
        <v>5000</v>
      </c>
      <c r="BF230" s="2">
        <v>3000</v>
      </c>
      <c r="BG230" s="2">
        <v>5000</v>
      </c>
      <c r="BH230" s="2">
        <v>2500</v>
      </c>
      <c r="BI230" s="2">
        <v>3000</v>
      </c>
      <c r="BJ230" s="2">
        <v>-1500</v>
      </c>
      <c r="BK230" s="2">
        <v>1000</v>
      </c>
      <c r="BL230" s="2">
        <v>1000</v>
      </c>
      <c r="BO230" s="2">
        <f t="shared" si="126"/>
        <v>0</v>
      </c>
      <c r="BP230" s="2">
        <f t="shared" si="136"/>
        <v>0</v>
      </c>
      <c r="BQ230" s="2">
        <f t="shared" si="137"/>
        <v>0</v>
      </c>
      <c r="BR230" s="2">
        <f t="shared" si="138"/>
        <v>0</v>
      </c>
      <c r="BS230" s="2">
        <f t="shared" si="139"/>
        <v>0</v>
      </c>
      <c r="BT230" s="2">
        <f t="shared" si="140"/>
        <v>0</v>
      </c>
      <c r="BU230" s="2">
        <f t="shared" si="141"/>
        <v>0</v>
      </c>
      <c r="BV230" s="2">
        <f t="shared" si="142"/>
        <v>0</v>
      </c>
      <c r="BW230" s="2">
        <f t="shared" si="143"/>
        <v>0</v>
      </c>
      <c r="BX230" s="2">
        <f t="shared" si="144"/>
        <v>0</v>
      </c>
      <c r="BY230" s="2">
        <f t="shared" si="145"/>
        <v>0</v>
      </c>
      <c r="BZ230" s="2">
        <f t="shared" si="146"/>
        <v>0</v>
      </c>
      <c r="CA230" s="2">
        <f t="shared" si="147"/>
        <v>0</v>
      </c>
      <c r="CB230" s="2">
        <f t="shared" si="148"/>
        <v>0</v>
      </c>
      <c r="CC230" s="2">
        <f t="shared" si="149"/>
        <v>0</v>
      </c>
      <c r="CD230" s="2">
        <f t="shared" si="150"/>
        <v>0</v>
      </c>
      <c r="CE230" s="2">
        <f t="shared" si="151"/>
        <v>0</v>
      </c>
      <c r="CF230" s="2">
        <f t="shared" si="152"/>
        <v>-3012.4500000000003</v>
      </c>
      <c r="CG230" s="2">
        <f t="shared" si="153"/>
        <v>5089.84</v>
      </c>
      <c r="CH230" s="2">
        <f t="shared" si="154"/>
        <v>-4345.28</v>
      </c>
      <c r="CI230" s="2">
        <f t="shared" si="155"/>
        <v>0</v>
      </c>
      <c r="CJ230" s="2">
        <f t="shared" si="156"/>
        <v>0</v>
      </c>
      <c r="CK230" s="2">
        <f t="shared" si="157"/>
        <v>0</v>
      </c>
      <c r="CL230" s="2">
        <f t="shared" si="158"/>
        <v>0</v>
      </c>
      <c r="CM230" s="2">
        <f t="shared" si="130"/>
        <v>0</v>
      </c>
      <c r="CN230" s="2">
        <f t="shared" si="131"/>
        <v>-562050</v>
      </c>
      <c r="CO230" s="2">
        <f t="shared" si="132"/>
        <v>0</v>
      </c>
      <c r="CP230" s="2">
        <f t="shared" si="133"/>
        <v>0</v>
      </c>
      <c r="CQ230" s="2">
        <f t="shared" si="134"/>
        <v>0</v>
      </c>
      <c r="CR230" s="2">
        <f t="shared" si="135"/>
        <v>0</v>
      </c>
      <c r="CV230" t="s">
        <v>64</v>
      </c>
      <c r="CW230" t="s">
        <v>303</v>
      </c>
      <c r="CX230" t="s">
        <v>6</v>
      </c>
      <c r="CY230" s="4">
        <v>43185</v>
      </c>
      <c r="CZ230" t="s">
        <v>65</v>
      </c>
      <c r="DA230" t="s">
        <v>66</v>
      </c>
      <c r="DB230">
        <v>10</v>
      </c>
      <c r="DC230">
        <v>111.05</v>
      </c>
      <c r="DD230" t="s">
        <v>69</v>
      </c>
      <c r="DE230" t="s">
        <v>70</v>
      </c>
      <c r="DF230">
        <v>1110.5</v>
      </c>
    </row>
    <row r="231" spans="1:110" x14ac:dyDescent="0.25">
      <c r="A231" s="1">
        <v>43068</v>
      </c>
      <c r="B231">
        <v>166.26</v>
      </c>
      <c r="C231">
        <v>95.17</v>
      </c>
      <c r="D231">
        <v>262.8</v>
      </c>
      <c r="E231">
        <v>134.18</v>
      </c>
      <c r="F231">
        <v>36.1</v>
      </c>
      <c r="G231">
        <v>111.7</v>
      </c>
      <c r="H231">
        <v>102.77</v>
      </c>
      <c r="I231">
        <v>70.14</v>
      </c>
      <c r="J231">
        <v>238.08</v>
      </c>
      <c r="K231">
        <v>173.33</v>
      </c>
      <c r="L231">
        <v>145.21</v>
      </c>
      <c r="M231">
        <v>42.6</v>
      </c>
      <c r="N231">
        <v>136.12</v>
      </c>
      <c r="O231">
        <v>100.59</v>
      </c>
      <c r="P231">
        <v>43.62</v>
      </c>
      <c r="Q231">
        <v>165.24</v>
      </c>
      <c r="R231">
        <v>230.27</v>
      </c>
      <c r="S231">
        <v>53.26</v>
      </c>
      <c r="T231">
        <v>81.92</v>
      </c>
      <c r="U231">
        <v>59.49</v>
      </c>
      <c r="V231">
        <v>34.659999999999997</v>
      </c>
      <c r="W231">
        <v>85.66</v>
      </c>
      <c r="X231">
        <v>130.74</v>
      </c>
      <c r="Y231">
        <v>219.17</v>
      </c>
      <c r="Z231">
        <v>114.88</v>
      </c>
      <c r="AA231">
        <v>108.94</v>
      </c>
      <c r="AB231">
        <v>47.15</v>
      </c>
      <c r="AC231">
        <v>69.81</v>
      </c>
      <c r="AD231">
        <v>94.8</v>
      </c>
      <c r="AE231">
        <v>78.13</v>
      </c>
      <c r="AI231" s="2">
        <v>5000</v>
      </c>
      <c r="AJ231" s="2">
        <f t="shared" si="163"/>
        <v>1160</v>
      </c>
      <c r="AK231" s="2">
        <f t="shared" si="163"/>
        <v>1160</v>
      </c>
      <c r="AL231" s="2">
        <f t="shared" si="163"/>
        <v>1160</v>
      </c>
      <c r="AM231" s="2">
        <f t="shared" si="163"/>
        <v>1160</v>
      </c>
      <c r="AN231" s="2">
        <f t="shared" si="163"/>
        <v>1160</v>
      </c>
      <c r="AO231" s="2">
        <f t="shared" si="163"/>
        <v>1160</v>
      </c>
      <c r="AP231" s="2">
        <f t="shared" si="163"/>
        <v>1040</v>
      </c>
      <c r="AQ231" s="2">
        <v>1000</v>
      </c>
      <c r="AR231" s="2">
        <v>0</v>
      </c>
      <c r="AS231" s="2">
        <v>1000</v>
      </c>
      <c r="AT231" s="2">
        <v>0</v>
      </c>
      <c r="AU231" s="2">
        <v>1000</v>
      </c>
      <c r="AV231" s="2">
        <v>1000</v>
      </c>
      <c r="AW231" s="2">
        <v>0</v>
      </c>
      <c r="AX231" s="2">
        <v>0</v>
      </c>
      <c r="AY231" s="2">
        <v>0</v>
      </c>
      <c r="AZ231" s="2">
        <v>1018</v>
      </c>
      <c r="BA231" s="2">
        <v>934</v>
      </c>
      <c r="BB231" s="2">
        <v>1052</v>
      </c>
      <c r="BC231" s="2">
        <v>-1000</v>
      </c>
      <c r="BD231" s="2">
        <v>-5000</v>
      </c>
      <c r="BE231" s="2">
        <v>5000</v>
      </c>
      <c r="BF231" s="2">
        <v>3000</v>
      </c>
      <c r="BG231" s="2">
        <v>5000</v>
      </c>
      <c r="BH231" s="2">
        <v>5000</v>
      </c>
      <c r="BI231" s="2">
        <v>3000</v>
      </c>
      <c r="BJ231" s="2">
        <v>-1500</v>
      </c>
      <c r="BK231" s="2">
        <v>1000</v>
      </c>
      <c r="BL231" s="2">
        <v>1000</v>
      </c>
      <c r="BO231" s="2">
        <f t="shared" si="126"/>
        <v>0</v>
      </c>
      <c r="BP231" s="2">
        <f t="shared" si="136"/>
        <v>0</v>
      </c>
      <c r="BQ231" s="2">
        <f t="shared" si="137"/>
        <v>0</v>
      </c>
      <c r="BR231" s="2">
        <f t="shared" si="138"/>
        <v>0</v>
      </c>
      <c r="BS231" s="2">
        <f t="shared" si="139"/>
        <v>0</v>
      </c>
      <c r="BT231" s="2">
        <f t="shared" si="140"/>
        <v>0</v>
      </c>
      <c r="BU231" s="2">
        <f t="shared" si="141"/>
        <v>0</v>
      </c>
      <c r="BV231" s="2">
        <f t="shared" si="142"/>
        <v>0</v>
      </c>
      <c r="BW231" s="2">
        <f t="shared" si="143"/>
        <v>0</v>
      </c>
      <c r="BX231" s="2">
        <f t="shared" si="144"/>
        <v>0</v>
      </c>
      <c r="BY231" s="2">
        <f t="shared" si="145"/>
        <v>0</v>
      </c>
      <c r="BZ231" s="2">
        <f t="shared" si="146"/>
        <v>0</v>
      </c>
      <c r="CA231" s="2">
        <f t="shared" si="147"/>
        <v>0</v>
      </c>
      <c r="CB231" s="2">
        <f t="shared" si="148"/>
        <v>0</v>
      </c>
      <c r="CC231" s="2">
        <f t="shared" si="149"/>
        <v>0</v>
      </c>
      <c r="CD231" s="2">
        <f t="shared" si="150"/>
        <v>0</v>
      </c>
      <c r="CE231" s="2">
        <f t="shared" si="151"/>
        <v>0</v>
      </c>
      <c r="CF231" s="2">
        <f t="shared" si="152"/>
        <v>-213.04</v>
      </c>
      <c r="CG231" s="2">
        <f t="shared" si="153"/>
        <v>4423.68</v>
      </c>
      <c r="CH231" s="2">
        <f t="shared" si="154"/>
        <v>-1070.82</v>
      </c>
      <c r="CI231" s="2">
        <f t="shared" si="155"/>
        <v>0</v>
      </c>
      <c r="CJ231" s="2">
        <f t="shared" si="156"/>
        <v>0</v>
      </c>
      <c r="CK231" s="2">
        <f t="shared" si="157"/>
        <v>0</v>
      </c>
      <c r="CL231" s="2">
        <f t="shared" si="158"/>
        <v>0</v>
      </c>
      <c r="CM231" s="2">
        <f t="shared" si="130"/>
        <v>0</v>
      </c>
      <c r="CN231" s="2">
        <f t="shared" si="131"/>
        <v>-272350</v>
      </c>
      <c r="CO231" s="2">
        <f t="shared" si="132"/>
        <v>0</v>
      </c>
      <c r="CP231" s="2">
        <f t="shared" si="133"/>
        <v>0</v>
      </c>
      <c r="CQ231" s="2">
        <f t="shared" si="134"/>
        <v>0</v>
      </c>
      <c r="CR231" s="2">
        <f t="shared" si="135"/>
        <v>0</v>
      </c>
      <c r="CV231" t="s">
        <v>64</v>
      </c>
      <c r="CW231" t="s">
        <v>304</v>
      </c>
      <c r="CX231" t="s">
        <v>6</v>
      </c>
      <c r="CY231" s="4">
        <v>43206</v>
      </c>
      <c r="CZ231" t="s">
        <v>65</v>
      </c>
      <c r="DA231" t="s">
        <v>66</v>
      </c>
      <c r="DB231">
        <v>10</v>
      </c>
      <c r="DC231">
        <v>116.21</v>
      </c>
      <c r="DD231" t="s">
        <v>69</v>
      </c>
      <c r="DE231" t="s">
        <v>70</v>
      </c>
      <c r="DF231">
        <v>1162.0999999999999</v>
      </c>
    </row>
    <row r="232" spans="1:110" x14ac:dyDescent="0.25">
      <c r="A232" s="1">
        <v>43069</v>
      </c>
      <c r="B232">
        <v>168.59</v>
      </c>
      <c r="C232">
        <v>96.26</v>
      </c>
      <c r="D232">
        <v>270.11</v>
      </c>
      <c r="E232">
        <v>137.18</v>
      </c>
      <c r="F232">
        <v>35.92</v>
      </c>
      <c r="G232">
        <v>113.43</v>
      </c>
      <c r="H232">
        <v>102.36</v>
      </c>
      <c r="I232">
        <v>70.319999999999993</v>
      </c>
      <c r="J232">
        <v>244.28</v>
      </c>
      <c r="K232">
        <v>175.85</v>
      </c>
      <c r="L232">
        <v>145.61000000000001</v>
      </c>
      <c r="M232">
        <v>43.46</v>
      </c>
      <c r="N232">
        <v>135.65</v>
      </c>
      <c r="O232">
        <v>101.36</v>
      </c>
      <c r="P232">
        <v>44.24</v>
      </c>
      <c r="Q232">
        <v>167.72</v>
      </c>
      <c r="R232">
        <v>235.23</v>
      </c>
      <c r="S232">
        <v>53.17</v>
      </c>
      <c r="T232">
        <v>82.74</v>
      </c>
      <c r="U232">
        <v>59.55</v>
      </c>
      <c r="V232">
        <v>34.71</v>
      </c>
      <c r="W232">
        <v>86.24</v>
      </c>
      <c r="X232">
        <v>131.75</v>
      </c>
      <c r="Y232">
        <v>225.13</v>
      </c>
      <c r="Z232">
        <v>118.08</v>
      </c>
      <c r="AA232">
        <v>111.65</v>
      </c>
      <c r="AB232">
        <v>48.08</v>
      </c>
      <c r="AC232">
        <v>70.62</v>
      </c>
      <c r="AD232">
        <v>94.48</v>
      </c>
      <c r="AE232">
        <v>79.099999999999994</v>
      </c>
      <c r="AI232" s="2">
        <v>5000</v>
      </c>
      <c r="AJ232" s="2">
        <f t="shared" si="163"/>
        <v>1160</v>
      </c>
      <c r="AK232" s="2">
        <f t="shared" si="163"/>
        <v>1160</v>
      </c>
      <c r="AL232" s="2">
        <f t="shared" si="163"/>
        <v>1160</v>
      </c>
      <c r="AM232" s="2">
        <f t="shared" si="163"/>
        <v>1160</v>
      </c>
      <c r="AN232" s="2">
        <f t="shared" si="163"/>
        <v>1160</v>
      </c>
      <c r="AO232" s="2">
        <f t="shared" si="163"/>
        <v>1160</v>
      </c>
      <c r="AP232" s="2">
        <f t="shared" si="163"/>
        <v>1040</v>
      </c>
      <c r="AQ232" s="2">
        <v>1000</v>
      </c>
      <c r="AR232" s="2">
        <v>0</v>
      </c>
      <c r="AS232" s="2">
        <v>1000</v>
      </c>
      <c r="AT232" s="2">
        <v>0</v>
      </c>
      <c r="AU232" s="2">
        <v>1000</v>
      </c>
      <c r="AV232" s="2">
        <v>1000</v>
      </c>
      <c r="AW232" s="2">
        <v>0</v>
      </c>
      <c r="AX232" s="2">
        <v>0</v>
      </c>
      <c r="AY232" s="2">
        <v>0</v>
      </c>
      <c r="AZ232" s="2">
        <v>970</v>
      </c>
      <c r="BA232" s="2">
        <v>903</v>
      </c>
      <c r="BB232" s="2">
        <v>1084</v>
      </c>
      <c r="BC232" s="2">
        <v>-1000</v>
      </c>
      <c r="BD232" s="2">
        <v>-5000</v>
      </c>
      <c r="BE232" s="2">
        <v>5000</v>
      </c>
      <c r="BF232" s="2">
        <v>3000</v>
      </c>
      <c r="BG232" s="2">
        <v>5000</v>
      </c>
      <c r="BH232" s="2">
        <v>5000</v>
      </c>
      <c r="BI232" s="2">
        <v>3000</v>
      </c>
      <c r="BJ232" s="2">
        <v>-1500</v>
      </c>
      <c r="BK232" s="2">
        <v>1000</v>
      </c>
      <c r="BL232" s="2">
        <v>1000</v>
      </c>
      <c r="BO232" s="2">
        <f t="shared" si="126"/>
        <v>0</v>
      </c>
      <c r="BP232" s="2">
        <f t="shared" si="136"/>
        <v>0</v>
      </c>
      <c r="BQ232" s="2">
        <f t="shared" si="137"/>
        <v>0</v>
      </c>
      <c r="BR232" s="2">
        <f t="shared" si="138"/>
        <v>0</v>
      </c>
      <c r="BS232" s="2">
        <f t="shared" si="139"/>
        <v>0</v>
      </c>
      <c r="BT232" s="2">
        <f t="shared" si="140"/>
        <v>0</v>
      </c>
      <c r="BU232" s="2">
        <f t="shared" si="141"/>
        <v>0</v>
      </c>
      <c r="BV232" s="2">
        <f t="shared" si="142"/>
        <v>0</v>
      </c>
      <c r="BW232" s="2">
        <f t="shared" si="143"/>
        <v>0</v>
      </c>
      <c r="BX232" s="2">
        <f t="shared" si="144"/>
        <v>0</v>
      </c>
      <c r="BY232" s="2">
        <f t="shared" si="145"/>
        <v>0</v>
      </c>
      <c r="BZ232" s="2">
        <f t="shared" si="146"/>
        <v>0</v>
      </c>
      <c r="CA232" s="2">
        <f t="shared" si="147"/>
        <v>0</v>
      </c>
      <c r="CB232" s="2">
        <f t="shared" si="148"/>
        <v>0</v>
      </c>
      <c r="CC232" s="2">
        <f t="shared" si="149"/>
        <v>0</v>
      </c>
      <c r="CD232" s="2">
        <f t="shared" si="150"/>
        <v>0</v>
      </c>
      <c r="CE232" s="2">
        <f t="shared" si="151"/>
        <v>0</v>
      </c>
      <c r="CF232" s="2">
        <f t="shared" si="152"/>
        <v>2552.16</v>
      </c>
      <c r="CG232" s="2">
        <f t="shared" si="153"/>
        <v>2564.94</v>
      </c>
      <c r="CH232" s="2">
        <f t="shared" si="154"/>
        <v>-1905.6</v>
      </c>
      <c r="CI232" s="2">
        <f t="shared" si="155"/>
        <v>0</v>
      </c>
      <c r="CJ232" s="2">
        <f t="shared" si="156"/>
        <v>0</v>
      </c>
      <c r="CK232" s="2">
        <f t="shared" si="157"/>
        <v>0</v>
      </c>
      <c r="CL232" s="2">
        <f t="shared" si="158"/>
        <v>0</v>
      </c>
      <c r="CM232" s="2">
        <f t="shared" si="130"/>
        <v>0</v>
      </c>
      <c r="CN232" s="2">
        <f t="shared" si="131"/>
        <v>0</v>
      </c>
      <c r="CO232" s="2">
        <f t="shared" si="132"/>
        <v>0</v>
      </c>
      <c r="CP232" s="2">
        <f t="shared" si="133"/>
        <v>0</v>
      </c>
      <c r="CQ232" s="2">
        <f t="shared" si="134"/>
        <v>0</v>
      </c>
      <c r="CR232" s="2">
        <f t="shared" si="135"/>
        <v>0</v>
      </c>
      <c r="CV232" t="s">
        <v>64</v>
      </c>
      <c r="CW232" t="s">
        <v>305</v>
      </c>
      <c r="CX232" t="s">
        <v>6</v>
      </c>
      <c r="CY232" s="4">
        <v>43224</v>
      </c>
      <c r="CZ232" t="s">
        <v>65</v>
      </c>
      <c r="DA232" t="s">
        <v>66</v>
      </c>
      <c r="DB232">
        <v>10</v>
      </c>
      <c r="DC232">
        <v>120.86</v>
      </c>
      <c r="DD232" t="s">
        <v>69</v>
      </c>
      <c r="DE232" t="s">
        <v>70</v>
      </c>
      <c r="DF232">
        <v>1208.5999999999999</v>
      </c>
    </row>
    <row r="233" spans="1:110" x14ac:dyDescent="0.25">
      <c r="A233" s="1">
        <v>43070</v>
      </c>
      <c r="B233">
        <v>167.8</v>
      </c>
      <c r="C233">
        <v>96.41</v>
      </c>
      <c r="D233">
        <v>264.83</v>
      </c>
      <c r="E233">
        <v>137.54</v>
      </c>
      <c r="F233">
        <v>36.21</v>
      </c>
      <c r="G233">
        <v>113.93</v>
      </c>
      <c r="H233">
        <v>102.78</v>
      </c>
      <c r="I233">
        <v>69.39</v>
      </c>
      <c r="J233">
        <v>245.57</v>
      </c>
      <c r="K233">
        <v>176.43</v>
      </c>
      <c r="L233">
        <v>146.36000000000001</v>
      </c>
      <c r="M233">
        <v>43.31</v>
      </c>
      <c r="N233">
        <v>136.28</v>
      </c>
      <c r="O233">
        <v>101.62</v>
      </c>
      <c r="P233">
        <v>44.43</v>
      </c>
      <c r="Q233">
        <v>168.6</v>
      </c>
      <c r="R233">
        <v>233.31</v>
      </c>
      <c r="S233">
        <v>53.75</v>
      </c>
      <c r="T233">
        <v>82.83</v>
      </c>
      <c r="U233">
        <v>59.21</v>
      </c>
      <c r="V233">
        <v>34.79</v>
      </c>
      <c r="W233">
        <v>86.6</v>
      </c>
      <c r="X233">
        <v>132.38</v>
      </c>
      <c r="Y233">
        <v>223.76</v>
      </c>
      <c r="Z233">
        <v>116.79</v>
      </c>
      <c r="AA233">
        <v>109.81</v>
      </c>
      <c r="AB233">
        <v>48.42</v>
      </c>
      <c r="AC233">
        <v>69.349999999999994</v>
      </c>
      <c r="AD233">
        <v>94.59</v>
      </c>
      <c r="AE233">
        <v>79.260000000000005</v>
      </c>
      <c r="AI233" s="2">
        <v>5000</v>
      </c>
      <c r="AJ233" s="2">
        <f t="shared" si="163"/>
        <v>1160</v>
      </c>
      <c r="AK233" s="2">
        <f t="shared" si="163"/>
        <v>1160</v>
      </c>
      <c r="AL233" s="2">
        <f t="shared" si="163"/>
        <v>1160</v>
      </c>
      <c r="AM233" s="2">
        <f t="shared" si="163"/>
        <v>1160</v>
      </c>
      <c r="AN233" s="2">
        <f t="shared" si="163"/>
        <v>1160</v>
      </c>
      <c r="AO233" s="2">
        <f t="shared" si="163"/>
        <v>1160</v>
      </c>
      <c r="AP233" s="2">
        <f t="shared" si="163"/>
        <v>1040</v>
      </c>
      <c r="AQ233" s="2">
        <v>1000</v>
      </c>
      <c r="AR233" s="2">
        <v>0</v>
      </c>
      <c r="AS233" s="2">
        <v>1000</v>
      </c>
      <c r="AT233" s="2">
        <v>0</v>
      </c>
      <c r="AU233" s="2">
        <v>1000</v>
      </c>
      <c r="AV233" s="2">
        <v>1000</v>
      </c>
      <c r="AW233" s="2">
        <v>0</v>
      </c>
      <c r="AX233" s="2">
        <v>0</v>
      </c>
      <c r="AY233" s="2">
        <v>0</v>
      </c>
      <c r="AZ233" s="2">
        <v>1002</v>
      </c>
      <c r="BA233" s="2">
        <v>1044</v>
      </c>
      <c r="BB233" s="2">
        <v>945</v>
      </c>
      <c r="BC233" s="2">
        <v>-1000</v>
      </c>
      <c r="BD233" s="2">
        <v>-5000</v>
      </c>
      <c r="BE233" s="2">
        <v>5000</v>
      </c>
      <c r="BF233" s="2">
        <v>3000</v>
      </c>
      <c r="BG233" s="2">
        <v>5000</v>
      </c>
      <c r="BH233" s="2">
        <v>5000</v>
      </c>
      <c r="BI233" s="2">
        <v>3000</v>
      </c>
      <c r="BJ233" s="2">
        <v>-1500</v>
      </c>
      <c r="BK233" s="2">
        <v>1000</v>
      </c>
      <c r="BL233" s="2">
        <v>1000</v>
      </c>
      <c r="BO233" s="2">
        <f t="shared" si="126"/>
        <v>0</v>
      </c>
      <c r="BP233" s="2">
        <f t="shared" si="136"/>
        <v>0</v>
      </c>
      <c r="BQ233" s="2">
        <f t="shared" si="137"/>
        <v>0</v>
      </c>
      <c r="BR233" s="2">
        <f t="shared" si="138"/>
        <v>0</v>
      </c>
      <c r="BS233" s="2">
        <f t="shared" si="139"/>
        <v>0</v>
      </c>
      <c r="BT233" s="2">
        <f t="shared" si="140"/>
        <v>0</v>
      </c>
      <c r="BU233" s="2">
        <f t="shared" si="141"/>
        <v>0</v>
      </c>
      <c r="BV233" s="2">
        <f t="shared" si="142"/>
        <v>0</v>
      </c>
      <c r="BW233" s="2">
        <f t="shared" si="143"/>
        <v>0</v>
      </c>
      <c r="BX233" s="2">
        <f t="shared" si="144"/>
        <v>0</v>
      </c>
      <c r="BY233" s="2">
        <f t="shared" si="145"/>
        <v>0</v>
      </c>
      <c r="BZ233" s="2">
        <f t="shared" si="146"/>
        <v>0</v>
      </c>
      <c r="CA233" s="2">
        <f t="shared" si="147"/>
        <v>0</v>
      </c>
      <c r="CB233" s="2">
        <f t="shared" si="148"/>
        <v>0</v>
      </c>
      <c r="CC233" s="2">
        <f t="shared" si="149"/>
        <v>0</v>
      </c>
      <c r="CD233" s="2">
        <f t="shared" si="150"/>
        <v>0</v>
      </c>
      <c r="CE233" s="2">
        <f t="shared" si="151"/>
        <v>0</v>
      </c>
      <c r="CF233" s="2">
        <f t="shared" si="152"/>
        <v>-1720</v>
      </c>
      <c r="CG233" s="2">
        <f t="shared" si="153"/>
        <v>-11679.03</v>
      </c>
      <c r="CH233" s="2">
        <f t="shared" si="154"/>
        <v>8230.19</v>
      </c>
      <c r="CI233" s="2">
        <f t="shared" si="155"/>
        <v>0</v>
      </c>
      <c r="CJ233" s="2">
        <f t="shared" si="156"/>
        <v>0</v>
      </c>
      <c r="CK233" s="2">
        <f t="shared" si="157"/>
        <v>0</v>
      </c>
      <c r="CL233" s="2">
        <f t="shared" si="158"/>
        <v>0</v>
      </c>
      <c r="CM233" s="2">
        <f t="shared" si="130"/>
        <v>0</v>
      </c>
      <c r="CN233" s="2">
        <f t="shared" si="131"/>
        <v>0</v>
      </c>
      <c r="CO233" s="2">
        <f t="shared" si="132"/>
        <v>0</v>
      </c>
      <c r="CP233" s="2">
        <f t="shared" si="133"/>
        <v>0</v>
      </c>
      <c r="CQ233" s="2">
        <f t="shared" si="134"/>
        <v>0</v>
      </c>
      <c r="CR233" s="2">
        <f t="shared" si="135"/>
        <v>0</v>
      </c>
      <c r="CV233" t="s">
        <v>64</v>
      </c>
      <c r="CW233" t="s">
        <v>306</v>
      </c>
      <c r="CX233" t="s">
        <v>6</v>
      </c>
      <c r="CY233" s="4">
        <v>43244</v>
      </c>
      <c r="CZ233" t="s">
        <v>65</v>
      </c>
      <c r="DA233" t="s">
        <v>66</v>
      </c>
      <c r="DB233">
        <v>10</v>
      </c>
      <c r="DC233">
        <v>122.96</v>
      </c>
      <c r="DD233" t="s">
        <v>69</v>
      </c>
      <c r="DE233" t="s">
        <v>70</v>
      </c>
      <c r="DF233">
        <v>1229.5999999999999</v>
      </c>
    </row>
    <row r="234" spans="1:110" x14ac:dyDescent="0.25">
      <c r="A234" s="1">
        <v>43073</v>
      </c>
      <c r="B234">
        <v>166.57</v>
      </c>
      <c r="C234">
        <v>97.13</v>
      </c>
      <c r="D234">
        <v>271.26</v>
      </c>
      <c r="E234">
        <v>137.52000000000001</v>
      </c>
      <c r="F234">
        <v>36.33</v>
      </c>
      <c r="G234">
        <v>115.19</v>
      </c>
      <c r="H234">
        <v>107.63</v>
      </c>
      <c r="I234">
        <v>70.48</v>
      </c>
      <c r="J234">
        <v>247.24</v>
      </c>
      <c r="K234">
        <v>180.81</v>
      </c>
      <c r="L234">
        <v>147.97</v>
      </c>
      <c r="M234">
        <v>43.12</v>
      </c>
      <c r="N234">
        <v>135.34</v>
      </c>
      <c r="O234">
        <v>103.71</v>
      </c>
      <c r="P234">
        <v>44.68</v>
      </c>
      <c r="Q234">
        <v>166.44</v>
      </c>
      <c r="R234">
        <v>231.48</v>
      </c>
      <c r="S234">
        <v>54.09</v>
      </c>
      <c r="T234">
        <v>79.7</v>
      </c>
      <c r="U234">
        <v>59.43</v>
      </c>
      <c r="V234">
        <v>34.51</v>
      </c>
      <c r="W234">
        <v>87.6</v>
      </c>
      <c r="X234">
        <v>132.52000000000001</v>
      </c>
      <c r="Y234">
        <v>218.47</v>
      </c>
      <c r="Z234">
        <v>116.71</v>
      </c>
      <c r="AA234">
        <v>106.53</v>
      </c>
      <c r="AB234">
        <v>48.87</v>
      </c>
      <c r="AC234">
        <v>69.47</v>
      </c>
      <c r="AD234">
        <v>94.26</v>
      </c>
      <c r="AE234">
        <v>79.36</v>
      </c>
      <c r="AI234" s="2">
        <v>5000</v>
      </c>
      <c r="AJ234" s="2">
        <f t="shared" si="163"/>
        <v>1160</v>
      </c>
      <c r="AK234" s="2">
        <f t="shared" si="163"/>
        <v>1160</v>
      </c>
      <c r="AL234" s="2">
        <f t="shared" si="163"/>
        <v>1160</v>
      </c>
      <c r="AM234" s="2">
        <f t="shared" si="163"/>
        <v>1160</v>
      </c>
      <c r="AN234" s="2">
        <f t="shared" si="163"/>
        <v>1160</v>
      </c>
      <c r="AO234" s="2">
        <f t="shared" si="163"/>
        <v>1160</v>
      </c>
      <c r="AP234" s="2">
        <f t="shared" si="163"/>
        <v>1040</v>
      </c>
      <c r="AQ234" s="2">
        <v>1000</v>
      </c>
      <c r="AR234" s="2">
        <v>0</v>
      </c>
      <c r="AS234" s="2">
        <v>1000</v>
      </c>
      <c r="AT234" s="2">
        <v>0</v>
      </c>
      <c r="AU234" s="2">
        <v>1000</v>
      </c>
      <c r="AV234" s="2">
        <v>1000</v>
      </c>
      <c r="AW234" s="2">
        <v>0</v>
      </c>
      <c r="AX234" s="2">
        <v>0</v>
      </c>
      <c r="AY234" s="2">
        <v>0</v>
      </c>
      <c r="AZ234" s="2">
        <v>1007</v>
      </c>
      <c r="BA234" s="2">
        <v>1006</v>
      </c>
      <c r="BB234" s="2">
        <v>988</v>
      </c>
      <c r="BC234" s="2">
        <v>-1000</v>
      </c>
      <c r="BD234" s="2">
        <v>-5000</v>
      </c>
      <c r="BE234" s="2">
        <v>5000</v>
      </c>
      <c r="BF234" s="2">
        <v>3000</v>
      </c>
      <c r="BG234" s="2">
        <v>5000</v>
      </c>
      <c r="BH234" s="2">
        <v>5000</v>
      </c>
      <c r="BI234" s="2">
        <v>3000</v>
      </c>
      <c r="BJ234" s="2">
        <v>-1500</v>
      </c>
      <c r="BK234" s="2">
        <v>1000</v>
      </c>
      <c r="BL234" s="2">
        <v>1000</v>
      </c>
      <c r="BO234" s="2">
        <f t="shared" si="126"/>
        <v>0</v>
      </c>
      <c r="BP234" s="2">
        <f t="shared" si="136"/>
        <v>0</v>
      </c>
      <c r="BQ234" s="2">
        <f t="shared" si="137"/>
        <v>0</v>
      </c>
      <c r="BR234" s="2">
        <f t="shared" si="138"/>
        <v>0</v>
      </c>
      <c r="BS234" s="2">
        <f t="shared" si="139"/>
        <v>0</v>
      </c>
      <c r="BT234" s="2">
        <f t="shared" si="140"/>
        <v>0</v>
      </c>
      <c r="BU234" s="2">
        <f t="shared" si="141"/>
        <v>0</v>
      </c>
      <c r="BV234" s="2">
        <f t="shared" si="142"/>
        <v>0</v>
      </c>
      <c r="BW234" s="2">
        <f t="shared" si="143"/>
        <v>0</v>
      </c>
      <c r="BX234" s="2">
        <f t="shared" si="144"/>
        <v>0</v>
      </c>
      <c r="BY234" s="2">
        <f t="shared" si="145"/>
        <v>0</v>
      </c>
      <c r="BZ234" s="2">
        <f t="shared" si="146"/>
        <v>0</v>
      </c>
      <c r="CA234" s="2">
        <f t="shared" si="147"/>
        <v>0</v>
      </c>
      <c r="CB234" s="2">
        <f t="shared" si="148"/>
        <v>0</v>
      </c>
      <c r="CC234" s="2">
        <f t="shared" si="149"/>
        <v>0</v>
      </c>
      <c r="CD234" s="2">
        <f t="shared" si="150"/>
        <v>0</v>
      </c>
      <c r="CE234" s="2">
        <f t="shared" si="151"/>
        <v>0</v>
      </c>
      <c r="CF234" s="2">
        <f t="shared" si="152"/>
        <v>-270.45000000000005</v>
      </c>
      <c r="CG234" s="2">
        <f t="shared" si="153"/>
        <v>3028.6</v>
      </c>
      <c r="CH234" s="2">
        <f t="shared" si="154"/>
        <v>-2555.4899999999998</v>
      </c>
      <c r="CI234" s="2">
        <f t="shared" si="155"/>
        <v>0</v>
      </c>
      <c r="CJ234" s="2">
        <f t="shared" si="156"/>
        <v>0</v>
      </c>
      <c r="CK234" s="2">
        <f t="shared" si="157"/>
        <v>0</v>
      </c>
      <c r="CL234" s="2">
        <f t="shared" si="158"/>
        <v>0</v>
      </c>
      <c r="CM234" s="2">
        <f t="shared" si="130"/>
        <v>0</v>
      </c>
      <c r="CN234" s="2">
        <f t="shared" si="131"/>
        <v>0</v>
      </c>
      <c r="CO234" s="2">
        <f t="shared" si="132"/>
        <v>0</v>
      </c>
      <c r="CP234" s="2">
        <f t="shared" si="133"/>
        <v>0</v>
      </c>
      <c r="CQ234" s="2">
        <f t="shared" si="134"/>
        <v>0</v>
      </c>
      <c r="CR234" s="2">
        <f t="shared" si="135"/>
        <v>0</v>
      </c>
      <c r="CV234" t="s">
        <v>64</v>
      </c>
      <c r="CW234" t="s">
        <v>307</v>
      </c>
      <c r="CX234" t="s">
        <v>6</v>
      </c>
      <c r="CY234" s="4">
        <v>43265</v>
      </c>
      <c r="CZ234" t="s">
        <v>65</v>
      </c>
      <c r="DA234" t="s">
        <v>66</v>
      </c>
      <c r="DB234">
        <v>10</v>
      </c>
      <c r="DC234">
        <v>122.86</v>
      </c>
      <c r="DD234" t="s">
        <v>69</v>
      </c>
      <c r="DE234" t="s">
        <v>70</v>
      </c>
      <c r="DF234">
        <v>1228.5999999999999</v>
      </c>
    </row>
    <row r="235" spans="1:110" x14ac:dyDescent="0.25">
      <c r="A235" s="1">
        <v>43074</v>
      </c>
      <c r="B235">
        <v>166.42</v>
      </c>
      <c r="C235">
        <v>97.25</v>
      </c>
      <c r="D235">
        <v>268.89</v>
      </c>
      <c r="E235">
        <v>136.19999999999999</v>
      </c>
      <c r="F235">
        <v>35.93</v>
      </c>
      <c r="G235">
        <v>114.76</v>
      </c>
      <c r="H235">
        <v>104.7</v>
      </c>
      <c r="I235">
        <v>69.91</v>
      </c>
      <c r="J235">
        <v>244.96</v>
      </c>
      <c r="K235">
        <v>178.81</v>
      </c>
      <c r="L235">
        <v>146.91999999999999</v>
      </c>
      <c r="M235">
        <v>42.11</v>
      </c>
      <c r="N235">
        <v>135.97999999999999</v>
      </c>
      <c r="O235">
        <v>102.52</v>
      </c>
      <c r="P235">
        <v>44.71</v>
      </c>
      <c r="Q235">
        <v>168.72</v>
      </c>
      <c r="R235">
        <v>230.51</v>
      </c>
      <c r="S235">
        <v>53.66</v>
      </c>
      <c r="T235">
        <v>80.2</v>
      </c>
      <c r="U235">
        <v>59.75</v>
      </c>
      <c r="V235">
        <v>34.1</v>
      </c>
      <c r="W235">
        <v>87.6</v>
      </c>
      <c r="X235">
        <v>131.51</v>
      </c>
      <c r="Y235">
        <v>217.16</v>
      </c>
      <c r="Z235">
        <v>116.95</v>
      </c>
      <c r="AA235">
        <v>107.67</v>
      </c>
      <c r="AB235">
        <v>48.11</v>
      </c>
      <c r="AC235">
        <v>68.12</v>
      </c>
      <c r="AD235">
        <v>95.06</v>
      </c>
      <c r="AE235">
        <v>78.72</v>
      </c>
      <c r="AI235" s="2">
        <v>5000</v>
      </c>
      <c r="AJ235" s="2">
        <f t="shared" si="163"/>
        <v>1160</v>
      </c>
      <c r="AK235" s="2">
        <f t="shared" si="163"/>
        <v>1160</v>
      </c>
      <c r="AL235" s="2">
        <f t="shared" si="163"/>
        <v>1160</v>
      </c>
      <c r="AM235" s="2">
        <f t="shared" si="163"/>
        <v>1160</v>
      </c>
      <c r="AN235" s="2">
        <f t="shared" si="163"/>
        <v>1160</v>
      </c>
      <c r="AO235" s="2">
        <f t="shared" si="163"/>
        <v>1160</v>
      </c>
      <c r="AP235" s="2">
        <f t="shared" si="163"/>
        <v>1040</v>
      </c>
      <c r="AQ235" s="2">
        <v>1000</v>
      </c>
      <c r="AR235" s="2">
        <v>0</v>
      </c>
      <c r="AS235" s="2">
        <v>10</v>
      </c>
      <c r="AT235" s="2">
        <v>0</v>
      </c>
      <c r="AU235" s="2">
        <v>1000</v>
      </c>
      <c r="AV235" s="2">
        <v>1000</v>
      </c>
      <c r="AW235" s="2">
        <v>0</v>
      </c>
      <c r="AX235" s="2">
        <v>0</v>
      </c>
      <c r="AY235" s="2">
        <v>0</v>
      </c>
      <c r="AZ235" s="2">
        <v>967</v>
      </c>
      <c r="BA235" s="2">
        <v>925</v>
      </c>
      <c r="BB235" s="2">
        <v>992</v>
      </c>
      <c r="BC235" s="2">
        <v>-1000</v>
      </c>
      <c r="BD235" s="2">
        <v>-5000</v>
      </c>
      <c r="BE235" s="2">
        <v>5000</v>
      </c>
      <c r="BF235" s="2">
        <v>3000</v>
      </c>
      <c r="BG235" s="2">
        <v>5000</v>
      </c>
      <c r="BH235" s="2">
        <v>5000</v>
      </c>
      <c r="BI235" s="2">
        <v>3000</v>
      </c>
      <c r="BJ235" s="2">
        <v>-1500</v>
      </c>
      <c r="BK235" s="2">
        <v>1000</v>
      </c>
      <c r="BL235" s="2">
        <v>1000</v>
      </c>
      <c r="BO235" s="2">
        <f t="shared" si="126"/>
        <v>0</v>
      </c>
      <c r="BP235" s="2">
        <f t="shared" si="136"/>
        <v>0</v>
      </c>
      <c r="BQ235" s="2">
        <f t="shared" si="137"/>
        <v>0</v>
      </c>
      <c r="BR235" s="2">
        <f t="shared" si="138"/>
        <v>0</v>
      </c>
      <c r="BS235" s="2">
        <f t="shared" si="139"/>
        <v>0</v>
      </c>
      <c r="BT235" s="2">
        <f t="shared" si="140"/>
        <v>0</v>
      </c>
      <c r="BU235" s="2">
        <f t="shared" si="141"/>
        <v>0</v>
      </c>
      <c r="BV235" s="2">
        <f t="shared" si="142"/>
        <v>0</v>
      </c>
      <c r="BW235" s="2">
        <f t="shared" si="143"/>
        <v>0</v>
      </c>
      <c r="BX235" s="2">
        <f t="shared" si="144"/>
        <v>0</v>
      </c>
      <c r="BY235" s="2">
        <f t="shared" si="145"/>
        <v>145450.79999999999</v>
      </c>
      <c r="BZ235" s="2">
        <f t="shared" si="146"/>
        <v>0</v>
      </c>
      <c r="CA235" s="2">
        <f t="shared" si="147"/>
        <v>0</v>
      </c>
      <c r="CB235" s="2">
        <f t="shared" si="148"/>
        <v>0</v>
      </c>
      <c r="CC235" s="2">
        <f t="shared" si="149"/>
        <v>0</v>
      </c>
      <c r="CD235" s="2">
        <f t="shared" si="150"/>
        <v>0</v>
      </c>
      <c r="CE235" s="2">
        <f t="shared" si="151"/>
        <v>0</v>
      </c>
      <c r="CF235" s="2">
        <f t="shared" si="152"/>
        <v>2146.3999999999996</v>
      </c>
      <c r="CG235" s="2">
        <f t="shared" si="153"/>
        <v>6496.2</v>
      </c>
      <c r="CH235" s="2">
        <f t="shared" si="154"/>
        <v>-239</v>
      </c>
      <c r="CI235" s="2">
        <f t="shared" si="155"/>
        <v>0</v>
      </c>
      <c r="CJ235" s="2">
        <f t="shared" si="156"/>
        <v>0</v>
      </c>
      <c r="CK235" s="2">
        <f t="shared" si="157"/>
        <v>0</v>
      </c>
      <c r="CL235" s="2">
        <f t="shared" si="158"/>
        <v>0</v>
      </c>
      <c r="CM235" s="2">
        <f t="shared" si="130"/>
        <v>0</v>
      </c>
      <c r="CN235" s="2">
        <f t="shared" si="131"/>
        <v>0</v>
      </c>
      <c r="CO235" s="2">
        <f t="shared" si="132"/>
        <v>0</v>
      </c>
      <c r="CP235" s="2">
        <f t="shared" si="133"/>
        <v>0</v>
      </c>
      <c r="CQ235" s="2">
        <f t="shared" si="134"/>
        <v>0</v>
      </c>
      <c r="CR235" s="2">
        <f t="shared" si="135"/>
        <v>0</v>
      </c>
      <c r="CV235" t="s">
        <v>64</v>
      </c>
      <c r="CW235" t="s">
        <v>308</v>
      </c>
      <c r="CX235" t="s">
        <v>6</v>
      </c>
      <c r="CY235" s="4">
        <v>43286</v>
      </c>
      <c r="CZ235" t="s">
        <v>65</v>
      </c>
      <c r="DA235" t="s">
        <v>66</v>
      </c>
      <c r="DB235">
        <v>10</v>
      </c>
      <c r="DC235">
        <v>120.4</v>
      </c>
      <c r="DD235" t="s">
        <v>69</v>
      </c>
      <c r="DE235" t="s">
        <v>70</v>
      </c>
      <c r="DF235">
        <v>1204</v>
      </c>
    </row>
    <row r="236" spans="1:110" x14ac:dyDescent="0.25">
      <c r="A236" s="1">
        <v>43075</v>
      </c>
      <c r="B236">
        <v>165.8</v>
      </c>
      <c r="C236">
        <v>96.75</v>
      </c>
      <c r="D236">
        <v>271.55</v>
      </c>
      <c r="E236">
        <v>136.38999999999999</v>
      </c>
      <c r="F236">
        <v>36.03</v>
      </c>
      <c r="G236">
        <v>114.02</v>
      </c>
      <c r="H236">
        <v>102.99</v>
      </c>
      <c r="I236">
        <v>69.459999999999994</v>
      </c>
      <c r="J236">
        <v>242.61</v>
      </c>
      <c r="K236">
        <v>176.8</v>
      </c>
      <c r="L236">
        <v>145.72999999999999</v>
      </c>
      <c r="M236">
        <v>42.12</v>
      </c>
      <c r="N236">
        <v>137.34</v>
      </c>
      <c r="O236">
        <v>101.75</v>
      </c>
      <c r="P236">
        <v>44.9</v>
      </c>
      <c r="Q236">
        <v>169.2</v>
      </c>
      <c r="R236">
        <v>230.91</v>
      </c>
      <c r="S236">
        <v>52.29</v>
      </c>
      <c r="T236">
        <v>81.37</v>
      </c>
      <c r="U236">
        <v>59.05</v>
      </c>
      <c r="V236">
        <v>34.04</v>
      </c>
      <c r="W236">
        <v>87.45</v>
      </c>
      <c r="X236">
        <v>131.55000000000001</v>
      </c>
      <c r="Y236">
        <v>217.01</v>
      </c>
      <c r="Z236">
        <v>117.84</v>
      </c>
      <c r="AA236">
        <v>108.82</v>
      </c>
      <c r="AB236">
        <v>47.88</v>
      </c>
      <c r="AC236">
        <v>68.959999999999994</v>
      </c>
      <c r="AD236">
        <v>94.53</v>
      </c>
      <c r="AE236">
        <v>78.14</v>
      </c>
      <c r="AI236" s="2">
        <v>5000</v>
      </c>
      <c r="AJ236" s="2">
        <f t="shared" si="163"/>
        <v>1160</v>
      </c>
      <c r="AK236" s="2">
        <f t="shared" si="163"/>
        <v>1160</v>
      </c>
      <c r="AL236" s="2">
        <f t="shared" si="163"/>
        <v>1160</v>
      </c>
      <c r="AM236" s="2">
        <f t="shared" si="163"/>
        <v>1160</v>
      </c>
      <c r="AN236" s="2">
        <f t="shared" si="163"/>
        <v>1160</v>
      </c>
      <c r="AO236" s="2">
        <f t="shared" si="163"/>
        <v>1160</v>
      </c>
      <c r="AP236" s="2">
        <f t="shared" si="163"/>
        <v>1040</v>
      </c>
      <c r="AQ236" s="2">
        <v>1000</v>
      </c>
      <c r="AR236" s="2">
        <v>0</v>
      </c>
      <c r="AS236" s="2">
        <v>10</v>
      </c>
      <c r="AT236" s="2">
        <v>0</v>
      </c>
      <c r="AU236" s="2">
        <v>1000</v>
      </c>
      <c r="AV236" s="2">
        <v>1000</v>
      </c>
      <c r="AW236" s="2">
        <v>0</v>
      </c>
      <c r="AX236" s="2">
        <v>0</v>
      </c>
      <c r="AY236" s="2">
        <v>0</v>
      </c>
      <c r="AZ236" s="2">
        <v>1003</v>
      </c>
      <c r="BA236" s="2">
        <v>1011</v>
      </c>
      <c r="BB236" s="2">
        <v>978</v>
      </c>
      <c r="BC236" s="2">
        <v>-1000</v>
      </c>
      <c r="BD236" s="2">
        <v>-5000</v>
      </c>
      <c r="BE236" s="2">
        <v>5000</v>
      </c>
      <c r="BF236" s="2">
        <v>3000</v>
      </c>
      <c r="BG236" s="2">
        <v>5000</v>
      </c>
      <c r="BH236" s="2">
        <v>5000</v>
      </c>
      <c r="BI236" s="2">
        <v>3000</v>
      </c>
      <c r="BJ236" s="2">
        <v>-1500</v>
      </c>
      <c r="BK236" s="2">
        <v>1000</v>
      </c>
      <c r="BL236" s="2">
        <v>1000</v>
      </c>
      <c r="BO236" s="2">
        <f t="shared" si="126"/>
        <v>0</v>
      </c>
      <c r="BP236" s="2">
        <f t="shared" si="136"/>
        <v>0</v>
      </c>
      <c r="BQ236" s="2">
        <f t="shared" si="137"/>
        <v>0</v>
      </c>
      <c r="BR236" s="2">
        <f t="shared" si="138"/>
        <v>0</v>
      </c>
      <c r="BS236" s="2">
        <f t="shared" si="139"/>
        <v>0</v>
      </c>
      <c r="BT236" s="2">
        <f t="shared" si="140"/>
        <v>0</v>
      </c>
      <c r="BU236" s="2">
        <f t="shared" si="141"/>
        <v>0</v>
      </c>
      <c r="BV236" s="2">
        <f t="shared" si="142"/>
        <v>0</v>
      </c>
      <c r="BW236" s="2">
        <f t="shared" si="143"/>
        <v>0</v>
      </c>
      <c r="BX236" s="2">
        <f t="shared" si="144"/>
        <v>0</v>
      </c>
      <c r="BY236" s="2">
        <f t="shared" si="145"/>
        <v>0</v>
      </c>
      <c r="BZ236" s="2">
        <f t="shared" si="146"/>
        <v>0</v>
      </c>
      <c r="CA236" s="2">
        <f t="shared" si="147"/>
        <v>0</v>
      </c>
      <c r="CB236" s="2">
        <f t="shared" si="148"/>
        <v>0</v>
      </c>
      <c r="CC236" s="2">
        <f t="shared" si="149"/>
        <v>0</v>
      </c>
      <c r="CD236" s="2">
        <f t="shared" si="150"/>
        <v>0</v>
      </c>
      <c r="CE236" s="2">
        <f t="shared" si="151"/>
        <v>0</v>
      </c>
      <c r="CF236" s="2">
        <f t="shared" si="152"/>
        <v>-1882.44</v>
      </c>
      <c r="CG236" s="2">
        <f t="shared" si="153"/>
        <v>-6997.8200000000006</v>
      </c>
      <c r="CH236" s="2">
        <f t="shared" si="154"/>
        <v>826.69999999999993</v>
      </c>
      <c r="CI236" s="2">
        <f t="shared" si="155"/>
        <v>0</v>
      </c>
      <c r="CJ236" s="2">
        <f t="shared" si="156"/>
        <v>0</v>
      </c>
      <c r="CK236" s="2">
        <f t="shared" si="157"/>
        <v>0</v>
      </c>
      <c r="CL236" s="2">
        <f t="shared" si="158"/>
        <v>0</v>
      </c>
      <c r="CM236" s="2">
        <f t="shared" si="130"/>
        <v>0</v>
      </c>
      <c r="CN236" s="2">
        <f t="shared" si="131"/>
        <v>0</v>
      </c>
      <c r="CO236" s="2">
        <f t="shared" si="132"/>
        <v>0</v>
      </c>
      <c r="CP236" s="2">
        <f t="shared" si="133"/>
        <v>0</v>
      </c>
      <c r="CQ236" s="2">
        <f t="shared" si="134"/>
        <v>0</v>
      </c>
      <c r="CR236" s="2">
        <f t="shared" si="135"/>
        <v>0</v>
      </c>
      <c r="CV236" t="s">
        <v>64</v>
      </c>
      <c r="CW236" t="s">
        <v>309</v>
      </c>
      <c r="CX236" t="s">
        <v>6</v>
      </c>
      <c r="CY236" s="4">
        <v>43306</v>
      </c>
      <c r="CZ236" t="s">
        <v>65</v>
      </c>
      <c r="DA236" t="s">
        <v>66</v>
      </c>
      <c r="DB236">
        <v>10</v>
      </c>
      <c r="DC236">
        <v>121.3</v>
      </c>
      <c r="DD236" t="s">
        <v>69</v>
      </c>
      <c r="DE236" t="s">
        <v>70</v>
      </c>
      <c r="DF236">
        <v>1213</v>
      </c>
    </row>
    <row r="237" spans="1:110" x14ac:dyDescent="0.25">
      <c r="A237" s="1">
        <v>43076</v>
      </c>
      <c r="B237">
        <v>166.1</v>
      </c>
      <c r="C237">
        <v>97.12</v>
      </c>
      <c r="D237">
        <v>275.16000000000003</v>
      </c>
      <c r="E237">
        <v>138.87</v>
      </c>
      <c r="F237">
        <v>36.020000000000003</v>
      </c>
      <c r="G237">
        <v>114.04</v>
      </c>
      <c r="H237">
        <v>102.79</v>
      </c>
      <c r="I237">
        <v>69.739999999999995</v>
      </c>
      <c r="J237">
        <v>245.18</v>
      </c>
      <c r="K237">
        <v>177.98</v>
      </c>
      <c r="L237">
        <v>145.22999999999999</v>
      </c>
      <c r="M237">
        <v>41.76</v>
      </c>
      <c r="N237">
        <v>136.31</v>
      </c>
      <c r="O237">
        <v>101.45</v>
      </c>
      <c r="P237">
        <v>44.25</v>
      </c>
      <c r="Q237">
        <v>168.64</v>
      </c>
      <c r="R237">
        <v>232.48</v>
      </c>
      <c r="S237">
        <v>52.69</v>
      </c>
      <c r="T237">
        <v>81.09</v>
      </c>
      <c r="U237">
        <v>59.92</v>
      </c>
      <c r="V237">
        <v>33.979999999999997</v>
      </c>
      <c r="W237">
        <v>86.35</v>
      </c>
      <c r="X237">
        <v>130.43</v>
      </c>
      <c r="Y237">
        <v>217.22</v>
      </c>
      <c r="Z237">
        <v>119</v>
      </c>
      <c r="AA237">
        <v>110.47</v>
      </c>
      <c r="AB237">
        <v>47.64</v>
      </c>
      <c r="AC237">
        <v>67.569999999999993</v>
      </c>
      <c r="AD237">
        <v>94.54</v>
      </c>
      <c r="AE237">
        <v>78.39</v>
      </c>
      <c r="AI237" s="2">
        <v>5000</v>
      </c>
      <c r="AJ237" s="2">
        <f t="shared" si="163"/>
        <v>1160</v>
      </c>
      <c r="AK237" s="2">
        <f t="shared" si="163"/>
        <v>1160</v>
      </c>
      <c r="AL237" s="2">
        <f t="shared" si="163"/>
        <v>1160</v>
      </c>
      <c r="AM237" s="2">
        <f t="shared" si="163"/>
        <v>1160</v>
      </c>
      <c r="AN237" s="2">
        <f t="shared" si="163"/>
        <v>1160</v>
      </c>
      <c r="AO237" s="2">
        <f t="shared" si="163"/>
        <v>1160</v>
      </c>
      <c r="AP237" s="2">
        <f t="shared" si="163"/>
        <v>1040</v>
      </c>
      <c r="AQ237" s="2">
        <v>1000</v>
      </c>
      <c r="AR237" s="2">
        <v>0</v>
      </c>
      <c r="AS237" s="2">
        <v>10</v>
      </c>
      <c r="AT237" s="2">
        <v>0</v>
      </c>
      <c r="AU237" s="2">
        <v>1000</v>
      </c>
      <c r="AV237" s="2">
        <v>1000</v>
      </c>
      <c r="AW237" s="2">
        <v>0</v>
      </c>
      <c r="AX237" s="2">
        <v>0</v>
      </c>
      <c r="AY237" s="2">
        <v>0</v>
      </c>
      <c r="AZ237" s="2">
        <v>1024</v>
      </c>
      <c r="BA237" s="2">
        <v>1040</v>
      </c>
      <c r="BB237" s="2">
        <v>1019</v>
      </c>
      <c r="BC237" s="2">
        <v>-1000</v>
      </c>
      <c r="BD237" s="2">
        <v>-5000</v>
      </c>
      <c r="BE237" s="2">
        <v>5000</v>
      </c>
      <c r="BF237" s="2">
        <v>3000</v>
      </c>
      <c r="BG237" s="2">
        <v>5000</v>
      </c>
      <c r="BH237" s="2">
        <v>5000</v>
      </c>
      <c r="BI237" s="2">
        <v>3000</v>
      </c>
      <c r="BJ237" s="2">
        <v>-1500</v>
      </c>
      <c r="BK237" s="2">
        <v>1000</v>
      </c>
      <c r="BL237" s="2">
        <v>1000</v>
      </c>
      <c r="BO237" s="2">
        <f t="shared" si="126"/>
        <v>0</v>
      </c>
      <c r="BP237" s="2">
        <f t="shared" si="136"/>
        <v>0</v>
      </c>
      <c r="BQ237" s="2">
        <f t="shared" si="137"/>
        <v>0</v>
      </c>
      <c r="BR237" s="2">
        <f t="shared" si="138"/>
        <v>0</v>
      </c>
      <c r="BS237" s="2">
        <f t="shared" si="139"/>
        <v>0</v>
      </c>
      <c r="BT237" s="2">
        <f t="shared" si="140"/>
        <v>0</v>
      </c>
      <c r="BU237" s="2">
        <f t="shared" si="141"/>
        <v>0</v>
      </c>
      <c r="BV237" s="2">
        <f t="shared" si="142"/>
        <v>0</v>
      </c>
      <c r="BW237" s="2">
        <f t="shared" si="143"/>
        <v>0</v>
      </c>
      <c r="BX237" s="2">
        <f t="shared" si="144"/>
        <v>0</v>
      </c>
      <c r="BY237" s="2">
        <f t="shared" si="145"/>
        <v>0</v>
      </c>
      <c r="BZ237" s="2">
        <f t="shared" si="146"/>
        <v>0</v>
      </c>
      <c r="CA237" s="2">
        <f t="shared" si="147"/>
        <v>0</v>
      </c>
      <c r="CB237" s="2">
        <f t="shared" si="148"/>
        <v>0</v>
      </c>
      <c r="CC237" s="2">
        <f t="shared" si="149"/>
        <v>0</v>
      </c>
      <c r="CD237" s="2">
        <f t="shared" si="150"/>
        <v>0</v>
      </c>
      <c r="CE237" s="2">
        <f t="shared" si="151"/>
        <v>0</v>
      </c>
      <c r="CF237" s="2">
        <f t="shared" si="152"/>
        <v>-1106.49</v>
      </c>
      <c r="CG237" s="2">
        <f t="shared" si="153"/>
        <v>-2351.61</v>
      </c>
      <c r="CH237" s="2">
        <f t="shared" si="154"/>
        <v>-2456.7200000000003</v>
      </c>
      <c r="CI237" s="2">
        <f t="shared" si="155"/>
        <v>0</v>
      </c>
      <c r="CJ237" s="2">
        <f t="shared" si="156"/>
        <v>0</v>
      </c>
      <c r="CK237" s="2">
        <f t="shared" si="157"/>
        <v>0</v>
      </c>
      <c r="CL237" s="2">
        <f t="shared" si="158"/>
        <v>0</v>
      </c>
      <c r="CM237" s="2">
        <f t="shared" si="130"/>
        <v>0</v>
      </c>
      <c r="CN237" s="2">
        <f t="shared" si="131"/>
        <v>0</v>
      </c>
      <c r="CO237" s="2">
        <f t="shared" si="132"/>
        <v>0</v>
      </c>
      <c r="CP237" s="2">
        <f t="shared" si="133"/>
        <v>0</v>
      </c>
      <c r="CQ237" s="2">
        <f t="shared" si="134"/>
        <v>0</v>
      </c>
      <c r="CR237" s="2">
        <f t="shared" si="135"/>
        <v>0</v>
      </c>
      <c r="CV237" t="s">
        <v>64</v>
      </c>
      <c r="CW237" t="s">
        <v>310</v>
      </c>
      <c r="CX237" t="s">
        <v>6</v>
      </c>
      <c r="CY237" s="4">
        <v>43326</v>
      </c>
      <c r="CZ237" t="s">
        <v>65</v>
      </c>
      <c r="DA237" t="s">
        <v>66</v>
      </c>
      <c r="DB237">
        <v>10</v>
      </c>
      <c r="DC237">
        <v>119.04</v>
      </c>
      <c r="DD237" t="s">
        <v>69</v>
      </c>
      <c r="DE237" t="s">
        <v>70</v>
      </c>
      <c r="DF237">
        <v>1190.4000000000001</v>
      </c>
    </row>
    <row r="238" spans="1:110" x14ac:dyDescent="0.25">
      <c r="A238" s="1">
        <v>43077</v>
      </c>
      <c r="B238">
        <v>166.15</v>
      </c>
      <c r="C238">
        <v>97.09</v>
      </c>
      <c r="D238">
        <v>279</v>
      </c>
      <c r="E238">
        <v>139.81</v>
      </c>
      <c r="F238">
        <v>36.22</v>
      </c>
      <c r="G238">
        <v>114.32</v>
      </c>
      <c r="H238">
        <v>102.6</v>
      </c>
      <c r="I238">
        <v>69.11</v>
      </c>
      <c r="J238">
        <v>246.95</v>
      </c>
      <c r="K238">
        <v>179.36</v>
      </c>
      <c r="L238">
        <v>146.4</v>
      </c>
      <c r="M238">
        <v>42.02</v>
      </c>
      <c r="N238">
        <v>136.88</v>
      </c>
      <c r="O238">
        <v>102.72</v>
      </c>
      <c r="P238">
        <v>43.8</v>
      </c>
      <c r="Q238">
        <v>168.87</v>
      </c>
      <c r="R238">
        <v>230.38</v>
      </c>
      <c r="S238">
        <v>53.46</v>
      </c>
      <c r="T238">
        <v>82.73</v>
      </c>
      <c r="U238">
        <v>60.62</v>
      </c>
      <c r="V238">
        <v>34.21</v>
      </c>
      <c r="W238">
        <v>86.61</v>
      </c>
      <c r="X238">
        <v>130.69</v>
      </c>
      <c r="Y238">
        <v>220.93</v>
      </c>
      <c r="Z238">
        <v>119.4</v>
      </c>
      <c r="AA238">
        <v>111.66</v>
      </c>
      <c r="AB238">
        <v>48.27</v>
      </c>
      <c r="AC238">
        <v>69.45</v>
      </c>
      <c r="AD238">
        <v>94.31</v>
      </c>
      <c r="AE238">
        <v>78.5</v>
      </c>
      <c r="AI238" s="2">
        <v>5000</v>
      </c>
      <c r="AJ238" s="2">
        <f t="shared" si="163"/>
        <v>1160</v>
      </c>
      <c r="AK238" s="2">
        <f t="shared" si="163"/>
        <v>1160</v>
      </c>
      <c r="AL238" s="2">
        <f t="shared" si="163"/>
        <v>1160</v>
      </c>
      <c r="AM238" s="2">
        <f t="shared" si="163"/>
        <v>1160</v>
      </c>
      <c r="AN238" s="2">
        <f t="shared" si="163"/>
        <v>1160</v>
      </c>
      <c r="AO238" s="2">
        <f t="shared" si="163"/>
        <v>1160</v>
      </c>
      <c r="AP238" s="2">
        <f t="shared" si="163"/>
        <v>1040</v>
      </c>
      <c r="AQ238" s="2">
        <v>1000</v>
      </c>
      <c r="AR238" s="2">
        <v>0</v>
      </c>
      <c r="AS238" s="2">
        <v>10</v>
      </c>
      <c r="AT238" s="2">
        <v>0</v>
      </c>
      <c r="AU238" s="2">
        <v>1000</v>
      </c>
      <c r="AV238" s="2">
        <v>1000</v>
      </c>
      <c r="AW238" s="2">
        <v>0</v>
      </c>
      <c r="AX238" s="2">
        <v>0</v>
      </c>
      <c r="AY238" s="2">
        <v>0</v>
      </c>
      <c r="AZ238" s="2">
        <v>1030</v>
      </c>
      <c r="BA238" s="2">
        <v>1042</v>
      </c>
      <c r="BB238" s="2">
        <v>974</v>
      </c>
      <c r="BC238" s="2">
        <v>-1000</v>
      </c>
      <c r="BD238" s="2">
        <v>-5000</v>
      </c>
      <c r="BE238" s="2">
        <v>5000</v>
      </c>
      <c r="BF238" s="2">
        <v>3000</v>
      </c>
      <c r="BG238" s="2">
        <v>5000</v>
      </c>
      <c r="BH238" s="2">
        <v>5000</v>
      </c>
      <c r="BI238" s="2">
        <v>3000</v>
      </c>
      <c r="BJ238" s="2">
        <v>-1500</v>
      </c>
      <c r="BK238" s="2">
        <v>1000</v>
      </c>
      <c r="BL238" s="2">
        <v>1000</v>
      </c>
      <c r="BO238" s="2">
        <f t="shared" si="126"/>
        <v>0</v>
      </c>
      <c r="BP238" s="2">
        <f t="shared" si="136"/>
        <v>0</v>
      </c>
      <c r="BQ238" s="2">
        <f t="shared" si="137"/>
        <v>0</v>
      </c>
      <c r="BR238" s="2">
        <f t="shared" si="138"/>
        <v>0</v>
      </c>
      <c r="BS238" s="2">
        <f t="shared" si="139"/>
        <v>0</v>
      </c>
      <c r="BT238" s="2">
        <f t="shared" si="140"/>
        <v>0</v>
      </c>
      <c r="BU238" s="2">
        <f t="shared" si="141"/>
        <v>0</v>
      </c>
      <c r="BV238" s="2">
        <f t="shared" si="142"/>
        <v>0</v>
      </c>
      <c r="BW238" s="2">
        <f t="shared" si="143"/>
        <v>0</v>
      </c>
      <c r="BX238" s="2">
        <f t="shared" si="144"/>
        <v>0</v>
      </c>
      <c r="BY238" s="2">
        <f t="shared" si="145"/>
        <v>0</v>
      </c>
      <c r="BZ238" s="2">
        <f t="shared" si="146"/>
        <v>0</v>
      </c>
      <c r="CA238" s="2">
        <f t="shared" si="147"/>
        <v>0</v>
      </c>
      <c r="CB238" s="2">
        <f t="shared" si="148"/>
        <v>0</v>
      </c>
      <c r="CC238" s="2">
        <f t="shared" si="149"/>
        <v>0</v>
      </c>
      <c r="CD238" s="2">
        <f t="shared" si="150"/>
        <v>0</v>
      </c>
      <c r="CE238" s="2">
        <f t="shared" si="151"/>
        <v>0</v>
      </c>
      <c r="CF238" s="2">
        <f t="shared" si="152"/>
        <v>-320.76</v>
      </c>
      <c r="CG238" s="2">
        <f t="shared" si="153"/>
        <v>-165.46</v>
      </c>
      <c r="CH238" s="2">
        <f t="shared" si="154"/>
        <v>2727.9</v>
      </c>
      <c r="CI238" s="2">
        <f t="shared" si="155"/>
        <v>0</v>
      </c>
      <c r="CJ238" s="2">
        <f t="shared" si="156"/>
        <v>0</v>
      </c>
      <c r="CK238" s="2">
        <f t="shared" si="157"/>
        <v>0</v>
      </c>
      <c r="CL238" s="2">
        <f t="shared" si="158"/>
        <v>0</v>
      </c>
      <c r="CM238" s="2">
        <f t="shared" si="130"/>
        <v>0</v>
      </c>
      <c r="CN238" s="2">
        <f t="shared" si="131"/>
        <v>0</v>
      </c>
      <c r="CO238" s="2">
        <f t="shared" si="132"/>
        <v>0</v>
      </c>
      <c r="CP238" s="2">
        <f t="shared" si="133"/>
        <v>0</v>
      </c>
      <c r="CQ238" s="2">
        <f t="shared" si="134"/>
        <v>0</v>
      </c>
      <c r="CR238" s="2">
        <f t="shared" si="135"/>
        <v>0</v>
      </c>
      <c r="CV238" t="s">
        <v>64</v>
      </c>
      <c r="CW238" t="s">
        <v>311</v>
      </c>
      <c r="CX238" t="s">
        <v>6</v>
      </c>
      <c r="CY238" s="4">
        <v>43347</v>
      </c>
      <c r="CZ238" t="s">
        <v>65</v>
      </c>
      <c r="DA238" t="s">
        <v>66</v>
      </c>
      <c r="DB238">
        <v>10</v>
      </c>
      <c r="DC238">
        <v>116.55</v>
      </c>
      <c r="DD238" t="s">
        <v>69</v>
      </c>
      <c r="DE238" t="s">
        <v>70</v>
      </c>
      <c r="DF238">
        <v>1165.5</v>
      </c>
    </row>
    <row r="239" spans="1:110" x14ac:dyDescent="0.25">
      <c r="A239" s="1">
        <v>43080</v>
      </c>
      <c r="B239">
        <v>169.39</v>
      </c>
      <c r="C239">
        <v>97.53</v>
      </c>
      <c r="D239">
        <v>276.32</v>
      </c>
      <c r="E239">
        <v>139.72999999999999</v>
      </c>
      <c r="F239">
        <v>36.56</v>
      </c>
      <c r="G239">
        <v>114.79</v>
      </c>
      <c r="H239">
        <v>105.16</v>
      </c>
      <c r="I239">
        <v>69.19</v>
      </c>
      <c r="J239">
        <v>246.73</v>
      </c>
      <c r="K239">
        <v>178.22</v>
      </c>
      <c r="L239">
        <v>146.97</v>
      </c>
      <c r="M239">
        <v>42.32</v>
      </c>
      <c r="N239">
        <v>137.41</v>
      </c>
      <c r="O239">
        <v>102.42</v>
      </c>
      <c r="P239">
        <v>43.81</v>
      </c>
      <c r="Q239">
        <v>168.97</v>
      </c>
      <c r="R239">
        <v>231.52</v>
      </c>
      <c r="S239">
        <v>54.2</v>
      </c>
      <c r="T239">
        <v>83.78</v>
      </c>
      <c r="U239">
        <v>61.22</v>
      </c>
      <c r="V239">
        <v>34.659999999999997</v>
      </c>
      <c r="W239">
        <v>86.47</v>
      </c>
      <c r="X239">
        <v>130.11000000000001</v>
      </c>
      <c r="Y239">
        <v>219.81</v>
      </c>
      <c r="Z239">
        <v>119.88</v>
      </c>
      <c r="AA239">
        <v>111.43</v>
      </c>
      <c r="AB239">
        <v>48.98</v>
      </c>
      <c r="AC239">
        <v>69.77</v>
      </c>
      <c r="AD239">
        <v>94.68</v>
      </c>
      <c r="AE239">
        <v>78.849999999999994</v>
      </c>
      <c r="AI239" s="2">
        <v>5000</v>
      </c>
      <c r="AJ239" s="2">
        <f t="shared" si="163"/>
        <v>1160</v>
      </c>
      <c r="AK239" s="2">
        <f t="shared" si="163"/>
        <v>1160</v>
      </c>
      <c r="AL239" s="2">
        <f t="shared" si="163"/>
        <v>1160</v>
      </c>
      <c r="AM239" s="2">
        <f t="shared" si="163"/>
        <v>1160</v>
      </c>
      <c r="AN239" s="2">
        <f t="shared" si="163"/>
        <v>1160</v>
      </c>
      <c r="AO239" s="2">
        <f t="shared" si="163"/>
        <v>1160</v>
      </c>
      <c r="AP239" s="2">
        <f t="shared" si="163"/>
        <v>1040</v>
      </c>
      <c r="AQ239" s="2">
        <v>1000</v>
      </c>
      <c r="AR239" s="2">
        <v>0</v>
      </c>
      <c r="AS239" s="2">
        <v>10</v>
      </c>
      <c r="AT239" s="2">
        <v>0</v>
      </c>
      <c r="AU239" s="2">
        <v>1000</v>
      </c>
      <c r="AV239" s="2">
        <v>1000</v>
      </c>
      <c r="AW239" s="2">
        <v>0</v>
      </c>
      <c r="AX239" s="2">
        <v>0</v>
      </c>
      <c r="AY239" s="2">
        <v>0</v>
      </c>
      <c r="AZ239" s="2">
        <v>951</v>
      </c>
      <c r="BA239" s="2">
        <v>943</v>
      </c>
      <c r="BB239" s="2">
        <v>941</v>
      </c>
      <c r="BC239" s="2">
        <v>-1000</v>
      </c>
      <c r="BD239" s="2">
        <v>-5000</v>
      </c>
      <c r="BE239" s="2">
        <v>5000</v>
      </c>
      <c r="BF239" s="2">
        <v>3000</v>
      </c>
      <c r="BG239" s="2">
        <v>5000</v>
      </c>
      <c r="BH239" s="2">
        <v>5000</v>
      </c>
      <c r="BI239" s="2">
        <v>3000</v>
      </c>
      <c r="BJ239" s="2">
        <v>-1500</v>
      </c>
      <c r="BK239" s="2">
        <v>1000</v>
      </c>
      <c r="BL239" s="2">
        <v>1000</v>
      </c>
      <c r="BO239" s="2">
        <f t="shared" si="126"/>
        <v>0</v>
      </c>
      <c r="BP239" s="2">
        <f t="shared" si="136"/>
        <v>0</v>
      </c>
      <c r="BQ239" s="2">
        <f t="shared" si="137"/>
        <v>0</v>
      </c>
      <c r="BR239" s="2">
        <f t="shared" si="138"/>
        <v>0</v>
      </c>
      <c r="BS239" s="2">
        <f t="shared" si="139"/>
        <v>0</v>
      </c>
      <c r="BT239" s="2">
        <f t="shared" si="140"/>
        <v>0</v>
      </c>
      <c r="BU239" s="2">
        <f t="shared" si="141"/>
        <v>0</v>
      </c>
      <c r="BV239" s="2">
        <f t="shared" si="142"/>
        <v>0</v>
      </c>
      <c r="BW239" s="2">
        <f t="shared" si="143"/>
        <v>0</v>
      </c>
      <c r="BX239" s="2">
        <f t="shared" si="144"/>
        <v>0</v>
      </c>
      <c r="BY239" s="2">
        <f t="shared" si="145"/>
        <v>0</v>
      </c>
      <c r="BZ239" s="2">
        <f t="shared" si="146"/>
        <v>0</v>
      </c>
      <c r="CA239" s="2">
        <f t="shared" si="147"/>
        <v>0</v>
      </c>
      <c r="CB239" s="2">
        <f t="shared" si="148"/>
        <v>0</v>
      </c>
      <c r="CC239" s="2">
        <f t="shared" si="149"/>
        <v>0</v>
      </c>
      <c r="CD239" s="2">
        <f t="shared" si="150"/>
        <v>0</v>
      </c>
      <c r="CE239" s="2">
        <f t="shared" si="151"/>
        <v>0</v>
      </c>
      <c r="CF239" s="2">
        <f t="shared" si="152"/>
        <v>4281.8</v>
      </c>
      <c r="CG239" s="2">
        <f t="shared" si="153"/>
        <v>8294.2199999999993</v>
      </c>
      <c r="CH239" s="2">
        <f t="shared" si="154"/>
        <v>2020.26</v>
      </c>
      <c r="CI239" s="2">
        <f t="shared" si="155"/>
        <v>0</v>
      </c>
      <c r="CJ239" s="2">
        <f t="shared" si="156"/>
        <v>0</v>
      </c>
      <c r="CK239" s="2">
        <f t="shared" si="157"/>
        <v>0</v>
      </c>
      <c r="CL239" s="2">
        <f t="shared" si="158"/>
        <v>0</v>
      </c>
      <c r="CM239" s="2">
        <f t="shared" si="130"/>
        <v>0</v>
      </c>
      <c r="CN239" s="2">
        <f t="shared" si="131"/>
        <v>0</v>
      </c>
      <c r="CO239" s="2">
        <f t="shared" si="132"/>
        <v>0</v>
      </c>
      <c r="CP239" s="2">
        <f t="shared" si="133"/>
        <v>0</v>
      </c>
      <c r="CQ239" s="2">
        <f t="shared" si="134"/>
        <v>0</v>
      </c>
      <c r="CR239" s="2">
        <f t="shared" si="135"/>
        <v>0</v>
      </c>
      <c r="CV239" t="s">
        <v>64</v>
      </c>
      <c r="CW239" t="s">
        <v>312</v>
      </c>
      <c r="CX239" t="s">
        <v>6</v>
      </c>
      <c r="CY239" s="4">
        <v>43367</v>
      </c>
      <c r="CZ239" t="s">
        <v>65</v>
      </c>
      <c r="DA239" t="s">
        <v>66</v>
      </c>
      <c r="DB239">
        <v>10</v>
      </c>
      <c r="DC239">
        <v>120.22</v>
      </c>
      <c r="DD239" t="s">
        <v>69</v>
      </c>
      <c r="DE239" t="s">
        <v>70</v>
      </c>
      <c r="DF239">
        <v>1202.2</v>
      </c>
    </row>
    <row r="240" spans="1:110" x14ac:dyDescent="0.25">
      <c r="A240" s="1">
        <v>43081</v>
      </c>
      <c r="B240">
        <v>168.44</v>
      </c>
      <c r="C240">
        <v>97.9</v>
      </c>
      <c r="D240">
        <v>282.94</v>
      </c>
      <c r="E240">
        <v>139.38999999999999</v>
      </c>
      <c r="F240">
        <v>36.51</v>
      </c>
      <c r="G240">
        <v>114.09</v>
      </c>
      <c r="H240">
        <v>105.75</v>
      </c>
      <c r="I240">
        <v>69.17</v>
      </c>
      <c r="J240">
        <v>254.18</v>
      </c>
      <c r="K240">
        <v>177.78</v>
      </c>
      <c r="L240">
        <v>148.22999999999999</v>
      </c>
      <c r="M240">
        <v>42</v>
      </c>
      <c r="N240">
        <v>138.83000000000001</v>
      </c>
      <c r="O240">
        <v>103.62</v>
      </c>
      <c r="P240">
        <v>43.78</v>
      </c>
      <c r="Q240">
        <v>167.98</v>
      </c>
      <c r="R240">
        <v>228.88</v>
      </c>
      <c r="S240">
        <v>54.91</v>
      </c>
      <c r="T240">
        <v>84.12</v>
      </c>
      <c r="U240">
        <v>61.48</v>
      </c>
      <c r="V240">
        <v>35.01</v>
      </c>
      <c r="W240">
        <v>86.11</v>
      </c>
      <c r="X240">
        <v>131.27000000000001</v>
      </c>
      <c r="Y240">
        <v>219.53</v>
      </c>
      <c r="Z240">
        <v>120.05</v>
      </c>
      <c r="AA240">
        <v>112.51</v>
      </c>
      <c r="AB240">
        <v>50.26</v>
      </c>
      <c r="AC240">
        <v>69.900000000000006</v>
      </c>
      <c r="AD240">
        <v>94.46</v>
      </c>
      <c r="AE240">
        <v>78.59</v>
      </c>
      <c r="AI240" s="2">
        <v>5000</v>
      </c>
      <c r="AJ240" s="2">
        <f t="shared" ref="AJ240:AP240" si="164">AJ239+10</f>
        <v>1170</v>
      </c>
      <c r="AK240" s="2">
        <f t="shared" si="164"/>
        <v>1170</v>
      </c>
      <c r="AL240" s="2">
        <f t="shared" si="164"/>
        <v>1170</v>
      </c>
      <c r="AM240" s="2">
        <f t="shared" si="164"/>
        <v>1170</v>
      </c>
      <c r="AN240" s="2">
        <f t="shared" si="164"/>
        <v>1170</v>
      </c>
      <c r="AO240" s="2">
        <f t="shared" si="164"/>
        <v>1170</v>
      </c>
      <c r="AP240" s="2">
        <f t="shared" si="164"/>
        <v>1050</v>
      </c>
      <c r="AQ240" s="2">
        <v>1000</v>
      </c>
      <c r="AR240" s="2">
        <v>0</v>
      </c>
      <c r="AS240" s="2">
        <v>10</v>
      </c>
      <c r="AT240" s="2">
        <v>0</v>
      </c>
      <c r="AU240" s="2">
        <v>1000</v>
      </c>
      <c r="AV240" s="2">
        <v>1000</v>
      </c>
      <c r="AW240" s="2">
        <v>0</v>
      </c>
      <c r="AX240" s="2">
        <v>0</v>
      </c>
      <c r="AY240" s="2">
        <v>0</v>
      </c>
      <c r="AZ240" s="2">
        <v>998</v>
      </c>
      <c r="BA240" s="2">
        <v>1020</v>
      </c>
      <c r="BB240" s="2">
        <v>1044</v>
      </c>
      <c r="BC240" s="2">
        <v>-1000</v>
      </c>
      <c r="BD240" s="2">
        <v>-5000</v>
      </c>
      <c r="BE240" s="2">
        <v>5000</v>
      </c>
      <c r="BF240" s="2">
        <v>3000</v>
      </c>
      <c r="BG240" s="2">
        <v>5000</v>
      </c>
      <c r="BH240" s="2">
        <v>5000</v>
      </c>
      <c r="BI240" s="2">
        <v>3000</v>
      </c>
      <c r="BJ240" s="2">
        <v>-1500</v>
      </c>
      <c r="BK240" s="2">
        <v>1000</v>
      </c>
      <c r="BL240" s="2">
        <v>1000</v>
      </c>
      <c r="BO240" s="2">
        <f t="shared" si="126"/>
        <v>0</v>
      </c>
      <c r="BP240" s="2">
        <f t="shared" si="136"/>
        <v>-979</v>
      </c>
      <c r="BQ240" s="2">
        <f t="shared" si="137"/>
        <v>-2829.4</v>
      </c>
      <c r="BR240" s="2">
        <f t="shared" si="138"/>
        <v>-1393.8999999999999</v>
      </c>
      <c r="BS240" s="2">
        <f t="shared" si="139"/>
        <v>-365.09999999999997</v>
      </c>
      <c r="BT240" s="2">
        <f t="shared" si="140"/>
        <v>-1140.9000000000001</v>
      </c>
      <c r="BU240" s="2">
        <f t="shared" si="141"/>
        <v>-1057.5</v>
      </c>
      <c r="BV240" s="2">
        <f t="shared" si="142"/>
        <v>-691.7</v>
      </c>
      <c r="BW240" s="2">
        <f t="shared" si="143"/>
        <v>0</v>
      </c>
      <c r="BX240" s="2">
        <f t="shared" si="144"/>
        <v>0</v>
      </c>
      <c r="BY240" s="2">
        <f t="shared" si="145"/>
        <v>0</v>
      </c>
      <c r="BZ240" s="2">
        <f t="shared" si="146"/>
        <v>0</v>
      </c>
      <c r="CA240" s="2">
        <f t="shared" si="147"/>
        <v>0</v>
      </c>
      <c r="CB240" s="2">
        <f t="shared" si="148"/>
        <v>0</v>
      </c>
      <c r="CC240" s="2">
        <f t="shared" si="149"/>
        <v>0</v>
      </c>
      <c r="CD240" s="2">
        <f t="shared" si="150"/>
        <v>0</v>
      </c>
      <c r="CE240" s="2">
        <f t="shared" si="151"/>
        <v>0</v>
      </c>
      <c r="CF240" s="2">
        <f t="shared" si="152"/>
        <v>-2580.77</v>
      </c>
      <c r="CG240" s="2">
        <f t="shared" si="153"/>
        <v>-6477.2400000000007</v>
      </c>
      <c r="CH240" s="2">
        <f t="shared" si="154"/>
        <v>-6332.44</v>
      </c>
      <c r="CI240" s="2">
        <f t="shared" si="155"/>
        <v>0</v>
      </c>
      <c r="CJ240" s="2">
        <f t="shared" si="156"/>
        <v>0</v>
      </c>
      <c r="CK240" s="2">
        <f t="shared" si="157"/>
        <v>0</v>
      </c>
      <c r="CL240" s="2">
        <f t="shared" si="158"/>
        <v>0</v>
      </c>
      <c r="CM240" s="2">
        <f t="shared" si="130"/>
        <v>0</v>
      </c>
      <c r="CN240" s="2">
        <f t="shared" si="131"/>
        <v>0</v>
      </c>
      <c r="CO240" s="2">
        <f t="shared" si="132"/>
        <v>0</v>
      </c>
      <c r="CP240" s="2">
        <f t="shared" si="133"/>
        <v>0</v>
      </c>
      <c r="CQ240" s="2">
        <f t="shared" si="134"/>
        <v>0</v>
      </c>
      <c r="CR240" s="2">
        <f t="shared" si="135"/>
        <v>0</v>
      </c>
      <c r="CV240" t="s">
        <v>64</v>
      </c>
      <c r="CW240" t="s">
        <v>313</v>
      </c>
      <c r="CX240" t="s">
        <v>6</v>
      </c>
      <c r="CY240" s="4">
        <v>43385</v>
      </c>
      <c r="CZ240" t="s">
        <v>65</v>
      </c>
      <c r="DA240" t="s">
        <v>66</v>
      </c>
      <c r="DB240">
        <v>10</v>
      </c>
      <c r="DC240">
        <v>115.47</v>
      </c>
      <c r="DD240" t="s">
        <v>69</v>
      </c>
      <c r="DE240" t="s">
        <v>70</v>
      </c>
      <c r="DF240">
        <v>1154.7</v>
      </c>
    </row>
    <row r="241" spans="1:110" x14ac:dyDescent="0.25">
      <c r="A241" s="1">
        <v>43082</v>
      </c>
      <c r="B241">
        <v>169</v>
      </c>
      <c r="C241">
        <v>96.33</v>
      </c>
      <c r="D241">
        <v>284.79000000000002</v>
      </c>
      <c r="E241">
        <v>144.38999999999999</v>
      </c>
      <c r="F241">
        <v>36.74</v>
      </c>
      <c r="G241">
        <v>114.33</v>
      </c>
      <c r="H241">
        <v>105.93</v>
      </c>
      <c r="I241">
        <v>68.95</v>
      </c>
      <c r="J241">
        <v>252.09</v>
      </c>
      <c r="K241">
        <v>178.99</v>
      </c>
      <c r="L241">
        <v>145.55000000000001</v>
      </c>
      <c r="M241">
        <v>42.01</v>
      </c>
      <c r="N241">
        <v>139.12</v>
      </c>
      <c r="O241">
        <v>102.32</v>
      </c>
      <c r="P241">
        <v>44.37</v>
      </c>
      <c r="Q241">
        <v>169.26</v>
      </c>
      <c r="R241">
        <v>231.33</v>
      </c>
      <c r="S241">
        <v>54.75</v>
      </c>
      <c r="T241">
        <v>83.9</v>
      </c>
      <c r="U241">
        <v>63.58</v>
      </c>
      <c r="V241">
        <v>35.07</v>
      </c>
      <c r="W241">
        <v>87.1</v>
      </c>
      <c r="X241">
        <v>130.5</v>
      </c>
      <c r="Y241">
        <v>221.36</v>
      </c>
      <c r="Z241">
        <v>120.85</v>
      </c>
      <c r="AA241">
        <v>112.36</v>
      </c>
      <c r="AB241">
        <v>49.97</v>
      </c>
      <c r="AC241">
        <v>69.61</v>
      </c>
      <c r="AD241">
        <v>95.49</v>
      </c>
      <c r="AE241">
        <v>78.94</v>
      </c>
      <c r="AI241" s="2">
        <v>5000</v>
      </c>
      <c r="AJ241" s="2">
        <f t="shared" ref="AJ241:AP241" si="165">AJ240</f>
        <v>1170</v>
      </c>
      <c r="AK241" s="2">
        <f t="shared" si="165"/>
        <v>1170</v>
      </c>
      <c r="AL241" s="2">
        <f t="shared" si="165"/>
        <v>1170</v>
      </c>
      <c r="AM241" s="2">
        <f t="shared" si="165"/>
        <v>1170</v>
      </c>
      <c r="AN241" s="2">
        <f t="shared" si="165"/>
        <v>1170</v>
      </c>
      <c r="AO241" s="2">
        <f t="shared" si="165"/>
        <v>1170</v>
      </c>
      <c r="AP241" s="2">
        <f t="shared" si="165"/>
        <v>1050</v>
      </c>
      <c r="AQ241" s="2">
        <v>1000</v>
      </c>
      <c r="AR241" s="2">
        <v>0</v>
      </c>
      <c r="AS241" s="2">
        <v>10</v>
      </c>
      <c r="AT241" s="2">
        <v>0</v>
      </c>
      <c r="AU241" s="2">
        <v>1000</v>
      </c>
      <c r="AV241" s="2">
        <v>1000</v>
      </c>
      <c r="AW241" s="2">
        <v>0</v>
      </c>
      <c r="AX241" s="2">
        <v>0</v>
      </c>
      <c r="AY241" s="2">
        <v>0</v>
      </c>
      <c r="AZ241" s="2">
        <v>967</v>
      </c>
      <c r="BA241" s="2">
        <v>1092</v>
      </c>
      <c r="BB241" s="2">
        <v>989</v>
      </c>
      <c r="BC241" s="2">
        <v>-1000</v>
      </c>
      <c r="BD241" s="2">
        <v>-5000</v>
      </c>
      <c r="BE241" s="2">
        <v>5000</v>
      </c>
      <c r="BF241" s="2">
        <v>3000</v>
      </c>
      <c r="BG241" s="2">
        <v>5000</v>
      </c>
      <c r="BH241" s="2">
        <v>5000</v>
      </c>
      <c r="BI241" s="2">
        <v>3000</v>
      </c>
      <c r="BJ241" s="2">
        <v>-1500</v>
      </c>
      <c r="BK241" s="2">
        <v>1000</v>
      </c>
      <c r="BL241" s="2">
        <v>1000</v>
      </c>
      <c r="BO241" s="2">
        <f t="shared" si="126"/>
        <v>0</v>
      </c>
      <c r="BP241" s="2">
        <f t="shared" si="136"/>
        <v>0</v>
      </c>
      <c r="BQ241" s="2">
        <f t="shared" si="137"/>
        <v>0</v>
      </c>
      <c r="BR241" s="2">
        <f t="shared" si="138"/>
        <v>0</v>
      </c>
      <c r="BS241" s="2">
        <f t="shared" si="139"/>
        <v>0</v>
      </c>
      <c r="BT241" s="2">
        <f t="shared" si="140"/>
        <v>0</v>
      </c>
      <c r="BU241" s="2">
        <f t="shared" si="141"/>
        <v>0</v>
      </c>
      <c r="BV241" s="2">
        <f t="shared" si="142"/>
        <v>0</v>
      </c>
      <c r="BW241" s="2">
        <f t="shared" si="143"/>
        <v>0</v>
      </c>
      <c r="BX241" s="2">
        <f t="shared" si="144"/>
        <v>0</v>
      </c>
      <c r="BY241" s="2">
        <f t="shared" si="145"/>
        <v>0</v>
      </c>
      <c r="BZ241" s="2">
        <f t="shared" si="146"/>
        <v>0</v>
      </c>
      <c r="CA241" s="2">
        <f t="shared" si="147"/>
        <v>0</v>
      </c>
      <c r="CB241" s="2">
        <f t="shared" si="148"/>
        <v>0</v>
      </c>
      <c r="CC241" s="2">
        <f t="shared" si="149"/>
        <v>0</v>
      </c>
      <c r="CD241" s="2">
        <f t="shared" si="150"/>
        <v>0</v>
      </c>
      <c r="CE241" s="2">
        <f t="shared" si="151"/>
        <v>0</v>
      </c>
      <c r="CF241" s="2">
        <f t="shared" si="152"/>
        <v>1697.25</v>
      </c>
      <c r="CG241" s="2">
        <f t="shared" si="153"/>
        <v>-6040.8</v>
      </c>
      <c r="CH241" s="2">
        <f t="shared" si="154"/>
        <v>3496.9</v>
      </c>
      <c r="CI241" s="2">
        <f t="shared" si="155"/>
        <v>0</v>
      </c>
      <c r="CJ241" s="2">
        <f t="shared" si="156"/>
        <v>0</v>
      </c>
      <c r="CK241" s="2">
        <f t="shared" si="157"/>
        <v>0</v>
      </c>
      <c r="CL241" s="2">
        <f t="shared" si="158"/>
        <v>0</v>
      </c>
      <c r="CM241" s="2">
        <f t="shared" si="130"/>
        <v>0</v>
      </c>
      <c r="CN241" s="2">
        <f t="shared" si="131"/>
        <v>0</v>
      </c>
      <c r="CO241" s="2">
        <f t="shared" si="132"/>
        <v>0</v>
      </c>
      <c r="CP241" s="2">
        <f t="shared" si="133"/>
        <v>0</v>
      </c>
      <c r="CQ241" s="2">
        <f t="shared" si="134"/>
        <v>0</v>
      </c>
      <c r="CR241" s="2">
        <f t="shared" si="135"/>
        <v>0</v>
      </c>
      <c r="CV241" t="s">
        <v>64</v>
      </c>
      <c r="CW241" t="s">
        <v>314</v>
      </c>
      <c r="CX241" t="s">
        <v>6</v>
      </c>
      <c r="CY241" s="4">
        <v>43405</v>
      </c>
      <c r="CZ241" t="s">
        <v>65</v>
      </c>
      <c r="DA241" t="s">
        <v>66</v>
      </c>
      <c r="DB241">
        <v>10</v>
      </c>
      <c r="DC241">
        <v>109</v>
      </c>
      <c r="DD241" t="s">
        <v>69</v>
      </c>
      <c r="DE241" t="s">
        <v>70</v>
      </c>
      <c r="DF241">
        <v>1090</v>
      </c>
    </row>
    <row r="242" spans="1:110" x14ac:dyDescent="0.25">
      <c r="A242" s="1">
        <v>43083</v>
      </c>
      <c r="B242">
        <v>168.95</v>
      </c>
      <c r="C242">
        <v>95.71</v>
      </c>
      <c r="D242">
        <v>286.77999999999997</v>
      </c>
      <c r="E242">
        <v>142.16999999999999</v>
      </c>
      <c r="F242">
        <v>36.5</v>
      </c>
      <c r="G242">
        <v>113.94</v>
      </c>
      <c r="H242">
        <v>108.84</v>
      </c>
      <c r="I242">
        <v>68.709999999999994</v>
      </c>
      <c r="J242">
        <v>252.01</v>
      </c>
      <c r="K242">
        <v>178.11</v>
      </c>
      <c r="L242">
        <v>145.63999999999999</v>
      </c>
      <c r="M242">
        <v>41.93</v>
      </c>
      <c r="N242">
        <v>137.91</v>
      </c>
      <c r="O242">
        <v>101.49</v>
      </c>
      <c r="P242">
        <v>44.49</v>
      </c>
      <c r="Q242">
        <v>168.86</v>
      </c>
      <c r="R242">
        <v>230.34</v>
      </c>
      <c r="S242">
        <v>54.34</v>
      </c>
      <c r="T242">
        <v>83.25</v>
      </c>
      <c r="U242">
        <v>63.81</v>
      </c>
      <c r="V242">
        <v>34.9</v>
      </c>
      <c r="W242">
        <v>87.21</v>
      </c>
      <c r="X242">
        <v>129.54</v>
      </c>
      <c r="Y242">
        <v>218.31</v>
      </c>
      <c r="Z242">
        <v>120.33</v>
      </c>
      <c r="AA242">
        <v>111.98</v>
      </c>
      <c r="AB242">
        <v>49.45</v>
      </c>
      <c r="AC242">
        <v>68.290000000000006</v>
      </c>
      <c r="AD242">
        <v>94.88</v>
      </c>
      <c r="AE242">
        <v>78.73</v>
      </c>
      <c r="AI242" s="2">
        <v>5000</v>
      </c>
      <c r="AJ242" s="2">
        <f t="shared" si="163"/>
        <v>1170</v>
      </c>
      <c r="AK242" s="2">
        <f t="shared" si="163"/>
        <v>1170</v>
      </c>
      <c r="AL242" s="2">
        <f t="shared" si="163"/>
        <v>1170</v>
      </c>
      <c r="AM242" s="2">
        <f t="shared" si="163"/>
        <v>1170</v>
      </c>
      <c r="AN242" s="2">
        <f t="shared" si="163"/>
        <v>1170</v>
      </c>
      <c r="AO242" s="2">
        <f t="shared" si="163"/>
        <v>1170</v>
      </c>
      <c r="AP242" s="2">
        <f t="shared" si="163"/>
        <v>1050</v>
      </c>
      <c r="AQ242" s="2">
        <v>1000</v>
      </c>
      <c r="AR242" s="2">
        <v>0</v>
      </c>
      <c r="AS242" s="2">
        <v>10</v>
      </c>
      <c r="AT242" s="2">
        <v>0</v>
      </c>
      <c r="AU242" s="2">
        <v>1000</v>
      </c>
      <c r="AV242" s="2">
        <v>1000</v>
      </c>
      <c r="AW242" s="2">
        <v>0</v>
      </c>
      <c r="AX242" s="2">
        <v>0</v>
      </c>
      <c r="AY242" s="2">
        <v>0</v>
      </c>
      <c r="AZ242" s="2">
        <v>973</v>
      </c>
      <c r="BA242" s="2">
        <v>987</v>
      </c>
      <c r="BB242" s="2">
        <v>1024</v>
      </c>
      <c r="BC242" s="2">
        <v>-1000</v>
      </c>
      <c r="BD242" s="2">
        <v>-5000</v>
      </c>
      <c r="BE242" s="2">
        <v>5000</v>
      </c>
      <c r="BF242" s="2">
        <v>3000</v>
      </c>
      <c r="BG242" s="2">
        <v>5000</v>
      </c>
      <c r="BH242" s="2">
        <v>5000</v>
      </c>
      <c r="BI242" s="2">
        <v>3000</v>
      </c>
      <c r="BJ242" s="2">
        <v>-1500</v>
      </c>
      <c r="BK242" s="2">
        <v>1000</v>
      </c>
      <c r="BL242" s="2">
        <v>1000</v>
      </c>
      <c r="BO242" s="2">
        <f t="shared" si="126"/>
        <v>0</v>
      </c>
      <c r="BP242" s="2">
        <f t="shared" si="136"/>
        <v>0</v>
      </c>
      <c r="BQ242" s="2">
        <f t="shared" si="137"/>
        <v>0</v>
      </c>
      <c r="BR242" s="2">
        <f t="shared" si="138"/>
        <v>0</v>
      </c>
      <c r="BS242" s="2">
        <f t="shared" si="139"/>
        <v>0</v>
      </c>
      <c r="BT242" s="2">
        <f t="shared" si="140"/>
        <v>0</v>
      </c>
      <c r="BU242" s="2">
        <f t="shared" si="141"/>
        <v>0</v>
      </c>
      <c r="BV242" s="2">
        <f t="shared" si="142"/>
        <v>0</v>
      </c>
      <c r="BW242" s="2">
        <f t="shared" si="143"/>
        <v>0</v>
      </c>
      <c r="BX242" s="2">
        <f t="shared" si="144"/>
        <v>0</v>
      </c>
      <c r="BY242" s="2">
        <f t="shared" si="145"/>
        <v>0</v>
      </c>
      <c r="BZ242" s="2">
        <f t="shared" si="146"/>
        <v>0</v>
      </c>
      <c r="CA242" s="2">
        <f t="shared" si="147"/>
        <v>0</v>
      </c>
      <c r="CB242" s="2">
        <f t="shared" si="148"/>
        <v>0</v>
      </c>
      <c r="CC242" s="2">
        <f t="shared" si="149"/>
        <v>0</v>
      </c>
      <c r="CD242" s="2">
        <f t="shared" si="150"/>
        <v>0</v>
      </c>
      <c r="CE242" s="2">
        <f t="shared" si="151"/>
        <v>0</v>
      </c>
      <c r="CF242" s="2">
        <f t="shared" si="152"/>
        <v>-326.04000000000002</v>
      </c>
      <c r="CG242" s="2">
        <f t="shared" si="153"/>
        <v>8741.25</v>
      </c>
      <c r="CH242" s="2">
        <f t="shared" si="154"/>
        <v>-2233.35</v>
      </c>
      <c r="CI242" s="2">
        <f t="shared" si="155"/>
        <v>0</v>
      </c>
      <c r="CJ242" s="2">
        <f t="shared" si="156"/>
        <v>0</v>
      </c>
      <c r="CK242" s="2">
        <f t="shared" si="157"/>
        <v>0</v>
      </c>
      <c r="CL242" s="2">
        <f t="shared" si="158"/>
        <v>0</v>
      </c>
      <c r="CM242" s="2">
        <f t="shared" si="130"/>
        <v>0</v>
      </c>
      <c r="CN242" s="2">
        <f t="shared" si="131"/>
        <v>0</v>
      </c>
      <c r="CO242" s="2">
        <f t="shared" si="132"/>
        <v>0</v>
      </c>
      <c r="CP242" s="2">
        <f t="shared" si="133"/>
        <v>0</v>
      </c>
      <c r="CQ242" s="2">
        <f t="shared" si="134"/>
        <v>0</v>
      </c>
      <c r="CR242" s="2">
        <f t="shared" si="135"/>
        <v>0</v>
      </c>
      <c r="CV242" t="s">
        <v>64</v>
      </c>
      <c r="CW242" t="s">
        <v>315</v>
      </c>
      <c r="CX242" t="s">
        <v>6</v>
      </c>
      <c r="CY242" s="4">
        <v>43425</v>
      </c>
      <c r="CZ242" t="s">
        <v>65</v>
      </c>
      <c r="DA242" t="s">
        <v>66</v>
      </c>
      <c r="DB242">
        <v>10</v>
      </c>
      <c r="DC242">
        <v>116.4</v>
      </c>
      <c r="DD242" t="s">
        <v>69</v>
      </c>
      <c r="DE242" t="s">
        <v>70</v>
      </c>
      <c r="DF242">
        <v>1164</v>
      </c>
    </row>
    <row r="243" spans="1:110" x14ac:dyDescent="0.25">
      <c r="A243" s="1">
        <v>43084</v>
      </c>
      <c r="B243">
        <v>170.66</v>
      </c>
      <c r="C243">
        <v>97.06</v>
      </c>
      <c r="D243">
        <v>286.83999999999997</v>
      </c>
      <c r="E243">
        <v>142.56</v>
      </c>
      <c r="F243">
        <v>36.78</v>
      </c>
      <c r="G243">
        <v>114.14</v>
      </c>
      <c r="H243">
        <v>109.53</v>
      </c>
      <c r="I243">
        <v>68.400000000000006</v>
      </c>
      <c r="J243">
        <v>253.68</v>
      </c>
      <c r="K243">
        <v>178.55</v>
      </c>
      <c r="L243">
        <v>144.22</v>
      </c>
      <c r="M243">
        <v>43.19</v>
      </c>
      <c r="N243">
        <v>138.69999999999999</v>
      </c>
      <c r="O243">
        <v>102.93</v>
      </c>
      <c r="P243">
        <v>44.65</v>
      </c>
      <c r="Q243">
        <v>169.76</v>
      </c>
      <c r="R243">
        <v>230.26</v>
      </c>
      <c r="S243">
        <v>54.57</v>
      </c>
      <c r="T243">
        <v>85.37</v>
      </c>
      <c r="U243">
        <v>64.069999999999993</v>
      </c>
      <c r="V243">
        <v>35.61</v>
      </c>
      <c r="W243">
        <v>88.06</v>
      </c>
      <c r="X243">
        <v>131.80000000000001</v>
      </c>
      <c r="Y243">
        <v>218.87</v>
      </c>
      <c r="Z243">
        <v>122.67</v>
      </c>
      <c r="AA243">
        <v>112.87</v>
      </c>
      <c r="AB243">
        <v>49.76</v>
      </c>
      <c r="AC243">
        <v>69.83</v>
      </c>
      <c r="AD243">
        <v>94.86</v>
      </c>
      <c r="AE243">
        <v>78.849999999999994</v>
      </c>
      <c r="AI243" s="2">
        <v>5000</v>
      </c>
      <c r="AJ243" s="2">
        <f t="shared" si="163"/>
        <v>1170</v>
      </c>
      <c r="AK243" s="2">
        <f t="shared" si="163"/>
        <v>1170</v>
      </c>
      <c r="AL243" s="2">
        <f t="shared" si="163"/>
        <v>1170</v>
      </c>
      <c r="AM243" s="2">
        <f t="shared" si="163"/>
        <v>1170</v>
      </c>
      <c r="AN243" s="2">
        <f t="shared" si="163"/>
        <v>1170</v>
      </c>
      <c r="AO243" s="2">
        <f t="shared" si="163"/>
        <v>1170</v>
      </c>
      <c r="AP243" s="2">
        <f t="shared" si="163"/>
        <v>1050</v>
      </c>
      <c r="AQ243" s="2">
        <v>1000</v>
      </c>
      <c r="AR243" s="2">
        <v>0</v>
      </c>
      <c r="AS243" s="2">
        <v>10</v>
      </c>
      <c r="AT243" s="2">
        <v>0</v>
      </c>
      <c r="AU243" s="2">
        <v>1000</v>
      </c>
      <c r="AV243" s="2">
        <v>1000</v>
      </c>
      <c r="AW243" s="2">
        <v>0</v>
      </c>
      <c r="AX243" s="2">
        <v>0</v>
      </c>
      <c r="AY243" s="2">
        <v>0</v>
      </c>
      <c r="AZ243" s="2">
        <v>975</v>
      </c>
      <c r="BA243" s="2">
        <v>1084</v>
      </c>
      <c r="BB243" s="2">
        <v>1042</v>
      </c>
      <c r="BC243" s="2">
        <v>-1000</v>
      </c>
      <c r="BD243" s="2">
        <v>-5000</v>
      </c>
      <c r="BE243" s="2">
        <v>5000</v>
      </c>
      <c r="BF243" s="2">
        <v>3000</v>
      </c>
      <c r="BG243" s="2">
        <v>5000</v>
      </c>
      <c r="BH243" s="2">
        <v>5000</v>
      </c>
      <c r="BI243" s="2">
        <v>3000</v>
      </c>
      <c r="BJ243" s="2">
        <v>-1500</v>
      </c>
      <c r="BK243" s="2">
        <v>1000</v>
      </c>
      <c r="BL243" s="2">
        <v>1000</v>
      </c>
      <c r="BO243" s="2">
        <f t="shared" si="126"/>
        <v>0</v>
      </c>
      <c r="BP243" s="2">
        <f t="shared" si="136"/>
        <v>0</v>
      </c>
      <c r="BQ243" s="2">
        <f t="shared" si="137"/>
        <v>0</v>
      </c>
      <c r="BR243" s="2">
        <f t="shared" si="138"/>
        <v>0</v>
      </c>
      <c r="BS243" s="2">
        <f t="shared" si="139"/>
        <v>0</v>
      </c>
      <c r="BT243" s="2">
        <f t="shared" si="140"/>
        <v>0</v>
      </c>
      <c r="BU243" s="2">
        <f t="shared" si="141"/>
        <v>0</v>
      </c>
      <c r="BV243" s="2">
        <f t="shared" si="142"/>
        <v>0</v>
      </c>
      <c r="BW243" s="2">
        <f t="shared" si="143"/>
        <v>0</v>
      </c>
      <c r="BX243" s="2">
        <f t="shared" si="144"/>
        <v>0</v>
      </c>
      <c r="BY243" s="2">
        <f t="shared" si="145"/>
        <v>0</v>
      </c>
      <c r="BZ243" s="2">
        <f t="shared" si="146"/>
        <v>0</v>
      </c>
      <c r="CA243" s="2">
        <f t="shared" si="147"/>
        <v>0</v>
      </c>
      <c r="CB243" s="2">
        <f t="shared" si="148"/>
        <v>0</v>
      </c>
      <c r="CC243" s="2">
        <f t="shared" si="149"/>
        <v>0</v>
      </c>
      <c r="CD243" s="2">
        <f t="shared" si="150"/>
        <v>0</v>
      </c>
      <c r="CE243" s="2">
        <f t="shared" si="151"/>
        <v>0</v>
      </c>
      <c r="CF243" s="2">
        <f t="shared" si="152"/>
        <v>-109.14</v>
      </c>
      <c r="CG243" s="2">
        <f t="shared" si="153"/>
        <v>-8280.8900000000012</v>
      </c>
      <c r="CH243" s="2">
        <f t="shared" si="154"/>
        <v>-1153.2599999999998</v>
      </c>
      <c r="CI243" s="2">
        <f t="shared" si="155"/>
        <v>0</v>
      </c>
      <c r="CJ243" s="2">
        <f t="shared" si="156"/>
        <v>0</v>
      </c>
      <c r="CK243" s="2">
        <f t="shared" si="157"/>
        <v>0</v>
      </c>
      <c r="CL243" s="2">
        <f t="shared" si="158"/>
        <v>0</v>
      </c>
      <c r="CM243" s="2">
        <f t="shared" si="130"/>
        <v>0</v>
      </c>
      <c r="CN243" s="2">
        <f t="shared" si="131"/>
        <v>0</v>
      </c>
      <c r="CO243" s="2">
        <f t="shared" si="132"/>
        <v>0</v>
      </c>
      <c r="CP243" s="2">
        <f t="shared" si="133"/>
        <v>0</v>
      </c>
      <c r="CQ243" s="2">
        <f t="shared" si="134"/>
        <v>0</v>
      </c>
      <c r="CR243" s="2">
        <f t="shared" si="135"/>
        <v>0</v>
      </c>
      <c r="CV243" t="s">
        <v>64</v>
      </c>
      <c r="CW243" t="s">
        <v>316</v>
      </c>
      <c r="CX243" t="s">
        <v>6</v>
      </c>
      <c r="CY243" s="4">
        <v>43447</v>
      </c>
      <c r="CZ243" t="s">
        <v>65</v>
      </c>
      <c r="DA243" t="s">
        <v>66</v>
      </c>
      <c r="DB243">
        <v>10</v>
      </c>
      <c r="DC243">
        <v>114.79</v>
      </c>
      <c r="DD243" t="s">
        <v>69</v>
      </c>
      <c r="DE243" t="s">
        <v>70</v>
      </c>
      <c r="DF243">
        <v>1147.9000000000001</v>
      </c>
    </row>
    <row r="244" spans="1:110" x14ac:dyDescent="0.25">
      <c r="A244" s="1">
        <v>43087</v>
      </c>
      <c r="B244">
        <v>173.07</v>
      </c>
      <c r="C244">
        <v>98.2</v>
      </c>
      <c r="D244">
        <v>288.99</v>
      </c>
      <c r="E244">
        <v>145.56</v>
      </c>
      <c r="F244">
        <v>37.06</v>
      </c>
      <c r="G244">
        <v>114.11</v>
      </c>
      <c r="H244">
        <v>109.3</v>
      </c>
      <c r="I244">
        <v>69.760000000000005</v>
      </c>
      <c r="J244">
        <v>256.49</v>
      </c>
      <c r="K244">
        <v>180.65</v>
      </c>
      <c r="L244">
        <v>145.01</v>
      </c>
      <c r="M244">
        <v>44.84</v>
      </c>
      <c r="N244">
        <v>138.06</v>
      </c>
      <c r="O244">
        <v>103.72</v>
      </c>
      <c r="P244">
        <v>44.39</v>
      </c>
      <c r="Q244">
        <v>169.9</v>
      </c>
      <c r="R244">
        <v>230.66</v>
      </c>
      <c r="S244">
        <v>54.55</v>
      </c>
      <c r="T244">
        <v>84.91</v>
      </c>
      <c r="U244">
        <v>64.09</v>
      </c>
      <c r="V244">
        <v>35.54</v>
      </c>
      <c r="W244">
        <v>88.06</v>
      </c>
      <c r="X244">
        <v>132.11000000000001</v>
      </c>
      <c r="Y244">
        <v>219.71</v>
      </c>
      <c r="Z244">
        <v>123.19</v>
      </c>
      <c r="AA244">
        <v>112.6</v>
      </c>
      <c r="AB244">
        <v>50.31</v>
      </c>
      <c r="AC244">
        <v>70.42</v>
      </c>
      <c r="AD244">
        <v>95.63</v>
      </c>
      <c r="AE244">
        <v>78.77</v>
      </c>
      <c r="AI244" s="2">
        <v>5000</v>
      </c>
      <c r="AJ244" s="2">
        <f t="shared" si="163"/>
        <v>1170</v>
      </c>
      <c r="AK244" s="2">
        <f t="shared" si="163"/>
        <v>1170</v>
      </c>
      <c r="AL244" s="2">
        <f t="shared" si="163"/>
        <v>1170</v>
      </c>
      <c r="AM244" s="2">
        <f t="shared" si="163"/>
        <v>1170</v>
      </c>
      <c r="AN244" s="2">
        <f t="shared" si="163"/>
        <v>1170</v>
      </c>
      <c r="AO244" s="2">
        <f t="shared" si="163"/>
        <v>1170</v>
      </c>
      <c r="AP244" s="2">
        <f t="shared" si="163"/>
        <v>1050</v>
      </c>
      <c r="AQ244" s="2">
        <v>1000</v>
      </c>
      <c r="AR244" s="2">
        <v>0</v>
      </c>
      <c r="AS244" s="2">
        <v>10</v>
      </c>
      <c r="AT244" s="2">
        <v>0</v>
      </c>
      <c r="AU244" s="2">
        <v>1000</v>
      </c>
      <c r="AV244" s="2">
        <v>1000</v>
      </c>
      <c r="AW244" s="2">
        <v>0</v>
      </c>
      <c r="AX244" s="2">
        <v>0</v>
      </c>
      <c r="AY244" s="2">
        <v>0</v>
      </c>
      <c r="AZ244" s="2">
        <v>1041</v>
      </c>
      <c r="BA244" s="2">
        <v>931</v>
      </c>
      <c r="BB244" s="2">
        <v>1034</v>
      </c>
      <c r="BC244" s="2">
        <v>-1000</v>
      </c>
      <c r="BD244" s="2">
        <v>-5000</v>
      </c>
      <c r="BE244" s="2">
        <v>5000</v>
      </c>
      <c r="BF244" s="2">
        <v>3000</v>
      </c>
      <c r="BG244" s="2">
        <v>5000</v>
      </c>
      <c r="BH244" s="2">
        <v>5000</v>
      </c>
      <c r="BI244" s="2">
        <v>3000</v>
      </c>
      <c r="BJ244" s="2">
        <v>-1500</v>
      </c>
      <c r="BK244" s="2">
        <v>1000</v>
      </c>
      <c r="BL244" s="2">
        <v>1000</v>
      </c>
      <c r="BO244" s="2">
        <f t="shared" si="126"/>
        <v>0</v>
      </c>
      <c r="BP244" s="2">
        <f t="shared" si="136"/>
        <v>0</v>
      </c>
      <c r="BQ244" s="2">
        <f t="shared" si="137"/>
        <v>0</v>
      </c>
      <c r="BR244" s="2">
        <f t="shared" si="138"/>
        <v>0</v>
      </c>
      <c r="BS244" s="2">
        <f t="shared" si="139"/>
        <v>0</v>
      </c>
      <c r="BT244" s="2">
        <f t="shared" si="140"/>
        <v>0</v>
      </c>
      <c r="BU244" s="2">
        <f t="shared" si="141"/>
        <v>0</v>
      </c>
      <c r="BV244" s="2">
        <f t="shared" si="142"/>
        <v>0</v>
      </c>
      <c r="BW244" s="2">
        <f t="shared" si="143"/>
        <v>0</v>
      </c>
      <c r="BX244" s="2">
        <f t="shared" si="144"/>
        <v>0</v>
      </c>
      <c r="BY244" s="2">
        <f t="shared" si="145"/>
        <v>0</v>
      </c>
      <c r="BZ244" s="2">
        <f t="shared" si="146"/>
        <v>0</v>
      </c>
      <c r="CA244" s="2">
        <f t="shared" si="147"/>
        <v>0</v>
      </c>
      <c r="CB244" s="2">
        <f t="shared" si="148"/>
        <v>0</v>
      </c>
      <c r="CC244" s="2">
        <f t="shared" si="149"/>
        <v>0</v>
      </c>
      <c r="CD244" s="2">
        <f t="shared" si="150"/>
        <v>0</v>
      </c>
      <c r="CE244" s="2">
        <f t="shared" si="151"/>
        <v>0</v>
      </c>
      <c r="CF244" s="2">
        <f t="shared" si="152"/>
        <v>-3600.2999999999997</v>
      </c>
      <c r="CG244" s="2">
        <f t="shared" si="153"/>
        <v>12991.23</v>
      </c>
      <c r="CH244" s="2">
        <f t="shared" si="154"/>
        <v>512.72</v>
      </c>
      <c r="CI244" s="2">
        <f t="shared" si="155"/>
        <v>0</v>
      </c>
      <c r="CJ244" s="2">
        <f t="shared" si="156"/>
        <v>0</v>
      </c>
      <c r="CK244" s="2">
        <f t="shared" si="157"/>
        <v>0</v>
      </c>
      <c r="CL244" s="2">
        <f t="shared" si="158"/>
        <v>0</v>
      </c>
      <c r="CM244" s="2">
        <f t="shared" si="130"/>
        <v>0</v>
      </c>
      <c r="CN244" s="2">
        <f t="shared" si="131"/>
        <v>0</v>
      </c>
      <c r="CO244" s="2">
        <f t="shared" si="132"/>
        <v>0</v>
      </c>
      <c r="CP244" s="2">
        <f t="shared" si="133"/>
        <v>0</v>
      </c>
      <c r="CQ244" s="2">
        <f t="shared" si="134"/>
        <v>0</v>
      </c>
      <c r="CR244" s="2">
        <f t="shared" si="135"/>
        <v>0</v>
      </c>
      <c r="CV244" t="s">
        <v>64</v>
      </c>
      <c r="CW244" t="s">
        <v>317</v>
      </c>
      <c r="CX244" t="s">
        <v>7</v>
      </c>
      <c r="CY244" s="4">
        <v>42738</v>
      </c>
      <c r="CZ244" t="s">
        <v>65</v>
      </c>
      <c r="DA244" t="s">
        <v>66</v>
      </c>
      <c r="DB244">
        <v>1000</v>
      </c>
      <c r="DC244">
        <v>102.83</v>
      </c>
      <c r="DD244" t="s">
        <v>69</v>
      </c>
      <c r="DE244" t="s">
        <v>70</v>
      </c>
      <c r="DF244">
        <v>102830</v>
      </c>
    </row>
    <row r="245" spans="1:110" x14ac:dyDescent="0.25">
      <c r="A245" s="1">
        <v>43088</v>
      </c>
      <c r="B245">
        <v>171.22</v>
      </c>
      <c r="C245">
        <v>97.68</v>
      </c>
      <c r="D245">
        <v>290.07</v>
      </c>
      <c r="E245">
        <v>146.66999999999999</v>
      </c>
      <c r="F245">
        <v>36.880000000000003</v>
      </c>
      <c r="G245">
        <v>114.24</v>
      </c>
      <c r="H245">
        <v>110.06</v>
      </c>
      <c r="I245">
        <v>69.790000000000006</v>
      </c>
      <c r="J245">
        <v>253</v>
      </c>
      <c r="K245">
        <v>181.87</v>
      </c>
      <c r="L245">
        <v>144.91</v>
      </c>
      <c r="M245">
        <v>45.6</v>
      </c>
      <c r="N245">
        <v>138.04</v>
      </c>
      <c r="O245">
        <v>103.29</v>
      </c>
      <c r="P245">
        <v>44.59</v>
      </c>
      <c r="Q245">
        <v>169.11</v>
      </c>
      <c r="R245">
        <v>230.64</v>
      </c>
      <c r="S245">
        <v>54.56</v>
      </c>
      <c r="T245">
        <v>84.37</v>
      </c>
      <c r="U245">
        <v>63.52</v>
      </c>
      <c r="V245">
        <v>35.36</v>
      </c>
      <c r="W245">
        <v>87.86</v>
      </c>
      <c r="X245">
        <v>132.43</v>
      </c>
      <c r="Y245">
        <v>219.09</v>
      </c>
      <c r="Z245">
        <v>123.26</v>
      </c>
      <c r="AA245">
        <v>111.2</v>
      </c>
      <c r="AB245">
        <v>49.92</v>
      </c>
      <c r="AC245">
        <v>70.069999999999993</v>
      </c>
      <c r="AD245">
        <v>96.51</v>
      </c>
      <c r="AE245">
        <v>78.290000000000006</v>
      </c>
      <c r="AI245" s="2">
        <v>5000</v>
      </c>
      <c r="AJ245" s="2">
        <f t="shared" si="163"/>
        <v>1170</v>
      </c>
      <c r="AK245" s="2">
        <f t="shared" si="163"/>
        <v>1170</v>
      </c>
      <c r="AL245" s="2">
        <f t="shared" si="163"/>
        <v>1170</v>
      </c>
      <c r="AM245" s="2">
        <f t="shared" si="163"/>
        <v>1170</v>
      </c>
      <c r="AN245" s="2">
        <f t="shared" si="163"/>
        <v>1170</v>
      </c>
      <c r="AO245" s="2">
        <f t="shared" si="163"/>
        <v>1170</v>
      </c>
      <c r="AP245" s="2">
        <f t="shared" si="163"/>
        <v>1050</v>
      </c>
      <c r="AQ245" s="2">
        <v>1000</v>
      </c>
      <c r="AR245" s="2">
        <v>0</v>
      </c>
      <c r="AS245" s="2">
        <v>10</v>
      </c>
      <c r="AT245" s="2">
        <v>0</v>
      </c>
      <c r="AU245" s="2">
        <v>1000</v>
      </c>
      <c r="AV245" s="2">
        <v>1000</v>
      </c>
      <c r="AW245" s="2">
        <v>0</v>
      </c>
      <c r="AX245" s="2">
        <v>0</v>
      </c>
      <c r="AY245" s="2">
        <v>0</v>
      </c>
      <c r="AZ245" s="2">
        <v>1019</v>
      </c>
      <c r="BA245" s="2">
        <v>932</v>
      </c>
      <c r="BB245" s="2">
        <v>1098</v>
      </c>
      <c r="BC245" s="2">
        <v>-1000</v>
      </c>
      <c r="BD245" s="2">
        <v>-5000</v>
      </c>
      <c r="BE245" s="2">
        <v>5000</v>
      </c>
      <c r="BF245" s="2">
        <v>3000</v>
      </c>
      <c r="BG245" s="2">
        <v>5000</v>
      </c>
      <c r="BH245" s="2">
        <v>5000</v>
      </c>
      <c r="BI245" s="2">
        <v>3000</v>
      </c>
      <c r="BJ245" s="2">
        <v>-1500</v>
      </c>
      <c r="BK245" s="2">
        <v>1000</v>
      </c>
      <c r="BL245" s="2">
        <v>1000</v>
      </c>
      <c r="BO245" s="2">
        <f t="shared" si="126"/>
        <v>0</v>
      </c>
      <c r="BP245" s="2">
        <f t="shared" si="136"/>
        <v>0</v>
      </c>
      <c r="BQ245" s="2">
        <f t="shared" si="137"/>
        <v>0</v>
      </c>
      <c r="BR245" s="2">
        <f t="shared" si="138"/>
        <v>0</v>
      </c>
      <c r="BS245" s="2">
        <f t="shared" si="139"/>
        <v>0</v>
      </c>
      <c r="BT245" s="2">
        <f t="shared" si="140"/>
        <v>0</v>
      </c>
      <c r="BU245" s="2">
        <f t="shared" si="141"/>
        <v>0</v>
      </c>
      <c r="BV245" s="2">
        <f t="shared" si="142"/>
        <v>0</v>
      </c>
      <c r="BW245" s="2">
        <f t="shared" si="143"/>
        <v>0</v>
      </c>
      <c r="BX245" s="2">
        <f t="shared" si="144"/>
        <v>0</v>
      </c>
      <c r="BY245" s="2">
        <f t="shared" si="145"/>
        <v>0</v>
      </c>
      <c r="BZ245" s="2">
        <f t="shared" si="146"/>
        <v>0</v>
      </c>
      <c r="CA245" s="2">
        <f t="shared" si="147"/>
        <v>0</v>
      </c>
      <c r="CB245" s="2">
        <f t="shared" si="148"/>
        <v>0</v>
      </c>
      <c r="CC245" s="2">
        <f t="shared" si="149"/>
        <v>0</v>
      </c>
      <c r="CD245" s="2">
        <f t="shared" si="150"/>
        <v>0</v>
      </c>
      <c r="CE245" s="2">
        <f t="shared" si="151"/>
        <v>0</v>
      </c>
      <c r="CF245" s="2">
        <f t="shared" si="152"/>
        <v>1200.3200000000002</v>
      </c>
      <c r="CG245" s="2">
        <f t="shared" si="153"/>
        <v>-84.37</v>
      </c>
      <c r="CH245" s="2">
        <f t="shared" si="154"/>
        <v>-4065.28</v>
      </c>
      <c r="CI245" s="2">
        <f t="shared" si="155"/>
        <v>0</v>
      </c>
      <c r="CJ245" s="2">
        <f t="shared" si="156"/>
        <v>0</v>
      </c>
      <c r="CK245" s="2">
        <f t="shared" si="157"/>
        <v>0</v>
      </c>
      <c r="CL245" s="2">
        <f t="shared" si="158"/>
        <v>0</v>
      </c>
      <c r="CM245" s="2">
        <f t="shared" si="130"/>
        <v>0</v>
      </c>
      <c r="CN245" s="2">
        <f t="shared" si="131"/>
        <v>0</v>
      </c>
      <c r="CO245" s="2">
        <f t="shared" si="132"/>
        <v>0</v>
      </c>
      <c r="CP245" s="2">
        <f t="shared" si="133"/>
        <v>0</v>
      </c>
      <c r="CQ245" s="2">
        <f t="shared" si="134"/>
        <v>0</v>
      </c>
      <c r="CR245" s="2">
        <f t="shared" si="135"/>
        <v>0</v>
      </c>
      <c r="CV245" t="s">
        <v>64</v>
      </c>
      <c r="CW245" t="s">
        <v>318</v>
      </c>
      <c r="CX245" t="s">
        <v>7</v>
      </c>
      <c r="CY245" s="4">
        <v>42759</v>
      </c>
      <c r="CZ245" t="s">
        <v>65</v>
      </c>
      <c r="DA245" t="s">
        <v>66</v>
      </c>
      <c r="DB245">
        <v>10</v>
      </c>
      <c r="DC245">
        <v>104.59</v>
      </c>
      <c r="DD245" t="s">
        <v>69</v>
      </c>
      <c r="DE245" t="s">
        <v>70</v>
      </c>
      <c r="DF245">
        <v>1045.9000000000001</v>
      </c>
    </row>
    <row r="246" spans="1:110" x14ac:dyDescent="0.25">
      <c r="A246" s="1">
        <v>43089</v>
      </c>
      <c r="B246">
        <v>171.04</v>
      </c>
      <c r="C246">
        <v>97.05</v>
      </c>
      <c r="D246">
        <v>290.70999999999998</v>
      </c>
      <c r="E246">
        <v>148.22999999999999</v>
      </c>
      <c r="F246">
        <v>37.31</v>
      </c>
      <c r="G246">
        <v>115.24</v>
      </c>
      <c r="H246">
        <v>107.98</v>
      </c>
      <c r="I246">
        <v>69.64</v>
      </c>
      <c r="J246">
        <v>251.71</v>
      </c>
      <c r="K246">
        <v>183.17</v>
      </c>
      <c r="L246">
        <v>144.65</v>
      </c>
      <c r="M246">
        <v>46.1</v>
      </c>
      <c r="N246">
        <v>137.43</v>
      </c>
      <c r="O246">
        <v>102.93</v>
      </c>
      <c r="P246">
        <v>44.54</v>
      </c>
      <c r="Q246">
        <v>167.92</v>
      </c>
      <c r="R246">
        <v>229.21</v>
      </c>
      <c r="S246">
        <v>54.44</v>
      </c>
      <c r="T246">
        <v>84.06</v>
      </c>
      <c r="U246">
        <v>62.88</v>
      </c>
      <c r="V246">
        <v>34.9</v>
      </c>
      <c r="W246">
        <v>87.72</v>
      </c>
      <c r="X246">
        <v>132.16</v>
      </c>
      <c r="Y246">
        <v>219.42</v>
      </c>
      <c r="Z246">
        <v>123.48</v>
      </c>
      <c r="AA246">
        <v>111.18</v>
      </c>
      <c r="AB246">
        <v>49.86</v>
      </c>
      <c r="AC246">
        <v>70.59</v>
      </c>
      <c r="AD246">
        <v>96.46</v>
      </c>
      <c r="AE246">
        <v>78.7</v>
      </c>
      <c r="AI246" s="2">
        <v>5000</v>
      </c>
      <c r="AJ246" s="2">
        <f t="shared" si="163"/>
        <v>1170</v>
      </c>
      <c r="AK246" s="2">
        <f t="shared" si="163"/>
        <v>1170</v>
      </c>
      <c r="AL246" s="2">
        <f t="shared" si="163"/>
        <v>1170</v>
      </c>
      <c r="AM246" s="2">
        <f t="shared" si="163"/>
        <v>1170</v>
      </c>
      <c r="AN246" s="2">
        <f t="shared" si="163"/>
        <v>1170</v>
      </c>
      <c r="AO246" s="2">
        <f t="shared" si="163"/>
        <v>1170</v>
      </c>
      <c r="AP246" s="2">
        <f t="shared" si="163"/>
        <v>1050</v>
      </c>
      <c r="AQ246" s="2">
        <v>1000</v>
      </c>
      <c r="AR246" s="2">
        <v>0</v>
      </c>
      <c r="AS246" s="2">
        <v>10</v>
      </c>
      <c r="AT246" s="2">
        <v>0</v>
      </c>
      <c r="AU246" s="2">
        <v>1000</v>
      </c>
      <c r="AV246" s="2">
        <v>1000</v>
      </c>
      <c r="AW246" s="2">
        <v>0</v>
      </c>
      <c r="AX246" s="2">
        <v>0</v>
      </c>
      <c r="AY246" s="2">
        <v>0</v>
      </c>
      <c r="AZ246" s="2">
        <v>1026</v>
      </c>
      <c r="BA246" s="2">
        <v>1017</v>
      </c>
      <c r="BB246" s="2">
        <v>1089</v>
      </c>
      <c r="BC246" s="2">
        <v>-1000</v>
      </c>
      <c r="BD246" s="2">
        <v>-5000</v>
      </c>
      <c r="BE246" s="2">
        <v>5000</v>
      </c>
      <c r="BF246" s="2">
        <v>3000</v>
      </c>
      <c r="BG246" s="2">
        <v>5000</v>
      </c>
      <c r="BH246" s="2">
        <v>5000</v>
      </c>
      <c r="BI246" s="2">
        <v>3000</v>
      </c>
      <c r="BJ246" s="2">
        <v>-1500</v>
      </c>
      <c r="BK246" s="2">
        <v>1000</v>
      </c>
      <c r="BL246" s="2">
        <v>1000</v>
      </c>
      <c r="BO246" s="2">
        <f t="shared" si="126"/>
        <v>0</v>
      </c>
      <c r="BP246" s="2">
        <f t="shared" si="136"/>
        <v>0</v>
      </c>
      <c r="BQ246" s="2">
        <f t="shared" si="137"/>
        <v>0</v>
      </c>
      <c r="BR246" s="2">
        <f t="shared" si="138"/>
        <v>0</v>
      </c>
      <c r="BS246" s="2">
        <f t="shared" si="139"/>
        <v>0</v>
      </c>
      <c r="BT246" s="2">
        <f t="shared" si="140"/>
        <v>0</v>
      </c>
      <c r="BU246" s="2">
        <f t="shared" si="141"/>
        <v>0</v>
      </c>
      <c r="BV246" s="2">
        <f t="shared" si="142"/>
        <v>0</v>
      </c>
      <c r="BW246" s="2">
        <f t="shared" si="143"/>
        <v>0</v>
      </c>
      <c r="BX246" s="2">
        <f t="shared" si="144"/>
        <v>0</v>
      </c>
      <c r="BY246" s="2">
        <f t="shared" si="145"/>
        <v>0</v>
      </c>
      <c r="BZ246" s="2">
        <f t="shared" si="146"/>
        <v>0</v>
      </c>
      <c r="CA246" s="2">
        <f t="shared" si="147"/>
        <v>0</v>
      </c>
      <c r="CB246" s="2">
        <f t="shared" si="148"/>
        <v>0</v>
      </c>
      <c r="CC246" s="2">
        <f t="shared" si="149"/>
        <v>0</v>
      </c>
      <c r="CD246" s="2">
        <f t="shared" si="150"/>
        <v>0</v>
      </c>
      <c r="CE246" s="2">
        <f t="shared" si="151"/>
        <v>0</v>
      </c>
      <c r="CF246" s="2">
        <f t="shared" si="152"/>
        <v>-381.08</v>
      </c>
      <c r="CG246" s="2">
        <f t="shared" si="153"/>
        <v>-7145.1</v>
      </c>
      <c r="CH246" s="2">
        <f t="shared" si="154"/>
        <v>565.92000000000007</v>
      </c>
      <c r="CI246" s="2">
        <f t="shared" si="155"/>
        <v>0</v>
      </c>
      <c r="CJ246" s="2">
        <f t="shared" si="156"/>
        <v>0</v>
      </c>
      <c r="CK246" s="2">
        <f t="shared" si="157"/>
        <v>0</v>
      </c>
      <c r="CL246" s="2">
        <f t="shared" si="158"/>
        <v>0</v>
      </c>
      <c r="CM246" s="2">
        <f t="shared" si="130"/>
        <v>0</v>
      </c>
      <c r="CN246" s="2">
        <f t="shared" si="131"/>
        <v>0</v>
      </c>
      <c r="CO246" s="2">
        <f t="shared" si="132"/>
        <v>0</v>
      </c>
      <c r="CP246" s="2">
        <f t="shared" si="133"/>
        <v>0</v>
      </c>
      <c r="CQ246" s="2">
        <f t="shared" si="134"/>
        <v>0</v>
      </c>
      <c r="CR246" s="2">
        <f t="shared" si="135"/>
        <v>0</v>
      </c>
      <c r="CV246" t="s">
        <v>64</v>
      </c>
      <c r="CW246" t="s">
        <v>319</v>
      </c>
      <c r="CX246" t="s">
        <v>7</v>
      </c>
      <c r="CY246" s="4">
        <v>42779</v>
      </c>
      <c r="CZ246" t="s">
        <v>65</v>
      </c>
      <c r="DA246" t="s">
        <v>66</v>
      </c>
      <c r="DB246">
        <v>10</v>
      </c>
      <c r="DC246">
        <v>106.29</v>
      </c>
      <c r="DD246" t="s">
        <v>69</v>
      </c>
      <c r="DE246" t="s">
        <v>70</v>
      </c>
      <c r="DF246">
        <v>1062.9000000000001</v>
      </c>
    </row>
    <row r="247" spans="1:110" x14ac:dyDescent="0.25">
      <c r="A247" s="1">
        <v>43090</v>
      </c>
      <c r="B247">
        <v>171.69</v>
      </c>
      <c r="C247">
        <v>97.04</v>
      </c>
      <c r="D247">
        <v>287.89999999999998</v>
      </c>
      <c r="E247">
        <v>150.29</v>
      </c>
      <c r="F247">
        <v>37.11</v>
      </c>
      <c r="G247">
        <v>118.99</v>
      </c>
      <c r="H247">
        <v>107.86</v>
      </c>
      <c r="I247">
        <v>70</v>
      </c>
      <c r="J247">
        <v>257.45999999999998</v>
      </c>
      <c r="K247">
        <v>183.92</v>
      </c>
      <c r="L247">
        <v>143.27000000000001</v>
      </c>
      <c r="M247">
        <v>45.32</v>
      </c>
      <c r="N247">
        <v>137.34</v>
      </c>
      <c r="O247">
        <v>104.57</v>
      </c>
      <c r="P247">
        <v>44.08</v>
      </c>
      <c r="Q247">
        <v>167.61</v>
      </c>
      <c r="R247">
        <v>227.14</v>
      </c>
      <c r="S247">
        <v>54.92</v>
      </c>
      <c r="T247">
        <v>84.05</v>
      </c>
      <c r="U247">
        <v>64.05</v>
      </c>
      <c r="V247">
        <v>34.69</v>
      </c>
      <c r="W247">
        <v>87.85</v>
      </c>
      <c r="X247">
        <v>131.36000000000001</v>
      </c>
      <c r="Y247">
        <v>218.74</v>
      </c>
      <c r="Z247">
        <v>123.78</v>
      </c>
      <c r="AA247">
        <v>111.47</v>
      </c>
      <c r="AB247">
        <v>50.09</v>
      </c>
      <c r="AC247">
        <v>71.099999999999994</v>
      </c>
      <c r="AD247">
        <v>95.79</v>
      </c>
      <c r="AE247">
        <v>79.63</v>
      </c>
      <c r="AI247" s="2">
        <v>5000</v>
      </c>
      <c r="AJ247" s="2">
        <f t="shared" si="163"/>
        <v>1170</v>
      </c>
      <c r="AK247" s="2">
        <f t="shared" si="163"/>
        <v>1170</v>
      </c>
      <c r="AL247" s="2">
        <f t="shared" si="163"/>
        <v>1170</v>
      </c>
      <c r="AM247" s="2">
        <f t="shared" si="163"/>
        <v>1170</v>
      </c>
      <c r="AN247" s="2">
        <f t="shared" si="163"/>
        <v>1170</v>
      </c>
      <c r="AO247" s="2">
        <f t="shared" si="163"/>
        <v>1170</v>
      </c>
      <c r="AP247" s="2">
        <f t="shared" si="163"/>
        <v>1050</v>
      </c>
      <c r="AQ247" s="2">
        <v>1000</v>
      </c>
      <c r="AR247" s="2">
        <v>0</v>
      </c>
      <c r="AS247" s="2">
        <v>10</v>
      </c>
      <c r="AT247" s="2">
        <v>0</v>
      </c>
      <c r="AU247" s="2">
        <v>1000</v>
      </c>
      <c r="AV247" s="2">
        <v>1000</v>
      </c>
      <c r="AW247" s="2">
        <v>0</v>
      </c>
      <c r="AX247" s="2">
        <v>0</v>
      </c>
      <c r="AY247" s="2">
        <v>0</v>
      </c>
      <c r="AZ247" s="2">
        <v>1046</v>
      </c>
      <c r="BA247" s="2">
        <v>1010</v>
      </c>
      <c r="BB247" s="2">
        <v>1018</v>
      </c>
      <c r="BC247" s="2">
        <v>-1000</v>
      </c>
      <c r="BD247" s="2">
        <v>-5000</v>
      </c>
      <c r="BE247" s="2">
        <v>5000</v>
      </c>
      <c r="BF247" s="2">
        <v>3000</v>
      </c>
      <c r="BG247" s="2">
        <v>5000</v>
      </c>
      <c r="BH247" s="2">
        <v>5000</v>
      </c>
      <c r="BI247" s="2">
        <v>3000</v>
      </c>
      <c r="BJ247" s="2">
        <v>-1500</v>
      </c>
      <c r="BK247" s="2">
        <v>1000</v>
      </c>
      <c r="BL247" s="2">
        <v>1000</v>
      </c>
      <c r="BO247" s="2">
        <f t="shared" si="126"/>
        <v>0</v>
      </c>
      <c r="BP247" s="2">
        <f t="shared" si="136"/>
        <v>0</v>
      </c>
      <c r="BQ247" s="2">
        <f t="shared" si="137"/>
        <v>0</v>
      </c>
      <c r="BR247" s="2">
        <f t="shared" si="138"/>
        <v>0</v>
      </c>
      <c r="BS247" s="2">
        <f t="shared" si="139"/>
        <v>0</v>
      </c>
      <c r="BT247" s="2">
        <f t="shared" si="140"/>
        <v>0</v>
      </c>
      <c r="BU247" s="2">
        <f t="shared" si="141"/>
        <v>0</v>
      </c>
      <c r="BV247" s="2">
        <f t="shared" si="142"/>
        <v>0</v>
      </c>
      <c r="BW247" s="2">
        <f t="shared" si="143"/>
        <v>0</v>
      </c>
      <c r="BX247" s="2">
        <f t="shared" si="144"/>
        <v>0</v>
      </c>
      <c r="BY247" s="2">
        <f t="shared" si="145"/>
        <v>0</v>
      </c>
      <c r="BZ247" s="2">
        <f t="shared" si="146"/>
        <v>0</v>
      </c>
      <c r="CA247" s="2">
        <f t="shared" si="147"/>
        <v>0</v>
      </c>
      <c r="CB247" s="2">
        <f t="shared" si="148"/>
        <v>0</v>
      </c>
      <c r="CC247" s="2">
        <f t="shared" si="149"/>
        <v>0</v>
      </c>
      <c r="CD247" s="2">
        <f t="shared" si="150"/>
        <v>0</v>
      </c>
      <c r="CE247" s="2">
        <f t="shared" si="151"/>
        <v>0</v>
      </c>
      <c r="CF247" s="2">
        <f t="shared" si="152"/>
        <v>-1098.4000000000001</v>
      </c>
      <c r="CG247" s="2">
        <f t="shared" si="153"/>
        <v>588.35</v>
      </c>
      <c r="CH247" s="2">
        <f t="shared" si="154"/>
        <v>4547.55</v>
      </c>
      <c r="CI247" s="2">
        <f t="shared" si="155"/>
        <v>0</v>
      </c>
      <c r="CJ247" s="2">
        <f t="shared" si="156"/>
        <v>0</v>
      </c>
      <c r="CK247" s="2">
        <f t="shared" si="157"/>
        <v>0</v>
      </c>
      <c r="CL247" s="2">
        <f t="shared" si="158"/>
        <v>0</v>
      </c>
      <c r="CM247" s="2">
        <f t="shared" si="130"/>
        <v>0</v>
      </c>
      <c r="CN247" s="2">
        <f t="shared" si="131"/>
        <v>0</v>
      </c>
      <c r="CO247" s="2">
        <f t="shared" si="132"/>
        <v>0</v>
      </c>
      <c r="CP247" s="2">
        <f t="shared" si="133"/>
        <v>0</v>
      </c>
      <c r="CQ247" s="2">
        <f t="shared" si="134"/>
        <v>0</v>
      </c>
      <c r="CR247" s="2">
        <f t="shared" si="135"/>
        <v>0</v>
      </c>
      <c r="CV247" t="s">
        <v>64</v>
      </c>
      <c r="CW247" t="s">
        <v>320</v>
      </c>
      <c r="CX247" t="s">
        <v>7</v>
      </c>
      <c r="CY247" s="4">
        <v>42800</v>
      </c>
      <c r="CZ247" t="s">
        <v>65</v>
      </c>
      <c r="DA247" t="s">
        <v>66</v>
      </c>
      <c r="DB247">
        <v>10</v>
      </c>
      <c r="DC247">
        <v>107.28</v>
      </c>
      <c r="DD247" t="s">
        <v>69</v>
      </c>
      <c r="DE247" t="s">
        <v>70</v>
      </c>
      <c r="DF247">
        <v>1072.8</v>
      </c>
    </row>
    <row r="248" spans="1:110" x14ac:dyDescent="0.25">
      <c r="A248" s="1">
        <v>43091</v>
      </c>
      <c r="B248">
        <v>171.69</v>
      </c>
      <c r="C248">
        <v>97.28</v>
      </c>
      <c r="D248">
        <v>287.97000000000003</v>
      </c>
      <c r="E248">
        <v>151.37</v>
      </c>
      <c r="F248">
        <v>37.130000000000003</v>
      </c>
      <c r="G248">
        <v>119.14</v>
      </c>
      <c r="H248">
        <v>106.97</v>
      </c>
      <c r="I248">
        <v>70.459999999999994</v>
      </c>
      <c r="J248">
        <v>255.45</v>
      </c>
      <c r="K248">
        <v>183.97</v>
      </c>
      <c r="L248">
        <v>144.22</v>
      </c>
      <c r="M248">
        <v>45.27</v>
      </c>
      <c r="N248">
        <v>136.41999999999999</v>
      </c>
      <c r="O248">
        <v>104.2</v>
      </c>
      <c r="P248">
        <v>44.07</v>
      </c>
      <c r="Q248">
        <v>167.19</v>
      </c>
      <c r="R248">
        <v>227.09</v>
      </c>
      <c r="S248">
        <v>54.68</v>
      </c>
      <c r="T248">
        <v>84.05</v>
      </c>
      <c r="U248">
        <v>62.58</v>
      </c>
      <c r="V248">
        <v>34.590000000000003</v>
      </c>
      <c r="W248">
        <v>88.29</v>
      </c>
      <c r="X248">
        <v>131.31</v>
      </c>
      <c r="Y248">
        <v>217.07</v>
      </c>
      <c r="Z248">
        <v>123.7</v>
      </c>
      <c r="AA248">
        <v>111.75</v>
      </c>
      <c r="AB248">
        <v>50.26</v>
      </c>
      <c r="AC248">
        <v>70.58</v>
      </c>
      <c r="AD248">
        <v>95.93</v>
      </c>
      <c r="AE248">
        <v>79.739999999999995</v>
      </c>
      <c r="AI248" s="2">
        <v>5000</v>
      </c>
      <c r="AJ248" s="2">
        <f t="shared" si="163"/>
        <v>1170</v>
      </c>
      <c r="AK248" s="2">
        <f t="shared" si="163"/>
        <v>1170</v>
      </c>
      <c r="AL248" s="2">
        <f t="shared" si="163"/>
        <v>1170</v>
      </c>
      <c r="AM248" s="2">
        <f t="shared" si="163"/>
        <v>1170</v>
      </c>
      <c r="AN248" s="2">
        <f t="shared" si="163"/>
        <v>1170</v>
      </c>
      <c r="AO248" s="2">
        <f t="shared" si="163"/>
        <v>1170</v>
      </c>
      <c r="AP248" s="2">
        <f t="shared" si="163"/>
        <v>1050</v>
      </c>
      <c r="AQ248" s="2">
        <v>1000</v>
      </c>
      <c r="AR248" s="2">
        <v>0</v>
      </c>
      <c r="AS248" s="2">
        <v>10</v>
      </c>
      <c r="AT248" s="2">
        <v>0</v>
      </c>
      <c r="AU248" s="2">
        <v>1000</v>
      </c>
      <c r="AV248" s="2">
        <v>1000</v>
      </c>
      <c r="AW248" s="2">
        <v>0</v>
      </c>
      <c r="AX248" s="2">
        <v>0</v>
      </c>
      <c r="AY248" s="2">
        <v>0</v>
      </c>
      <c r="AZ248" s="2">
        <v>992</v>
      </c>
      <c r="BA248" s="2">
        <v>971</v>
      </c>
      <c r="BB248" s="2">
        <v>924</v>
      </c>
      <c r="BC248" s="2">
        <v>-1000</v>
      </c>
      <c r="BD248" s="2">
        <v>-5000</v>
      </c>
      <c r="BE248" s="2">
        <v>5000</v>
      </c>
      <c r="BF248" s="2">
        <v>3000</v>
      </c>
      <c r="BG248" s="2">
        <v>5000</v>
      </c>
      <c r="BH248" s="2">
        <v>5000</v>
      </c>
      <c r="BI248" s="2">
        <v>3000</v>
      </c>
      <c r="BJ248" s="2">
        <v>-1500</v>
      </c>
      <c r="BK248" s="2">
        <v>1000</v>
      </c>
      <c r="BL248" s="2">
        <v>1000</v>
      </c>
      <c r="BO248" s="2">
        <f t="shared" si="126"/>
        <v>0</v>
      </c>
      <c r="BP248" s="2">
        <f t="shared" si="136"/>
        <v>0</v>
      </c>
      <c r="BQ248" s="2">
        <f t="shared" si="137"/>
        <v>0</v>
      </c>
      <c r="BR248" s="2">
        <f t="shared" si="138"/>
        <v>0</v>
      </c>
      <c r="BS248" s="2">
        <f t="shared" si="139"/>
        <v>0</v>
      </c>
      <c r="BT248" s="2">
        <f t="shared" si="140"/>
        <v>0</v>
      </c>
      <c r="BU248" s="2">
        <f t="shared" si="141"/>
        <v>0</v>
      </c>
      <c r="BV248" s="2">
        <f t="shared" si="142"/>
        <v>0</v>
      </c>
      <c r="BW248" s="2">
        <f t="shared" si="143"/>
        <v>0</v>
      </c>
      <c r="BX248" s="2">
        <f t="shared" si="144"/>
        <v>0</v>
      </c>
      <c r="BY248" s="2">
        <f t="shared" si="145"/>
        <v>0</v>
      </c>
      <c r="BZ248" s="2">
        <f t="shared" si="146"/>
        <v>0</v>
      </c>
      <c r="CA248" s="2">
        <f t="shared" si="147"/>
        <v>0</v>
      </c>
      <c r="CB248" s="2">
        <f t="shared" si="148"/>
        <v>0</v>
      </c>
      <c r="CC248" s="2">
        <f t="shared" si="149"/>
        <v>0</v>
      </c>
      <c r="CD248" s="2">
        <f t="shared" si="150"/>
        <v>0</v>
      </c>
      <c r="CE248" s="2">
        <f t="shared" si="151"/>
        <v>0</v>
      </c>
      <c r="CF248" s="2">
        <f t="shared" si="152"/>
        <v>2952.72</v>
      </c>
      <c r="CG248" s="2">
        <f t="shared" si="153"/>
        <v>3277.95</v>
      </c>
      <c r="CH248" s="2">
        <f t="shared" si="154"/>
        <v>5882.5199999999995</v>
      </c>
      <c r="CI248" s="2">
        <f t="shared" si="155"/>
        <v>0</v>
      </c>
      <c r="CJ248" s="2">
        <f t="shared" si="156"/>
        <v>0</v>
      </c>
      <c r="CK248" s="2">
        <f t="shared" si="157"/>
        <v>0</v>
      </c>
      <c r="CL248" s="2">
        <f t="shared" si="158"/>
        <v>0</v>
      </c>
      <c r="CM248" s="2">
        <f t="shared" si="130"/>
        <v>0</v>
      </c>
      <c r="CN248" s="2">
        <f t="shared" si="131"/>
        <v>0</v>
      </c>
      <c r="CO248" s="2">
        <f t="shared" si="132"/>
        <v>0</v>
      </c>
      <c r="CP248" s="2">
        <f t="shared" si="133"/>
        <v>0</v>
      </c>
      <c r="CQ248" s="2">
        <f t="shared" si="134"/>
        <v>0</v>
      </c>
      <c r="CR248" s="2">
        <f t="shared" si="135"/>
        <v>0</v>
      </c>
      <c r="CV248" t="s">
        <v>64</v>
      </c>
      <c r="CW248" t="s">
        <v>321</v>
      </c>
      <c r="CX248" t="s">
        <v>7</v>
      </c>
      <c r="CY248" s="4">
        <v>42818</v>
      </c>
      <c r="CZ248" t="s">
        <v>65</v>
      </c>
      <c r="DA248" t="s">
        <v>66</v>
      </c>
      <c r="DB248">
        <v>10</v>
      </c>
      <c r="DC248">
        <v>108.7</v>
      </c>
      <c r="DD248" t="s">
        <v>69</v>
      </c>
      <c r="DE248" t="s">
        <v>70</v>
      </c>
      <c r="DF248">
        <v>1087</v>
      </c>
    </row>
    <row r="249" spans="1:110" x14ac:dyDescent="0.25">
      <c r="A249" s="1">
        <v>43095</v>
      </c>
      <c r="B249">
        <v>167.33</v>
      </c>
      <c r="C249">
        <v>97.11</v>
      </c>
      <c r="D249">
        <v>288.23</v>
      </c>
      <c r="E249">
        <v>152.04</v>
      </c>
      <c r="F249">
        <v>37.06</v>
      </c>
      <c r="G249">
        <v>120.09</v>
      </c>
      <c r="H249">
        <v>106.43</v>
      </c>
      <c r="I249">
        <v>69.81</v>
      </c>
      <c r="J249">
        <v>254.22</v>
      </c>
      <c r="K249">
        <v>186.15</v>
      </c>
      <c r="L249">
        <v>144.53</v>
      </c>
      <c r="M249">
        <v>44.67</v>
      </c>
      <c r="N249">
        <v>136.38999999999999</v>
      </c>
      <c r="O249">
        <v>103.78</v>
      </c>
      <c r="P249">
        <v>44.28</v>
      </c>
      <c r="Q249">
        <v>167.06</v>
      </c>
      <c r="R249">
        <v>227.79</v>
      </c>
      <c r="S249">
        <v>54.66</v>
      </c>
      <c r="T249">
        <v>83.95</v>
      </c>
      <c r="U249">
        <v>62.94</v>
      </c>
      <c r="V249">
        <v>34.659999999999997</v>
      </c>
      <c r="W249">
        <v>88.63</v>
      </c>
      <c r="X249">
        <v>131.69</v>
      </c>
      <c r="Y249">
        <v>216.68</v>
      </c>
      <c r="Z249">
        <v>123.61</v>
      </c>
      <c r="AA249">
        <v>112.05</v>
      </c>
      <c r="AB249">
        <v>50.28</v>
      </c>
      <c r="AC249">
        <v>71.150000000000006</v>
      </c>
      <c r="AD249">
        <v>96.86</v>
      </c>
      <c r="AE249">
        <v>79.75</v>
      </c>
      <c r="AI249" s="2">
        <v>5000</v>
      </c>
      <c r="AJ249" s="2">
        <f t="shared" si="163"/>
        <v>1170</v>
      </c>
      <c r="AK249" s="2">
        <f t="shared" si="163"/>
        <v>1170</v>
      </c>
      <c r="AL249" s="2">
        <f t="shared" si="163"/>
        <v>1170</v>
      </c>
      <c r="AM249" s="2">
        <f t="shared" si="163"/>
        <v>1170</v>
      </c>
      <c r="AN249" s="2">
        <f t="shared" si="163"/>
        <v>1170</v>
      </c>
      <c r="AO249" s="2">
        <f t="shared" si="163"/>
        <v>1170</v>
      </c>
      <c r="AP249" s="2">
        <f t="shared" si="163"/>
        <v>1050</v>
      </c>
      <c r="AQ249" s="2">
        <v>1000</v>
      </c>
      <c r="AR249" s="2">
        <v>0</v>
      </c>
      <c r="AS249" s="2">
        <v>10</v>
      </c>
      <c r="AT249" s="2">
        <v>0</v>
      </c>
      <c r="AU249" s="2">
        <v>1000</v>
      </c>
      <c r="AV249" s="2">
        <v>1000</v>
      </c>
      <c r="AW249" s="2">
        <v>0</v>
      </c>
      <c r="AX249" s="2">
        <v>0</v>
      </c>
      <c r="AY249" s="2">
        <v>0</v>
      </c>
      <c r="AZ249" s="2">
        <v>963</v>
      </c>
      <c r="BA249" s="2">
        <v>1061</v>
      </c>
      <c r="BB249" s="2">
        <v>963</v>
      </c>
      <c r="BC249" s="2">
        <v>-1000</v>
      </c>
      <c r="BD249" s="2">
        <v>-5000</v>
      </c>
      <c r="BE249" s="2">
        <v>5000</v>
      </c>
      <c r="BF249" s="2">
        <v>3000</v>
      </c>
      <c r="BG249" s="2">
        <v>5000</v>
      </c>
      <c r="BH249" s="2">
        <v>5000</v>
      </c>
      <c r="BI249" s="2">
        <v>3000</v>
      </c>
      <c r="BJ249" s="2">
        <v>-1500</v>
      </c>
      <c r="BK249" s="2">
        <v>1000</v>
      </c>
      <c r="BL249" s="2">
        <v>1000</v>
      </c>
      <c r="BO249" s="2">
        <f t="shared" si="126"/>
        <v>0</v>
      </c>
      <c r="BP249" s="2">
        <f t="shared" si="136"/>
        <v>0</v>
      </c>
      <c r="BQ249" s="2">
        <f t="shared" si="137"/>
        <v>0</v>
      </c>
      <c r="BR249" s="2">
        <f t="shared" si="138"/>
        <v>0</v>
      </c>
      <c r="BS249" s="2">
        <f t="shared" si="139"/>
        <v>0</v>
      </c>
      <c r="BT249" s="2">
        <f t="shared" si="140"/>
        <v>0</v>
      </c>
      <c r="BU249" s="2">
        <f t="shared" si="141"/>
        <v>0</v>
      </c>
      <c r="BV249" s="2">
        <f t="shared" si="142"/>
        <v>0</v>
      </c>
      <c r="BW249" s="2">
        <f t="shared" si="143"/>
        <v>0</v>
      </c>
      <c r="BX249" s="2">
        <f t="shared" si="144"/>
        <v>0</v>
      </c>
      <c r="BY249" s="2">
        <f t="shared" si="145"/>
        <v>0</v>
      </c>
      <c r="BZ249" s="2">
        <f t="shared" si="146"/>
        <v>0</v>
      </c>
      <c r="CA249" s="2">
        <f t="shared" si="147"/>
        <v>0</v>
      </c>
      <c r="CB249" s="2">
        <f t="shared" si="148"/>
        <v>0</v>
      </c>
      <c r="CC249" s="2">
        <f t="shared" si="149"/>
        <v>0</v>
      </c>
      <c r="CD249" s="2">
        <f t="shared" si="150"/>
        <v>0</v>
      </c>
      <c r="CE249" s="2">
        <f t="shared" si="151"/>
        <v>0</v>
      </c>
      <c r="CF249" s="2">
        <f t="shared" si="152"/>
        <v>1585.1399999999999</v>
      </c>
      <c r="CG249" s="2">
        <f t="shared" si="153"/>
        <v>-7555.5</v>
      </c>
      <c r="CH249" s="2">
        <f t="shared" si="154"/>
        <v>-2454.66</v>
      </c>
      <c r="CI249" s="2">
        <f t="shared" si="155"/>
        <v>0</v>
      </c>
      <c r="CJ249" s="2">
        <f t="shared" si="156"/>
        <v>0</v>
      </c>
      <c r="CK249" s="2">
        <f t="shared" si="157"/>
        <v>0</v>
      </c>
      <c r="CL249" s="2">
        <f t="shared" si="158"/>
        <v>0</v>
      </c>
      <c r="CM249" s="2">
        <f t="shared" si="130"/>
        <v>0</v>
      </c>
      <c r="CN249" s="2">
        <f t="shared" si="131"/>
        <v>0</v>
      </c>
      <c r="CO249" s="2">
        <f t="shared" si="132"/>
        <v>0</v>
      </c>
      <c r="CP249" s="2">
        <f t="shared" si="133"/>
        <v>0</v>
      </c>
      <c r="CQ249" s="2">
        <f t="shared" si="134"/>
        <v>0</v>
      </c>
      <c r="CR249" s="2">
        <f t="shared" si="135"/>
        <v>0</v>
      </c>
      <c r="CV249" t="s">
        <v>64</v>
      </c>
      <c r="CW249" t="s">
        <v>322</v>
      </c>
      <c r="CX249" t="s">
        <v>7</v>
      </c>
      <c r="CY249" s="4">
        <v>42838</v>
      </c>
      <c r="CZ249" t="s">
        <v>65</v>
      </c>
      <c r="DA249" t="s">
        <v>66</v>
      </c>
      <c r="DB249">
        <v>10</v>
      </c>
      <c r="DC249">
        <v>109.73</v>
      </c>
      <c r="DD249" t="s">
        <v>69</v>
      </c>
      <c r="DE249" t="s">
        <v>70</v>
      </c>
      <c r="DF249">
        <v>1097.3</v>
      </c>
    </row>
    <row r="250" spans="1:110" x14ac:dyDescent="0.25">
      <c r="A250" s="1">
        <v>43096</v>
      </c>
      <c r="B250">
        <v>167.36</v>
      </c>
      <c r="C250">
        <v>97.66</v>
      </c>
      <c r="D250">
        <v>288.48</v>
      </c>
      <c r="E250">
        <v>153.09</v>
      </c>
      <c r="F250">
        <v>37.14</v>
      </c>
      <c r="G250">
        <v>119.68</v>
      </c>
      <c r="H250">
        <v>105.96</v>
      </c>
      <c r="I250">
        <v>69.81</v>
      </c>
      <c r="J250">
        <v>252.47</v>
      </c>
      <c r="K250">
        <v>185.99</v>
      </c>
      <c r="L250">
        <v>144.82</v>
      </c>
      <c r="M250">
        <v>44.69</v>
      </c>
      <c r="N250">
        <v>136.86000000000001</v>
      </c>
      <c r="O250">
        <v>103.97</v>
      </c>
      <c r="P250">
        <v>44.39</v>
      </c>
      <c r="Q250">
        <v>168.41</v>
      </c>
      <c r="R250">
        <v>228.52</v>
      </c>
      <c r="S250">
        <v>54.66</v>
      </c>
      <c r="T250">
        <v>84.25</v>
      </c>
      <c r="U250">
        <v>62.25</v>
      </c>
      <c r="V250">
        <v>34.770000000000003</v>
      </c>
      <c r="W250">
        <v>88.27</v>
      </c>
      <c r="X250">
        <v>131.68</v>
      </c>
      <c r="Y250">
        <v>217.49</v>
      </c>
      <c r="Z250">
        <v>124.04</v>
      </c>
      <c r="AA250">
        <v>113.07</v>
      </c>
      <c r="AB250">
        <v>50.34</v>
      </c>
      <c r="AC250">
        <v>70.72</v>
      </c>
      <c r="AD250">
        <v>96.96</v>
      </c>
      <c r="AE250">
        <v>79.680000000000007</v>
      </c>
      <c r="AI250" s="2">
        <v>5000</v>
      </c>
      <c r="AJ250" s="2">
        <f t="shared" si="163"/>
        <v>1170</v>
      </c>
      <c r="AK250" s="2">
        <f t="shared" si="163"/>
        <v>1170</v>
      </c>
      <c r="AL250" s="2">
        <f t="shared" si="163"/>
        <v>1170</v>
      </c>
      <c r="AM250" s="2">
        <f t="shared" si="163"/>
        <v>1170</v>
      </c>
      <c r="AN250" s="2">
        <f t="shared" si="163"/>
        <v>1170</v>
      </c>
      <c r="AO250" s="2">
        <f t="shared" si="163"/>
        <v>1170</v>
      </c>
      <c r="AP250" s="2">
        <f t="shared" si="163"/>
        <v>1050</v>
      </c>
      <c r="AQ250" s="2">
        <v>1000</v>
      </c>
      <c r="AR250" s="2">
        <v>0</v>
      </c>
      <c r="AS250" s="2">
        <v>10</v>
      </c>
      <c r="AT250" s="2">
        <v>0</v>
      </c>
      <c r="AU250" s="2">
        <v>1000</v>
      </c>
      <c r="AV250" s="2">
        <v>1000</v>
      </c>
      <c r="AW250" s="2">
        <v>0</v>
      </c>
      <c r="AX250" s="2">
        <v>0</v>
      </c>
      <c r="AY250" s="2">
        <v>0</v>
      </c>
      <c r="AZ250" s="2">
        <v>992</v>
      </c>
      <c r="BA250" s="2">
        <v>992</v>
      </c>
      <c r="BB250" s="2">
        <v>918</v>
      </c>
      <c r="BC250" s="2">
        <v>-1000</v>
      </c>
      <c r="BD250" s="2">
        <v>-5000</v>
      </c>
      <c r="BE250" s="2">
        <v>5000</v>
      </c>
      <c r="BF250" s="2">
        <v>3000</v>
      </c>
      <c r="BG250" s="2">
        <v>5000</v>
      </c>
      <c r="BH250" s="2">
        <v>5000</v>
      </c>
      <c r="BI250" s="2">
        <v>3000</v>
      </c>
      <c r="BJ250" s="2">
        <v>-1500</v>
      </c>
      <c r="BK250" s="2">
        <v>1000</v>
      </c>
      <c r="BL250" s="2">
        <v>1000</v>
      </c>
      <c r="BO250" s="2">
        <f t="shared" si="126"/>
        <v>0</v>
      </c>
      <c r="BP250" s="2">
        <f t="shared" si="136"/>
        <v>0</v>
      </c>
      <c r="BQ250" s="2">
        <f t="shared" si="137"/>
        <v>0</v>
      </c>
      <c r="BR250" s="2">
        <f t="shared" si="138"/>
        <v>0</v>
      </c>
      <c r="BS250" s="2">
        <f t="shared" si="139"/>
        <v>0</v>
      </c>
      <c r="BT250" s="2">
        <f t="shared" si="140"/>
        <v>0</v>
      </c>
      <c r="BU250" s="2">
        <f t="shared" si="141"/>
        <v>0</v>
      </c>
      <c r="BV250" s="2">
        <f t="shared" si="142"/>
        <v>0</v>
      </c>
      <c r="BW250" s="2">
        <f t="shared" si="143"/>
        <v>0</v>
      </c>
      <c r="BX250" s="2">
        <f t="shared" si="144"/>
        <v>0</v>
      </c>
      <c r="BY250" s="2">
        <f t="shared" si="145"/>
        <v>0</v>
      </c>
      <c r="BZ250" s="2">
        <f t="shared" si="146"/>
        <v>0</v>
      </c>
      <c r="CA250" s="2">
        <f t="shared" si="147"/>
        <v>0</v>
      </c>
      <c r="CB250" s="2">
        <f t="shared" si="148"/>
        <v>0</v>
      </c>
      <c r="CC250" s="2">
        <f t="shared" si="149"/>
        <v>0</v>
      </c>
      <c r="CD250" s="2">
        <f t="shared" si="150"/>
        <v>0</v>
      </c>
      <c r="CE250" s="2">
        <f t="shared" si="151"/>
        <v>0</v>
      </c>
      <c r="CF250" s="2">
        <f t="shared" si="152"/>
        <v>-1585.1399999999999</v>
      </c>
      <c r="CG250" s="2">
        <f t="shared" si="153"/>
        <v>5813.25</v>
      </c>
      <c r="CH250" s="2">
        <f t="shared" si="154"/>
        <v>2801.25</v>
      </c>
      <c r="CI250" s="2">
        <f t="shared" si="155"/>
        <v>0</v>
      </c>
      <c r="CJ250" s="2">
        <f t="shared" si="156"/>
        <v>0</v>
      </c>
      <c r="CK250" s="2">
        <f t="shared" si="157"/>
        <v>0</v>
      </c>
      <c r="CL250" s="2">
        <f t="shared" si="158"/>
        <v>0</v>
      </c>
      <c r="CM250" s="2">
        <f t="shared" si="130"/>
        <v>0</v>
      </c>
      <c r="CN250" s="2">
        <f t="shared" si="131"/>
        <v>0</v>
      </c>
      <c r="CO250" s="2">
        <f t="shared" si="132"/>
        <v>0</v>
      </c>
      <c r="CP250" s="2">
        <f t="shared" si="133"/>
        <v>0</v>
      </c>
      <c r="CQ250" s="2">
        <f t="shared" si="134"/>
        <v>0</v>
      </c>
      <c r="CR250" s="2">
        <f t="shared" si="135"/>
        <v>0</v>
      </c>
      <c r="CV250" t="s">
        <v>64</v>
      </c>
      <c r="CW250" t="s">
        <v>323</v>
      </c>
      <c r="CX250" t="s">
        <v>7</v>
      </c>
      <c r="CY250" s="4">
        <v>42859</v>
      </c>
      <c r="CZ250" t="s">
        <v>65</v>
      </c>
      <c r="DA250" t="s">
        <v>66</v>
      </c>
      <c r="DB250">
        <v>10</v>
      </c>
      <c r="DC250">
        <v>107.76</v>
      </c>
      <c r="DD250" t="s">
        <v>69</v>
      </c>
      <c r="DE250" t="s">
        <v>70</v>
      </c>
      <c r="DF250">
        <v>1077.6000000000001</v>
      </c>
    </row>
    <row r="251" spans="1:110" x14ac:dyDescent="0.25">
      <c r="A251" s="1">
        <v>43097</v>
      </c>
      <c r="B251">
        <v>167.83</v>
      </c>
      <c r="C251">
        <v>98.22</v>
      </c>
      <c r="D251">
        <v>289.19</v>
      </c>
      <c r="E251">
        <v>153.96</v>
      </c>
      <c r="F251">
        <v>37.159999999999997</v>
      </c>
      <c r="G251">
        <v>119.71</v>
      </c>
      <c r="H251">
        <v>106.09</v>
      </c>
      <c r="I251">
        <v>69.88</v>
      </c>
      <c r="J251">
        <v>253.01</v>
      </c>
      <c r="K251">
        <v>185.59</v>
      </c>
      <c r="L251">
        <v>145.68</v>
      </c>
      <c r="M251">
        <v>44.8</v>
      </c>
      <c r="N251">
        <v>136.85</v>
      </c>
      <c r="O251">
        <v>104.53</v>
      </c>
      <c r="P251">
        <v>44.19</v>
      </c>
      <c r="Q251">
        <v>168.82</v>
      </c>
      <c r="R251">
        <v>228.05</v>
      </c>
      <c r="S251">
        <v>54.92</v>
      </c>
      <c r="T251">
        <v>84.26</v>
      </c>
      <c r="U251">
        <v>62.25</v>
      </c>
      <c r="V251">
        <v>34.81</v>
      </c>
      <c r="W251">
        <v>88.24</v>
      </c>
      <c r="X251">
        <v>132.55000000000001</v>
      </c>
      <c r="Y251">
        <v>219.81</v>
      </c>
      <c r="Z251">
        <v>124.57</v>
      </c>
      <c r="AA251">
        <v>113.4</v>
      </c>
      <c r="AB251">
        <v>50.48</v>
      </c>
      <c r="AC251">
        <v>70.8</v>
      </c>
      <c r="AD251">
        <v>97.1</v>
      </c>
      <c r="AE251">
        <v>79.790000000000006</v>
      </c>
      <c r="AI251" s="2">
        <v>5000</v>
      </c>
      <c r="AJ251" s="2">
        <f t="shared" si="163"/>
        <v>1170</v>
      </c>
      <c r="AK251" s="2">
        <f t="shared" si="163"/>
        <v>1170</v>
      </c>
      <c r="AL251" s="2">
        <f t="shared" si="163"/>
        <v>1170</v>
      </c>
      <c r="AM251" s="2">
        <f t="shared" si="163"/>
        <v>1170</v>
      </c>
      <c r="AN251" s="2">
        <f t="shared" si="163"/>
        <v>1170</v>
      </c>
      <c r="AO251" s="2">
        <f t="shared" si="163"/>
        <v>1170</v>
      </c>
      <c r="AP251" s="2">
        <f t="shared" si="163"/>
        <v>1050</v>
      </c>
      <c r="AQ251" s="2">
        <v>1000</v>
      </c>
      <c r="AR251" s="2">
        <v>0</v>
      </c>
      <c r="AS251" s="2">
        <v>10</v>
      </c>
      <c r="AT251" s="2">
        <v>0</v>
      </c>
      <c r="AU251" s="2">
        <v>1000</v>
      </c>
      <c r="AV251" s="2">
        <v>1000</v>
      </c>
      <c r="AW251" s="2">
        <v>0</v>
      </c>
      <c r="AX251" s="2">
        <v>0</v>
      </c>
      <c r="AY251" s="2">
        <v>0</v>
      </c>
      <c r="AZ251" s="2">
        <v>976</v>
      </c>
      <c r="BA251" s="2">
        <v>988</v>
      </c>
      <c r="BB251" s="2">
        <v>902</v>
      </c>
      <c r="BC251" s="2">
        <v>-1000</v>
      </c>
      <c r="BD251" s="2">
        <v>-5000</v>
      </c>
      <c r="BE251" s="2">
        <v>5000</v>
      </c>
      <c r="BF251" s="2">
        <v>3000</v>
      </c>
      <c r="BG251" s="2">
        <v>5000</v>
      </c>
      <c r="BH251" s="2">
        <v>5000</v>
      </c>
      <c r="BI251" s="2">
        <v>3000</v>
      </c>
      <c r="BJ251" s="2">
        <v>-1500</v>
      </c>
      <c r="BK251" s="2">
        <v>1000</v>
      </c>
      <c r="BL251" s="2">
        <v>1000</v>
      </c>
      <c r="BO251" s="2">
        <f t="shared" si="126"/>
        <v>0</v>
      </c>
      <c r="BP251" s="2">
        <f t="shared" si="136"/>
        <v>0</v>
      </c>
      <c r="BQ251" s="2">
        <f t="shared" si="137"/>
        <v>0</v>
      </c>
      <c r="BR251" s="2">
        <f t="shared" si="138"/>
        <v>0</v>
      </c>
      <c r="BS251" s="2">
        <f t="shared" si="139"/>
        <v>0</v>
      </c>
      <c r="BT251" s="2">
        <f t="shared" si="140"/>
        <v>0</v>
      </c>
      <c r="BU251" s="2">
        <f t="shared" si="141"/>
        <v>0</v>
      </c>
      <c r="BV251" s="2">
        <f t="shared" si="142"/>
        <v>0</v>
      </c>
      <c r="BW251" s="2">
        <f t="shared" si="143"/>
        <v>0</v>
      </c>
      <c r="BX251" s="2">
        <f t="shared" si="144"/>
        <v>0</v>
      </c>
      <c r="BY251" s="2">
        <f t="shared" si="145"/>
        <v>0</v>
      </c>
      <c r="BZ251" s="2">
        <f t="shared" si="146"/>
        <v>0</v>
      </c>
      <c r="CA251" s="2">
        <f t="shared" si="147"/>
        <v>0</v>
      </c>
      <c r="CB251" s="2">
        <f t="shared" si="148"/>
        <v>0</v>
      </c>
      <c r="CC251" s="2">
        <f t="shared" si="149"/>
        <v>0</v>
      </c>
      <c r="CD251" s="2">
        <f t="shared" si="150"/>
        <v>0</v>
      </c>
      <c r="CE251" s="2">
        <f t="shared" si="151"/>
        <v>0</v>
      </c>
      <c r="CF251" s="2">
        <f t="shared" si="152"/>
        <v>878.72</v>
      </c>
      <c r="CG251" s="2">
        <f t="shared" si="153"/>
        <v>337.04</v>
      </c>
      <c r="CH251" s="2">
        <f t="shared" si="154"/>
        <v>996</v>
      </c>
      <c r="CI251" s="2">
        <f t="shared" si="155"/>
        <v>0</v>
      </c>
      <c r="CJ251" s="2">
        <f t="shared" si="156"/>
        <v>0</v>
      </c>
      <c r="CK251" s="2">
        <f t="shared" si="157"/>
        <v>0</v>
      </c>
      <c r="CL251" s="2">
        <f t="shared" si="158"/>
        <v>0</v>
      </c>
      <c r="CM251" s="2">
        <f t="shared" si="130"/>
        <v>0</v>
      </c>
      <c r="CN251" s="2">
        <f t="shared" si="131"/>
        <v>0</v>
      </c>
      <c r="CO251" s="2">
        <f t="shared" si="132"/>
        <v>0</v>
      </c>
      <c r="CP251" s="2">
        <f t="shared" si="133"/>
        <v>0</v>
      </c>
      <c r="CQ251" s="2">
        <f t="shared" si="134"/>
        <v>0</v>
      </c>
      <c r="CR251" s="2">
        <f t="shared" si="135"/>
        <v>0</v>
      </c>
      <c r="CV251" t="s">
        <v>64</v>
      </c>
      <c r="CW251" t="s">
        <v>324</v>
      </c>
      <c r="CX251" t="s">
        <v>7</v>
      </c>
      <c r="CY251" s="4">
        <v>42879</v>
      </c>
      <c r="CZ251" t="s">
        <v>65</v>
      </c>
      <c r="DA251" t="s">
        <v>66</v>
      </c>
      <c r="DB251">
        <v>10</v>
      </c>
      <c r="DC251">
        <v>104.41</v>
      </c>
      <c r="DD251" t="s">
        <v>69</v>
      </c>
      <c r="DE251" t="s">
        <v>70</v>
      </c>
      <c r="DF251">
        <v>1044.0999999999999</v>
      </c>
    </row>
    <row r="252" spans="1:110" x14ac:dyDescent="0.25">
      <c r="A252" s="1">
        <v>43098</v>
      </c>
      <c r="B252">
        <v>166.01</v>
      </c>
      <c r="C252">
        <v>97.84</v>
      </c>
      <c r="D252">
        <v>287.79000000000002</v>
      </c>
      <c r="E252">
        <v>153.15</v>
      </c>
      <c r="F252">
        <v>36.880000000000003</v>
      </c>
      <c r="G252">
        <v>119.34</v>
      </c>
      <c r="H252">
        <v>105.83</v>
      </c>
      <c r="I252">
        <v>69.59</v>
      </c>
      <c r="J252">
        <v>251.3</v>
      </c>
      <c r="K252">
        <v>185.34</v>
      </c>
      <c r="L252">
        <v>145.09</v>
      </c>
      <c r="M252">
        <v>44.74</v>
      </c>
      <c r="N252">
        <v>136.03</v>
      </c>
      <c r="O252">
        <v>103.7</v>
      </c>
      <c r="P252">
        <v>44.35</v>
      </c>
      <c r="Q252">
        <v>167.87</v>
      </c>
      <c r="R252">
        <v>227.71</v>
      </c>
      <c r="S252">
        <v>54.6</v>
      </c>
      <c r="T252">
        <v>84.08</v>
      </c>
      <c r="U252">
        <v>61.85</v>
      </c>
      <c r="V252">
        <v>34.67</v>
      </c>
      <c r="W252">
        <v>88.06</v>
      </c>
      <c r="X252">
        <v>132.53</v>
      </c>
      <c r="Y252">
        <v>217.53</v>
      </c>
      <c r="Z252">
        <v>124.03</v>
      </c>
      <c r="AA252">
        <v>113.07</v>
      </c>
      <c r="AB252">
        <v>50.01</v>
      </c>
      <c r="AC252">
        <v>70.489999999999995</v>
      </c>
      <c r="AD252">
        <v>96.46</v>
      </c>
      <c r="AE252">
        <v>79.430000000000007</v>
      </c>
      <c r="AI252" s="2">
        <v>5000</v>
      </c>
      <c r="AJ252" s="2">
        <f t="shared" si="163"/>
        <v>1170</v>
      </c>
      <c r="AK252" s="2">
        <f t="shared" si="163"/>
        <v>1170</v>
      </c>
      <c r="AL252" s="2">
        <f t="shared" si="163"/>
        <v>1170</v>
      </c>
      <c r="AM252" s="2">
        <f t="shared" si="163"/>
        <v>1170</v>
      </c>
      <c r="AN252" s="2">
        <f t="shared" si="163"/>
        <v>1170</v>
      </c>
      <c r="AO252" s="2">
        <f t="shared" si="163"/>
        <v>1170</v>
      </c>
      <c r="AP252" s="2">
        <f t="shared" si="163"/>
        <v>1050</v>
      </c>
      <c r="AQ252" s="2">
        <v>1000</v>
      </c>
      <c r="AR252" s="2">
        <v>0</v>
      </c>
      <c r="AS252" s="2">
        <v>10</v>
      </c>
      <c r="AT252" s="2">
        <v>0</v>
      </c>
      <c r="AU252" s="2">
        <v>1000</v>
      </c>
      <c r="AV252" s="2">
        <v>1000</v>
      </c>
      <c r="AW252" s="2">
        <v>0</v>
      </c>
      <c r="AX252" s="2">
        <v>0</v>
      </c>
      <c r="AY252" s="2">
        <v>0</v>
      </c>
      <c r="AZ252" s="2">
        <v>992</v>
      </c>
      <c r="BA252" s="2">
        <v>1017</v>
      </c>
      <c r="BB252" s="2">
        <v>983</v>
      </c>
      <c r="BC252" s="2">
        <v>-1000</v>
      </c>
      <c r="BD252" s="2">
        <v>-5000</v>
      </c>
      <c r="BE252" s="2">
        <v>5000</v>
      </c>
      <c r="BF252" s="2">
        <v>3000</v>
      </c>
      <c r="BG252" s="2">
        <v>5000</v>
      </c>
      <c r="BH252" s="2">
        <v>2500</v>
      </c>
      <c r="BI252" s="2">
        <v>3000</v>
      </c>
      <c r="BJ252" s="2">
        <v>-1500</v>
      </c>
      <c r="BK252" s="2">
        <v>1000</v>
      </c>
      <c r="BL252" s="2">
        <v>1000</v>
      </c>
      <c r="BO252" s="2">
        <f t="shared" si="126"/>
        <v>0</v>
      </c>
      <c r="BP252" s="2">
        <f t="shared" si="136"/>
        <v>0</v>
      </c>
      <c r="BQ252" s="2">
        <f t="shared" si="137"/>
        <v>0</v>
      </c>
      <c r="BR252" s="2">
        <f t="shared" si="138"/>
        <v>0</v>
      </c>
      <c r="BS252" s="2">
        <f t="shared" si="139"/>
        <v>0</v>
      </c>
      <c r="BT252" s="2">
        <f t="shared" si="140"/>
        <v>0</v>
      </c>
      <c r="BU252" s="2">
        <f t="shared" si="141"/>
        <v>0</v>
      </c>
      <c r="BV252" s="2">
        <f t="shared" si="142"/>
        <v>0</v>
      </c>
      <c r="BW252" s="2">
        <f t="shared" si="143"/>
        <v>0</v>
      </c>
      <c r="BX252" s="2">
        <f t="shared" si="144"/>
        <v>0</v>
      </c>
      <c r="BY252" s="2">
        <f t="shared" si="145"/>
        <v>0</v>
      </c>
      <c r="BZ252" s="2">
        <f t="shared" si="146"/>
        <v>0</v>
      </c>
      <c r="CA252" s="2">
        <f t="shared" si="147"/>
        <v>0</v>
      </c>
      <c r="CB252" s="2">
        <f t="shared" si="148"/>
        <v>0</v>
      </c>
      <c r="CC252" s="2">
        <f t="shared" si="149"/>
        <v>0</v>
      </c>
      <c r="CD252" s="2">
        <f t="shared" si="150"/>
        <v>0</v>
      </c>
      <c r="CE252" s="2">
        <f t="shared" si="151"/>
        <v>0</v>
      </c>
      <c r="CF252" s="2">
        <f t="shared" si="152"/>
        <v>-873.6</v>
      </c>
      <c r="CG252" s="2">
        <f t="shared" si="153"/>
        <v>-2438.3200000000002</v>
      </c>
      <c r="CH252" s="2">
        <f t="shared" si="154"/>
        <v>-5009.8500000000004</v>
      </c>
      <c r="CI252" s="2">
        <f t="shared" si="155"/>
        <v>0</v>
      </c>
      <c r="CJ252" s="2">
        <f t="shared" si="156"/>
        <v>0</v>
      </c>
      <c r="CK252" s="2">
        <f t="shared" si="157"/>
        <v>0</v>
      </c>
      <c r="CL252" s="2">
        <f t="shared" si="158"/>
        <v>0</v>
      </c>
      <c r="CM252" s="2">
        <f t="shared" si="130"/>
        <v>0</v>
      </c>
      <c r="CN252" s="2">
        <f t="shared" si="131"/>
        <v>282675</v>
      </c>
      <c r="CO252" s="2">
        <f t="shared" si="132"/>
        <v>0</v>
      </c>
      <c r="CP252" s="2">
        <f t="shared" si="133"/>
        <v>0</v>
      </c>
      <c r="CQ252" s="2">
        <f t="shared" si="134"/>
        <v>0</v>
      </c>
      <c r="CR252" s="2">
        <f t="shared" si="135"/>
        <v>0</v>
      </c>
      <c r="CV252" t="s">
        <v>64</v>
      </c>
      <c r="CW252" t="s">
        <v>325</v>
      </c>
      <c r="CX252" t="s">
        <v>7</v>
      </c>
      <c r="CY252" s="4">
        <v>42900</v>
      </c>
      <c r="CZ252" t="s">
        <v>65</v>
      </c>
      <c r="DA252" t="s">
        <v>66</v>
      </c>
      <c r="DB252">
        <v>10</v>
      </c>
      <c r="DC252">
        <v>102.88</v>
      </c>
      <c r="DD252" t="s">
        <v>69</v>
      </c>
      <c r="DE252" t="s">
        <v>70</v>
      </c>
      <c r="DF252">
        <v>1028.8</v>
      </c>
    </row>
    <row r="253" spans="1:110" x14ac:dyDescent="0.25">
      <c r="A253" s="1">
        <v>43102</v>
      </c>
      <c r="B253">
        <v>168.99</v>
      </c>
      <c r="C253">
        <v>97.47</v>
      </c>
      <c r="D253">
        <v>289.67</v>
      </c>
      <c r="E253">
        <v>152.62</v>
      </c>
      <c r="F253">
        <v>37.42</v>
      </c>
      <c r="G253">
        <v>121.62</v>
      </c>
      <c r="H253">
        <v>110.05</v>
      </c>
      <c r="I253">
        <v>70.260000000000005</v>
      </c>
      <c r="J253">
        <v>252.2</v>
      </c>
      <c r="K253">
        <v>183.87</v>
      </c>
      <c r="L253">
        <v>145.88</v>
      </c>
      <c r="M253">
        <v>45.41</v>
      </c>
      <c r="N253">
        <v>135.55000000000001</v>
      </c>
      <c r="O253">
        <v>104.68</v>
      </c>
      <c r="P253">
        <v>44.02</v>
      </c>
      <c r="Q253">
        <v>168.94</v>
      </c>
      <c r="R253">
        <v>227.97</v>
      </c>
      <c r="S253">
        <v>54.55</v>
      </c>
      <c r="T253">
        <v>84.49</v>
      </c>
      <c r="U253">
        <v>62.78</v>
      </c>
      <c r="V253">
        <v>34.880000000000003</v>
      </c>
      <c r="W253">
        <v>86.88</v>
      </c>
      <c r="X253">
        <v>128.96</v>
      </c>
      <c r="Y253">
        <v>218.22</v>
      </c>
      <c r="Z253">
        <v>124.6</v>
      </c>
      <c r="AA253">
        <v>113.55</v>
      </c>
      <c r="AB253">
        <v>50.58</v>
      </c>
      <c r="AC253">
        <v>72.75</v>
      </c>
      <c r="AD253">
        <v>96.3</v>
      </c>
      <c r="AE253">
        <v>80.75</v>
      </c>
      <c r="AI253" s="2">
        <v>5000</v>
      </c>
      <c r="AJ253" s="2">
        <f t="shared" si="163"/>
        <v>1170</v>
      </c>
      <c r="AK253" s="2">
        <f t="shared" si="163"/>
        <v>1170</v>
      </c>
      <c r="AL253" s="2">
        <f t="shared" si="163"/>
        <v>1170</v>
      </c>
      <c r="AM253" s="2">
        <f t="shared" si="163"/>
        <v>1170</v>
      </c>
      <c r="AN253" s="2">
        <f t="shared" si="163"/>
        <v>1170</v>
      </c>
      <c r="AO253" s="2">
        <f t="shared" si="163"/>
        <v>1170</v>
      </c>
      <c r="AP253" s="2">
        <f t="shared" si="163"/>
        <v>1050</v>
      </c>
      <c r="AQ253" s="2">
        <v>1000</v>
      </c>
      <c r="AR253" s="2">
        <v>0</v>
      </c>
      <c r="AS253" s="2">
        <v>10</v>
      </c>
      <c r="AT253" s="2">
        <v>0</v>
      </c>
      <c r="AU253" s="2">
        <v>1000</v>
      </c>
      <c r="AV253" s="2">
        <v>1000</v>
      </c>
      <c r="AW253" s="2">
        <v>0</v>
      </c>
      <c r="AX253" s="2">
        <v>0</v>
      </c>
      <c r="AY253" s="2">
        <v>0</v>
      </c>
      <c r="AZ253" s="2">
        <v>997</v>
      </c>
      <c r="BA253" s="2">
        <v>987</v>
      </c>
      <c r="BB253" s="2">
        <v>951</v>
      </c>
      <c r="BC253" s="2">
        <v>-1000</v>
      </c>
      <c r="BD253" s="2">
        <v>-5000</v>
      </c>
      <c r="BE253" s="2">
        <v>5000</v>
      </c>
      <c r="BF253" s="2">
        <v>3000</v>
      </c>
      <c r="BG253" s="2">
        <v>5000</v>
      </c>
      <c r="BH253" s="2">
        <v>2500</v>
      </c>
      <c r="BI253" s="2">
        <v>3000</v>
      </c>
      <c r="BJ253" s="2">
        <v>-1500</v>
      </c>
      <c r="BK253" s="2">
        <v>1000</v>
      </c>
      <c r="BL253" s="2">
        <v>1000</v>
      </c>
      <c r="BO253" s="2">
        <f t="shared" si="126"/>
        <v>0</v>
      </c>
      <c r="BP253" s="2">
        <f t="shared" si="136"/>
        <v>0</v>
      </c>
      <c r="BQ253" s="2">
        <f t="shared" si="137"/>
        <v>0</v>
      </c>
      <c r="BR253" s="2">
        <f t="shared" si="138"/>
        <v>0</v>
      </c>
      <c r="BS253" s="2">
        <f t="shared" si="139"/>
        <v>0</v>
      </c>
      <c r="BT253" s="2">
        <f t="shared" si="140"/>
        <v>0</v>
      </c>
      <c r="BU253" s="2">
        <f t="shared" si="141"/>
        <v>0</v>
      </c>
      <c r="BV253" s="2">
        <f t="shared" si="142"/>
        <v>0</v>
      </c>
      <c r="BW253" s="2">
        <f t="shared" si="143"/>
        <v>0</v>
      </c>
      <c r="BX253" s="2">
        <f t="shared" si="144"/>
        <v>0</v>
      </c>
      <c r="BY253" s="2">
        <f t="shared" si="145"/>
        <v>0</v>
      </c>
      <c r="BZ253" s="2">
        <f t="shared" si="146"/>
        <v>0</v>
      </c>
      <c r="CA253" s="2">
        <f t="shared" si="147"/>
        <v>0</v>
      </c>
      <c r="CB253" s="2">
        <f t="shared" si="148"/>
        <v>0</v>
      </c>
      <c r="CC253" s="2">
        <f t="shared" si="149"/>
        <v>0</v>
      </c>
      <c r="CD253" s="2">
        <f t="shared" si="150"/>
        <v>0</v>
      </c>
      <c r="CE253" s="2">
        <f t="shared" si="151"/>
        <v>0</v>
      </c>
      <c r="CF253" s="2">
        <f t="shared" si="152"/>
        <v>-272.75</v>
      </c>
      <c r="CG253" s="2">
        <f t="shared" si="153"/>
        <v>2534.6999999999998</v>
      </c>
      <c r="CH253" s="2">
        <f t="shared" si="154"/>
        <v>2008.96</v>
      </c>
      <c r="CI253" s="2">
        <f t="shared" si="155"/>
        <v>0</v>
      </c>
      <c r="CJ253" s="2">
        <f t="shared" si="156"/>
        <v>0</v>
      </c>
      <c r="CK253" s="2">
        <f t="shared" si="157"/>
        <v>0</v>
      </c>
      <c r="CL253" s="2">
        <f t="shared" si="158"/>
        <v>0</v>
      </c>
      <c r="CM253" s="2">
        <f t="shared" si="130"/>
        <v>0</v>
      </c>
      <c r="CN253" s="2">
        <f t="shared" si="131"/>
        <v>0</v>
      </c>
      <c r="CO253" s="2">
        <f t="shared" si="132"/>
        <v>0</v>
      </c>
      <c r="CP253" s="2">
        <f t="shared" si="133"/>
        <v>0</v>
      </c>
      <c r="CQ253" s="2">
        <f t="shared" si="134"/>
        <v>0</v>
      </c>
      <c r="CR253" s="2">
        <f t="shared" si="135"/>
        <v>0</v>
      </c>
      <c r="CV253" t="s">
        <v>64</v>
      </c>
      <c r="CW253" t="s">
        <v>326</v>
      </c>
      <c r="CX253" t="s">
        <v>7</v>
      </c>
      <c r="CY253" s="4">
        <v>42921</v>
      </c>
      <c r="CZ253" t="s">
        <v>65</v>
      </c>
      <c r="DA253" t="s">
        <v>66</v>
      </c>
      <c r="DB253">
        <v>10</v>
      </c>
      <c r="DC253">
        <v>102.39</v>
      </c>
      <c r="DD253" t="s">
        <v>69</v>
      </c>
      <c r="DE253" t="s">
        <v>70</v>
      </c>
      <c r="DF253">
        <v>1023.9</v>
      </c>
    </row>
    <row r="254" spans="1:110" x14ac:dyDescent="0.25">
      <c r="A254" s="1">
        <v>43103</v>
      </c>
      <c r="B254">
        <v>168.96</v>
      </c>
      <c r="C254">
        <v>98.07</v>
      </c>
      <c r="D254">
        <v>290.61</v>
      </c>
      <c r="E254">
        <v>152.86000000000001</v>
      </c>
      <c r="F254">
        <v>37.72</v>
      </c>
      <c r="G254">
        <v>122.5</v>
      </c>
      <c r="H254">
        <v>110.53</v>
      </c>
      <c r="I254">
        <v>71.38</v>
      </c>
      <c r="J254">
        <v>249.85</v>
      </c>
      <c r="K254">
        <v>184.83</v>
      </c>
      <c r="L254">
        <v>149.88999999999999</v>
      </c>
      <c r="M254">
        <v>43.87</v>
      </c>
      <c r="N254">
        <v>136.85</v>
      </c>
      <c r="O254">
        <v>104.79</v>
      </c>
      <c r="P254">
        <v>43.92</v>
      </c>
      <c r="Q254">
        <v>168.23</v>
      </c>
      <c r="R254">
        <v>227.96</v>
      </c>
      <c r="S254">
        <v>54.47</v>
      </c>
      <c r="T254">
        <v>84.88</v>
      </c>
      <c r="U254">
        <v>62.77</v>
      </c>
      <c r="V254">
        <v>35.14</v>
      </c>
      <c r="W254">
        <v>86.77</v>
      </c>
      <c r="X254">
        <v>129.37</v>
      </c>
      <c r="Y254">
        <v>220.51</v>
      </c>
      <c r="Z254">
        <v>126.43</v>
      </c>
      <c r="AA254">
        <v>114.68</v>
      </c>
      <c r="AB254">
        <v>49.54</v>
      </c>
      <c r="AC254">
        <v>73.290000000000006</v>
      </c>
      <c r="AD254">
        <v>97.14</v>
      </c>
      <c r="AE254">
        <v>82.34</v>
      </c>
      <c r="AI254" s="2">
        <v>5000</v>
      </c>
      <c r="AJ254" s="2">
        <f t="shared" ref="AJ254:AP254" si="166">AJ253+10</f>
        <v>1180</v>
      </c>
      <c r="AK254" s="2">
        <f t="shared" si="166"/>
        <v>1180</v>
      </c>
      <c r="AL254" s="2">
        <f t="shared" si="166"/>
        <v>1180</v>
      </c>
      <c r="AM254" s="2">
        <f t="shared" si="166"/>
        <v>1180</v>
      </c>
      <c r="AN254" s="2">
        <f t="shared" si="166"/>
        <v>1180</v>
      </c>
      <c r="AO254" s="2">
        <f t="shared" si="166"/>
        <v>1180</v>
      </c>
      <c r="AP254" s="2">
        <f t="shared" si="166"/>
        <v>1060</v>
      </c>
      <c r="AQ254" s="2">
        <v>1000</v>
      </c>
      <c r="AR254" s="2">
        <v>0</v>
      </c>
      <c r="AS254" s="2">
        <v>10</v>
      </c>
      <c r="AT254" s="2">
        <v>0</v>
      </c>
      <c r="AU254" s="2">
        <v>1000</v>
      </c>
      <c r="AV254" s="2">
        <v>1000</v>
      </c>
      <c r="AW254" s="2">
        <v>0</v>
      </c>
      <c r="AX254" s="2">
        <v>0</v>
      </c>
      <c r="AY254" s="2">
        <v>0</v>
      </c>
      <c r="AZ254" s="2">
        <v>960</v>
      </c>
      <c r="BA254" s="2">
        <v>1092</v>
      </c>
      <c r="BB254" s="2">
        <v>905</v>
      </c>
      <c r="BC254" s="2">
        <v>-1000</v>
      </c>
      <c r="BD254" s="2">
        <v>-5000</v>
      </c>
      <c r="BE254" s="2">
        <v>5000</v>
      </c>
      <c r="BF254" s="2">
        <v>3000</v>
      </c>
      <c r="BG254" s="2">
        <v>5000</v>
      </c>
      <c r="BH254" s="2">
        <v>2500</v>
      </c>
      <c r="BI254" s="2">
        <v>3000</v>
      </c>
      <c r="BJ254" s="2">
        <v>-1500</v>
      </c>
      <c r="BK254" s="2">
        <v>1000</v>
      </c>
      <c r="BL254" s="2">
        <v>1000</v>
      </c>
      <c r="BO254" s="2">
        <f t="shared" si="126"/>
        <v>0</v>
      </c>
      <c r="BP254" s="2">
        <f t="shared" si="136"/>
        <v>-980.69999999999993</v>
      </c>
      <c r="BQ254" s="2">
        <f t="shared" si="137"/>
        <v>-2906.1000000000004</v>
      </c>
      <c r="BR254" s="2">
        <f t="shared" si="138"/>
        <v>-1528.6000000000001</v>
      </c>
      <c r="BS254" s="2">
        <f t="shared" si="139"/>
        <v>-377.2</v>
      </c>
      <c r="BT254" s="2">
        <f t="shared" si="140"/>
        <v>-1225</v>
      </c>
      <c r="BU254" s="2">
        <f t="shared" si="141"/>
        <v>-1105.3</v>
      </c>
      <c r="BV254" s="2">
        <f t="shared" si="142"/>
        <v>-713.8</v>
      </c>
      <c r="BW254" s="2">
        <f t="shared" si="143"/>
        <v>0</v>
      </c>
      <c r="BX254" s="2">
        <f t="shared" si="144"/>
        <v>0</v>
      </c>
      <c r="BY254" s="2">
        <f t="shared" si="145"/>
        <v>0</v>
      </c>
      <c r="BZ254" s="2">
        <f t="shared" si="146"/>
        <v>0</v>
      </c>
      <c r="CA254" s="2">
        <f t="shared" si="147"/>
        <v>0</v>
      </c>
      <c r="CB254" s="2">
        <f t="shared" si="148"/>
        <v>0</v>
      </c>
      <c r="CC254" s="2">
        <f t="shared" si="149"/>
        <v>0</v>
      </c>
      <c r="CD254" s="2">
        <f t="shared" si="150"/>
        <v>0</v>
      </c>
      <c r="CE254" s="2">
        <f t="shared" si="151"/>
        <v>0</v>
      </c>
      <c r="CF254" s="2">
        <f t="shared" si="152"/>
        <v>2015.3899999999999</v>
      </c>
      <c r="CG254" s="2">
        <f t="shared" si="153"/>
        <v>-8912.4</v>
      </c>
      <c r="CH254" s="2">
        <f t="shared" si="154"/>
        <v>2887.42</v>
      </c>
      <c r="CI254" s="2">
        <f t="shared" si="155"/>
        <v>0</v>
      </c>
      <c r="CJ254" s="2">
        <f t="shared" si="156"/>
        <v>0</v>
      </c>
      <c r="CK254" s="2">
        <f t="shared" si="157"/>
        <v>0</v>
      </c>
      <c r="CL254" s="2">
        <f t="shared" si="158"/>
        <v>0</v>
      </c>
      <c r="CM254" s="2">
        <f t="shared" si="130"/>
        <v>0</v>
      </c>
      <c r="CN254" s="2">
        <f t="shared" si="131"/>
        <v>0</v>
      </c>
      <c r="CO254" s="2">
        <f t="shared" si="132"/>
        <v>0</v>
      </c>
      <c r="CP254" s="2">
        <f t="shared" si="133"/>
        <v>0</v>
      </c>
      <c r="CQ254" s="2">
        <f t="shared" si="134"/>
        <v>0</v>
      </c>
      <c r="CR254" s="2">
        <f t="shared" si="135"/>
        <v>0</v>
      </c>
      <c r="CV254" t="s">
        <v>64</v>
      </c>
      <c r="CW254" t="s">
        <v>327</v>
      </c>
      <c r="CX254" t="s">
        <v>7</v>
      </c>
      <c r="CY254" s="4">
        <v>42941</v>
      </c>
      <c r="CZ254" t="s">
        <v>65</v>
      </c>
      <c r="DA254" t="s">
        <v>66</v>
      </c>
      <c r="DB254">
        <v>10</v>
      </c>
      <c r="DC254">
        <v>103.92</v>
      </c>
      <c r="DD254" t="s">
        <v>69</v>
      </c>
      <c r="DE254" t="s">
        <v>70</v>
      </c>
      <c r="DF254">
        <v>1039.2</v>
      </c>
    </row>
    <row r="255" spans="1:110" x14ac:dyDescent="0.25">
      <c r="A255" s="1">
        <v>43104</v>
      </c>
      <c r="B255">
        <v>169.74</v>
      </c>
      <c r="C255">
        <v>99.71</v>
      </c>
      <c r="D255">
        <v>289.51</v>
      </c>
      <c r="E255">
        <v>154.96</v>
      </c>
      <c r="F255">
        <v>37.83</v>
      </c>
      <c r="G255">
        <v>122.12</v>
      </c>
      <c r="H255">
        <v>110.48</v>
      </c>
      <c r="I255">
        <v>72.75</v>
      </c>
      <c r="J255">
        <v>253.34</v>
      </c>
      <c r="K255">
        <v>186.3</v>
      </c>
      <c r="L255">
        <v>152.91999999999999</v>
      </c>
      <c r="M255">
        <v>43.07</v>
      </c>
      <c r="N255">
        <v>136.84</v>
      </c>
      <c r="O255">
        <v>106.29</v>
      </c>
      <c r="P255">
        <v>44.54</v>
      </c>
      <c r="Q255">
        <v>169.41</v>
      </c>
      <c r="R255">
        <v>230.94</v>
      </c>
      <c r="S255">
        <v>55.35</v>
      </c>
      <c r="T255">
        <v>85.63</v>
      </c>
      <c r="U255">
        <v>62.73</v>
      </c>
      <c r="V255">
        <v>35.21</v>
      </c>
      <c r="W255">
        <v>87.38</v>
      </c>
      <c r="X255">
        <v>129.37</v>
      </c>
      <c r="Y255">
        <v>221.46</v>
      </c>
      <c r="Z255">
        <v>126.83</v>
      </c>
      <c r="AA255">
        <v>115.11</v>
      </c>
      <c r="AB255">
        <v>49.7</v>
      </c>
      <c r="AC255">
        <v>69.5</v>
      </c>
      <c r="AD255">
        <v>97.23</v>
      </c>
      <c r="AE255">
        <v>82.45</v>
      </c>
      <c r="AI255" s="2">
        <v>5000</v>
      </c>
      <c r="AJ255" s="2">
        <f t="shared" ref="AJ255:AP255" si="167">AJ254</f>
        <v>1180</v>
      </c>
      <c r="AK255" s="2">
        <f t="shared" si="167"/>
        <v>1180</v>
      </c>
      <c r="AL255" s="2">
        <f t="shared" si="167"/>
        <v>1180</v>
      </c>
      <c r="AM255" s="2">
        <f t="shared" si="167"/>
        <v>1180</v>
      </c>
      <c r="AN255" s="2">
        <f t="shared" si="167"/>
        <v>1180</v>
      </c>
      <c r="AO255" s="2">
        <f t="shared" si="167"/>
        <v>1180</v>
      </c>
      <c r="AP255" s="2">
        <f t="shared" si="167"/>
        <v>1060</v>
      </c>
      <c r="AQ255" s="2">
        <v>1000</v>
      </c>
      <c r="AR255" s="2">
        <v>0</v>
      </c>
      <c r="AS255" s="2">
        <v>10</v>
      </c>
      <c r="AT255" s="2">
        <v>0</v>
      </c>
      <c r="AU255" s="2">
        <v>1000</v>
      </c>
      <c r="AV255" s="2">
        <v>1000</v>
      </c>
      <c r="AW255" s="2">
        <v>0</v>
      </c>
      <c r="AX255" s="2">
        <v>0</v>
      </c>
      <c r="AY255" s="2">
        <v>0</v>
      </c>
      <c r="AZ255" s="2">
        <v>952</v>
      </c>
      <c r="BA255" s="2">
        <v>907</v>
      </c>
      <c r="BB255" s="2">
        <v>904</v>
      </c>
      <c r="BC255" s="2">
        <v>-1000</v>
      </c>
      <c r="BD255" s="2">
        <v>-5000</v>
      </c>
      <c r="BE255" s="2">
        <v>5000</v>
      </c>
      <c r="BF255" s="2">
        <v>3000</v>
      </c>
      <c r="BG255" s="2">
        <v>5000</v>
      </c>
      <c r="BH255" s="2">
        <v>2500</v>
      </c>
      <c r="BI255" s="2">
        <v>3000</v>
      </c>
      <c r="BJ255" s="2">
        <v>-1500</v>
      </c>
      <c r="BK255" s="2">
        <v>1000</v>
      </c>
      <c r="BL255" s="2">
        <v>1000</v>
      </c>
      <c r="BO255" s="2">
        <f t="shared" si="126"/>
        <v>0</v>
      </c>
      <c r="BP255" s="2">
        <f t="shared" si="136"/>
        <v>0</v>
      </c>
      <c r="BQ255" s="2">
        <f t="shared" si="137"/>
        <v>0</v>
      </c>
      <c r="BR255" s="2">
        <f t="shared" si="138"/>
        <v>0</v>
      </c>
      <c r="BS255" s="2">
        <f t="shared" si="139"/>
        <v>0</v>
      </c>
      <c r="BT255" s="2">
        <f t="shared" si="140"/>
        <v>0</v>
      </c>
      <c r="BU255" s="2">
        <f t="shared" si="141"/>
        <v>0</v>
      </c>
      <c r="BV255" s="2">
        <f t="shared" si="142"/>
        <v>0</v>
      </c>
      <c r="BW255" s="2">
        <f t="shared" si="143"/>
        <v>0</v>
      </c>
      <c r="BX255" s="2">
        <f t="shared" si="144"/>
        <v>0</v>
      </c>
      <c r="BY255" s="2">
        <f t="shared" si="145"/>
        <v>0</v>
      </c>
      <c r="BZ255" s="2">
        <f t="shared" si="146"/>
        <v>0</v>
      </c>
      <c r="CA255" s="2">
        <f t="shared" si="147"/>
        <v>0</v>
      </c>
      <c r="CB255" s="2">
        <f t="shared" si="148"/>
        <v>0</v>
      </c>
      <c r="CC255" s="2">
        <f t="shared" si="149"/>
        <v>0</v>
      </c>
      <c r="CD255" s="2">
        <f t="shared" si="150"/>
        <v>0</v>
      </c>
      <c r="CE255" s="2">
        <f t="shared" si="151"/>
        <v>0</v>
      </c>
      <c r="CF255" s="2">
        <f t="shared" si="152"/>
        <v>442.8</v>
      </c>
      <c r="CG255" s="2">
        <f t="shared" si="153"/>
        <v>15841.55</v>
      </c>
      <c r="CH255" s="2">
        <f t="shared" si="154"/>
        <v>62.73</v>
      </c>
      <c r="CI255" s="2">
        <f t="shared" si="155"/>
        <v>0</v>
      </c>
      <c r="CJ255" s="2">
        <f t="shared" si="156"/>
        <v>0</v>
      </c>
      <c r="CK255" s="2">
        <f t="shared" si="157"/>
        <v>0</v>
      </c>
      <c r="CL255" s="2">
        <f t="shared" si="158"/>
        <v>0</v>
      </c>
      <c r="CM255" s="2">
        <f t="shared" si="130"/>
        <v>0</v>
      </c>
      <c r="CN255" s="2">
        <f t="shared" si="131"/>
        <v>0</v>
      </c>
      <c r="CO255" s="2">
        <f t="shared" si="132"/>
        <v>0</v>
      </c>
      <c r="CP255" s="2">
        <f t="shared" si="133"/>
        <v>0</v>
      </c>
      <c r="CQ255" s="2">
        <f t="shared" si="134"/>
        <v>0</v>
      </c>
      <c r="CR255" s="2">
        <f t="shared" si="135"/>
        <v>0</v>
      </c>
      <c r="CV255" t="s">
        <v>64</v>
      </c>
      <c r="CW255" t="s">
        <v>328</v>
      </c>
      <c r="CX255" t="s">
        <v>7</v>
      </c>
      <c r="CY255" s="4">
        <v>42961</v>
      </c>
      <c r="CZ255" t="s">
        <v>65</v>
      </c>
      <c r="DA255" t="s">
        <v>66</v>
      </c>
      <c r="DB255">
        <v>10</v>
      </c>
      <c r="DC255">
        <v>99.02</v>
      </c>
      <c r="DD255" t="s">
        <v>69</v>
      </c>
      <c r="DE255" t="s">
        <v>70</v>
      </c>
      <c r="DF255">
        <v>990.19999999999993</v>
      </c>
    </row>
    <row r="256" spans="1:110" x14ac:dyDescent="0.25">
      <c r="A256" s="1">
        <v>43105</v>
      </c>
      <c r="B256">
        <v>171.68</v>
      </c>
      <c r="C256">
        <v>99.93</v>
      </c>
      <c r="D256">
        <v>301.38</v>
      </c>
      <c r="E256">
        <v>157.4</v>
      </c>
      <c r="F256">
        <v>38.35</v>
      </c>
      <c r="G256">
        <v>121.92</v>
      </c>
      <c r="H256">
        <v>109.88</v>
      </c>
      <c r="I256">
        <v>73.7</v>
      </c>
      <c r="J256">
        <v>252.05</v>
      </c>
      <c r="K256">
        <v>188.25</v>
      </c>
      <c r="L256">
        <v>153.66999999999999</v>
      </c>
      <c r="M256">
        <v>43.37</v>
      </c>
      <c r="N256">
        <v>137.97</v>
      </c>
      <c r="O256">
        <v>105.61</v>
      </c>
      <c r="P256">
        <v>44.53</v>
      </c>
      <c r="Q256">
        <v>169.75</v>
      </c>
      <c r="R256">
        <v>232.74</v>
      </c>
      <c r="S256">
        <v>55.3</v>
      </c>
      <c r="T256">
        <v>86.69</v>
      </c>
      <c r="U256">
        <v>63.27</v>
      </c>
      <c r="V256">
        <v>35.28</v>
      </c>
      <c r="W256">
        <v>87.44</v>
      </c>
      <c r="X256">
        <v>129.13</v>
      </c>
      <c r="Y256">
        <v>225.69</v>
      </c>
      <c r="Z256">
        <v>127.92</v>
      </c>
      <c r="AA256">
        <v>117.87</v>
      </c>
      <c r="AB256">
        <v>49.59</v>
      </c>
      <c r="AC256">
        <v>70.78</v>
      </c>
      <c r="AD256">
        <v>97.81</v>
      </c>
      <c r="AE256">
        <v>82.38</v>
      </c>
      <c r="AI256" s="2">
        <v>5000</v>
      </c>
      <c r="AJ256" s="2">
        <f t="shared" ref="AJ256:AP281" si="168">AJ255</f>
        <v>1180</v>
      </c>
      <c r="AK256" s="2">
        <f t="shared" si="168"/>
        <v>1180</v>
      </c>
      <c r="AL256" s="2">
        <f t="shared" si="168"/>
        <v>1180</v>
      </c>
      <c r="AM256" s="2">
        <f t="shared" si="168"/>
        <v>1180</v>
      </c>
      <c r="AN256" s="2">
        <f t="shared" si="168"/>
        <v>1180</v>
      </c>
      <c r="AO256" s="2">
        <f t="shared" si="168"/>
        <v>1180</v>
      </c>
      <c r="AP256" s="2">
        <f t="shared" si="168"/>
        <v>1060</v>
      </c>
      <c r="AQ256" s="2">
        <v>1000</v>
      </c>
      <c r="AR256" s="2">
        <v>0</v>
      </c>
      <c r="AS256" s="2">
        <v>10</v>
      </c>
      <c r="AT256" s="2">
        <v>0</v>
      </c>
      <c r="AU256" s="2">
        <v>1000</v>
      </c>
      <c r="AV256" s="2">
        <v>1000</v>
      </c>
      <c r="AW256" s="2">
        <v>0</v>
      </c>
      <c r="AX256" s="2">
        <v>0</v>
      </c>
      <c r="AY256" s="2">
        <v>0</v>
      </c>
      <c r="AZ256" s="2">
        <v>977</v>
      </c>
      <c r="BA256" s="2">
        <v>971</v>
      </c>
      <c r="BB256" s="2">
        <v>1030</v>
      </c>
      <c r="BC256" s="2">
        <v>-1000</v>
      </c>
      <c r="BD256" s="2">
        <v>-5000</v>
      </c>
      <c r="BE256" s="2">
        <v>5000</v>
      </c>
      <c r="BF256" s="2">
        <v>3000</v>
      </c>
      <c r="BG256" s="2">
        <v>5000</v>
      </c>
      <c r="BH256" s="2">
        <v>2500</v>
      </c>
      <c r="BI256" s="2">
        <v>3000</v>
      </c>
      <c r="BJ256" s="2">
        <v>-1500</v>
      </c>
      <c r="BK256" s="2">
        <v>1000</v>
      </c>
      <c r="BL256" s="2">
        <v>1000</v>
      </c>
      <c r="BO256" s="2">
        <f t="shared" si="126"/>
        <v>0</v>
      </c>
      <c r="BP256" s="2">
        <f t="shared" si="136"/>
        <v>0</v>
      </c>
      <c r="BQ256" s="2">
        <f t="shared" si="137"/>
        <v>0</v>
      </c>
      <c r="BR256" s="2">
        <f t="shared" si="138"/>
        <v>0</v>
      </c>
      <c r="BS256" s="2">
        <f t="shared" si="139"/>
        <v>0</v>
      </c>
      <c r="BT256" s="2">
        <f t="shared" si="140"/>
        <v>0</v>
      </c>
      <c r="BU256" s="2">
        <f t="shared" si="141"/>
        <v>0</v>
      </c>
      <c r="BV256" s="2">
        <f t="shared" si="142"/>
        <v>0</v>
      </c>
      <c r="BW256" s="2">
        <f t="shared" si="143"/>
        <v>0</v>
      </c>
      <c r="BX256" s="2">
        <f t="shared" si="144"/>
        <v>0</v>
      </c>
      <c r="BY256" s="2">
        <f t="shared" si="145"/>
        <v>0</v>
      </c>
      <c r="BZ256" s="2">
        <f t="shared" si="146"/>
        <v>0</v>
      </c>
      <c r="CA256" s="2">
        <f t="shared" si="147"/>
        <v>0</v>
      </c>
      <c r="CB256" s="2">
        <f t="shared" si="148"/>
        <v>0</v>
      </c>
      <c r="CC256" s="2">
        <f t="shared" si="149"/>
        <v>0</v>
      </c>
      <c r="CD256" s="2">
        <f t="shared" si="150"/>
        <v>0</v>
      </c>
      <c r="CE256" s="2">
        <f t="shared" si="151"/>
        <v>0</v>
      </c>
      <c r="CF256" s="2">
        <f t="shared" si="152"/>
        <v>-1382.5</v>
      </c>
      <c r="CG256" s="2">
        <f t="shared" si="153"/>
        <v>-5548.16</v>
      </c>
      <c r="CH256" s="2">
        <f t="shared" si="154"/>
        <v>-7972.02</v>
      </c>
      <c r="CI256" s="2">
        <f t="shared" si="155"/>
        <v>0</v>
      </c>
      <c r="CJ256" s="2">
        <f t="shared" si="156"/>
        <v>0</v>
      </c>
      <c r="CK256" s="2">
        <f t="shared" si="157"/>
        <v>0</v>
      </c>
      <c r="CL256" s="2">
        <f t="shared" si="158"/>
        <v>0</v>
      </c>
      <c r="CM256" s="2">
        <f t="shared" si="130"/>
        <v>0</v>
      </c>
      <c r="CN256" s="2">
        <f t="shared" si="131"/>
        <v>0</v>
      </c>
      <c r="CO256" s="2">
        <f t="shared" si="132"/>
        <v>0</v>
      </c>
      <c r="CP256" s="2">
        <f t="shared" si="133"/>
        <v>0</v>
      </c>
      <c r="CQ256" s="2">
        <f t="shared" si="134"/>
        <v>0</v>
      </c>
      <c r="CR256" s="2">
        <f t="shared" si="135"/>
        <v>0</v>
      </c>
      <c r="CV256" t="s">
        <v>64</v>
      </c>
      <c r="CW256" t="s">
        <v>329</v>
      </c>
      <c r="CX256" t="s">
        <v>7</v>
      </c>
      <c r="CY256" s="4">
        <v>42979</v>
      </c>
      <c r="CZ256" t="s">
        <v>65</v>
      </c>
      <c r="DA256" t="s">
        <v>66</v>
      </c>
      <c r="DB256">
        <v>10</v>
      </c>
      <c r="DC256">
        <v>99.12</v>
      </c>
      <c r="DD256" t="s">
        <v>69</v>
      </c>
      <c r="DE256" t="s">
        <v>70</v>
      </c>
      <c r="DF256">
        <v>991.2</v>
      </c>
    </row>
    <row r="257" spans="1:110" x14ac:dyDescent="0.25">
      <c r="A257" s="1">
        <v>43108</v>
      </c>
      <c r="B257">
        <v>171.04</v>
      </c>
      <c r="C257">
        <v>99.01</v>
      </c>
      <c r="D257">
        <v>302.66000000000003</v>
      </c>
      <c r="E257">
        <v>161.36000000000001</v>
      </c>
      <c r="F257">
        <v>38.75</v>
      </c>
      <c r="G257">
        <v>122.52</v>
      </c>
      <c r="H257">
        <v>108.3</v>
      </c>
      <c r="I257">
        <v>73.44</v>
      </c>
      <c r="J257">
        <v>248.39</v>
      </c>
      <c r="K257">
        <v>187.8</v>
      </c>
      <c r="L257">
        <v>154.59</v>
      </c>
      <c r="M257">
        <v>43.37</v>
      </c>
      <c r="N257">
        <v>138.13999999999999</v>
      </c>
      <c r="O257">
        <v>105.76</v>
      </c>
      <c r="P257">
        <v>44.46</v>
      </c>
      <c r="Q257">
        <v>169.63</v>
      </c>
      <c r="R257">
        <v>231.99</v>
      </c>
      <c r="S257">
        <v>54.98</v>
      </c>
      <c r="T257">
        <v>86.78</v>
      </c>
      <c r="U257">
        <v>63.83</v>
      </c>
      <c r="V257">
        <v>34.89</v>
      </c>
      <c r="W257">
        <v>87.9</v>
      </c>
      <c r="X257">
        <v>128.44</v>
      </c>
      <c r="Y257">
        <v>221.77</v>
      </c>
      <c r="Z257">
        <v>129.13</v>
      </c>
      <c r="AA257">
        <v>118.34</v>
      </c>
      <c r="AB257">
        <v>49.5</v>
      </c>
      <c r="AC257">
        <v>71.680000000000007</v>
      </c>
      <c r="AD257">
        <v>99.25</v>
      </c>
      <c r="AE257">
        <v>82.75</v>
      </c>
      <c r="AI257" s="2">
        <v>5000</v>
      </c>
      <c r="AJ257" s="2">
        <f t="shared" si="168"/>
        <v>1180</v>
      </c>
      <c r="AK257" s="2">
        <f t="shared" si="168"/>
        <v>1180</v>
      </c>
      <c r="AL257" s="2">
        <f t="shared" si="168"/>
        <v>1180</v>
      </c>
      <c r="AM257" s="2">
        <f t="shared" si="168"/>
        <v>1180</v>
      </c>
      <c r="AN257" s="2">
        <f t="shared" si="168"/>
        <v>1180</v>
      </c>
      <c r="AO257" s="2">
        <f t="shared" si="168"/>
        <v>1180</v>
      </c>
      <c r="AP257" s="2">
        <f t="shared" si="168"/>
        <v>1060</v>
      </c>
      <c r="AQ257" s="2">
        <v>1000</v>
      </c>
      <c r="AR257" s="2">
        <v>0</v>
      </c>
      <c r="AS257" s="2">
        <v>10</v>
      </c>
      <c r="AT257" s="2">
        <v>0</v>
      </c>
      <c r="AU257" s="2">
        <v>1000</v>
      </c>
      <c r="AV257" s="2">
        <v>1000</v>
      </c>
      <c r="AW257" s="2">
        <v>0</v>
      </c>
      <c r="AX257" s="2">
        <v>0</v>
      </c>
      <c r="AY257" s="2">
        <v>0</v>
      </c>
      <c r="AZ257" s="2">
        <v>1016</v>
      </c>
      <c r="BA257" s="2">
        <v>938</v>
      </c>
      <c r="BB257" s="2">
        <v>1003</v>
      </c>
      <c r="BC257" s="2">
        <v>-1000</v>
      </c>
      <c r="BD257" s="2">
        <v>-5000</v>
      </c>
      <c r="BE257" s="2">
        <v>5000</v>
      </c>
      <c r="BF257" s="2">
        <v>3000</v>
      </c>
      <c r="BG257" s="2">
        <v>5000</v>
      </c>
      <c r="BH257" s="2">
        <v>2500</v>
      </c>
      <c r="BI257" s="2">
        <v>3000</v>
      </c>
      <c r="BJ257" s="2">
        <v>-1500</v>
      </c>
      <c r="BK257" s="2">
        <v>1000</v>
      </c>
      <c r="BL257" s="2">
        <v>1000</v>
      </c>
      <c r="BO257" s="2">
        <f t="shared" si="126"/>
        <v>0</v>
      </c>
      <c r="BP257" s="2">
        <f t="shared" si="136"/>
        <v>0</v>
      </c>
      <c r="BQ257" s="2">
        <f t="shared" si="137"/>
        <v>0</v>
      </c>
      <c r="BR257" s="2">
        <f t="shared" si="138"/>
        <v>0</v>
      </c>
      <c r="BS257" s="2">
        <f t="shared" si="139"/>
        <v>0</v>
      </c>
      <c r="BT257" s="2">
        <f t="shared" si="140"/>
        <v>0</v>
      </c>
      <c r="BU257" s="2">
        <f t="shared" si="141"/>
        <v>0</v>
      </c>
      <c r="BV257" s="2">
        <f t="shared" si="142"/>
        <v>0</v>
      </c>
      <c r="BW257" s="2">
        <f t="shared" si="143"/>
        <v>0</v>
      </c>
      <c r="BX257" s="2">
        <f t="shared" si="144"/>
        <v>0</v>
      </c>
      <c r="BY257" s="2">
        <f t="shared" si="145"/>
        <v>0</v>
      </c>
      <c r="BZ257" s="2">
        <f t="shared" si="146"/>
        <v>0</v>
      </c>
      <c r="CA257" s="2">
        <f t="shared" si="147"/>
        <v>0</v>
      </c>
      <c r="CB257" s="2">
        <f t="shared" si="148"/>
        <v>0</v>
      </c>
      <c r="CC257" s="2">
        <f t="shared" si="149"/>
        <v>0</v>
      </c>
      <c r="CD257" s="2">
        <f t="shared" si="150"/>
        <v>0</v>
      </c>
      <c r="CE257" s="2">
        <f t="shared" si="151"/>
        <v>0</v>
      </c>
      <c r="CF257" s="2">
        <f t="shared" si="152"/>
        <v>-2144.2199999999998</v>
      </c>
      <c r="CG257" s="2">
        <f t="shared" si="153"/>
        <v>2863.7400000000002</v>
      </c>
      <c r="CH257" s="2">
        <f t="shared" si="154"/>
        <v>1723.4099999999999</v>
      </c>
      <c r="CI257" s="2">
        <f t="shared" si="155"/>
        <v>0</v>
      </c>
      <c r="CJ257" s="2">
        <f t="shared" si="156"/>
        <v>0</v>
      </c>
      <c r="CK257" s="2">
        <f t="shared" si="157"/>
        <v>0</v>
      </c>
      <c r="CL257" s="2">
        <f t="shared" si="158"/>
        <v>0</v>
      </c>
      <c r="CM257" s="2">
        <f t="shared" si="130"/>
        <v>0</v>
      </c>
      <c r="CN257" s="2">
        <f t="shared" si="131"/>
        <v>0</v>
      </c>
      <c r="CO257" s="2">
        <f t="shared" si="132"/>
        <v>0</v>
      </c>
      <c r="CP257" s="2">
        <f t="shared" si="133"/>
        <v>0</v>
      </c>
      <c r="CQ257" s="2">
        <f t="shared" si="134"/>
        <v>0</v>
      </c>
      <c r="CR257" s="2">
        <f t="shared" si="135"/>
        <v>0</v>
      </c>
      <c r="CV257" t="s">
        <v>64</v>
      </c>
      <c r="CW257" t="s">
        <v>330</v>
      </c>
      <c r="CX257" t="s">
        <v>7</v>
      </c>
      <c r="CY257" s="4">
        <v>43000</v>
      </c>
      <c r="CZ257" t="s">
        <v>65</v>
      </c>
      <c r="DA257" t="s">
        <v>66</v>
      </c>
      <c r="DB257">
        <v>10</v>
      </c>
      <c r="DC257">
        <v>96.29</v>
      </c>
      <c r="DD257" t="s">
        <v>69</v>
      </c>
      <c r="DE257" t="s">
        <v>70</v>
      </c>
      <c r="DF257">
        <v>962.90000000000009</v>
      </c>
    </row>
    <row r="258" spans="1:110" x14ac:dyDescent="0.25">
      <c r="A258" s="1">
        <v>43109</v>
      </c>
      <c r="B258">
        <v>171.02</v>
      </c>
      <c r="C258">
        <v>99.38</v>
      </c>
      <c r="D258">
        <v>310.74</v>
      </c>
      <c r="E258">
        <v>161.75</v>
      </c>
      <c r="F258">
        <v>38.51</v>
      </c>
      <c r="G258">
        <v>121.87</v>
      </c>
      <c r="H258">
        <v>108.22</v>
      </c>
      <c r="I258">
        <v>73.62</v>
      </c>
      <c r="J258">
        <v>250.49</v>
      </c>
      <c r="K258">
        <v>188.83</v>
      </c>
      <c r="L258">
        <v>154.94</v>
      </c>
      <c r="M258">
        <v>42.28</v>
      </c>
      <c r="N258">
        <v>140.33000000000001</v>
      </c>
      <c r="O258">
        <v>106.3</v>
      </c>
      <c r="P258">
        <v>44.68</v>
      </c>
      <c r="Q258">
        <v>169.25</v>
      </c>
      <c r="R258">
        <v>233.43</v>
      </c>
      <c r="S258">
        <v>55.11</v>
      </c>
      <c r="T258">
        <v>86.72</v>
      </c>
      <c r="U258">
        <v>63.37</v>
      </c>
      <c r="V258">
        <v>34.85</v>
      </c>
      <c r="W258">
        <v>87.26</v>
      </c>
      <c r="X258">
        <v>129.43</v>
      </c>
      <c r="Y258">
        <v>222.87</v>
      </c>
      <c r="Z258">
        <v>130.54</v>
      </c>
      <c r="AA258">
        <v>118.12</v>
      </c>
      <c r="AB258">
        <v>49.32</v>
      </c>
      <c r="AC258">
        <v>71.260000000000005</v>
      </c>
      <c r="AD258">
        <v>98.06</v>
      </c>
      <c r="AE258">
        <v>82.4</v>
      </c>
      <c r="AI258" s="2">
        <v>5000</v>
      </c>
      <c r="AJ258" s="2">
        <f t="shared" si="168"/>
        <v>1180</v>
      </c>
      <c r="AK258" s="2">
        <f t="shared" si="168"/>
        <v>1180</v>
      </c>
      <c r="AL258" s="2">
        <f t="shared" si="168"/>
        <v>1180</v>
      </c>
      <c r="AM258" s="2">
        <f t="shared" si="168"/>
        <v>1180</v>
      </c>
      <c r="AN258" s="2">
        <f t="shared" si="168"/>
        <v>1180</v>
      </c>
      <c r="AO258" s="2">
        <f t="shared" si="168"/>
        <v>1180</v>
      </c>
      <c r="AP258" s="2">
        <f t="shared" si="168"/>
        <v>1060</v>
      </c>
      <c r="AQ258" s="2">
        <v>1000</v>
      </c>
      <c r="AR258" s="2">
        <v>0</v>
      </c>
      <c r="AS258" s="2">
        <v>10</v>
      </c>
      <c r="AT258" s="2">
        <v>0</v>
      </c>
      <c r="AU258" s="2">
        <v>1000</v>
      </c>
      <c r="AV258" s="2">
        <v>1000</v>
      </c>
      <c r="AW258" s="2">
        <v>0</v>
      </c>
      <c r="AX258" s="2">
        <v>0</v>
      </c>
      <c r="AY258" s="2">
        <v>0</v>
      </c>
      <c r="AZ258" s="2">
        <v>989</v>
      </c>
      <c r="BA258" s="2">
        <v>1076</v>
      </c>
      <c r="BB258" s="2">
        <v>928</v>
      </c>
      <c r="BC258" s="2">
        <v>-1000</v>
      </c>
      <c r="BD258" s="2">
        <v>-5000</v>
      </c>
      <c r="BE258" s="2">
        <v>5000</v>
      </c>
      <c r="BF258" s="2">
        <v>3000</v>
      </c>
      <c r="BG258" s="2">
        <v>5000</v>
      </c>
      <c r="BH258" s="2">
        <v>2500</v>
      </c>
      <c r="BI258" s="2">
        <v>3000</v>
      </c>
      <c r="BJ258" s="2">
        <v>-1500</v>
      </c>
      <c r="BK258" s="2">
        <v>1000</v>
      </c>
      <c r="BL258" s="2">
        <v>1000</v>
      </c>
      <c r="BO258" s="2">
        <f t="shared" si="126"/>
        <v>0</v>
      </c>
      <c r="BP258" s="2">
        <f t="shared" si="136"/>
        <v>0</v>
      </c>
      <c r="BQ258" s="2">
        <f t="shared" si="137"/>
        <v>0</v>
      </c>
      <c r="BR258" s="2">
        <f t="shared" si="138"/>
        <v>0</v>
      </c>
      <c r="BS258" s="2">
        <f t="shared" si="139"/>
        <v>0</v>
      </c>
      <c r="BT258" s="2">
        <f t="shared" si="140"/>
        <v>0</v>
      </c>
      <c r="BU258" s="2">
        <f t="shared" si="141"/>
        <v>0</v>
      </c>
      <c r="BV258" s="2">
        <f t="shared" si="142"/>
        <v>0</v>
      </c>
      <c r="BW258" s="2">
        <f t="shared" si="143"/>
        <v>0</v>
      </c>
      <c r="BX258" s="2">
        <f t="shared" si="144"/>
        <v>0</v>
      </c>
      <c r="BY258" s="2">
        <f t="shared" si="145"/>
        <v>0</v>
      </c>
      <c r="BZ258" s="2">
        <f t="shared" si="146"/>
        <v>0</v>
      </c>
      <c r="CA258" s="2">
        <f t="shared" si="147"/>
        <v>0</v>
      </c>
      <c r="CB258" s="2">
        <f t="shared" si="148"/>
        <v>0</v>
      </c>
      <c r="CC258" s="2">
        <f t="shared" si="149"/>
        <v>0</v>
      </c>
      <c r="CD258" s="2">
        <f t="shared" si="150"/>
        <v>0</v>
      </c>
      <c r="CE258" s="2">
        <f t="shared" si="151"/>
        <v>0</v>
      </c>
      <c r="CF258" s="2">
        <f t="shared" si="152"/>
        <v>1487.97</v>
      </c>
      <c r="CG258" s="2">
        <f t="shared" si="153"/>
        <v>-11967.36</v>
      </c>
      <c r="CH258" s="2">
        <f t="shared" si="154"/>
        <v>4752.75</v>
      </c>
      <c r="CI258" s="2">
        <f t="shared" si="155"/>
        <v>0</v>
      </c>
      <c r="CJ258" s="2">
        <f t="shared" si="156"/>
        <v>0</v>
      </c>
      <c r="CK258" s="2">
        <f t="shared" si="157"/>
        <v>0</v>
      </c>
      <c r="CL258" s="2">
        <f t="shared" si="158"/>
        <v>0</v>
      </c>
      <c r="CM258" s="2">
        <f t="shared" si="130"/>
        <v>0</v>
      </c>
      <c r="CN258" s="2">
        <f t="shared" si="131"/>
        <v>0</v>
      </c>
      <c r="CO258" s="2">
        <f t="shared" si="132"/>
        <v>0</v>
      </c>
      <c r="CP258" s="2">
        <f t="shared" si="133"/>
        <v>0</v>
      </c>
      <c r="CQ258" s="2">
        <f t="shared" si="134"/>
        <v>0</v>
      </c>
      <c r="CR258" s="2">
        <f t="shared" si="135"/>
        <v>0</v>
      </c>
      <c r="CV258" t="s">
        <v>64</v>
      </c>
      <c r="CW258" t="s">
        <v>331</v>
      </c>
      <c r="CX258" t="s">
        <v>7</v>
      </c>
      <c r="CY258" s="4">
        <v>43020</v>
      </c>
      <c r="CZ258" t="s">
        <v>65</v>
      </c>
      <c r="DA258" t="s">
        <v>66</v>
      </c>
      <c r="DB258">
        <v>10</v>
      </c>
      <c r="DC258">
        <v>94.66</v>
      </c>
      <c r="DD258" t="s">
        <v>69</v>
      </c>
      <c r="DE258" t="s">
        <v>70</v>
      </c>
      <c r="DF258">
        <v>946.59999999999991</v>
      </c>
    </row>
    <row r="259" spans="1:110" x14ac:dyDescent="0.25">
      <c r="A259" s="1">
        <v>43110</v>
      </c>
      <c r="B259">
        <v>170.98</v>
      </c>
      <c r="C259">
        <v>100.07</v>
      </c>
      <c r="D259">
        <v>312.52999999999997</v>
      </c>
      <c r="E259">
        <v>161.19999999999999</v>
      </c>
      <c r="F259">
        <v>38.72</v>
      </c>
      <c r="G259">
        <v>122.65</v>
      </c>
      <c r="H259">
        <v>107.76</v>
      </c>
      <c r="I259">
        <v>72.510000000000005</v>
      </c>
      <c r="J259">
        <v>250.87</v>
      </c>
      <c r="K259">
        <v>187.56</v>
      </c>
      <c r="L259">
        <v>155.27000000000001</v>
      </c>
      <c r="M259">
        <v>41.2</v>
      </c>
      <c r="N259">
        <v>140.16999999999999</v>
      </c>
      <c r="O259">
        <v>107.47</v>
      </c>
      <c r="P259">
        <v>44.53</v>
      </c>
      <c r="Q259">
        <v>169.22</v>
      </c>
      <c r="R259">
        <v>233.3</v>
      </c>
      <c r="S259">
        <v>55.6</v>
      </c>
      <c r="T259">
        <v>86.33</v>
      </c>
      <c r="U259">
        <v>63.5</v>
      </c>
      <c r="V259">
        <v>34.909999999999997</v>
      </c>
      <c r="W259">
        <v>86.7</v>
      </c>
      <c r="X259">
        <v>129.08000000000001</v>
      </c>
      <c r="Y259">
        <v>221.22</v>
      </c>
      <c r="Z259">
        <v>131.16</v>
      </c>
      <c r="AA259">
        <v>117.99</v>
      </c>
      <c r="AB259">
        <v>49.4</v>
      </c>
      <c r="AC259">
        <v>71.91</v>
      </c>
      <c r="AD259">
        <v>97.36</v>
      </c>
      <c r="AE259">
        <v>81.75</v>
      </c>
      <c r="AI259" s="2">
        <v>5000</v>
      </c>
      <c r="AJ259" s="2">
        <f t="shared" si="168"/>
        <v>1180</v>
      </c>
      <c r="AK259" s="2">
        <f t="shared" si="168"/>
        <v>1180</v>
      </c>
      <c r="AL259" s="2">
        <f t="shared" si="168"/>
        <v>1180</v>
      </c>
      <c r="AM259" s="2">
        <f t="shared" si="168"/>
        <v>1180</v>
      </c>
      <c r="AN259" s="2">
        <f t="shared" si="168"/>
        <v>1180</v>
      </c>
      <c r="AO259" s="2">
        <f t="shared" si="168"/>
        <v>1180</v>
      </c>
      <c r="AP259" s="2">
        <f t="shared" si="168"/>
        <v>1060</v>
      </c>
      <c r="AQ259" s="2">
        <v>1000</v>
      </c>
      <c r="AR259" s="2">
        <v>0</v>
      </c>
      <c r="AS259" s="2">
        <v>10</v>
      </c>
      <c r="AT259" s="2">
        <v>0</v>
      </c>
      <c r="AU259" s="2">
        <v>1000</v>
      </c>
      <c r="AV259" s="2">
        <v>1000</v>
      </c>
      <c r="AW259" s="2">
        <v>0</v>
      </c>
      <c r="AX259" s="2">
        <v>0</v>
      </c>
      <c r="AY259" s="2">
        <v>0</v>
      </c>
      <c r="AZ259" s="2">
        <v>974</v>
      </c>
      <c r="BA259" s="2">
        <v>1047</v>
      </c>
      <c r="BB259" s="2">
        <v>1092</v>
      </c>
      <c r="BC259" s="2">
        <v>-1000</v>
      </c>
      <c r="BD259" s="2">
        <v>-5000</v>
      </c>
      <c r="BE259" s="2">
        <v>5000</v>
      </c>
      <c r="BF259" s="2">
        <v>3000</v>
      </c>
      <c r="BG259" s="2">
        <v>5000</v>
      </c>
      <c r="BH259" s="2">
        <v>2500</v>
      </c>
      <c r="BI259" s="2">
        <v>3000</v>
      </c>
      <c r="BJ259" s="2">
        <v>-1500</v>
      </c>
      <c r="BK259" s="2">
        <v>1000</v>
      </c>
      <c r="BL259" s="2">
        <v>1000</v>
      </c>
      <c r="BO259" s="2">
        <f t="shared" si="126"/>
        <v>0</v>
      </c>
      <c r="BP259" s="2">
        <f t="shared" si="136"/>
        <v>0</v>
      </c>
      <c r="BQ259" s="2">
        <f t="shared" si="137"/>
        <v>0</v>
      </c>
      <c r="BR259" s="2">
        <f t="shared" si="138"/>
        <v>0</v>
      </c>
      <c r="BS259" s="2">
        <f t="shared" si="139"/>
        <v>0</v>
      </c>
      <c r="BT259" s="2">
        <f t="shared" si="140"/>
        <v>0</v>
      </c>
      <c r="BU259" s="2">
        <f t="shared" si="141"/>
        <v>0</v>
      </c>
      <c r="BV259" s="2">
        <f t="shared" si="142"/>
        <v>0</v>
      </c>
      <c r="BW259" s="2">
        <f t="shared" si="143"/>
        <v>0</v>
      </c>
      <c r="BX259" s="2">
        <f t="shared" si="144"/>
        <v>0</v>
      </c>
      <c r="BY259" s="2">
        <f t="shared" si="145"/>
        <v>0</v>
      </c>
      <c r="BZ259" s="2">
        <f t="shared" si="146"/>
        <v>0</v>
      </c>
      <c r="CA259" s="2">
        <f t="shared" si="147"/>
        <v>0</v>
      </c>
      <c r="CB259" s="2">
        <f t="shared" si="148"/>
        <v>0</v>
      </c>
      <c r="CC259" s="2">
        <f t="shared" si="149"/>
        <v>0</v>
      </c>
      <c r="CD259" s="2">
        <f t="shared" si="150"/>
        <v>0</v>
      </c>
      <c r="CE259" s="2">
        <f t="shared" si="151"/>
        <v>0</v>
      </c>
      <c r="CF259" s="2">
        <f t="shared" si="152"/>
        <v>834</v>
      </c>
      <c r="CG259" s="2">
        <f t="shared" si="153"/>
        <v>2503.5700000000002</v>
      </c>
      <c r="CH259" s="2">
        <f t="shared" si="154"/>
        <v>-10414</v>
      </c>
      <c r="CI259" s="2">
        <f t="shared" si="155"/>
        <v>0</v>
      </c>
      <c r="CJ259" s="2">
        <f t="shared" si="156"/>
        <v>0</v>
      </c>
      <c r="CK259" s="2">
        <f t="shared" si="157"/>
        <v>0</v>
      </c>
      <c r="CL259" s="2">
        <f t="shared" si="158"/>
        <v>0</v>
      </c>
      <c r="CM259" s="2">
        <f t="shared" si="130"/>
        <v>0</v>
      </c>
      <c r="CN259" s="2">
        <f t="shared" si="131"/>
        <v>0</v>
      </c>
      <c r="CO259" s="2">
        <f t="shared" si="132"/>
        <v>0</v>
      </c>
      <c r="CP259" s="2">
        <f t="shared" si="133"/>
        <v>0</v>
      </c>
      <c r="CQ259" s="2">
        <f t="shared" si="134"/>
        <v>0</v>
      </c>
      <c r="CR259" s="2">
        <f t="shared" si="135"/>
        <v>0</v>
      </c>
      <c r="CV259" t="s">
        <v>64</v>
      </c>
      <c r="CW259" t="s">
        <v>332</v>
      </c>
      <c r="CX259" t="s">
        <v>7</v>
      </c>
      <c r="CY259" s="4">
        <v>43040</v>
      </c>
      <c r="CZ259" t="s">
        <v>65</v>
      </c>
      <c r="DA259" t="s">
        <v>66</v>
      </c>
      <c r="DB259">
        <v>10</v>
      </c>
      <c r="DC259">
        <v>96.71</v>
      </c>
      <c r="DD259" t="s">
        <v>69</v>
      </c>
      <c r="DE259" t="s">
        <v>70</v>
      </c>
      <c r="DF259">
        <v>967.09999999999991</v>
      </c>
    </row>
    <row r="260" spans="1:110" x14ac:dyDescent="0.25">
      <c r="A260" s="1">
        <v>43111</v>
      </c>
      <c r="B260">
        <v>171.95</v>
      </c>
      <c r="C260">
        <v>99.59</v>
      </c>
      <c r="D260">
        <v>320.2</v>
      </c>
      <c r="E260">
        <v>164.44</v>
      </c>
      <c r="F260">
        <v>38.909999999999997</v>
      </c>
      <c r="G260">
        <v>126.38</v>
      </c>
      <c r="H260">
        <v>109.26</v>
      </c>
      <c r="I260">
        <v>73.5</v>
      </c>
      <c r="J260">
        <v>251.66</v>
      </c>
      <c r="K260">
        <v>190.38</v>
      </c>
      <c r="L260">
        <v>155.29</v>
      </c>
      <c r="M260">
        <v>42.08</v>
      </c>
      <c r="N260">
        <v>140.97</v>
      </c>
      <c r="O260">
        <v>108.04</v>
      </c>
      <c r="P260">
        <v>44.5</v>
      </c>
      <c r="Q260">
        <v>169.11</v>
      </c>
      <c r="R260">
        <v>234.43</v>
      </c>
      <c r="S260">
        <v>55.89</v>
      </c>
      <c r="T260">
        <v>86.58</v>
      </c>
      <c r="U260">
        <v>63.57</v>
      </c>
      <c r="V260">
        <v>34.99</v>
      </c>
      <c r="W260">
        <v>86.4</v>
      </c>
      <c r="X260">
        <v>129.31</v>
      </c>
      <c r="Y260">
        <v>222.39</v>
      </c>
      <c r="Z260">
        <v>131.24</v>
      </c>
      <c r="AA260">
        <v>118.84</v>
      </c>
      <c r="AB260">
        <v>49.8</v>
      </c>
      <c r="AC260">
        <v>73.17</v>
      </c>
      <c r="AD260">
        <v>97.7</v>
      </c>
      <c r="AE260">
        <v>82.55</v>
      </c>
      <c r="AI260" s="2">
        <v>5000</v>
      </c>
      <c r="AJ260" s="2">
        <f t="shared" si="168"/>
        <v>1180</v>
      </c>
      <c r="AK260" s="2">
        <f t="shared" si="168"/>
        <v>1180</v>
      </c>
      <c r="AL260" s="2">
        <f t="shared" si="168"/>
        <v>1180</v>
      </c>
      <c r="AM260" s="2">
        <f t="shared" si="168"/>
        <v>1180</v>
      </c>
      <c r="AN260" s="2">
        <f t="shared" si="168"/>
        <v>1180</v>
      </c>
      <c r="AO260" s="2">
        <f t="shared" si="168"/>
        <v>1180</v>
      </c>
      <c r="AP260" s="2">
        <f t="shared" si="168"/>
        <v>1060</v>
      </c>
      <c r="AQ260" s="2">
        <v>1000</v>
      </c>
      <c r="AR260" s="2">
        <v>0</v>
      </c>
      <c r="AS260" s="2">
        <v>10</v>
      </c>
      <c r="AT260" s="2">
        <v>0</v>
      </c>
      <c r="AU260" s="2">
        <v>1000</v>
      </c>
      <c r="AV260" s="2">
        <v>1000</v>
      </c>
      <c r="AW260" s="2">
        <v>0</v>
      </c>
      <c r="AX260" s="2">
        <v>0</v>
      </c>
      <c r="AY260" s="2">
        <v>0</v>
      </c>
      <c r="AZ260" s="2">
        <v>1010</v>
      </c>
      <c r="BA260" s="2">
        <v>1082</v>
      </c>
      <c r="BB260" s="2">
        <v>1074</v>
      </c>
      <c r="BC260" s="2">
        <v>-1000</v>
      </c>
      <c r="BD260" s="2">
        <v>-5000</v>
      </c>
      <c r="BE260" s="2">
        <v>5000</v>
      </c>
      <c r="BF260" s="2">
        <v>3000</v>
      </c>
      <c r="BG260" s="2">
        <v>5000</v>
      </c>
      <c r="BH260" s="2">
        <v>2500</v>
      </c>
      <c r="BI260" s="2">
        <v>3000</v>
      </c>
      <c r="BJ260" s="2">
        <v>-1500</v>
      </c>
      <c r="BK260" s="2">
        <v>1000</v>
      </c>
      <c r="BL260" s="2">
        <v>1000</v>
      </c>
      <c r="BO260" s="2">
        <f t="shared" ref="BO260:BO323" si="169">(AI259-AI260)*B260</f>
        <v>0</v>
      </c>
      <c r="BP260" s="2">
        <f t="shared" si="136"/>
        <v>0</v>
      </c>
      <c r="BQ260" s="2">
        <f t="shared" si="137"/>
        <v>0</v>
      </c>
      <c r="BR260" s="2">
        <f t="shared" si="138"/>
        <v>0</v>
      </c>
      <c r="BS260" s="2">
        <f t="shared" si="139"/>
        <v>0</v>
      </c>
      <c r="BT260" s="2">
        <f t="shared" si="140"/>
        <v>0</v>
      </c>
      <c r="BU260" s="2">
        <f t="shared" si="141"/>
        <v>0</v>
      </c>
      <c r="BV260" s="2">
        <f t="shared" si="142"/>
        <v>0</v>
      </c>
      <c r="BW260" s="2">
        <f t="shared" si="143"/>
        <v>0</v>
      </c>
      <c r="BX260" s="2">
        <f t="shared" si="144"/>
        <v>0</v>
      </c>
      <c r="BY260" s="2">
        <f t="shared" si="145"/>
        <v>0</v>
      </c>
      <c r="BZ260" s="2">
        <f t="shared" si="146"/>
        <v>0</v>
      </c>
      <c r="CA260" s="2">
        <f t="shared" si="147"/>
        <v>0</v>
      </c>
      <c r="CB260" s="2">
        <f t="shared" si="148"/>
        <v>0</v>
      </c>
      <c r="CC260" s="2">
        <f t="shared" si="149"/>
        <v>0</v>
      </c>
      <c r="CD260" s="2">
        <f t="shared" si="150"/>
        <v>0</v>
      </c>
      <c r="CE260" s="2">
        <f t="shared" si="151"/>
        <v>0</v>
      </c>
      <c r="CF260" s="2">
        <f t="shared" si="152"/>
        <v>-2012.04</v>
      </c>
      <c r="CG260" s="2">
        <f t="shared" si="153"/>
        <v>-3030.2999999999997</v>
      </c>
      <c r="CH260" s="2">
        <f t="shared" si="154"/>
        <v>1144.26</v>
      </c>
      <c r="CI260" s="2">
        <f t="shared" si="155"/>
        <v>0</v>
      </c>
      <c r="CJ260" s="2">
        <f t="shared" si="156"/>
        <v>0</v>
      </c>
      <c r="CK260" s="2">
        <f t="shared" si="157"/>
        <v>0</v>
      </c>
      <c r="CL260" s="2">
        <f t="shared" si="158"/>
        <v>0</v>
      </c>
      <c r="CM260" s="2">
        <f t="shared" si="130"/>
        <v>0</v>
      </c>
      <c r="CN260" s="2">
        <f t="shared" si="131"/>
        <v>0</v>
      </c>
      <c r="CO260" s="2">
        <f t="shared" si="132"/>
        <v>0</v>
      </c>
      <c r="CP260" s="2">
        <f t="shared" si="133"/>
        <v>0</v>
      </c>
      <c r="CQ260" s="2">
        <f t="shared" si="134"/>
        <v>0</v>
      </c>
      <c r="CR260" s="2">
        <f t="shared" si="135"/>
        <v>0</v>
      </c>
      <c r="CV260" t="s">
        <v>64</v>
      </c>
      <c r="CW260" t="s">
        <v>333</v>
      </c>
      <c r="CX260" t="s">
        <v>7</v>
      </c>
      <c r="CY260" s="4">
        <v>43060</v>
      </c>
      <c r="CZ260" t="s">
        <v>65</v>
      </c>
      <c r="DA260" t="s">
        <v>66</v>
      </c>
      <c r="DB260">
        <v>10</v>
      </c>
      <c r="DC260">
        <v>100.58</v>
      </c>
      <c r="DD260" t="s">
        <v>69</v>
      </c>
      <c r="DE260" t="s">
        <v>70</v>
      </c>
      <c r="DF260">
        <v>1005.8</v>
      </c>
    </row>
    <row r="261" spans="1:110" x14ac:dyDescent="0.25">
      <c r="A261" s="1">
        <v>43112</v>
      </c>
      <c r="B261">
        <v>173.73</v>
      </c>
      <c r="C261">
        <v>99.82</v>
      </c>
      <c r="D261">
        <v>328.09</v>
      </c>
      <c r="E261">
        <v>165.51</v>
      </c>
      <c r="F261">
        <v>39.65</v>
      </c>
      <c r="G261">
        <v>127.36</v>
      </c>
      <c r="H261">
        <v>110.71</v>
      </c>
      <c r="I261">
        <v>73.69</v>
      </c>
      <c r="J261">
        <v>253.54</v>
      </c>
      <c r="K261">
        <v>192.08</v>
      </c>
      <c r="L261">
        <v>154.28</v>
      </c>
      <c r="M261">
        <v>41.91</v>
      </c>
      <c r="N261">
        <v>141.91</v>
      </c>
      <c r="O261">
        <v>109.83</v>
      </c>
      <c r="P261">
        <v>44.61</v>
      </c>
      <c r="Q261">
        <v>169.28</v>
      </c>
      <c r="R261">
        <v>236.52</v>
      </c>
      <c r="S261">
        <v>56.92</v>
      </c>
      <c r="T261">
        <v>88.08</v>
      </c>
      <c r="U261">
        <v>63.95</v>
      </c>
      <c r="V261">
        <v>34.97</v>
      </c>
      <c r="W261">
        <v>85.88</v>
      </c>
      <c r="X261">
        <v>131.63999999999999</v>
      </c>
      <c r="Y261">
        <v>225.6</v>
      </c>
      <c r="Z261">
        <v>132.79</v>
      </c>
      <c r="AA261">
        <v>119.09</v>
      </c>
      <c r="AB261">
        <v>49.56</v>
      </c>
      <c r="AC261">
        <v>73.84</v>
      </c>
      <c r="AD261">
        <v>98.53</v>
      </c>
      <c r="AE261">
        <v>83.11</v>
      </c>
      <c r="AI261" s="2">
        <v>5000</v>
      </c>
      <c r="AJ261" s="2">
        <f t="shared" si="168"/>
        <v>1180</v>
      </c>
      <c r="AK261" s="2">
        <f t="shared" si="168"/>
        <v>1180</v>
      </c>
      <c r="AL261" s="2">
        <f t="shared" si="168"/>
        <v>1180</v>
      </c>
      <c r="AM261" s="2">
        <f t="shared" si="168"/>
        <v>1180</v>
      </c>
      <c r="AN261" s="2">
        <f t="shared" si="168"/>
        <v>1180</v>
      </c>
      <c r="AO261" s="2">
        <f t="shared" si="168"/>
        <v>1180</v>
      </c>
      <c r="AP261" s="2">
        <f t="shared" si="168"/>
        <v>1060</v>
      </c>
      <c r="AQ261" s="2">
        <v>1000</v>
      </c>
      <c r="AR261" s="2">
        <v>0</v>
      </c>
      <c r="AS261" s="2">
        <v>10</v>
      </c>
      <c r="AT261" s="2">
        <v>0</v>
      </c>
      <c r="AU261" s="2">
        <v>1000</v>
      </c>
      <c r="AV261" s="2">
        <v>1000</v>
      </c>
      <c r="AW261" s="2">
        <v>0</v>
      </c>
      <c r="AX261" s="2">
        <v>0</v>
      </c>
      <c r="AY261" s="2">
        <v>0</v>
      </c>
      <c r="AZ261" s="2">
        <v>1050</v>
      </c>
      <c r="BA261" s="2">
        <v>929</v>
      </c>
      <c r="BB261" s="2">
        <v>1080</v>
      </c>
      <c r="BC261" s="2">
        <v>-1000</v>
      </c>
      <c r="BD261" s="2">
        <v>-5000</v>
      </c>
      <c r="BE261" s="2">
        <v>5000</v>
      </c>
      <c r="BF261" s="2">
        <v>3000</v>
      </c>
      <c r="BG261" s="2">
        <v>5000</v>
      </c>
      <c r="BH261" s="2">
        <v>2500</v>
      </c>
      <c r="BI261" s="2">
        <v>3000</v>
      </c>
      <c r="BJ261" s="2">
        <v>-1500</v>
      </c>
      <c r="BK261" s="2">
        <v>1000</v>
      </c>
      <c r="BL261" s="2">
        <v>1000</v>
      </c>
      <c r="BO261" s="2">
        <f t="shared" si="169"/>
        <v>0</v>
      </c>
      <c r="BP261" s="2">
        <f t="shared" si="136"/>
        <v>0</v>
      </c>
      <c r="BQ261" s="2">
        <f t="shared" si="137"/>
        <v>0</v>
      </c>
      <c r="BR261" s="2">
        <f t="shared" si="138"/>
        <v>0</v>
      </c>
      <c r="BS261" s="2">
        <f t="shared" si="139"/>
        <v>0</v>
      </c>
      <c r="BT261" s="2">
        <f t="shared" si="140"/>
        <v>0</v>
      </c>
      <c r="BU261" s="2">
        <f t="shared" si="141"/>
        <v>0</v>
      </c>
      <c r="BV261" s="2">
        <f t="shared" si="142"/>
        <v>0</v>
      </c>
      <c r="BW261" s="2">
        <f t="shared" si="143"/>
        <v>0</v>
      </c>
      <c r="BX261" s="2">
        <f t="shared" si="144"/>
        <v>0</v>
      </c>
      <c r="BY261" s="2">
        <f t="shared" si="145"/>
        <v>0</v>
      </c>
      <c r="BZ261" s="2">
        <f t="shared" si="146"/>
        <v>0</v>
      </c>
      <c r="CA261" s="2">
        <f t="shared" si="147"/>
        <v>0</v>
      </c>
      <c r="CB261" s="2">
        <f t="shared" si="148"/>
        <v>0</v>
      </c>
      <c r="CC261" s="2">
        <f t="shared" si="149"/>
        <v>0</v>
      </c>
      <c r="CD261" s="2">
        <f t="shared" si="150"/>
        <v>0</v>
      </c>
      <c r="CE261" s="2">
        <f t="shared" si="151"/>
        <v>0</v>
      </c>
      <c r="CF261" s="2">
        <f t="shared" si="152"/>
        <v>-2276.8000000000002</v>
      </c>
      <c r="CG261" s="2">
        <f t="shared" si="153"/>
        <v>13476.24</v>
      </c>
      <c r="CH261" s="2">
        <f t="shared" si="154"/>
        <v>-383.70000000000005</v>
      </c>
      <c r="CI261" s="2">
        <f t="shared" si="155"/>
        <v>0</v>
      </c>
      <c r="CJ261" s="2">
        <f t="shared" si="156"/>
        <v>0</v>
      </c>
      <c r="CK261" s="2">
        <f t="shared" si="157"/>
        <v>0</v>
      </c>
      <c r="CL261" s="2">
        <f t="shared" si="158"/>
        <v>0</v>
      </c>
      <c r="CM261" s="2">
        <f t="shared" si="130"/>
        <v>0</v>
      </c>
      <c r="CN261" s="2">
        <f t="shared" si="131"/>
        <v>0</v>
      </c>
      <c r="CO261" s="2">
        <f t="shared" si="132"/>
        <v>0</v>
      </c>
      <c r="CP261" s="2">
        <f t="shared" si="133"/>
        <v>0</v>
      </c>
      <c r="CQ261" s="2">
        <f t="shared" si="134"/>
        <v>0</v>
      </c>
      <c r="CR261" s="2">
        <f t="shared" si="135"/>
        <v>0</v>
      </c>
      <c r="CV261" t="s">
        <v>64</v>
      </c>
      <c r="CW261" t="s">
        <v>334</v>
      </c>
      <c r="CX261" t="s">
        <v>7</v>
      </c>
      <c r="CY261" s="4">
        <v>43081</v>
      </c>
      <c r="CZ261" t="s">
        <v>65</v>
      </c>
      <c r="DA261" t="s">
        <v>66</v>
      </c>
      <c r="DB261">
        <v>10</v>
      </c>
      <c r="DC261">
        <v>105.75</v>
      </c>
      <c r="DD261" t="s">
        <v>69</v>
      </c>
      <c r="DE261" t="s">
        <v>70</v>
      </c>
      <c r="DF261">
        <v>1057.5</v>
      </c>
    </row>
    <row r="262" spans="1:110" x14ac:dyDescent="0.25">
      <c r="A262" s="1">
        <v>43116</v>
      </c>
      <c r="B262">
        <v>172.84</v>
      </c>
      <c r="C262">
        <v>99.2</v>
      </c>
      <c r="D262">
        <v>327.07</v>
      </c>
      <c r="E262">
        <v>164.55</v>
      </c>
      <c r="F262">
        <v>39.33</v>
      </c>
      <c r="G262">
        <v>125.84</v>
      </c>
      <c r="H262">
        <v>108.96</v>
      </c>
      <c r="I262">
        <v>73.239999999999995</v>
      </c>
      <c r="J262">
        <v>254.95</v>
      </c>
      <c r="K262">
        <v>191.97</v>
      </c>
      <c r="L262">
        <v>154.94999999999999</v>
      </c>
      <c r="M262">
        <v>41.82</v>
      </c>
      <c r="N262">
        <v>142.97999999999999</v>
      </c>
      <c r="O262">
        <v>109.44</v>
      </c>
      <c r="P262">
        <v>44.97</v>
      </c>
      <c r="Q262">
        <v>169.39</v>
      </c>
      <c r="R262">
        <v>236.78</v>
      </c>
      <c r="S262">
        <v>60.22</v>
      </c>
      <c r="T262">
        <v>86.85</v>
      </c>
      <c r="U262">
        <v>62.71</v>
      </c>
      <c r="V262">
        <v>35.03</v>
      </c>
      <c r="W262">
        <v>86.46</v>
      </c>
      <c r="X262">
        <v>132.41</v>
      </c>
      <c r="Y262">
        <v>229.8</v>
      </c>
      <c r="Z262">
        <v>130.25</v>
      </c>
      <c r="AA262">
        <v>119.38</v>
      </c>
      <c r="AB262">
        <v>49.37</v>
      </c>
      <c r="AC262">
        <v>73.8</v>
      </c>
      <c r="AD262">
        <v>98.36</v>
      </c>
      <c r="AE262">
        <v>82.59</v>
      </c>
      <c r="AI262" s="2">
        <v>5000</v>
      </c>
      <c r="AJ262" s="2">
        <f t="shared" si="168"/>
        <v>1180</v>
      </c>
      <c r="AK262" s="2">
        <f t="shared" si="168"/>
        <v>1180</v>
      </c>
      <c r="AL262" s="2">
        <f t="shared" si="168"/>
        <v>1180</v>
      </c>
      <c r="AM262" s="2">
        <f t="shared" si="168"/>
        <v>1180</v>
      </c>
      <c r="AN262" s="2">
        <f t="shared" si="168"/>
        <v>1180</v>
      </c>
      <c r="AO262" s="2">
        <f t="shared" si="168"/>
        <v>1180</v>
      </c>
      <c r="AP262" s="2">
        <f t="shared" si="168"/>
        <v>1060</v>
      </c>
      <c r="AQ262" s="2">
        <v>1000</v>
      </c>
      <c r="AR262" s="2">
        <v>0</v>
      </c>
      <c r="AS262" s="2">
        <v>10</v>
      </c>
      <c r="AT262" s="2">
        <v>0</v>
      </c>
      <c r="AU262" s="2">
        <v>1000</v>
      </c>
      <c r="AV262" s="2">
        <v>0</v>
      </c>
      <c r="AW262" s="2">
        <v>0</v>
      </c>
      <c r="AX262" s="2">
        <v>0</v>
      </c>
      <c r="AY262" s="2">
        <v>0</v>
      </c>
      <c r="AZ262" s="2">
        <v>995</v>
      </c>
      <c r="BA262" s="2">
        <v>962</v>
      </c>
      <c r="BB262" s="2">
        <v>998</v>
      </c>
      <c r="BC262" s="2">
        <v>-1000</v>
      </c>
      <c r="BD262" s="2">
        <v>-5000</v>
      </c>
      <c r="BE262" s="2">
        <v>5000</v>
      </c>
      <c r="BF262" s="2">
        <v>3000</v>
      </c>
      <c r="BG262" s="2">
        <v>5000</v>
      </c>
      <c r="BH262" s="2">
        <v>2500</v>
      </c>
      <c r="BI262" s="2">
        <v>3000</v>
      </c>
      <c r="BJ262" s="2">
        <v>-1500</v>
      </c>
      <c r="BK262" s="2">
        <v>1000</v>
      </c>
      <c r="BL262" s="2">
        <v>1000</v>
      </c>
      <c r="BO262" s="2">
        <f t="shared" si="169"/>
        <v>0</v>
      </c>
      <c r="BP262" s="2">
        <f t="shared" si="136"/>
        <v>0</v>
      </c>
      <c r="BQ262" s="2">
        <f t="shared" si="137"/>
        <v>0</v>
      </c>
      <c r="BR262" s="2">
        <f t="shared" si="138"/>
        <v>0</v>
      </c>
      <c r="BS262" s="2">
        <f t="shared" si="139"/>
        <v>0</v>
      </c>
      <c r="BT262" s="2">
        <f t="shared" si="140"/>
        <v>0</v>
      </c>
      <c r="BU262" s="2">
        <f t="shared" si="141"/>
        <v>0</v>
      </c>
      <c r="BV262" s="2">
        <f t="shared" si="142"/>
        <v>0</v>
      </c>
      <c r="BW262" s="2">
        <f t="shared" si="143"/>
        <v>0</v>
      </c>
      <c r="BX262" s="2">
        <f t="shared" si="144"/>
        <v>0</v>
      </c>
      <c r="BY262" s="2">
        <f t="shared" si="145"/>
        <v>0</v>
      </c>
      <c r="BZ262" s="2">
        <f t="shared" si="146"/>
        <v>0</v>
      </c>
      <c r="CA262" s="2">
        <f t="shared" si="147"/>
        <v>0</v>
      </c>
      <c r="CB262" s="2">
        <f t="shared" si="148"/>
        <v>109440</v>
      </c>
      <c r="CC262" s="2">
        <f t="shared" si="149"/>
        <v>0</v>
      </c>
      <c r="CD262" s="2">
        <f t="shared" si="150"/>
        <v>0</v>
      </c>
      <c r="CE262" s="2">
        <f t="shared" si="151"/>
        <v>0</v>
      </c>
      <c r="CF262" s="2">
        <f t="shared" si="152"/>
        <v>3312.1</v>
      </c>
      <c r="CG262" s="2">
        <f t="shared" si="153"/>
        <v>-2866.0499999999997</v>
      </c>
      <c r="CH262" s="2">
        <f t="shared" si="154"/>
        <v>5142.22</v>
      </c>
      <c r="CI262" s="2">
        <f t="shared" si="155"/>
        <v>0</v>
      </c>
      <c r="CJ262" s="2">
        <f t="shared" si="156"/>
        <v>0</v>
      </c>
      <c r="CK262" s="2">
        <f t="shared" si="157"/>
        <v>0</v>
      </c>
      <c r="CL262" s="2">
        <f t="shared" si="158"/>
        <v>0</v>
      </c>
      <c r="CM262" s="2">
        <f t="shared" si="130"/>
        <v>0</v>
      </c>
      <c r="CN262" s="2">
        <f t="shared" si="131"/>
        <v>0</v>
      </c>
      <c r="CO262" s="2">
        <f t="shared" si="132"/>
        <v>0</v>
      </c>
      <c r="CP262" s="2">
        <f t="shared" si="133"/>
        <v>0</v>
      </c>
      <c r="CQ262" s="2">
        <f t="shared" si="134"/>
        <v>0</v>
      </c>
      <c r="CR262" s="2">
        <f t="shared" si="135"/>
        <v>0</v>
      </c>
      <c r="CV262" t="s">
        <v>64</v>
      </c>
      <c r="CW262" t="s">
        <v>335</v>
      </c>
      <c r="CX262" t="s">
        <v>7</v>
      </c>
      <c r="CY262" s="4">
        <v>43103</v>
      </c>
      <c r="CZ262" t="s">
        <v>65</v>
      </c>
      <c r="DA262" t="s">
        <v>66</v>
      </c>
      <c r="DB262">
        <v>10</v>
      </c>
      <c r="DC262">
        <v>110.53</v>
      </c>
      <c r="DD262" t="s">
        <v>69</v>
      </c>
      <c r="DE262" t="s">
        <v>70</v>
      </c>
      <c r="DF262">
        <v>1105.3</v>
      </c>
    </row>
    <row r="263" spans="1:110" x14ac:dyDescent="0.25">
      <c r="A263" s="1">
        <v>43117</v>
      </c>
      <c r="B263">
        <v>175.7</v>
      </c>
      <c r="C263">
        <v>99.62</v>
      </c>
      <c r="D263">
        <v>342.53</v>
      </c>
      <c r="E263">
        <v>163.76</v>
      </c>
      <c r="F263">
        <v>39.97</v>
      </c>
      <c r="G263">
        <v>126.17</v>
      </c>
      <c r="H263">
        <v>110.22</v>
      </c>
      <c r="I263">
        <v>74.040000000000006</v>
      </c>
      <c r="J263">
        <v>250.2</v>
      </c>
      <c r="K263">
        <v>195.4</v>
      </c>
      <c r="L263">
        <v>159.49</v>
      </c>
      <c r="M263">
        <v>43.03</v>
      </c>
      <c r="N263">
        <v>143.1</v>
      </c>
      <c r="O263">
        <v>110.14</v>
      </c>
      <c r="P263">
        <v>45.25</v>
      </c>
      <c r="Q263">
        <v>170.66</v>
      </c>
      <c r="R263">
        <v>240.04</v>
      </c>
      <c r="S263">
        <v>60.19</v>
      </c>
      <c r="T263">
        <v>88.61</v>
      </c>
      <c r="U263">
        <v>63.1</v>
      </c>
      <c r="V263">
        <v>35.590000000000003</v>
      </c>
      <c r="W263">
        <v>87.4</v>
      </c>
      <c r="X263">
        <v>133.72</v>
      </c>
      <c r="Y263">
        <v>235.26</v>
      </c>
      <c r="Z263">
        <v>130.69</v>
      </c>
      <c r="AA263">
        <v>120.96</v>
      </c>
      <c r="AB263">
        <v>49.42</v>
      </c>
      <c r="AC263">
        <v>73.56</v>
      </c>
      <c r="AD263">
        <v>100.32</v>
      </c>
      <c r="AE263">
        <v>83.57</v>
      </c>
      <c r="AI263" s="2">
        <v>5000</v>
      </c>
      <c r="AJ263" s="2">
        <f t="shared" si="168"/>
        <v>1180</v>
      </c>
      <c r="AK263" s="2">
        <f t="shared" si="168"/>
        <v>1180</v>
      </c>
      <c r="AL263" s="2">
        <f t="shared" si="168"/>
        <v>1180</v>
      </c>
      <c r="AM263" s="2">
        <f t="shared" si="168"/>
        <v>1180</v>
      </c>
      <c r="AN263" s="2">
        <f t="shared" si="168"/>
        <v>1180</v>
      </c>
      <c r="AO263" s="2">
        <f t="shared" si="168"/>
        <v>1180</v>
      </c>
      <c r="AP263" s="2">
        <f t="shared" si="168"/>
        <v>1060</v>
      </c>
      <c r="AQ263" s="2">
        <v>1000</v>
      </c>
      <c r="AR263" s="2">
        <v>0</v>
      </c>
      <c r="AS263" s="2">
        <v>10</v>
      </c>
      <c r="AT263" s="2">
        <v>0</v>
      </c>
      <c r="AU263" s="2">
        <v>1000</v>
      </c>
      <c r="AV263" s="2">
        <v>0</v>
      </c>
      <c r="AW263" s="2">
        <v>0</v>
      </c>
      <c r="AX263" s="2">
        <v>0</v>
      </c>
      <c r="AY263" s="2">
        <v>0</v>
      </c>
      <c r="AZ263" s="2">
        <v>983</v>
      </c>
      <c r="BA263" s="2">
        <v>901</v>
      </c>
      <c r="BB263" s="2">
        <v>986</v>
      </c>
      <c r="BC263" s="2">
        <v>-1000</v>
      </c>
      <c r="BD263" s="2">
        <v>-5000</v>
      </c>
      <c r="BE263" s="2">
        <v>5000</v>
      </c>
      <c r="BF263" s="2">
        <v>3000</v>
      </c>
      <c r="BG263" s="2">
        <v>5000</v>
      </c>
      <c r="BH263" s="2">
        <v>2500</v>
      </c>
      <c r="BI263" s="2">
        <v>3000</v>
      </c>
      <c r="BJ263" s="2">
        <v>-1500</v>
      </c>
      <c r="BK263" s="2">
        <v>1000</v>
      </c>
      <c r="BL263" s="2">
        <v>1000</v>
      </c>
      <c r="BO263" s="2">
        <f t="shared" si="169"/>
        <v>0</v>
      </c>
      <c r="BP263" s="2">
        <f t="shared" si="136"/>
        <v>0</v>
      </c>
      <c r="BQ263" s="2">
        <f t="shared" si="137"/>
        <v>0</v>
      </c>
      <c r="BR263" s="2">
        <f t="shared" si="138"/>
        <v>0</v>
      </c>
      <c r="BS263" s="2">
        <f t="shared" si="139"/>
        <v>0</v>
      </c>
      <c r="BT263" s="2">
        <f t="shared" si="140"/>
        <v>0</v>
      </c>
      <c r="BU263" s="2">
        <f t="shared" si="141"/>
        <v>0</v>
      </c>
      <c r="BV263" s="2">
        <f t="shared" si="142"/>
        <v>0</v>
      </c>
      <c r="BW263" s="2">
        <f t="shared" si="143"/>
        <v>0</v>
      </c>
      <c r="BX263" s="2">
        <f t="shared" si="144"/>
        <v>0</v>
      </c>
      <c r="BY263" s="2">
        <f t="shared" si="145"/>
        <v>0</v>
      </c>
      <c r="BZ263" s="2">
        <f t="shared" si="146"/>
        <v>0</v>
      </c>
      <c r="CA263" s="2">
        <f t="shared" si="147"/>
        <v>0</v>
      </c>
      <c r="CB263" s="2">
        <f t="shared" si="148"/>
        <v>0</v>
      </c>
      <c r="CC263" s="2">
        <f t="shared" si="149"/>
        <v>0</v>
      </c>
      <c r="CD263" s="2">
        <f t="shared" si="150"/>
        <v>0</v>
      </c>
      <c r="CE263" s="2">
        <f t="shared" si="151"/>
        <v>0</v>
      </c>
      <c r="CF263" s="2">
        <f t="shared" si="152"/>
        <v>722.28</v>
      </c>
      <c r="CG263" s="2">
        <f t="shared" si="153"/>
        <v>5405.21</v>
      </c>
      <c r="CH263" s="2">
        <f t="shared" si="154"/>
        <v>757.2</v>
      </c>
      <c r="CI263" s="2">
        <f t="shared" si="155"/>
        <v>0</v>
      </c>
      <c r="CJ263" s="2">
        <f t="shared" si="156"/>
        <v>0</v>
      </c>
      <c r="CK263" s="2">
        <f t="shared" si="157"/>
        <v>0</v>
      </c>
      <c r="CL263" s="2">
        <f t="shared" si="158"/>
        <v>0</v>
      </c>
      <c r="CM263" s="2">
        <f t="shared" si="130"/>
        <v>0</v>
      </c>
      <c r="CN263" s="2">
        <f t="shared" si="131"/>
        <v>0</v>
      </c>
      <c r="CO263" s="2">
        <f t="shared" si="132"/>
        <v>0</v>
      </c>
      <c r="CP263" s="2">
        <f t="shared" si="133"/>
        <v>0</v>
      </c>
      <c r="CQ263" s="2">
        <f t="shared" si="134"/>
        <v>0</v>
      </c>
      <c r="CR263" s="2">
        <f t="shared" si="135"/>
        <v>0</v>
      </c>
      <c r="CV263" t="s">
        <v>64</v>
      </c>
      <c r="CW263" t="s">
        <v>336</v>
      </c>
      <c r="CX263" t="s">
        <v>7</v>
      </c>
      <c r="CY263" s="4">
        <v>43124</v>
      </c>
      <c r="CZ263" t="s">
        <v>65</v>
      </c>
      <c r="DA263" t="s">
        <v>66</v>
      </c>
      <c r="DB263">
        <v>10</v>
      </c>
      <c r="DC263">
        <v>108.78</v>
      </c>
      <c r="DD263" t="s">
        <v>69</v>
      </c>
      <c r="DE263" t="s">
        <v>70</v>
      </c>
      <c r="DF263">
        <v>1087.8</v>
      </c>
    </row>
    <row r="264" spans="1:110" x14ac:dyDescent="0.25">
      <c r="A264" s="1">
        <v>43118</v>
      </c>
      <c r="B264">
        <v>175.85</v>
      </c>
      <c r="C264">
        <v>98.73</v>
      </c>
      <c r="D264">
        <v>331.94</v>
      </c>
      <c r="E264">
        <v>164.08</v>
      </c>
      <c r="F264">
        <v>40.07</v>
      </c>
      <c r="G264">
        <v>125.44</v>
      </c>
      <c r="H264">
        <v>108.7</v>
      </c>
      <c r="I264">
        <v>74.290000000000006</v>
      </c>
      <c r="J264">
        <v>247.56</v>
      </c>
      <c r="K264">
        <v>193.95</v>
      </c>
      <c r="L264">
        <v>159.94</v>
      </c>
      <c r="M264">
        <v>43.11</v>
      </c>
      <c r="N264">
        <v>143.04</v>
      </c>
      <c r="O264">
        <v>110.4</v>
      </c>
      <c r="P264">
        <v>45.31</v>
      </c>
      <c r="Q264">
        <v>170.26</v>
      </c>
      <c r="R264">
        <v>237.91</v>
      </c>
      <c r="S264">
        <v>59.31</v>
      </c>
      <c r="T264">
        <v>88.57</v>
      </c>
      <c r="U264">
        <v>63.39</v>
      </c>
      <c r="V264">
        <v>35.4</v>
      </c>
      <c r="W264">
        <v>87.08</v>
      </c>
      <c r="X264">
        <v>134.19</v>
      </c>
      <c r="Y264">
        <v>239.92</v>
      </c>
      <c r="Z264">
        <v>130.88</v>
      </c>
      <c r="AA264">
        <v>122.08</v>
      </c>
      <c r="AB264">
        <v>49.26</v>
      </c>
      <c r="AC264">
        <v>73.77</v>
      </c>
      <c r="AD264">
        <v>101.88</v>
      </c>
      <c r="AE264">
        <v>83.03</v>
      </c>
      <c r="AI264" s="2">
        <v>5000</v>
      </c>
      <c r="AJ264" s="2">
        <f t="shared" si="168"/>
        <v>1180</v>
      </c>
      <c r="AK264" s="2">
        <f t="shared" si="168"/>
        <v>1180</v>
      </c>
      <c r="AL264" s="2">
        <f t="shared" si="168"/>
        <v>1180</v>
      </c>
      <c r="AM264" s="2">
        <f t="shared" si="168"/>
        <v>1180</v>
      </c>
      <c r="AN264" s="2">
        <f t="shared" si="168"/>
        <v>1180</v>
      </c>
      <c r="AO264" s="2">
        <f t="shared" si="168"/>
        <v>1180</v>
      </c>
      <c r="AP264" s="2">
        <f t="shared" si="168"/>
        <v>1060</v>
      </c>
      <c r="AQ264" s="2">
        <v>1000</v>
      </c>
      <c r="AR264" s="2">
        <v>0</v>
      </c>
      <c r="AS264" s="2">
        <v>10</v>
      </c>
      <c r="AT264" s="2">
        <v>0</v>
      </c>
      <c r="AU264" s="2">
        <v>1000</v>
      </c>
      <c r="AV264" s="2">
        <v>0</v>
      </c>
      <c r="AW264" s="2">
        <v>0</v>
      </c>
      <c r="AX264" s="2">
        <v>0</v>
      </c>
      <c r="AY264" s="2">
        <v>0</v>
      </c>
      <c r="AZ264" s="2">
        <v>969</v>
      </c>
      <c r="BA264" s="2">
        <v>1068</v>
      </c>
      <c r="BB264" s="2">
        <v>1012</v>
      </c>
      <c r="BC264" s="2">
        <v>-1000</v>
      </c>
      <c r="BD264" s="2">
        <v>-5000</v>
      </c>
      <c r="BE264" s="2">
        <v>5000</v>
      </c>
      <c r="BF264" s="2">
        <v>3000</v>
      </c>
      <c r="BG264" s="2">
        <v>5000</v>
      </c>
      <c r="BH264" s="2">
        <v>2500</v>
      </c>
      <c r="BI264" s="2">
        <v>3000</v>
      </c>
      <c r="BJ264" s="2">
        <v>-1500</v>
      </c>
      <c r="BK264" s="2">
        <v>1000</v>
      </c>
      <c r="BL264" s="2">
        <v>1000</v>
      </c>
      <c r="BO264" s="2">
        <f t="shared" si="169"/>
        <v>0</v>
      </c>
      <c r="BP264" s="2">
        <f t="shared" si="136"/>
        <v>0</v>
      </c>
      <c r="BQ264" s="2">
        <f t="shared" si="137"/>
        <v>0</v>
      </c>
      <c r="BR264" s="2">
        <f t="shared" si="138"/>
        <v>0</v>
      </c>
      <c r="BS264" s="2">
        <f t="shared" si="139"/>
        <v>0</v>
      </c>
      <c r="BT264" s="2">
        <f t="shared" si="140"/>
        <v>0</v>
      </c>
      <c r="BU264" s="2">
        <f t="shared" si="141"/>
        <v>0</v>
      </c>
      <c r="BV264" s="2">
        <f t="shared" si="142"/>
        <v>0</v>
      </c>
      <c r="BW264" s="2">
        <f t="shared" si="143"/>
        <v>0</v>
      </c>
      <c r="BX264" s="2">
        <f t="shared" si="144"/>
        <v>0</v>
      </c>
      <c r="BY264" s="2">
        <f t="shared" si="145"/>
        <v>0</v>
      </c>
      <c r="BZ264" s="2">
        <f t="shared" si="146"/>
        <v>0</v>
      </c>
      <c r="CA264" s="2">
        <f t="shared" si="147"/>
        <v>0</v>
      </c>
      <c r="CB264" s="2">
        <f t="shared" si="148"/>
        <v>0</v>
      </c>
      <c r="CC264" s="2">
        <f t="shared" si="149"/>
        <v>0</v>
      </c>
      <c r="CD264" s="2">
        <f t="shared" si="150"/>
        <v>0</v>
      </c>
      <c r="CE264" s="2">
        <f t="shared" si="151"/>
        <v>0</v>
      </c>
      <c r="CF264" s="2">
        <f t="shared" si="152"/>
        <v>830.34</v>
      </c>
      <c r="CG264" s="2">
        <f t="shared" si="153"/>
        <v>-14791.189999999999</v>
      </c>
      <c r="CH264" s="2">
        <f t="shared" si="154"/>
        <v>-1648.14</v>
      </c>
      <c r="CI264" s="2">
        <f t="shared" si="155"/>
        <v>0</v>
      </c>
      <c r="CJ264" s="2">
        <f t="shared" si="156"/>
        <v>0</v>
      </c>
      <c r="CK264" s="2">
        <f t="shared" si="157"/>
        <v>0</v>
      </c>
      <c r="CL264" s="2">
        <f t="shared" si="158"/>
        <v>0</v>
      </c>
      <c r="CM264" s="2">
        <f t="shared" si="130"/>
        <v>0</v>
      </c>
      <c r="CN264" s="2">
        <f t="shared" si="131"/>
        <v>0</v>
      </c>
      <c r="CO264" s="2">
        <f t="shared" si="132"/>
        <v>0</v>
      </c>
      <c r="CP264" s="2">
        <f t="shared" si="133"/>
        <v>0</v>
      </c>
      <c r="CQ264" s="2">
        <f t="shared" si="134"/>
        <v>0</v>
      </c>
      <c r="CR264" s="2">
        <f t="shared" si="135"/>
        <v>0</v>
      </c>
      <c r="CV264" t="s">
        <v>64</v>
      </c>
      <c r="CW264" t="s">
        <v>337</v>
      </c>
      <c r="CX264" t="s">
        <v>7</v>
      </c>
      <c r="CY264" s="4">
        <v>43144</v>
      </c>
      <c r="CZ264" t="s">
        <v>65</v>
      </c>
      <c r="DA264" t="s">
        <v>66</v>
      </c>
      <c r="DB264">
        <v>10</v>
      </c>
      <c r="DC264">
        <v>102.49</v>
      </c>
      <c r="DD264" t="s">
        <v>69</v>
      </c>
      <c r="DE264" t="s">
        <v>70</v>
      </c>
      <c r="DF264">
        <v>1024.8999999999999</v>
      </c>
    </row>
    <row r="265" spans="1:110" x14ac:dyDescent="0.25">
      <c r="A265" s="1">
        <v>43119</v>
      </c>
      <c r="B265">
        <v>175.07</v>
      </c>
      <c r="C265">
        <v>96.92</v>
      </c>
      <c r="D265">
        <v>329.57</v>
      </c>
      <c r="E265">
        <v>166.39</v>
      </c>
      <c r="F265">
        <v>40.06</v>
      </c>
      <c r="G265">
        <v>125.16</v>
      </c>
      <c r="H265">
        <v>108.86</v>
      </c>
      <c r="I265">
        <v>74.27</v>
      </c>
      <c r="J265">
        <v>252.64</v>
      </c>
      <c r="K265">
        <v>196.88</v>
      </c>
      <c r="L265">
        <v>153.55000000000001</v>
      </c>
      <c r="M265">
        <v>43.44</v>
      </c>
      <c r="N265">
        <v>143.47</v>
      </c>
      <c r="O265">
        <v>110.16</v>
      </c>
      <c r="P265">
        <v>45.58</v>
      </c>
      <c r="Q265">
        <v>171.77</v>
      </c>
      <c r="R265">
        <v>240.11</v>
      </c>
      <c r="S265">
        <v>59.46</v>
      </c>
      <c r="T265">
        <v>88.47</v>
      </c>
      <c r="U265">
        <v>66.459999999999994</v>
      </c>
      <c r="V265">
        <v>35.36</v>
      </c>
      <c r="W265">
        <v>87.94</v>
      </c>
      <c r="X265">
        <v>134.69</v>
      </c>
      <c r="Y265">
        <v>240.11</v>
      </c>
      <c r="Z265">
        <v>132.13</v>
      </c>
      <c r="AA265">
        <v>121.68</v>
      </c>
      <c r="AB265">
        <v>49.61</v>
      </c>
      <c r="AC265">
        <v>74.23</v>
      </c>
      <c r="AD265">
        <v>102.17</v>
      </c>
      <c r="AE265">
        <v>82.76</v>
      </c>
      <c r="AI265" s="2">
        <v>5000</v>
      </c>
      <c r="AJ265" s="2">
        <f t="shared" si="168"/>
        <v>1180</v>
      </c>
      <c r="AK265" s="2">
        <f t="shared" si="168"/>
        <v>1180</v>
      </c>
      <c r="AL265" s="2">
        <f t="shared" si="168"/>
        <v>1180</v>
      </c>
      <c r="AM265" s="2">
        <f t="shared" si="168"/>
        <v>1180</v>
      </c>
      <c r="AN265" s="2">
        <f t="shared" si="168"/>
        <v>1180</v>
      </c>
      <c r="AO265" s="2">
        <f t="shared" si="168"/>
        <v>1180</v>
      </c>
      <c r="AP265" s="2">
        <f t="shared" si="168"/>
        <v>1060</v>
      </c>
      <c r="AQ265" s="2">
        <v>1000</v>
      </c>
      <c r="AR265" s="2">
        <v>0</v>
      </c>
      <c r="AS265" s="2">
        <v>10</v>
      </c>
      <c r="AT265" s="2">
        <v>0</v>
      </c>
      <c r="AU265" s="2">
        <v>1000</v>
      </c>
      <c r="AV265" s="2">
        <v>0</v>
      </c>
      <c r="AW265" s="2">
        <v>0</v>
      </c>
      <c r="AX265" s="2">
        <v>0</v>
      </c>
      <c r="AY265" s="2">
        <v>0</v>
      </c>
      <c r="AZ265" s="2">
        <v>1049</v>
      </c>
      <c r="BA265" s="2">
        <v>1077</v>
      </c>
      <c r="BB265" s="2">
        <v>1030</v>
      </c>
      <c r="BC265" s="2">
        <v>-1000</v>
      </c>
      <c r="BD265" s="2">
        <v>-5000</v>
      </c>
      <c r="BE265" s="2">
        <v>5000</v>
      </c>
      <c r="BF265" s="2">
        <v>3000</v>
      </c>
      <c r="BG265" s="2">
        <v>5000</v>
      </c>
      <c r="BH265" s="2">
        <v>2500</v>
      </c>
      <c r="BI265" s="2">
        <v>3000</v>
      </c>
      <c r="BJ265" s="2">
        <v>-1500</v>
      </c>
      <c r="BK265" s="2">
        <v>1000</v>
      </c>
      <c r="BL265" s="2">
        <v>1000</v>
      </c>
      <c r="BO265" s="2">
        <f t="shared" si="169"/>
        <v>0</v>
      </c>
      <c r="BP265" s="2">
        <f t="shared" si="136"/>
        <v>0</v>
      </c>
      <c r="BQ265" s="2">
        <f t="shared" si="137"/>
        <v>0</v>
      </c>
      <c r="BR265" s="2">
        <f t="shared" si="138"/>
        <v>0</v>
      </c>
      <c r="BS265" s="2">
        <f t="shared" si="139"/>
        <v>0</v>
      </c>
      <c r="BT265" s="2">
        <f t="shared" si="140"/>
        <v>0</v>
      </c>
      <c r="BU265" s="2">
        <f t="shared" si="141"/>
        <v>0</v>
      </c>
      <c r="BV265" s="2">
        <f t="shared" si="142"/>
        <v>0</v>
      </c>
      <c r="BW265" s="2">
        <f t="shared" si="143"/>
        <v>0</v>
      </c>
      <c r="BX265" s="2">
        <f t="shared" si="144"/>
        <v>0</v>
      </c>
      <c r="BY265" s="2">
        <f t="shared" si="145"/>
        <v>0</v>
      </c>
      <c r="BZ265" s="2">
        <f t="shared" si="146"/>
        <v>0</v>
      </c>
      <c r="CA265" s="2">
        <f t="shared" si="147"/>
        <v>0</v>
      </c>
      <c r="CB265" s="2">
        <f t="shared" si="148"/>
        <v>0</v>
      </c>
      <c r="CC265" s="2">
        <f t="shared" si="149"/>
        <v>0</v>
      </c>
      <c r="CD265" s="2">
        <f t="shared" si="150"/>
        <v>0</v>
      </c>
      <c r="CE265" s="2">
        <f t="shared" si="151"/>
        <v>0</v>
      </c>
      <c r="CF265" s="2">
        <f t="shared" si="152"/>
        <v>-4756.8</v>
      </c>
      <c r="CG265" s="2">
        <f t="shared" si="153"/>
        <v>-796.23</v>
      </c>
      <c r="CH265" s="2">
        <f t="shared" si="154"/>
        <v>-1196.28</v>
      </c>
      <c r="CI265" s="2">
        <f t="shared" si="155"/>
        <v>0</v>
      </c>
      <c r="CJ265" s="2">
        <f t="shared" si="156"/>
        <v>0</v>
      </c>
      <c r="CK265" s="2">
        <f t="shared" si="157"/>
        <v>0</v>
      </c>
      <c r="CL265" s="2">
        <f t="shared" si="158"/>
        <v>0</v>
      </c>
      <c r="CM265" s="2">
        <f t="shared" si="130"/>
        <v>0</v>
      </c>
      <c r="CN265" s="2">
        <f t="shared" si="131"/>
        <v>0</v>
      </c>
      <c r="CO265" s="2">
        <f t="shared" si="132"/>
        <v>0</v>
      </c>
      <c r="CP265" s="2">
        <f t="shared" si="133"/>
        <v>0</v>
      </c>
      <c r="CQ265" s="2">
        <f t="shared" si="134"/>
        <v>0</v>
      </c>
      <c r="CR265" s="2">
        <f t="shared" si="135"/>
        <v>0</v>
      </c>
      <c r="CV265" t="s">
        <v>64</v>
      </c>
      <c r="CW265" t="s">
        <v>338</v>
      </c>
      <c r="CX265" t="s">
        <v>7</v>
      </c>
      <c r="CY265" s="4">
        <v>43165</v>
      </c>
      <c r="CZ265" t="s">
        <v>65</v>
      </c>
      <c r="DA265" t="s">
        <v>66</v>
      </c>
      <c r="DB265">
        <v>10</v>
      </c>
      <c r="DC265">
        <v>103.3</v>
      </c>
      <c r="DD265" t="s">
        <v>69</v>
      </c>
      <c r="DE265" t="s">
        <v>70</v>
      </c>
      <c r="DF265">
        <v>1033</v>
      </c>
    </row>
    <row r="266" spans="1:110" x14ac:dyDescent="0.25">
      <c r="A266" s="1">
        <v>43122</v>
      </c>
      <c r="B266">
        <v>173.64</v>
      </c>
      <c r="C266">
        <v>97.2</v>
      </c>
      <c r="D266">
        <v>329.84</v>
      </c>
      <c r="E266">
        <v>166.85</v>
      </c>
      <c r="F266">
        <v>40.42</v>
      </c>
      <c r="G266">
        <v>126.37</v>
      </c>
      <c r="H266">
        <v>109.37</v>
      </c>
      <c r="I266">
        <v>74.44</v>
      </c>
      <c r="J266">
        <v>257.97000000000003</v>
      </c>
      <c r="K266">
        <v>199.94</v>
      </c>
      <c r="L266">
        <v>153.77000000000001</v>
      </c>
      <c r="M266">
        <v>44.35</v>
      </c>
      <c r="N266">
        <v>144.22999999999999</v>
      </c>
      <c r="O266">
        <v>111.45</v>
      </c>
      <c r="P266">
        <v>45.8</v>
      </c>
      <c r="Q266">
        <v>171.86</v>
      </c>
      <c r="R266">
        <v>239.26</v>
      </c>
      <c r="S266">
        <v>59.43</v>
      </c>
      <c r="T266">
        <v>90.05</v>
      </c>
      <c r="U266">
        <v>65.650000000000006</v>
      </c>
      <c r="V266">
        <v>35.35</v>
      </c>
      <c r="W266">
        <v>88.74</v>
      </c>
      <c r="X266">
        <v>136.16</v>
      </c>
      <c r="Y266">
        <v>240.32</v>
      </c>
      <c r="Z266">
        <v>131.46</v>
      </c>
      <c r="AA266">
        <v>123.29</v>
      </c>
      <c r="AB266">
        <v>51.09</v>
      </c>
      <c r="AC266">
        <v>75.13</v>
      </c>
      <c r="AD266">
        <v>103.01</v>
      </c>
      <c r="AE266">
        <v>83.81</v>
      </c>
      <c r="AI266" s="2">
        <v>5000</v>
      </c>
      <c r="AJ266" s="2">
        <f t="shared" si="168"/>
        <v>1180</v>
      </c>
      <c r="AK266" s="2">
        <f t="shared" si="168"/>
        <v>1180</v>
      </c>
      <c r="AL266" s="2">
        <f t="shared" si="168"/>
        <v>1180</v>
      </c>
      <c r="AM266" s="2">
        <f t="shared" si="168"/>
        <v>1180</v>
      </c>
      <c r="AN266" s="2">
        <f t="shared" si="168"/>
        <v>1180</v>
      </c>
      <c r="AO266" s="2">
        <f t="shared" si="168"/>
        <v>1180</v>
      </c>
      <c r="AP266" s="2">
        <f t="shared" si="168"/>
        <v>1060</v>
      </c>
      <c r="AQ266" s="2">
        <v>1000</v>
      </c>
      <c r="AR266" s="2">
        <v>0</v>
      </c>
      <c r="AS266" s="2">
        <v>10</v>
      </c>
      <c r="AT266" s="2">
        <v>0</v>
      </c>
      <c r="AU266" s="2">
        <v>1000</v>
      </c>
      <c r="AV266" s="2">
        <v>0</v>
      </c>
      <c r="AW266" s="2">
        <v>0</v>
      </c>
      <c r="AX266" s="2">
        <v>0</v>
      </c>
      <c r="AY266" s="2">
        <v>0</v>
      </c>
      <c r="AZ266" s="2">
        <v>963</v>
      </c>
      <c r="BA266" s="2">
        <v>992</v>
      </c>
      <c r="BB266" s="2">
        <v>905</v>
      </c>
      <c r="BC266" s="2">
        <v>-1000</v>
      </c>
      <c r="BD266" s="2">
        <v>-5000</v>
      </c>
      <c r="BE266" s="2">
        <v>5000</v>
      </c>
      <c r="BF266" s="2">
        <v>3000</v>
      </c>
      <c r="BG266" s="2">
        <v>5000</v>
      </c>
      <c r="BH266" s="2">
        <v>2500</v>
      </c>
      <c r="BI266" s="2">
        <v>3000</v>
      </c>
      <c r="BJ266" s="2">
        <v>-1500</v>
      </c>
      <c r="BK266" s="2">
        <v>1000</v>
      </c>
      <c r="BL266" s="2">
        <v>1000</v>
      </c>
      <c r="BO266" s="2">
        <f t="shared" si="169"/>
        <v>0</v>
      </c>
      <c r="BP266" s="2">
        <f t="shared" si="136"/>
        <v>0</v>
      </c>
      <c r="BQ266" s="2">
        <f t="shared" si="137"/>
        <v>0</v>
      </c>
      <c r="BR266" s="2">
        <f t="shared" si="138"/>
        <v>0</v>
      </c>
      <c r="BS266" s="2">
        <f t="shared" si="139"/>
        <v>0</v>
      </c>
      <c r="BT266" s="2">
        <f t="shared" si="140"/>
        <v>0</v>
      </c>
      <c r="BU266" s="2">
        <f t="shared" si="141"/>
        <v>0</v>
      </c>
      <c r="BV266" s="2">
        <f t="shared" si="142"/>
        <v>0</v>
      </c>
      <c r="BW266" s="2">
        <f t="shared" si="143"/>
        <v>0</v>
      </c>
      <c r="BX266" s="2">
        <f t="shared" si="144"/>
        <v>0</v>
      </c>
      <c r="BY266" s="2">
        <f t="shared" si="145"/>
        <v>0</v>
      </c>
      <c r="BZ266" s="2">
        <f t="shared" si="146"/>
        <v>0</v>
      </c>
      <c r="CA266" s="2">
        <f t="shared" si="147"/>
        <v>0</v>
      </c>
      <c r="CB266" s="2">
        <f t="shared" si="148"/>
        <v>0</v>
      </c>
      <c r="CC266" s="2">
        <f t="shared" si="149"/>
        <v>0</v>
      </c>
      <c r="CD266" s="2">
        <f t="shared" si="150"/>
        <v>0</v>
      </c>
      <c r="CE266" s="2">
        <f t="shared" si="151"/>
        <v>0</v>
      </c>
      <c r="CF266" s="2">
        <f t="shared" si="152"/>
        <v>5110.9799999999996</v>
      </c>
      <c r="CG266" s="2">
        <f t="shared" si="153"/>
        <v>7654.25</v>
      </c>
      <c r="CH266" s="2">
        <f t="shared" si="154"/>
        <v>8206.25</v>
      </c>
      <c r="CI266" s="2">
        <f t="shared" si="155"/>
        <v>0</v>
      </c>
      <c r="CJ266" s="2">
        <f t="shared" si="156"/>
        <v>0</v>
      </c>
      <c r="CK266" s="2">
        <f t="shared" si="157"/>
        <v>0</v>
      </c>
      <c r="CL266" s="2">
        <f t="shared" si="158"/>
        <v>0</v>
      </c>
      <c r="CM266" s="2">
        <f t="shared" si="130"/>
        <v>0</v>
      </c>
      <c r="CN266" s="2">
        <f t="shared" si="131"/>
        <v>0</v>
      </c>
      <c r="CO266" s="2">
        <f t="shared" si="132"/>
        <v>0</v>
      </c>
      <c r="CP266" s="2">
        <f t="shared" si="133"/>
        <v>0</v>
      </c>
      <c r="CQ266" s="2">
        <f t="shared" si="134"/>
        <v>0</v>
      </c>
      <c r="CR266" s="2">
        <f t="shared" si="135"/>
        <v>0</v>
      </c>
      <c r="CV266" t="s">
        <v>64</v>
      </c>
      <c r="CW266" t="s">
        <v>339</v>
      </c>
      <c r="CX266" t="s">
        <v>7</v>
      </c>
      <c r="CY266" s="4">
        <v>43185</v>
      </c>
      <c r="CZ266" t="s">
        <v>65</v>
      </c>
      <c r="DA266" t="s">
        <v>66</v>
      </c>
      <c r="DB266">
        <v>10</v>
      </c>
      <c r="DC266">
        <v>99.08</v>
      </c>
      <c r="DD266" t="s">
        <v>69</v>
      </c>
      <c r="DE266" t="s">
        <v>70</v>
      </c>
      <c r="DF266">
        <v>990.8</v>
      </c>
    </row>
    <row r="267" spans="1:110" x14ac:dyDescent="0.25">
      <c r="A267" s="1">
        <v>43123</v>
      </c>
      <c r="B267">
        <v>173.68</v>
      </c>
      <c r="C267">
        <v>96.87</v>
      </c>
      <c r="D267">
        <v>327.49</v>
      </c>
      <c r="E267">
        <v>165.43</v>
      </c>
      <c r="F267">
        <v>40.85</v>
      </c>
      <c r="G267">
        <v>124.9</v>
      </c>
      <c r="H267">
        <v>108.69</v>
      </c>
      <c r="I267">
        <v>74.400000000000006</v>
      </c>
      <c r="J267">
        <v>256.56</v>
      </c>
      <c r="K267">
        <v>200.37</v>
      </c>
      <c r="L267">
        <v>157.22</v>
      </c>
      <c r="M267">
        <v>44.65</v>
      </c>
      <c r="N267">
        <v>138.08000000000001</v>
      </c>
      <c r="O267">
        <v>111.33</v>
      </c>
      <c r="P267">
        <v>45.86</v>
      </c>
      <c r="Q267">
        <v>172.44</v>
      </c>
      <c r="R267">
        <v>238.3</v>
      </c>
      <c r="S267">
        <v>59.87</v>
      </c>
      <c r="T267">
        <v>90.34</v>
      </c>
      <c r="U267">
        <v>66.39</v>
      </c>
      <c r="V267">
        <v>35.24</v>
      </c>
      <c r="W267">
        <v>85.99</v>
      </c>
      <c r="X267">
        <v>142.91</v>
      </c>
      <c r="Y267">
        <v>241.95</v>
      </c>
      <c r="Z267">
        <v>132.26</v>
      </c>
      <c r="AA267">
        <v>123.61</v>
      </c>
      <c r="AB267">
        <v>50.87</v>
      </c>
      <c r="AC267">
        <v>74.760000000000005</v>
      </c>
      <c r="AD267">
        <v>103.44</v>
      </c>
      <c r="AE267">
        <v>83.86</v>
      </c>
      <c r="AI267" s="2">
        <v>5000</v>
      </c>
      <c r="AJ267" s="2">
        <f t="shared" si="168"/>
        <v>1180</v>
      </c>
      <c r="AK267" s="2">
        <f t="shared" si="168"/>
        <v>1180</v>
      </c>
      <c r="AL267" s="2">
        <f t="shared" si="168"/>
        <v>1180</v>
      </c>
      <c r="AM267" s="2">
        <f t="shared" si="168"/>
        <v>1180</v>
      </c>
      <c r="AN267" s="2">
        <f t="shared" si="168"/>
        <v>1180</v>
      </c>
      <c r="AO267" s="2">
        <f t="shared" si="168"/>
        <v>1180</v>
      </c>
      <c r="AP267" s="2">
        <f t="shared" si="168"/>
        <v>1060</v>
      </c>
      <c r="AQ267" s="2">
        <v>1000</v>
      </c>
      <c r="AR267" s="2">
        <v>0</v>
      </c>
      <c r="AS267" s="2">
        <v>10</v>
      </c>
      <c r="AT267" s="2">
        <v>0</v>
      </c>
      <c r="AU267" s="2">
        <v>1000</v>
      </c>
      <c r="AV267" s="2">
        <v>0</v>
      </c>
      <c r="AW267" s="2">
        <v>0</v>
      </c>
      <c r="AX267" s="2">
        <v>0</v>
      </c>
      <c r="AY267" s="2">
        <v>0</v>
      </c>
      <c r="AZ267" s="2">
        <v>1033</v>
      </c>
      <c r="BA267" s="2">
        <v>1075</v>
      </c>
      <c r="BB267" s="2">
        <v>999</v>
      </c>
      <c r="BC267" s="2">
        <v>-1000</v>
      </c>
      <c r="BD267" s="2">
        <v>-5000</v>
      </c>
      <c r="BE267" s="2">
        <v>5000</v>
      </c>
      <c r="BF267" s="2">
        <v>3000</v>
      </c>
      <c r="BG267" s="2">
        <v>5000</v>
      </c>
      <c r="BH267" s="2">
        <v>2500</v>
      </c>
      <c r="BI267" s="2">
        <v>3000</v>
      </c>
      <c r="BJ267" s="2">
        <v>-1500</v>
      </c>
      <c r="BK267" s="2">
        <v>1000</v>
      </c>
      <c r="BL267" s="2">
        <v>1000</v>
      </c>
      <c r="BO267" s="2">
        <f t="shared" si="169"/>
        <v>0</v>
      </c>
      <c r="BP267" s="2">
        <f t="shared" si="136"/>
        <v>0</v>
      </c>
      <c r="BQ267" s="2">
        <f t="shared" si="137"/>
        <v>0</v>
      </c>
      <c r="BR267" s="2">
        <f t="shared" si="138"/>
        <v>0</v>
      </c>
      <c r="BS267" s="2">
        <f t="shared" si="139"/>
        <v>0</v>
      </c>
      <c r="BT267" s="2">
        <f t="shared" si="140"/>
        <v>0</v>
      </c>
      <c r="BU267" s="2">
        <f t="shared" si="141"/>
        <v>0</v>
      </c>
      <c r="BV267" s="2">
        <f t="shared" si="142"/>
        <v>0</v>
      </c>
      <c r="BW267" s="2">
        <f t="shared" si="143"/>
        <v>0</v>
      </c>
      <c r="BX267" s="2">
        <f t="shared" si="144"/>
        <v>0</v>
      </c>
      <c r="BY267" s="2">
        <f t="shared" si="145"/>
        <v>0</v>
      </c>
      <c r="BZ267" s="2">
        <f t="shared" si="146"/>
        <v>0</v>
      </c>
      <c r="CA267" s="2">
        <f t="shared" si="147"/>
        <v>0</v>
      </c>
      <c r="CB267" s="2">
        <f t="shared" si="148"/>
        <v>0</v>
      </c>
      <c r="CC267" s="2">
        <f t="shared" si="149"/>
        <v>0</v>
      </c>
      <c r="CD267" s="2">
        <f t="shared" si="150"/>
        <v>0</v>
      </c>
      <c r="CE267" s="2">
        <f t="shared" si="151"/>
        <v>0</v>
      </c>
      <c r="CF267" s="2">
        <f t="shared" si="152"/>
        <v>-4190.8999999999996</v>
      </c>
      <c r="CG267" s="2">
        <f t="shared" si="153"/>
        <v>-7498.22</v>
      </c>
      <c r="CH267" s="2">
        <f t="shared" si="154"/>
        <v>-6240.66</v>
      </c>
      <c r="CI267" s="2">
        <f t="shared" si="155"/>
        <v>0</v>
      </c>
      <c r="CJ267" s="2">
        <f t="shared" si="156"/>
        <v>0</v>
      </c>
      <c r="CK267" s="2">
        <f t="shared" si="157"/>
        <v>0</v>
      </c>
      <c r="CL267" s="2">
        <f t="shared" si="158"/>
        <v>0</v>
      </c>
      <c r="CM267" s="2">
        <f t="shared" ref="CM267:CM330" si="170">(BG266-BG267)*Z267</f>
        <v>0</v>
      </c>
      <c r="CN267" s="2">
        <f t="shared" ref="CN267:CN330" si="171">(BH266-BH267)*AA267</f>
        <v>0</v>
      </c>
      <c r="CO267" s="2">
        <f t="shared" ref="CO267:CO330" si="172">(BI266-BI267)*AB267</f>
        <v>0</v>
      </c>
      <c r="CP267" s="2">
        <f t="shared" ref="CP267:CP330" si="173">(BJ266-BJ267)*AC267</f>
        <v>0</v>
      </c>
      <c r="CQ267" s="2">
        <f t="shared" ref="CQ267:CQ330" si="174">(BK266-BK267)*AD267</f>
        <v>0</v>
      </c>
      <c r="CR267" s="2">
        <f t="shared" ref="CR267:CR330" si="175">(BL266-BL267)*AE267</f>
        <v>0</v>
      </c>
      <c r="CV267" t="s">
        <v>64</v>
      </c>
      <c r="CW267" t="s">
        <v>340</v>
      </c>
      <c r="CX267" t="s">
        <v>7</v>
      </c>
      <c r="CY267" s="4">
        <v>43206</v>
      </c>
      <c r="CZ267" t="s">
        <v>65</v>
      </c>
      <c r="DA267" t="s">
        <v>66</v>
      </c>
      <c r="DB267">
        <v>10</v>
      </c>
      <c r="DC267">
        <v>98.68</v>
      </c>
      <c r="DD267" t="s">
        <v>69</v>
      </c>
      <c r="DE267" t="s">
        <v>70</v>
      </c>
      <c r="DF267">
        <v>986.80000000000007</v>
      </c>
    </row>
    <row r="268" spans="1:110" x14ac:dyDescent="0.25">
      <c r="A268" s="1">
        <v>43124</v>
      </c>
      <c r="B268">
        <v>170.91</v>
      </c>
      <c r="C268">
        <v>98.17</v>
      </c>
      <c r="D268">
        <v>326.61</v>
      </c>
      <c r="E268">
        <v>164.36</v>
      </c>
      <c r="F268">
        <v>40.909999999999997</v>
      </c>
      <c r="G268">
        <v>125.25</v>
      </c>
      <c r="H268">
        <v>108.78</v>
      </c>
      <c r="I268">
        <v>74.27</v>
      </c>
      <c r="J268">
        <v>262.07</v>
      </c>
      <c r="K268">
        <v>201.66</v>
      </c>
      <c r="L268">
        <v>156.38999999999999</v>
      </c>
      <c r="M268">
        <v>44.11</v>
      </c>
      <c r="N268">
        <v>138.32</v>
      </c>
      <c r="O268">
        <v>112.75</v>
      </c>
      <c r="P268">
        <v>46.23</v>
      </c>
      <c r="Q268">
        <v>171.77</v>
      </c>
      <c r="R268">
        <v>239.63</v>
      </c>
      <c r="S268">
        <v>59.36</v>
      </c>
      <c r="T268">
        <v>90.26</v>
      </c>
      <c r="U268">
        <v>67.239999999999995</v>
      </c>
      <c r="V268">
        <v>35.35</v>
      </c>
      <c r="W268">
        <v>85.28</v>
      </c>
      <c r="X268">
        <v>144.24</v>
      </c>
      <c r="Y268">
        <v>241.59</v>
      </c>
      <c r="Z268">
        <v>131.91999999999999</v>
      </c>
      <c r="AA268">
        <v>123.51</v>
      </c>
      <c r="AB268">
        <v>51.81</v>
      </c>
      <c r="AC268">
        <v>75.06</v>
      </c>
      <c r="AD268">
        <v>103.34</v>
      </c>
      <c r="AE268">
        <v>84.07</v>
      </c>
      <c r="AI268" s="2">
        <v>5000</v>
      </c>
      <c r="AJ268" s="2">
        <f t="shared" ref="AJ268:AP268" si="176">AJ267+10</f>
        <v>1190</v>
      </c>
      <c r="AK268" s="2">
        <f t="shared" si="176"/>
        <v>1190</v>
      </c>
      <c r="AL268" s="2">
        <f t="shared" si="176"/>
        <v>1190</v>
      </c>
      <c r="AM268" s="2">
        <f t="shared" si="176"/>
        <v>1190</v>
      </c>
      <c r="AN268" s="2">
        <f t="shared" si="176"/>
        <v>1190</v>
      </c>
      <c r="AO268" s="2">
        <f t="shared" si="176"/>
        <v>1190</v>
      </c>
      <c r="AP268" s="2">
        <f t="shared" si="176"/>
        <v>1070</v>
      </c>
      <c r="AQ268" s="2">
        <v>1000</v>
      </c>
      <c r="AR268" s="2">
        <v>0</v>
      </c>
      <c r="AS268" s="2">
        <v>10</v>
      </c>
      <c r="AT268" s="2">
        <v>0</v>
      </c>
      <c r="AU268" s="2">
        <v>1000</v>
      </c>
      <c r="AV268" s="2">
        <v>0</v>
      </c>
      <c r="AW268" s="2">
        <v>0</v>
      </c>
      <c r="AX268" s="2">
        <v>0</v>
      </c>
      <c r="AY268" s="2">
        <v>0</v>
      </c>
      <c r="AZ268" s="2">
        <v>950</v>
      </c>
      <c r="BA268" s="2">
        <v>935</v>
      </c>
      <c r="BB268" s="2">
        <v>1043</v>
      </c>
      <c r="BC268" s="2">
        <v>-1000</v>
      </c>
      <c r="BD268" s="2">
        <v>-5000</v>
      </c>
      <c r="BE268" s="2">
        <v>5000</v>
      </c>
      <c r="BF268" s="2">
        <v>3000</v>
      </c>
      <c r="BG268" s="2">
        <v>5000</v>
      </c>
      <c r="BH268" s="2">
        <v>2500</v>
      </c>
      <c r="BI268" s="2">
        <v>3000</v>
      </c>
      <c r="BJ268" s="2">
        <v>-1500</v>
      </c>
      <c r="BK268" s="2">
        <v>1000</v>
      </c>
      <c r="BL268" s="2">
        <v>1000</v>
      </c>
      <c r="BO268" s="2">
        <f t="shared" si="169"/>
        <v>0</v>
      </c>
      <c r="BP268" s="2">
        <f t="shared" ref="BP268:BP331" si="177">(AJ267-AJ268)*C268</f>
        <v>-981.7</v>
      </c>
      <c r="BQ268" s="2">
        <f t="shared" ref="BQ268:BQ331" si="178">(AK267-AK268)*D268</f>
        <v>-3266.1000000000004</v>
      </c>
      <c r="BR268" s="2">
        <f t="shared" ref="BR268:BR331" si="179">(AL267-AL268)*E268</f>
        <v>-1643.6000000000001</v>
      </c>
      <c r="BS268" s="2">
        <f t="shared" ref="BS268:BS331" si="180">(AM267-AM268)*F268</f>
        <v>-409.09999999999997</v>
      </c>
      <c r="BT268" s="2">
        <f t="shared" ref="BT268:BT331" si="181">(AN267-AN268)*G268</f>
        <v>-1252.5</v>
      </c>
      <c r="BU268" s="2">
        <f t="shared" ref="BU268:BU331" si="182">(AO267-AO268)*H268</f>
        <v>-1087.8</v>
      </c>
      <c r="BV268" s="2">
        <f t="shared" ref="BV268:BV331" si="183">(AP267-AP268)*I268</f>
        <v>-742.69999999999993</v>
      </c>
      <c r="BW268" s="2">
        <f t="shared" ref="BW268:BW331" si="184">(AQ267-AQ268)*J268</f>
        <v>0</v>
      </c>
      <c r="BX268" s="2">
        <f t="shared" ref="BX268:BX331" si="185">(AR267-AR268)*K268</f>
        <v>0</v>
      </c>
      <c r="BY268" s="2">
        <f t="shared" ref="BY268:BY331" si="186">(AS267-AS268)*L268</f>
        <v>0</v>
      </c>
      <c r="BZ268" s="2">
        <f t="shared" ref="BZ268:BZ331" si="187">(AT267-AT268)*M268</f>
        <v>0</v>
      </c>
      <c r="CA268" s="2">
        <f t="shared" ref="CA268:CA331" si="188">(AU267-AU268)*N268</f>
        <v>0</v>
      </c>
      <c r="CB268" s="2">
        <f t="shared" ref="CB268:CB331" si="189">(AV267-AV268)*O268</f>
        <v>0</v>
      </c>
      <c r="CC268" s="2">
        <f t="shared" ref="CC268:CC331" si="190">(AW267-AW268)*P268</f>
        <v>0</v>
      </c>
      <c r="CD268" s="2">
        <f t="shared" ref="CD268:CD331" si="191">(AX267-AX268)*Q268</f>
        <v>0</v>
      </c>
      <c r="CE268" s="2">
        <f t="shared" ref="CE268:CE331" si="192">(AY267-AY268)*R268</f>
        <v>0</v>
      </c>
      <c r="CF268" s="2">
        <f t="shared" ref="CF268:CF331" si="193">(AZ267-AZ268)*S268</f>
        <v>4926.88</v>
      </c>
      <c r="CG268" s="2">
        <f t="shared" ref="CG268:CG331" si="194">(BA267-BA268)*T268</f>
        <v>12636.400000000001</v>
      </c>
      <c r="CH268" s="2">
        <f t="shared" ref="CH268:CH331" si="195">(BB267-BB268)*U268</f>
        <v>-2958.56</v>
      </c>
      <c r="CI268" s="2">
        <f t="shared" ref="CI268:CI331" si="196">(BC267-BC268)*V268</f>
        <v>0</v>
      </c>
      <c r="CJ268" s="2">
        <f t="shared" ref="CJ268:CJ331" si="197">(BD267-BD268)*W268</f>
        <v>0</v>
      </c>
      <c r="CK268" s="2">
        <f t="shared" ref="CK268:CK331" si="198">(BE267-BE268)*X268</f>
        <v>0</v>
      </c>
      <c r="CL268" s="2">
        <f t="shared" ref="CL268:CL331" si="199">(BF267-BF268)*Y268</f>
        <v>0</v>
      </c>
      <c r="CM268" s="2">
        <f t="shared" si="170"/>
        <v>0</v>
      </c>
      <c r="CN268" s="2">
        <f t="shared" si="171"/>
        <v>0</v>
      </c>
      <c r="CO268" s="2">
        <f t="shared" si="172"/>
        <v>0</v>
      </c>
      <c r="CP268" s="2">
        <f t="shared" si="173"/>
        <v>0</v>
      </c>
      <c r="CQ268" s="2">
        <f t="shared" si="174"/>
        <v>0</v>
      </c>
      <c r="CR268" s="2">
        <f t="shared" si="175"/>
        <v>0</v>
      </c>
      <c r="CV268" t="s">
        <v>64</v>
      </c>
      <c r="CW268" t="s">
        <v>341</v>
      </c>
      <c r="CX268" t="s">
        <v>7</v>
      </c>
      <c r="CY268" s="4">
        <v>43224</v>
      </c>
      <c r="CZ268" t="s">
        <v>65</v>
      </c>
      <c r="DA268" t="s">
        <v>66</v>
      </c>
      <c r="DB268">
        <v>10</v>
      </c>
      <c r="DC268">
        <v>99.57</v>
      </c>
      <c r="DD268" t="s">
        <v>69</v>
      </c>
      <c r="DE268" t="s">
        <v>70</v>
      </c>
      <c r="DF268">
        <v>995.69999999999993</v>
      </c>
    </row>
    <row r="269" spans="1:110" x14ac:dyDescent="0.25">
      <c r="A269" s="1">
        <v>43125</v>
      </c>
      <c r="B269">
        <v>167.86</v>
      </c>
      <c r="C269">
        <v>98.56</v>
      </c>
      <c r="D269">
        <v>334.82</v>
      </c>
      <c r="E269">
        <v>165.37</v>
      </c>
      <c r="F269">
        <v>40.65</v>
      </c>
      <c r="G269">
        <v>124.54</v>
      </c>
      <c r="H269">
        <v>108.82</v>
      </c>
      <c r="I269">
        <v>74.900000000000006</v>
      </c>
      <c r="J269">
        <v>265.37</v>
      </c>
      <c r="K269">
        <v>200.83</v>
      </c>
      <c r="L269">
        <v>156.49</v>
      </c>
      <c r="M269">
        <v>43.91</v>
      </c>
      <c r="N269">
        <v>140.59</v>
      </c>
      <c r="O269">
        <v>112.78</v>
      </c>
      <c r="P269">
        <v>46.24</v>
      </c>
      <c r="Q269">
        <v>171.32</v>
      </c>
      <c r="R269">
        <v>244.15</v>
      </c>
      <c r="S269">
        <v>59.48</v>
      </c>
      <c r="T269">
        <v>90.76</v>
      </c>
      <c r="U269">
        <v>66.95</v>
      </c>
      <c r="V269">
        <v>35.630000000000003</v>
      </c>
      <c r="W269">
        <v>85.31</v>
      </c>
      <c r="X269">
        <v>145.07</v>
      </c>
      <c r="Y269">
        <v>241.92</v>
      </c>
      <c r="Z269">
        <v>133.93</v>
      </c>
      <c r="AA269">
        <v>124.17</v>
      </c>
      <c r="AB269">
        <v>51.88</v>
      </c>
      <c r="AC269">
        <v>75.97</v>
      </c>
      <c r="AD269">
        <v>104.13</v>
      </c>
      <c r="AE269">
        <v>83.92</v>
      </c>
      <c r="AI269" s="2">
        <v>5000</v>
      </c>
      <c r="AJ269" s="2">
        <f t="shared" ref="AJ269:AP269" si="200">AJ268</f>
        <v>1190</v>
      </c>
      <c r="AK269" s="2">
        <f t="shared" si="200"/>
        <v>1190</v>
      </c>
      <c r="AL269" s="2">
        <f t="shared" si="200"/>
        <v>1190</v>
      </c>
      <c r="AM269" s="2">
        <f t="shared" si="200"/>
        <v>1190</v>
      </c>
      <c r="AN269" s="2">
        <f t="shared" si="200"/>
        <v>1190</v>
      </c>
      <c r="AO269" s="2">
        <f t="shared" si="200"/>
        <v>1190</v>
      </c>
      <c r="AP269" s="2">
        <f t="shared" si="200"/>
        <v>1070</v>
      </c>
      <c r="AQ269" s="2">
        <v>1000</v>
      </c>
      <c r="AR269" s="2">
        <v>0</v>
      </c>
      <c r="AS269" s="2">
        <v>10</v>
      </c>
      <c r="AT269" s="2">
        <v>0</v>
      </c>
      <c r="AU269" s="2">
        <v>1000</v>
      </c>
      <c r="AV269" s="2">
        <v>0</v>
      </c>
      <c r="AW269" s="2">
        <v>0</v>
      </c>
      <c r="AX269" s="2">
        <v>0</v>
      </c>
      <c r="AY269" s="2">
        <v>0</v>
      </c>
      <c r="AZ269" s="2">
        <v>974</v>
      </c>
      <c r="BA269" s="2">
        <v>950</v>
      </c>
      <c r="BB269" s="2">
        <v>989</v>
      </c>
      <c r="BC269" s="2">
        <v>-1000</v>
      </c>
      <c r="BD269" s="2">
        <v>-5000</v>
      </c>
      <c r="BE269" s="2">
        <v>5000</v>
      </c>
      <c r="BF269" s="2">
        <v>3000</v>
      </c>
      <c r="BG269" s="2">
        <v>5000</v>
      </c>
      <c r="BH269" s="2">
        <v>2500</v>
      </c>
      <c r="BI269" s="2">
        <v>3000</v>
      </c>
      <c r="BJ269" s="2">
        <v>-1500</v>
      </c>
      <c r="BK269" s="2">
        <v>1000</v>
      </c>
      <c r="BL269" s="2">
        <v>1000</v>
      </c>
      <c r="BO269" s="2">
        <f t="shared" si="169"/>
        <v>0</v>
      </c>
      <c r="BP269" s="2">
        <f t="shared" si="177"/>
        <v>0</v>
      </c>
      <c r="BQ269" s="2">
        <f t="shared" si="178"/>
        <v>0</v>
      </c>
      <c r="BR269" s="2">
        <f t="shared" si="179"/>
        <v>0</v>
      </c>
      <c r="BS269" s="2">
        <f t="shared" si="180"/>
        <v>0</v>
      </c>
      <c r="BT269" s="2">
        <f t="shared" si="181"/>
        <v>0</v>
      </c>
      <c r="BU269" s="2">
        <f t="shared" si="182"/>
        <v>0</v>
      </c>
      <c r="BV269" s="2">
        <f t="shared" si="183"/>
        <v>0</v>
      </c>
      <c r="BW269" s="2">
        <f t="shared" si="184"/>
        <v>0</v>
      </c>
      <c r="BX269" s="2">
        <f t="shared" si="185"/>
        <v>0</v>
      </c>
      <c r="BY269" s="2">
        <f t="shared" si="186"/>
        <v>0</v>
      </c>
      <c r="BZ269" s="2">
        <f t="shared" si="187"/>
        <v>0</v>
      </c>
      <c r="CA269" s="2">
        <f t="shared" si="188"/>
        <v>0</v>
      </c>
      <c r="CB269" s="2">
        <f t="shared" si="189"/>
        <v>0</v>
      </c>
      <c r="CC269" s="2">
        <f t="shared" si="190"/>
        <v>0</v>
      </c>
      <c r="CD269" s="2">
        <f t="shared" si="191"/>
        <v>0</v>
      </c>
      <c r="CE269" s="2">
        <f t="shared" si="192"/>
        <v>0</v>
      </c>
      <c r="CF269" s="2">
        <f t="shared" si="193"/>
        <v>-1427.52</v>
      </c>
      <c r="CG269" s="2">
        <f t="shared" si="194"/>
        <v>-1361.4</v>
      </c>
      <c r="CH269" s="2">
        <f t="shared" si="195"/>
        <v>3615.3</v>
      </c>
      <c r="CI269" s="2">
        <f t="shared" si="196"/>
        <v>0</v>
      </c>
      <c r="CJ269" s="2">
        <f t="shared" si="197"/>
        <v>0</v>
      </c>
      <c r="CK269" s="2">
        <f t="shared" si="198"/>
        <v>0</v>
      </c>
      <c r="CL269" s="2">
        <f t="shared" si="199"/>
        <v>0</v>
      </c>
      <c r="CM269" s="2">
        <f t="shared" si="170"/>
        <v>0</v>
      </c>
      <c r="CN269" s="2">
        <f t="shared" si="171"/>
        <v>0</v>
      </c>
      <c r="CO269" s="2">
        <f t="shared" si="172"/>
        <v>0</v>
      </c>
      <c r="CP269" s="2">
        <f t="shared" si="173"/>
        <v>0</v>
      </c>
      <c r="CQ269" s="2">
        <f t="shared" si="174"/>
        <v>0</v>
      </c>
      <c r="CR269" s="2">
        <f t="shared" si="175"/>
        <v>0</v>
      </c>
      <c r="CV269" t="s">
        <v>64</v>
      </c>
      <c r="CW269" t="s">
        <v>342</v>
      </c>
      <c r="CX269" t="s">
        <v>7</v>
      </c>
      <c r="CY269" s="4">
        <v>43244</v>
      </c>
      <c r="CZ269" t="s">
        <v>65</v>
      </c>
      <c r="DA269" t="s">
        <v>66</v>
      </c>
      <c r="DB269">
        <v>10</v>
      </c>
      <c r="DC269">
        <v>100.52</v>
      </c>
      <c r="DD269" t="s">
        <v>69</v>
      </c>
      <c r="DE269" t="s">
        <v>70</v>
      </c>
      <c r="DF269">
        <v>1005.1999999999999</v>
      </c>
    </row>
    <row r="270" spans="1:110" x14ac:dyDescent="0.25">
      <c r="A270" s="1">
        <v>43126</v>
      </c>
      <c r="B270">
        <v>168.25</v>
      </c>
      <c r="C270">
        <v>98.5</v>
      </c>
      <c r="D270">
        <v>334.93</v>
      </c>
      <c r="E270">
        <v>163.11000000000001</v>
      </c>
      <c r="F270">
        <v>41.29</v>
      </c>
      <c r="G270">
        <v>125.06</v>
      </c>
      <c r="H270">
        <v>110.44</v>
      </c>
      <c r="I270">
        <v>75.260000000000005</v>
      </c>
      <c r="J270">
        <v>264.5</v>
      </c>
      <c r="K270">
        <v>202.65</v>
      </c>
      <c r="L270">
        <v>158.25</v>
      </c>
      <c r="M270">
        <v>48.54</v>
      </c>
      <c r="N270">
        <v>141.49</v>
      </c>
      <c r="O270">
        <v>113.39</v>
      </c>
      <c r="P270">
        <v>46.91</v>
      </c>
      <c r="Q270">
        <v>173.95</v>
      </c>
      <c r="R270">
        <v>250.22</v>
      </c>
      <c r="S270">
        <v>60.2</v>
      </c>
      <c r="T270">
        <v>92.46</v>
      </c>
      <c r="U270">
        <v>67.28</v>
      </c>
      <c r="V270">
        <v>37.340000000000003</v>
      </c>
      <c r="W270">
        <v>84.72</v>
      </c>
      <c r="X270">
        <v>146</v>
      </c>
      <c r="Y270">
        <v>245.16</v>
      </c>
      <c r="Z270">
        <v>134.15</v>
      </c>
      <c r="AA270">
        <v>125.27</v>
      </c>
      <c r="AB270">
        <v>52.29</v>
      </c>
      <c r="AC270">
        <v>76.83</v>
      </c>
      <c r="AD270">
        <v>105.88</v>
      </c>
      <c r="AE270">
        <v>84.52</v>
      </c>
      <c r="AI270" s="2">
        <v>5000</v>
      </c>
      <c r="AJ270" s="2">
        <f t="shared" si="168"/>
        <v>1190</v>
      </c>
      <c r="AK270" s="2">
        <f t="shared" si="168"/>
        <v>1190</v>
      </c>
      <c r="AL270" s="2">
        <f t="shared" si="168"/>
        <v>1190</v>
      </c>
      <c r="AM270" s="2">
        <f t="shared" si="168"/>
        <v>1190</v>
      </c>
      <c r="AN270" s="2">
        <f t="shared" si="168"/>
        <v>1190</v>
      </c>
      <c r="AO270" s="2">
        <f t="shared" si="168"/>
        <v>1190</v>
      </c>
      <c r="AP270" s="2">
        <f t="shared" si="168"/>
        <v>1070</v>
      </c>
      <c r="AQ270" s="2">
        <v>1000</v>
      </c>
      <c r="AR270" s="2">
        <v>0</v>
      </c>
      <c r="AS270" s="2">
        <v>10</v>
      </c>
      <c r="AT270" s="2">
        <v>0</v>
      </c>
      <c r="AU270" s="2">
        <v>1000</v>
      </c>
      <c r="AV270" s="2">
        <v>0</v>
      </c>
      <c r="AW270" s="2">
        <v>0</v>
      </c>
      <c r="AX270" s="2">
        <v>0</v>
      </c>
      <c r="AY270" s="2">
        <v>0</v>
      </c>
      <c r="AZ270" s="2">
        <v>1001</v>
      </c>
      <c r="BA270" s="2">
        <v>1100</v>
      </c>
      <c r="BB270" s="2">
        <v>1088</v>
      </c>
      <c r="BC270" s="2">
        <v>-1000</v>
      </c>
      <c r="BD270" s="2">
        <v>-5000</v>
      </c>
      <c r="BE270" s="2">
        <v>5000</v>
      </c>
      <c r="BF270" s="2">
        <v>3000</v>
      </c>
      <c r="BG270" s="2">
        <v>5000</v>
      </c>
      <c r="BH270" s="2">
        <v>2500</v>
      </c>
      <c r="BI270" s="2">
        <v>3000</v>
      </c>
      <c r="BJ270" s="2">
        <v>-1500</v>
      </c>
      <c r="BK270" s="2">
        <v>1000</v>
      </c>
      <c r="BL270" s="2">
        <v>1000</v>
      </c>
      <c r="BO270" s="2">
        <f t="shared" si="169"/>
        <v>0</v>
      </c>
      <c r="BP270" s="2">
        <f t="shared" si="177"/>
        <v>0</v>
      </c>
      <c r="BQ270" s="2">
        <f t="shared" si="178"/>
        <v>0</v>
      </c>
      <c r="BR270" s="2">
        <f t="shared" si="179"/>
        <v>0</v>
      </c>
      <c r="BS270" s="2">
        <f t="shared" si="180"/>
        <v>0</v>
      </c>
      <c r="BT270" s="2">
        <f t="shared" si="181"/>
        <v>0</v>
      </c>
      <c r="BU270" s="2">
        <f t="shared" si="182"/>
        <v>0</v>
      </c>
      <c r="BV270" s="2">
        <f t="shared" si="183"/>
        <v>0</v>
      </c>
      <c r="BW270" s="2">
        <f t="shared" si="184"/>
        <v>0</v>
      </c>
      <c r="BX270" s="2">
        <f t="shared" si="185"/>
        <v>0</v>
      </c>
      <c r="BY270" s="2">
        <f t="shared" si="186"/>
        <v>0</v>
      </c>
      <c r="BZ270" s="2">
        <f t="shared" si="187"/>
        <v>0</v>
      </c>
      <c r="CA270" s="2">
        <f t="shared" si="188"/>
        <v>0</v>
      </c>
      <c r="CB270" s="2">
        <f t="shared" si="189"/>
        <v>0</v>
      </c>
      <c r="CC270" s="2">
        <f t="shared" si="190"/>
        <v>0</v>
      </c>
      <c r="CD270" s="2">
        <f t="shared" si="191"/>
        <v>0</v>
      </c>
      <c r="CE270" s="2">
        <f t="shared" si="192"/>
        <v>0</v>
      </c>
      <c r="CF270" s="2">
        <f t="shared" si="193"/>
        <v>-1625.4</v>
      </c>
      <c r="CG270" s="2">
        <f t="shared" si="194"/>
        <v>-13868.999999999998</v>
      </c>
      <c r="CH270" s="2">
        <f t="shared" si="195"/>
        <v>-6660.72</v>
      </c>
      <c r="CI270" s="2">
        <f t="shared" si="196"/>
        <v>0</v>
      </c>
      <c r="CJ270" s="2">
        <f t="shared" si="197"/>
        <v>0</v>
      </c>
      <c r="CK270" s="2">
        <f t="shared" si="198"/>
        <v>0</v>
      </c>
      <c r="CL270" s="2">
        <f t="shared" si="199"/>
        <v>0</v>
      </c>
      <c r="CM270" s="2">
        <f t="shared" si="170"/>
        <v>0</v>
      </c>
      <c r="CN270" s="2">
        <f t="shared" si="171"/>
        <v>0</v>
      </c>
      <c r="CO270" s="2">
        <f t="shared" si="172"/>
        <v>0</v>
      </c>
      <c r="CP270" s="2">
        <f t="shared" si="173"/>
        <v>0</v>
      </c>
      <c r="CQ270" s="2">
        <f t="shared" si="174"/>
        <v>0</v>
      </c>
      <c r="CR270" s="2">
        <f t="shared" si="175"/>
        <v>0</v>
      </c>
      <c r="CV270" t="s">
        <v>64</v>
      </c>
      <c r="CW270" t="s">
        <v>343</v>
      </c>
      <c r="CX270" t="s">
        <v>7</v>
      </c>
      <c r="CY270" s="4">
        <v>43265</v>
      </c>
      <c r="CZ270" t="s">
        <v>65</v>
      </c>
      <c r="DA270" t="s">
        <v>66</v>
      </c>
      <c r="DB270">
        <v>10</v>
      </c>
      <c r="DC270">
        <v>107.05</v>
      </c>
      <c r="DD270" t="s">
        <v>69</v>
      </c>
      <c r="DE270" t="s">
        <v>70</v>
      </c>
      <c r="DF270">
        <v>1070.5</v>
      </c>
    </row>
    <row r="271" spans="1:110" x14ac:dyDescent="0.25">
      <c r="A271" s="1">
        <v>43129</v>
      </c>
      <c r="B271">
        <v>164.77</v>
      </c>
      <c r="C271">
        <v>98.28</v>
      </c>
      <c r="D271">
        <v>332.59</v>
      </c>
      <c r="E271">
        <v>158.74</v>
      </c>
      <c r="F271">
        <v>41.57</v>
      </c>
      <c r="G271">
        <v>122.48</v>
      </c>
      <c r="H271">
        <v>109.8</v>
      </c>
      <c r="I271">
        <v>74.14</v>
      </c>
      <c r="J271">
        <v>268.77999999999997</v>
      </c>
      <c r="K271">
        <v>200.39</v>
      </c>
      <c r="L271">
        <v>157.74</v>
      </c>
      <c r="M271">
        <v>48.45</v>
      </c>
      <c r="N271">
        <v>139.88999999999999</v>
      </c>
      <c r="O271">
        <v>113.27</v>
      </c>
      <c r="P271">
        <v>46.11</v>
      </c>
      <c r="Q271">
        <v>173.38</v>
      </c>
      <c r="R271">
        <v>247.68</v>
      </c>
      <c r="S271">
        <v>59.8</v>
      </c>
      <c r="T271">
        <v>92.32</v>
      </c>
      <c r="U271">
        <v>66.83</v>
      </c>
      <c r="V271">
        <v>37.35</v>
      </c>
      <c r="W271">
        <v>83.88</v>
      </c>
      <c r="X271">
        <v>145.55000000000001</v>
      </c>
      <c r="Y271">
        <v>244.12</v>
      </c>
      <c r="Z271">
        <v>132.88</v>
      </c>
      <c r="AA271">
        <v>123.8</v>
      </c>
      <c r="AB271">
        <v>51.73</v>
      </c>
      <c r="AC271">
        <v>77.91</v>
      </c>
      <c r="AD271">
        <v>107.01</v>
      </c>
      <c r="AE271">
        <v>83.58</v>
      </c>
      <c r="AI271" s="2">
        <v>5000</v>
      </c>
      <c r="AJ271" s="2">
        <f t="shared" si="168"/>
        <v>1190</v>
      </c>
      <c r="AK271" s="2">
        <f t="shared" si="168"/>
        <v>1190</v>
      </c>
      <c r="AL271" s="2">
        <f t="shared" si="168"/>
        <v>1190</v>
      </c>
      <c r="AM271" s="2">
        <f t="shared" si="168"/>
        <v>1190</v>
      </c>
      <c r="AN271" s="2">
        <f t="shared" si="168"/>
        <v>1190</v>
      </c>
      <c r="AO271" s="2">
        <f t="shared" si="168"/>
        <v>1190</v>
      </c>
      <c r="AP271" s="2">
        <f t="shared" si="168"/>
        <v>1070</v>
      </c>
      <c r="AQ271" s="2">
        <v>1000</v>
      </c>
      <c r="AR271" s="2">
        <v>0</v>
      </c>
      <c r="AS271" s="2">
        <v>10</v>
      </c>
      <c r="AT271" s="2">
        <v>0</v>
      </c>
      <c r="AU271" s="2">
        <v>1000</v>
      </c>
      <c r="AV271" s="2">
        <v>0</v>
      </c>
      <c r="AW271" s="2">
        <v>0</v>
      </c>
      <c r="AX271" s="2">
        <v>0</v>
      </c>
      <c r="AY271" s="2">
        <v>0</v>
      </c>
      <c r="AZ271" s="2">
        <v>1020</v>
      </c>
      <c r="BA271" s="2">
        <v>1065</v>
      </c>
      <c r="BB271" s="2">
        <v>1042</v>
      </c>
      <c r="BC271" s="2">
        <v>-1000</v>
      </c>
      <c r="BD271" s="2">
        <v>-5000</v>
      </c>
      <c r="BE271" s="2">
        <v>5000</v>
      </c>
      <c r="BF271" s="2">
        <v>3000</v>
      </c>
      <c r="BG271" s="2">
        <v>5000</v>
      </c>
      <c r="BH271" s="2">
        <v>5000</v>
      </c>
      <c r="BI271" s="2">
        <v>3000</v>
      </c>
      <c r="BJ271" s="2">
        <v>-1500</v>
      </c>
      <c r="BK271" s="2">
        <v>1000</v>
      </c>
      <c r="BL271" s="2">
        <v>1000</v>
      </c>
      <c r="BO271" s="2">
        <f t="shared" si="169"/>
        <v>0</v>
      </c>
      <c r="BP271" s="2">
        <f t="shared" si="177"/>
        <v>0</v>
      </c>
      <c r="BQ271" s="2">
        <f t="shared" si="178"/>
        <v>0</v>
      </c>
      <c r="BR271" s="2">
        <f t="shared" si="179"/>
        <v>0</v>
      </c>
      <c r="BS271" s="2">
        <f t="shared" si="180"/>
        <v>0</v>
      </c>
      <c r="BT271" s="2">
        <f t="shared" si="181"/>
        <v>0</v>
      </c>
      <c r="BU271" s="2">
        <f t="shared" si="182"/>
        <v>0</v>
      </c>
      <c r="BV271" s="2">
        <f t="shared" si="183"/>
        <v>0</v>
      </c>
      <c r="BW271" s="2">
        <f t="shared" si="184"/>
        <v>0</v>
      </c>
      <c r="BX271" s="2">
        <f t="shared" si="185"/>
        <v>0</v>
      </c>
      <c r="BY271" s="2">
        <f t="shared" si="186"/>
        <v>0</v>
      </c>
      <c r="BZ271" s="2">
        <f t="shared" si="187"/>
        <v>0</v>
      </c>
      <c r="CA271" s="2">
        <f t="shared" si="188"/>
        <v>0</v>
      </c>
      <c r="CB271" s="2">
        <f t="shared" si="189"/>
        <v>0</v>
      </c>
      <c r="CC271" s="2">
        <f t="shared" si="190"/>
        <v>0</v>
      </c>
      <c r="CD271" s="2">
        <f t="shared" si="191"/>
        <v>0</v>
      </c>
      <c r="CE271" s="2">
        <f t="shared" si="192"/>
        <v>0</v>
      </c>
      <c r="CF271" s="2">
        <f t="shared" si="193"/>
        <v>-1136.2</v>
      </c>
      <c r="CG271" s="2">
        <f t="shared" si="194"/>
        <v>3231.2</v>
      </c>
      <c r="CH271" s="2">
        <f t="shared" si="195"/>
        <v>3074.18</v>
      </c>
      <c r="CI271" s="2">
        <f t="shared" si="196"/>
        <v>0</v>
      </c>
      <c r="CJ271" s="2">
        <f t="shared" si="197"/>
        <v>0</v>
      </c>
      <c r="CK271" s="2">
        <f t="shared" si="198"/>
        <v>0</v>
      </c>
      <c r="CL271" s="2">
        <f t="shared" si="199"/>
        <v>0</v>
      </c>
      <c r="CM271" s="2">
        <f t="shared" si="170"/>
        <v>0</v>
      </c>
      <c r="CN271" s="2">
        <f t="shared" si="171"/>
        <v>-309500</v>
      </c>
      <c r="CO271" s="2">
        <f t="shared" si="172"/>
        <v>0</v>
      </c>
      <c r="CP271" s="2">
        <f t="shared" si="173"/>
        <v>0</v>
      </c>
      <c r="CQ271" s="2">
        <f t="shared" si="174"/>
        <v>0</v>
      </c>
      <c r="CR271" s="2">
        <f t="shared" si="175"/>
        <v>0</v>
      </c>
      <c r="CV271" t="s">
        <v>64</v>
      </c>
      <c r="CW271" t="s">
        <v>344</v>
      </c>
      <c r="CX271" t="s">
        <v>7</v>
      </c>
      <c r="CY271" s="4">
        <v>43286</v>
      </c>
      <c r="CZ271" t="s">
        <v>65</v>
      </c>
      <c r="DA271" t="s">
        <v>66</v>
      </c>
      <c r="DB271">
        <v>10</v>
      </c>
      <c r="DC271">
        <v>103.7</v>
      </c>
      <c r="DD271" t="s">
        <v>69</v>
      </c>
      <c r="DE271" t="s">
        <v>70</v>
      </c>
      <c r="DF271">
        <v>1037</v>
      </c>
    </row>
    <row r="272" spans="1:110" x14ac:dyDescent="0.25">
      <c r="A272" s="1">
        <v>43130</v>
      </c>
      <c r="B272">
        <v>163.80000000000001</v>
      </c>
      <c r="C272">
        <v>97.59</v>
      </c>
      <c r="D272">
        <v>329.55</v>
      </c>
      <c r="E272">
        <v>159.88999999999999</v>
      </c>
      <c r="F272">
        <v>40.99</v>
      </c>
      <c r="G272">
        <v>119.38</v>
      </c>
      <c r="H272">
        <v>108.39</v>
      </c>
      <c r="I272">
        <v>73.41</v>
      </c>
      <c r="J272">
        <v>265.29000000000002</v>
      </c>
      <c r="K272">
        <v>197.35</v>
      </c>
      <c r="L272">
        <v>154.74</v>
      </c>
      <c r="M272">
        <v>47.29</v>
      </c>
      <c r="N272">
        <v>138.66999999999999</v>
      </c>
      <c r="O272">
        <v>112.21</v>
      </c>
      <c r="P272">
        <v>45.83</v>
      </c>
      <c r="Q272">
        <v>168.22</v>
      </c>
      <c r="R272">
        <v>243.36</v>
      </c>
      <c r="S272">
        <v>58.85</v>
      </c>
      <c r="T272">
        <v>91.16</v>
      </c>
      <c r="U272">
        <v>66.58</v>
      </c>
      <c r="V272">
        <v>36.18</v>
      </c>
      <c r="W272">
        <v>83.97</v>
      </c>
      <c r="X272">
        <v>145.31</v>
      </c>
      <c r="Y272">
        <v>233.5</v>
      </c>
      <c r="Z272">
        <v>132.71</v>
      </c>
      <c r="AA272">
        <v>122.52</v>
      </c>
      <c r="AB272">
        <v>51.51</v>
      </c>
      <c r="AC272">
        <v>73.900000000000006</v>
      </c>
      <c r="AD272">
        <v>105.23</v>
      </c>
      <c r="AE272">
        <v>82.41</v>
      </c>
      <c r="AI272" s="2">
        <v>5000</v>
      </c>
      <c r="AJ272" s="2">
        <f t="shared" si="168"/>
        <v>1190</v>
      </c>
      <c r="AK272" s="2">
        <f t="shared" si="168"/>
        <v>1190</v>
      </c>
      <c r="AL272" s="2">
        <f t="shared" si="168"/>
        <v>1190</v>
      </c>
      <c r="AM272" s="2">
        <f t="shared" si="168"/>
        <v>1190</v>
      </c>
      <c r="AN272" s="2">
        <f t="shared" si="168"/>
        <v>1190</v>
      </c>
      <c r="AO272" s="2">
        <f t="shared" si="168"/>
        <v>1190</v>
      </c>
      <c r="AP272" s="2">
        <f t="shared" si="168"/>
        <v>1070</v>
      </c>
      <c r="AQ272" s="2">
        <v>1000</v>
      </c>
      <c r="AR272" s="2">
        <v>0</v>
      </c>
      <c r="AS272" s="2">
        <v>10</v>
      </c>
      <c r="AT272" s="2">
        <v>0</v>
      </c>
      <c r="AU272" s="2">
        <v>1000</v>
      </c>
      <c r="AV272" s="2">
        <v>0</v>
      </c>
      <c r="AW272" s="2">
        <v>0</v>
      </c>
      <c r="AX272" s="2">
        <v>0</v>
      </c>
      <c r="AY272" s="2">
        <v>0</v>
      </c>
      <c r="AZ272" s="2">
        <v>1030</v>
      </c>
      <c r="BA272" s="2">
        <v>904</v>
      </c>
      <c r="BB272" s="2">
        <v>1043</v>
      </c>
      <c r="BC272" s="2">
        <v>-1000</v>
      </c>
      <c r="BD272" s="2">
        <v>-5000</v>
      </c>
      <c r="BE272" s="2">
        <v>5000</v>
      </c>
      <c r="BF272" s="2">
        <v>3000</v>
      </c>
      <c r="BG272" s="2">
        <v>2500</v>
      </c>
      <c r="BH272" s="2">
        <v>5000</v>
      </c>
      <c r="BI272" s="2">
        <v>3000</v>
      </c>
      <c r="BJ272" s="2">
        <v>-1500</v>
      </c>
      <c r="BK272" s="2">
        <v>1000</v>
      </c>
      <c r="BL272" s="2">
        <v>1000</v>
      </c>
      <c r="BO272" s="2">
        <f t="shared" si="169"/>
        <v>0</v>
      </c>
      <c r="BP272" s="2">
        <f t="shared" si="177"/>
        <v>0</v>
      </c>
      <c r="BQ272" s="2">
        <f t="shared" si="178"/>
        <v>0</v>
      </c>
      <c r="BR272" s="2">
        <f t="shared" si="179"/>
        <v>0</v>
      </c>
      <c r="BS272" s="2">
        <f t="shared" si="180"/>
        <v>0</v>
      </c>
      <c r="BT272" s="2">
        <f t="shared" si="181"/>
        <v>0</v>
      </c>
      <c r="BU272" s="2">
        <f t="shared" si="182"/>
        <v>0</v>
      </c>
      <c r="BV272" s="2">
        <f t="shared" si="183"/>
        <v>0</v>
      </c>
      <c r="BW272" s="2">
        <f t="shared" si="184"/>
        <v>0</v>
      </c>
      <c r="BX272" s="2">
        <f t="shared" si="185"/>
        <v>0</v>
      </c>
      <c r="BY272" s="2">
        <f t="shared" si="186"/>
        <v>0</v>
      </c>
      <c r="BZ272" s="2">
        <f t="shared" si="187"/>
        <v>0</v>
      </c>
      <c r="CA272" s="2">
        <f t="shared" si="188"/>
        <v>0</v>
      </c>
      <c r="CB272" s="2">
        <f t="shared" si="189"/>
        <v>0</v>
      </c>
      <c r="CC272" s="2">
        <f t="shared" si="190"/>
        <v>0</v>
      </c>
      <c r="CD272" s="2">
        <f t="shared" si="191"/>
        <v>0</v>
      </c>
      <c r="CE272" s="2">
        <f t="shared" si="192"/>
        <v>0</v>
      </c>
      <c r="CF272" s="2">
        <f t="shared" si="193"/>
        <v>-588.5</v>
      </c>
      <c r="CG272" s="2">
        <f t="shared" si="194"/>
        <v>14676.76</v>
      </c>
      <c r="CH272" s="2">
        <f t="shared" si="195"/>
        <v>-66.58</v>
      </c>
      <c r="CI272" s="2">
        <f t="shared" si="196"/>
        <v>0</v>
      </c>
      <c r="CJ272" s="2">
        <f t="shared" si="197"/>
        <v>0</v>
      </c>
      <c r="CK272" s="2">
        <f t="shared" si="198"/>
        <v>0</v>
      </c>
      <c r="CL272" s="2">
        <f t="shared" si="199"/>
        <v>0</v>
      </c>
      <c r="CM272" s="2">
        <f t="shared" si="170"/>
        <v>331775</v>
      </c>
      <c r="CN272" s="2">
        <f t="shared" si="171"/>
        <v>0</v>
      </c>
      <c r="CO272" s="2">
        <f t="shared" si="172"/>
        <v>0</v>
      </c>
      <c r="CP272" s="2">
        <f t="shared" si="173"/>
        <v>0</v>
      </c>
      <c r="CQ272" s="2">
        <f t="shared" si="174"/>
        <v>0</v>
      </c>
      <c r="CR272" s="2">
        <f t="shared" si="175"/>
        <v>0</v>
      </c>
      <c r="CV272" t="s">
        <v>64</v>
      </c>
      <c r="CW272" t="s">
        <v>345</v>
      </c>
      <c r="CX272" t="s">
        <v>7</v>
      </c>
      <c r="CY272" s="4">
        <v>43306</v>
      </c>
      <c r="CZ272" t="s">
        <v>65</v>
      </c>
      <c r="DA272" t="s">
        <v>66</v>
      </c>
      <c r="DB272">
        <v>10</v>
      </c>
      <c r="DC272">
        <v>110.32</v>
      </c>
      <c r="DD272" t="s">
        <v>69</v>
      </c>
      <c r="DE272" t="s">
        <v>70</v>
      </c>
      <c r="DF272">
        <v>1103.1999999999998</v>
      </c>
    </row>
    <row r="273" spans="1:110" x14ac:dyDescent="0.25">
      <c r="A273" s="1">
        <v>43131</v>
      </c>
      <c r="B273">
        <v>164.25</v>
      </c>
      <c r="C273">
        <v>98.27</v>
      </c>
      <c r="D273">
        <v>345.81</v>
      </c>
      <c r="E273">
        <v>158.94</v>
      </c>
      <c r="F273">
        <v>40.299999999999997</v>
      </c>
      <c r="G273">
        <v>119.49</v>
      </c>
      <c r="H273">
        <v>106.97</v>
      </c>
      <c r="I273">
        <v>73.849999999999994</v>
      </c>
      <c r="J273">
        <v>264.25</v>
      </c>
      <c r="K273">
        <v>196.46</v>
      </c>
      <c r="L273">
        <v>154.81</v>
      </c>
      <c r="M273">
        <v>46.66</v>
      </c>
      <c r="N273">
        <v>134.54</v>
      </c>
      <c r="O273">
        <v>112.75</v>
      </c>
      <c r="P273">
        <v>46</v>
      </c>
      <c r="Q273">
        <v>166.91</v>
      </c>
      <c r="R273">
        <v>242.35</v>
      </c>
      <c r="S273">
        <v>57.49</v>
      </c>
      <c r="T273">
        <v>93.39</v>
      </c>
      <c r="U273">
        <v>67.459999999999994</v>
      </c>
      <c r="V273">
        <v>35.450000000000003</v>
      </c>
      <c r="W273">
        <v>83.38</v>
      </c>
      <c r="X273">
        <v>146.47999999999999</v>
      </c>
      <c r="Y273">
        <v>233.63</v>
      </c>
      <c r="Z273">
        <v>134.18</v>
      </c>
      <c r="AA273">
        <v>123.19</v>
      </c>
      <c r="AB273">
        <v>51.67</v>
      </c>
      <c r="AC273">
        <v>73.05</v>
      </c>
      <c r="AD273">
        <v>104.13</v>
      </c>
      <c r="AE273">
        <v>82.91</v>
      </c>
      <c r="AI273" s="2">
        <v>5000</v>
      </c>
      <c r="AJ273" s="2">
        <f t="shared" si="168"/>
        <v>1190</v>
      </c>
      <c r="AK273" s="2">
        <f t="shared" si="168"/>
        <v>1190</v>
      </c>
      <c r="AL273" s="2">
        <f t="shared" si="168"/>
        <v>1190</v>
      </c>
      <c r="AM273" s="2">
        <f t="shared" si="168"/>
        <v>1190</v>
      </c>
      <c r="AN273" s="2">
        <f t="shared" si="168"/>
        <v>1190</v>
      </c>
      <c r="AO273" s="2">
        <f t="shared" si="168"/>
        <v>1190</v>
      </c>
      <c r="AP273" s="2">
        <f t="shared" si="168"/>
        <v>1070</v>
      </c>
      <c r="AQ273" s="2">
        <v>1000</v>
      </c>
      <c r="AR273" s="2">
        <v>0</v>
      </c>
      <c r="AS273" s="2">
        <v>10</v>
      </c>
      <c r="AT273" s="2">
        <v>0</v>
      </c>
      <c r="AU273" s="2">
        <v>1000</v>
      </c>
      <c r="AV273" s="2">
        <v>0</v>
      </c>
      <c r="AW273" s="2">
        <v>0</v>
      </c>
      <c r="AX273" s="2">
        <v>0</v>
      </c>
      <c r="AY273" s="2">
        <v>0</v>
      </c>
      <c r="AZ273" s="2">
        <v>1009</v>
      </c>
      <c r="BA273" s="2">
        <v>983</v>
      </c>
      <c r="BB273" s="2">
        <v>951</v>
      </c>
      <c r="BC273" s="2">
        <v>-1000</v>
      </c>
      <c r="BD273" s="2">
        <v>-5000</v>
      </c>
      <c r="BE273" s="2">
        <v>5000</v>
      </c>
      <c r="BF273" s="2">
        <v>3000</v>
      </c>
      <c r="BG273" s="2">
        <v>2500</v>
      </c>
      <c r="BH273" s="2">
        <v>5000</v>
      </c>
      <c r="BI273" s="2">
        <v>3000</v>
      </c>
      <c r="BJ273" s="2">
        <v>-1500</v>
      </c>
      <c r="BK273" s="2">
        <v>1000</v>
      </c>
      <c r="BL273" s="2">
        <v>1000</v>
      </c>
      <c r="BO273" s="2">
        <f t="shared" si="169"/>
        <v>0</v>
      </c>
      <c r="BP273" s="2">
        <f t="shared" si="177"/>
        <v>0</v>
      </c>
      <c r="BQ273" s="2">
        <f t="shared" si="178"/>
        <v>0</v>
      </c>
      <c r="BR273" s="2">
        <f t="shared" si="179"/>
        <v>0</v>
      </c>
      <c r="BS273" s="2">
        <f t="shared" si="180"/>
        <v>0</v>
      </c>
      <c r="BT273" s="2">
        <f t="shared" si="181"/>
        <v>0</v>
      </c>
      <c r="BU273" s="2">
        <f t="shared" si="182"/>
        <v>0</v>
      </c>
      <c r="BV273" s="2">
        <f t="shared" si="183"/>
        <v>0</v>
      </c>
      <c r="BW273" s="2">
        <f t="shared" si="184"/>
        <v>0</v>
      </c>
      <c r="BX273" s="2">
        <f t="shared" si="185"/>
        <v>0</v>
      </c>
      <c r="BY273" s="2">
        <f t="shared" si="186"/>
        <v>0</v>
      </c>
      <c r="BZ273" s="2">
        <f t="shared" si="187"/>
        <v>0</v>
      </c>
      <c r="CA273" s="2">
        <f t="shared" si="188"/>
        <v>0</v>
      </c>
      <c r="CB273" s="2">
        <f t="shared" si="189"/>
        <v>0</v>
      </c>
      <c r="CC273" s="2">
        <f t="shared" si="190"/>
        <v>0</v>
      </c>
      <c r="CD273" s="2">
        <f t="shared" si="191"/>
        <v>0</v>
      </c>
      <c r="CE273" s="2">
        <f t="shared" si="192"/>
        <v>0</v>
      </c>
      <c r="CF273" s="2">
        <f t="shared" si="193"/>
        <v>1207.29</v>
      </c>
      <c r="CG273" s="2">
        <f t="shared" si="194"/>
        <v>-7377.81</v>
      </c>
      <c r="CH273" s="2">
        <f t="shared" si="195"/>
        <v>6206.32</v>
      </c>
      <c r="CI273" s="2">
        <f t="shared" si="196"/>
        <v>0</v>
      </c>
      <c r="CJ273" s="2">
        <f t="shared" si="197"/>
        <v>0</v>
      </c>
      <c r="CK273" s="2">
        <f t="shared" si="198"/>
        <v>0</v>
      </c>
      <c r="CL273" s="2">
        <f t="shared" si="199"/>
        <v>0</v>
      </c>
      <c r="CM273" s="2">
        <f t="shared" si="170"/>
        <v>0</v>
      </c>
      <c r="CN273" s="2">
        <f t="shared" si="171"/>
        <v>0</v>
      </c>
      <c r="CO273" s="2">
        <f t="shared" si="172"/>
        <v>0</v>
      </c>
      <c r="CP273" s="2">
        <f t="shared" si="173"/>
        <v>0</v>
      </c>
      <c r="CQ273" s="2">
        <f t="shared" si="174"/>
        <v>0</v>
      </c>
      <c r="CR273" s="2">
        <f t="shared" si="175"/>
        <v>0</v>
      </c>
      <c r="CV273" t="s">
        <v>64</v>
      </c>
      <c r="CW273" t="s">
        <v>346</v>
      </c>
      <c r="CX273" t="s">
        <v>7</v>
      </c>
      <c r="CY273" s="4">
        <v>43326</v>
      </c>
      <c r="CZ273" t="s">
        <v>65</v>
      </c>
      <c r="DA273" t="s">
        <v>66</v>
      </c>
      <c r="DB273">
        <v>10</v>
      </c>
      <c r="DC273">
        <v>111.88</v>
      </c>
      <c r="DD273" t="s">
        <v>69</v>
      </c>
      <c r="DE273" t="s">
        <v>70</v>
      </c>
      <c r="DF273">
        <v>1118.8</v>
      </c>
    </row>
    <row r="274" spans="1:110" x14ac:dyDescent="0.25">
      <c r="A274" s="1">
        <v>43132</v>
      </c>
      <c r="B274">
        <v>164.59</v>
      </c>
      <c r="C274">
        <v>98.87</v>
      </c>
      <c r="D274">
        <v>348.32</v>
      </c>
      <c r="E274">
        <v>158.41</v>
      </c>
      <c r="F274">
        <v>40.46</v>
      </c>
      <c r="G274">
        <v>119.7</v>
      </c>
      <c r="H274">
        <v>108.77</v>
      </c>
      <c r="I274">
        <v>71.819999999999993</v>
      </c>
      <c r="J274">
        <v>268.52999999999997</v>
      </c>
      <c r="K274">
        <v>195.48</v>
      </c>
      <c r="L274">
        <v>153.58000000000001</v>
      </c>
      <c r="M274">
        <v>46.19</v>
      </c>
      <c r="N274">
        <v>136.32</v>
      </c>
      <c r="O274">
        <v>113.92</v>
      </c>
      <c r="P274">
        <v>45.86</v>
      </c>
      <c r="Q274">
        <v>167.65</v>
      </c>
      <c r="R274">
        <v>239.87</v>
      </c>
      <c r="S274">
        <v>58.08</v>
      </c>
      <c r="T274">
        <v>92.66</v>
      </c>
      <c r="U274">
        <v>66.89</v>
      </c>
      <c r="V274">
        <v>35.58</v>
      </c>
      <c r="W274">
        <v>82.9</v>
      </c>
      <c r="X274">
        <v>146.56</v>
      </c>
      <c r="Y274">
        <v>232.09</v>
      </c>
      <c r="Z274">
        <v>134.47999999999999</v>
      </c>
      <c r="AA274">
        <v>124.67</v>
      </c>
      <c r="AB274">
        <v>51.89</v>
      </c>
      <c r="AC274">
        <v>73.83</v>
      </c>
      <c r="AD274">
        <v>103.07</v>
      </c>
      <c r="AE274">
        <v>84.59</v>
      </c>
      <c r="AI274" s="2">
        <v>5000</v>
      </c>
      <c r="AJ274" s="2">
        <f t="shared" si="168"/>
        <v>1190</v>
      </c>
      <c r="AK274" s="2">
        <f t="shared" si="168"/>
        <v>1190</v>
      </c>
      <c r="AL274" s="2">
        <f t="shared" si="168"/>
        <v>1190</v>
      </c>
      <c r="AM274" s="2">
        <f t="shared" si="168"/>
        <v>1190</v>
      </c>
      <c r="AN274" s="2">
        <f t="shared" si="168"/>
        <v>1190</v>
      </c>
      <c r="AO274" s="2">
        <f t="shared" si="168"/>
        <v>1190</v>
      </c>
      <c r="AP274" s="2">
        <f t="shared" si="168"/>
        <v>1070</v>
      </c>
      <c r="AQ274" s="2">
        <v>1000</v>
      </c>
      <c r="AR274" s="2">
        <v>0</v>
      </c>
      <c r="AS274" s="2">
        <v>10</v>
      </c>
      <c r="AT274" s="2">
        <v>0</v>
      </c>
      <c r="AU274" s="2">
        <v>1000</v>
      </c>
      <c r="AV274" s="2">
        <v>0</v>
      </c>
      <c r="AW274" s="2">
        <v>0</v>
      </c>
      <c r="AX274" s="2">
        <v>0</v>
      </c>
      <c r="AY274" s="2">
        <v>0</v>
      </c>
      <c r="AZ274" s="2">
        <v>960</v>
      </c>
      <c r="BA274" s="2">
        <v>1017</v>
      </c>
      <c r="BB274" s="2">
        <v>1065</v>
      </c>
      <c r="BC274" s="2">
        <v>-1000</v>
      </c>
      <c r="BD274" s="2">
        <v>-5000</v>
      </c>
      <c r="BE274" s="2">
        <v>5000</v>
      </c>
      <c r="BF274" s="2">
        <v>3000</v>
      </c>
      <c r="BG274" s="2">
        <v>2500</v>
      </c>
      <c r="BH274" s="2">
        <v>5000</v>
      </c>
      <c r="BI274" s="2">
        <v>3000</v>
      </c>
      <c r="BJ274" s="2">
        <v>-1500</v>
      </c>
      <c r="BK274" s="2">
        <v>1000</v>
      </c>
      <c r="BL274" s="2">
        <v>1000</v>
      </c>
      <c r="BO274" s="2">
        <f t="shared" si="169"/>
        <v>0</v>
      </c>
      <c r="BP274" s="2">
        <f t="shared" si="177"/>
        <v>0</v>
      </c>
      <c r="BQ274" s="2">
        <f t="shared" si="178"/>
        <v>0</v>
      </c>
      <c r="BR274" s="2">
        <f t="shared" si="179"/>
        <v>0</v>
      </c>
      <c r="BS274" s="2">
        <f t="shared" si="180"/>
        <v>0</v>
      </c>
      <c r="BT274" s="2">
        <f t="shared" si="181"/>
        <v>0</v>
      </c>
      <c r="BU274" s="2">
        <f t="shared" si="182"/>
        <v>0</v>
      </c>
      <c r="BV274" s="2">
        <f t="shared" si="183"/>
        <v>0</v>
      </c>
      <c r="BW274" s="2">
        <f t="shared" si="184"/>
        <v>0</v>
      </c>
      <c r="BX274" s="2">
        <f t="shared" si="185"/>
        <v>0</v>
      </c>
      <c r="BY274" s="2">
        <f t="shared" si="186"/>
        <v>0</v>
      </c>
      <c r="BZ274" s="2">
        <f t="shared" si="187"/>
        <v>0</v>
      </c>
      <c r="CA274" s="2">
        <f t="shared" si="188"/>
        <v>0</v>
      </c>
      <c r="CB274" s="2">
        <f t="shared" si="189"/>
        <v>0</v>
      </c>
      <c r="CC274" s="2">
        <f t="shared" si="190"/>
        <v>0</v>
      </c>
      <c r="CD274" s="2">
        <f t="shared" si="191"/>
        <v>0</v>
      </c>
      <c r="CE274" s="2">
        <f t="shared" si="192"/>
        <v>0</v>
      </c>
      <c r="CF274" s="2">
        <f t="shared" si="193"/>
        <v>2845.92</v>
      </c>
      <c r="CG274" s="2">
        <f t="shared" si="194"/>
        <v>-3150.44</v>
      </c>
      <c r="CH274" s="2">
        <f t="shared" si="195"/>
        <v>-7625.46</v>
      </c>
      <c r="CI274" s="2">
        <f t="shared" si="196"/>
        <v>0</v>
      </c>
      <c r="CJ274" s="2">
        <f t="shared" si="197"/>
        <v>0</v>
      </c>
      <c r="CK274" s="2">
        <f t="shared" si="198"/>
        <v>0</v>
      </c>
      <c r="CL274" s="2">
        <f t="shared" si="199"/>
        <v>0</v>
      </c>
      <c r="CM274" s="2">
        <f t="shared" si="170"/>
        <v>0</v>
      </c>
      <c r="CN274" s="2">
        <f t="shared" si="171"/>
        <v>0</v>
      </c>
      <c r="CO274" s="2">
        <f t="shared" si="172"/>
        <v>0</v>
      </c>
      <c r="CP274" s="2">
        <f t="shared" si="173"/>
        <v>0</v>
      </c>
      <c r="CQ274" s="2">
        <f t="shared" si="174"/>
        <v>0</v>
      </c>
      <c r="CR274" s="2">
        <f t="shared" si="175"/>
        <v>0</v>
      </c>
      <c r="CV274" t="s">
        <v>64</v>
      </c>
      <c r="CW274" t="s">
        <v>347</v>
      </c>
      <c r="CX274" t="s">
        <v>7</v>
      </c>
      <c r="CY274" s="4">
        <v>43347</v>
      </c>
      <c r="CZ274" t="s">
        <v>65</v>
      </c>
      <c r="DA274" t="s">
        <v>66</v>
      </c>
      <c r="DB274">
        <v>10</v>
      </c>
      <c r="DC274">
        <v>110</v>
      </c>
      <c r="DD274" t="s">
        <v>69</v>
      </c>
      <c r="DE274" t="s">
        <v>70</v>
      </c>
      <c r="DF274">
        <v>1100</v>
      </c>
    </row>
    <row r="275" spans="1:110" x14ac:dyDescent="0.25">
      <c r="A275" s="1">
        <v>43133</v>
      </c>
      <c r="B275">
        <v>157.44999999999999</v>
      </c>
      <c r="C275">
        <v>95.58</v>
      </c>
      <c r="D275">
        <v>340.48</v>
      </c>
      <c r="E275">
        <v>153.77000000000001</v>
      </c>
      <c r="F275">
        <v>39.71</v>
      </c>
      <c r="G275">
        <v>113.04</v>
      </c>
      <c r="H275">
        <v>107</v>
      </c>
      <c r="I275">
        <v>69.27</v>
      </c>
      <c r="J275">
        <v>256.51</v>
      </c>
      <c r="K275">
        <v>189.68</v>
      </c>
      <c r="L275">
        <v>150.4</v>
      </c>
      <c r="M275">
        <v>44.73</v>
      </c>
      <c r="N275">
        <v>134.04</v>
      </c>
      <c r="O275">
        <v>111.4</v>
      </c>
      <c r="P275">
        <v>45.17</v>
      </c>
      <c r="Q275">
        <v>165.2</v>
      </c>
      <c r="R275">
        <v>237.19</v>
      </c>
      <c r="S275">
        <v>56.82</v>
      </c>
      <c r="T275">
        <v>90.22</v>
      </c>
      <c r="U275">
        <v>66.47</v>
      </c>
      <c r="V275">
        <v>35.369999999999997</v>
      </c>
      <c r="W275">
        <v>81.36</v>
      </c>
      <c r="X275">
        <v>144.56</v>
      </c>
      <c r="Y275">
        <v>228.79</v>
      </c>
      <c r="Z275">
        <v>130.88</v>
      </c>
      <c r="AA275">
        <v>119.9</v>
      </c>
      <c r="AB275">
        <v>50.63</v>
      </c>
      <c r="AC275">
        <v>71.400000000000006</v>
      </c>
      <c r="AD275">
        <v>102.06</v>
      </c>
      <c r="AE275">
        <v>80.28</v>
      </c>
      <c r="AI275" s="2">
        <v>5000</v>
      </c>
      <c r="AJ275" s="2">
        <f t="shared" si="168"/>
        <v>1190</v>
      </c>
      <c r="AK275" s="2">
        <f t="shared" si="168"/>
        <v>1190</v>
      </c>
      <c r="AL275" s="2">
        <f t="shared" si="168"/>
        <v>1190</v>
      </c>
      <c r="AM275" s="2">
        <f t="shared" si="168"/>
        <v>1190</v>
      </c>
      <c r="AN275" s="2">
        <f t="shared" si="168"/>
        <v>1190</v>
      </c>
      <c r="AO275" s="2">
        <f t="shared" si="168"/>
        <v>1190</v>
      </c>
      <c r="AP275" s="2">
        <f t="shared" si="168"/>
        <v>1070</v>
      </c>
      <c r="AQ275" s="2">
        <v>1000</v>
      </c>
      <c r="AR275" s="2">
        <v>0</v>
      </c>
      <c r="AS275" s="2">
        <v>10</v>
      </c>
      <c r="AT275" s="2">
        <v>0</v>
      </c>
      <c r="AU275" s="2">
        <v>1000</v>
      </c>
      <c r="AV275" s="2">
        <v>0</v>
      </c>
      <c r="AW275" s="2">
        <v>0</v>
      </c>
      <c r="AX275" s="2">
        <v>0</v>
      </c>
      <c r="AY275" s="2">
        <v>0</v>
      </c>
      <c r="AZ275" s="2">
        <v>1009</v>
      </c>
      <c r="BA275" s="2">
        <v>953</v>
      </c>
      <c r="BB275" s="2">
        <v>932</v>
      </c>
      <c r="BC275" s="2">
        <v>-1000</v>
      </c>
      <c r="BD275" s="2">
        <v>-5000</v>
      </c>
      <c r="BE275" s="2">
        <v>5000</v>
      </c>
      <c r="BF275" s="2">
        <v>3000</v>
      </c>
      <c r="BG275" s="2">
        <v>0</v>
      </c>
      <c r="BH275" s="2">
        <v>5000</v>
      </c>
      <c r="BI275" s="2">
        <v>3000</v>
      </c>
      <c r="BJ275" s="2">
        <v>-1500</v>
      </c>
      <c r="BK275" s="2">
        <v>1000</v>
      </c>
      <c r="BL275" s="2">
        <v>1000</v>
      </c>
      <c r="BO275" s="2">
        <f t="shared" si="169"/>
        <v>0</v>
      </c>
      <c r="BP275" s="2">
        <f t="shared" si="177"/>
        <v>0</v>
      </c>
      <c r="BQ275" s="2">
        <f t="shared" si="178"/>
        <v>0</v>
      </c>
      <c r="BR275" s="2">
        <f t="shared" si="179"/>
        <v>0</v>
      </c>
      <c r="BS275" s="2">
        <f t="shared" si="180"/>
        <v>0</v>
      </c>
      <c r="BT275" s="2">
        <f t="shared" si="181"/>
        <v>0</v>
      </c>
      <c r="BU275" s="2">
        <f t="shared" si="182"/>
        <v>0</v>
      </c>
      <c r="BV275" s="2">
        <f t="shared" si="183"/>
        <v>0</v>
      </c>
      <c r="BW275" s="2">
        <f t="shared" si="184"/>
        <v>0</v>
      </c>
      <c r="BX275" s="2">
        <f t="shared" si="185"/>
        <v>0</v>
      </c>
      <c r="BY275" s="2">
        <f t="shared" si="186"/>
        <v>0</v>
      </c>
      <c r="BZ275" s="2">
        <f t="shared" si="187"/>
        <v>0</v>
      </c>
      <c r="CA275" s="2">
        <f t="shared" si="188"/>
        <v>0</v>
      </c>
      <c r="CB275" s="2">
        <f t="shared" si="189"/>
        <v>0</v>
      </c>
      <c r="CC275" s="2">
        <f t="shared" si="190"/>
        <v>0</v>
      </c>
      <c r="CD275" s="2">
        <f t="shared" si="191"/>
        <v>0</v>
      </c>
      <c r="CE275" s="2">
        <f t="shared" si="192"/>
        <v>0</v>
      </c>
      <c r="CF275" s="2">
        <f t="shared" si="193"/>
        <v>-2784.18</v>
      </c>
      <c r="CG275" s="2">
        <f t="shared" si="194"/>
        <v>5774.08</v>
      </c>
      <c r="CH275" s="2">
        <f t="shared" si="195"/>
        <v>8840.51</v>
      </c>
      <c r="CI275" s="2">
        <f t="shared" si="196"/>
        <v>0</v>
      </c>
      <c r="CJ275" s="2">
        <f t="shared" si="197"/>
        <v>0</v>
      </c>
      <c r="CK275" s="2">
        <f t="shared" si="198"/>
        <v>0</v>
      </c>
      <c r="CL275" s="2">
        <f t="shared" si="199"/>
        <v>0</v>
      </c>
      <c r="CM275" s="2">
        <f t="shared" si="170"/>
        <v>327200</v>
      </c>
      <c r="CN275" s="2">
        <f t="shared" si="171"/>
        <v>0</v>
      </c>
      <c r="CO275" s="2">
        <f t="shared" si="172"/>
        <v>0</v>
      </c>
      <c r="CP275" s="2">
        <f t="shared" si="173"/>
        <v>0</v>
      </c>
      <c r="CQ275" s="2">
        <f t="shared" si="174"/>
        <v>0</v>
      </c>
      <c r="CR275" s="2">
        <f t="shared" si="175"/>
        <v>0</v>
      </c>
      <c r="CV275" t="s">
        <v>64</v>
      </c>
      <c r="CW275" t="s">
        <v>348</v>
      </c>
      <c r="CX275" t="s">
        <v>7</v>
      </c>
      <c r="CY275" s="4">
        <v>43367</v>
      </c>
      <c r="CZ275" t="s">
        <v>65</v>
      </c>
      <c r="DA275" t="s">
        <v>66</v>
      </c>
      <c r="DB275">
        <v>10</v>
      </c>
      <c r="DC275">
        <v>111.9</v>
      </c>
      <c r="DD275" t="s">
        <v>69</v>
      </c>
      <c r="DE275" t="s">
        <v>70</v>
      </c>
      <c r="DF275">
        <v>1119</v>
      </c>
    </row>
    <row r="276" spans="1:110" x14ac:dyDescent="0.25">
      <c r="A276" s="1">
        <v>43136</v>
      </c>
      <c r="B276">
        <v>153.52000000000001</v>
      </c>
      <c r="C276">
        <v>90.97</v>
      </c>
      <c r="D276">
        <v>320.94</v>
      </c>
      <c r="E276">
        <v>147.51</v>
      </c>
      <c r="F276">
        <v>37.630000000000003</v>
      </c>
      <c r="G276">
        <v>107.36</v>
      </c>
      <c r="H276">
        <v>103.07</v>
      </c>
      <c r="I276">
        <v>66.290000000000006</v>
      </c>
      <c r="J276">
        <v>245.73</v>
      </c>
      <c r="K276">
        <v>179.06</v>
      </c>
      <c r="L276">
        <v>144.25</v>
      </c>
      <c r="M276">
        <v>43.15</v>
      </c>
      <c r="N276">
        <v>126.95</v>
      </c>
      <c r="O276">
        <v>106.06</v>
      </c>
      <c r="P276">
        <v>43.39</v>
      </c>
      <c r="Q276">
        <v>159.80000000000001</v>
      </c>
      <c r="R276">
        <v>223.91</v>
      </c>
      <c r="S276">
        <v>54.72</v>
      </c>
      <c r="T276">
        <v>86.5</v>
      </c>
      <c r="U276">
        <v>63.67</v>
      </c>
      <c r="V276">
        <v>33.49</v>
      </c>
      <c r="W276">
        <v>78.28</v>
      </c>
      <c r="X276">
        <v>138.28</v>
      </c>
      <c r="Y276">
        <v>217.09</v>
      </c>
      <c r="Z276">
        <v>123.71</v>
      </c>
      <c r="AA276">
        <v>115.3</v>
      </c>
      <c r="AB276">
        <v>48.26</v>
      </c>
      <c r="AC276">
        <v>68.36</v>
      </c>
      <c r="AD276">
        <v>97.77</v>
      </c>
      <c r="AE276">
        <v>75.709999999999994</v>
      </c>
      <c r="AI276" s="2">
        <v>5000</v>
      </c>
      <c r="AJ276" s="2">
        <f t="shared" si="168"/>
        <v>1190</v>
      </c>
      <c r="AK276" s="2">
        <f t="shared" si="168"/>
        <v>1190</v>
      </c>
      <c r="AL276" s="2">
        <f t="shared" si="168"/>
        <v>1190</v>
      </c>
      <c r="AM276" s="2">
        <f t="shared" si="168"/>
        <v>1190</v>
      </c>
      <c r="AN276" s="2">
        <f t="shared" si="168"/>
        <v>1190</v>
      </c>
      <c r="AO276" s="2">
        <f t="shared" si="168"/>
        <v>1190</v>
      </c>
      <c r="AP276" s="2">
        <f t="shared" si="168"/>
        <v>1070</v>
      </c>
      <c r="AQ276" s="2">
        <v>1000</v>
      </c>
      <c r="AR276" s="2">
        <v>0</v>
      </c>
      <c r="AS276" s="2">
        <v>10</v>
      </c>
      <c r="AT276" s="2">
        <v>0</v>
      </c>
      <c r="AU276" s="2">
        <v>1000</v>
      </c>
      <c r="AV276" s="2">
        <v>0</v>
      </c>
      <c r="AW276" s="2">
        <v>0</v>
      </c>
      <c r="AX276" s="2">
        <v>0</v>
      </c>
      <c r="AY276" s="2">
        <v>0</v>
      </c>
      <c r="AZ276" s="2">
        <v>975</v>
      </c>
      <c r="BA276" s="2">
        <v>1098</v>
      </c>
      <c r="BB276" s="2">
        <v>1063</v>
      </c>
      <c r="BC276" s="2">
        <v>-1000</v>
      </c>
      <c r="BD276" s="2">
        <v>-5000</v>
      </c>
      <c r="BE276" s="2">
        <v>5000</v>
      </c>
      <c r="BF276" s="2">
        <v>3000</v>
      </c>
      <c r="BG276" s="2">
        <v>0</v>
      </c>
      <c r="BH276" s="2">
        <v>-2500</v>
      </c>
      <c r="BI276" s="2">
        <v>3000</v>
      </c>
      <c r="BJ276" s="2">
        <v>-1500</v>
      </c>
      <c r="BK276" s="2">
        <v>1000</v>
      </c>
      <c r="BL276" s="2">
        <v>1000</v>
      </c>
      <c r="BO276" s="2">
        <f t="shared" si="169"/>
        <v>0</v>
      </c>
      <c r="BP276" s="2">
        <f t="shared" si="177"/>
        <v>0</v>
      </c>
      <c r="BQ276" s="2">
        <f t="shared" si="178"/>
        <v>0</v>
      </c>
      <c r="BR276" s="2">
        <f t="shared" si="179"/>
        <v>0</v>
      </c>
      <c r="BS276" s="2">
        <f t="shared" si="180"/>
        <v>0</v>
      </c>
      <c r="BT276" s="2">
        <f t="shared" si="181"/>
        <v>0</v>
      </c>
      <c r="BU276" s="2">
        <f t="shared" si="182"/>
        <v>0</v>
      </c>
      <c r="BV276" s="2">
        <f t="shared" si="183"/>
        <v>0</v>
      </c>
      <c r="BW276" s="2">
        <f t="shared" si="184"/>
        <v>0</v>
      </c>
      <c r="BX276" s="2">
        <f t="shared" si="185"/>
        <v>0</v>
      </c>
      <c r="BY276" s="2">
        <f t="shared" si="186"/>
        <v>0</v>
      </c>
      <c r="BZ276" s="2">
        <f t="shared" si="187"/>
        <v>0</v>
      </c>
      <c r="CA276" s="2">
        <f t="shared" si="188"/>
        <v>0</v>
      </c>
      <c r="CB276" s="2">
        <f t="shared" si="189"/>
        <v>0</v>
      </c>
      <c r="CC276" s="2">
        <f t="shared" si="190"/>
        <v>0</v>
      </c>
      <c r="CD276" s="2">
        <f t="shared" si="191"/>
        <v>0</v>
      </c>
      <c r="CE276" s="2">
        <f t="shared" si="192"/>
        <v>0</v>
      </c>
      <c r="CF276" s="2">
        <f t="shared" si="193"/>
        <v>1860.48</v>
      </c>
      <c r="CG276" s="2">
        <f t="shared" si="194"/>
        <v>-12542.5</v>
      </c>
      <c r="CH276" s="2">
        <f t="shared" si="195"/>
        <v>-8340.77</v>
      </c>
      <c r="CI276" s="2">
        <f t="shared" si="196"/>
        <v>0</v>
      </c>
      <c r="CJ276" s="2">
        <f t="shared" si="197"/>
        <v>0</v>
      </c>
      <c r="CK276" s="2">
        <f t="shared" si="198"/>
        <v>0</v>
      </c>
      <c r="CL276" s="2">
        <f t="shared" si="199"/>
        <v>0</v>
      </c>
      <c r="CM276" s="2">
        <f t="shared" si="170"/>
        <v>0</v>
      </c>
      <c r="CN276" s="2">
        <f t="shared" si="171"/>
        <v>864750</v>
      </c>
      <c r="CO276" s="2">
        <f t="shared" si="172"/>
        <v>0</v>
      </c>
      <c r="CP276" s="2">
        <f t="shared" si="173"/>
        <v>0</v>
      </c>
      <c r="CQ276" s="2">
        <f t="shared" si="174"/>
        <v>0</v>
      </c>
      <c r="CR276" s="2">
        <f t="shared" si="175"/>
        <v>0</v>
      </c>
      <c r="CV276" t="s">
        <v>64</v>
      </c>
      <c r="CW276" t="s">
        <v>349</v>
      </c>
      <c r="CX276" t="s">
        <v>7</v>
      </c>
      <c r="CY276" s="4">
        <v>43385</v>
      </c>
      <c r="CZ276" t="s">
        <v>65</v>
      </c>
      <c r="DA276" t="s">
        <v>66</v>
      </c>
      <c r="DB276">
        <v>10</v>
      </c>
      <c r="DC276">
        <v>111.74</v>
      </c>
      <c r="DD276" t="s">
        <v>69</v>
      </c>
      <c r="DE276" t="s">
        <v>70</v>
      </c>
      <c r="DF276">
        <v>1117.3999999999999</v>
      </c>
    </row>
    <row r="277" spans="1:110" x14ac:dyDescent="0.25">
      <c r="A277" s="1">
        <v>43137</v>
      </c>
      <c r="B277">
        <v>159.93</v>
      </c>
      <c r="C277">
        <v>93.11</v>
      </c>
      <c r="D277">
        <v>332.68</v>
      </c>
      <c r="E277">
        <v>152.72</v>
      </c>
      <c r="F277">
        <v>38.97</v>
      </c>
      <c r="G277">
        <v>111.7</v>
      </c>
      <c r="H277">
        <v>104.51</v>
      </c>
      <c r="I277">
        <v>70.25</v>
      </c>
      <c r="J277">
        <v>255.18</v>
      </c>
      <c r="K277">
        <v>186.82</v>
      </c>
      <c r="L277">
        <v>146.91</v>
      </c>
      <c r="M277">
        <v>43.83</v>
      </c>
      <c r="N277">
        <v>128.35</v>
      </c>
      <c r="O277">
        <v>109.28</v>
      </c>
      <c r="P277">
        <v>43.18</v>
      </c>
      <c r="Q277">
        <v>161.1</v>
      </c>
      <c r="R277">
        <v>226.03</v>
      </c>
      <c r="S277">
        <v>53.81</v>
      </c>
      <c r="T277">
        <v>89.78</v>
      </c>
      <c r="U277">
        <v>64.489999999999995</v>
      </c>
      <c r="V277">
        <v>34.08</v>
      </c>
      <c r="W277">
        <v>79.55</v>
      </c>
      <c r="X277">
        <v>137.62</v>
      </c>
      <c r="Y277">
        <v>222.18</v>
      </c>
      <c r="Z277">
        <v>126.21</v>
      </c>
      <c r="AA277">
        <v>118.97</v>
      </c>
      <c r="AB277">
        <v>48.57</v>
      </c>
      <c r="AC277">
        <v>69.680000000000007</v>
      </c>
      <c r="AD277">
        <v>98.56</v>
      </c>
      <c r="AE277">
        <v>74.41</v>
      </c>
      <c r="AI277" s="2">
        <v>5000</v>
      </c>
      <c r="AJ277" s="2">
        <f t="shared" si="168"/>
        <v>1190</v>
      </c>
      <c r="AK277" s="2">
        <f t="shared" si="168"/>
        <v>1190</v>
      </c>
      <c r="AL277" s="2">
        <f t="shared" si="168"/>
        <v>1190</v>
      </c>
      <c r="AM277" s="2">
        <f t="shared" si="168"/>
        <v>1190</v>
      </c>
      <c r="AN277" s="2">
        <f t="shared" si="168"/>
        <v>1190</v>
      </c>
      <c r="AO277" s="2">
        <f t="shared" si="168"/>
        <v>1190</v>
      </c>
      <c r="AP277" s="2">
        <f t="shared" si="168"/>
        <v>1070</v>
      </c>
      <c r="AQ277" s="2">
        <v>1000</v>
      </c>
      <c r="AR277" s="2">
        <v>0</v>
      </c>
      <c r="AS277" s="2">
        <v>10</v>
      </c>
      <c r="AT277" s="2">
        <v>0</v>
      </c>
      <c r="AU277" s="2">
        <v>1000</v>
      </c>
      <c r="AV277" s="2">
        <v>0</v>
      </c>
      <c r="AW277" s="2">
        <v>0</v>
      </c>
      <c r="AX277" s="2">
        <v>0</v>
      </c>
      <c r="AY277" s="2">
        <v>0</v>
      </c>
      <c r="AZ277" s="2">
        <v>1013</v>
      </c>
      <c r="BA277" s="2">
        <v>943</v>
      </c>
      <c r="BB277" s="2">
        <v>918</v>
      </c>
      <c r="BC277" s="2">
        <v>-1000</v>
      </c>
      <c r="BD277" s="2">
        <v>-5000</v>
      </c>
      <c r="BE277" s="2">
        <v>5000</v>
      </c>
      <c r="BF277" s="2">
        <v>3000</v>
      </c>
      <c r="BG277" s="2">
        <v>0</v>
      </c>
      <c r="BH277" s="2">
        <v>-2500</v>
      </c>
      <c r="BI277" s="2">
        <v>3000</v>
      </c>
      <c r="BJ277" s="2">
        <v>-1500</v>
      </c>
      <c r="BK277" s="2">
        <v>1000</v>
      </c>
      <c r="BL277" s="2">
        <v>1000</v>
      </c>
      <c r="BO277" s="2">
        <f t="shared" si="169"/>
        <v>0</v>
      </c>
      <c r="BP277" s="2">
        <f t="shared" si="177"/>
        <v>0</v>
      </c>
      <c r="BQ277" s="2">
        <f t="shared" si="178"/>
        <v>0</v>
      </c>
      <c r="BR277" s="2">
        <f t="shared" si="179"/>
        <v>0</v>
      </c>
      <c r="BS277" s="2">
        <f t="shared" si="180"/>
        <v>0</v>
      </c>
      <c r="BT277" s="2">
        <f t="shared" si="181"/>
        <v>0</v>
      </c>
      <c r="BU277" s="2">
        <f t="shared" si="182"/>
        <v>0</v>
      </c>
      <c r="BV277" s="2">
        <f t="shared" si="183"/>
        <v>0</v>
      </c>
      <c r="BW277" s="2">
        <f t="shared" si="184"/>
        <v>0</v>
      </c>
      <c r="BX277" s="2">
        <f t="shared" si="185"/>
        <v>0</v>
      </c>
      <c r="BY277" s="2">
        <f t="shared" si="186"/>
        <v>0</v>
      </c>
      <c r="BZ277" s="2">
        <f t="shared" si="187"/>
        <v>0</v>
      </c>
      <c r="CA277" s="2">
        <f t="shared" si="188"/>
        <v>0</v>
      </c>
      <c r="CB277" s="2">
        <f t="shared" si="189"/>
        <v>0</v>
      </c>
      <c r="CC277" s="2">
        <f t="shared" si="190"/>
        <v>0</v>
      </c>
      <c r="CD277" s="2">
        <f t="shared" si="191"/>
        <v>0</v>
      </c>
      <c r="CE277" s="2">
        <f t="shared" si="192"/>
        <v>0</v>
      </c>
      <c r="CF277" s="2">
        <f t="shared" si="193"/>
        <v>-2044.7800000000002</v>
      </c>
      <c r="CG277" s="2">
        <f t="shared" si="194"/>
        <v>13915.9</v>
      </c>
      <c r="CH277" s="2">
        <f t="shared" si="195"/>
        <v>9351.0499999999993</v>
      </c>
      <c r="CI277" s="2">
        <f t="shared" si="196"/>
        <v>0</v>
      </c>
      <c r="CJ277" s="2">
        <f t="shared" si="197"/>
        <v>0</v>
      </c>
      <c r="CK277" s="2">
        <f t="shared" si="198"/>
        <v>0</v>
      </c>
      <c r="CL277" s="2">
        <f t="shared" si="199"/>
        <v>0</v>
      </c>
      <c r="CM277" s="2">
        <f t="shared" si="170"/>
        <v>0</v>
      </c>
      <c r="CN277" s="2">
        <f t="shared" si="171"/>
        <v>0</v>
      </c>
      <c r="CO277" s="2">
        <f t="shared" si="172"/>
        <v>0</v>
      </c>
      <c r="CP277" s="2">
        <f t="shared" si="173"/>
        <v>0</v>
      </c>
      <c r="CQ277" s="2">
        <f t="shared" si="174"/>
        <v>0</v>
      </c>
      <c r="CR277" s="2">
        <f t="shared" si="175"/>
        <v>0</v>
      </c>
      <c r="CV277" t="s">
        <v>64</v>
      </c>
      <c r="CW277" t="s">
        <v>350</v>
      </c>
      <c r="CX277" t="s">
        <v>7</v>
      </c>
      <c r="CY277" s="4">
        <v>43405</v>
      </c>
      <c r="CZ277" t="s">
        <v>65</v>
      </c>
      <c r="DA277" t="s">
        <v>66</v>
      </c>
      <c r="DB277">
        <v>10</v>
      </c>
      <c r="DC277">
        <v>115.21</v>
      </c>
      <c r="DD277" t="s">
        <v>69</v>
      </c>
      <c r="DE277" t="s">
        <v>70</v>
      </c>
      <c r="DF277">
        <v>1152.0999999999999</v>
      </c>
    </row>
    <row r="278" spans="1:110" x14ac:dyDescent="0.25">
      <c r="A278" s="1">
        <v>43138</v>
      </c>
      <c r="B278">
        <v>156.51</v>
      </c>
      <c r="C278">
        <v>92.55</v>
      </c>
      <c r="D278">
        <v>339.71</v>
      </c>
      <c r="E278">
        <v>150.69</v>
      </c>
      <c r="F278">
        <v>39.14</v>
      </c>
      <c r="G278">
        <v>109.9</v>
      </c>
      <c r="H278">
        <v>103.12</v>
      </c>
      <c r="I278">
        <v>68.989999999999995</v>
      </c>
      <c r="J278">
        <v>253.61</v>
      </c>
      <c r="K278">
        <v>187.06</v>
      </c>
      <c r="L278">
        <v>145.5</v>
      </c>
      <c r="M278">
        <v>44.11</v>
      </c>
      <c r="N278">
        <v>127.95</v>
      </c>
      <c r="O278">
        <v>110.02</v>
      </c>
      <c r="P278">
        <v>43.07</v>
      </c>
      <c r="Q278">
        <v>161.62</v>
      </c>
      <c r="R278">
        <v>225.6</v>
      </c>
      <c r="S278">
        <v>54.22</v>
      </c>
      <c r="T278">
        <v>88.09</v>
      </c>
      <c r="U278">
        <v>64.900000000000006</v>
      </c>
      <c r="V278">
        <v>33.79</v>
      </c>
      <c r="W278">
        <v>79.03</v>
      </c>
      <c r="X278">
        <v>138.88</v>
      </c>
      <c r="Y278">
        <v>222.82</v>
      </c>
      <c r="Z278">
        <v>128.31</v>
      </c>
      <c r="AA278">
        <v>118.65</v>
      </c>
      <c r="AB278">
        <v>48.75</v>
      </c>
      <c r="AC278">
        <v>69.430000000000007</v>
      </c>
      <c r="AD278">
        <v>100.47</v>
      </c>
      <c r="AE278">
        <v>73.069999999999993</v>
      </c>
      <c r="AI278" s="2">
        <v>5000</v>
      </c>
      <c r="AJ278" s="2">
        <f t="shared" si="168"/>
        <v>1190</v>
      </c>
      <c r="AK278" s="2">
        <f t="shared" si="168"/>
        <v>1190</v>
      </c>
      <c r="AL278" s="2">
        <f t="shared" si="168"/>
        <v>1190</v>
      </c>
      <c r="AM278" s="2">
        <f t="shared" si="168"/>
        <v>1190</v>
      </c>
      <c r="AN278" s="2">
        <f t="shared" si="168"/>
        <v>1190</v>
      </c>
      <c r="AO278" s="2">
        <f t="shared" si="168"/>
        <v>1190</v>
      </c>
      <c r="AP278" s="2">
        <f t="shared" si="168"/>
        <v>1070</v>
      </c>
      <c r="AQ278" s="2">
        <v>1000</v>
      </c>
      <c r="AR278" s="2">
        <v>0</v>
      </c>
      <c r="AS278" s="2">
        <v>10</v>
      </c>
      <c r="AT278" s="2">
        <v>0</v>
      </c>
      <c r="AU278" s="2">
        <v>1000</v>
      </c>
      <c r="AV278" s="2">
        <v>0</v>
      </c>
      <c r="AW278" s="2">
        <v>0</v>
      </c>
      <c r="AX278" s="2">
        <v>0</v>
      </c>
      <c r="AY278" s="2">
        <v>0</v>
      </c>
      <c r="AZ278" s="2">
        <v>962</v>
      </c>
      <c r="BA278" s="2">
        <v>959</v>
      </c>
      <c r="BB278" s="2">
        <v>939</v>
      </c>
      <c r="BC278" s="2">
        <v>-1000</v>
      </c>
      <c r="BD278" s="2">
        <v>-5000</v>
      </c>
      <c r="BE278" s="2">
        <v>5000</v>
      </c>
      <c r="BF278" s="2">
        <v>3000</v>
      </c>
      <c r="BG278" s="2">
        <v>0</v>
      </c>
      <c r="BH278" s="2">
        <v>-2500</v>
      </c>
      <c r="BI278" s="2">
        <v>3000</v>
      </c>
      <c r="BJ278" s="2">
        <v>-1500</v>
      </c>
      <c r="BK278" s="2">
        <v>1000</v>
      </c>
      <c r="BL278" s="2">
        <v>1000</v>
      </c>
      <c r="BO278" s="2">
        <f t="shared" si="169"/>
        <v>0</v>
      </c>
      <c r="BP278" s="2">
        <f t="shared" si="177"/>
        <v>0</v>
      </c>
      <c r="BQ278" s="2">
        <f t="shared" si="178"/>
        <v>0</v>
      </c>
      <c r="BR278" s="2">
        <f t="shared" si="179"/>
        <v>0</v>
      </c>
      <c r="BS278" s="2">
        <f t="shared" si="180"/>
        <v>0</v>
      </c>
      <c r="BT278" s="2">
        <f t="shared" si="181"/>
        <v>0</v>
      </c>
      <c r="BU278" s="2">
        <f t="shared" si="182"/>
        <v>0</v>
      </c>
      <c r="BV278" s="2">
        <f t="shared" si="183"/>
        <v>0</v>
      </c>
      <c r="BW278" s="2">
        <f t="shared" si="184"/>
        <v>0</v>
      </c>
      <c r="BX278" s="2">
        <f t="shared" si="185"/>
        <v>0</v>
      </c>
      <c r="BY278" s="2">
        <f t="shared" si="186"/>
        <v>0</v>
      </c>
      <c r="BZ278" s="2">
        <f t="shared" si="187"/>
        <v>0</v>
      </c>
      <c r="CA278" s="2">
        <f t="shared" si="188"/>
        <v>0</v>
      </c>
      <c r="CB278" s="2">
        <f t="shared" si="189"/>
        <v>0</v>
      </c>
      <c r="CC278" s="2">
        <f t="shared" si="190"/>
        <v>0</v>
      </c>
      <c r="CD278" s="2">
        <f t="shared" si="191"/>
        <v>0</v>
      </c>
      <c r="CE278" s="2">
        <f t="shared" si="192"/>
        <v>0</v>
      </c>
      <c r="CF278" s="2">
        <f t="shared" si="193"/>
        <v>2765.22</v>
      </c>
      <c r="CG278" s="2">
        <f t="shared" si="194"/>
        <v>-1409.44</v>
      </c>
      <c r="CH278" s="2">
        <f t="shared" si="195"/>
        <v>-1362.9</v>
      </c>
      <c r="CI278" s="2">
        <f t="shared" si="196"/>
        <v>0</v>
      </c>
      <c r="CJ278" s="2">
        <f t="shared" si="197"/>
        <v>0</v>
      </c>
      <c r="CK278" s="2">
        <f t="shared" si="198"/>
        <v>0</v>
      </c>
      <c r="CL278" s="2">
        <f t="shared" si="199"/>
        <v>0</v>
      </c>
      <c r="CM278" s="2">
        <f t="shared" si="170"/>
        <v>0</v>
      </c>
      <c r="CN278" s="2">
        <f t="shared" si="171"/>
        <v>0</v>
      </c>
      <c r="CO278" s="2">
        <f t="shared" si="172"/>
        <v>0</v>
      </c>
      <c r="CP278" s="2">
        <f t="shared" si="173"/>
        <v>0</v>
      </c>
      <c r="CQ278" s="2">
        <f t="shared" si="174"/>
        <v>0</v>
      </c>
      <c r="CR278" s="2">
        <f t="shared" si="175"/>
        <v>0</v>
      </c>
      <c r="CV278" t="s">
        <v>64</v>
      </c>
      <c r="CW278" t="s">
        <v>351</v>
      </c>
      <c r="CX278" t="s">
        <v>7</v>
      </c>
      <c r="CY278" s="4">
        <v>43425</v>
      </c>
      <c r="CZ278" t="s">
        <v>65</v>
      </c>
      <c r="DA278" t="s">
        <v>66</v>
      </c>
      <c r="DB278">
        <v>10</v>
      </c>
      <c r="DC278">
        <v>112.16</v>
      </c>
      <c r="DD278" t="s">
        <v>69</v>
      </c>
      <c r="DE278" t="s">
        <v>70</v>
      </c>
      <c r="DF278">
        <v>1121.5999999999999</v>
      </c>
    </row>
    <row r="279" spans="1:110" x14ac:dyDescent="0.25">
      <c r="A279" s="1">
        <v>43139</v>
      </c>
      <c r="B279">
        <v>152.19999999999999</v>
      </c>
      <c r="C279">
        <v>87.34</v>
      </c>
      <c r="D279">
        <v>323.29000000000002</v>
      </c>
      <c r="E279">
        <v>142.54</v>
      </c>
      <c r="F279">
        <v>37.619999999999997</v>
      </c>
      <c r="G279">
        <v>107.05</v>
      </c>
      <c r="H279">
        <v>99.77</v>
      </c>
      <c r="I279">
        <v>66.650000000000006</v>
      </c>
      <c r="J279">
        <v>243</v>
      </c>
      <c r="K279">
        <v>177.22</v>
      </c>
      <c r="L279">
        <v>140.94999999999999</v>
      </c>
      <c r="M279">
        <v>41.72</v>
      </c>
      <c r="N279">
        <v>123.02</v>
      </c>
      <c r="O279">
        <v>105.16</v>
      </c>
      <c r="P279">
        <v>41.66</v>
      </c>
      <c r="Q279">
        <v>155.04</v>
      </c>
      <c r="R279">
        <v>215.64</v>
      </c>
      <c r="S279">
        <v>53.1</v>
      </c>
      <c r="T279">
        <v>83.56</v>
      </c>
      <c r="U279">
        <v>61.79</v>
      </c>
      <c r="V279">
        <v>32.49</v>
      </c>
      <c r="W279">
        <v>77.47</v>
      </c>
      <c r="X279">
        <v>131.91999999999999</v>
      </c>
      <c r="Y279">
        <v>213.58</v>
      </c>
      <c r="Z279">
        <v>123.94</v>
      </c>
      <c r="AA279">
        <v>112.91</v>
      </c>
      <c r="AB279">
        <v>46.86</v>
      </c>
      <c r="AC279">
        <v>66.22</v>
      </c>
      <c r="AD279">
        <v>97.7</v>
      </c>
      <c r="AE279">
        <v>72.239999999999995</v>
      </c>
      <c r="AI279" s="2">
        <v>5000</v>
      </c>
      <c r="AJ279" s="2">
        <f t="shared" si="168"/>
        <v>1190</v>
      </c>
      <c r="AK279" s="2">
        <f t="shared" si="168"/>
        <v>1190</v>
      </c>
      <c r="AL279" s="2">
        <f t="shared" si="168"/>
        <v>1190</v>
      </c>
      <c r="AM279" s="2">
        <f t="shared" si="168"/>
        <v>1190</v>
      </c>
      <c r="AN279" s="2">
        <f t="shared" si="168"/>
        <v>1190</v>
      </c>
      <c r="AO279" s="2">
        <f t="shared" si="168"/>
        <v>1190</v>
      </c>
      <c r="AP279" s="2">
        <f t="shared" si="168"/>
        <v>1070</v>
      </c>
      <c r="AQ279" s="2">
        <v>1000</v>
      </c>
      <c r="AR279" s="2">
        <v>0</v>
      </c>
      <c r="AS279" s="2">
        <v>10</v>
      </c>
      <c r="AT279" s="2">
        <v>0</v>
      </c>
      <c r="AU279" s="2">
        <v>1000</v>
      </c>
      <c r="AV279" s="2">
        <v>0</v>
      </c>
      <c r="AW279" s="2">
        <v>0</v>
      </c>
      <c r="AX279" s="2">
        <v>0</v>
      </c>
      <c r="AY279" s="2">
        <v>0</v>
      </c>
      <c r="AZ279" s="2">
        <v>1025</v>
      </c>
      <c r="BA279" s="2">
        <v>963</v>
      </c>
      <c r="BB279" s="2">
        <v>1050</v>
      </c>
      <c r="BC279" s="2">
        <v>-1000</v>
      </c>
      <c r="BD279" s="2">
        <v>-5000</v>
      </c>
      <c r="BE279" s="2">
        <v>5000</v>
      </c>
      <c r="BF279" s="2">
        <v>3000</v>
      </c>
      <c r="BG279" s="2">
        <v>0</v>
      </c>
      <c r="BH279" s="2">
        <v>-2500</v>
      </c>
      <c r="BI279" s="2">
        <v>3000</v>
      </c>
      <c r="BJ279" s="2">
        <v>-1500</v>
      </c>
      <c r="BK279" s="2">
        <v>1000</v>
      </c>
      <c r="BL279" s="2">
        <v>1000</v>
      </c>
      <c r="BO279" s="2">
        <f t="shared" si="169"/>
        <v>0</v>
      </c>
      <c r="BP279" s="2">
        <f t="shared" si="177"/>
        <v>0</v>
      </c>
      <c r="BQ279" s="2">
        <f t="shared" si="178"/>
        <v>0</v>
      </c>
      <c r="BR279" s="2">
        <f t="shared" si="179"/>
        <v>0</v>
      </c>
      <c r="BS279" s="2">
        <f t="shared" si="180"/>
        <v>0</v>
      </c>
      <c r="BT279" s="2">
        <f t="shared" si="181"/>
        <v>0</v>
      </c>
      <c r="BU279" s="2">
        <f t="shared" si="182"/>
        <v>0</v>
      </c>
      <c r="BV279" s="2">
        <f t="shared" si="183"/>
        <v>0</v>
      </c>
      <c r="BW279" s="2">
        <f t="shared" si="184"/>
        <v>0</v>
      </c>
      <c r="BX279" s="2">
        <f t="shared" si="185"/>
        <v>0</v>
      </c>
      <c r="BY279" s="2">
        <f t="shared" si="186"/>
        <v>0</v>
      </c>
      <c r="BZ279" s="2">
        <f t="shared" si="187"/>
        <v>0</v>
      </c>
      <c r="CA279" s="2">
        <f t="shared" si="188"/>
        <v>0</v>
      </c>
      <c r="CB279" s="2">
        <f t="shared" si="189"/>
        <v>0</v>
      </c>
      <c r="CC279" s="2">
        <f t="shared" si="190"/>
        <v>0</v>
      </c>
      <c r="CD279" s="2">
        <f t="shared" si="191"/>
        <v>0</v>
      </c>
      <c r="CE279" s="2">
        <f t="shared" si="192"/>
        <v>0</v>
      </c>
      <c r="CF279" s="2">
        <f t="shared" si="193"/>
        <v>-3345.3</v>
      </c>
      <c r="CG279" s="2">
        <f t="shared" si="194"/>
        <v>-334.24</v>
      </c>
      <c r="CH279" s="2">
        <f t="shared" si="195"/>
        <v>-6858.69</v>
      </c>
      <c r="CI279" s="2">
        <f t="shared" si="196"/>
        <v>0</v>
      </c>
      <c r="CJ279" s="2">
        <f t="shared" si="197"/>
        <v>0</v>
      </c>
      <c r="CK279" s="2">
        <f t="shared" si="198"/>
        <v>0</v>
      </c>
      <c r="CL279" s="2">
        <f t="shared" si="199"/>
        <v>0</v>
      </c>
      <c r="CM279" s="2">
        <f t="shared" si="170"/>
        <v>0</v>
      </c>
      <c r="CN279" s="2">
        <f t="shared" si="171"/>
        <v>0</v>
      </c>
      <c r="CO279" s="2">
        <f t="shared" si="172"/>
        <v>0</v>
      </c>
      <c r="CP279" s="2">
        <f t="shared" si="173"/>
        <v>0</v>
      </c>
      <c r="CQ279" s="2">
        <f t="shared" si="174"/>
        <v>0</v>
      </c>
      <c r="CR279" s="2">
        <f t="shared" si="175"/>
        <v>0</v>
      </c>
      <c r="CV279" t="s">
        <v>64</v>
      </c>
      <c r="CW279" t="s">
        <v>352</v>
      </c>
      <c r="CX279" t="s">
        <v>7</v>
      </c>
      <c r="CY279" s="4">
        <v>43447</v>
      </c>
      <c r="CZ279" t="s">
        <v>65</v>
      </c>
      <c r="DA279" t="s">
        <v>66</v>
      </c>
      <c r="DB279">
        <v>10</v>
      </c>
      <c r="DC279">
        <v>113.39</v>
      </c>
      <c r="DD279" t="s">
        <v>69</v>
      </c>
      <c r="DE279" t="s">
        <v>70</v>
      </c>
      <c r="DF279">
        <v>1133.9000000000001</v>
      </c>
    </row>
    <row r="280" spans="1:110" x14ac:dyDescent="0.25">
      <c r="A280" s="1">
        <v>43140</v>
      </c>
      <c r="B280">
        <v>154.06</v>
      </c>
      <c r="C280">
        <v>90.68</v>
      </c>
      <c r="D280">
        <v>326.39999999999998</v>
      </c>
      <c r="E280">
        <v>145.69</v>
      </c>
      <c r="F280">
        <v>38.35</v>
      </c>
      <c r="G280">
        <v>108.2</v>
      </c>
      <c r="H280">
        <v>101.48</v>
      </c>
      <c r="I280">
        <v>67.89</v>
      </c>
      <c r="J280">
        <v>245.91</v>
      </c>
      <c r="K280">
        <v>180.05</v>
      </c>
      <c r="L280">
        <v>142.78</v>
      </c>
      <c r="M280">
        <v>42.89</v>
      </c>
      <c r="N280">
        <v>126.11</v>
      </c>
      <c r="O280">
        <v>107.26</v>
      </c>
      <c r="P280">
        <v>41.69</v>
      </c>
      <c r="Q280">
        <v>156.83000000000001</v>
      </c>
      <c r="R280">
        <v>217.88</v>
      </c>
      <c r="S280">
        <v>53.24</v>
      </c>
      <c r="T280">
        <v>86.68</v>
      </c>
      <c r="U280">
        <v>64.760000000000005</v>
      </c>
      <c r="V280">
        <v>33</v>
      </c>
      <c r="W280">
        <v>77.180000000000007</v>
      </c>
      <c r="X280">
        <v>133.94</v>
      </c>
      <c r="Y280">
        <v>218.02</v>
      </c>
      <c r="Z280">
        <v>121.56</v>
      </c>
      <c r="AA280">
        <v>115.35</v>
      </c>
      <c r="AB280">
        <v>47.67</v>
      </c>
      <c r="AC280">
        <v>66.45</v>
      </c>
      <c r="AD280">
        <v>97.07</v>
      </c>
      <c r="AE280">
        <v>72.7</v>
      </c>
      <c r="AI280" s="2">
        <v>5000</v>
      </c>
      <c r="AJ280" s="2">
        <f t="shared" si="168"/>
        <v>1190</v>
      </c>
      <c r="AK280" s="2">
        <f t="shared" si="168"/>
        <v>1190</v>
      </c>
      <c r="AL280" s="2">
        <f t="shared" si="168"/>
        <v>1190</v>
      </c>
      <c r="AM280" s="2">
        <f t="shared" si="168"/>
        <v>1190</v>
      </c>
      <c r="AN280" s="2">
        <f t="shared" si="168"/>
        <v>1190</v>
      </c>
      <c r="AO280" s="2">
        <f t="shared" si="168"/>
        <v>1190</v>
      </c>
      <c r="AP280" s="2">
        <f t="shared" si="168"/>
        <v>1070</v>
      </c>
      <c r="AQ280" s="2">
        <v>1000</v>
      </c>
      <c r="AR280" s="2">
        <v>0</v>
      </c>
      <c r="AS280" s="2">
        <v>10</v>
      </c>
      <c r="AT280" s="2">
        <v>0</v>
      </c>
      <c r="AU280" s="2">
        <v>1000</v>
      </c>
      <c r="AV280" s="2">
        <v>0</v>
      </c>
      <c r="AW280" s="2">
        <v>0</v>
      </c>
      <c r="AX280" s="2">
        <v>0</v>
      </c>
      <c r="AY280" s="2">
        <v>0</v>
      </c>
      <c r="AZ280" s="2">
        <v>962</v>
      </c>
      <c r="BA280" s="2">
        <v>928</v>
      </c>
      <c r="BB280" s="2">
        <v>901</v>
      </c>
      <c r="BC280" s="2">
        <v>-1000</v>
      </c>
      <c r="BD280" s="2">
        <v>-5000</v>
      </c>
      <c r="BE280" s="2">
        <v>5000</v>
      </c>
      <c r="BF280" s="2">
        <v>3000</v>
      </c>
      <c r="BG280" s="2">
        <v>2500</v>
      </c>
      <c r="BH280" s="2">
        <v>-2500</v>
      </c>
      <c r="BI280" s="2">
        <v>3000</v>
      </c>
      <c r="BJ280" s="2">
        <v>-1500</v>
      </c>
      <c r="BK280" s="2">
        <v>1000</v>
      </c>
      <c r="BL280" s="2">
        <v>1000</v>
      </c>
      <c r="BO280" s="2">
        <f t="shared" si="169"/>
        <v>0</v>
      </c>
      <c r="BP280" s="2">
        <f t="shared" si="177"/>
        <v>0</v>
      </c>
      <c r="BQ280" s="2">
        <f t="shared" si="178"/>
        <v>0</v>
      </c>
      <c r="BR280" s="2">
        <f t="shared" si="179"/>
        <v>0</v>
      </c>
      <c r="BS280" s="2">
        <f t="shared" si="180"/>
        <v>0</v>
      </c>
      <c r="BT280" s="2">
        <f t="shared" si="181"/>
        <v>0</v>
      </c>
      <c r="BU280" s="2">
        <f t="shared" si="182"/>
        <v>0</v>
      </c>
      <c r="BV280" s="2">
        <f t="shared" si="183"/>
        <v>0</v>
      </c>
      <c r="BW280" s="2">
        <f t="shared" si="184"/>
        <v>0</v>
      </c>
      <c r="BX280" s="2">
        <f t="shared" si="185"/>
        <v>0</v>
      </c>
      <c r="BY280" s="2">
        <f t="shared" si="186"/>
        <v>0</v>
      </c>
      <c r="BZ280" s="2">
        <f t="shared" si="187"/>
        <v>0</v>
      </c>
      <c r="CA280" s="2">
        <f t="shared" si="188"/>
        <v>0</v>
      </c>
      <c r="CB280" s="2">
        <f t="shared" si="189"/>
        <v>0</v>
      </c>
      <c r="CC280" s="2">
        <f t="shared" si="190"/>
        <v>0</v>
      </c>
      <c r="CD280" s="2">
        <f t="shared" si="191"/>
        <v>0</v>
      </c>
      <c r="CE280" s="2">
        <f t="shared" si="192"/>
        <v>0</v>
      </c>
      <c r="CF280" s="2">
        <f t="shared" si="193"/>
        <v>3354.1200000000003</v>
      </c>
      <c r="CG280" s="2">
        <f t="shared" si="194"/>
        <v>3033.8</v>
      </c>
      <c r="CH280" s="2">
        <f t="shared" si="195"/>
        <v>9649.2400000000016</v>
      </c>
      <c r="CI280" s="2">
        <f t="shared" si="196"/>
        <v>0</v>
      </c>
      <c r="CJ280" s="2">
        <f t="shared" si="197"/>
        <v>0</v>
      </c>
      <c r="CK280" s="2">
        <f t="shared" si="198"/>
        <v>0</v>
      </c>
      <c r="CL280" s="2">
        <f t="shared" si="199"/>
        <v>0</v>
      </c>
      <c r="CM280" s="2">
        <f t="shared" si="170"/>
        <v>-303900</v>
      </c>
      <c r="CN280" s="2">
        <f t="shared" si="171"/>
        <v>0</v>
      </c>
      <c r="CO280" s="2">
        <f t="shared" si="172"/>
        <v>0</v>
      </c>
      <c r="CP280" s="2">
        <f t="shared" si="173"/>
        <v>0</v>
      </c>
      <c r="CQ280" s="2">
        <f t="shared" si="174"/>
        <v>0</v>
      </c>
      <c r="CR280" s="2">
        <f t="shared" si="175"/>
        <v>0</v>
      </c>
      <c r="CV280" t="s">
        <v>64</v>
      </c>
      <c r="CW280" t="s">
        <v>353</v>
      </c>
      <c r="CX280" t="s">
        <v>8</v>
      </c>
      <c r="CY280" s="4">
        <v>42979</v>
      </c>
      <c r="CZ280" t="s">
        <v>65</v>
      </c>
      <c r="DA280" t="s">
        <v>66</v>
      </c>
      <c r="DB280">
        <v>1000</v>
      </c>
      <c r="DC280">
        <v>65.290000000000006</v>
      </c>
      <c r="DD280" t="s">
        <v>69</v>
      </c>
      <c r="DE280" t="s">
        <v>70</v>
      </c>
      <c r="DF280">
        <v>65290.000000000007</v>
      </c>
    </row>
    <row r="281" spans="1:110" x14ac:dyDescent="0.25">
      <c r="A281" s="1">
        <v>43143</v>
      </c>
      <c r="B281">
        <v>160.27000000000001</v>
      </c>
      <c r="C281">
        <v>93.63</v>
      </c>
      <c r="D281">
        <v>337.15</v>
      </c>
      <c r="E281">
        <v>148.69</v>
      </c>
      <c r="F281">
        <v>39.39</v>
      </c>
      <c r="G281">
        <v>108.65</v>
      </c>
      <c r="H281">
        <v>101.78</v>
      </c>
      <c r="I281">
        <v>70.2</v>
      </c>
      <c r="J281">
        <v>249.72</v>
      </c>
      <c r="K281">
        <v>179.99</v>
      </c>
      <c r="L281">
        <v>144.59</v>
      </c>
      <c r="M281">
        <v>43.75</v>
      </c>
      <c r="N281">
        <v>126.83</v>
      </c>
      <c r="O281">
        <v>108.92</v>
      </c>
      <c r="P281">
        <v>42.5</v>
      </c>
      <c r="Q281">
        <v>159.85</v>
      </c>
      <c r="R281">
        <v>221.73</v>
      </c>
      <c r="S281">
        <v>53.78</v>
      </c>
      <c r="T281">
        <v>87.61</v>
      </c>
      <c r="U281">
        <v>65.239999999999995</v>
      </c>
      <c r="V281">
        <v>33.479999999999997</v>
      </c>
      <c r="W281">
        <v>78.540000000000006</v>
      </c>
      <c r="X281">
        <v>134.97</v>
      </c>
      <c r="Y281">
        <v>222.69</v>
      </c>
      <c r="Z281">
        <v>123.85</v>
      </c>
      <c r="AA281">
        <v>117.48</v>
      </c>
      <c r="AB281">
        <v>47.89</v>
      </c>
      <c r="AC281">
        <v>66.45</v>
      </c>
      <c r="AD281">
        <v>97.24</v>
      </c>
      <c r="AE281">
        <v>73.319999999999993</v>
      </c>
      <c r="AI281" s="2">
        <v>5000</v>
      </c>
      <c r="AJ281" s="2">
        <f t="shared" si="168"/>
        <v>1190</v>
      </c>
      <c r="AK281" s="2">
        <f t="shared" si="168"/>
        <v>1190</v>
      </c>
      <c r="AL281" s="2">
        <f t="shared" si="168"/>
        <v>1190</v>
      </c>
      <c r="AM281" s="2">
        <f t="shared" si="168"/>
        <v>1190</v>
      </c>
      <c r="AN281" s="2">
        <f t="shared" si="168"/>
        <v>1190</v>
      </c>
      <c r="AO281" s="2">
        <f t="shared" si="168"/>
        <v>1190</v>
      </c>
      <c r="AP281" s="2">
        <f t="shared" si="168"/>
        <v>1070</v>
      </c>
      <c r="AQ281" s="2">
        <v>1000</v>
      </c>
      <c r="AR281" s="2">
        <v>0</v>
      </c>
      <c r="AS281" s="2">
        <v>10</v>
      </c>
      <c r="AT281" s="2">
        <v>0</v>
      </c>
      <c r="AU281" s="2">
        <v>1000</v>
      </c>
      <c r="AV281" s="2">
        <v>0</v>
      </c>
      <c r="AW281" s="2">
        <v>0</v>
      </c>
      <c r="AX281" s="2">
        <v>0</v>
      </c>
      <c r="AY281" s="2">
        <v>0</v>
      </c>
      <c r="AZ281" s="2">
        <v>961</v>
      </c>
      <c r="BA281" s="2">
        <v>921</v>
      </c>
      <c r="BB281" s="2">
        <v>1053</v>
      </c>
      <c r="BC281" s="2">
        <v>-1000</v>
      </c>
      <c r="BD281" s="2">
        <v>-5000</v>
      </c>
      <c r="BE281" s="2">
        <v>5000</v>
      </c>
      <c r="BF281" s="2">
        <v>3000</v>
      </c>
      <c r="BG281" s="2">
        <v>2500</v>
      </c>
      <c r="BH281" s="2">
        <v>-1250</v>
      </c>
      <c r="BI281" s="2">
        <v>3000</v>
      </c>
      <c r="BJ281" s="2">
        <v>-1500</v>
      </c>
      <c r="BK281" s="2">
        <v>1000</v>
      </c>
      <c r="BL281" s="2">
        <v>1000</v>
      </c>
      <c r="BO281" s="2">
        <f t="shared" si="169"/>
        <v>0</v>
      </c>
      <c r="BP281" s="2">
        <f t="shared" si="177"/>
        <v>0</v>
      </c>
      <c r="BQ281" s="2">
        <f t="shared" si="178"/>
        <v>0</v>
      </c>
      <c r="BR281" s="2">
        <f t="shared" si="179"/>
        <v>0</v>
      </c>
      <c r="BS281" s="2">
        <f t="shared" si="180"/>
        <v>0</v>
      </c>
      <c r="BT281" s="2">
        <f t="shared" si="181"/>
        <v>0</v>
      </c>
      <c r="BU281" s="2">
        <f t="shared" si="182"/>
        <v>0</v>
      </c>
      <c r="BV281" s="2">
        <f t="shared" si="183"/>
        <v>0</v>
      </c>
      <c r="BW281" s="2">
        <f t="shared" si="184"/>
        <v>0</v>
      </c>
      <c r="BX281" s="2">
        <f t="shared" si="185"/>
        <v>0</v>
      </c>
      <c r="BY281" s="2">
        <f t="shared" si="186"/>
        <v>0</v>
      </c>
      <c r="BZ281" s="2">
        <f t="shared" si="187"/>
        <v>0</v>
      </c>
      <c r="CA281" s="2">
        <f t="shared" si="188"/>
        <v>0</v>
      </c>
      <c r="CB281" s="2">
        <f t="shared" si="189"/>
        <v>0</v>
      </c>
      <c r="CC281" s="2">
        <f t="shared" si="190"/>
        <v>0</v>
      </c>
      <c r="CD281" s="2">
        <f t="shared" si="191"/>
        <v>0</v>
      </c>
      <c r="CE281" s="2">
        <f t="shared" si="192"/>
        <v>0</v>
      </c>
      <c r="CF281" s="2">
        <f t="shared" si="193"/>
        <v>53.78</v>
      </c>
      <c r="CG281" s="2">
        <f t="shared" si="194"/>
        <v>613.27</v>
      </c>
      <c r="CH281" s="2">
        <f t="shared" si="195"/>
        <v>-9916.48</v>
      </c>
      <c r="CI281" s="2">
        <f t="shared" si="196"/>
        <v>0</v>
      </c>
      <c r="CJ281" s="2">
        <f t="shared" si="197"/>
        <v>0</v>
      </c>
      <c r="CK281" s="2">
        <f t="shared" si="198"/>
        <v>0</v>
      </c>
      <c r="CL281" s="2">
        <f t="shared" si="199"/>
        <v>0</v>
      </c>
      <c r="CM281" s="2">
        <f t="shared" si="170"/>
        <v>0</v>
      </c>
      <c r="CN281" s="2">
        <f t="shared" si="171"/>
        <v>-146850</v>
      </c>
      <c r="CO281" s="2">
        <f t="shared" si="172"/>
        <v>0</v>
      </c>
      <c r="CP281" s="2">
        <f t="shared" si="173"/>
        <v>0</v>
      </c>
      <c r="CQ281" s="2">
        <f t="shared" si="174"/>
        <v>0</v>
      </c>
      <c r="CR281" s="2">
        <f t="shared" si="175"/>
        <v>0</v>
      </c>
      <c r="CV281" t="s">
        <v>64</v>
      </c>
      <c r="CW281" t="s">
        <v>354</v>
      </c>
      <c r="CX281" t="s">
        <v>8</v>
      </c>
      <c r="CY281" s="4">
        <v>43000</v>
      </c>
      <c r="CZ281" t="s">
        <v>65</v>
      </c>
      <c r="DA281" t="s">
        <v>66</v>
      </c>
      <c r="DB281">
        <v>10</v>
      </c>
      <c r="DC281">
        <v>67.989999999999995</v>
      </c>
      <c r="DD281" t="s">
        <v>69</v>
      </c>
      <c r="DE281" t="s">
        <v>70</v>
      </c>
      <c r="DF281">
        <v>679.9</v>
      </c>
    </row>
    <row r="282" spans="1:110" x14ac:dyDescent="0.25">
      <c r="A282" s="1">
        <v>43144</v>
      </c>
      <c r="B282">
        <v>161.88</v>
      </c>
      <c r="C282">
        <v>93.49</v>
      </c>
      <c r="D282">
        <v>336.53</v>
      </c>
      <c r="E282">
        <v>150.33000000000001</v>
      </c>
      <c r="F282">
        <v>40</v>
      </c>
      <c r="G282">
        <v>108</v>
      </c>
      <c r="H282">
        <v>102.49</v>
      </c>
      <c r="I282">
        <v>69.13</v>
      </c>
      <c r="J282">
        <v>252.06</v>
      </c>
      <c r="K282">
        <v>179.66</v>
      </c>
      <c r="L282">
        <v>143.97</v>
      </c>
      <c r="M282">
        <v>43.39</v>
      </c>
      <c r="N282">
        <v>126.53</v>
      </c>
      <c r="O282">
        <v>109.59</v>
      </c>
      <c r="P282">
        <v>42.71</v>
      </c>
      <c r="Q282">
        <v>158.38999999999999</v>
      </c>
      <c r="R282">
        <v>223.83</v>
      </c>
      <c r="S282">
        <v>53.27</v>
      </c>
      <c r="T282">
        <v>88.3</v>
      </c>
      <c r="U282">
        <v>65.13</v>
      </c>
      <c r="V282">
        <v>33.75</v>
      </c>
      <c r="W282">
        <v>78.7</v>
      </c>
      <c r="X282">
        <v>135.4</v>
      </c>
      <c r="Y282">
        <v>223.62</v>
      </c>
      <c r="Z282">
        <v>122.28</v>
      </c>
      <c r="AA282">
        <v>117.36</v>
      </c>
      <c r="AB282">
        <v>47.86</v>
      </c>
      <c r="AC282">
        <v>66.290000000000006</v>
      </c>
      <c r="AD282">
        <v>98.64</v>
      </c>
      <c r="AE282">
        <v>73.2</v>
      </c>
      <c r="AI282" s="2">
        <v>5000</v>
      </c>
      <c r="AJ282" s="2">
        <f t="shared" ref="AJ282:AP282" si="201">AJ281+10</f>
        <v>1200</v>
      </c>
      <c r="AK282" s="2">
        <f t="shared" si="201"/>
        <v>1200</v>
      </c>
      <c r="AL282" s="2">
        <f t="shared" si="201"/>
        <v>1200</v>
      </c>
      <c r="AM282" s="2">
        <f t="shared" si="201"/>
        <v>1200</v>
      </c>
      <c r="AN282" s="2">
        <f t="shared" si="201"/>
        <v>1200</v>
      </c>
      <c r="AO282" s="2">
        <f t="shared" si="201"/>
        <v>1200</v>
      </c>
      <c r="AP282" s="2">
        <f t="shared" si="201"/>
        <v>1080</v>
      </c>
      <c r="AQ282" s="2">
        <v>1000</v>
      </c>
      <c r="AR282" s="2">
        <v>0</v>
      </c>
      <c r="AS282" s="2">
        <v>10</v>
      </c>
      <c r="AT282" s="2">
        <v>0</v>
      </c>
      <c r="AU282" s="2">
        <v>1000</v>
      </c>
      <c r="AV282" s="2">
        <v>0</v>
      </c>
      <c r="AW282" s="2">
        <v>0</v>
      </c>
      <c r="AX282" s="2">
        <v>0</v>
      </c>
      <c r="AY282" s="2">
        <v>0</v>
      </c>
      <c r="AZ282" s="2">
        <v>1003</v>
      </c>
      <c r="BA282" s="2">
        <v>1056</v>
      </c>
      <c r="BB282" s="2">
        <v>987</v>
      </c>
      <c r="BC282" s="2">
        <v>-1000</v>
      </c>
      <c r="BD282" s="2">
        <v>-5000</v>
      </c>
      <c r="BE282" s="2">
        <v>5000</v>
      </c>
      <c r="BF282" s="2">
        <v>3000</v>
      </c>
      <c r="BG282" s="2">
        <v>2500</v>
      </c>
      <c r="BH282" s="2">
        <v>0</v>
      </c>
      <c r="BI282" s="2">
        <v>3000</v>
      </c>
      <c r="BJ282" s="2">
        <v>-1500</v>
      </c>
      <c r="BK282" s="2">
        <v>1000</v>
      </c>
      <c r="BL282" s="2">
        <v>1000</v>
      </c>
      <c r="BO282" s="2">
        <f t="shared" si="169"/>
        <v>0</v>
      </c>
      <c r="BP282" s="2">
        <f t="shared" si="177"/>
        <v>-934.9</v>
      </c>
      <c r="BQ282" s="2">
        <f t="shared" si="178"/>
        <v>-3365.2999999999997</v>
      </c>
      <c r="BR282" s="2">
        <f t="shared" si="179"/>
        <v>-1503.3000000000002</v>
      </c>
      <c r="BS282" s="2">
        <f t="shared" si="180"/>
        <v>-400</v>
      </c>
      <c r="BT282" s="2">
        <f t="shared" si="181"/>
        <v>-1080</v>
      </c>
      <c r="BU282" s="2">
        <f t="shared" si="182"/>
        <v>-1024.8999999999999</v>
      </c>
      <c r="BV282" s="2">
        <f t="shared" si="183"/>
        <v>-691.3</v>
      </c>
      <c r="BW282" s="2">
        <f t="shared" si="184"/>
        <v>0</v>
      </c>
      <c r="BX282" s="2">
        <f t="shared" si="185"/>
        <v>0</v>
      </c>
      <c r="BY282" s="2">
        <f t="shared" si="186"/>
        <v>0</v>
      </c>
      <c r="BZ282" s="2">
        <f t="shared" si="187"/>
        <v>0</v>
      </c>
      <c r="CA282" s="2">
        <f t="shared" si="188"/>
        <v>0</v>
      </c>
      <c r="CB282" s="2">
        <f t="shared" si="189"/>
        <v>0</v>
      </c>
      <c r="CC282" s="2">
        <f t="shared" si="190"/>
        <v>0</v>
      </c>
      <c r="CD282" s="2">
        <f t="shared" si="191"/>
        <v>0</v>
      </c>
      <c r="CE282" s="2">
        <f t="shared" si="192"/>
        <v>0</v>
      </c>
      <c r="CF282" s="2">
        <f t="shared" si="193"/>
        <v>-2237.34</v>
      </c>
      <c r="CG282" s="2">
        <f t="shared" si="194"/>
        <v>-11920.5</v>
      </c>
      <c r="CH282" s="2">
        <f t="shared" si="195"/>
        <v>4298.58</v>
      </c>
      <c r="CI282" s="2">
        <f t="shared" si="196"/>
        <v>0</v>
      </c>
      <c r="CJ282" s="2">
        <f t="shared" si="197"/>
        <v>0</v>
      </c>
      <c r="CK282" s="2">
        <f t="shared" si="198"/>
        <v>0</v>
      </c>
      <c r="CL282" s="2">
        <f t="shared" si="199"/>
        <v>0</v>
      </c>
      <c r="CM282" s="2">
        <f t="shared" si="170"/>
        <v>0</v>
      </c>
      <c r="CN282" s="2">
        <f t="shared" si="171"/>
        <v>-146700</v>
      </c>
      <c r="CO282" s="2">
        <f t="shared" si="172"/>
        <v>0</v>
      </c>
      <c r="CP282" s="2">
        <f t="shared" si="173"/>
        <v>0</v>
      </c>
      <c r="CQ282" s="2">
        <f t="shared" si="174"/>
        <v>0</v>
      </c>
      <c r="CR282" s="2">
        <f t="shared" si="175"/>
        <v>0</v>
      </c>
      <c r="CV282" t="s">
        <v>64</v>
      </c>
      <c r="CW282" t="s">
        <v>355</v>
      </c>
      <c r="CX282" t="s">
        <v>8</v>
      </c>
      <c r="CY282" s="4">
        <v>43020</v>
      </c>
      <c r="CZ282" t="s">
        <v>65</v>
      </c>
      <c r="DA282" t="s">
        <v>66</v>
      </c>
      <c r="DB282">
        <v>10</v>
      </c>
      <c r="DC282">
        <v>69.39</v>
      </c>
      <c r="DD282" t="s">
        <v>69</v>
      </c>
      <c r="DE282" t="s">
        <v>70</v>
      </c>
      <c r="DF282">
        <v>693.9</v>
      </c>
    </row>
    <row r="283" spans="1:110" x14ac:dyDescent="0.25">
      <c r="A283" s="1">
        <v>43145</v>
      </c>
      <c r="B283">
        <v>164.86</v>
      </c>
      <c r="C283">
        <v>95.14</v>
      </c>
      <c r="D283">
        <v>338.18</v>
      </c>
      <c r="E283">
        <v>154.33000000000001</v>
      </c>
      <c r="F283">
        <v>40.840000000000003</v>
      </c>
      <c r="G283">
        <v>108.32</v>
      </c>
      <c r="H283">
        <v>102.97</v>
      </c>
      <c r="I283">
        <v>69.7</v>
      </c>
      <c r="J283">
        <v>259.01</v>
      </c>
      <c r="K283">
        <v>180.61</v>
      </c>
      <c r="L283">
        <v>147.80000000000001</v>
      </c>
      <c r="M283">
        <v>44.29</v>
      </c>
      <c r="N283">
        <v>126.25</v>
      </c>
      <c r="O283">
        <v>112.13</v>
      </c>
      <c r="P283">
        <v>42.63</v>
      </c>
      <c r="Q283">
        <v>156.04</v>
      </c>
      <c r="R283">
        <v>224.45</v>
      </c>
      <c r="S283">
        <v>53.27</v>
      </c>
      <c r="T283">
        <v>89.68</v>
      </c>
      <c r="U283">
        <v>67.2</v>
      </c>
      <c r="V283">
        <v>33.99</v>
      </c>
      <c r="W283">
        <v>77.91</v>
      </c>
      <c r="X283">
        <v>137.38</v>
      </c>
      <c r="Y283">
        <v>225.74</v>
      </c>
      <c r="Z283">
        <v>123.18</v>
      </c>
      <c r="AA283">
        <v>119.82</v>
      </c>
      <c r="AB283">
        <v>47.31</v>
      </c>
      <c r="AC283">
        <v>66.87</v>
      </c>
      <c r="AD283">
        <v>99.34</v>
      </c>
      <c r="AE283">
        <v>73.349999999999994</v>
      </c>
      <c r="AI283" s="2">
        <v>5000</v>
      </c>
      <c r="AJ283" s="2">
        <f t="shared" ref="AJ283:AP283" si="202">AJ282</f>
        <v>1200</v>
      </c>
      <c r="AK283" s="2">
        <f t="shared" si="202"/>
        <v>1200</v>
      </c>
      <c r="AL283" s="2">
        <f t="shared" si="202"/>
        <v>1200</v>
      </c>
      <c r="AM283" s="2">
        <f t="shared" si="202"/>
        <v>1200</v>
      </c>
      <c r="AN283" s="2">
        <f t="shared" si="202"/>
        <v>1200</v>
      </c>
      <c r="AO283" s="2">
        <f t="shared" si="202"/>
        <v>1200</v>
      </c>
      <c r="AP283" s="2">
        <f t="shared" si="202"/>
        <v>1080</v>
      </c>
      <c r="AQ283" s="2">
        <v>1000</v>
      </c>
      <c r="AR283" s="2">
        <v>0</v>
      </c>
      <c r="AS283" s="2">
        <v>10</v>
      </c>
      <c r="AT283" s="2">
        <v>0</v>
      </c>
      <c r="AU283" s="2">
        <v>1000</v>
      </c>
      <c r="AV283" s="2">
        <v>0</v>
      </c>
      <c r="AW283" s="2">
        <v>0</v>
      </c>
      <c r="AX283" s="2">
        <v>0</v>
      </c>
      <c r="AY283" s="2">
        <v>0</v>
      </c>
      <c r="AZ283" s="2">
        <v>970</v>
      </c>
      <c r="BA283" s="2">
        <v>1024</v>
      </c>
      <c r="BB283" s="2">
        <v>1012</v>
      </c>
      <c r="BC283" s="2">
        <v>-1000</v>
      </c>
      <c r="BD283" s="2">
        <v>-5000</v>
      </c>
      <c r="BE283" s="2">
        <v>5000</v>
      </c>
      <c r="BF283" s="2">
        <v>3000</v>
      </c>
      <c r="BG283" s="2">
        <v>2500</v>
      </c>
      <c r="BH283" s="2">
        <v>2500</v>
      </c>
      <c r="BI283" s="2">
        <v>3000</v>
      </c>
      <c r="BJ283" s="2">
        <v>-1500</v>
      </c>
      <c r="BK283" s="2">
        <v>1000</v>
      </c>
      <c r="BL283" s="2">
        <v>1000</v>
      </c>
      <c r="BO283" s="2">
        <f t="shared" si="169"/>
        <v>0</v>
      </c>
      <c r="BP283" s="2">
        <f t="shared" si="177"/>
        <v>0</v>
      </c>
      <c r="BQ283" s="2">
        <f t="shared" si="178"/>
        <v>0</v>
      </c>
      <c r="BR283" s="2">
        <f t="shared" si="179"/>
        <v>0</v>
      </c>
      <c r="BS283" s="2">
        <f t="shared" si="180"/>
        <v>0</v>
      </c>
      <c r="BT283" s="2">
        <f t="shared" si="181"/>
        <v>0</v>
      </c>
      <c r="BU283" s="2">
        <f t="shared" si="182"/>
        <v>0</v>
      </c>
      <c r="BV283" s="2">
        <f t="shared" si="183"/>
        <v>0</v>
      </c>
      <c r="BW283" s="2">
        <f t="shared" si="184"/>
        <v>0</v>
      </c>
      <c r="BX283" s="2">
        <f t="shared" si="185"/>
        <v>0</v>
      </c>
      <c r="BY283" s="2">
        <f t="shared" si="186"/>
        <v>0</v>
      </c>
      <c r="BZ283" s="2">
        <f t="shared" si="187"/>
        <v>0</v>
      </c>
      <c r="CA283" s="2">
        <f t="shared" si="188"/>
        <v>0</v>
      </c>
      <c r="CB283" s="2">
        <f t="shared" si="189"/>
        <v>0</v>
      </c>
      <c r="CC283" s="2">
        <f t="shared" si="190"/>
        <v>0</v>
      </c>
      <c r="CD283" s="2">
        <f t="shared" si="191"/>
        <v>0</v>
      </c>
      <c r="CE283" s="2">
        <f t="shared" si="192"/>
        <v>0</v>
      </c>
      <c r="CF283" s="2">
        <f t="shared" si="193"/>
        <v>1757.91</v>
      </c>
      <c r="CG283" s="2">
        <f t="shared" si="194"/>
        <v>2869.76</v>
      </c>
      <c r="CH283" s="2">
        <f t="shared" si="195"/>
        <v>-1680</v>
      </c>
      <c r="CI283" s="2">
        <f t="shared" si="196"/>
        <v>0</v>
      </c>
      <c r="CJ283" s="2">
        <f t="shared" si="197"/>
        <v>0</v>
      </c>
      <c r="CK283" s="2">
        <f t="shared" si="198"/>
        <v>0</v>
      </c>
      <c r="CL283" s="2">
        <f t="shared" si="199"/>
        <v>0</v>
      </c>
      <c r="CM283" s="2">
        <f t="shared" si="170"/>
        <v>0</v>
      </c>
      <c r="CN283" s="2">
        <f t="shared" si="171"/>
        <v>-299550</v>
      </c>
      <c r="CO283" s="2">
        <f t="shared" si="172"/>
        <v>0</v>
      </c>
      <c r="CP283" s="2">
        <f t="shared" si="173"/>
        <v>0</v>
      </c>
      <c r="CQ283" s="2">
        <f t="shared" si="174"/>
        <v>0</v>
      </c>
      <c r="CR283" s="2">
        <f t="shared" si="175"/>
        <v>0</v>
      </c>
      <c r="CV283" t="s">
        <v>64</v>
      </c>
      <c r="CW283" t="s">
        <v>356</v>
      </c>
      <c r="CX283" t="s">
        <v>8</v>
      </c>
      <c r="CY283" s="4">
        <v>43040</v>
      </c>
      <c r="CZ283" t="s">
        <v>65</v>
      </c>
      <c r="DA283" t="s">
        <v>66</v>
      </c>
      <c r="DB283">
        <v>10</v>
      </c>
      <c r="DC283">
        <v>71.260000000000005</v>
      </c>
      <c r="DD283" t="s">
        <v>69</v>
      </c>
      <c r="DE283" t="s">
        <v>70</v>
      </c>
      <c r="DF283">
        <v>712.6</v>
      </c>
    </row>
    <row r="284" spans="1:110" x14ac:dyDescent="0.25">
      <c r="A284" s="1">
        <v>43146</v>
      </c>
      <c r="B284">
        <v>170.4</v>
      </c>
      <c r="C284">
        <v>95.46</v>
      </c>
      <c r="D284">
        <v>349.57</v>
      </c>
      <c r="E284">
        <v>156.19999999999999</v>
      </c>
      <c r="F284">
        <v>42.77</v>
      </c>
      <c r="G284">
        <v>108.34</v>
      </c>
      <c r="H284">
        <v>103.54</v>
      </c>
      <c r="I284">
        <v>70.209999999999994</v>
      </c>
      <c r="J284">
        <v>264.04000000000002</v>
      </c>
      <c r="K284">
        <v>181.18</v>
      </c>
      <c r="L284">
        <v>148.99</v>
      </c>
      <c r="M284">
        <v>44.81</v>
      </c>
      <c r="N284">
        <v>127.76</v>
      </c>
      <c r="O284">
        <v>112.6</v>
      </c>
      <c r="P284">
        <v>43.28</v>
      </c>
      <c r="Q284">
        <v>156.81</v>
      </c>
      <c r="R284">
        <v>228.57</v>
      </c>
      <c r="S284">
        <v>54.32</v>
      </c>
      <c r="T284">
        <v>91.51</v>
      </c>
      <c r="U284">
        <v>67.53</v>
      </c>
      <c r="V284">
        <v>34.5</v>
      </c>
      <c r="W284">
        <v>79.58</v>
      </c>
      <c r="X284">
        <v>137.65</v>
      </c>
      <c r="Y284">
        <v>223.01</v>
      </c>
      <c r="Z284">
        <v>127.1</v>
      </c>
      <c r="AA284">
        <v>121.47</v>
      </c>
      <c r="AB284">
        <v>47.53</v>
      </c>
      <c r="AC284">
        <v>68.13</v>
      </c>
      <c r="AD284">
        <v>100.84</v>
      </c>
      <c r="AE284">
        <v>73.11</v>
      </c>
      <c r="AI284" s="2">
        <v>5000</v>
      </c>
      <c r="AJ284" s="2">
        <f t="shared" ref="AJ284:AP309" si="203">AJ283</f>
        <v>1200</v>
      </c>
      <c r="AK284" s="2">
        <f t="shared" si="203"/>
        <v>1200</v>
      </c>
      <c r="AL284" s="2">
        <f t="shared" si="203"/>
        <v>1200</v>
      </c>
      <c r="AM284" s="2">
        <f t="shared" si="203"/>
        <v>1200</v>
      </c>
      <c r="AN284" s="2">
        <f t="shared" si="203"/>
        <v>1200</v>
      </c>
      <c r="AO284" s="2">
        <f t="shared" si="203"/>
        <v>1200</v>
      </c>
      <c r="AP284" s="2">
        <f t="shared" si="203"/>
        <v>1080</v>
      </c>
      <c r="AQ284" s="2">
        <v>1000</v>
      </c>
      <c r="AR284" s="2">
        <v>0</v>
      </c>
      <c r="AS284" s="2">
        <v>10</v>
      </c>
      <c r="AT284" s="2">
        <v>0</v>
      </c>
      <c r="AU284" s="2">
        <v>1000</v>
      </c>
      <c r="AV284" s="2">
        <v>0</v>
      </c>
      <c r="AW284" s="2">
        <v>0</v>
      </c>
      <c r="AX284" s="2">
        <v>0</v>
      </c>
      <c r="AY284" s="2">
        <v>0</v>
      </c>
      <c r="AZ284" s="2">
        <v>973</v>
      </c>
      <c r="BA284" s="2">
        <v>927</v>
      </c>
      <c r="BB284" s="2">
        <v>908</v>
      </c>
      <c r="BC284" s="2">
        <v>-1000</v>
      </c>
      <c r="BD284" s="2">
        <v>-5000</v>
      </c>
      <c r="BE284" s="2">
        <v>5000</v>
      </c>
      <c r="BF284" s="2">
        <v>3000</v>
      </c>
      <c r="BG284" s="2">
        <v>2500</v>
      </c>
      <c r="BH284" s="2">
        <v>5000</v>
      </c>
      <c r="BI284" s="2">
        <v>3000</v>
      </c>
      <c r="BJ284" s="2">
        <v>-1500</v>
      </c>
      <c r="BK284" s="2">
        <v>1000</v>
      </c>
      <c r="BL284" s="2">
        <v>1000</v>
      </c>
      <c r="BO284" s="2">
        <f t="shared" si="169"/>
        <v>0</v>
      </c>
      <c r="BP284" s="2">
        <f t="shared" si="177"/>
        <v>0</v>
      </c>
      <c r="BQ284" s="2">
        <f t="shared" si="178"/>
        <v>0</v>
      </c>
      <c r="BR284" s="2">
        <f t="shared" si="179"/>
        <v>0</v>
      </c>
      <c r="BS284" s="2">
        <f t="shared" si="180"/>
        <v>0</v>
      </c>
      <c r="BT284" s="2">
        <f t="shared" si="181"/>
        <v>0</v>
      </c>
      <c r="BU284" s="2">
        <f t="shared" si="182"/>
        <v>0</v>
      </c>
      <c r="BV284" s="2">
        <f t="shared" si="183"/>
        <v>0</v>
      </c>
      <c r="BW284" s="2">
        <f t="shared" si="184"/>
        <v>0</v>
      </c>
      <c r="BX284" s="2">
        <f t="shared" si="185"/>
        <v>0</v>
      </c>
      <c r="BY284" s="2">
        <f t="shared" si="186"/>
        <v>0</v>
      </c>
      <c r="BZ284" s="2">
        <f t="shared" si="187"/>
        <v>0</v>
      </c>
      <c r="CA284" s="2">
        <f t="shared" si="188"/>
        <v>0</v>
      </c>
      <c r="CB284" s="2">
        <f t="shared" si="189"/>
        <v>0</v>
      </c>
      <c r="CC284" s="2">
        <f t="shared" si="190"/>
        <v>0</v>
      </c>
      <c r="CD284" s="2">
        <f t="shared" si="191"/>
        <v>0</v>
      </c>
      <c r="CE284" s="2">
        <f t="shared" si="192"/>
        <v>0</v>
      </c>
      <c r="CF284" s="2">
        <f t="shared" si="193"/>
        <v>-162.96</v>
      </c>
      <c r="CG284" s="2">
        <f t="shared" si="194"/>
        <v>8876.4700000000012</v>
      </c>
      <c r="CH284" s="2">
        <f t="shared" si="195"/>
        <v>7023.12</v>
      </c>
      <c r="CI284" s="2">
        <f t="shared" si="196"/>
        <v>0</v>
      </c>
      <c r="CJ284" s="2">
        <f t="shared" si="197"/>
        <v>0</v>
      </c>
      <c r="CK284" s="2">
        <f t="shared" si="198"/>
        <v>0</v>
      </c>
      <c r="CL284" s="2">
        <f t="shared" si="199"/>
        <v>0</v>
      </c>
      <c r="CM284" s="2">
        <f t="shared" si="170"/>
        <v>0</v>
      </c>
      <c r="CN284" s="2">
        <f t="shared" si="171"/>
        <v>-303675</v>
      </c>
      <c r="CO284" s="2">
        <f t="shared" si="172"/>
        <v>0</v>
      </c>
      <c r="CP284" s="2">
        <f t="shared" si="173"/>
        <v>0</v>
      </c>
      <c r="CQ284" s="2">
        <f t="shared" si="174"/>
        <v>0</v>
      </c>
      <c r="CR284" s="2">
        <f t="shared" si="175"/>
        <v>0</v>
      </c>
      <c r="CV284" t="s">
        <v>64</v>
      </c>
      <c r="CW284" t="s">
        <v>357</v>
      </c>
      <c r="CX284" t="s">
        <v>8</v>
      </c>
      <c r="CY284" s="4">
        <v>43060</v>
      </c>
      <c r="CZ284" t="s">
        <v>65</v>
      </c>
      <c r="DA284" t="s">
        <v>66</v>
      </c>
      <c r="DB284">
        <v>10</v>
      </c>
      <c r="DC284">
        <v>69.63</v>
      </c>
      <c r="DD284" t="s">
        <v>69</v>
      </c>
      <c r="DE284" t="s">
        <v>70</v>
      </c>
      <c r="DF284">
        <v>696.3</v>
      </c>
    </row>
    <row r="285" spans="1:110" x14ac:dyDescent="0.25">
      <c r="A285" s="1">
        <v>43147</v>
      </c>
      <c r="B285">
        <v>169.84</v>
      </c>
      <c r="C285">
        <v>95.69</v>
      </c>
      <c r="D285">
        <v>348.18</v>
      </c>
      <c r="E285">
        <v>152.6</v>
      </c>
      <c r="F285">
        <v>43.01</v>
      </c>
      <c r="G285">
        <v>107.96</v>
      </c>
      <c r="H285">
        <v>104.87</v>
      </c>
      <c r="I285">
        <v>70.31</v>
      </c>
      <c r="J285">
        <v>263.98</v>
      </c>
      <c r="K285">
        <v>182.84</v>
      </c>
      <c r="L285">
        <v>149.15</v>
      </c>
      <c r="M285">
        <v>44.46</v>
      </c>
      <c r="N285">
        <v>129.63</v>
      </c>
      <c r="O285">
        <v>111.79</v>
      </c>
      <c r="P285">
        <v>43.48</v>
      </c>
      <c r="Q285">
        <v>153.88999999999999</v>
      </c>
      <c r="R285">
        <v>230.32</v>
      </c>
      <c r="S285">
        <v>54.62</v>
      </c>
      <c r="T285">
        <v>90.86</v>
      </c>
      <c r="U285">
        <v>67.540000000000006</v>
      </c>
      <c r="V285">
        <v>35.03</v>
      </c>
      <c r="W285">
        <v>79.760000000000005</v>
      </c>
      <c r="X285">
        <v>137.93</v>
      </c>
      <c r="Y285">
        <v>226.32</v>
      </c>
      <c r="Z285">
        <v>126.37</v>
      </c>
      <c r="AA285">
        <v>121.04</v>
      </c>
      <c r="AB285">
        <v>47.92</v>
      </c>
      <c r="AC285">
        <v>69.239999999999995</v>
      </c>
      <c r="AD285">
        <v>102.35</v>
      </c>
      <c r="AE285">
        <v>73.430000000000007</v>
      </c>
      <c r="AI285" s="2">
        <v>5000</v>
      </c>
      <c r="AJ285" s="2">
        <f t="shared" si="203"/>
        <v>1200</v>
      </c>
      <c r="AK285" s="2">
        <f t="shared" si="203"/>
        <v>1200</v>
      </c>
      <c r="AL285" s="2">
        <f t="shared" si="203"/>
        <v>1200</v>
      </c>
      <c r="AM285" s="2">
        <f t="shared" si="203"/>
        <v>1200</v>
      </c>
      <c r="AN285" s="2">
        <f t="shared" si="203"/>
        <v>1200</v>
      </c>
      <c r="AO285" s="2">
        <f t="shared" si="203"/>
        <v>1200</v>
      </c>
      <c r="AP285" s="2">
        <f t="shared" si="203"/>
        <v>1080</v>
      </c>
      <c r="AQ285" s="2">
        <v>1000</v>
      </c>
      <c r="AR285" s="2">
        <v>0</v>
      </c>
      <c r="AS285" s="2">
        <v>10</v>
      </c>
      <c r="AT285" s="2">
        <v>0</v>
      </c>
      <c r="AU285" s="2">
        <v>1000</v>
      </c>
      <c r="AV285" s="2">
        <v>0</v>
      </c>
      <c r="AW285" s="2">
        <v>0</v>
      </c>
      <c r="AX285" s="2">
        <v>0</v>
      </c>
      <c r="AY285" s="2">
        <v>0</v>
      </c>
      <c r="AZ285" s="2">
        <v>1013</v>
      </c>
      <c r="BA285" s="2">
        <v>917</v>
      </c>
      <c r="BB285" s="2">
        <v>1078</v>
      </c>
      <c r="BC285" s="2">
        <v>-1000</v>
      </c>
      <c r="BD285" s="2">
        <v>-5000</v>
      </c>
      <c r="BE285" s="2">
        <v>5000</v>
      </c>
      <c r="BF285" s="2">
        <v>3000</v>
      </c>
      <c r="BG285" s="2">
        <v>2500</v>
      </c>
      <c r="BH285" s="2">
        <v>5000</v>
      </c>
      <c r="BI285" s="2">
        <v>3000</v>
      </c>
      <c r="BJ285" s="2">
        <v>-1500</v>
      </c>
      <c r="BK285" s="2">
        <v>1000</v>
      </c>
      <c r="BL285" s="2">
        <v>1000</v>
      </c>
      <c r="BO285" s="2">
        <f t="shared" si="169"/>
        <v>0</v>
      </c>
      <c r="BP285" s="2">
        <f t="shared" si="177"/>
        <v>0</v>
      </c>
      <c r="BQ285" s="2">
        <f t="shared" si="178"/>
        <v>0</v>
      </c>
      <c r="BR285" s="2">
        <f t="shared" si="179"/>
        <v>0</v>
      </c>
      <c r="BS285" s="2">
        <f t="shared" si="180"/>
        <v>0</v>
      </c>
      <c r="BT285" s="2">
        <f t="shared" si="181"/>
        <v>0</v>
      </c>
      <c r="BU285" s="2">
        <f t="shared" si="182"/>
        <v>0</v>
      </c>
      <c r="BV285" s="2">
        <f t="shared" si="183"/>
        <v>0</v>
      </c>
      <c r="BW285" s="2">
        <f t="shared" si="184"/>
        <v>0</v>
      </c>
      <c r="BX285" s="2">
        <f t="shared" si="185"/>
        <v>0</v>
      </c>
      <c r="BY285" s="2">
        <f t="shared" si="186"/>
        <v>0</v>
      </c>
      <c r="BZ285" s="2">
        <f t="shared" si="187"/>
        <v>0</v>
      </c>
      <c r="CA285" s="2">
        <f t="shared" si="188"/>
        <v>0</v>
      </c>
      <c r="CB285" s="2">
        <f t="shared" si="189"/>
        <v>0</v>
      </c>
      <c r="CC285" s="2">
        <f t="shared" si="190"/>
        <v>0</v>
      </c>
      <c r="CD285" s="2">
        <f t="shared" si="191"/>
        <v>0</v>
      </c>
      <c r="CE285" s="2">
        <f t="shared" si="192"/>
        <v>0</v>
      </c>
      <c r="CF285" s="2">
        <f t="shared" si="193"/>
        <v>-2184.7999999999997</v>
      </c>
      <c r="CG285" s="2">
        <f t="shared" si="194"/>
        <v>908.6</v>
      </c>
      <c r="CH285" s="2">
        <f t="shared" si="195"/>
        <v>-11481.800000000001</v>
      </c>
      <c r="CI285" s="2">
        <f t="shared" si="196"/>
        <v>0</v>
      </c>
      <c r="CJ285" s="2">
        <f t="shared" si="197"/>
        <v>0</v>
      </c>
      <c r="CK285" s="2">
        <f t="shared" si="198"/>
        <v>0</v>
      </c>
      <c r="CL285" s="2">
        <f t="shared" si="199"/>
        <v>0</v>
      </c>
      <c r="CM285" s="2">
        <f t="shared" si="170"/>
        <v>0</v>
      </c>
      <c r="CN285" s="2">
        <f t="shared" si="171"/>
        <v>0</v>
      </c>
      <c r="CO285" s="2">
        <f t="shared" si="172"/>
        <v>0</v>
      </c>
      <c r="CP285" s="2">
        <f t="shared" si="173"/>
        <v>0</v>
      </c>
      <c r="CQ285" s="2">
        <f t="shared" si="174"/>
        <v>0</v>
      </c>
      <c r="CR285" s="2">
        <f t="shared" si="175"/>
        <v>0</v>
      </c>
      <c r="CV285" t="s">
        <v>64</v>
      </c>
      <c r="CW285" t="s">
        <v>358</v>
      </c>
      <c r="CX285" t="s">
        <v>8</v>
      </c>
      <c r="CY285" s="4">
        <v>43081</v>
      </c>
      <c r="CZ285" t="s">
        <v>65</v>
      </c>
      <c r="DA285" t="s">
        <v>66</v>
      </c>
      <c r="DB285">
        <v>10</v>
      </c>
      <c r="DC285">
        <v>69.17</v>
      </c>
      <c r="DD285" t="s">
        <v>69</v>
      </c>
      <c r="DE285" t="s">
        <v>70</v>
      </c>
      <c r="DF285">
        <v>691.7</v>
      </c>
    </row>
    <row r="286" spans="1:110" x14ac:dyDescent="0.25">
      <c r="A286" s="1">
        <v>43151</v>
      </c>
      <c r="B286">
        <v>169.27</v>
      </c>
      <c r="C286">
        <v>96.09</v>
      </c>
      <c r="D286">
        <v>346.52</v>
      </c>
      <c r="E286">
        <v>151.88999999999999</v>
      </c>
      <c r="F286">
        <v>42.75</v>
      </c>
      <c r="G286">
        <v>106.85</v>
      </c>
      <c r="H286">
        <v>104.33</v>
      </c>
      <c r="I286">
        <v>69.98</v>
      </c>
      <c r="J286">
        <v>261.29000000000002</v>
      </c>
      <c r="K286">
        <v>182.58</v>
      </c>
      <c r="L286">
        <v>148.18</v>
      </c>
      <c r="M286">
        <v>45.2</v>
      </c>
      <c r="N286">
        <v>127.41</v>
      </c>
      <c r="O286">
        <v>111.82</v>
      </c>
      <c r="P286">
        <v>42.52</v>
      </c>
      <c r="Q286">
        <v>153.28</v>
      </c>
      <c r="R286">
        <v>228.76</v>
      </c>
      <c r="S286">
        <v>53.34</v>
      </c>
      <c r="T286">
        <v>91.57</v>
      </c>
      <c r="U286">
        <v>66.739999999999995</v>
      </c>
      <c r="V286">
        <v>34.79</v>
      </c>
      <c r="W286">
        <v>78.55</v>
      </c>
      <c r="X286">
        <v>135.88</v>
      </c>
      <c r="Y286">
        <v>223.64</v>
      </c>
      <c r="Z286">
        <v>123.63</v>
      </c>
      <c r="AA286">
        <v>121.2</v>
      </c>
      <c r="AB286">
        <v>46.75</v>
      </c>
      <c r="AC286">
        <v>69.23</v>
      </c>
      <c r="AD286">
        <v>91.93</v>
      </c>
      <c r="AE286">
        <v>72.67</v>
      </c>
      <c r="AI286" s="2">
        <v>5000</v>
      </c>
      <c r="AJ286" s="2">
        <f t="shared" si="203"/>
        <v>1200</v>
      </c>
      <c r="AK286" s="2">
        <f t="shared" si="203"/>
        <v>1200</v>
      </c>
      <c r="AL286" s="2">
        <f t="shared" si="203"/>
        <v>1200</v>
      </c>
      <c r="AM286" s="2">
        <f t="shared" si="203"/>
        <v>1200</v>
      </c>
      <c r="AN286" s="2">
        <f t="shared" si="203"/>
        <v>1200</v>
      </c>
      <c r="AO286" s="2">
        <f t="shared" si="203"/>
        <v>1200</v>
      </c>
      <c r="AP286" s="2">
        <f t="shared" si="203"/>
        <v>1080</v>
      </c>
      <c r="AQ286" s="2">
        <v>1000</v>
      </c>
      <c r="AR286" s="2">
        <v>0</v>
      </c>
      <c r="AS286" s="2">
        <v>10</v>
      </c>
      <c r="AT286" s="2">
        <v>0</v>
      </c>
      <c r="AU286" s="2">
        <v>1000</v>
      </c>
      <c r="AV286" s="2">
        <v>0</v>
      </c>
      <c r="AW286" s="2">
        <v>0</v>
      </c>
      <c r="AX286" s="2">
        <v>0</v>
      </c>
      <c r="AY286" s="2">
        <v>0</v>
      </c>
      <c r="AZ286" s="2">
        <v>969</v>
      </c>
      <c r="BA286" s="2">
        <v>1042</v>
      </c>
      <c r="BB286" s="2">
        <v>946</v>
      </c>
      <c r="BC286" s="2">
        <v>-1000</v>
      </c>
      <c r="BD286" s="2">
        <v>-5000</v>
      </c>
      <c r="BE286" s="2">
        <v>5000</v>
      </c>
      <c r="BF286" s="2">
        <v>3000</v>
      </c>
      <c r="BG286" s="2">
        <v>3750</v>
      </c>
      <c r="BH286" s="2">
        <v>5000</v>
      </c>
      <c r="BI286" s="2">
        <v>3000</v>
      </c>
      <c r="BJ286" s="2">
        <v>-1500</v>
      </c>
      <c r="BK286" s="2">
        <v>1000</v>
      </c>
      <c r="BL286" s="2">
        <v>1000</v>
      </c>
      <c r="BO286" s="2">
        <f t="shared" si="169"/>
        <v>0</v>
      </c>
      <c r="BP286" s="2">
        <f t="shared" si="177"/>
        <v>0</v>
      </c>
      <c r="BQ286" s="2">
        <f t="shared" si="178"/>
        <v>0</v>
      </c>
      <c r="BR286" s="2">
        <f t="shared" si="179"/>
        <v>0</v>
      </c>
      <c r="BS286" s="2">
        <f t="shared" si="180"/>
        <v>0</v>
      </c>
      <c r="BT286" s="2">
        <f t="shared" si="181"/>
        <v>0</v>
      </c>
      <c r="BU286" s="2">
        <f t="shared" si="182"/>
        <v>0</v>
      </c>
      <c r="BV286" s="2">
        <f t="shared" si="183"/>
        <v>0</v>
      </c>
      <c r="BW286" s="2">
        <f t="shared" si="184"/>
        <v>0</v>
      </c>
      <c r="BX286" s="2">
        <f t="shared" si="185"/>
        <v>0</v>
      </c>
      <c r="BY286" s="2">
        <f t="shared" si="186"/>
        <v>0</v>
      </c>
      <c r="BZ286" s="2">
        <f t="shared" si="187"/>
        <v>0</v>
      </c>
      <c r="CA286" s="2">
        <f t="shared" si="188"/>
        <v>0</v>
      </c>
      <c r="CB286" s="2">
        <f t="shared" si="189"/>
        <v>0</v>
      </c>
      <c r="CC286" s="2">
        <f t="shared" si="190"/>
        <v>0</v>
      </c>
      <c r="CD286" s="2">
        <f t="shared" si="191"/>
        <v>0</v>
      </c>
      <c r="CE286" s="2">
        <f t="shared" si="192"/>
        <v>0</v>
      </c>
      <c r="CF286" s="2">
        <f t="shared" si="193"/>
        <v>2346.96</v>
      </c>
      <c r="CG286" s="2">
        <f t="shared" si="194"/>
        <v>-11446.25</v>
      </c>
      <c r="CH286" s="2">
        <f t="shared" si="195"/>
        <v>8809.6799999999985</v>
      </c>
      <c r="CI286" s="2">
        <f t="shared" si="196"/>
        <v>0</v>
      </c>
      <c r="CJ286" s="2">
        <f t="shared" si="197"/>
        <v>0</v>
      </c>
      <c r="CK286" s="2">
        <f t="shared" si="198"/>
        <v>0</v>
      </c>
      <c r="CL286" s="2">
        <f t="shared" si="199"/>
        <v>0</v>
      </c>
      <c r="CM286" s="2">
        <f t="shared" si="170"/>
        <v>-154537.5</v>
      </c>
      <c r="CN286" s="2">
        <f t="shared" si="171"/>
        <v>0</v>
      </c>
      <c r="CO286" s="2">
        <f t="shared" si="172"/>
        <v>0</v>
      </c>
      <c r="CP286" s="2">
        <f t="shared" si="173"/>
        <v>0</v>
      </c>
      <c r="CQ286" s="2">
        <f t="shared" si="174"/>
        <v>0</v>
      </c>
      <c r="CR286" s="2">
        <f t="shared" si="175"/>
        <v>0</v>
      </c>
      <c r="CV286" t="s">
        <v>64</v>
      </c>
      <c r="CW286" t="s">
        <v>359</v>
      </c>
      <c r="CX286" t="s">
        <v>8</v>
      </c>
      <c r="CY286" s="4">
        <v>43103</v>
      </c>
      <c r="CZ286" t="s">
        <v>65</v>
      </c>
      <c r="DA286" t="s">
        <v>66</v>
      </c>
      <c r="DB286">
        <v>10</v>
      </c>
      <c r="DC286">
        <v>71.38</v>
      </c>
      <c r="DD286" t="s">
        <v>69</v>
      </c>
      <c r="DE286" t="s">
        <v>70</v>
      </c>
      <c r="DF286">
        <v>713.8</v>
      </c>
    </row>
    <row r="287" spans="1:110" x14ac:dyDescent="0.25">
      <c r="A287" s="1">
        <v>43152</v>
      </c>
      <c r="B287">
        <v>168.5</v>
      </c>
      <c r="C287">
        <v>96.39</v>
      </c>
      <c r="D287">
        <v>345.56</v>
      </c>
      <c r="E287">
        <v>151.56</v>
      </c>
      <c r="F287">
        <v>42.02</v>
      </c>
      <c r="G287">
        <v>105</v>
      </c>
      <c r="H287">
        <v>103.41</v>
      </c>
      <c r="I287">
        <v>69.34</v>
      </c>
      <c r="J287">
        <v>259.82</v>
      </c>
      <c r="K287">
        <v>179.01</v>
      </c>
      <c r="L287">
        <v>147.03</v>
      </c>
      <c r="M287">
        <v>44.83</v>
      </c>
      <c r="N287">
        <v>126.48</v>
      </c>
      <c r="O287">
        <v>112.28</v>
      </c>
      <c r="P287">
        <v>41.89</v>
      </c>
      <c r="Q287">
        <v>154.72</v>
      </c>
      <c r="R287">
        <v>225.95</v>
      </c>
      <c r="S287">
        <v>52.93</v>
      </c>
      <c r="T287">
        <v>90.36</v>
      </c>
      <c r="U287">
        <v>66.3</v>
      </c>
      <c r="V287">
        <v>34.54</v>
      </c>
      <c r="W287">
        <v>77.489999999999995</v>
      </c>
      <c r="X287">
        <v>135.37</v>
      </c>
      <c r="Y287">
        <v>222.13</v>
      </c>
      <c r="Z287">
        <v>126.37</v>
      </c>
      <c r="AA287">
        <v>119.63</v>
      </c>
      <c r="AB287">
        <v>45.83</v>
      </c>
      <c r="AC287">
        <v>67.98</v>
      </c>
      <c r="AD287">
        <v>89.4</v>
      </c>
      <c r="AE287">
        <v>71.849999999999994</v>
      </c>
      <c r="AI287" s="2">
        <v>5000</v>
      </c>
      <c r="AJ287" s="2">
        <f t="shared" si="203"/>
        <v>1200</v>
      </c>
      <c r="AK287" s="2">
        <f t="shared" si="203"/>
        <v>1200</v>
      </c>
      <c r="AL287" s="2">
        <f t="shared" si="203"/>
        <v>1200</v>
      </c>
      <c r="AM287" s="2">
        <f t="shared" si="203"/>
        <v>1200</v>
      </c>
      <c r="AN287" s="2">
        <f t="shared" si="203"/>
        <v>1200</v>
      </c>
      <c r="AO287" s="2">
        <f t="shared" si="203"/>
        <v>1200</v>
      </c>
      <c r="AP287" s="2">
        <f t="shared" si="203"/>
        <v>1080</v>
      </c>
      <c r="AQ287" s="2">
        <v>1000</v>
      </c>
      <c r="AR287" s="2">
        <v>0</v>
      </c>
      <c r="AS287" s="2">
        <v>10</v>
      </c>
      <c r="AT287" s="2">
        <v>0</v>
      </c>
      <c r="AU287" s="2">
        <v>1000</v>
      </c>
      <c r="AV287" s="2">
        <v>0</v>
      </c>
      <c r="AW287" s="2">
        <v>0</v>
      </c>
      <c r="AX287" s="2">
        <v>0</v>
      </c>
      <c r="AY287" s="2">
        <v>0</v>
      </c>
      <c r="AZ287" s="2">
        <v>954</v>
      </c>
      <c r="BA287" s="2">
        <v>903</v>
      </c>
      <c r="BB287" s="2">
        <v>913</v>
      </c>
      <c r="BC287" s="2">
        <v>-1000</v>
      </c>
      <c r="BD287" s="2">
        <v>-5000</v>
      </c>
      <c r="BE287" s="2">
        <v>5000</v>
      </c>
      <c r="BF287" s="2">
        <v>3000</v>
      </c>
      <c r="BG287" s="2">
        <v>3750</v>
      </c>
      <c r="BH287" s="2">
        <v>5000</v>
      </c>
      <c r="BI287" s="2">
        <v>3000</v>
      </c>
      <c r="BJ287" s="2">
        <v>-1500</v>
      </c>
      <c r="BK287" s="2">
        <v>1000</v>
      </c>
      <c r="BL287" s="2">
        <v>1000</v>
      </c>
      <c r="BO287" s="2">
        <f t="shared" si="169"/>
        <v>0</v>
      </c>
      <c r="BP287" s="2">
        <f t="shared" si="177"/>
        <v>0</v>
      </c>
      <c r="BQ287" s="2">
        <f t="shared" si="178"/>
        <v>0</v>
      </c>
      <c r="BR287" s="2">
        <f t="shared" si="179"/>
        <v>0</v>
      </c>
      <c r="BS287" s="2">
        <f t="shared" si="180"/>
        <v>0</v>
      </c>
      <c r="BT287" s="2">
        <f t="shared" si="181"/>
        <v>0</v>
      </c>
      <c r="BU287" s="2">
        <f t="shared" si="182"/>
        <v>0</v>
      </c>
      <c r="BV287" s="2">
        <f t="shared" si="183"/>
        <v>0</v>
      </c>
      <c r="BW287" s="2">
        <f t="shared" si="184"/>
        <v>0</v>
      </c>
      <c r="BX287" s="2">
        <f t="shared" si="185"/>
        <v>0</v>
      </c>
      <c r="BY287" s="2">
        <f t="shared" si="186"/>
        <v>0</v>
      </c>
      <c r="BZ287" s="2">
        <f t="shared" si="187"/>
        <v>0</v>
      </c>
      <c r="CA287" s="2">
        <f t="shared" si="188"/>
        <v>0</v>
      </c>
      <c r="CB287" s="2">
        <f t="shared" si="189"/>
        <v>0</v>
      </c>
      <c r="CC287" s="2">
        <f t="shared" si="190"/>
        <v>0</v>
      </c>
      <c r="CD287" s="2">
        <f t="shared" si="191"/>
        <v>0</v>
      </c>
      <c r="CE287" s="2">
        <f t="shared" si="192"/>
        <v>0</v>
      </c>
      <c r="CF287" s="2">
        <f t="shared" si="193"/>
        <v>793.95</v>
      </c>
      <c r="CG287" s="2">
        <f t="shared" si="194"/>
        <v>12560.039999999999</v>
      </c>
      <c r="CH287" s="2">
        <f t="shared" si="195"/>
        <v>2187.9</v>
      </c>
      <c r="CI287" s="2">
        <f t="shared" si="196"/>
        <v>0</v>
      </c>
      <c r="CJ287" s="2">
        <f t="shared" si="197"/>
        <v>0</v>
      </c>
      <c r="CK287" s="2">
        <f t="shared" si="198"/>
        <v>0</v>
      </c>
      <c r="CL287" s="2">
        <f t="shared" si="199"/>
        <v>0</v>
      </c>
      <c r="CM287" s="2">
        <f t="shared" si="170"/>
        <v>0</v>
      </c>
      <c r="CN287" s="2">
        <f t="shared" si="171"/>
        <v>0</v>
      </c>
      <c r="CO287" s="2">
        <f t="shared" si="172"/>
        <v>0</v>
      </c>
      <c r="CP287" s="2">
        <f t="shared" si="173"/>
        <v>0</v>
      </c>
      <c r="CQ287" s="2">
        <f t="shared" si="174"/>
        <v>0</v>
      </c>
      <c r="CR287" s="2">
        <f t="shared" si="175"/>
        <v>0</v>
      </c>
      <c r="CV287" t="s">
        <v>64</v>
      </c>
      <c r="CW287" t="s">
        <v>360</v>
      </c>
      <c r="CX287" t="s">
        <v>8</v>
      </c>
      <c r="CY287" s="4">
        <v>43124</v>
      </c>
      <c r="CZ287" t="s">
        <v>65</v>
      </c>
      <c r="DA287" t="s">
        <v>66</v>
      </c>
      <c r="DB287">
        <v>10</v>
      </c>
      <c r="DC287">
        <v>74.27</v>
      </c>
      <c r="DD287" t="s">
        <v>69</v>
      </c>
      <c r="DE287" t="s">
        <v>70</v>
      </c>
      <c r="DF287">
        <v>742.69999999999993</v>
      </c>
    </row>
    <row r="288" spans="1:110" x14ac:dyDescent="0.25">
      <c r="A288" s="1">
        <v>43153</v>
      </c>
      <c r="B288">
        <v>169.91</v>
      </c>
      <c r="C288">
        <v>96.25</v>
      </c>
      <c r="D288">
        <v>349.04</v>
      </c>
      <c r="E288">
        <v>155.11000000000001</v>
      </c>
      <c r="F288">
        <v>41.66</v>
      </c>
      <c r="G288">
        <v>105.8</v>
      </c>
      <c r="H288">
        <v>103.6</v>
      </c>
      <c r="I288">
        <v>70.290000000000006</v>
      </c>
      <c r="J288">
        <v>257.88</v>
      </c>
      <c r="K288">
        <v>181.37</v>
      </c>
      <c r="L288">
        <v>146.29</v>
      </c>
      <c r="M288">
        <v>44.7</v>
      </c>
      <c r="N288">
        <v>126.48</v>
      </c>
      <c r="O288">
        <v>112.08</v>
      </c>
      <c r="P288">
        <v>42.07</v>
      </c>
      <c r="Q288">
        <v>156.69</v>
      </c>
      <c r="R288">
        <v>229.67</v>
      </c>
      <c r="S288">
        <v>52.95</v>
      </c>
      <c r="T288">
        <v>90.59</v>
      </c>
      <c r="U288">
        <v>66.38</v>
      </c>
      <c r="V288">
        <v>34.53</v>
      </c>
      <c r="W288">
        <v>78.06</v>
      </c>
      <c r="X288">
        <v>134.49</v>
      </c>
      <c r="Y288">
        <v>224.07</v>
      </c>
      <c r="Z288">
        <v>130.6</v>
      </c>
      <c r="AA288">
        <v>119.58</v>
      </c>
      <c r="AB288">
        <v>45.74</v>
      </c>
      <c r="AC288">
        <v>68.02</v>
      </c>
      <c r="AD288">
        <v>90.62</v>
      </c>
      <c r="AE288">
        <v>72.78</v>
      </c>
      <c r="AI288" s="2">
        <v>5000</v>
      </c>
      <c r="AJ288" s="2">
        <f t="shared" si="203"/>
        <v>1200</v>
      </c>
      <c r="AK288" s="2">
        <f t="shared" si="203"/>
        <v>1200</v>
      </c>
      <c r="AL288" s="2">
        <f t="shared" si="203"/>
        <v>1200</v>
      </c>
      <c r="AM288" s="2">
        <f t="shared" si="203"/>
        <v>1200</v>
      </c>
      <c r="AN288" s="2">
        <f t="shared" si="203"/>
        <v>1200</v>
      </c>
      <c r="AO288" s="2">
        <f t="shared" si="203"/>
        <v>1200</v>
      </c>
      <c r="AP288" s="2">
        <f t="shared" si="203"/>
        <v>1080</v>
      </c>
      <c r="AQ288" s="2">
        <v>1000</v>
      </c>
      <c r="AR288" s="2">
        <v>0</v>
      </c>
      <c r="AS288" s="2">
        <v>10</v>
      </c>
      <c r="AT288" s="2">
        <v>0</v>
      </c>
      <c r="AU288" s="2">
        <v>1000</v>
      </c>
      <c r="AV288" s="2">
        <v>0</v>
      </c>
      <c r="AW288" s="2">
        <v>0</v>
      </c>
      <c r="AX288" s="2">
        <v>0</v>
      </c>
      <c r="AY288" s="2">
        <v>0</v>
      </c>
      <c r="AZ288" s="2">
        <v>1012</v>
      </c>
      <c r="BA288" s="2">
        <v>911</v>
      </c>
      <c r="BB288" s="2">
        <v>1012</v>
      </c>
      <c r="BC288" s="2">
        <v>-1000</v>
      </c>
      <c r="BD288" s="2">
        <v>-5000</v>
      </c>
      <c r="BE288" s="2">
        <v>5000</v>
      </c>
      <c r="BF288" s="2">
        <v>3000</v>
      </c>
      <c r="BG288" s="2">
        <v>4500</v>
      </c>
      <c r="BH288" s="2">
        <v>4500</v>
      </c>
      <c r="BI288" s="2">
        <v>3000</v>
      </c>
      <c r="BJ288" s="2">
        <v>-1500</v>
      </c>
      <c r="BK288" s="2">
        <v>1000</v>
      </c>
      <c r="BL288" s="2">
        <v>1000</v>
      </c>
      <c r="BO288" s="2">
        <f t="shared" si="169"/>
        <v>0</v>
      </c>
      <c r="BP288" s="2">
        <f t="shared" si="177"/>
        <v>0</v>
      </c>
      <c r="BQ288" s="2">
        <f t="shared" si="178"/>
        <v>0</v>
      </c>
      <c r="BR288" s="2">
        <f t="shared" si="179"/>
        <v>0</v>
      </c>
      <c r="BS288" s="2">
        <f t="shared" si="180"/>
        <v>0</v>
      </c>
      <c r="BT288" s="2">
        <f t="shared" si="181"/>
        <v>0</v>
      </c>
      <c r="BU288" s="2">
        <f t="shared" si="182"/>
        <v>0</v>
      </c>
      <c r="BV288" s="2">
        <f t="shared" si="183"/>
        <v>0</v>
      </c>
      <c r="BW288" s="2">
        <f t="shared" si="184"/>
        <v>0</v>
      </c>
      <c r="BX288" s="2">
        <f t="shared" si="185"/>
        <v>0</v>
      </c>
      <c r="BY288" s="2">
        <f t="shared" si="186"/>
        <v>0</v>
      </c>
      <c r="BZ288" s="2">
        <f t="shared" si="187"/>
        <v>0</v>
      </c>
      <c r="CA288" s="2">
        <f t="shared" si="188"/>
        <v>0</v>
      </c>
      <c r="CB288" s="2">
        <f t="shared" si="189"/>
        <v>0</v>
      </c>
      <c r="CC288" s="2">
        <f t="shared" si="190"/>
        <v>0</v>
      </c>
      <c r="CD288" s="2">
        <f t="shared" si="191"/>
        <v>0</v>
      </c>
      <c r="CE288" s="2">
        <f t="shared" si="192"/>
        <v>0</v>
      </c>
      <c r="CF288" s="2">
        <f t="shared" si="193"/>
        <v>-3071.1000000000004</v>
      </c>
      <c r="CG288" s="2">
        <f t="shared" si="194"/>
        <v>-724.72</v>
      </c>
      <c r="CH288" s="2">
        <f t="shared" si="195"/>
        <v>-6571.62</v>
      </c>
      <c r="CI288" s="2">
        <f t="shared" si="196"/>
        <v>0</v>
      </c>
      <c r="CJ288" s="2">
        <f t="shared" si="197"/>
        <v>0</v>
      </c>
      <c r="CK288" s="2">
        <f t="shared" si="198"/>
        <v>0</v>
      </c>
      <c r="CL288" s="2">
        <f t="shared" si="199"/>
        <v>0</v>
      </c>
      <c r="CM288" s="2">
        <f t="shared" si="170"/>
        <v>-97950</v>
      </c>
      <c r="CN288" s="2">
        <f t="shared" si="171"/>
        <v>59790</v>
      </c>
      <c r="CO288" s="2">
        <f t="shared" si="172"/>
        <v>0</v>
      </c>
      <c r="CP288" s="2">
        <f t="shared" si="173"/>
        <v>0</v>
      </c>
      <c r="CQ288" s="2">
        <f t="shared" si="174"/>
        <v>0</v>
      </c>
      <c r="CR288" s="2">
        <f t="shared" si="175"/>
        <v>0</v>
      </c>
      <c r="CV288" t="s">
        <v>64</v>
      </c>
      <c r="CW288" t="s">
        <v>361</v>
      </c>
      <c r="CX288" t="s">
        <v>8</v>
      </c>
      <c r="CY288" s="4">
        <v>43144</v>
      </c>
      <c r="CZ288" t="s">
        <v>65</v>
      </c>
      <c r="DA288" t="s">
        <v>66</v>
      </c>
      <c r="DB288">
        <v>10</v>
      </c>
      <c r="DC288">
        <v>69.13</v>
      </c>
      <c r="DD288" t="s">
        <v>69</v>
      </c>
      <c r="DE288" t="s">
        <v>70</v>
      </c>
      <c r="DF288">
        <v>691.3</v>
      </c>
    </row>
    <row r="289" spans="1:110" x14ac:dyDescent="0.25">
      <c r="A289" s="1">
        <v>43154</v>
      </c>
      <c r="B289">
        <v>172.87</v>
      </c>
      <c r="C289">
        <v>97.68</v>
      </c>
      <c r="D289">
        <v>349.76</v>
      </c>
      <c r="E289">
        <v>158.57</v>
      </c>
      <c r="F289">
        <v>42.69</v>
      </c>
      <c r="G289">
        <v>108.4</v>
      </c>
      <c r="H289">
        <v>105.58</v>
      </c>
      <c r="I289">
        <v>71.59</v>
      </c>
      <c r="J289">
        <v>263.14999999999998</v>
      </c>
      <c r="K289">
        <v>184.19</v>
      </c>
      <c r="L289">
        <v>148.52000000000001</v>
      </c>
      <c r="M289">
        <v>46.58</v>
      </c>
      <c r="N289">
        <v>128.53</v>
      </c>
      <c r="O289">
        <v>114.35</v>
      </c>
      <c r="P289">
        <v>42.57</v>
      </c>
      <c r="Q289">
        <v>159.03</v>
      </c>
      <c r="R289">
        <v>230.66</v>
      </c>
      <c r="S289">
        <v>53.24</v>
      </c>
      <c r="T289">
        <v>92.89</v>
      </c>
      <c r="U289">
        <v>67.400000000000006</v>
      </c>
      <c r="V289">
        <v>35.03</v>
      </c>
      <c r="W289">
        <v>78.27</v>
      </c>
      <c r="X289">
        <v>136.54</v>
      </c>
      <c r="Y289">
        <v>227.1</v>
      </c>
      <c r="Z289">
        <v>130.18</v>
      </c>
      <c r="AA289">
        <v>122.12</v>
      </c>
      <c r="AB289">
        <v>46.15</v>
      </c>
      <c r="AC289">
        <v>68.7</v>
      </c>
      <c r="AD289">
        <v>90.74</v>
      </c>
      <c r="AE289">
        <v>74.38</v>
      </c>
      <c r="AI289" s="2">
        <v>5000</v>
      </c>
      <c r="AJ289" s="2">
        <f t="shared" si="203"/>
        <v>1200</v>
      </c>
      <c r="AK289" s="2">
        <f t="shared" si="203"/>
        <v>1200</v>
      </c>
      <c r="AL289" s="2">
        <f t="shared" si="203"/>
        <v>1200</v>
      </c>
      <c r="AM289" s="2">
        <f t="shared" si="203"/>
        <v>1200</v>
      </c>
      <c r="AN289" s="2">
        <f t="shared" si="203"/>
        <v>1200</v>
      </c>
      <c r="AO289" s="2">
        <f t="shared" si="203"/>
        <v>1200</v>
      </c>
      <c r="AP289" s="2">
        <f t="shared" si="203"/>
        <v>1080</v>
      </c>
      <c r="AQ289" s="2">
        <v>1000</v>
      </c>
      <c r="AR289" s="2">
        <v>0</v>
      </c>
      <c r="AS289" s="2">
        <v>10</v>
      </c>
      <c r="AT289" s="2">
        <v>0</v>
      </c>
      <c r="AU289" s="2">
        <v>1000</v>
      </c>
      <c r="AV289" s="2">
        <v>0</v>
      </c>
      <c r="AW289" s="2">
        <v>0</v>
      </c>
      <c r="AX289" s="2">
        <v>0</v>
      </c>
      <c r="AY289" s="2">
        <v>0</v>
      </c>
      <c r="AZ289" s="2">
        <v>1015</v>
      </c>
      <c r="BA289" s="2">
        <v>985</v>
      </c>
      <c r="BB289" s="2">
        <v>1068</v>
      </c>
      <c r="BC289" s="2">
        <v>-1000</v>
      </c>
      <c r="BD289" s="2">
        <v>-5000</v>
      </c>
      <c r="BE289" s="2">
        <v>5000</v>
      </c>
      <c r="BF289" s="2">
        <v>3000</v>
      </c>
      <c r="BG289" s="2">
        <v>5000</v>
      </c>
      <c r="BH289" s="2">
        <v>4000</v>
      </c>
      <c r="BI289" s="2">
        <v>3000</v>
      </c>
      <c r="BJ289" s="2">
        <v>-1500</v>
      </c>
      <c r="BK289" s="2">
        <v>1000</v>
      </c>
      <c r="BL289" s="2">
        <v>1000</v>
      </c>
      <c r="BO289" s="2">
        <f t="shared" si="169"/>
        <v>0</v>
      </c>
      <c r="BP289" s="2">
        <f t="shared" si="177"/>
        <v>0</v>
      </c>
      <c r="BQ289" s="2">
        <f t="shared" si="178"/>
        <v>0</v>
      </c>
      <c r="BR289" s="2">
        <f t="shared" si="179"/>
        <v>0</v>
      </c>
      <c r="BS289" s="2">
        <f t="shared" si="180"/>
        <v>0</v>
      </c>
      <c r="BT289" s="2">
        <f t="shared" si="181"/>
        <v>0</v>
      </c>
      <c r="BU289" s="2">
        <f t="shared" si="182"/>
        <v>0</v>
      </c>
      <c r="BV289" s="2">
        <f t="shared" si="183"/>
        <v>0</v>
      </c>
      <c r="BW289" s="2">
        <f t="shared" si="184"/>
        <v>0</v>
      </c>
      <c r="BX289" s="2">
        <f t="shared" si="185"/>
        <v>0</v>
      </c>
      <c r="BY289" s="2">
        <f t="shared" si="186"/>
        <v>0</v>
      </c>
      <c r="BZ289" s="2">
        <f t="shared" si="187"/>
        <v>0</v>
      </c>
      <c r="CA289" s="2">
        <f t="shared" si="188"/>
        <v>0</v>
      </c>
      <c r="CB289" s="2">
        <f t="shared" si="189"/>
        <v>0</v>
      </c>
      <c r="CC289" s="2">
        <f t="shared" si="190"/>
        <v>0</v>
      </c>
      <c r="CD289" s="2">
        <f t="shared" si="191"/>
        <v>0</v>
      </c>
      <c r="CE289" s="2">
        <f t="shared" si="192"/>
        <v>0</v>
      </c>
      <c r="CF289" s="2">
        <f t="shared" si="193"/>
        <v>-159.72</v>
      </c>
      <c r="CG289" s="2">
        <f t="shared" si="194"/>
        <v>-6873.86</v>
      </c>
      <c r="CH289" s="2">
        <f t="shared" si="195"/>
        <v>-3774.4000000000005</v>
      </c>
      <c r="CI289" s="2">
        <f t="shared" si="196"/>
        <v>0</v>
      </c>
      <c r="CJ289" s="2">
        <f t="shared" si="197"/>
        <v>0</v>
      </c>
      <c r="CK289" s="2">
        <f t="shared" si="198"/>
        <v>0</v>
      </c>
      <c r="CL289" s="2">
        <f t="shared" si="199"/>
        <v>0</v>
      </c>
      <c r="CM289" s="2">
        <f t="shared" si="170"/>
        <v>-65090</v>
      </c>
      <c r="CN289" s="2">
        <f t="shared" si="171"/>
        <v>61060</v>
      </c>
      <c r="CO289" s="2">
        <f t="shared" si="172"/>
        <v>0</v>
      </c>
      <c r="CP289" s="2">
        <f t="shared" si="173"/>
        <v>0</v>
      </c>
      <c r="CQ289" s="2">
        <f t="shared" si="174"/>
        <v>0</v>
      </c>
      <c r="CR289" s="2">
        <f t="shared" si="175"/>
        <v>0</v>
      </c>
      <c r="CV289" t="s">
        <v>64</v>
      </c>
      <c r="CW289" t="s">
        <v>362</v>
      </c>
      <c r="CX289" t="s">
        <v>8</v>
      </c>
      <c r="CY289" s="4">
        <v>43165</v>
      </c>
      <c r="CZ289" t="s">
        <v>65</v>
      </c>
      <c r="DA289" t="s">
        <v>66</v>
      </c>
      <c r="DB289">
        <v>10</v>
      </c>
      <c r="DC289">
        <v>69.53</v>
      </c>
      <c r="DD289" t="s">
        <v>69</v>
      </c>
      <c r="DE289" t="s">
        <v>70</v>
      </c>
      <c r="DF289">
        <v>695.3</v>
      </c>
    </row>
    <row r="290" spans="1:110" x14ac:dyDescent="0.25">
      <c r="A290" s="1">
        <v>43157</v>
      </c>
      <c r="B290">
        <v>176.29</v>
      </c>
      <c r="C290">
        <v>100.49</v>
      </c>
      <c r="D290">
        <v>356.45</v>
      </c>
      <c r="E290">
        <v>159.82</v>
      </c>
      <c r="F290">
        <v>44.01</v>
      </c>
      <c r="G290">
        <v>110.33</v>
      </c>
      <c r="H290">
        <v>108.1</v>
      </c>
      <c r="I290">
        <v>72.37</v>
      </c>
      <c r="J290">
        <v>267.57</v>
      </c>
      <c r="K290">
        <v>184.3</v>
      </c>
      <c r="L290">
        <v>151.44999999999999</v>
      </c>
      <c r="M290">
        <v>47.93</v>
      </c>
      <c r="N290">
        <v>129.41</v>
      </c>
      <c r="O290">
        <v>115.77</v>
      </c>
      <c r="P290">
        <v>42.56</v>
      </c>
      <c r="Q290">
        <v>159.54</v>
      </c>
      <c r="R290">
        <v>237.59</v>
      </c>
      <c r="S290">
        <v>54.39</v>
      </c>
      <c r="T290">
        <v>94.24</v>
      </c>
      <c r="U290">
        <v>68.87</v>
      </c>
      <c r="V290">
        <v>35.83</v>
      </c>
      <c r="W290">
        <v>78.83</v>
      </c>
      <c r="X290">
        <v>139.31</v>
      </c>
      <c r="Y290">
        <v>230.95</v>
      </c>
      <c r="Z290">
        <v>132.44</v>
      </c>
      <c r="AA290">
        <v>123.76</v>
      </c>
      <c r="AB290">
        <v>46.91</v>
      </c>
      <c r="AC290">
        <v>68.930000000000007</v>
      </c>
      <c r="AD290">
        <v>90.96</v>
      </c>
      <c r="AE290">
        <v>75.64</v>
      </c>
      <c r="AI290" s="2">
        <v>5000</v>
      </c>
      <c r="AJ290" s="2">
        <f t="shared" si="203"/>
        <v>1200</v>
      </c>
      <c r="AK290" s="2">
        <f t="shared" si="203"/>
        <v>1200</v>
      </c>
      <c r="AL290" s="2">
        <f t="shared" si="203"/>
        <v>1200</v>
      </c>
      <c r="AM290" s="2">
        <f t="shared" si="203"/>
        <v>1200</v>
      </c>
      <c r="AN290" s="2">
        <f t="shared" si="203"/>
        <v>1200</v>
      </c>
      <c r="AO290" s="2">
        <f t="shared" si="203"/>
        <v>1200</v>
      </c>
      <c r="AP290" s="2">
        <f t="shared" si="203"/>
        <v>1080</v>
      </c>
      <c r="AQ290" s="2">
        <v>1000</v>
      </c>
      <c r="AR290" s="2">
        <v>0</v>
      </c>
      <c r="AS290" s="2">
        <v>10</v>
      </c>
      <c r="AT290" s="2">
        <v>0</v>
      </c>
      <c r="AU290" s="2">
        <v>1000</v>
      </c>
      <c r="AV290" s="2">
        <v>0</v>
      </c>
      <c r="AW290" s="2">
        <v>0</v>
      </c>
      <c r="AX290" s="2">
        <v>0</v>
      </c>
      <c r="AY290" s="2">
        <v>0</v>
      </c>
      <c r="AZ290" s="2">
        <v>1023</v>
      </c>
      <c r="BA290" s="2">
        <v>1014</v>
      </c>
      <c r="BB290" s="2">
        <v>1054</v>
      </c>
      <c r="BC290" s="2">
        <v>-1000</v>
      </c>
      <c r="BD290" s="2">
        <v>-5000</v>
      </c>
      <c r="BE290" s="2">
        <v>5000</v>
      </c>
      <c r="BF290" s="2">
        <v>3000</v>
      </c>
      <c r="BG290" s="2">
        <v>5000</v>
      </c>
      <c r="BH290" s="2">
        <v>4000</v>
      </c>
      <c r="BI290" s="2">
        <v>3000</v>
      </c>
      <c r="BJ290" s="2">
        <v>-1500</v>
      </c>
      <c r="BK290" s="2">
        <v>1000</v>
      </c>
      <c r="BL290" s="2">
        <v>1000</v>
      </c>
      <c r="BO290" s="2">
        <f t="shared" si="169"/>
        <v>0</v>
      </c>
      <c r="BP290" s="2">
        <f t="shared" si="177"/>
        <v>0</v>
      </c>
      <c r="BQ290" s="2">
        <f t="shared" si="178"/>
        <v>0</v>
      </c>
      <c r="BR290" s="2">
        <f t="shared" si="179"/>
        <v>0</v>
      </c>
      <c r="BS290" s="2">
        <f t="shared" si="180"/>
        <v>0</v>
      </c>
      <c r="BT290" s="2">
        <f t="shared" si="181"/>
        <v>0</v>
      </c>
      <c r="BU290" s="2">
        <f t="shared" si="182"/>
        <v>0</v>
      </c>
      <c r="BV290" s="2">
        <f t="shared" si="183"/>
        <v>0</v>
      </c>
      <c r="BW290" s="2">
        <f t="shared" si="184"/>
        <v>0</v>
      </c>
      <c r="BX290" s="2">
        <f t="shared" si="185"/>
        <v>0</v>
      </c>
      <c r="BY290" s="2">
        <f t="shared" si="186"/>
        <v>0</v>
      </c>
      <c r="BZ290" s="2">
        <f t="shared" si="187"/>
        <v>0</v>
      </c>
      <c r="CA290" s="2">
        <f t="shared" si="188"/>
        <v>0</v>
      </c>
      <c r="CB290" s="2">
        <f t="shared" si="189"/>
        <v>0</v>
      </c>
      <c r="CC290" s="2">
        <f t="shared" si="190"/>
        <v>0</v>
      </c>
      <c r="CD290" s="2">
        <f t="shared" si="191"/>
        <v>0</v>
      </c>
      <c r="CE290" s="2">
        <f t="shared" si="192"/>
        <v>0</v>
      </c>
      <c r="CF290" s="2">
        <f t="shared" si="193"/>
        <v>-435.12</v>
      </c>
      <c r="CG290" s="2">
        <f t="shared" si="194"/>
        <v>-2732.96</v>
      </c>
      <c r="CH290" s="2">
        <f t="shared" si="195"/>
        <v>964.18000000000006</v>
      </c>
      <c r="CI290" s="2">
        <f t="shared" si="196"/>
        <v>0</v>
      </c>
      <c r="CJ290" s="2">
        <f t="shared" si="197"/>
        <v>0</v>
      </c>
      <c r="CK290" s="2">
        <f t="shared" si="198"/>
        <v>0</v>
      </c>
      <c r="CL290" s="2">
        <f t="shared" si="199"/>
        <v>0</v>
      </c>
      <c r="CM290" s="2">
        <f t="shared" si="170"/>
        <v>0</v>
      </c>
      <c r="CN290" s="2">
        <f t="shared" si="171"/>
        <v>0</v>
      </c>
      <c r="CO290" s="2">
        <f t="shared" si="172"/>
        <v>0</v>
      </c>
      <c r="CP290" s="2">
        <f t="shared" si="173"/>
        <v>0</v>
      </c>
      <c r="CQ290" s="2">
        <f t="shared" si="174"/>
        <v>0</v>
      </c>
      <c r="CR290" s="2">
        <f t="shared" si="175"/>
        <v>0</v>
      </c>
      <c r="CV290" t="s">
        <v>64</v>
      </c>
      <c r="CW290" t="s">
        <v>363</v>
      </c>
      <c r="CX290" t="s">
        <v>8</v>
      </c>
      <c r="CY290" s="4">
        <v>43185</v>
      </c>
      <c r="CZ290" t="s">
        <v>65</v>
      </c>
      <c r="DA290" t="s">
        <v>66</v>
      </c>
      <c r="DB290">
        <v>10</v>
      </c>
      <c r="DC290">
        <v>63.33</v>
      </c>
      <c r="DD290" t="s">
        <v>69</v>
      </c>
      <c r="DE290" t="s">
        <v>70</v>
      </c>
      <c r="DF290">
        <v>633.29999999999995</v>
      </c>
    </row>
    <row r="291" spans="1:110" x14ac:dyDescent="0.25">
      <c r="A291" s="1">
        <v>43158</v>
      </c>
      <c r="B291">
        <v>175.71</v>
      </c>
      <c r="C291">
        <v>98.45</v>
      </c>
      <c r="D291">
        <v>357.59</v>
      </c>
      <c r="E291">
        <v>157.44999999999999</v>
      </c>
      <c r="F291">
        <v>43.7</v>
      </c>
      <c r="G291">
        <v>109.38</v>
      </c>
      <c r="H291">
        <v>103.23</v>
      </c>
      <c r="I291">
        <v>71.069999999999993</v>
      </c>
      <c r="J291">
        <v>264.29000000000002</v>
      </c>
      <c r="K291">
        <v>180.89</v>
      </c>
      <c r="L291">
        <v>149.51</v>
      </c>
      <c r="M291">
        <v>48.71</v>
      </c>
      <c r="N291">
        <v>129.01</v>
      </c>
      <c r="O291">
        <v>114.4</v>
      </c>
      <c r="P291">
        <v>42.16</v>
      </c>
      <c r="Q291">
        <v>156.69</v>
      </c>
      <c r="R291">
        <v>234.32</v>
      </c>
      <c r="S291">
        <v>53.09</v>
      </c>
      <c r="T291">
        <v>93.03</v>
      </c>
      <c r="U291">
        <v>67.27</v>
      </c>
      <c r="V291">
        <v>35.549999999999997</v>
      </c>
      <c r="W291">
        <v>77.78</v>
      </c>
      <c r="X291">
        <v>138.30000000000001</v>
      </c>
      <c r="Y291">
        <v>229.43</v>
      </c>
      <c r="Z291">
        <v>130.91999999999999</v>
      </c>
      <c r="AA291">
        <v>122.55</v>
      </c>
      <c r="AB291">
        <v>45.91</v>
      </c>
      <c r="AC291">
        <v>67.510000000000005</v>
      </c>
      <c r="AD291">
        <v>89.4</v>
      </c>
      <c r="AE291">
        <v>74.349999999999994</v>
      </c>
      <c r="AI291" s="2">
        <v>5000</v>
      </c>
      <c r="AJ291" s="2">
        <f t="shared" si="203"/>
        <v>1200</v>
      </c>
      <c r="AK291" s="2">
        <f t="shared" si="203"/>
        <v>1200</v>
      </c>
      <c r="AL291" s="2">
        <f t="shared" si="203"/>
        <v>1200</v>
      </c>
      <c r="AM291" s="2">
        <f t="shared" si="203"/>
        <v>1200</v>
      </c>
      <c r="AN291" s="2">
        <f t="shared" si="203"/>
        <v>1200</v>
      </c>
      <c r="AO291" s="2">
        <f t="shared" si="203"/>
        <v>1200</v>
      </c>
      <c r="AP291" s="2">
        <f t="shared" si="203"/>
        <v>1080</v>
      </c>
      <c r="AQ291" s="2">
        <v>1000</v>
      </c>
      <c r="AR291" s="2">
        <v>0</v>
      </c>
      <c r="AS291" s="2">
        <v>10</v>
      </c>
      <c r="AT291" s="2">
        <v>0</v>
      </c>
      <c r="AU291" s="2">
        <v>1000</v>
      </c>
      <c r="AV291" s="2">
        <v>0</v>
      </c>
      <c r="AW291" s="2">
        <v>0</v>
      </c>
      <c r="AX291" s="2">
        <v>0</v>
      </c>
      <c r="AY291" s="2">
        <v>0</v>
      </c>
      <c r="AZ291" s="2">
        <v>977</v>
      </c>
      <c r="BA291" s="2">
        <v>1055</v>
      </c>
      <c r="BB291" s="2">
        <v>1067</v>
      </c>
      <c r="BC291" s="2">
        <v>-1000</v>
      </c>
      <c r="BD291" s="2">
        <v>-5000</v>
      </c>
      <c r="BE291" s="2">
        <v>5000</v>
      </c>
      <c r="BF291" s="2">
        <v>3000</v>
      </c>
      <c r="BG291" s="2">
        <v>5000</v>
      </c>
      <c r="BH291" s="2">
        <v>4000</v>
      </c>
      <c r="BI291" s="2">
        <v>3000</v>
      </c>
      <c r="BJ291" s="2">
        <v>-1500</v>
      </c>
      <c r="BK291" s="2">
        <v>1000</v>
      </c>
      <c r="BL291" s="2">
        <v>1000</v>
      </c>
      <c r="BO291" s="2">
        <f t="shared" si="169"/>
        <v>0</v>
      </c>
      <c r="BP291" s="2">
        <f t="shared" si="177"/>
        <v>0</v>
      </c>
      <c r="BQ291" s="2">
        <f t="shared" si="178"/>
        <v>0</v>
      </c>
      <c r="BR291" s="2">
        <f t="shared" si="179"/>
        <v>0</v>
      </c>
      <c r="BS291" s="2">
        <f t="shared" si="180"/>
        <v>0</v>
      </c>
      <c r="BT291" s="2">
        <f t="shared" si="181"/>
        <v>0</v>
      </c>
      <c r="BU291" s="2">
        <f t="shared" si="182"/>
        <v>0</v>
      </c>
      <c r="BV291" s="2">
        <f t="shared" si="183"/>
        <v>0</v>
      </c>
      <c r="BW291" s="2">
        <f t="shared" si="184"/>
        <v>0</v>
      </c>
      <c r="BX291" s="2">
        <f t="shared" si="185"/>
        <v>0</v>
      </c>
      <c r="BY291" s="2">
        <f t="shared" si="186"/>
        <v>0</v>
      </c>
      <c r="BZ291" s="2">
        <f t="shared" si="187"/>
        <v>0</v>
      </c>
      <c r="CA291" s="2">
        <f t="shared" si="188"/>
        <v>0</v>
      </c>
      <c r="CB291" s="2">
        <f t="shared" si="189"/>
        <v>0</v>
      </c>
      <c r="CC291" s="2">
        <f t="shared" si="190"/>
        <v>0</v>
      </c>
      <c r="CD291" s="2">
        <f t="shared" si="191"/>
        <v>0</v>
      </c>
      <c r="CE291" s="2">
        <f t="shared" si="192"/>
        <v>0</v>
      </c>
      <c r="CF291" s="2">
        <f t="shared" si="193"/>
        <v>2442.1400000000003</v>
      </c>
      <c r="CG291" s="2">
        <f t="shared" si="194"/>
        <v>-3814.23</v>
      </c>
      <c r="CH291" s="2">
        <f t="shared" si="195"/>
        <v>-874.51</v>
      </c>
      <c r="CI291" s="2">
        <f t="shared" si="196"/>
        <v>0</v>
      </c>
      <c r="CJ291" s="2">
        <f t="shared" si="197"/>
        <v>0</v>
      </c>
      <c r="CK291" s="2">
        <f t="shared" si="198"/>
        <v>0</v>
      </c>
      <c r="CL291" s="2">
        <f t="shared" si="199"/>
        <v>0</v>
      </c>
      <c r="CM291" s="2">
        <f t="shared" si="170"/>
        <v>0</v>
      </c>
      <c r="CN291" s="2">
        <f t="shared" si="171"/>
        <v>0</v>
      </c>
      <c r="CO291" s="2">
        <f t="shared" si="172"/>
        <v>0</v>
      </c>
      <c r="CP291" s="2">
        <f t="shared" si="173"/>
        <v>0</v>
      </c>
      <c r="CQ291" s="2">
        <f t="shared" si="174"/>
        <v>0</v>
      </c>
      <c r="CR291" s="2">
        <f t="shared" si="175"/>
        <v>0</v>
      </c>
      <c r="CV291" t="s">
        <v>64</v>
      </c>
      <c r="CW291" t="s">
        <v>364</v>
      </c>
      <c r="CX291" t="s">
        <v>8</v>
      </c>
      <c r="CY291" s="4">
        <v>43206</v>
      </c>
      <c r="CZ291" t="s">
        <v>65</v>
      </c>
      <c r="DA291" t="s">
        <v>66</v>
      </c>
      <c r="DB291">
        <v>10</v>
      </c>
      <c r="DC291">
        <v>65.819999999999993</v>
      </c>
      <c r="DD291" t="s">
        <v>69</v>
      </c>
      <c r="DE291" t="s">
        <v>70</v>
      </c>
      <c r="DF291">
        <v>658.19999999999993</v>
      </c>
    </row>
    <row r="292" spans="1:110" x14ac:dyDescent="0.25">
      <c r="A292" s="1">
        <v>43159</v>
      </c>
      <c r="B292">
        <v>175.45</v>
      </c>
      <c r="C292">
        <v>96.4</v>
      </c>
      <c r="D292">
        <v>355.21</v>
      </c>
      <c r="E292">
        <v>150.97999999999999</v>
      </c>
      <c r="F292">
        <v>43.45</v>
      </c>
      <c r="G292">
        <v>107.75</v>
      </c>
      <c r="H292">
        <v>101.55</v>
      </c>
      <c r="I292">
        <v>69.05</v>
      </c>
      <c r="J292">
        <v>260.08999999999997</v>
      </c>
      <c r="K292">
        <v>178.24</v>
      </c>
      <c r="L292">
        <v>148.82</v>
      </c>
      <c r="M292">
        <v>48.1</v>
      </c>
      <c r="N292">
        <v>127.26</v>
      </c>
      <c r="O292">
        <v>112.59</v>
      </c>
      <c r="P292">
        <v>41.78</v>
      </c>
      <c r="Q292">
        <v>154.82</v>
      </c>
      <c r="R292">
        <v>229.19</v>
      </c>
      <c r="S292">
        <v>52.61</v>
      </c>
      <c r="T292">
        <v>92.61</v>
      </c>
      <c r="U292">
        <v>66.28</v>
      </c>
      <c r="V292">
        <v>35.08</v>
      </c>
      <c r="W292">
        <v>75.819999999999993</v>
      </c>
      <c r="X292">
        <v>135.82</v>
      </c>
      <c r="Y292">
        <v>223.15</v>
      </c>
      <c r="Z292">
        <v>131.72999999999999</v>
      </c>
      <c r="AA292">
        <v>122.13</v>
      </c>
      <c r="AB292">
        <v>45.62</v>
      </c>
      <c r="AC292">
        <v>67.260000000000005</v>
      </c>
      <c r="AD292">
        <v>87.92</v>
      </c>
      <c r="AE292">
        <v>72.66</v>
      </c>
      <c r="AI292" s="2">
        <v>5000</v>
      </c>
      <c r="AJ292" s="2">
        <f t="shared" si="203"/>
        <v>1200</v>
      </c>
      <c r="AK292" s="2">
        <f t="shared" si="203"/>
        <v>1200</v>
      </c>
      <c r="AL292" s="2">
        <f t="shared" si="203"/>
        <v>1200</v>
      </c>
      <c r="AM292" s="2">
        <f t="shared" si="203"/>
        <v>1200</v>
      </c>
      <c r="AN292" s="2">
        <f t="shared" si="203"/>
        <v>1200</v>
      </c>
      <c r="AO292" s="2">
        <f t="shared" si="203"/>
        <v>1200</v>
      </c>
      <c r="AP292" s="2">
        <f t="shared" si="203"/>
        <v>1080</v>
      </c>
      <c r="AQ292" s="2">
        <v>1000</v>
      </c>
      <c r="AR292" s="2">
        <v>0</v>
      </c>
      <c r="AS292" s="2">
        <v>10</v>
      </c>
      <c r="AT292" s="2">
        <v>0</v>
      </c>
      <c r="AU292" s="2">
        <v>1000</v>
      </c>
      <c r="AV292" s="2">
        <v>0</v>
      </c>
      <c r="AW292" s="2">
        <v>0</v>
      </c>
      <c r="AX292" s="2">
        <v>0</v>
      </c>
      <c r="AY292" s="2">
        <v>0</v>
      </c>
      <c r="AZ292" s="2">
        <v>985</v>
      </c>
      <c r="BA292" s="2">
        <v>1015</v>
      </c>
      <c r="BB292" s="2">
        <v>1008</v>
      </c>
      <c r="BC292" s="2">
        <v>-1000</v>
      </c>
      <c r="BD292" s="2">
        <v>-5000</v>
      </c>
      <c r="BE292" s="2">
        <v>5000</v>
      </c>
      <c r="BF292" s="2">
        <v>3000</v>
      </c>
      <c r="BG292" s="2">
        <v>5000</v>
      </c>
      <c r="BH292" s="2">
        <v>4000</v>
      </c>
      <c r="BI292" s="2">
        <v>3000</v>
      </c>
      <c r="BJ292" s="2">
        <v>-1500</v>
      </c>
      <c r="BK292" s="2">
        <v>1000</v>
      </c>
      <c r="BL292" s="2">
        <v>1000</v>
      </c>
      <c r="BO292" s="2">
        <f t="shared" si="169"/>
        <v>0</v>
      </c>
      <c r="BP292" s="2">
        <f t="shared" si="177"/>
        <v>0</v>
      </c>
      <c r="BQ292" s="2">
        <f t="shared" si="178"/>
        <v>0</v>
      </c>
      <c r="BR292" s="2">
        <f t="shared" si="179"/>
        <v>0</v>
      </c>
      <c r="BS292" s="2">
        <f t="shared" si="180"/>
        <v>0</v>
      </c>
      <c r="BT292" s="2">
        <f t="shared" si="181"/>
        <v>0</v>
      </c>
      <c r="BU292" s="2">
        <f t="shared" si="182"/>
        <v>0</v>
      </c>
      <c r="BV292" s="2">
        <f t="shared" si="183"/>
        <v>0</v>
      </c>
      <c r="BW292" s="2">
        <f t="shared" si="184"/>
        <v>0</v>
      </c>
      <c r="BX292" s="2">
        <f t="shared" si="185"/>
        <v>0</v>
      </c>
      <c r="BY292" s="2">
        <f t="shared" si="186"/>
        <v>0</v>
      </c>
      <c r="BZ292" s="2">
        <f t="shared" si="187"/>
        <v>0</v>
      </c>
      <c r="CA292" s="2">
        <f t="shared" si="188"/>
        <v>0</v>
      </c>
      <c r="CB292" s="2">
        <f t="shared" si="189"/>
        <v>0</v>
      </c>
      <c r="CC292" s="2">
        <f t="shared" si="190"/>
        <v>0</v>
      </c>
      <c r="CD292" s="2">
        <f t="shared" si="191"/>
        <v>0</v>
      </c>
      <c r="CE292" s="2">
        <f t="shared" si="192"/>
        <v>0</v>
      </c>
      <c r="CF292" s="2">
        <f t="shared" si="193"/>
        <v>-420.88</v>
      </c>
      <c r="CG292" s="2">
        <f t="shared" si="194"/>
        <v>3704.4</v>
      </c>
      <c r="CH292" s="2">
        <f t="shared" si="195"/>
        <v>3910.52</v>
      </c>
      <c r="CI292" s="2">
        <f t="shared" si="196"/>
        <v>0</v>
      </c>
      <c r="CJ292" s="2">
        <f t="shared" si="197"/>
        <v>0</v>
      </c>
      <c r="CK292" s="2">
        <f t="shared" si="198"/>
        <v>0</v>
      </c>
      <c r="CL292" s="2">
        <f t="shared" si="199"/>
        <v>0</v>
      </c>
      <c r="CM292" s="2">
        <f t="shared" si="170"/>
        <v>0</v>
      </c>
      <c r="CN292" s="2">
        <f t="shared" si="171"/>
        <v>0</v>
      </c>
      <c r="CO292" s="2">
        <f t="shared" si="172"/>
        <v>0</v>
      </c>
      <c r="CP292" s="2">
        <f t="shared" si="173"/>
        <v>0</v>
      </c>
      <c r="CQ292" s="2">
        <f t="shared" si="174"/>
        <v>0</v>
      </c>
      <c r="CR292" s="2">
        <f t="shared" si="175"/>
        <v>0</v>
      </c>
      <c r="CV292" t="s">
        <v>64</v>
      </c>
      <c r="CW292" t="s">
        <v>365</v>
      </c>
      <c r="CX292" t="s">
        <v>8</v>
      </c>
      <c r="CY292" s="4">
        <v>43224</v>
      </c>
      <c r="CZ292" t="s">
        <v>65</v>
      </c>
      <c r="DA292" t="s">
        <v>66</v>
      </c>
      <c r="DB292">
        <v>10</v>
      </c>
      <c r="DC292">
        <v>63.32</v>
      </c>
      <c r="DD292" t="s">
        <v>69</v>
      </c>
      <c r="DE292" t="s">
        <v>70</v>
      </c>
      <c r="DF292">
        <v>633.20000000000005</v>
      </c>
    </row>
    <row r="293" spans="1:110" x14ac:dyDescent="0.25">
      <c r="A293" s="1">
        <v>43160</v>
      </c>
      <c r="B293">
        <v>172.38</v>
      </c>
      <c r="C293">
        <v>94.06</v>
      </c>
      <c r="D293">
        <v>342.93</v>
      </c>
      <c r="E293">
        <v>146.68</v>
      </c>
      <c r="F293">
        <v>42.5</v>
      </c>
      <c r="G293">
        <v>107.87</v>
      </c>
      <c r="H293">
        <v>100.97</v>
      </c>
      <c r="I293">
        <v>67.540000000000006</v>
      </c>
      <c r="J293">
        <v>254</v>
      </c>
      <c r="K293">
        <v>175.67</v>
      </c>
      <c r="L293">
        <v>146.88999999999999</v>
      </c>
      <c r="M293">
        <v>46.69</v>
      </c>
      <c r="N293">
        <v>124.71</v>
      </c>
      <c r="O293">
        <v>110.57</v>
      </c>
      <c r="P293">
        <v>41.98</v>
      </c>
      <c r="Q293">
        <v>152.82</v>
      </c>
      <c r="R293">
        <v>225.13</v>
      </c>
      <c r="S293">
        <v>52.1</v>
      </c>
      <c r="T293">
        <v>91.7</v>
      </c>
      <c r="U293">
        <v>65.58</v>
      </c>
      <c r="V293">
        <v>34.42</v>
      </c>
      <c r="W293">
        <v>76</v>
      </c>
      <c r="X293">
        <v>135.79</v>
      </c>
      <c r="Y293">
        <v>221.46</v>
      </c>
      <c r="Z293">
        <v>127.39</v>
      </c>
      <c r="AA293">
        <v>119.6</v>
      </c>
      <c r="AB293">
        <v>45.83</v>
      </c>
      <c r="AC293">
        <v>68.540000000000006</v>
      </c>
      <c r="AD293">
        <v>87.01</v>
      </c>
      <c r="AE293">
        <v>72.150000000000006</v>
      </c>
      <c r="AI293" s="2">
        <v>5000</v>
      </c>
      <c r="AJ293" s="2">
        <f t="shared" si="203"/>
        <v>1200</v>
      </c>
      <c r="AK293" s="2">
        <f t="shared" si="203"/>
        <v>1200</v>
      </c>
      <c r="AL293" s="2">
        <f t="shared" si="203"/>
        <v>1200</v>
      </c>
      <c r="AM293" s="2">
        <f t="shared" si="203"/>
        <v>1200</v>
      </c>
      <c r="AN293" s="2">
        <f t="shared" si="203"/>
        <v>1200</v>
      </c>
      <c r="AO293" s="2">
        <f t="shared" si="203"/>
        <v>1200</v>
      </c>
      <c r="AP293" s="2">
        <f t="shared" si="203"/>
        <v>1080</v>
      </c>
      <c r="AQ293" s="2">
        <v>1000</v>
      </c>
      <c r="AR293" s="2">
        <v>0</v>
      </c>
      <c r="AS293" s="2">
        <v>10</v>
      </c>
      <c r="AT293" s="2">
        <v>0</v>
      </c>
      <c r="AU293" s="2">
        <v>1000</v>
      </c>
      <c r="AV293" s="2">
        <v>0</v>
      </c>
      <c r="AW293" s="2">
        <v>0</v>
      </c>
      <c r="AX293" s="2">
        <v>0</v>
      </c>
      <c r="AY293" s="2">
        <v>0</v>
      </c>
      <c r="AZ293" s="2">
        <v>1024</v>
      </c>
      <c r="BA293" s="2">
        <v>1086</v>
      </c>
      <c r="BB293" s="2">
        <v>940</v>
      </c>
      <c r="BC293" s="2">
        <v>-1000</v>
      </c>
      <c r="BD293" s="2">
        <v>-5000</v>
      </c>
      <c r="BE293" s="2">
        <v>5000</v>
      </c>
      <c r="BF293" s="2">
        <v>3000</v>
      </c>
      <c r="BG293" s="2">
        <v>5000</v>
      </c>
      <c r="BH293" s="2">
        <v>4000</v>
      </c>
      <c r="BI293" s="2">
        <v>3000</v>
      </c>
      <c r="BJ293" s="2">
        <v>-1500</v>
      </c>
      <c r="BK293" s="2">
        <v>1000</v>
      </c>
      <c r="BL293" s="2">
        <v>1000</v>
      </c>
      <c r="BO293" s="2">
        <f t="shared" si="169"/>
        <v>0</v>
      </c>
      <c r="BP293" s="2">
        <f t="shared" si="177"/>
        <v>0</v>
      </c>
      <c r="BQ293" s="2">
        <f t="shared" si="178"/>
        <v>0</v>
      </c>
      <c r="BR293" s="2">
        <f t="shared" si="179"/>
        <v>0</v>
      </c>
      <c r="BS293" s="2">
        <f t="shared" si="180"/>
        <v>0</v>
      </c>
      <c r="BT293" s="2">
        <f t="shared" si="181"/>
        <v>0</v>
      </c>
      <c r="BU293" s="2">
        <f t="shared" si="182"/>
        <v>0</v>
      </c>
      <c r="BV293" s="2">
        <f t="shared" si="183"/>
        <v>0</v>
      </c>
      <c r="BW293" s="2">
        <f t="shared" si="184"/>
        <v>0</v>
      </c>
      <c r="BX293" s="2">
        <f t="shared" si="185"/>
        <v>0</v>
      </c>
      <c r="BY293" s="2">
        <f t="shared" si="186"/>
        <v>0</v>
      </c>
      <c r="BZ293" s="2">
        <f t="shared" si="187"/>
        <v>0</v>
      </c>
      <c r="CA293" s="2">
        <f t="shared" si="188"/>
        <v>0</v>
      </c>
      <c r="CB293" s="2">
        <f t="shared" si="189"/>
        <v>0</v>
      </c>
      <c r="CC293" s="2">
        <f t="shared" si="190"/>
        <v>0</v>
      </c>
      <c r="CD293" s="2">
        <f t="shared" si="191"/>
        <v>0</v>
      </c>
      <c r="CE293" s="2">
        <f t="shared" si="192"/>
        <v>0</v>
      </c>
      <c r="CF293" s="2">
        <f t="shared" si="193"/>
        <v>-2031.9</v>
      </c>
      <c r="CG293" s="2">
        <f t="shared" si="194"/>
        <v>-6510.7</v>
      </c>
      <c r="CH293" s="2">
        <f t="shared" si="195"/>
        <v>4459.4399999999996</v>
      </c>
      <c r="CI293" s="2">
        <f t="shared" si="196"/>
        <v>0</v>
      </c>
      <c r="CJ293" s="2">
        <f t="shared" si="197"/>
        <v>0</v>
      </c>
      <c r="CK293" s="2">
        <f t="shared" si="198"/>
        <v>0</v>
      </c>
      <c r="CL293" s="2">
        <f t="shared" si="199"/>
        <v>0</v>
      </c>
      <c r="CM293" s="2">
        <f t="shared" si="170"/>
        <v>0</v>
      </c>
      <c r="CN293" s="2">
        <f t="shared" si="171"/>
        <v>0</v>
      </c>
      <c r="CO293" s="2">
        <f t="shared" si="172"/>
        <v>0</v>
      </c>
      <c r="CP293" s="2">
        <f t="shared" si="173"/>
        <v>0</v>
      </c>
      <c r="CQ293" s="2">
        <f t="shared" si="174"/>
        <v>0</v>
      </c>
      <c r="CR293" s="2">
        <f t="shared" si="175"/>
        <v>0</v>
      </c>
      <c r="CV293" t="s">
        <v>64</v>
      </c>
      <c r="CW293" t="s">
        <v>366</v>
      </c>
      <c r="CX293" t="s">
        <v>8</v>
      </c>
      <c r="CY293" s="4">
        <v>43244</v>
      </c>
      <c r="CZ293" t="s">
        <v>65</v>
      </c>
      <c r="DA293" t="s">
        <v>66</v>
      </c>
      <c r="DB293">
        <v>10</v>
      </c>
      <c r="DC293">
        <v>65.2</v>
      </c>
      <c r="DD293" t="s">
        <v>69</v>
      </c>
      <c r="DE293" t="s">
        <v>70</v>
      </c>
      <c r="DF293">
        <v>652</v>
      </c>
    </row>
    <row r="294" spans="1:110" x14ac:dyDescent="0.25">
      <c r="A294" s="1">
        <v>43161</v>
      </c>
      <c r="B294">
        <v>173.57</v>
      </c>
      <c r="C294">
        <v>94.51</v>
      </c>
      <c r="D294">
        <v>338.01</v>
      </c>
      <c r="E294">
        <v>142.91999999999999</v>
      </c>
      <c r="F294">
        <v>42.75</v>
      </c>
      <c r="G294">
        <v>107.48</v>
      </c>
      <c r="H294">
        <v>101.38</v>
      </c>
      <c r="I294">
        <v>67.209999999999994</v>
      </c>
      <c r="J294">
        <v>255.33</v>
      </c>
      <c r="K294">
        <v>174.52</v>
      </c>
      <c r="L294">
        <v>147.54</v>
      </c>
      <c r="M294">
        <v>47.8</v>
      </c>
      <c r="N294">
        <v>126.22</v>
      </c>
      <c r="O294">
        <v>110.46</v>
      </c>
      <c r="P294">
        <v>42.26</v>
      </c>
      <c r="Q294">
        <v>145.52000000000001</v>
      </c>
      <c r="R294">
        <v>224.19</v>
      </c>
      <c r="S294">
        <v>52.74</v>
      </c>
      <c r="T294">
        <v>91.9</v>
      </c>
      <c r="U294">
        <v>65.349999999999994</v>
      </c>
      <c r="V294">
        <v>34.729999999999997</v>
      </c>
      <c r="W294">
        <v>76.77</v>
      </c>
      <c r="X294">
        <v>134.72</v>
      </c>
      <c r="Y294">
        <v>222.19</v>
      </c>
      <c r="Z294">
        <v>127.04</v>
      </c>
      <c r="AA294">
        <v>119.97</v>
      </c>
      <c r="AB294">
        <v>46.12</v>
      </c>
      <c r="AC294">
        <v>68.91</v>
      </c>
      <c r="AD294">
        <v>86.71</v>
      </c>
      <c r="AE294">
        <v>72.48</v>
      </c>
      <c r="AI294" s="2">
        <v>0</v>
      </c>
      <c r="AJ294" s="2">
        <f t="shared" si="203"/>
        <v>1200</v>
      </c>
      <c r="AK294" s="2">
        <f t="shared" si="203"/>
        <v>1200</v>
      </c>
      <c r="AL294" s="2">
        <f t="shared" si="203"/>
        <v>1200</v>
      </c>
      <c r="AM294" s="2">
        <f t="shared" si="203"/>
        <v>1200</v>
      </c>
      <c r="AN294" s="2">
        <f t="shared" si="203"/>
        <v>1200</v>
      </c>
      <c r="AO294" s="2">
        <f t="shared" si="203"/>
        <v>1200</v>
      </c>
      <c r="AP294" s="2">
        <f t="shared" si="203"/>
        <v>1080</v>
      </c>
      <c r="AQ294" s="2">
        <v>1000</v>
      </c>
      <c r="AR294" s="2">
        <v>0</v>
      </c>
      <c r="AS294" s="2">
        <v>10</v>
      </c>
      <c r="AT294" s="2">
        <v>0</v>
      </c>
      <c r="AU294" s="2">
        <v>1000</v>
      </c>
      <c r="AV294" s="2">
        <v>0</v>
      </c>
      <c r="AW294" s="2">
        <v>0</v>
      </c>
      <c r="AX294" s="2">
        <v>0</v>
      </c>
      <c r="AY294" s="2">
        <v>0</v>
      </c>
      <c r="AZ294" s="2">
        <v>1050</v>
      </c>
      <c r="BA294" s="2">
        <v>1058</v>
      </c>
      <c r="BB294" s="2">
        <v>1042</v>
      </c>
      <c r="BC294" s="2">
        <v>-1000</v>
      </c>
      <c r="BD294" s="2">
        <v>-5000</v>
      </c>
      <c r="BE294" s="2">
        <v>5000</v>
      </c>
      <c r="BF294" s="2">
        <v>3000</v>
      </c>
      <c r="BG294" s="2">
        <v>5000</v>
      </c>
      <c r="BH294" s="2">
        <v>4000</v>
      </c>
      <c r="BI294" s="2">
        <v>3000</v>
      </c>
      <c r="BJ294" s="2">
        <v>-1500</v>
      </c>
      <c r="BK294" s="2">
        <v>1000</v>
      </c>
      <c r="BL294" s="2">
        <v>1000</v>
      </c>
      <c r="BO294" s="2">
        <f t="shared" si="169"/>
        <v>867850</v>
      </c>
      <c r="BP294" s="2">
        <f t="shared" si="177"/>
        <v>0</v>
      </c>
      <c r="BQ294" s="2">
        <f t="shared" si="178"/>
        <v>0</v>
      </c>
      <c r="BR294" s="2">
        <f t="shared" si="179"/>
        <v>0</v>
      </c>
      <c r="BS294" s="2">
        <f t="shared" si="180"/>
        <v>0</v>
      </c>
      <c r="BT294" s="2">
        <f t="shared" si="181"/>
        <v>0</v>
      </c>
      <c r="BU294" s="2">
        <f t="shared" si="182"/>
        <v>0</v>
      </c>
      <c r="BV294" s="2">
        <f t="shared" si="183"/>
        <v>0</v>
      </c>
      <c r="BW294" s="2">
        <f t="shared" si="184"/>
        <v>0</v>
      </c>
      <c r="BX294" s="2">
        <f t="shared" si="185"/>
        <v>0</v>
      </c>
      <c r="BY294" s="2">
        <f t="shared" si="186"/>
        <v>0</v>
      </c>
      <c r="BZ294" s="2">
        <f t="shared" si="187"/>
        <v>0</v>
      </c>
      <c r="CA294" s="2">
        <f t="shared" si="188"/>
        <v>0</v>
      </c>
      <c r="CB294" s="2">
        <f t="shared" si="189"/>
        <v>0</v>
      </c>
      <c r="CC294" s="2">
        <f t="shared" si="190"/>
        <v>0</v>
      </c>
      <c r="CD294" s="2">
        <f t="shared" si="191"/>
        <v>0</v>
      </c>
      <c r="CE294" s="2">
        <f t="shared" si="192"/>
        <v>0</v>
      </c>
      <c r="CF294" s="2">
        <f t="shared" si="193"/>
        <v>-1371.24</v>
      </c>
      <c r="CG294" s="2">
        <f t="shared" si="194"/>
        <v>2573.2000000000003</v>
      </c>
      <c r="CH294" s="2">
        <f t="shared" si="195"/>
        <v>-6665.7</v>
      </c>
      <c r="CI294" s="2">
        <f t="shared" si="196"/>
        <v>0</v>
      </c>
      <c r="CJ294" s="2">
        <f t="shared" si="197"/>
        <v>0</v>
      </c>
      <c r="CK294" s="2">
        <f t="shared" si="198"/>
        <v>0</v>
      </c>
      <c r="CL294" s="2">
        <f t="shared" si="199"/>
        <v>0</v>
      </c>
      <c r="CM294" s="2">
        <f t="shared" si="170"/>
        <v>0</v>
      </c>
      <c r="CN294" s="2">
        <f t="shared" si="171"/>
        <v>0</v>
      </c>
      <c r="CO294" s="2">
        <f t="shared" si="172"/>
        <v>0</v>
      </c>
      <c r="CP294" s="2">
        <f t="shared" si="173"/>
        <v>0</v>
      </c>
      <c r="CQ294" s="2">
        <f t="shared" si="174"/>
        <v>0</v>
      </c>
      <c r="CR294" s="2">
        <f t="shared" si="175"/>
        <v>0</v>
      </c>
      <c r="CV294" t="s">
        <v>64</v>
      </c>
      <c r="CW294" t="s">
        <v>367</v>
      </c>
      <c r="CX294" t="s">
        <v>8</v>
      </c>
      <c r="CY294" s="4">
        <v>43265</v>
      </c>
      <c r="CZ294" t="s">
        <v>65</v>
      </c>
      <c r="DA294" t="s">
        <v>66</v>
      </c>
      <c r="DB294">
        <v>10</v>
      </c>
      <c r="DC294">
        <v>67.56</v>
      </c>
      <c r="DD294" t="s">
        <v>69</v>
      </c>
      <c r="DE294" t="s">
        <v>70</v>
      </c>
      <c r="DF294">
        <v>675.6</v>
      </c>
    </row>
    <row r="295" spans="1:110" x14ac:dyDescent="0.25">
      <c r="A295" s="1">
        <v>43164</v>
      </c>
      <c r="B295">
        <v>174.17</v>
      </c>
      <c r="C295">
        <v>95.56</v>
      </c>
      <c r="D295">
        <v>345.93</v>
      </c>
      <c r="E295">
        <v>147.55000000000001</v>
      </c>
      <c r="F295">
        <v>43.19</v>
      </c>
      <c r="G295">
        <v>108.94</v>
      </c>
      <c r="H295">
        <v>101.8</v>
      </c>
      <c r="I295">
        <v>68.42</v>
      </c>
      <c r="J295">
        <v>260.27</v>
      </c>
      <c r="K295">
        <v>177.72</v>
      </c>
      <c r="L295">
        <v>149.88999999999999</v>
      </c>
      <c r="M295">
        <v>48.55</v>
      </c>
      <c r="N295">
        <v>127.17</v>
      </c>
      <c r="O295">
        <v>112.16</v>
      </c>
      <c r="P295">
        <v>42.42</v>
      </c>
      <c r="Q295">
        <v>148.22999999999999</v>
      </c>
      <c r="R295">
        <v>226.56</v>
      </c>
      <c r="S295">
        <v>52.78</v>
      </c>
      <c r="T295">
        <v>92.48</v>
      </c>
      <c r="U295">
        <v>64.52</v>
      </c>
      <c r="V295">
        <v>34.89</v>
      </c>
      <c r="W295">
        <v>77.53</v>
      </c>
      <c r="X295">
        <v>136.38</v>
      </c>
      <c r="Y295">
        <v>225.34</v>
      </c>
      <c r="Z295">
        <v>128.77000000000001</v>
      </c>
      <c r="AA295">
        <v>121.07</v>
      </c>
      <c r="AB295">
        <v>46.55</v>
      </c>
      <c r="AC295">
        <v>68.88</v>
      </c>
      <c r="AD295">
        <v>87.89</v>
      </c>
      <c r="AE295">
        <v>73.17</v>
      </c>
      <c r="AI295" s="2">
        <v>0</v>
      </c>
      <c r="AJ295" s="2">
        <f t="shared" si="203"/>
        <v>1200</v>
      </c>
      <c r="AK295" s="2">
        <f t="shared" si="203"/>
        <v>1200</v>
      </c>
      <c r="AL295" s="2">
        <f t="shared" si="203"/>
        <v>1200</v>
      </c>
      <c r="AM295" s="2">
        <f t="shared" si="203"/>
        <v>1200</v>
      </c>
      <c r="AN295" s="2">
        <f t="shared" si="203"/>
        <v>1200</v>
      </c>
      <c r="AO295" s="2">
        <f t="shared" si="203"/>
        <v>1200</v>
      </c>
      <c r="AP295" s="2">
        <f t="shared" si="203"/>
        <v>1080</v>
      </c>
      <c r="AQ295" s="2">
        <v>1000</v>
      </c>
      <c r="AR295" s="2">
        <v>0</v>
      </c>
      <c r="AS295" s="2">
        <v>10</v>
      </c>
      <c r="AT295" s="2">
        <v>0</v>
      </c>
      <c r="AU295" s="2">
        <v>1000</v>
      </c>
      <c r="AV295" s="2">
        <v>0</v>
      </c>
      <c r="AW295" s="2">
        <v>0</v>
      </c>
      <c r="AX295" s="2">
        <v>0</v>
      </c>
      <c r="AY295" s="2">
        <v>0</v>
      </c>
      <c r="AZ295" s="2">
        <v>1010</v>
      </c>
      <c r="BA295" s="2">
        <v>949</v>
      </c>
      <c r="BB295" s="2">
        <v>978</v>
      </c>
      <c r="BC295" s="2">
        <v>-1000</v>
      </c>
      <c r="BD295" s="2">
        <v>-5000</v>
      </c>
      <c r="BE295" s="2">
        <v>5000</v>
      </c>
      <c r="BF295" s="2">
        <v>3000</v>
      </c>
      <c r="BG295" s="2">
        <v>5000</v>
      </c>
      <c r="BH295" s="2">
        <v>4000</v>
      </c>
      <c r="BI295" s="2">
        <v>3000</v>
      </c>
      <c r="BJ295" s="2">
        <v>-1500</v>
      </c>
      <c r="BK295" s="2">
        <v>1000</v>
      </c>
      <c r="BL295" s="2">
        <v>1000</v>
      </c>
      <c r="BO295" s="2">
        <f t="shared" si="169"/>
        <v>0</v>
      </c>
      <c r="BP295" s="2">
        <f t="shared" si="177"/>
        <v>0</v>
      </c>
      <c r="BQ295" s="2">
        <f t="shared" si="178"/>
        <v>0</v>
      </c>
      <c r="BR295" s="2">
        <f t="shared" si="179"/>
        <v>0</v>
      </c>
      <c r="BS295" s="2">
        <f t="shared" si="180"/>
        <v>0</v>
      </c>
      <c r="BT295" s="2">
        <f t="shared" si="181"/>
        <v>0</v>
      </c>
      <c r="BU295" s="2">
        <f t="shared" si="182"/>
        <v>0</v>
      </c>
      <c r="BV295" s="2">
        <f t="shared" si="183"/>
        <v>0</v>
      </c>
      <c r="BW295" s="2">
        <f t="shared" si="184"/>
        <v>0</v>
      </c>
      <c r="BX295" s="2">
        <f t="shared" si="185"/>
        <v>0</v>
      </c>
      <c r="BY295" s="2">
        <f t="shared" si="186"/>
        <v>0</v>
      </c>
      <c r="BZ295" s="2">
        <f t="shared" si="187"/>
        <v>0</v>
      </c>
      <c r="CA295" s="2">
        <f t="shared" si="188"/>
        <v>0</v>
      </c>
      <c r="CB295" s="2">
        <f t="shared" si="189"/>
        <v>0</v>
      </c>
      <c r="CC295" s="2">
        <f t="shared" si="190"/>
        <v>0</v>
      </c>
      <c r="CD295" s="2">
        <f t="shared" si="191"/>
        <v>0</v>
      </c>
      <c r="CE295" s="2">
        <f t="shared" si="192"/>
        <v>0</v>
      </c>
      <c r="CF295" s="2">
        <f t="shared" si="193"/>
        <v>2111.1999999999998</v>
      </c>
      <c r="CG295" s="2">
        <f t="shared" si="194"/>
        <v>10080.32</v>
      </c>
      <c r="CH295" s="2">
        <f t="shared" si="195"/>
        <v>4129.28</v>
      </c>
      <c r="CI295" s="2">
        <f t="shared" si="196"/>
        <v>0</v>
      </c>
      <c r="CJ295" s="2">
        <f t="shared" si="197"/>
        <v>0</v>
      </c>
      <c r="CK295" s="2">
        <f t="shared" si="198"/>
        <v>0</v>
      </c>
      <c r="CL295" s="2">
        <f t="shared" si="199"/>
        <v>0</v>
      </c>
      <c r="CM295" s="2">
        <f t="shared" si="170"/>
        <v>0</v>
      </c>
      <c r="CN295" s="2">
        <f t="shared" si="171"/>
        <v>0</v>
      </c>
      <c r="CO295" s="2">
        <f t="shared" si="172"/>
        <v>0</v>
      </c>
      <c r="CP295" s="2">
        <f t="shared" si="173"/>
        <v>0</v>
      </c>
      <c r="CQ295" s="2">
        <f t="shared" si="174"/>
        <v>0</v>
      </c>
      <c r="CR295" s="2">
        <f t="shared" si="175"/>
        <v>0</v>
      </c>
      <c r="CV295" t="s">
        <v>64</v>
      </c>
      <c r="CW295" t="s">
        <v>368</v>
      </c>
      <c r="CX295" t="s">
        <v>8</v>
      </c>
      <c r="CY295" s="4">
        <v>43286</v>
      </c>
      <c r="CZ295" t="s">
        <v>65</v>
      </c>
      <c r="DA295" t="s">
        <v>66</v>
      </c>
      <c r="DB295">
        <v>10</v>
      </c>
      <c r="DC295">
        <v>65.28</v>
      </c>
      <c r="DD295" t="s">
        <v>69</v>
      </c>
      <c r="DE295" t="s">
        <v>70</v>
      </c>
      <c r="DF295">
        <v>652.79999999999995</v>
      </c>
    </row>
    <row r="296" spans="1:110" x14ac:dyDescent="0.25">
      <c r="A296" s="1">
        <v>43165</v>
      </c>
      <c r="B296">
        <v>174.02</v>
      </c>
      <c r="C296">
        <v>94.98</v>
      </c>
      <c r="D296">
        <v>342.17</v>
      </c>
      <c r="E296">
        <v>150.12</v>
      </c>
      <c r="F296">
        <v>42.97</v>
      </c>
      <c r="G296">
        <v>109.42</v>
      </c>
      <c r="H296">
        <v>103.3</v>
      </c>
      <c r="I296">
        <v>69.53</v>
      </c>
      <c r="J296">
        <v>264.04000000000002</v>
      </c>
      <c r="K296">
        <v>177.63</v>
      </c>
      <c r="L296">
        <v>148.72</v>
      </c>
      <c r="M296">
        <v>49.49</v>
      </c>
      <c r="N296">
        <v>125.63</v>
      </c>
      <c r="O296">
        <v>112.26</v>
      </c>
      <c r="P296">
        <v>42.46</v>
      </c>
      <c r="Q296">
        <v>148.4</v>
      </c>
      <c r="R296">
        <v>227.39</v>
      </c>
      <c r="S296">
        <v>52.69</v>
      </c>
      <c r="T296">
        <v>92.16</v>
      </c>
      <c r="U296">
        <v>64.709999999999994</v>
      </c>
      <c r="V296">
        <v>34.659999999999997</v>
      </c>
      <c r="W296">
        <v>77.27</v>
      </c>
      <c r="X296">
        <v>138.15</v>
      </c>
      <c r="Y296">
        <v>223.17</v>
      </c>
      <c r="Z296">
        <v>128.66999999999999</v>
      </c>
      <c r="AA296">
        <v>120.26</v>
      </c>
      <c r="AB296">
        <v>46.72</v>
      </c>
      <c r="AC296">
        <v>68.14</v>
      </c>
      <c r="AD296">
        <v>87</v>
      </c>
      <c r="AE296">
        <v>73.09</v>
      </c>
      <c r="AI296" s="2">
        <v>0</v>
      </c>
      <c r="AJ296" s="2">
        <f t="shared" ref="AJ296:AP296" si="204">AJ295+10</f>
        <v>1210</v>
      </c>
      <c r="AK296" s="2">
        <f t="shared" si="204"/>
        <v>1210</v>
      </c>
      <c r="AL296" s="2">
        <f t="shared" si="204"/>
        <v>1210</v>
      </c>
      <c r="AM296" s="2">
        <f t="shared" si="204"/>
        <v>1210</v>
      </c>
      <c r="AN296" s="2">
        <f t="shared" si="204"/>
        <v>1210</v>
      </c>
      <c r="AO296" s="2">
        <f t="shared" si="204"/>
        <v>1210</v>
      </c>
      <c r="AP296" s="2">
        <f t="shared" si="204"/>
        <v>1090</v>
      </c>
      <c r="AQ296" s="2">
        <v>1000</v>
      </c>
      <c r="AR296" s="2">
        <v>0</v>
      </c>
      <c r="AS296" s="2">
        <v>10</v>
      </c>
      <c r="AT296" s="2">
        <v>0</v>
      </c>
      <c r="AU296" s="2">
        <v>1000</v>
      </c>
      <c r="AV296" s="2">
        <v>0</v>
      </c>
      <c r="AW296" s="2">
        <v>0</v>
      </c>
      <c r="AX296" s="2">
        <v>0</v>
      </c>
      <c r="AY296" s="2">
        <v>0</v>
      </c>
      <c r="AZ296" s="2">
        <v>1047</v>
      </c>
      <c r="BA296" s="2">
        <v>979</v>
      </c>
      <c r="BB296" s="2">
        <v>985</v>
      </c>
      <c r="BC296" s="2">
        <v>-1000</v>
      </c>
      <c r="BD296" s="2">
        <v>-5000</v>
      </c>
      <c r="BE296" s="2">
        <v>5000</v>
      </c>
      <c r="BF296" s="2">
        <v>3000</v>
      </c>
      <c r="BG296" s="2">
        <v>5000</v>
      </c>
      <c r="BH296" s="2">
        <v>4000</v>
      </c>
      <c r="BI296" s="2">
        <v>3000</v>
      </c>
      <c r="BJ296" s="2">
        <v>-1500</v>
      </c>
      <c r="BK296" s="2">
        <v>1000</v>
      </c>
      <c r="BL296" s="2">
        <v>1000</v>
      </c>
      <c r="BO296" s="2">
        <f t="shared" si="169"/>
        <v>0</v>
      </c>
      <c r="BP296" s="2">
        <f t="shared" si="177"/>
        <v>-949.80000000000007</v>
      </c>
      <c r="BQ296" s="2">
        <f t="shared" si="178"/>
        <v>-3421.7000000000003</v>
      </c>
      <c r="BR296" s="2">
        <f t="shared" si="179"/>
        <v>-1501.2</v>
      </c>
      <c r="BS296" s="2">
        <f t="shared" si="180"/>
        <v>-429.7</v>
      </c>
      <c r="BT296" s="2">
        <f t="shared" si="181"/>
        <v>-1094.2</v>
      </c>
      <c r="BU296" s="2">
        <f t="shared" si="182"/>
        <v>-1033</v>
      </c>
      <c r="BV296" s="2">
        <f t="shared" si="183"/>
        <v>-695.3</v>
      </c>
      <c r="BW296" s="2">
        <f t="shared" si="184"/>
        <v>0</v>
      </c>
      <c r="BX296" s="2">
        <f t="shared" si="185"/>
        <v>0</v>
      </c>
      <c r="BY296" s="2">
        <f t="shared" si="186"/>
        <v>0</v>
      </c>
      <c r="BZ296" s="2">
        <f t="shared" si="187"/>
        <v>0</v>
      </c>
      <c r="CA296" s="2">
        <f t="shared" si="188"/>
        <v>0</v>
      </c>
      <c r="CB296" s="2">
        <f t="shared" si="189"/>
        <v>0</v>
      </c>
      <c r="CC296" s="2">
        <f t="shared" si="190"/>
        <v>0</v>
      </c>
      <c r="CD296" s="2">
        <f t="shared" si="191"/>
        <v>0</v>
      </c>
      <c r="CE296" s="2">
        <f t="shared" si="192"/>
        <v>0</v>
      </c>
      <c r="CF296" s="2">
        <f t="shared" si="193"/>
        <v>-1949.53</v>
      </c>
      <c r="CG296" s="2">
        <f t="shared" si="194"/>
        <v>-2764.7999999999997</v>
      </c>
      <c r="CH296" s="2">
        <f t="shared" si="195"/>
        <v>-452.96999999999997</v>
      </c>
      <c r="CI296" s="2">
        <f t="shared" si="196"/>
        <v>0</v>
      </c>
      <c r="CJ296" s="2">
        <f t="shared" si="197"/>
        <v>0</v>
      </c>
      <c r="CK296" s="2">
        <f t="shared" si="198"/>
        <v>0</v>
      </c>
      <c r="CL296" s="2">
        <f t="shared" si="199"/>
        <v>0</v>
      </c>
      <c r="CM296" s="2">
        <f t="shared" si="170"/>
        <v>0</v>
      </c>
      <c r="CN296" s="2">
        <f t="shared" si="171"/>
        <v>0</v>
      </c>
      <c r="CO296" s="2">
        <f t="shared" si="172"/>
        <v>0</v>
      </c>
      <c r="CP296" s="2">
        <f t="shared" si="173"/>
        <v>0</v>
      </c>
      <c r="CQ296" s="2">
        <f t="shared" si="174"/>
        <v>0</v>
      </c>
      <c r="CR296" s="2">
        <f t="shared" si="175"/>
        <v>0</v>
      </c>
      <c r="CV296" t="s">
        <v>64</v>
      </c>
      <c r="CW296" t="s">
        <v>369</v>
      </c>
      <c r="CX296" t="s">
        <v>8</v>
      </c>
      <c r="CY296" s="4">
        <v>43306</v>
      </c>
      <c r="CZ296" t="s">
        <v>65</v>
      </c>
      <c r="DA296" t="s">
        <v>66</v>
      </c>
      <c r="DB296">
        <v>10</v>
      </c>
      <c r="DC296">
        <v>66.72</v>
      </c>
      <c r="DD296" t="s">
        <v>69</v>
      </c>
      <c r="DE296" t="s">
        <v>70</v>
      </c>
      <c r="DF296">
        <v>667.2</v>
      </c>
    </row>
    <row r="297" spans="1:110" x14ac:dyDescent="0.25">
      <c r="A297" s="1">
        <v>43166</v>
      </c>
      <c r="B297">
        <v>172.4</v>
      </c>
      <c r="C297">
        <v>94.55</v>
      </c>
      <c r="D297">
        <v>340.33</v>
      </c>
      <c r="E297">
        <v>147.93</v>
      </c>
      <c r="F297">
        <v>42.88</v>
      </c>
      <c r="G297">
        <v>109.6</v>
      </c>
      <c r="H297">
        <v>101.97</v>
      </c>
      <c r="I297">
        <v>68.92</v>
      </c>
      <c r="J297">
        <v>262.48</v>
      </c>
      <c r="K297">
        <v>175.63</v>
      </c>
      <c r="L297">
        <v>151.19999999999999</v>
      </c>
      <c r="M297">
        <v>50.08</v>
      </c>
      <c r="N297">
        <v>126.44</v>
      </c>
      <c r="O297">
        <v>111.84</v>
      </c>
      <c r="P297">
        <v>42.36</v>
      </c>
      <c r="Q297">
        <v>149.56</v>
      </c>
      <c r="R297">
        <v>229.25</v>
      </c>
      <c r="S297">
        <v>52.85</v>
      </c>
      <c r="T297">
        <v>92.7</v>
      </c>
      <c r="U297">
        <v>63.65</v>
      </c>
      <c r="V297">
        <v>34.71</v>
      </c>
      <c r="W297">
        <v>76.44</v>
      </c>
      <c r="X297">
        <v>135.69999999999999</v>
      </c>
      <c r="Y297">
        <v>224.25</v>
      </c>
      <c r="Z297">
        <v>128</v>
      </c>
      <c r="AA297">
        <v>121.04</v>
      </c>
      <c r="AB297">
        <v>46.67</v>
      </c>
      <c r="AC297">
        <v>67.86</v>
      </c>
      <c r="AD297">
        <v>85.71</v>
      </c>
      <c r="AE297">
        <v>71.239999999999995</v>
      </c>
      <c r="AI297" s="2">
        <v>0</v>
      </c>
      <c r="AJ297" s="2">
        <f t="shared" ref="AJ297:AP297" si="205">AJ296</f>
        <v>1210</v>
      </c>
      <c r="AK297" s="2">
        <f t="shared" si="205"/>
        <v>1210</v>
      </c>
      <c r="AL297" s="2">
        <f t="shared" si="205"/>
        <v>1210</v>
      </c>
      <c r="AM297" s="2">
        <f t="shared" si="205"/>
        <v>1210</v>
      </c>
      <c r="AN297" s="2">
        <f t="shared" si="205"/>
        <v>1210</v>
      </c>
      <c r="AO297" s="2">
        <f t="shared" si="205"/>
        <v>1210</v>
      </c>
      <c r="AP297" s="2">
        <f t="shared" si="205"/>
        <v>1090</v>
      </c>
      <c r="AQ297" s="2">
        <v>1000</v>
      </c>
      <c r="AR297" s="2">
        <v>0</v>
      </c>
      <c r="AS297" s="2">
        <v>10</v>
      </c>
      <c r="AT297" s="2">
        <v>0</v>
      </c>
      <c r="AU297" s="2">
        <v>1000</v>
      </c>
      <c r="AV297" s="2">
        <v>0</v>
      </c>
      <c r="AW297" s="2">
        <v>0</v>
      </c>
      <c r="AX297" s="2">
        <v>0</v>
      </c>
      <c r="AY297" s="2">
        <v>0</v>
      </c>
      <c r="AZ297" s="2">
        <v>988</v>
      </c>
      <c r="BA297" s="2">
        <v>954</v>
      </c>
      <c r="BB297" s="2">
        <v>1045</v>
      </c>
      <c r="BC297" s="2">
        <v>-1000</v>
      </c>
      <c r="BD297" s="2">
        <v>-5000</v>
      </c>
      <c r="BE297" s="2">
        <v>5000</v>
      </c>
      <c r="BF297" s="2">
        <v>3000</v>
      </c>
      <c r="BG297" s="2">
        <v>5000</v>
      </c>
      <c r="BH297" s="2">
        <v>5000</v>
      </c>
      <c r="BI297" s="2">
        <v>3000</v>
      </c>
      <c r="BJ297" s="2">
        <v>-1500</v>
      </c>
      <c r="BK297" s="2">
        <v>1000</v>
      </c>
      <c r="BL297" s="2">
        <v>1000</v>
      </c>
      <c r="BO297" s="2">
        <f t="shared" si="169"/>
        <v>0</v>
      </c>
      <c r="BP297" s="2">
        <f t="shared" si="177"/>
        <v>0</v>
      </c>
      <c r="BQ297" s="2">
        <f t="shared" si="178"/>
        <v>0</v>
      </c>
      <c r="BR297" s="2">
        <f t="shared" si="179"/>
        <v>0</v>
      </c>
      <c r="BS297" s="2">
        <f t="shared" si="180"/>
        <v>0</v>
      </c>
      <c r="BT297" s="2">
        <f t="shared" si="181"/>
        <v>0</v>
      </c>
      <c r="BU297" s="2">
        <f t="shared" si="182"/>
        <v>0</v>
      </c>
      <c r="BV297" s="2">
        <f t="shared" si="183"/>
        <v>0</v>
      </c>
      <c r="BW297" s="2">
        <f t="shared" si="184"/>
        <v>0</v>
      </c>
      <c r="BX297" s="2">
        <f t="shared" si="185"/>
        <v>0</v>
      </c>
      <c r="BY297" s="2">
        <f t="shared" si="186"/>
        <v>0</v>
      </c>
      <c r="BZ297" s="2">
        <f t="shared" si="187"/>
        <v>0</v>
      </c>
      <c r="CA297" s="2">
        <f t="shared" si="188"/>
        <v>0</v>
      </c>
      <c r="CB297" s="2">
        <f t="shared" si="189"/>
        <v>0</v>
      </c>
      <c r="CC297" s="2">
        <f t="shared" si="190"/>
        <v>0</v>
      </c>
      <c r="CD297" s="2">
        <f t="shared" si="191"/>
        <v>0</v>
      </c>
      <c r="CE297" s="2">
        <f t="shared" si="192"/>
        <v>0</v>
      </c>
      <c r="CF297" s="2">
        <f t="shared" si="193"/>
        <v>3118.15</v>
      </c>
      <c r="CG297" s="2">
        <f t="shared" si="194"/>
        <v>2317.5</v>
      </c>
      <c r="CH297" s="2">
        <f t="shared" si="195"/>
        <v>-3819</v>
      </c>
      <c r="CI297" s="2">
        <f t="shared" si="196"/>
        <v>0</v>
      </c>
      <c r="CJ297" s="2">
        <f t="shared" si="197"/>
        <v>0</v>
      </c>
      <c r="CK297" s="2">
        <f t="shared" si="198"/>
        <v>0</v>
      </c>
      <c r="CL297" s="2">
        <f t="shared" si="199"/>
        <v>0</v>
      </c>
      <c r="CM297" s="2">
        <f t="shared" si="170"/>
        <v>0</v>
      </c>
      <c r="CN297" s="2">
        <f t="shared" si="171"/>
        <v>-121040</v>
      </c>
      <c r="CO297" s="2">
        <f t="shared" si="172"/>
        <v>0</v>
      </c>
      <c r="CP297" s="2">
        <f t="shared" si="173"/>
        <v>0</v>
      </c>
      <c r="CQ297" s="2">
        <f t="shared" si="174"/>
        <v>0</v>
      </c>
      <c r="CR297" s="2">
        <f t="shared" si="175"/>
        <v>0</v>
      </c>
      <c r="CV297" t="s">
        <v>64</v>
      </c>
      <c r="CW297" t="s">
        <v>370</v>
      </c>
      <c r="CX297" t="s">
        <v>8</v>
      </c>
      <c r="CY297" s="4">
        <v>43326</v>
      </c>
      <c r="CZ297" t="s">
        <v>65</v>
      </c>
      <c r="DA297" t="s">
        <v>66</v>
      </c>
      <c r="DB297">
        <v>10</v>
      </c>
      <c r="DC297">
        <v>66.75</v>
      </c>
      <c r="DD297" t="s">
        <v>69</v>
      </c>
      <c r="DE297" t="s">
        <v>70</v>
      </c>
      <c r="DF297">
        <v>667.5</v>
      </c>
    </row>
    <row r="298" spans="1:110" x14ac:dyDescent="0.25">
      <c r="A298" s="1">
        <v>43167</v>
      </c>
      <c r="B298">
        <v>174.29</v>
      </c>
      <c r="C298">
        <v>95.49</v>
      </c>
      <c r="D298">
        <v>341.99</v>
      </c>
      <c r="E298">
        <v>149.96</v>
      </c>
      <c r="F298">
        <v>43.02</v>
      </c>
      <c r="G298">
        <v>109.13</v>
      </c>
      <c r="H298">
        <v>102.41</v>
      </c>
      <c r="I298">
        <v>69.319999999999993</v>
      </c>
      <c r="J298">
        <v>263.45999999999998</v>
      </c>
      <c r="K298">
        <v>175</v>
      </c>
      <c r="L298">
        <v>149.18</v>
      </c>
      <c r="M298">
        <v>49.52</v>
      </c>
      <c r="N298">
        <v>129.4</v>
      </c>
      <c r="O298">
        <v>111.85</v>
      </c>
      <c r="P298">
        <v>42.96</v>
      </c>
      <c r="Q298">
        <v>151.58000000000001</v>
      </c>
      <c r="R298">
        <v>230</v>
      </c>
      <c r="S298">
        <v>53.13</v>
      </c>
      <c r="T298">
        <v>93.26</v>
      </c>
      <c r="U298">
        <v>64.58</v>
      </c>
      <c r="V298">
        <v>35.26</v>
      </c>
      <c r="W298">
        <v>77.22</v>
      </c>
      <c r="X298">
        <v>137.18</v>
      </c>
      <c r="Y298">
        <v>222.47</v>
      </c>
      <c r="Z298">
        <v>128.33000000000001</v>
      </c>
      <c r="AA298">
        <v>121.41</v>
      </c>
      <c r="AB298">
        <v>46.83</v>
      </c>
      <c r="AC298">
        <v>67.34</v>
      </c>
      <c r="AD298">
        <v>86.39</v>
      </c>
      <c r="AE298">
        <v>71.11</v>
      </c>
      <c r="AI298" s="2">
        <v>0</v>
      </c>
      <c r="AJ298" s="2">
        <f t="shared" si="203"/>
        <v>1210</v>
      </c>
      <c r="AK298" s="2">
        <f t="shared" si="203"/>
        <v>1210</v>
      </c>
      <c r="AL298" s="2">
        <f t="shared" si="203"/>
        <v>1210</v>
      </c>
      <c r="AM298" s="2">
        <f t="shared" si="203"/>
        <v>1210</v>
      </c>
      <c r="AN298" s="2">
        <f t="shared" si="203"/>
        <v>1210</v>
      </c>
      <c r="AO298" s="2">
        <f t="shared" si="203"/>
        <v>1210</v>
      </c>
      <c r="AP298" s="2">
        <f t="shared" si="203"/>
        <v>1090</v>
      </c>
      <c r="AQ298" s="2">
        <v>1000</v>
      </c>
      <c r="AR298" s="2">
        <v>0</v>
      </c>
      <c r="AS298" s="2">
        <v>10</v>
      </c>
      <c r="AT298" s="2">
        <v>0</v>
      </c>
      <c r="AU298" s="2">
        <v>1000</v>
      </c>
      <c r="AV298" s="2">
        <v>0</v>
      </c>
      <c r="AW298" s="2">
        <v>0</v>
      </c>
      <c r="AX298" s="2">
        <v>0</v>
      </c>
      <c r="AY298" s="2">
        <v>0</v>
      </c>
      <c r="AZ298" s="2">
        <v>986</v>
      </c>
      <c r="BA298" s="2">
        <v>945</v>
      </c>
      <c r="BB298" s="2">
        <v>995</v>
      </c>
      <c r="BC298" s="2">
        <v>-1000</v>
      </c>
      <c r="BD298" s="2">
        <v>-5000</v>
      </c>
      <c r="BE298" s="2">
        <v>5000</v>
      </c>
      <c r="BF298" s="2">
        <v>3000</v>
      </c>
      <c r="BG298" s="2">
        <v>5000</v>
      </c>
      <c r="BH298" s="2">
        <v>5000</v>
      </c>
      <c r="BI298" s="2">
        <v>3000</v>
      </c>
      <c r="BJ298" s="2">
        <v>-1500</v>
      </c>
      <c r="BK298" s="2">
        <v>1000</v>
      </c>
      <c r="BL298" s="2">
        <v>1000</v>
      </c>
      <c r="BO298" s="2">
        <f t="shared" si="169"/>
        <v>0</v>
      </c>
      <c r="BP298" s="2">
        <f t="shared" si="177"/>
        <v>0</v>
      </c>
      <c r="BQ298" s="2">
        <f t="shared" si="178"/>
        <v>0</v>
      </c>
      <c r="BR298" s="2">
        <f t="shared" si="179"/>
        <v>0</v>
      </c>
      <c r="BS298" s="2">
        <f t="shared" si="180"/>
        <v>0</v>
      </c>
      <c r="BT298" s="2">
        <f t="shared" si="181"/>
        <v>0</v>
      </c>
      <c r="BU298" s="2">
        <f t="shared" si="182"/>
        <v>0</v>
      </c>
      <c r="BV298" s="2">
        <f t="shared" si="183"/>
        <v>0</v>
      </c>
      <c r="BW298" s="2">
        <f t="shared" si="184"/>
        <v>0</v>
      </c>
      <c r="BX298" s="2">
        <f t="shared" si="185"/>
        <v>0</v>
      </c>
      <c r="BY298" s="2">
        <f t="shared" si="186"/>
        <v>0</v>
      </c>
      <c r="BZ298" s="2">
        <f t="shared" si="187"/>
        <v>0</v>
      </c>
      <c r="CA298" s="2">
        <f t="shared" si="188"/>
        <v>0</v>
      </c>
      <c r="CB298" s="2">
        <f t="shared" si="189"/>
        <v>0</v>
      </c>
      <c r="CC298" s="2">
        <f t="shared" si="190"/>
        <v>0</v>
      </c>
      <c r="CD298" s="2">
        <f t="shared" si="191"/>
        <v>0</v>
      </c>
      <c r="CE298" s="2">
        <f t="shared" si="192"/>
        <v>0</v>
      </c>
      <c r="CF298" s="2">
        <f t="shared" si="193"/>
        <v>106.26</v>
      </c>
      <c r="CG298" s="2">
        <f t="shared" si="194"/>
        <v>839.34</v>
      </c>
      <c r="CH298" s="2">
        <f t="shared" si="195"/>
        <v>3229</v>
      </c>
      <c r="CI298" s="2">
        <f t="shared" si="196"/>
        <v>0</v>
      </c>
      <c r="CJ298" s="2">
        <f t="shared" si="197"/>
        <v>0</v>
      </c>
      <c r="CK298" s="2">
        <f t="shared" si="198"/>
        <v>0</v>
      </c>
      <c r="CL298" s="2">
        <f t="shared" si="199"/>
        <v>0</v>
      </c>
      <c r="CM298" s="2">
        <f t="shared" si="170"/>
        <v>0</v>
      </c>
      <c r="CN298" s="2">
        <f t="shared" si="171"/>
        <v>0</v>
      </c>
      <c r="CO298" s="2">
        <f t="shared" si="172"/>
        <v>0</v>
      </c>
      <c r="CP298" s="2">
        <f t="shared" si="173"/>
        <v>0</v>
      </c>
      <c r="CQ298" s="2">
        <f t="shared" si="174"/>
        <v>0</v>
      </c>
      <c r="CR298" s="2">
        <f t="shared" si="175"/>
        <v>0</v>
      </c>
      <c r="CV298" t="s">
        <v>64</v>
      </c>
      <c r="CW298" t="s">
        <v>371</v>
      </c>
      <c r="CX298" t="s">
        <v>8</v>
      </c>
      <c r="CY298" s="4">
        <v>43347</v>
      </c>
      <c r="CZ298" t="s">
        <v>65</v>
      </c>
      <c r="DA298" t="s">
        <v>66</v>
      </c>
      <c r="DB298">
        <v>10</v>
      </c>
      <c r="DC298">
        <v>69.260000000000005</v>
      </c>
      <c r="DD298" t="s">
        <v>69</v>
      </c>
      <c r="DE298" t="s">
        <v>70</v>
      </c>
      <c r="DF298">
        <v>692.6</v>
      </c>
    </row>
    <row r="299" spans="1:110" x14ac:dyDescent="0.25">
      <c r="A299" s="1">
        <v>43168</v>
      </c>
      <c r="B299">
        <v>177.28</v>
      </c>
      <c r="C299">
        <v>97.93</v>
      </c>
      <c r="D299">
        <v>347.67</v>
      </c>
      <c r="E299">
        <v>154.51</v>
      </c>
      <c r="F299">
        <v>44.02</v>
      </c>
      <c r="G299">
        <v>112.85</v>
      </c>
      <c r="H299">
        <v>103.1</v>
      </c>
      <c r="I299">
        <v>70.94</v>
      </c>
      <c r="J299">
        <v>267.83999999999997</v>
      </c>
      <c r="K299">
        <v>179.15</v>
      </c>
      <c r="L299">
        <v>152.13999999999999</v>
      </c>
      <c r="M299">
        <v>50.93</v>
      </c>
      <c r="N299">
        <v>131.1</v>
      </c>
      <c r="O299">
        <v>115.06</v>
      </c>
      <c r="P299">
        <v>43.32</v>
      </c>
      <c r="Q299">
        <v>154.33000000000001</v>
      </c>
      <c r="R299">
        <v>234.88</v>
      </c>
      <c r="S299">
        <v>53.5</v>
      </c>
      <c r="T299">
        <v>95.34</v>
      </c>
      <c r="U299">
        <v>65.760000000000005</v>
      </c>
      <c r="V299">
        <v>35.520000000000003</v>
      </c>
      <c r="W299">
        <v>77.53</v>
      </c>
      <c r="X299">
        <v>139.76</v>
      </c>
      <c r="Y299">
        <v>223.17</v>
      </c>
      <c r="Z299">
        <v>131.07</v>
      </c>
      <c r="AA299">
        <v>123.69</v>
      </c>
      <c r="AB299">
        <v>46.83</v>
      </c>
      <c r="AC299">
        <v>68.930000000000007</v>
      </c>
      <c r="AD299">
        <v>87.18</v>
      </c>
      <c r="AE299">
        <v>71.53</v>
      </c>
      <c r="AI299" s="2">
        <v>0</v>
      </c>
      <c r="AJ299" s="2">
        <f t="shared" si="203"/>
        <v>1210</v>
      </c>
      <c r="AK299" s="2">
        <f t="shared" si="203"/>
        <v>1210</v>
      </c>
      <c r="AL299" s="2">
        <f t="shared" si="203"/>
        <v>1210</v>
      </c>
      <c r="AM299" s="2">
        <f t="shared" si="203"/>
        <v>1210</v>
      </c>
      <c r="AN299" s="2">
        <f t="shared" si="203"/>
        <v>1210</v>
      </c>
      <c r="AO299" s="2">
        <f t="shared" si="203"/>
        <v>1210</v>
      </c>
      <c r="AP299" s="2">
        <f t="shared" si="203"/>
        <v>1090</v>
      </c>
      <c r="AQ299" s="2">
        <v>1000</v>
      </c>
      <c r="AR299" s="2">
        <v>0</v>
      </c>
      <c r="AS299" s="2">
        <v>10</v>
      </c>
      <c r="AT299" s="2">
        <v>0</v>
      </c>
      <c r="AU299" s="2">
        <v>1000</v>
      </c>
      <c r="AV299" s="2">
        <v>0</v>
      </c>
      <c r="AW299" s="2">
        <v>0</v>
      </c>
      <c r="AX299" s="2">
        <v>0</v>
      </c>
      <c r="AY299" s="2">
        <v>0</v>
      </c>
      <c r="AZ299" s="2">
        <v>1047</v>
      </c>
      <c r="BA299" s="2">
        <v>1001</v>
      </c>
      <c r="BB299" s="2">
        <v>925</v>
      </c>
      <c r="BC299" s="2">
        <v>-1000</v>
      </c>
      <c r="BD299" s="2">
        <v>-5000</v>
      </c>
      <c r="BE299" s="2">
        <v>5000</v>
      </c>
      <c r="BF299" s="2">
        <v>3000</v>
      </c>
      <c r="BG299" s="2">
        <v>5000</v>
      </c>
      <c r="BH299" s="2">
        <v>5000</v>
      </c>
      <c r="BI299" s="2">
        <v>3000</v>
      </c>
      <c r="BJ299" s="2">
        <v>-1500</v>
      </c>
      <c r="BK299" s="2">
        <v>1000</v>
      </c>
      <c r="BL299" s="2">
        <v>1000</v>
      </c>
      <c r="BO299" s="2">
        <f t="shared" si="169"/>
        <v>0</v>
      </c>
      <c r="BP299" s="2">
        <f t="shared" si="177"/>
        <v>0</v>
      </c>
      <c r="BQ299" s="2">
        <f t="shared" si="178"/>
        <v>0</v>
      </c>
      <c r="BR299" s="2">
        <f t="shared" si="179"/>
        <v>0</v>
      </c>
      <c r="BS299" s="2">
        <f t="shared" si="180"/>
        <v>0</v>
      </c>
      <c r="BT299" s="2">
        <f t="shared" si="181"/>
        <v>0</v>
      </c>
      <c r="BU299" s="2">
        <f t="shared" si="182"/>
        <v>0</v>
      </c>
      <c r="BV299" s="2">
        <f t="shared" si="183"/>
        <v>0</v>
      </c>
      <c r="BW299" s="2">
        <f t="shared" si="184"/>
        <v>0</v>
      </c>
      <c r="BX299" s="2">
        <f t="shared" si="185"/>
        <v>0</v>
      </c>
      <c r="BY299" s="2">
        <f t="shared" si="186"/>
        <v>0</v>
      </c>
      <c r="BZ299" s="2">
        <f t="shared" si="187"/>
        <v>0</v>
      </c>
      <c r="CA299" s="2">
        <f t="shared" si="188"/>
        <v>0</v>
      </c>
      <c r="CB299" s="2">
        <f t="shared" si="189"/>
        <v>0</v>
      </c>
      <c r="CC299" s="2">
        <f t="shared" si="190"/>
        <v>0</v>
      </c>
      <c r="CD299" s="2">
        <f t="shared" si="191"/>
        <v>0</v>
      </c>
      <c r="CE299" s="2">
        <f t="shared" si="192"/>
        <v>0</v>
      </c>
      <c r="CF299" s="2">
        <f t="shared" si="193"/>
        <v>-3263.5</v>
      </c>
      <c r="CG299" s="2">
        <f t="shared" si="194"/>
        <v>-5339.04</v>
      </c>
      <c r="CH299" s="2">
        <f t="shared" si="195"/>
        <v>4603.2000000000007</v>
      </c>
      <c r="CI299" s="2">
        <f t="shared" si="196"/>
        <v>0</v>
      </c>
      <c r="CJ299" s="2">
        <f t="shared" si="197"/>
        <v>0</v>
      </c>
      <c r="CK299" s="2">
        <f t="shared" si="198"/>
        <v>0</v>
      </c>
      <c r="CL299" s="2">
        <f t="shared" si="199"/>
        <v>0</v>
      </c>
      <c r="CM299" s="2">
        <f t="shared" si="170"/>
        <v>0</v>
      </c>
      <c r="CN299" s="2">
        <f t="shared" si="171"/>
        <v>0</v>
      </c>
      <c r="CO299" s="2">
        <f t="shared" si="172"/>
        <v>0</v>
      </c>
      <c r="CP299" s="2">
        <f t="shared" si="173"/>
        <v>0</v>
      </c>
      <c r="CQ299" s="2">
        <f t="shared" si="174"/>
        <v>0</v>
      </c>
      <c r="CR299" s="2">
        <f t="shared" si="175"/>
        <v>0</v>
      </c>
      <c r="CV299" t="s">
        <v>64</v>
      </c>
      <c r="CW299" t="s">
        <v>372</v>
      </c>
      <c r="CX299" t="s">
        <v>8</v>
      </c>
      <c r="CY299" s="4">
        <v>43367</v>
      </c>
      <c r="CZ299" t="s">
        <v>65</v>
      </c>
      <c r="DA299" t="s">
        <v>66</v>
      </c>
      <c r="DB299">
        <v>10</v>
      </c>
      <c r="DC299">
        <v>67.75</v>
      </c>
      <c r="DD299" t="s">
        <v>69</v>
      </c>
      <c r="DE299" t="s">
        <v>70</v>
      </c>
      <c r="DF299">
        <v>677.5</v>
      </c>
    </row>
    <row r="300" spans="1:110" x14ac:dyDescent="0.25">
      <c r="A300" s="1">
        <v>43171</v>
      </c>
      <c r="B300">
        <v>178.99</v>
      </c>
      <c r="C300">
        <v>96.56</v>
      </c>
      <c r="D300">
        <v>337.54</v>
      </c>
      <c r="E300">
        <v>150.85</v>
      </c>
      <c r="F300">
        <v>44.19</v>
      </c>
      <c r="G300">
        <v>112.44</v>
      </c>
      <c r="H300">
        <v>103.53</v>
      </c>
      <c r="I300">
        <v>70.069999999999993</v>
      </c>
      <c r="J300">
        <v>270.42</v>
      </c>
      <c r="K300">
        <v>176.74</v>
      </c>
      <c r="L300">
        <v>153.05000000000001</v>
      </c>
      <c r="M300">
        <v>50.28</v>
      </c>
      <c r="N300">
        <v>129.94999999999999</v>
      </c>
      <c r="O300">
        <v>114.69</v>
      </c>
      <c r="P300">
        <v>43.04</v>
      </c>
      <c r="Q300">
        <v>154.82</v>
      </c>
      <c r="R300">
        <v>233.37</v>
      </c>
      <c r="S300">
        <v>53.71</v>
      </c>
      <c r="T300">
        <v>95.57</v>
      </c>
      <c r="U300">
        <v>66.27</v>
      </c>
      <c r="V300">
        <v>35.369999999999997</v>
      </c>
      <c r="W300">
        <v>77.12</v>
      </c>
      <c r="X300">
        <v>138.97</v>
      </c>
      <c r="Y300">
        <v>220.53</v>
      </c>
      <c r="Z300">
        <v>128.56</v>
      </c>
      <c r="AA300">
        <v>123.42</v>
      </c>
      <c r="AB300">
        <v>46.63</v>
      </c>
      <c r="AC300">
        <v>68.489999999999995</v>
      </c>
      <c r="AD300">
        <v>86.54</v>
      </c>
      <c r="AE300">
        <v>72.180000000000007</v>
      </c>
      <c r="AI300" s="2">
        <v>0</v>
      </c>
      <c r="AJ300" s="2">
        <f t="shared" si="203"/>
        <v>1210</v>
      </c>
      <c r="AK300" s="2">
        <f t="shared" si="203"/>
        <v>1210</v>
      </c>
      <c r="AL300" s="2">
        <f t="shared" si="203"/>
        <v>1210</v>
      </c>
      <c r="AM300" s="2">
        <f t="shared" si="203"/>
        <v>1210</v>
      </c>
      <c r="AN300" s="2">
        <f t="shared" si="203"/>
        <v>1210</v>
      </c>
      <c r="AO300" s="2">
        <f t="shared" si="203"/>
        <v>1210</v>
      </c>
      <c r="AP300" s="2">
        <f t="shared" si="203"/>
        <v>1090</v>
      </c>
      <c r="AQ300" s="2">
        <v>1000</v>
      </c>
      <c r="AR300" s="2">
        <v>0</v>
      </c>
      <c r="AS300" s="2">
        <v>10</v>
      </c>
      <c r="AT300" s="2">
        <v>0</v>
      </c>
      <c r="AU300" s="2">
        <v>1000</v>
      </c>
      <c r="AV300" s="2">
        <v>0</v>
      </c>
      <c r="AW300" s="2">
        <v>0</v>
      </c>
      <c r="AX300" s="2">
        <v>0</v>
      </c>
      <c r="AY300" s="2">
        <v>0</v>
      </c>
      <c r="AZ300" s="2">
        <v>966</v>
      </c>
      <c r="BA300" s="2">
        <v>1003</v>
      </c>
      <c r="BB300" s="2">
        <v>991</v>
      </c>
      <c r="BC300" s="2">
        <v>-1000</v>
      </c>
      <c r="BD300" s="2">
        <v>-5000</v>
      </c>
      <c r="BE300" s="2">
        <v>5000</v>
      </c>
      <c r="BF300" s="2">
        <v>3000</v>
      </c>
      <c r="BG300" s="2">
        <v>5000</v>
      </c>
      <c r="BH300" s="2">
        <v>3500</v>
      </c>
      <c r="BI300" s="2">
        <v>3000</v>
      </c>
      <c r="BJ300" s="2">
        <v>-1500</v>
      </c>
      <c r="BK300" s="2">
        <v>1000</v>
      </c>
      <c r="BL300" s="2">
        <v>1000</v>
      </c>
      <c r="BO300" s="2">
        <f t="shared" si="169"/>
        <v>0</v>
      </c>
      <c r="BP300" s="2">
        <f t="shared" si="177"/>
        <v>0</v>
      </c>
      <c r="BQ300" s="2">
        <f t="shared" si="178"/>
        <v>0</v>
      </c>
      <c r="BR300" s="2">
        <f t="shared" si="179"/>
        <v>0</v>
      </c>
      <c r="BS300" s="2">
        <f t="shared" si="180"/>
        <v>0</v>
      </c>
      <c r="BT300" s="2">
        <f t="shared" si="181"/>
        <v>0</v>
      </c>
      <c r="BU300" s="2">
        <f t="shared" si="182"/>
        <v>0</v>
      </c>
      <c r="BV300" s="2">
        <f t="shared" si="183"/>
        <v>0</v>
      </c>
      <c r="BW300" s="2">
        <f t="shared" si="184"/>
        <v>0</v>
      </c>
      <c r="BX300" s="2">
        <f t="shared" si="185"/>
        <v>0</v>
      </c>
      <c r="BY300" s="2">
        <f t="shared" si="186"/>
        <v>0</v>
      </c>
      <c r="BZ300" s="2">
        <f t="shared" si="187"/>
        <v>0</v>
      </c>
      <c r="CA300" s="2">
        <f t="shared" si="188"/>
        <v>0</v>
      </c>
      <c r="CB300" s="2">
        <f t="shared" si="189"/>
        <v>0</v>
      </c>
      <c r="CC300" s="2">
        <f t="shared" si="190"/>
        <v>0</v>
      </c>
      <c r="CD300" s="2">
        <f t="shared" si="191"/>
        <v>0</v>
      </c>
      <c r="CE300" s="2">
        <f t="shared" si="192"/>
        <v>0</v>
      </c>
      <c r="CF300" s="2">
        <f t="shared" si="193"/>
        <v>4350.51</v>
      </c>
      <c r="CG300" s="2">
        <f t="shared" si="194"/>
        <v>-191.14</v>
      </c>
      <c r="CH300" s="2">
        <f t="shared" si="195"/>
        <v>-4373.82</v>
      </c>
      <c r="CI300" s="2">
        <f t="shared" si="196"/>
        <v>0</v>
      </c>
      <c r="CJ300" s="2">
        <f t="shared" si="197"/>
        <v>0</v>
      </c>
      <c r="CK300" s="2">
        <f t="shared" si="198"/>
        <v>0</v>
      </c>
      <c r="CL300" s="2">
        <f t="shared" si="199"/>
        <v>0</v>
      </c>
      <c r="CM300" s="2">
        <f t="shared" si="170"/>
        <v>0</v>
      </c>
      <c r="CN300" s="2">
        <f t="shared" si="171"/>
        <v>185130</v>
      </c>
      <c r="CO300" s="2">
        <f t="shared" si="172"/>
        <v>0</v>
      </c>
      <c r="CP300" s="2">
        <f t="shared" si="173"/>
        <v>0</v>
      </c>
      <c r="CQ300" s="2">
        <f t="shared" si="174"/>
        <v>0</v>
      </c>
      <c r="CR300" s="2">
        <f t="shared" si="175"/>
        <v>0</v>
      </c>
      <c r="CV300" t="s">
        <v>64</v>
      </c>
      <c r="CW300" t="s">
        <v>373</v>
      </c>
      <c r="CX300" t="s">
        <v>8</v>
      </c>
      <c r="CY300" s="4">
        <v>43385</v>
      </c>
      <c r="CZ300" t="s">
        <v>65</v>
      </c>
      <c r="DA300" t="s">
        <v>66</v>
      </c>
      <c r="DB300">
        <v>10</v>
      </c>
      <c r="DC300">
        <v>59.26</v>
      </c>
      <c r="DD300" t="s">
        <v>69</v>
      </c>
      <c r="DE300" t="s">
        <v>70</v>
      </c>
      <c r="DF300">
        <v>592.6</v>
      </c>
    </row>
    <row r="301" spans="1:110" x14ac:dyDescent="0.25">
      <c r="A301" s="1">
        <v>43172</v>
      </c>
      <c r="B301">
        <v>177.27</v>
      </c>
      <c r="C301">
        <v>94.29</v>
      </c>
      <c r="D301">
        <v>332.12</v>
      </c>
      <c r="E301">
        <v>150.06</v>
      </c>
      <c r="F301">
        <v>43.82</v>
      </c>
      <c r="G301">
        <v>112.12</v>
      </c>
      <c r="H301">
        <v>102.11</v>
      </c>
      <c r="I301">
        <v>69.31</v>
      </c>
      <c r="J301">
        <v>265.62</v>
      </c>
      <c r="K301">
        <v>175.4</v>
      </c>
      <c r="L301">
        <v>152.15</v>
      </c>
      <c r="M301">
        <v>50.53</v>
      </c>
      <c r="N301">
        <v>131.63999999999999</v>
      </c>
      <c r="O301">
        <v>113.32</v>
      </c>
      <c r="P301">
        <v>43.08</v>
      </c>
      <c r="Q301">
        <v>155.29</v>
      </c>
      <c r="R301">
        <v>231.2</v>
      </c>
      <c r="S301">
        <v>53.72</v>
      </c>
      <c r="T301">
        <v>93.24</v>
      </c>
      <c r="U301">
        <v>65.63</v>
      </c>
      <c r="V301">
        <v>35.5</v>
      </c>
      <c r="W301">
        <v>76.98</v>
      </c>
      <c r="X301">
        <v>138.18</v>
      </c>
      <c r="Y301">
        <v>224.66</v>
      </c>
      <c r="Z301">
        <v>127.24</v>
      </c>
      <c r="AA301">
        <v>122.38</v>
      </c>
      <c r="AB301">
        <v>46.49</v>
      </c>
      <c r="AC301">
        <v>68.209999999999994</v>
      </c>
      <c r="AD301">
        <v>86.77</v>
      </c>
      <c r="AE301">
        <v>71.5</v>
      </c>
      <c r="AI301" s="2">
        <v>0</v>
      </c>
      <c r="AJ301" s="2">
        <f t="shared" si="203"/>
        <v>1210</v>
      </c>
      <c r="AK301" s="2">
        <f t="shared" si="203"/>
        <v>1210</v>
      </c>
      <c r="AL301" s="2">
        <f t="shared" si="203"/>
        <v>1210</v>
      </c>
      <c r="AM301" s="2">
        <f t="shared" si="203"/>
        <v>1210</v>
      </c>
      <c r="AN301" s="2">
        <f t="shared" si="203"/>
        <v>1210</v>
      </c>
      <c r="AO301" s="2">
        <f t="shared" si="203"/>
        <v>1210</v>
      </c>
      <c r="AP301" s="2">
        <f t="shared" si="203"/>
        <v>1090</v>
      </c>
      <c r="AQ301" s="2">
        <v>1000</v>
      </c>
      <c r="AR301" s="2">
        <v>0</v>
      </c>
      <c r="AS301" s="2">
        <v>10</v>
      </c>
      <c r="AT301" s="2">
        <v>0</v>
      </c>
      <c r="AU301" s="2">
        <v>1000</v>
      </c>
      <c r="AV301" s="2">
        <v>0</v>
      </c>
      <c r="AW301" s="2">
        <v>0</v>
      </c>
      <c r="AX301" s="2">
        <v>0</v>
      </c>
      <c r="AY301" s="2">
        <v>0</v>
      </c>
      <c r="AZ301" s="2">
        <v>994</v>
      </c>
      <c r="BA301" s="2">
        <v>1000</v>
      </c>
      <c r="BB301" s="2">
        <v>1002</v>
      </c>
      <c r="BC301" s="2">
        <v>-1000</v>
      </c>
      <c r="BD301" s="2">
        <v>-5000</v>
      </c>
      <c r="BE301" s="2">
        <v>5000</v>
      </c>
      <c r="BF301" s="2">
        <v>3000</v>
      </c>
      <c r="BG301" s="2">
        <v>5000</v>
      </c>
      <c r="BH301" s="2">
        <v>1000</v>
      </c>
      <c r="BI301" s="2">
        <v>3000</v>
      </c>
      <c r="BJ301" s="2">
        <v>-1500</v>
      </c>
      <c r="BK301" s="2">
        <v>1000</v>
      </c>
      <c r="BL301" s="2">
        <v>1000</v>
      </c>
      <c r="BO301" s="2">
        <f t="shared" si="169"/>
        <v>0</v>
      </c>
      <c r="BP301" s="2">
        <f t="shared" si="177"/>
        <v>0</v>
      </c>
      <c r="BQ301" s="2">
        <f t="shared" si="178"/>
        <v>0</v>
      </c>
      <c r="BR301" s="2">
        <f t="shared" si="179"/>
        <v>0</v>
      </c>
      <c r="BS301" s="2">
        <f t="shared" si="180"/>
        <v>0</v>
      </c>
      <c r="BT301" s="2">
        <f t="shared" si="181"/>
        <v>0</v>
      </c>
      <c r="BU301" s="2">
        <f t="shared" si="182"/>
        <v>0</v>
      </c>
      <c r="BV301" s="2">
        <f t="shared" si="183"/>
        <v>0</v>
      </c>
      <c r="BW301" s="2">
        <f t="shared" si="184"/>
        <v>0</v>
      </c>
      <c r="BX301" s="2">
        <f t="shared" si="185"/>
        <v>0</v>
      </c>
      <c r="BY301" s="2">
        <f t="shared" si="186"/>
        <v>0</v>
      </c>
      <c r="BZ301" s="2">
        <f t="shared" si="187"/>
        <v>0</v>
      </c>
      <c r="CA301" s="2">
        <f t="shared" si="188"/>
        <v>0</v>
      </c>
      <c r="CB301" s="2">
        <f t="shared" si="189"/>
        <v>0</v>
      </c>
      <c r="CC301" s="2">
        <f t="shared" si="190"/>
        <v>0</v>
      </c>
      <c r="CD301" s="2">
        <f t="shared" si="191"/>
        <v>0</v>
      </c>
      <c r="CE301" s="2">
        <f t="shared" si="192"/>
        <v>0</v>
      </c>
      <c r="CF301" s="2">
        <f t="shared" si="193"/>
        <v>-1504.1599999999999</v>
      </c>
      <c r="CG301" s="2">
        <f t="shared" si="194"/>
        <v>279.71999999999997</v>
      </c>
      <c r="CH301" s="2">
        <f t="shared" si="195"/>
        <v>-721.93</v>
      </c>
      <c r="CI301" s="2">
        <f t="shared" si="196"/>
        <v>0</v>
      </c>
      <c r="CJ301" s="2">
        <f t="shared" si="197"/>
        <v>0</v>
      </c>
      <c r="CK301" s="2">
        <f t="shared" si="198"/>
        <v>0</v>
      </c>
      <c r="CL301" s="2">
        <f t="shared" si="199"/>
        <v>0</v>
      </c>
      <c r="CM301" s="2">
        <f t="shared" si="170"/>
        <v>0</v>
      </c>
      <c r="CN301" s="2">
        <f t="shared" si="171"/>
        <v>305950</v>
      </c>
      <c r="CO301" s="2">
        <f t="shared" si="172"/>
        <v>0</v>
      </c>
      <c r="CP301" s="2">
        <f t="shared" si="173"/>
        <v>0</v>
      </c>
      <c r="CQ301" s="2">
        <f t="shared" si="174"/>
        <v>0</v>
      </c>
      <c r="CR301" s="2">
        <f t="shared" si="175"/>
        <v>0</v>
      </c>
      <c r="CV301" t="s">
        <v>64</v>
      </c>
      <c r="CW301" t="s">
        <v>374</v>
      </c>
      <c r="CX301" t="s">
        <v>8</v>
      </c>
      <c r="CY301" s="4">
        <v>43405</v>
      </c>
      <c r="CZ301" t="s">
        <v>65</v>
      </c>
      <c r="DA301" t="s">
        <v>66</v>
      </c>
      <c r="DB301">
        <v>10</v>
      </c>
      <c r="DC301">
        <v>57.88</v>
      </c>
      <c r="DD301" t="s">
        <v>69</v>
      </c>
      <c r="DE301" t="s">
        <v>70</v>
      </c>
      <c r="DF301">
        <v>578.80000000000007</v>
      </c>
    </row>
    <row r="302" spans="1:110" x14ac:dyDescent="0.25">
      <c r="A302" s="1">
        <v>43173</v>
      </c>
      <c r="B302">
        <v>175.76</v>
      </c>
      <c r="C302">
        <v>93.46</v>
      </c>
      <c r="D302">
        <v>323.87</v>
      </c>
      <c r="E302">
        <v>148.94</v>
      </c>
      <c r="F302">
        <v>43.93</v>
      </c>
      <c r="G302">
        <v>110.84</v>
      </c>
      <c r="H302">
        <v>102.28</v>
      </c>
      <c r="I302">
        <v>67.760000000000005</v>
      </c>
      <c r="J302">
        <v>261.57</v>
      </c>
      <c r="K302">
        <v>174.48</v>
      </c>
      <c r="L302">
        <v>151.01</v>
      </c>
      <c r="M302">
        <v>50.61</v>
      </c>
      <c r="N302">
        <v>129.65</v>
      </c>
      <c r="O302">
        <v>112.05</v>
      </c>
      <c r="P302">
        <v>42.69</v>
      </c>
      <c r="Q302">
        <v>155.31</v>
      </c>
      <c r="R302">
        <v>228.01</v>
      </c>
      <c r="S302">
        <v>53.64</v>
      </c>
      <c r="T302">
        <v>92.69</v>
      </c>
      <c r="U302">
        <v>65.66</v>
      </c>
      <c r="V302">
        <v>35.11</v>
      </c>
      <c r="W302">
        <v>76.290000000000006</v>
      </c>
      <c r="X302">
        <v>137.03</v>
      </c>
      <c r="Y302">
        <v>223.12</v>
      </c>
      <c r="Z302">
        <v>126.68</v>
      </c>
      <c r="AA302">
        <v>121.77</v>
      </c>
      <c r="AB302">
        <v>46.3</v>
      </c>
      <c r="AC302">
        <v>66.930000000000007</v>
      </c>
      <c r="AD302">
        <v>86.15</v>
      </c>
      <c r="AE302">
        <v>70.61</v>
      </c>
      <c r="AI302" s="2">
        <v>0</v>
      </c>
      <c r="AJ302" s="2">
        <f t="shared" si="203"/>
        <v>1210</v>
      </c>
      <c r="AK302" s="2">
        <f t="shared" si="203"/>
        <v>1210</v>
      </c>
      <c r="AL302" s="2">
        <f t="shared" si="203"/>
        <v>1210</v>
      </c>
      <c r="AM302" s="2">
        <f t="shared" si="203"/>
        <v>1210</v>
      </c>
      <c r="AN302" s="2">
        <f t="shared" si="203"/>
        <v>1210</v>
      </c>
      <c r="AO302" s="2">
        <f t="shared" si="203"/>
        <v>1210</v>
      </c>
      <c r="AP302" s="2">
        <f t="shared" si="203"/>
        <v>1090</v>
      </c>
      <c r="AQ302" s="2">
        <v>1000</v>
      </c>
      <c r="AR302" s="2">
        <v>0</v>
      </c>
      <c r="AS302" s="2">
        <v>10</v>
      </c>
      <c r="AT302" s="2">
        <v>0</v>
      </c>
      <c r="AU302" s="2">
        <v>1000</v>
      </c>
      <c r="AV302" s="2">
        <v>0</v>
      </c>
      <c r="AW302" s="2">
        <v>0</v>
      </c>
      <c r="AX302" s="2">
        <v>0</v>
      </c>
      <c r="AY302" s="2">
        <v>0</v>
      </c>
      <c r="AZ302" s="2">
        <v>1013</v>
      </c>
      <c r="BA302" s="2">
        <v>920</v>
      </c>
      <c r="BB302" s="2">
        <v>1072</v>
      </c>
      <c r="BC302" s="2">
        <v>-1000</v>
      </c>
      <c r="BD302" s="2">
        <v>-5000</v>
      </c>
      <c r="BE302" s="2">
        <v>5000</v>
      </c>
      <c r="BF302" s="2">
        <v>3000</v>
      </c>
      <c r="BG302" s="2">
        <v>5000</v>
      </c>
      <c r="BH302" s="2">
        <v>0</v>
      </c>
      <c r="BI302" s="2">
        <v>3000</v>
      </c>
      <c r="BJ302" s="2">
        <v>-1500</v>
      </c>
      <c r="BK302" s="2">
        <v>1000</v>
      </c>
      <c r="BL302" s="2">
        <v>1000</v>
      </c>
      <c r="BO302" s="2">
        <f t="shared" si="169"/>
        <v>0</v>
      </c>
      <c r="BP302" s="2">
        <f t="shared" si="177"/>
        <v>0</v>
      </c>
      <c r="BQ302" s="2">
        <f t="shared" si="178"/>
        <v>0</v>
      </c>
      <c r="BR302" s="2">
        <f t="shared" si="179"/>
        <v>0</v>
      </c>
      <c r="BS302" s="2">
        <f t="shared" si="180"/>
        <v>0</v>
      </c>
      <c r="BT302" s="2">
        <f t="shared" si="181"/>
        <v>0</v>
      </c>
      <c r="BU302" s="2">
        <f t="shared" si="182"/>
        <v>0</v>
      </c>
      <c r="BV302" s="2">
        <f t="shared" si="183"/>
        <v>0</v>
      </c>
      <c r="BW302" s="2">
        <f t="shared" si="184"/>
        <v>0</v>
      </c>
      <c r="BX302" s="2">
        <f t="shared" si="185"/>
        <v>0</v>
      </c>
      <c r="BY302" s="2">
        <f t="shared" si="186"/>
        <v>0</v>
      </c>
      <c r="BZ302" s="2">
        <f t="shared" si="187"/>
        <v>0</v>
      </c>
      <c r="CA302" s="2">
        <f t="shared" si="188"/>
        <v>0</v>
      </c>
      <c r="CB302" s="2">
        <f t="shared" si="189"/>
        <v>0</v>
      </c>
      <c r="CC302" s="2">
        <f t="shared" si="190"/>
        <v>0</v>
      </c>
      <c r="CD302" s="2">
        <f t="shared" si="191"/>
        <v>0</v>
      </c>
      <c r="CE302" s="2">
        <f t="shared" si="192"/>
        <v>0</v>
      </c>
      <c r="CF302" s="2">
        <f t="shared" si="193"/>
        <v>-1019.16</v>
      </c>
      <c r="CG302" s="2">
        <f t="shared" si="194"/>
        <v>7415.2</v>
      </c>
      <c r="CH302" s="2">
        <f t="shared" si="195"/>
        <v>-4596.2</v>
      </c>
      <c r="CI302" s="2">
        <f t="shared" si="196"/>
        <v>0</v>
      </c>
      <c r="CJ302" s="2">
        <f t="shared" si="197"/>
        <v>0</v>
      </c>
      <c r="CK302" s="2">
        <f t="shared" si="198"/>
        <v>0</v>
      </c>
      <c r="CL302" s="2">
        <f t="shared" si="199"/>
        <v>0</v>
      </c>
      <c r="CM302" s="2">
        <f t="shared" si="170"/>
        <v>0</v>
      </c>
      <c r="CN302" s="2">
        <f t="shared" si="171"/>
        <v>121770</v>
      </c>
      <c r="CO302" s="2">
        <f t="shared" si="172"/>
        <v>0</v>
      </c>
      <c r="CP302" s="2">
        <f t="shared" si="173"/>
        <v>0</v>
      </c>
      <c r="CQ302" s="2">
        <f t="shared" si="174"/>
        <v>0</v>
      </c>
      <c r="CR302" s="2">
        <f t="shared" si="175"/>
        <v>0</v>
      </c>
      <c r="CV302" t="s">
        <v>64</v>
      </c>
      <c r="CW302" t="s">
        <v>375</v>
      </c>
      <c r="CX302" t="s">
        <v>8</v>
      </c>
      <c r="CY302" s="4">
        <v>43425</v>
      </c>
      <c r="CZ302" t="s">
        <v>65</v>
      </c>
      <c r="DA302" t="s">
        <v>66</v>
      </c>
      <c r="DB302">
        <v>10</v>
      </c>
      <c r="DC302">
        <v>56.59</v>
      </c>
      <c r="DD302" t="s">
        <v>69</v>
      </c>
      <c r="DE302" t="s">
        <v>70</v>
      </c>
      <c r="DF302">
        <v>565.90000000000009</v>
      </c>
    </row>
    <row r="303" spans="1:110" x14ac:dyDescent="0.25">
      <c r="A303" s="1">
        <v>43174</v>
      </c>
      <c r="B303">
        <v>175.97</v>
      </c>
      <c r="C303">
        <v>93.32</v>
      </c>
      <c r="D303">
        <v>323.60000000000002</v>
      </c>
      <c r="E303">
        <v>150.91999999999999</v>
      </c>
      <c r="F303">
        <v>43.98</v>
      </c>
      <c r="G303">
        <v>111.28</v>
      </c>
      <c r="H303">
        <v>101.63</v>
      </c>
      <c r="I303">
        <v>66.67</v>
      </c>
      <c r="J303">
        <v>263.73</v>
      </c>
      <c r="K303">
        <v>175.13</v>
      </c>
      <c r="L303">
        <v>152.43</v>
      </c>
      <c r="M303">
        <v>49.65</v>
      </c>
      <c r="N303">
        <v>130.38</v>
      </c>
      <c r="O303">
        <v>112.33</v>
      </c>
      <c r="P303">
        <v>42.58</v>
      </c>
      <c r="Q303">
        <v>158.62</v>
      </c>
      <c r="R303">
        <v>229.54</v>
      </c>
      <c r="S303">
        <v>54.08</v>
      </c>
      <c r="T303">
        <v>93.01</v>
      </c>
      <c r="U303">
        <v>65.849999999999994</v>
      </c>
      <c r="V303">
        <v>35.340000000000003</v>
      </c>
      <c r="W303">
        <v>75.97</v>
      </c>
      <c r="X303">
        <v>137.97</v>
      </c>
      <c r="Y303">
        <v>227.18</v>
      </c>
      <c r="Z303">
        <v>126.36</v>
      </c>
      <c r="AA303">
        <v>122.59</v>
      </c>
      <c r="AB303">
        <v>46.15</v>
      </c>
      <c r="AC303">
        <v>65.790000000000006</v>
      </c>
      <c r="AD303">
        <v>85.99</v>
      </c>
      <c r="AE303">
        <v>71.400000000000006</v>
      </c>
      <c r="AI303" s="2">
        <v>0</v>
      </c>
      <c r="AJ303" s="2">
        <f t="shared" si="203"/>
        <v>1210</v>
      </c>
      <c r="AK303" s="2">
        <f t="shared" si="203"/>
        <v>1210</v>
      </c>
      <c r="AL303" s="2">
        <f t="shared" si="203"/>
        <v>1210</v>
      </c>
      <c r="AM303" s="2">
        <f t="shared" si="203"/>
        <v>1210</v>
      </c>
      <c r="AN303" s="2">
        <f t="shared" si="203"/>
        <v>1210</v>
      </c>
      <c r="AO303" s="2">
        <f t="shared" si="203"/>
        <v>1210</v>
      </c>
      <c r="AP303" s="2">
        <f t="shared" si="203"/>
        <v>1090</v>
      </c>
      <c r="AQ303" s="2">
        <v>1000</v>
      </c>
      <c r="AR303" s="2">
        <v>0</v>
      </c>
      <c r="AS303" s="2">
        <v>10</v>
      </c>
      <c r="AT303" s="2">
        <v>0</v>
      </c>
      <c r="AU303" s="2">
        <v>1000</v>
      </c>
      <c r="AV303" s="2">
        <v>0</v>
      </c>
      <c r="AW303" s="2">
        <v>0</v>
      </c>
      <c r="AX303" s="2">
        <v>0</v>
      </c>
      <c r="AY303" s="2">
        <v>0</v>
      </c>
      <c r="AZ303" s="2">
        <v>1049</v>
      </c>
      <c r="BA303" s="2">
        <v>984</v>
      </c>
      <c r="BB303" s="2">
        <v>1019</v>
      </c>
      <c r="BC303" s="2">
        <v>-1000</v>
      </c>
      <c r="BD303" s="2">
        <v>-5000</v>
      </c>
      <c r="BE303" s="2">
        <v>5000</v>
      </c>
      <c r="BF303" s="2">
        <v>3000</v>
      </c>
      <c r="BG303" s="2">
        <v>5000</v>
      </c>
      <c r="BH303" s="2">
        <v>0</v>
      </c>
      <c r="BI303" s="2">
        <v>3000</v>
      </c>
      <c r="BJ303" s="2">
        <v>-1500</v>
      </c>
      <c r="BK303" s="2">
        <v>1000</v>
      </c>
      <c r="BL303" s="2">
        <v>1000</v>
      </c>
      <c r="BO303" s="2">
        <f t="shared" si="169"/>
        <v>0</v>
      </c>
      <c r="BP303" s="2">
        <f t="shared" si="177"/>
        <v>0</v>
      </c>
      <c r="BQ303" s="2">
        <f t="shared" si="178"/>
        <v>0</v>
      </c>
      <c r="BR303" s="2">
        <f t="shared" si="179"/>
        <v>0</v>
      </c>
      <c r="BS303" s="2">
        <f t="shared" si="180"/>
        <v>0</v>
      </c>
      <c r="BT303" s="2">
        <f t="shared" si="181"/>
        <v>0</v>
      </c>
      <c r="BU303" s="2">
        <f t="shared" si="182"/>
        <v>0</v>
      </c>
      <c r="BV303" s="2">
        <f t="shared" si="183"/>
        <v>0</v>
      </c>
      <c r="BW303" s="2">
        <f t="shared" si="184"/>
        <v>0</v>
      </c>
      <c r="BX303" s="2">
        <f t="shared" si="185"/>
        <v>0</v>
      </c>
      <c r="BY303" s="2">
        <f t="shared" si="186"/>
        <v>0</v>
      </c>
      <c r="BZ303" s="2">
        <f t="shared" si="187"/>
        <v>0</v>
      </c>
      <c r="CA303" s="2">
        <f t="shared" si="188"/>
        <v>0</v>
      </c>
      <c r="CB303" s="2">
        <f t="shared" si="189"/>
        <v>0</v>
      </c>
      <c r="CC303" s="2">
        <f t="shared" si="190"/>
        <v>0</v>
      </c>
      <c r="CD303" s="2">
        <f t="shared" si="191"/>
        <v>0</v>
      </c>
      <c r="CE303" s="2">
        <f t="shared" si="192"/>
        <v>0</v>
      </c>
      <c r="CF303" s="2">
        <f t="shared" si="193"/>
        <v>-1946.8799999999999</v>
      </c>
      <c r="CG303" s="2">
        <f t="shared" si="194"/>
        <v>-5952.64</v>
      </c>
      <c r="CH303" s="2">
        <f t="shared" si="195"/>
        <v>3490.0499999999997</v>
      </c>
      <c r="CI303" s="2">
        <f t="shared" si="196"/>
        <v>0</v>
      </c>
      <c r="CJ303" s="2">
        <f t="shared" si="197"/>
        <v>0</v>
      </c>
      <c r="CK303" s="2">
        <f t="shared" si="198"/>
        <v>0</v>
      </c>
      <c r="CL303" s="2">
        <f t="shared" si="199"/>
        <v>0</v>
      </c>
      <c r="CM303" s="2">
        <f t="shared" si="170"/>
        <v>0</v>
      </c>
      <c r="CN303" s="2">
        <f t="shared" si="171"/>
        <v>0</v>
      </c>
      <c r="CO303" s="2">
        <f t="shared" si="172"/>
        <v>0</v>
      </c>
      <c r="CP303" s="2">
        <f t="shared" si="173"/>
        <v>0</v>
      </c>
      <c r="CQ303" s="2">
        <f t="shared" si="174"/>
        <v>0</v>
      </c>
      <c r="CR303" s="2">
        <f t="shared" si="175"/>
        <v>0</v>
      </c>
      <c r="CV303" t="s">
        <v>64</v>
      </c>
      <c r="CW303" t="s">
        <v>376</v>
      </c>
      <c r="CX303" t="s">
        <v>8</v>
      </c>
      <c r="CY303" s="4">
        <v>43447</v>
      </c>
      <c r="CZ303" t="s">
        <v>65</v>
      </c>
      <c r="DA303" t="s">
        <v>66</v>
      </c>
      <c r="DB303">
        <v>10</v>
      </c>
      <c r="DC303">
        <v>53.78</v>
      </c>
      <c r="DD303" t="s">
        <v>69</v>
      </c>
      <c r="DE303" t="s">
        <v>70</v>
      </c>
      <c r="DF303">
        <v>537.79999999999995</v>
      </c>
    </row>
    <row r="304" spans="1:110" x14ac:dyDescent="0.25">
      <c r="A304" s="1">
        <v>43175</v>
      </c>
      <c r="B304">
        <v>175.35</v>
      </c>
      <c r="C304">
        <v>94.52</v>
      </c>
      <c r="D304">
        <v>324.08</v>
      </c>
      <c r="E304">
        <v>152.76</v>
      </c>
      <c r="F304">
        <v>43.67</v>
      </c>
      <c r="G304">
        <v>111.1</v>
      </c>
      <c r="H304">
        <v>101.26</v>
      </c>
      <c r="I304">
        <v>66.75</v>
      </c>
      <c r="J304">
        <v>264.7</v>
      </c>
      <c r="K304">
        <v>176</v>
      </c>
      <c r="L304">
        <v>153.05000000000001</v>
      </c>
      <c r="M304">
        <v>49.94</v>
      </c>
      <c r="N304">
        <v>130.97999999999999</v>
      </c>
      <c r="O304">
        <v>112.53</v>
      </c>
      <c r="P304">
        <v>42.38</v>
      </c>
      <c r="Q304">
        <v>159.35</v>
      </c>
      <c r="R304">
        <v>230.86</v>
      </c>
      <c r="S304">
        <v>54.49</v>
      </c>
      <c r="T304">
        <v>93.43</v>
      </c>
      <c r="U304">
        <v>65.37</v>
      </c>
      <c r="V304">
        <v>35.53</v>
      </c>
      <c r="W304">
        <v>76.260000000000005</v>
      </c>
      <c r="X304">
        <v>138.80000000000001</v>
      </c>
      <c r="Y304">
        <v>225.57</v>
      </c>
      <c r="Z304">
        <v>125.46</v>
      </c>
      <c r="AA304">
        <v>123.71</v>
      </c>
      <c r="AB304">
        <v>46.4</v>
      </c>
      <c r="AC304">
        <v>65.97</v>
      </c>
      <c r="AD304">
        <v>87.62</v>
      </c>
      <c r="AE304">
        <v>72.069999999999993</v>
      </c>
      <c r="AI304" s="2">
        <v>5000</v>
      </c>
      <c r="AJ304" s="2">
        <f t="shared" si="203"/>
        <v>1210</v>
      </c>
      <c r="AK304" s="2">
        <f t="shared" si="203"/>
        <v>1210</v>
      </c>
      <c r="AL304" s="2">
        <f t="shared" si="203"/>
        <v>1210</v>
      </c>
      <c r="AM304" s="2">
        <f t="shared" si="203"/>
        <v>1210</v>
      </c>
      <c r="AN304" s="2">
        <f t="shared" si="203"/>
        <v>1210</v>
      </c>
      <c r="AO304" s="2">
        <f t="shared" si="203"/>
        <v>1210</v>
      </c>
      <c r="AP304" s="2">
        <f t="shared" si="203"/>
        <v>1090</v>
      </c>
      <c r="AQ304" s="2">
        <v>1000</v>
      </c>
      <c r="AR304" s="2">
        <v>0</v>
      </c>
      <c r="AS304" s="2">
        <v>10</v>
      </c>
      <c r="AT304" s="2">
        <v>0</v>
      </c>
      <c r="AU304" s="2">
        <v>1000</v>
      </c>
      <c r="AV304" s="2">
        <v>0</v>
      </c>
      <c r="AW304" s="2">
        <v>0</v>
      </c>
      <c r="AX304" s="2">
        <v>0</v>
      </c>
      <c r="AY304" s="2">
        <v>0</v>
      </c>
      <c r="AZ304" s="2">
        <v>977</v>
      </c>
      <c r="BA304" s="2">
        <v>1086</v>
      </c>
      <c r="BB304" s="2">
        <v>1099</v>
      </c>
      <c r="BC304" s="2">
        <v>-1000</v>
      </c>
      <c r="BD304" s="2">
        <v>-5000</v>
      </c>
      <c r="BE304" s="2">
        <v>5000</v>
      </c>
      <c r="BF304" s="2">
        <v>3000</v>
      </c>
      <c r="BG304" s="2">
        <v>5000</v>
      </c>
      <c r="BH304" s="2">
        <v>0</v>
      </c>
      <c r="BI304" s="2">
        <v>3000</v>
      </c>
      <c r="BJ304" s="2">
        <v>-1500</v>
      </c>
      <c r="BK304" s="2">
        <v>1000</v>
      </c>
      <c r="BL304" s="2">
        <v>1000</v>
      </c>
      <c r="BO304" s="2">
        <f t="shared" si="169"/>
        <v>-876750</v>
      </c>
      <c r="BP304" s="2">
        <f t="shared" si="177"/>
        <v>0</v>
      </c>
      <c r="BQ304" s="2">
        <f t="shared" si="178"/>
        <v>0</v>
      </c>
      <c r="BR304" s="2">
        <f t="shared" si="179"/>
        <v>0</v>
      </c>
      <c r="BS304" s="2">
        <f t="shared" si="180"/>
        <v>0</v>
      </c>
      <c r="BT304" s="2">
        <f t="shared" si="181"/>
        <v>0</v>
      </c>
      <c r="BU304" s="2">
        <f t="shared" si="182"/>
        <v>0</v>
      </c>
      <c r="BV304" s="2">
        <f t="shared" si="183"/>
        <v>0</v>
      </c>
      <c r="BW304" s="2">
        <f t="shared" si="184"/>
        <v>0</v>
      </c>
      <c r="BX304" s="2">
        <f t="shared" si="185"/>
        <v>0</v>
      </c>
      <c r="BY304" s="2">
        <f t="shared" si="186"/>
        <v>0</v>
      </c>
      <c r="BZ304" s="2">
        <f t="shared" si="187"/>
        <v>0</v>
      </c>
      <c r="CA304" s="2">
        <f t="shared" si="188"/>
        <v>0</v>
      </c>
      <c r="CB304" s="2">
        <f t="shared" si="189"/>
        <v>0</v>
      </c>
      <c r="CC304" s="2">
        <f t="shared" si="190"/>
        <v>0</v>
      </c>
      <c r="CD304" s="2">
        <f t="shared" si="191"/>
        <v>0</v>
      </c>
      <c r="CE304" s="2">
        <f t="shared" si="192"/>
        <v>0</v>
      </c>
      <c r="CF304" s="2">
        <f t="shared" si="193"/>
        <v>3923.28</v>
      </c>
      <c r="CG304" s="2">
        <f t="shared" si="194"/>
        <v>-9529.86</v>
      </c>
      <c r="CH304" s="2">
        <f t="shared" si="195"/>
        <v>-5229.6000000000004</v>
      </c>
      <c r="CI304" s="2">
        <f t="shared" si="196"/>
        <v>0</v>
      </c>
      <c r="CJ304" s="2">
        <f t="shared" si="197"/>
        <v>0</v>
      </c>
      <c r="CK304" s="2">
        <f t="shared" si="198"/>
        <v>0</v>
      </c>
      <c r="CL304" s="2">
        <f t="shared" si="199"/>
        <v>0</v>
      </c>
      <c r="CM304" s="2">
        <f t="shared" si="170"/>
        <v>0</v>
      </c>
      <c r="CN304" s="2">
        <f t="shared" si="171"/>
        <v>0</v>
      </c>
      <c r="CO304" s="2">
        <f t="shared" si="172"/>
        <v>0</v>
      </c>
      <c r="CP304" s="2">
        <f t="shared" si="173"/>
        <v>0</v>
      </c>
      <c r="CQ304" s="2">
        <f t="shared" si="174"/>
        <v>0</v>
      </c>
      <c r="CR304" s="2">
        <f t="shared" si="175"/>
        <v>0</v>
      </c>
      <c r="CV304" t="s">
        <v>64</v>
      </c>
      <c r="CW304" t="s">
        <v>377</v>
      </c>
      <c r="CX304" t="s">
        <v>9</v>
      </c>
      <c r="CY304" s="4">
        <v>42738</v>
      </c>
      <c r="CZ304" t="s">
        <v>65</v>
      </c>
      <c r="DA304" t="s">
        <v>66</v>
      </c>
      <c r="DB304">
        <v>1000</v>
      </c>
      <c r="DC304">
        <v>235.32</v>
      </c>
      <c r="DD304" t="s">
        <v>69</v>
      </c>
      <c r="DE304" t="s">
        <v>70</v>
      </c>
      <c r="DF304">
        <v>235320</v>
      </c>
    </row>
    <row r="305" spans="1:110" x14ac:dyDescent="0.25">
      <c r="A305" s="1">
        <v>43178</v>
      </c>
      <c r="B305">
        <v>172.67</v>
      </c>
      <c r="C305">
        <v>93.76</v>
      </c>
      <c r="D305">
        <v>325.35000000000002</v>
      </c>
      <c r="E305">
        <v>148.56</v>
      </c>
      <c r="F305">
        <v>42.95</v>
      </c>
      <c r="G305">
        <v>109.65</v>
      </c>
      <c r="H305">
        <v>99.9</v>
      </c>
      <c r="I305">
        <v>65.38</v>
      </c>
      <c r="J305">
        <v>259.69</v>
      </c>
      <c r="K305">
        <v>174.17</v>
      </c>
      <c r="L305">
        <v>150.27000000000001</v>
      </c>
      <c r="M305">
        <v>49.6</v>
      </c>
      <c r="N305">
        <v>127.61</v>
      </c>
      <c r="O305">
        <v>111.64</v>
      </c>
      <c r="P305">
        <v>42.18</v>
      </c>
      <c r="Q305">
        <v>156.06</v>
      </c>
      <c r="R305">
        <v>225.35</v>
      </c>
      <c r="S305">
        <v>53.47</v>
      </c>
      <c r="T305">
        <v>91.74</v>
      </c>
      <c r="U305">
        <v>65.17</v>
      </c>
      <c r="V305">
        <v>35.1</v>
      </c>
      <c r="W305">
        <v>75.959999999999994</v>
      </c>
      <c r="X305">
        <v>137.52000000000001</v>
      </c>
      <c r="Y305">
        <v>222.79</v>
      </c>
      <c r="Z305">
        <v>124.36</v>
      </c>
      <c r="AA305">
        <v>122.39</v>
      </c>
      <c r="AB305">
        <v>46.17</v>
      </c>
      <c r="AC305">
        <v>65.05</v>
      </c>
      <c r="AD305">
        <v>85.93</v>
      </c>
      <c r="AE305">
        <v>71.14</v>
      </c>
      <c r="AI305" s="2">
        <v>5000</v>
      </c>
      <c r="AJ305" s="2">
        <f t="shared" si="203"/>
        <v>1210</v>
      </c>
      <c r="AK305" s="2">
        <f t="shared" si="203"/>
        <v>1210</v>
      </c>
      <c r="AL305" s="2">
        <f t="shared" si="203"/>
        <v>1210</v>
      </c>
      <c r="AM305" s="2">
        <f t="shared" si="203"/>
        <v>1210</v>
      </c>
      <c r="AN305" s="2">
        <f t="shared" si="203"/>
        <v>1210</v>
      </c>
      <c r="AO305" s="2">
        <f t="shared" si="203"/>
        <v>1210</v>
      </c>
      <c r="AP305" s="2">
        <f t="shared" si="203"/>
        <v>1090</v>
      </c>
      <c r="AQ305" s="2">
        <v>1000</v>
      </c>
      <c r="AR305" s="2">
        <v>0</v>
      </c>
      <c r="AS305" s="2">
        <v>10</v>
      </c>
      <c r="AT305" s="2">
        <v>0</v>
      </c>
      <c r="AU305" s="2">
        <v>1000</v>
      </c>
      <c r="AV305" s="2">
        <v>0</v>
      </c>
      <c r="AW305" s="2">
        <v>0</v>
      </c>
      <c r="AX305" s="2">
        <v>0</v>
      </c>
      <c r="AY305" s="2">
        <v>0</v>
      </c>
      <c r="AZ305" s="2">
        <v>959</v>
      </c>
      <c r="BA305" s="2">
        <v>1031</v>
      </c>
      <c r="BB305" s="2">
        <v>986</v>
      </c>
      <c r="BC305" s="2">
        <v>-1000</v>
      </c>
      <c r="BD305" s="2">
        <v>-5000</v>
      </c>
      <c r="BE305" s="2">
        <v>5000</v>
      </c>
      <c r="BF305" s="2">
        <v>3000</v>
      </c>
      <c r="BG305" s="2">
        <v>5000</v>
      </c>
      <c r="BH305" s="2">
        <v>0</v>
      </c>
      <c r="BI305" s="2">
        <v>3000</v>
      </c>
      <c r="BJ305" s="2">
        <v>-1500</v>
      </c>
      <c r="BK305" s="2">
        <v>1000</v>
      </c>
      <c r="BL305" s="2">
        <v>1000</v>
      </c>
      <c r="BO305" s="2">
        <f t="shared" si="169"/>
        <v>0</v>
      </c>
      <c r="BP305" s="2">
        <f t="shared" si="177"/>
        <v>0</v>
      </c>
      <c r="BQ305" s="2">
        <f t="shared" si="178"/>
        <v>0</v>
      </c>
      <c r="BR305" s="2">
        <f t="shared" si="179"/>
        <v>0</v>
      </c>
      <c r="BS305" s="2">
        <f t="shared" si="180"/>
        <v>0</v>
      </c>
      <c r="BT305" s="2">
        <f t="shared" si="181"/>
        <v>0</v>
      </c>
      <c r="BU305" s="2">
        <f t="shared" si="182"/>
        <v>0</v>
      </c>
      <c r="BV305" s="2">
        <f t="shared" si="183"/>
        <v>0</v>
      </c>
      <c r="BW305" s="2">
        <f t="shared" si="184"/>
        <v>0</v>
      </c>
      <c r="BX305" s="2">
        <f t="shared" si="185"/>
        <v>0</v>
      </c>
      <c r="BY305" s="2">
        <f t="shared" si="186"/>
        <v>0</v>
      </c>
      <c r="BZ305" s="2">
        <f t="shared" si="187"/>
        <v>0</v>
      </c>
      <c r="CA305" s="2">
        <f t="shared" si="188"/>
        <v>0</v>
      </c>
      <c r="CB305" s="2">
        <f t="shared" si="189"/>
        <v>0</v>
      </c>
      <c r="CC305" s="2">
        <f t="shared" si="190"/>
        <v>0</v>
      </c>
      <c r="CD305" s="2">
        <f t="shared" si="191"/>
        <v>0</v>
      </c>
      <c r="CE305" s="2">
        <f t="shared" si="192"/>
        <v>0</v>
      </c>
      <c r="CF305" s="2">
        <f t="shared" si="193"/>
        <v>962.46</v>
      </c>
      <c r="CG305" s="2">
        <f t="shared" si="194"/>
        <v>5045.7</v>
      </c>
      <c r="CH305" s="2">
        <f t="shared" si="195"/>
        <v>7364.21</v>
      </c>
      <c r="CI305" s="2">
        <f t="shared" si="196"/>
        <v>0</v>
      </c>
      <c r="CJ305" s="2">
        <f t="shared" si="197"/>
        <v>0</v>
      </c>
      <c r="CK305" s="2">
        <f t="shared" si="198"/>
        <v>0</v>
      </c>
      <c r="CL305" s="2">
        <f t="shared" si="199"/>
        <v>0</v>
      </c>
      <c r="CM305" s="2">
        <f t="shared" si="170"/>
        <v>0</v>
      </c>
      <c r="CN305" s="2">
        <f t="shared" si="171"/>
        <v>0</v>
      </c>
      <c r="CO305" s="2">
        <f t="shared" si="172"/>
        <v>0</v>
      </c>
      <c r="CP305" s="2">
        <f t="shared" si="173"/>
        <v>0</v>
      </c>
      <c r="CQ305" s="2">
        <f t="shared" si="174"/>
        <v>0</v>
      </c>
      <c r="CR305" s="2">
        <f t="shared" si="175"/>
        <v>0</v>
      </c>
      <c r="CV305" t="s">
        <v>64</v>
      </c>
      <c r="CW305" t="s">
        <v>378</v>
      </c>
      <c r="CX305" t="s">
        <v>10</v>
      </c>
      <c r="CY305" s="4">
        <v>42738</v>
      </c>
      <c r="CZ305" t="s">
        <v>65</v>
      </c>
      <c r="DA305" t="s">
        <v>66</v>
      </c>
      <c r="DB305">
        <v>1000</v>
      </c>
      <c r="DC305">
        <v>128.38</v>
      </c>
      <c r="DD305" t="s">
        <v>69</v>
      </c>
      <c r="DE305" t="s">
        <v>70</v>
      </c>
      <c r="DF305">
        <v>128380</v>
      </c>
    </row>
    <row r="306" spans="1:110" x14ac:dyDescent="0.25">
      <c r="A306" s="1">
        <v>43179</v>
      </c>
      <c r="B306">
        <v>172.61</v>
      </c>
      <c r="C306">
        <v>93.87</v>
      </c>
      <c r="D306">
        <v>331.1</v>
      </c>
      <c r="E306">
        <v>150.41999999999999</v>
      </c>
      <c r="F306">
        <v>43.05</v>
      </c>
      <c r="G306">
        <v>110.24</v>
      </c>
      <c r="H306">
        <v>99.77</v>
      </c>
      <c r="I306">
        <v>65.209999999999994</v>
      </c>
      <c r="J306">
        <v>260.33999999999997</v>
      </c>
      <c r="K306">
        <v>175.22</v>
      </c>
      <c r="L306">
        <v>149.16999999999999</v>
      </c>
      <c r="M306">
        <v>50.31</v>
      </c>
      <c r="N306">
        <v>128.56</v>
      </c>
      <c r="O306">
        <v>111.75</v>
      </c>
      <c r="P306">
        <v>42.09</v>
      </c>
      <c r="Q306">
        <v>156.43</v>
      </c>
      <c r="R306">
        <v>226.21</v>
      </c>
      <c r="S306">
        <v>53.48</v>
      </c>
      <c r="T306">
        <v>91.98</v>
      </c>
      <c r="U306">
        <v>66.25</v>
      </c>
      <c r="V306">
        <v>35.1</v>
      </c>
      <c r="W306">
        <v>75.62</v>
      </c>
      <c r="X306">
        <v>138.96</v>
      </c>
      <c r="Y306">
        <v>224.5</v>
      </c>
      <c r="Z306">
        <v>124.32</v>
      </c>
      <c r="AA306">
        <v>124.08</v>
      </c>
      <c r="AB306">
        <v>45.57</v>
      </c>
      <c r="AC306">
        <v>64.489999999999995</v>
      </c>
      <c r="AD306">
        <v>86.42</v>
      </c>
      <c r="AE306">
        <v>70.98</v>
      </c>
      <c r="AI306" s="2">
        <v>5000</v>
      </c>
      <c r="AJ306" s="2">
        <f t="shared" si="203"/>
        <v>1210</v>
      </c>
      <c r="AK306" s="2">
        <f t="shared" si="203"/>
        <v>1210</v>
      </c>
      <c r="AL306" s="2">
        <f t="shared" si="203"/>
        <v>1210</v>
      </c>
      <c r="AM306" s="2">
        <f t="shared" si="203"/>
        <v>1210</v>
      </c>
      <c r="AN306" s="2">
        <f t="shared" si="203"/>
        <v>1210</v>
      </c>
      <c r="AO306" s="2">
        <f t="shared" si="203"/>
        <v>1210</v>
      </c>
      <c r="AP306" s="2">
        <f t="shared" si="203"/>
        <v>1090</v>
      </c>
      <c r="AQ306" s="2">
        <v>1000</v>
      </c>
      <c r="AR306" s="2">
        <v>0</v>
      </c>
      <c r="AS306" s="2">
        <v>10</v>
      </c>
      <c r="AT306" s="2">
        <v>0</v>
      </c>
      <c r="AU306" s="2">
        <v>1000</v>
      </c>
      <c r="AV306" s="2">
        <v>0</v>
      </c>
      <c r="AW306" s="2">
        <v>0</v>
      </c>
      <c r="AX306" s="2">
        <v>0</v>
      </c>
      <c r="AY306" s="2">
        <v>0</v>
      </c>
      <c r="AZ306" s="2">
        <v>1010</v>
      </c>
      <c r="BA306" s="2">
        <v>1022</v>
      </c>
      <c r="BB306" s="2">
        <v>947</v>
      </c>
      <c r="BC306" s="2">
        <v>-1000</v>
      </c>
      <c r="BD306" s="2">
        <v>-5000</v>
      </c>
      <c r="BE306" s="2">
        <v>5000</v>
      </c>
      <c r="BF306" s="2">
        <v>3000</v>
      </c>
      <c r="BG306" s="2">
        <v>5000</v>
      </c>
      <c r="BH306" s="2">
        <v>0</v>
      </c>
      <c r="BI306" s="2">
        <v>3000</v>
      </c>
      <c r="BJ306" s="2">
        <v>-1500</v>
      </c>
      <c r="BK306" s="2">
        <v>1000</v>
      </c>
      <c r="BL306" s="2">
        <v>1000</v>
      </c>
      <c r="BO306" s="2">
        <f t="shared" si="169"/>
        <v>0</v>
      </c>
      <c r="BP306" s="2">
        <f t="shared" si="177"/>
        <v>0</v>
      </c>
      <c r="BQ306" s="2">
        <f t="shared" si="178"/>
        <v>0</v>
      </c>
      <c r="BR306" s="2">
        <f t="shared" si="179"/>
        <v>0</v>
      </c>
      <c r="BS306" s="2">
        <f t="shared" si="180"/>
        <v>0</v>
      </c>
      <c r="BT306" s="2">
        <f t="shared" si="181"/>
        <v>0</v>
      </c>
      <c r="BU306" s="2">
        <f t="shared" si="182"/>
        <v>0</v>
      </c>
      <c r="BV306" s="2">
        <f t="shared" si="183"/>
        <v>0</v>
      </c>
      <c r="BW306" s="2">
        <f t="shared" si="184"/>
        <v>0</v>
      </c>
      <c r="BX306" s="2">
        <f t="shared" si="185"/>
        <v>0</v>
      </c>
      <c r="BY306" s="2">
        <f t="shared" si="186"/>
        <v>0</v>
      </c>
      <c r="BZ306" s="2">
        <f t="shared" si="187"/>
        <v>0</v>
      </c>
      <c r="CA306" s="2">
        <f t="shared" si="188"/>
        <v>0</v>
      </c>
      <c r="CB306" s="2">
        <f t="shared" si="189"/>
        <v>0</v>
      </c>
      <c r="CC306" s="2">
        <f t="shared" si="190"/>
        <v>0</v>
      </c>
      <c r="CD306" s="2">
        <f t="shared" si="191"/>
        <v>0</v>
      </c>
      <c r="CE306" s="2">
        <f t="shared" si="192"/>
        <v>0</v>
      </c>
      <c r="CF306" s="2">
        <f t="shared" si="193"/>
        <v>-2727.48</v>
      </c>
      <c r="CG306" s="2">
        <f t="shared" si="194"/>
        <v>827.82</v>
      </c>
      <c r="CH306" s="2">
        <f t="shared" si="195"/>
        <v>2583.75</v>
      </c>
      <c r="CI306" s="2">
        <f t="shared" si="196"/>
        <v>0</v>
      </c>
      <c r="CJ306" s="2">
        <f t="shared" si="197"/>
        <v>0</v>
      </c>
      <c r="CK306" s="2">
        <f t="shared" si="198"/>
        <v>0</v>
      </c>
      <c r="CL306" s="2">
        <f t="shared" si="199"/>
        <v>0</v>
      </c>
      <c r="CM306" s="2">
        <f t="shared" si="170"/>
        <v>0</v>
      </c>
      <c r="CN306" s="2">
        <f t="shared" si="171"/>
        <v>0</v>
      </c>
      <c r="CO306" s="2">
        <f t="shared" si="172"/>
        <v>0</v>
      </c>
      <c r="CP306" s="2">
        <f t="shared" si="173"/>
        <v>0</v>
      </c>
      <c r="CQ306" s="2">
        <f t="shared" si="174"/>
        <v>0</v>
      </c>
      <c r="CR306" s="2">
        <f t="shared" si="175"/>
        <v>0</v>
      </c>
      <c r="CV306" t="s">
        <v>64</v>
      </c>
      <c r="CW306" t="s">
        <v>379</v>
      </c>
      <c r="CX306" t="s">
        <v>10</v>
      </c>
      <c r="CY306" s="4">
        <v>42817</v>
      </c>
      <c r="CZ306" t="s">
        <v>67</v>
      </c>
      <c r="DA306" t="s">
        <v>68</v>
      </c>
      <c r="DB306">
        <v>1000</v>
      </c>
      <c r="DC306">
        <v>142.32</v>
      </c>
      <c r="DD306" t="s">
        <v>69</v>
      </c>
      <c r="DE306" t="s">
        <v>70</v>
      </c>
      <c r="DF306">
        <v>142320</v>
      </c>
    </row>
    <row r="307" spans="1:110" x14ac:dyDescent="0.25">
      <c r="A307" s="1">
        <v>43180</v>
      </c>
      <c r="B307">
        <v>168.7</v>
      </c>
      <c r="C307">
        <v>93.66</v>
      </c>
      <c r="D307">
        <v>330.58</v>
      </c>
      <c r="E307">
        <v>152.12</v>
      </c>
      <c r="F307">
        <v>42.99</v>
      </c>
      <c r="G307">
        <v>112.68</v>
      </c>
      <c r="H307">
        <v>100.23</v>
      </c>
      <c r="I307">
        <v>66.23</v>
      </c>
      <c r="J307">
        <v>259.02</v>
      </c>
      <c r="K307">
        <v>175.08</v>
      </c>
      <c r="L307">
        <v>149.63999999999999</v>
      </c>
      <c r="M307">
        <v>50.32</v>
      </c>
      <c r="N307">
        <v>128.54</v>
      </c>
      <c r="O307">
        <v>111.85</v>
      </c>
      <c r="P307">
        <v>41.93</v>
      </c>
      <c r="Q307">
        <v>155.72</v>
      </c>
      <c r="R307">
        <v>227.86</v>
      </c>
      <c r="S307">
        <v>53.53</v>
      </c>
      <c r="T307">
        <v>91.33</v>
      </c>
      <c r="U307">
        <v>65.81</v>
      </c>
      <c r="V307">
        <v>35.04</v>
      </c>
      <c r="W307">
        <v>74.400000000000006</v>
      </c>
      <c r="X307">
        <v>138.59</v>
      </c>
      <c r="Y307">
        <v>220.58</v>
      </c>
      <c r="Z307">
        <v>124.16</v>
      </c>
      <c r="AA307">
        <v>122.4</v>
      </c>
      <c r="AB307">
        <v>45.18</v>
      </c>
      <c r="AC307">
        <v>64.7</v>
      </c>
      <c r="AD307">
        <v>86.65</v>
      </c>
      <c r="AE307">
        <v>71.989999999999995</v>
      </c>
      <c r="AI307" s="2">
        <v>5000</v>
      </c>
      <c r="AJ307" s="2">
        <f t="shared" si="203"/>
        <v>1210</v>
      </c>
      <c r="AK307" s="2">
        <f t="shared" si="203"/>
        <v>1210</v>
      </c>
      <c r="AL307" s="2">
        <f t="shared" si="203"/>
        <v>1210</v>
      </c>
      <c r="AM307" s="2">
        <f t="shared" si="203"/>
        <v>1210</v>
      </c>
      <c r="AN307" s="2">
        <f t="shared" si="203"/>
        <v>1210</v>
      </c>
      <c r="AO307" s="2">
        <f t="shared" si="203"/>
        <v>1210</v>
      </c>
      <c r="AP307" s="2">
        <f t="shared" si="203"/>
        <v>1090</v>
      </c>
      <c r="AQ307" s="2">
        <v>1000</v>
      </c>
      <c r="AR307" s="2">
        <v>0</v>
      </c>
      <c r="AS307" s="2">
        <v>10</v>
      </c>
      <c r="AT307" s="2">
        <v>0</v>
      </c>
      <c r="AU307" s="2">
        <v>1000</v>
      </c>
      <c r="AV307" s="2">
        <v>0</v>
      </c>
      <c r="AW307" s="2">
        <v>0</v>
      </c>
      <c r="AX307" s="2">
        <v>0</v>
      </c>
      <c r="AY307" s="2">
        <v>0</v>
      </c>
      <c r="AZ307" s="2">
        <v>1033</v>
      </c>
      <c r="BA307" s="2">
        <v>1028</v>
      </c>
      <c r="BB307" s="2">
        <v>1086</v>
      </c>
      <c r="BC307" s="2">
        <v>-1000</v>
      </c>
      <c r="BD307" s="2">
        <v>-7500</v>
      </c>
      <c r="BE307" s="2">
        <v>5000</v>
      </c>
      <c r="BF307" s="2">
        <v>3000</v>
      </c>
      <c r="BG307" s="2">
        <v>5000</v>
      </c>
      <c r="BH307" s="2">
        <v>0</v>
      </c>
      <c r="BI307" s="2">
        <v>3000</v>
      </c>
      <c r="BJ307" s="2">
        <v>-1500</v>
      </c>
      <c r="BK307" s="2">
        <v>1000</v>
      </c>
      <c r="BL307" s="2">
        <v>1000</v>
      </c>
      <c r="BO307" s="2">
        <f t="shared" si="169"/>
        <v>0</v>
      </c>
      <c r="BP307" s="2">
        <f t="shared" si="177"/>
        <v>0</v>
      </c>
      <c r="BQ307" s="2">
        <f t="shared" si="178"/>
        <v>0</v>
      </c>
      <c r="BR307" s="2">
        <f t="shared" si="179"/>
        <v>0</v>
      </c>
      <c r="BS307" s="2">
        <f t="shared" si="180"/>
        <v>0</v>
      </c>
      <c r="BT307" s="2">
        <f t="shared" si="181"/>
        <v>0</v>
      </c>
      <c r="BU307" s="2">
        <f t="shared" si="182"/>
        <v>0</v>
      </c>
      <c r="BV307" s="2">
        <f t="shared" si="183"/>
        <v>0</v>
      </c>
      <c r="BW307" s="2">
        <f t="shared" si="184"/>
        <v>0</v>
      </c>
      <c r="BX307" s="2">
        <f t="shared" si="185"/>
        <v>0</v>
      </c>
      <c r="BY307" s="2">
        <f t="shared" si="186"/>
        <v>0</v>
      </c>
      <c r="BZ307" s="2">
        <f t="shared" si="187"/>
        <v>0</v>
      </c>
      <c r="CA307" s="2">
        <f t="shared" si="188"/>
        <v>0</v>
      </c>
      <c r="CB307" s="2">
        <f t="shared" si="189"/>
        <v>0</v>
      </c>
      <c r="CC307" s="2">
        <f t="shared" si="190"/>
        <v>0</v>
      </c>
      <c r="CD307" s="2">
        <f t="shared" si="191"/>
        <v>0</v>
      </c>
      <c r="CE307" s="2">
        <f t="shared" si="192"/>
        <v>0</v>
      </c>
      <c r="CF307" s="2">
        <f t="shared" si="193"/>
        <v>-1231.19</v>
      </c>
      <c r="CG307" s="2">
        <f t="shared" si="194"/>
        <v>-547.98</v>
      </c>
      <c r="CH307" s="2">
        <f t="shared" si="195"/>
        <v>-9147.59</v>
      </c>
      <c r="CI307" s="2">
        <f t="shared" si="196"/>
        <v>0</v>
      </c>
      <c r="CJ307" s="2">
        <f t="shared" si="197"/>
        <v>186000</v>
      </c>
      <c r="CK307" s="2">
        <f t="shared" si="198"/>
        <v>0</v>
      </c>
      <c r="CL307" s="2">
        <f t="shared" si="199"/>
        <v>0</v>
      </c>
      <c r="CM307" s="2">
        <f t="shared" si="170"/>
        <v>0</v>
      </c>
      <c r="CN307" s="2">
        <f t="shared" si="171"/>
        <v>0</v>
      </c>
      <c r="CO307" s="2">
        <f t="shared" si="172"/>
        <v>0</v>
      </c>
      <c r="CP307" s="2">
        <f t="shared" si="173"/>
        <v>0</v>
      </c>
      <c r="CQ307" s="2">
        <f t="shared" si="174"/>
        <v>0</v>
      </c>
      <c r="CR307" s="2">
        <f t="shared" si="175"/>
        <v>0</v>
      </c>
      <c r="CV307" t="s">
        <v>64</v>
      </c>
      <c r="CW307" t="s">
        <v>380</v>
      </c>
      <c r="CX307" t="s">
        <v>11</v>
      </c>
      <c r="CY307" s="4">
        <v>42738</v>
      </c>
      <c r="CZ307" t="s">
        <v>65</v>
      </c>
      <c r="DA307" t="s">
        <v>66</v>
      </c>
      <c r="DB307">
        <v>1000</v>
      </c>
      <c r="DC307">
        <v>152.21</v>
      </c>
      <c r="DD307" t="s">
        <v>69</v>
      </c>
      <c r="DE307" t="s">
        <v>70</v>
      </c>
      <c r="DF307">
        <v>152210</v>
      </c>
    </row>
    <row r="308" spans="1:110" x14ac:dyDescent="0.25">
      <c r="A308" s="1">
        <v>43181</v>
      </c>
      <c r="B308">
        <v>166.32</v>
      </c>
      <c r="C308">
        <v>90.37</v>
      </c>
      <c r="D308">
        <v>313.43</v>
      </c>
      <c r="E308">
        <v>143.43</v>
      </c>
      <c r="F308">
        <v>41.79</v>
      </c>
      <c r="G308">
        <v>109.47</v>
      </c>
      <c r="H308">
        <v>99.03</v>
      </c>
      <c r="I308">
        <v>64.45</v>
      </c>
      <c r="J308">
        <v>249.87</v>
      </c>
      <c r="K308">
        <v>172.39</v>
      </c>
      <c r="L308">
        <v>145.25</v>
      </c>
      <c r="M308">
        <v>49.6</v>
      </c>
      <c r="N308">
        <v>124.81</v>
      </c>
      <c r="O308">
        <v>107.18</v>
      </c>
      <c r="P308">
        <v>41.7</v>
      </c>
      <c r="Q308">
        <v>154.13</v>
      </c>
      <c r="R308">
        <v>217.18</v>
      </c>
      <c r="S308">
        <v>52.97</v>
      </c>
      <c r="T308">
        <v>88.68</v>
      </c>
      <c r="U308">
        <v>63.89</v>
      </c>
      <c r="V308">
        <v>34.39</v>
      </c>
      <c r="W308">
        <v>73.790000000000006</v>
      </c>
      <c r="X308">
        <v>135.69</v>
      </c>
      <c r="Y308">
        <v>213.05</v>
      </c>
      <c r="Z308">
        <v>121.3</v>
      </c>
      <c r="AA308">
        <v>119.2</v>
      </c>
      <c r="AB308">
        <v>44.8</v>
      </c>
      <c r="AC308">
        <v>64.27</v>
      </c>
      <c r="AD308">
        <v>85.63</v>
      </c>
      <c r="AE308">
        <v>70.510000000000005</v>
      </c>
      <c r="AI308" s="2">
        <v>5000</v>
      </c>
      <c r="AJ308" s="2">
        <f t="shared" si="203"/>
        <v>1210</v>
      </c>
      <c r="AK308" s="2">
        <f t="shared" si="203"/>
        <v>1210</v>
      </c>
      <c r="AL308" s="2">
        <f t="shared" si="203"/>
        <v>1210</v>
      </c>
      <c r="AM308" s="2">
        <f t="shared" si="203"/>
        <v>1210</v>
      </c>
      <c r="AN308" s="2">
        <f t="shared" si="203"/>
        <v>1210</v>
      </c>
      <c r="AO308" s="2">
        <f t="shared" si="203"/>
        <v>1210</v>
      </c>
      <c r="AP308" s="2">
        <f t="shared" si="203"/>
        <v>1090</v>
      </c>
      <c r="AQ308" s="2">
        <v>1000</v>
      </c>
      <c r="AR308" s="2">
        <v>0</v>
      </c>
      <c r="AS308" s="2">
        <v>10</v>
      </c>
      <c r="AT308" s="2">
        <v>0</v>
      </c>
      <c r="AU308" s="2">
        <v>1000</v>
      </c>
      <c r="AV308" s="2">
        <v>0</v>
      </c>
      <c r="AW308" s="2">
        <v>0</v>
      </c>
      <c r="AX308" s="2">
        <v>0</v>
      </c>
      <c r="AY308" s="2">
        <v>0</v>
      </c>
      <c r="AZ308" s="2">
        <v>1026</v>
      </c>
      <c r="BA308" s="2">
        <v>1010</v>
      </c>
      <c r="BB308" s="2">
        <v>933</v>
      </c>
      <c r="BC308" s="2">
        <v>-1000</v>
      </c>
      <c r="BD308" s="2">
        <v>-7500</v>
      </c>
      <c r="BE308" s="2">
        <v>5000</v>
      </c>
      <c r="BF308" s="2">
        <v>3000</v>
      </c>
      <c r="BG308" s="2">
        <v>5000</v>
      </c>
      <c r="BH308" s="2">
        <v>0</v>
      </c>
      <c r="BI308" s="2">
        <v>3000</v>
      </c>
      <c r="BJ308" s="2">
        <v>-1500</v>
      </c>
      <c r="BK308" s="2">
        <v>1000</v>
      </c>
      <c r="BL308" s="2">
        <v>1000</v>
      </c>
      <c r="BO308" s="2">
        <f t="shared" si="169"/>
        <v>0</v>
      </c>
      <c r="BP308" s="2">
        <f t="shared" si="177"/>
        <v>0</v>
      </c>
      <c r="BQ308" s="2">
        <f t="shared" si="178"/>
        <v>0</v>
      </c>
      <c r="BR308" s="2">
        <f t="shared" si="179"/>
        <v>0</v>
      </c>
      <c r="BS308" s="2">
        <f t="shared" si="180"/>
        <v>0</v>
      </c>
      <c r="BT308" s="2">
        <f t="shared" si="181"/>
        <v>0</v>
      </c>
      <c r="BU308" s="2">
        <f t="shared" si="182"/>
        <v>0</v>
      </c>
      <c r="BV308" s="2">
        <f t="shared" si="183"/>
        <v>0</v>
      </c>
      <c r="BW308" s="2">
        <f t="shared" si="184"/>
        <v>0</v>
      </c>
      <c r="BX308" s="2">
        <f t="shared" si="185"/>
        <v>0</v>
      </c>
      <c r="BY308" s="2">
        <f t="shared" si="186"/>
        <v>0</v>
      </c>
      <c r="BZ308" s="2">
        <f t="shared" si="187"/>
        <v>0</v>
      </c>
      <c r="CA308" s="2">
        <f t="shared" si="188"/>
        <v>0</v>
      </c>
      <c r="CB308" s="2">
        <f t="shared" si="189"/>
        <v>0</v>
      </c>
      <c r="CC308" s="2">
        <f t="shared" si="190"/>
        <v>0</v>
      </c>
      <c r="CD308" s="2">
        <f t="shared" si="191"/>
        <v>0</v>
      </c>
      <c r="CE308" s="2">
        <f t="shared" si="192"/>
        <v>0</v>
      </c>
      <c r="CF308" s="2">
        <f t="shared" si="193"/>
        <v>370.78999999999996</v>
      </c>
      <c r="CG308" s="2">
        <f t="shared" si="194"/>
        <v>1596.2400000000002</v>
      </c>
      <c r="CH308" s="2">
        <f t="shared" si="195"/>
        <v>9775.17</v>
      </c>
      <c r="CI308" s="2">
        <f t="shared" si="196"/>
        <v>0</v>
      </c>
      <c r="CJ308" s="2">
        <f t="shared" si="197"/>
        <v>0</v>
      </c>
      <c r="CK308" s="2">
        <f t="shared" si="198"/>
        <v>0</v>
      </c>
      <c r="CL308" s="2">
        <f t="shared" si="199"/>
        <v>0</v>
      </c>
      <c r="CM308" s="2">
        <f t="shared" si="170"/>
        <v>0</v>
      </c>
      <c r="CN308" s="2">
        <f t="shared" si="171"/>
        <v>0</v>
      </c>
      <c r="CO308" s="2">
        <f t="shared" si="172"/>
        <v>0</v>
      </c>
      <c r="CP308" s="2">
        <f t="shared" si="173"/>
        <v>0</v>
      </c>
      <c r="CQ308" s="2">
        <f t="shared" si="174"/>
        <v>0</v>
      </c>
      <c r="CR308" s="2">
        <f t="shared" si="175"/>
        <v>0</v>
      </c>
      <c r="CV308" t="s">
        <v>64</v>
      </c>
      <c r="CW308" t="s">
        <v>381</v>
      </c>
      <c r="CX308" t="s">
        <v>11</v>
      </c>
      <c r="CY308" s="4">
        <v>43074</v>
      </c>
      <c r="CZ308" t="s">
        <v>67</v>
      </c>
      <c r="DA308" t="s">
        <v>68</v>
      </c>
      <c r="DB308">
        <v>990</v>
      </c>
      <c r="DC308">
        <v>146.91999999999999</v>
      </c>
      <c r="DD308" t="s">
        <v>69</v>
      </c>
      <c r="DE308" t="s">
        <v>70</v>
      </c>
      <c r="DF308">
        <v>145450.79999999999</v>
      </c>
    </row>
    <row r="309" spans="1:110" x14ac:dyDescent="0.25">
      <c r="A309" s="1">
        <v>43182</v>
      </c>
      <c r="B309">
        <v>162.47</v>
      </c>
      <c r="C309">
        <v>89.42</v>
      </c>
      <c r="D309">
        <v>314.79000000000002</v>
      </c>
      <c r="E309">
        <v>140.88</v>
      </c>
      <c r="F309">
        <v>41.16</v>
      </c>
      <c r="G309">
        <v>108.77</v>
      </c>
      <c r="H309">
        <v>97</v>
      </c>
      <c r="I309">
        <v>61.94</v>
      </c>
      <c r="J309">
        <v>242.61</v>
      </c>
      <c r="K309">
        <v>168.96</v>
      </c>
      <c r="L309">
        <v>142.19</v>
      </c>
      <c r="M309">
        <v>48.17</v>
      </c>
      <c r="N309">
        <v>122.58</v>
      </c>
      <c r="O309">
        <v>104.31</v>
      </c>
      <c r="P309">
        <v>41.28</v>
      </c>
      <c r="Q309">
        <v>152.11000000000001</v>
      </c>
      <c r="R309">
        <v>209.58</v>
      </c>
      <c r="S309">
        <v>52.27</v>
      </c>
      <c r="T309">
        <v>86.1</v>
      </c>
      <c r="U309">
        <v>64.099999999999994</v>
      </c>
      <c r="V309">
        <v>33.32</v>
      </c>
      <c r="W309">
        <v>73.3</v>
      </c>
      <c r="X309">
        <v>132.5</v>
      </c>
      <c r="Y309">
        <v>210.42</v>
      </c>
      <c r="Z309">
        <v>119.58</v>
      </c>
      <c r="AA309">
        <v>116.23</v>
      </c>
      <c r="AB309">
        <v>44.23</v>
      </c>
      <c r="AC309">
        <v>63.88</v>
      </c>
      <c r="AD309">
        <v>83.94</v>
      </c>
      <c r="AE309">
        <v>69.930000000000007</v>
      </c>
      <c r="AI309" s="2">
        <v>5000</v>
      </c>
      <c r="AJ309" s="2">
        <f t="shared" si="203"/>
        <v>1210</v>
      </c>
      <c r="AK309" s="2">
        <f t="shared" si="203"/>
        <v>1210</v>
      </c>
      <c r="AL309" s="2">
        <f t="shared" si="203"/>
        <v>1210</v>
      </c>
      <c r="AM309" s="2">
        <f t="shared" si="203"/>
        <v>1210</v>
      </c>
      <c r="AN309" s="2">
        <f t="shared" si="203"/>
        <v>1210</v>
      </c>
      <c r="AO309" s="2">
        <f t="shared" si="203"/>
        <v>1210</v>
      </c>
      <c r="AP309" s="2">
        <f t="shared" si="203"/>
        <v>1090</v>
      </c>
      <c r="AQ309" s="2">
        <v>1000</v>
      </c>
      <c r="AR309" s="2">
        <v>0</v>
      </c>
      <c r="AS309" s="2">
        <v>10</v>
      </c>
      <c r="AT309" s="2">
        <v>0</v>
      </c>
      <c r="AU309" s="2">
        <v>0</v>
      </c>
      <c r="AV309" s="2">
        <v>0</v>
      </c>
      <c r="AW309" s="2">
        <v>0</v>
      </c>
      <c r="AX309" s="2">
        <v>0</v>
      </c>
      <c r="AY309" s="2">
        <v>0</v>
      </c>
      <c r="AZ309" s="2">
        <v>977</v>
      </c>
      <c r="BA309" s="2">
        <v>996</v>
      </c>
      <c r="BB309" s="2">
        <v>965</v>
      </c>
      <c r="BC309" s="2">
        <v>-1000</v>
      </c>
      <c r="BD309" s="2">
        <v>-7500</v>
      </c>
      <c r="BE309" s="2">
        <v>5000</v>
      </c>
      <c r="BF309" s="2">
        <v>3000</v>
      </c>
      <c r="BG309" s="2">
        <v>5000</v>
      </c>
      <c r="BH309" s="2">
        <v>0</v>
      </c>
      <c r="BI309" s="2">
        <v>3000</v>
      </c>
      <c r="BJ309" s="2">
        <v>-1500</v>
      </c>
      <c r="BK309" s="2">
        <v>1000</v>
      </c>
      <c r="BL309" s="2">
        <v>1000</v>
      </c>
      <c r="BO309" s="2">
        <f t="shared" si="169"/>
        <v>0</v>
      </c>
      <c r="BP309" s="2">
        <f t="shared" si="177"/>
        <v>0</v>
      </c>
      <c r="BQ309" s="2">
        <f t="shared" si="178"/>
        <v>0</v>
      </c>
      <c r="BR309" s="2">
        <f t="shared" si="179"/>
        <v>0</v>
      </c>
      <c r="BS309" s="2">
        <f t="shared" si="180"/>
        <v>0</v>
      </c>
      <c r="BT309" s="2">
        <f t="shared" si="181"/>
        <v>0</v>
      </c>
      <c r="BU309" s="2">
        <f t="shared" si="182"/>
        <v>0</v>
      </c>
      <c r="BV309" s="2">
        <f t="shared" si="183"/>
        <v>0</v>
      </c>
      <c r="BW309" s="2">
        <f t="shared" si="184"/>
        <v>0</v>
      </c>
      <c r="BX309" s="2">
        <f t="shared" si="185"/>
        <v>0</v>
      </c>
      <c r="BY309" s="2">
        <f t="shared" si="186"/>
        <v>0</v>
      </c>
      <c r="BZ309" s="2">
        <f t="shared" si="187"/>
        <v>0</v>
      </c>
      <c r="CA309" s="2">
        <f t="shared" si="188"/>
        <v>122580</v>
      </c>
      <c r="CB309" s="2">
        <f t="shared" si="189"/>
        <v>0</v>
      </c>
      <c r="CC309" s="2">
        <f t="shared" si="190"/>
        <v>0</v>
      </c>
      <c r="CD309" s="2">
        <f t="shared" si="191"/>
        <v>0</v>
      </c>
      <c r="CE309" s="2">
        <f t="shared" si="192"/>
        <v>0</v>
      </c>
      <c r="CF309" s="2">
        <f t="shared" si="193"/>
        <v>2561.23</v>
      </c>
      <c r="CG309" s="2">
        <f t="shared" si="194"/>
        <v>1205.3999999999999</v>
      </c>
      <c r="CH309" s="2">
        <f t="shared" si="195"/>
        <v>-2051.1999999999998</v>
      </c>
      <c r="CI309" s="2">
        <f t="shared" si="196"/>
        <v>0</v>
      </c>
      <c r="CJ309" s="2">
        <f t="shared" si="197"/>
        <v>0</v>
      </c>
      <c r="CK309" s="2">
        <f t="shared" si="198"/>
        <v>0</v>
      </c>
      <c r="CL309" s="2">
        <f t="shared" si="199"/>
        <v>0</v>
      </c>
      <c r="CM309" s="2">
        <f t="shared" si="170"/>
        <v>0</v>
      </c>
      <c r="CN309" s="2">
        <f t="shared" si="171"/>
        <v>0</v>
      </c>
      <c r="CO309" s="2">
        <f t="shared" si="172"/>
        <v>0</v>
      </c>
      <c r="CP309" s="2">
        <f t="shared" si="173"/>
        <v>0</v>
      </c>
      <c r="CQ309" s="2">
        <f t="shared" si="174"/>
        <v>0</v>
      </c>
      <c r="CR309" s="2">
        <f t="shared" si="175"/>
        <v>0</v>
      </c>
      <c r="CV309" t="s">
        <v>64</v>
      </c>
      <c r="CW309" t="s">
        <v>382</v>
      </c>
      <c r="CX309" t="s">
        <v>12</v>
      </c>
      <c r="CY309" s="4">
        <v>42738</v>
      </c>
      <c r="CZ309" t="s">
        <v>65</v>
      </c>
      <c r="DA309" t="s">
        <v>66</v>
      </c>
      <c r="DB309">
        <v>1000</v>
      </c>
      <c r="DC309">
        <v>34.5</v>
      </c>
      <c r="DD309" t="s">
        <v>69</v>
      </c>
      <c r="DE309" t="s">
        <v>70</v>
      </c>
      <c r="DF309">
        <v>34500</v>
      </c>
    </row>
    <row r="310" spans="1:110" x14ac:dyDescent="0.25">
      <c r="A310" s="1">
        <v>43185</v>
      </c>
      <c r="B310">
        <v>170.18</v>
      </c>
      <c r="C310">
        <v>91.57</v>
      </c>
      <c r="D310">
        <v>322.61</v>
      </c>
      <c r="E310">
        <v>145.66999999999999</v>
      </c>
      <c r="F310">
        <v>42.75</v>
      </c>
      <c r="G310">
        <v>111.05</v>
      </c>
      <c r="H310">
        <v>99.08</v>
      </c>
      <c r="I310">
        <v>63.33</v>
      </c>
      <c r="J310">
        <v>252.12</v>
      </c>
      <c r="K310">
        <v>173.47</v>
      </c>
      <c r="L310">
        <v>146.47</v>
      </c>
      <c r="M310">
        <v>51.21</v>
      </c>
      <c r="N310">
        <v>124.82</v>
      </c>
      <c r="O310">
        <v>107.53</v>
      </c>
      <c r="P310">
        <v>41.63</v>
      </c>
      <c r="Q310">
        <v>155.08000000000001</v>
      </c>
      <c r="R310">
        <v>214.33</v>
      </c>
      <c r="S310">
        <v>52.89</v>
      </c>
      <c r="T310">
        <v>92.62</v>
      </c>
      <c r="U310">
        <v>65.36</v>
      </c>
      <c r="V310">
        <v>33.85</v>
      </c>
      <c r="W310">
        <v>73.790000000000006</v>
      </c>
      <c r="X310">
        <v>135.76</v>
      </c>
      <c r="Y310">
        <v>216.87</v>
      </c>
      <c r="Z310">
        <v>123.81</v>
      </c>
      <c r="AA310">
        <v>119.84</v>
      </c>
      <c r="AB310">
        <v>44.98</v>
      </c>
      <c r="AC310">
        <v>65.88</v>
      </c>
      <c r="AD310">
        <v>85.98</v>
      </c>
      <c r="AE310">
        <v>70.989999999999995</v>
      </c>
      <c r="AI310" s="2">
        <v>5000</v>
      </c>
      <c r="AJ310" s="2">
        <f t="shared" ref="AJ310:AP310" si="206">AJ309+10</f>
        <v>1220</v>
      </c>
      <c r="AK310" s="2">
        <f t="shared" si="206"/>
        <v>1220</v>
      </c>
      <c r="AL310" s="2">
        <f t="shared" si="206"/>
        <v>1220</v>
      </c>
      <c r="AM310" s="2">
        <f t="shared" si="206"/>
        <v>1220</v>
      </c>
      <c r="AN310" s="2">
        <f t="shared" si="206"/>
        <v>1220</v>
      </c>
      <c r="AO310" s="2">
        <f t="shared" si="206"/>
        <v>1220</v>
      </c>
      <c r="AP310" s="2">
        <f t="shared" si="206"/>
        <v>1100</v>
      </c>
      <c r="AQ310" s="2">
        <v>1000</v>
      </c>
      <c r="AR310" s="2">
        <v>0</v>
      </c>
      <c r="AS310" s="2">
        <v>10</v>
      </c>
      <c r="AT310" s="2">
        <v>0</v>
      </c>
      <c r="AU310" s="2">
        <v>0</v>
      </c>
      <c r="AV310" s="2">
        <v>0</v>
      </c>
      <c r="AW310" s="2">
        <v>0</v>
      </c>
      <c r="AX310" s="2">
        <v>0</v>
      </c>
      <c r="AY310" s="2">
        <v>0</v>
      </c>
      <c r="AZ310" s="2">
        <v>1024</v>
      </c>
      <c r="BA310" s="2">
        <v>970</v>
      </c>
      <c r="BB310" s="2">
        <v>1065</v>
      </c>
      <c r="BC310" s="2">
        <v>-1000</v>
      </c>
      <c r="BD310" s="2">
        <v>-7500</v>
      </c>
      <c r="BE310" s="2">
        <v>5000</v>
      </c>
      <c r="BF310" s="2">
        <v>3000</v>
      </c>
      <c r="BG310" s="2">
        <v>5000</v>
      </c>
      <c r="BH310" s="2">
        <v>0</v>
      </c>
      <c r="BI310" s="2">
        <v>3000</v>
      </c>
      <c r="BJ310" s="2">
        <v>-1500</v>
      </c>
      <c r="BK310" s="2">
        <v>1000</v>
      </c>
      <c r="BL310" s="2">
        <v>1000</v>
      </c>
      <c r="BO310" s="2">
        <f t="shared" si="169"/>
        <v>0</v>
      </c>
      <c r="BP310" s="2">
        <f t="shared" si="177"/>
        <v>-915.69999999999993</v>
      </c>
      <c r="BQ310" s="2">
        <f t="shared" si="178"/>
        <v>-3226.1000000000004</v>
      </c>
      <c r="BR310" s="2">
        <f t="shared" si="179"/>
        <v>-1456.6999999999998</v>
      </c>
      <c r="BS310" s="2">
        <f t="shared" si="180"/>
        <v>-427.5</v>
      </c>
      <c r="BT310" s="2">
        <f t="shared" si="181"/>
        <v>-1110.5</v>
      </c>
      <c r="BU310" s="2">
        <f t="shared" si="182"/>
        <v>-990.8</v>
      </c>
      <c r="BV310" s="2">
        <f t="shared" si="183"/>
        <v>-633.29999999999995</v>
      </c>
      <c r="BW310" s="2">
        <f t="shared" si="184"/>
        <v>0</v>
      </c>
      <c r="BX310" s="2">
        <f t="shared" si="185"/>
        <v>0</v>
      </c>
      <c r="BY310" s="2">
        <f t="shared" si="186"/>
        <v>0</v>
      </c>
      <c r="BZ310" s="2">
        <f t="shared" si="187"/>
        <v>0</v>
      </c>
      <c r="CA310" s="2">
        <f t="shared" si="188"/>
        <v>0</v>
      </c>
      <c r="CB310" s="2">
        <f t="shared" si="189"/>
        <v>0</v>
      </c>
      <c r="CC310" s="2">
        <f t="shared" si="190"/>
        <v>0</v>
      </c>
      <c r="CD310" s="2">
        <f t="shared" si="191"/>
        <v>0</v>
      </c>
      <c r="CE310" s="2">
        <f t="shared" si="192"/>
        <v>0</v>
      </c>
      <c r="CF310" s="2">
        <f t="shared" si="193"/>
        <v>-2485.83</v>
      </c>
      <c r="CG310" s="2">
        <f t="shared" si="194"/>
        <v>2408.12</v>
      </c>
      <c r="CH310" s="2">
        <f t="shared" si="195"/>
        <v>-6536</v>
      </c>
      <c r="CI310" s="2">
        <f t="shared" si="196"/>
        <v>0</v>
      </c>
      <c r="CJ310" s="2">
        <f t="shared" si="197"/>
        <v>0</v>
      </c>
      <c r="CK310" s="2">
        <f t="shared" si="198"/>
        <v>0</v>
      </c>
      <c r="CL310" s="2">
        <f t="shared" si="199"/>
        <v>0</v>
      </c>
      <c r="CM310" s="2">
        <f t="shared" si="170"/>
        <v>0</v>
      </c>
      <c r="CN310" s="2">
        <f t="shared" si="171"/>
        <v>0</v>
      </c>
      <c r="CO310" s="2">
        <f t="shared" si="172"/>
        <v>0</v>
      </c>
      <c r="CP310" s="2">
        <f t="shared" si="173"/>
        <v>0</v>
      </c>
      <c r="CQ310" s="2">
        <f t="shared" si="174"/>
        <v>0</v>
      </c>
      <c r="CR310" s="2">
        <f t="shared" si="175"/>
        <v>0</v>
      </c>
      <c r="CV310" t="s">
        <v>64</v>
      </c>
      <c r="CW310" t="s">
        <v>383</v>
      </c>
      <c r="CX310" t="s">
        <v>12</v>
      </c>
      <c r="CY310" s="4">
        <v>42859</v>
      </c>
      <c r="CZ310" t="s">
        <v>67</v>
      </c>
      <c r="DA310" t="s">
        <v>68</v>
      </c>
      <c r="DB310">
        <v>1000</v>
      </c>
      <c r="DC310">
        <v>35.24</v>
      </c>
      <c r="DD310" t="s">
        <v>69</v>
      </c>
      <c r="DE310" t="s">
        <v>70</v>
      </c>
      <c r="DF310">
        <v>35240</v>
      </c>
    </row>
    <row r="311" spans="1:110" x14ac:dyDescent="0.25">
      <c r="A311" s="1">
        <v>43186</v>
      </c>
      <c r="B311">
        <v>165.82</v>
      </c>
      <c r="C311">
        <v>90.38</v>
      </c>
      <c r="D311">
        <v>314.91000000000003</v>
      </c>
      <c r="E311">
        <v>143.52000000000001</v>
      </c>
      <c r="F311">
        <v>41.41</v>
      </c>
      <c r="G311">
        <v>110.39</v>
      </c>
      <c r="H311">
        <v>97.81</v>
      </c>
      <c r="I311">
        <v>62.51</v>
      </c>
      <c r="J311">
        <v>244.59</v>
      </c>
      <c r="K311">
        <v>171.79</v>
      </c>
      <c r="L311">
        <v>145.08000000000001</v>
      </c>
      <c r="M311">
        <v>49.96</v>
      </c>
      <c r="N311">
        <v>124.64</v>
      </c>
      <c r="O311">
        <v>105.44</v>
      </c>
      <c r="P311">
        <v>41.82</v>
      </c>
      <c r="Q311">
        <v>154.56</v>
      </c>
      <c r="R311">
        <v>210.08</v>
      </c>
      <c r="S311">
        <v>52.61</v>
      </c>
      <c r="T311">
        <v>88.36</v>
      </c>
      <c r="U311">
        <v>65.63</v>
      </c>
      <c r="V311">
        <v>33.82</v>
      </c>
      <c r="W311">
        <v>75.12</v>
      </c>
      <c r="X311">
        <v>134.31</v>
      </c>
      <c r="Y311">
        <v>215.77</v>
      </c>
      <c r="Z311">
        <v>122.48</v>
      </c>
      <c r="AA311">
        <v>116.62</v>
      </c>
      <c r="AB311">
        <v>45.21</v>
      </c>
      <c r="AC311">
        <v>64.400000000000006</v>
      </c>
      <c r="AD311">
        <v>84.56</v>
      </c>
      <c r="AE311">
        <v>70.709999999999994</v>
      </c>
      <c r="AI311" s="2">
        <v>5000</v>
      </c>
      <c r="AJ311" s="2">
        <f t="shared" ref="AJ311:AP311" si="207">AJ310</f>
        <v>1220</v>
      </c>
      <c r="AK311" s="2">
        <f t="shared" si="207"/>
        <v>1220</v>
      </c>
      <c r="AL311" s="2">
        <f t="shared" si="207"/>
        <v>1220</v>
      </c>
      <c r="AM311" s="2">
        <f t="shared" si="207"/>
        <v>1220</v>
      </c>
      <c r="AN311" s="2">
        <f t="shared" si="207"/>
        <v>1220</v>
      </c>
      <c r="AO311" s="2">
        <f t="shared" si="207"/>
        <v>1220</v>
      </c>
      <c r="AP311" s="2">
        <f t="shared" si="207"/>
        <v>1100</v>
      </c>
      <c r="AQ311" s="2">
        <v>1000</v>
      </c>
      <c r="AR311" s="2">
        <v>0</v>
      </c>
      <c r="AS311" s="2">
        <v>10</v>
      </c>
      <c r="AT311" s="2">
        <v>0</v>
      </c>
      <c r="AU311" s="2">
        <v>0</v>
      </c>
      <c r="AV311" s="2">
        <v>0</v>
      </c>
      <c r="AW311" s="2">
        <v>0</v>
      </c>
      <c r="AX311" s="2">
        <v>0</v>
      </c>
      <c r="AY311" s="2">
        <v>0</v>
      </c>
      <c r="AZ311" s="2">
        <v>988</v>
      </c>
      <c r="BA311" s="2">
        <v>1054</v>
      </c>
      <c r="BB311" s="2">
        <v>985</v>
      </c>
      <c r="BC311" s="2">
        <v>-1000</v>
      </c>
      <c r="BD311" s="2">
        <v>-7500</v>
      </c>
      <c r="BE311" s="2">
        <v>5000</v>
      </c>
      <c r="BF311" s="2">
        <v>3000</v>
      </c>
      <c r="BG311" s="2">
        <v>5000</v>
      </c>
      <c r="BH311" s="2">
        <v>0</v>
      </c>
      <c r="BI311" s="2">
        <v>3000</v>
      </c>
      <c r="BJ311" s="2">
        <v>-1500</v>
      </c>
      <c r="BK311" s="2">
        <v>1000</v>
      </c>
      <c r="BL311" s="2">
        <v>1000</v>
      </c>
      <c r="BO311" s="2">
        <f t="shared" si="169"/>
        <v>0</v>
      </c>
      <c r="BP311" s="2">
        <f t="shared" si="177"/>
        <v>0</v>
      </c>
      <c r="BQ311" s="2">
        <f t="shared" si="178"/>
        <v>0</v>
      </c>
      <c r="BR311" s="2">
        <f t="shared" si="179"/>
        <v>0</v>
      </c>
      <c r="BS311" s="2">
        <f t="shared" si="180"/>
        <v>0</v>
      </c>
      <c r="BT311" s="2">
        <f t="shared" si="181"/>
        <v>0</v>
      </c>
      <c r="BU311" s="2">
        <f t="shared" si="182"/>
        <v>0</v>
      </c>
      <c r="BV311" s="2">
        <f t="shared" si="183"/>
        <v>0</v>
      </c>
      <c r="BW311" s="2">
        <f t="shared" si="184"/>
        <v>0</v>
      </c>
      <c r="BX311" s="2">
        <f t="shared" si="185"/>
        <v>0</v>
      </c>
      <c r="BY311" s="2">
        <f t="shared" si="186"/>
        <v>0</v>
      </c>
      <c r="BZ311" s="2">
        <f t="shared" si="187"/>
        <v>0</v>
      </c>
      <c r="CA311" s="2">
        <f t="shared" si="188"/>
        <v>0</v>
      </c>
      <c r="CB311" s="2">
        <f t="shared" si="189"/>
        <v>0</v>
      </c>
      <c r="CC311" s="2">
        <f t="shared" si="190"/>
        <v>0</v>
      </c>
      <c r="CD311" s="2">
        <f t="shared" si="191"/>
        <v>0</v>
      </c>
      <c r="CE311" s="2">
        <f t="shared" si="192"/>
        <v>0</v>
      </c>
      <c r="CF311" s="2">
        <f t="shared" si="193"/>
        <v>1893.96</v>
      </c>
      <c r="CG311" s="2">
        <f t="shared" si="194"/>
        <v>-7422.24</v>
      </c>
      <c r="CH311" s="2">
        <f t="shared" si="195"/>
        <v>5250.4</v>
      </c>
      <c r="CI311" s="2">
        <f t="shared" si="196"/>
        <v>0</v>
      </c>
      <c r="CJ311" s="2">
        <f t="shared" si="197"/>
        <v>0</v>
      </c>
      <c r="CK311" s="2">
        <f t="shared" si="198"/>
        <v>0</v>
      </c>
      <c r="CL311" s="2">
        <f t="shared" si="199"/>
        <v>0</v>
      </c>
      <c r="CM311" s="2">
        <f t="shared" si="170"/>
        <v>0</v>
      </c>
      <c r="CN311" s="2">
        <f t="shared" si="171"/>
        <v>0</v>
      </c>
      <c r="CO311" s="2">
        <f t="shared" si="172"/>
        <v>0</v>
      </c>
      <c r="CP311" s="2">
        <f t="shared" si="173"/>
        <v>0</v>
      </c>
      <c r="CQ311" s="2">
        <f t="shared" si="174"/>
        <v>0</v>
      </c>
      <c r="CR311" s="2">
        <f t="shared" si="175"/>
        <v>0</v>
      </c>
      <c r="CV311" t="s">
        <v>64</v>
      </c>
      <c r="CW311" t="s">
        <v>384</v>
      </c>
      <c r="CX311" t="s">
        <v>13</v>
      </c>
      <c r="CY311" s="4">
        <v>42738</v>
      </c>
      <c r="CZ311" t="s">
        <v>65</v>
      </c>
      <c r="DA311" t="s">
        <v>66</v>
      </c>
      <c r="DB311">
        <v>1000</v>
      </c>
      <c r="DC311">
        <v>109.92</v>
      </c>
      <c r="DD311" t="s">
        <v>69</v>
      </c>
      <c r="DE311" t="s">
        <v>70</v>
      </c>
      <c r="DF311">
        <v>109920</v>
      </c>
    </row>
    <row r="312" spans="1:110" x14ac:dyDescent="0.25">
      <c r="A312" s="1">
        <v>43187</v>
      </c>
      <c r="B312">
        <v>163.98</v>
      </c>
      <c r="C312">
        <v>91.16</v>
      </c>
      <c r="D312">
        <v>313.83</v>
      </c>
      <c r="E312">
        <v>141.72999999999999</v>
      </c>
      <c r="F312">
        <v>40.42</v>
      </c>
      <c r="G312">
        <v>107.93</v>
      </c>
      <c r="H312">
        <v>97</v>
      </c>
      <c r="I312">
        <v>61.3</v>
      </c>
      <c r="J312">
        <v>246.67</v>
      </c>
      <c r="K312">
        <v>171.87</v>
      </c>
      <c r="L312">
        <v>145.66</v>
      </c>
      <c r="M312">
        <v>48.4</v>
      </c>
      <c r="N312">
        <v>124.88</v>
      </c>
      <c r="O312">
        <v>105.28</v>
      </c>
      <c r="P312">
        <v>42.24</v>
      </c>
      <c r="Q312">
        <v>155.47</v>
      </c>
      <c r="R312">
        <v>210.73</v>
      </c>
      <c r="S312">
        <v>53.92</v>
      </c>
      <c r="T312">
        <v>88.28</v>
      </c>
      <c r="U312">
        <v>64.900000000000006</v>
      </c>
      <c r="V312">
        <v>34.1</v>
      </c>
      <c r="W312">
        <v>76.13</v>
      </c>
      <c r="X312">
        <v>136.32</v>
      </c>
      <c r="Y312">
        <v>216.31</v>
      </c>
      <c r="Z312">
        <v>121.67</v>
      </c>
      <c r="AA312">
        <v>116.22</v>
      </c>
      <c r="AB312">
        <v>45.87</v>
      </c>
      <c r="AC312">
        <v>65.989999999999995</v>
      </c>
      <c r="AD312">
        <v>86.25</v>
      </c>
      <c r="AE312">
        <v>69.849999999999994</v>
      </c>
      <c r="AI312" s="2">
        <v>5000</v>
      </c>
      <c r="AJ312" s="2">
        <f t="shared" ref="AJ312:AP337" si="208">AJ311</f>
        <v>1220</v>
      </c>
      <c r="AK312" s="2">
        <f t="shared" si="208"/>
        <v>1220</v>
      </c>
      <c r="AL312" s="2">
        <f t="shared" si="208"/>
        <v>1220</v>
      </c>
      <c r="AM312" s="2">
        <f t="shared" si="208"/>
        <v>1220</v>
      </c>
      <c r="AN312" s="2">
        <f t="shared" si="208"/>
        <v>1220</v>
      </c>
      <c r="AO312" s="2">
        <f t="shared" si="208"/>
        <v>1220</v>
      </c>
      <c r="AP312" s="2">
        <f t="shared" si="208"/>
        <v>1100</v>
      </c>
      <c r="AQ312" s="2">
        <v>1000</v>
      </c>
      <c r="AR312" s="2">
        <v>0</v>
      </c>
      <c r="AS312" s="2">
        <v>10</v>
      </c>
      <c r="AT312" s="2">
        <v>0</v>
      </c>
      <c r="AU312" s="2">
        <v>0</v>
      </c>
      <c r="AV312" s="2">
        <v>0</v>
      </c>
      <c r="AW312" s="2">
        <v>0</v>
      </c>
      <c r="AX312" s="2">
        <v>0</v>
      </c>
      <c r="AY312" s="2">
        <v>0</v>
      </c>
      <c r="AZ312" s="2">
        <v>960</v>
      </c>
      <c r="BA312" s="2">
        <v>1050</v>
      </c>
      <c r="BB312" s="2">
        <v>1005</v>
      </c>
      <c r="BC312" s="2">
        <v>-1000</v>
      </c>
      <c r="BD312" s="2">
        <v>-7500</v>
      </c>
      <c r="BE312" s="2">
        <v>5000</v>
      </c>
      <c r="BF312" s="2">
        <v>3000</v>
      </c>
      <c r="BG312" s="2">
        <v>5000</v>
      </c>
      <c r="BH312" s="2">
        <v>2500</v>
      </c>
      <c r="BI312" s="2">
        <v>3000</v>
      </c>
      <c r="BJ312" s="2">
        <v>-1500</v>
      </c>
      <c r="BK312" s="2">
        <v>1000</v>
      </c>
      <c r="BL312" s="2">
        <v>1000</v>
      </c>
      <c r="BO312" s="2">
        <f t="shared" si="169"/>
        <v>0</v>
      </c>
      <c r="BP312" s="2">
        <f t="shared" si="177"/>
        <v>0</v>
      </c>
      <c r="BQ312" s="2">
        <f t="shared" si="178"/>
        <v>0</v>
      </c>
      <c r="BR312" s="2">
        <f t="shared" si="179"/>
        <v>0</v>
      </c>
      <c r="BS312" s="2">
        <f t="shared" si="180"/>
        <v>0</v>
      </c>
      <c r="BT312" s="2">
        <f t="shared" si="181"/>
        <v>0</v>
      </c>
      <c r="BU312" s="2">
        <f t="shared" si="182"/>
        <v>0</v>
      </c>
      <c r="BV312" s="2">
        <f t="shared" si="183"/>
        <v>0</v>
      </c>
      <c r="BW312" s="2">
        <f t="shared" si="184"/>
        <v>0</v>
      </c>
      <c r="BX312" s="2">
        <f t="shared" si="185"/>
        <v>0</v>
      </c>
      <c r="BY312" s="2">
        <f t="shared" si="186"/>
        <v>0</v>
      </c>
      <c r="BZ312" s="2">
        <f t="shared" si="187"/>
        <v>0</v>
      </c>
      <c r="CA312" s="2">
        <f t="shared" si="188"/>
        <v>0</v>
      </c>
      <c r="CB312" s="2">
        <f t="shared" si="189"/>
        <v>0</v>
      </c>
      <c r="CC312" s="2">
        <f t="shared" si="190"/>
        <v>0</v>
      </c>
      <c r="CD312" s="2">
        <f t="shared" si="191"/>
        <v>0</v>
      </c>
      <c r="CE312" s="2">
        <f t="shared" si="192"/>
        <v>0</v>
      </c>
      <c r="CF312" s="2">
        <f t="shared" si="193"/>
        <v>1509.76</v>
      </c>
      <c r="CG312" s="2">
        <f t="shared" si="194"/>
        <v>353.12</v>
      </c>
      <c r="CH312" s="2">
        <f t="shared" si="195"/>
        <v>-1298</v>
      </c>
      <c r="CI312" s="2">
        <f t="shared" si="196"/>
        <v>0</v>
      </c>
      <c r="CJ312" s="2">
        <f t="shared" si="197"/>
        <v>0</v>
      </c>
      <c r="CK312" s="2">
        <f t="shared" si="198"/>
        <v>0</v>
      </c>
      <c r="CL312" s="2">
        <f t="shared" si="199"/>
        <v>0</v>
      </c>
      <c r="CM312" s="2">
        <f t="shared" si="170"/>
        <v>0</v>
      </c>
      <c r="CN312" s="2">
        <f t="shared" si="171"/>
        <v>-290550</v>
      </c>
      <c r="CO312" s="2">
        <f t="shared" si="172"/>
        <v>0</v>
      </c>
      <c r="CP312" s="2">
        <f t="shared" si="173"/>
        <v>0</v>
      </c>
      <c r="CQ312" s="2">
        <f t="shared" si="174"/>
        <v>0</v>
      </c>
      <c r="CR312" s="2">
        <f t="shared" si="175"/>
        <v>0</v>
      </c>
      <c r="CV312" t="s">
        <v>64</v>
      </c>
      <c r="CW312" t="s">
        <v>385</v>
      </c>
      <c r="CX312" t="s">
        <v>13</v>
      </c>
      <c r="CY312" s="4">
        <v>43182</v>
      </c>
      <c r="CZ312" t="s">
        <v>67</v>
      </c>
      <c r="DA312" t="s">
        <v>68</v>
      </c>
      <c r="DB312">
        <v>1000</v>
      </c>
      <c r="DC312">
        <v>122.58</v>
      </c>
      <c r="DD312" t="s">
        <v>69</v>
      </c>
      <c r="DE312" t="s">
        <v>70</v>
      </c>
      <c r="DF312">
        <v>122580</v>
      </c>
    </row>
    <row r="313" spans="1:110" x14ac:dyDescent="0.25">
      <c r="A313" s="1">
        <v>43188</v>
      </c>
      <c r="B313">
        <v>165.26</v>
      </c>
      <c r="C313">
        <v>92.22</v>
      </c>
      <c r="D313">
        <v>321.54000000000002</v>
      </c>
      <c r="E313">
        <v>143.9</v>
      </c>
      <c r="F313">
        <v>41.61</v>
      </c>
      <c r="G313">
        <v>109.79</v>
      </c>
      <c r="H313">
        <v>98.87</v>
      </c>
      <c r="I313">
        <v>62.58</v>
      </c>
      <c r="J313">
        <v>249.14</v>
      </c>
      <c r="K313">
        <v>175.3</v>
      </c>
      <c r="L313">
        <v>146.53</v>
      </c>
      <c r="M313">
        <v>50.82</v>
      </c>
      <c r="N313">
        <v>125.56</v>
      </c>
      <c r="O313">
        <v>107.2</v>
      </c>
      <c r="P313">
        <v>42.35</v>
      </c>
      <c r="Q313">
        <v>153.47999999999999</v>
      </c>
      <c r="R313">
        <v>213.63</v>
      </c>
      <c r="S313">
        <v>53.31</v>
      </c>
      <c r="T313">
        <v>90.14</v>
      </c>
      <c r="U313">
        <v>65.900000000000006</v>
      </c>
      <c r="V313">
        <v>34.28</v>
      </c>
      <c r="W313">
        <v>76.56</v>
      </c>
      <c r="X313">
        <v>136.38999999999999</v>
      </c>
      <c r="Y313">
        <v>211.85</v>
      </c>
      <c r="Z313">
        <v>123.01</v>
      </c>
      <c r="AA313">
        <v>118.83</v>
      </c>
      <c r="AB313">
        <v>45.7</v>
      </c>
      <c r="AC313">
        <v>63.92</v>
      </c>
      <c r="AD313">
        <v>87.43</v>
      </c>
      <c r="AE313">
        <v>71.58</v>
      </c>
      <c r="AI313" s="2">
        <v>5000</v>
      </c>
      <c r="AJ313" s="2">
        <f t="shared" si="208"/>
        <v>1220</v>
      </c>
      <c r="AK313" s="2">
        <f t="shared" si="208"/>
        <v>1220</v>
      </c>
      <c r="AL313" s="2">
        <f t="shared" si="208"/>
        <v>1220</v>
      </c>
      <c r="AM313" s="2">
        <f t="shared" si="208"/>
        <v>1220</v>
      </c>
      <c r="AN313" s="2">
        <f t="shared" si="208"/>
        <v>1220</v>
      </c>
      <c r="AO313" s="2">
        <f t="shared" si="208"/>
        <v>1220</v>
      </c>
      <c r="AP313" s="2">
        <f t="shared" si="208"/>
        <v>1100</v>
      </c>
      <c r="AQ313" s="2">
        <v>1000</v>
      </c>
      <c r="AR313" s="2">
        <v>0</v>
      </c>
      <c r="AS313" s="2">
        <v>10</v>
      </c>
      <c r="AT313" s="2">
        <v>0</v>
      </c>
      <c r="AU313" s="2">
        <v>0</v>
      </c>
      <c r="AV313" s="2">
        <v>0</v>
      </c>
      <c r="AW313" s="2">
        <v>0</v>
      </c>
      <c r="AX313" s="2">
        <v>0</v>
      </c>
      <c r="AY313" s="2">
        <v>0</v>
      </c>
      <c r="AZ313" s="2">
        <v>999</v>
      </c>
      <c r="BA313" s="2">
        <v>1031</v>
      </c>
      <c r="BB313" s="2">
        <v>978</v>
      </c>
      <c r="BC313" s="2">
        <v>-1000</v>
      </c>
      <c r="BD313" s="2">
        <v>-7500</v>
      </c>
      <c r="BE313" s="2">
        <v>5000</v>
      </c>
      <c r="BF313" s="2">
        <v>3000</v>
      </c>
      <c r="BG313" s="2">
        <v>5000</v>
      </c>
      <c r="BH313" s="2">
        <v>2000</v>
      </c>
      <c r="BI313" s="2">
        <v>3000</v>
      </c>
      <c r="BJ313" s="2">
        <v>-1500</v>
      </c>
      <c r="BK313" s="2">
        <v>1000</v>
      </c>
      <c r="BL313" s="2">
        <v>1000</v>
      </c>
      <c r="BO313" s="2">
        <f t="shared" si="169"/>
        <v>0</v>
      </c>
      <c r="BP313" s="2">
        <f t="shared" si="177"/>
        <v>0</v>
      </c>
      <c r="BQ313" s="2">
        <f t="shared" si="178"/>
        <v>0</v>
      </c>
      <c r="BR313" s="2">
        <f t="shared" si="179"/>
        <v>0</v>
      </c>
      <c r="BS313" s="2">
        <f t="shared" si="180"/>
        <v>0</v>
      </c>
      <c r="BT313" s="2">
        <f t="shared" si="181"/>
        <v>0</v>
      </c>
      <c r="BU313" s="2">
        <f t="shared" si="182"/>
        <v>0</v>
      </c>
      <c r="BV313" s="2">
        <f t="shared" si="183"/>
        <v>0</v>
      </c>
      <c r="BW313" s="2">
        <f t="shared" si="184"/>
        <v>0</v>
      </c>
      <c r="BX313" s="2">
        <f t="shared" si="185"/>
        <v>0</v>
      </c>
      <c r="BY313" s="2">
        <f t="shared" si="186"/>
        <v>0</v>
      </c>
      <c r="BZ313" s="2">
        <f t="shared" si="187"/>
        <v>0</v>
      </c>
      <c r="CA313" s="2">
        <f t="shared" si="188"/>
        <v>0</v>
      </c>
      <c r="CB313" s="2">
        <f t="shared" si="189"/>
        <v>0</v>
      </c>
      <c r="CC313" s="2">
        <f t="shared" si="190"/>
        <v>0</v>
      </c>
      <c r="CD313" s="2">
        <f t="shared" si="191"/>
        <v>0</v>
      </c>
      <c r="CE313" s="2">
        <f t="shared" si="192"/>
        <v>0</v>
      </c>
      <c r="CF313" s="2">
        <f t="shared" si="193"/>
        <v>-2079.09</v>
      </c>
      <c r="CG313" s="2">
        <f t="shared" si="194"/>
        <v>1712.66</v>
      </c>
      <c r="CH313" s="2">
        <f t="shared" si="195"/>
        <v>1779.3000000000002</v>
      </c>
      <c r="CI313" s="2">
        <f t="shared" si="196"/>
        <v>0</v>
      </c>
      <c r="CJ313" s="2">
        <f t="shared" si="197"/>
        <v>0</v>
      </c>
      <c r="CK313" s="2">
        <f t="shared" si="198"/>
        <v>0</v>
      </c>
      <c r="CL313" s="2">
        <f t="shared" si="199"/>
        <v>0</v>
      </c>
      <c r="CM313" s="2">
        <f t="shared" si="170"/>
        <v>0</v>
      </c>
      <c r="CN313" s="2">
        <f t="shared" si="171"/>
        <v>59415</v>
      </c>
      <c r="CO313" s="2">
        <f t="shared" si="172"/>
        <v>0</v>
      </c>
      <c r="CP313" s="2">
        <f t="shared" si="173"/>
        <v>0</v>
      </c>
      <c r="CQ313" s="2">
        <f t="shared" si="174"/>
        <v>0</v>
      </c>
      <c r="CR313" s="2">
        <f t="shared" si="175"/>
        <v>0</v>
      </c>
      <c r="CV313" t="s">
        <v>64</v>
      </c>
      <c r="CW313" t="s">
        <v>386</v>
      </c>
      <c r="CX313" t="s">
        <v>14</v>
      </c>
      <c r="CY313" s="4">
        <v>42738</v>
      </c>
      <c r="CZ313" t="s">
        <v>65</v>
      </c>
      <c r="DA313" t="s">
        <v>66</v>
      </c>
      <c r="DB313">
        <v>1000</v>
      </c>
      <c r="DC313">
        <v>82.7</v>
      </c>
      <c r="DD313" t="s">
        <v>69</v>
      </c>
      <c r="DE313" t="s">
        <v>70</v>
      </c>
      <c r="DF313">
        <v>82700</v>
      </c>
    </row>
    <row r="314" spans="1:110" x14ac:dyDescent="0.25">
      <c r="A314" s="1">
        <v>43192</v>
      </c>
      <c r="B314">
        <v>164.18</v>
      </c>
      <c r="C314">
        <v>89.97</v>
      </c>
      <c r="D314">
        <v>316.20999999999998</v>
      </c>
      <c r="E314">
        <v>140.49</v>
      </c>
      <c r="F314">
        <v>39.79</v>
      </c>
      <c r="G314">
        <v>108.06</v>
      </c>
      <c r="H314">
        <v>97.12</v>
      </c>
      <c r="I314">
        <v>60.94</v>
      </c>
      <c r="J314">
        <v>244.67</v>
      </c>
      <c r="K314">
        <v>170.04</v>
      </c>
      <c r="L314">
        <v>143.32</v>
      </c>
      <c r="M314">
        <v>47.74</v>
      </c>
      <c r="N314">
        <v>122.05</v>
      </c>
      <c r="O314">
        <v>105.13</v>
      </c>
      <c r="P314">
        <v>41.61</v>
      </c>
      <c r="Q314">
        <v>154.80000000000001</v>
      </c>
      <c r="R314">
        <v>206.92</v>
      </c>
      <c r="S314">
        <v>52.14</v>
      </c>
      <c r="T314">
        <v>87.42</v>
      </c>
      <c r="U314">
        <v>63.6</v>
      </c>
      <c r="V314">
        <v>33.86</v>
      </c>
      <c r="W314">
        <v>74.739999999999995</v>
      </c>
      <c r="X314">
        <v>132.44</v>
      </c>
      <c r="Y314">
        <v>215.02</v>
      </c>
      <c r="Z314">
        <v>120.72</v>
      </c>
      <c r="AA314">
        <v>117.61</v>
      </c>
      <c r="AB314">
        <v>45.07</v>
      </c>
      <c r="AC314">
        <v>61.61</v>
      </c>
      <c r="AD314">
        <v>84.06</v>
      </c>
      <c r="AE314">
        <v>70.25</v>
      </c>
      <c r="AI314" s="2">
        <v>5000</v>
      </c>
      <c r="AJ314" s="2">
        <f t="shared" si="208"/>
        <v>1220</v>
      </c>
      <c r="AK314" s="2">
        <f t="shared" si="208"/>
        <v>1220</v>
      </c>
      <c r="AL314" s="2">
        <f t="shared" si="208"/>
        <v>1220</v>
      </c>
      <c r="AM314" s="2">
        <f t="shared" si="208"/>
        <v>1220</v>
      </c>
      <c r="AN314" s="2">
        <f t="shared" si="208"/>
        <v>1220</v>
      </c>
      <c r="AO314" s="2">
        <f t="shared" si="208"/>
        <v>1220</v>
      </c>
      <c r="AP314" s="2">
        <f t="shared" si="208"/>
        <v>1100</v>
      </c>
      <c r="AQ314" s="2">
        <v>1000</v>
      </c>
      <c r="AR314" s="2">
        <v>0</v>
      </c>
      <c r="AS314" s="2">
        <v>10</v>
      </c>
      <c r="AT314" s="2">
        <v>0</v>
      </c>
      <c r="AU314" s="2">
        <v>0</v>
      </c>
      <c r="AV314" s="2">
        <v>0</v>
      </c>
      <c r="AW314" s="2">
        <v>0</v>
      </c>
      <c r="AX314" s="2">
        <v>0</v>
      </c>
      <c r="AY314" s="2">
        <v>0</v>
      </c>
      <c r="AZ314" s="2">
        <v>979</v>
      </c>
      <c r="BA314" s="2">
        <v>948</v>
      </c>
      <c r="BB314" s="2">
        <v>1004</v>
      </c>
      <c r="BC314" s="2">
        <v>-1000</v>
      </c>
      <c r="BD314" s="2">
        <v>-7500</v>
      </c>
      <c r="BE314" s="2">
        <v>5000</v>
      </c>
      <c r="BF314" s="2">
        <v>3000</v>
      </c>
      <c r="BG314" s="2">
        <v>5000</v>
      </c>
      <c r="BH314" s="2">
        <v>2500</v>
      </c>
      <c r="BI314" s="2">
        <v>3000</v>
      </c>
      <c r="BJ314" s="2">
        <v>-1500</v>
      </c>
      <c r="BK314" s="2">
        <v>1000</v>
      </c>
      <c r="BL314" s="2">
        <v>1000</v>
      </c>
      <c r="BO314" s="2">
        <f t="shared" si="169"/>
        <v>0</v>
      </c>
      <c r="BP314" s="2">
        <f t="shared" si="177"/>
        <v>0</v>
      </c>
      <c r="BQ314" s="2">
        <f t="shared" si="178"/>
        <v>0</v>
      </c>
      <c r="BR314" s="2">
        <f t="shared" si="179"/>
        <v>0</v>
      </c>
      <c r="BS314" s="2">
        <f t="shared" si="180"/>
        <v>0</v>
      </c>
      <c r="BT314" s="2">
        <f t="shared" si="181"/>
        <v>0</v>
      </c>
      <c r="BU314" s="2">
        <f t="shared" si="182"/>
        <v>0</v>
      </c>
      <c r="BV314" s="2">
        <f t="shared" si="183"/>
        <v>0</v>
      </c>
      <c r="BW314" s="2">
        <f t="shared" si="184"/>
        <v>0</v>
      </c>
      <c r="BX314" s="2">
        <f t="shared" si="185"/>
        <v>0</v>
      </c>
      <c r="BY314" s="2">
        <f t="shared" si="186"/>
        <v>0</v>
      </c>
      <c r="BZ314" s="2">
        <f t="shared" si="187"/>
        <v>0</v>
      </c>
      <c r="CA314" s="2">
        <f t="shared" si="188"/>
        <v>0</v>
      </c>
      <c r="CB314" s="2">
        <f t="shared" si="189"/>
        <v>0</v>
      </c>
      <c r="CC314" s="2">
        <f t="shared" si="190"/>
        <v>0</v>
      </c>
      <c r="CD314" s="2">
        <f t="shared" si="191"/>
        <v>0</v>
      </c>
      <c r="CE314" s="2">
        <f t="shared" si="192"/>
        <v>0</v>
      </c>
      <c r="CF314" s="2">
        <f t="shared" si="193"/>
        <v>1042.8</v>
      </c>
      <c r="CG314" s="2">
        <f t="shared" si="194"/>
        <v>7255.8600000000006</v>
      </c>
      <c r="CH314" s="2">
        <f t="shared" si="195"/>
        <v>-1653.6000000000001</v>
      </c>
      <c r="CI314" s="2">
        <f t="shared" si="196"/>
        <v>0</v>
      </c>
      <c r="CJ314" s="2">
        <f t="shared" si="197"/>
        <v>0</v>
      </c>
      <c r="CK314" s="2">
        <f t="shared" si="198"/>
        <v>0</v>
      </c>
      <c r="CL314" s="2">
        <f t="shared" si="199"/>
        <v>0</v>
      </c>
      <c r="CM314" s="2">
        <f t="shared" si="170"/>
        <v>0</v>
      </c>
      <c r="CN314" s="2">
        <f t="shared" si="171"/>
        <v>-58805</v>
      </c>
      <c r="CO314" s="2">
        <f t="shared" si="172"/>
        <v>0</v>
      </c>
      <c r="CP314" s="2">
        <f t="shared" si="173"/>
        <v>0</v>
      </c>
      <c r="CQ314" s="2">
        <f t="shared" si="174"/>
        <v>0</v>
      </c>
      <c r="CR314" s="2">
        <f t="shared" si="175"/>
        <v>0</v>
      </c>
      <c r="CV314" t="s">
        <v>64</v>
      </c>
      <c r="CW314" t="s">
        <v>387</v>
      </c>
      <c r="CX314" t="s">
        <v>14</v>
      </c>
      <c r="CY314" s="4">
        <v>43116</v>
      </c>
      <c r="CZ314" t="s">
        <v>67</v>
      </c>
      <c r="DA314" t="s">
        <v>68</v>
      </c>
      <c r="DB314">
        <v>1000</v>
      </c>
      <c r="DC314">
        <v>109.44</v>
      </c>
      <c r="DD314" t="s">
        <v>69</v>
      </c>
      <c r="DE314" t="s">
        <v>70</v>
      </c>
      <c r="DF314">
        <v>109440</v>
      </c>
    </row>
    <row r="315" spans="1:110" x14ac:dyDescent="0.25">
      <c r="A315" s="1">
        <v>43193</v>
      </c>
      <c r="B315">
        <v>165.86</v>
      </c>
      <c r="C315">
        <v>91.69</v>
      </c>
      <c r="D315">
        <v>324.42</v>
      </c>
      <c r="E315">
        <v>141.63</v>
      </c>
      <c r="F315">
        <v>40.15</v>
      </c>
      <c r="G315">
        <v>110.55</v>
      </c>
      <c r="H315">
        <v>97.87</v>
      </c>
      <c r="I315">
        <v>62.19</v>
      </c>
      <c r="J315">
        <v>247.87</v>
      </c>
      <c r="K315">
        <v>170.89</v>
      </c>
      <c r="L315">
        <v>143.11000000000001</v>
      </c>
      <c r="M315">
        <v>48.55</v>
      </c>
      <c r="N315">
        <v>125.76</v>
      </c>
      <c r="O315">
        <v>106.57</v>
      </c>
      <c r="P315">
        <v>42.3</v>
      </c>
      <c r="Q315">
        <v>157.43</v>
      </c>
      <c r="R315">
        <v>210.53</v>
      </c>
      <c r="S315">
        <v>52.94</v>
      </c>
      <c r="T315">
        <v>88.6</v>
      </c>
      <c r="U315">
        <v>66.150000000000006</v>
      </c>
      <c r="V315">
        <v>34.47</v>
      </c>
      <c r="W315">
        <v>75.77</v>
      </c>
      <c r="X315">
        <v>134.55000000000001</v>
      </c>
      <c r="Y315">
        <v>222.33</v>
      </c>
      <c r="Z315">
        <v>122.12</v>
      </c>
      <c r="AA315">
        <v>118.41</v>
      </c>
      <c r="AB315">
        <v>45.39</v>
      </c>
      <c r="AC315">
        <v>61.68</v>
      </c>
      <c r="AD315">
        <v>85.29</v>
      </c>
      <c r="AE315">
        <v>71.97</v>
      </c>
      <c r="AI315" s="2">
        <v>5000</v>
      </c>
      <c r="AJ315" s="2">
        <f t="shared" si="208"/>
        <v>1220</v>
      </c>
      <c r="AK315" s="2">
        <f t="shared" si="208"/>
        <v>1220</v>
      </c>
      <c r="AL315" s="2">
        <f t="shared" si="208"/>
        <v>1220</v>
      </c>
      <c r="AM315" s="2">
        <f t="shared" si="208"/>
        <v>1220</v>
      </c>
      <c r="AN315" s="2">
        <f t="shared" si="208"/>
        <v>1220</v>
      </c>
      <c r="AO315" s="2">
        <f t="shared" si="208"/>
        <v>1220</v>
      </c>
      <c r="AP315" s="2">
        <f t="shared" si="208"/>
        <v>1100</v>
      </c>
      <c r="AQ315" s="2">
        <v>1000</v>
      </c>
      <c r="AR315" s="2">
        <v>0</v>
      </c>
      <c r="AS315" s="2">
        <v>10</v>
      </c>
      <c r="AT315" s="2">
        <v>0</v>
      </c>
      <c r="AU315" s="2">
        <v>0</v>
      </c>
      <c r="AV315" s="2">
        <v>0</v>
      </c>
      <c r="AW315" s="2">
        <v>0</v>
      </c>
      <c r="AX315" s="2">
        <v>0</v>
      </c>
      <c r="AY315" s="2">
        <v>0</v>
      </c>
      <c r="AZ315" s="2">
        <v>973</v>
      </c>
      <c r="BA315" s="2">
        <v>982</v>
      </c>
      <c r="BB315" s="2">
        <v>956</v>
      </c>
      <c r="BC315" s="2">
        <v>-1000</v>
      </c>
      <c r="BD315" s="2">
        <v>-7500</v>
      </c>
      <c r="BE315" s="2">
        <v>5000</v>
      </c>
      <c r="BF315" s="2">
        <v>3000</v>
      </c>
      <c r="BG315" s="2">
        <v>5000</v>
      </c>
      <c r="BH315" s="2">
        <v>4000</v>
      </c>
      <c r="BI315" s="2">
        <v>3000</v>
      </c>
      <c r="BJ315" s="2">
        <v>-1500</v>
      </c>
      <c r="BK315" s="2">
        <v>1000</v>
      </c>
      <c r="BL315" s="2">
        <v>1000</v>
      </c>
      <c r="BO315" s="2">
        <f t="shared" si="169"/>
        <v>0</v>
      </c>
      <c r="BP315" s="2">
        <f t="shared" si="177"/>
        <v>0</v>
      </c>
      <c r="BQ315" s="2">
        <f t="shared" si="178"/>
        <v>0</v>
      </c>
      <c r="BR315" s="2">
        <f t="shared" si="179"/>
        <v>0</v>
      </c>
      <c r="BS315" s="2">
        <f t="shared" si="180"/>
        <v>0</v>
      </c>
      <c r="BT315" s="2">
        <f t="shared" si="181"/>
        <v>0</v>
      </c>
      <c r="BU315" s="2">
        <f t="shared" si="182"/>
        <v>0</v>
      </c>
      <c r="BV315" s="2">
        <f t="shared" si="183"/>
        <v>0</v>
      </c>
      <c r="BW315" s="2">
        <f t="shared" si="184"/>
        <v>0</v>
      </c>
      <c r="BX315" s="2">
        <f t="shared" si="185"/>
        <v>0</v>
      </c>
      <c r="BY315" s="2">
        <f t="shared" si="186"/>
        <v>0</v>
      </c>
      <c r="BZ315" s="2">
        <f t="shared" si="187"/>
        <v>0</v>
      </c>
      <c r="CA315" s="2">
        <f t="shared" si="188"/>
        <v>0</v>
      </c>
      <c r="CB315" s="2">
        <f t="shared" si="189"/>
        <v>0</v>
      </c>
      <c r="CC315" s="2">
        <f t="shared" si="190"/>
        <v>0</v>
      </c>
      <c r="CD315" s="2">
        <f t="shared" si="191"/>
        <v>0</v>
      </c>
      <c r="CE315" s="2">
        <f t="shared" si="192"/>
        <v>0</v>
      </c>
      <c r="CF315" s="2">
        <f t="shared" si="193"/>
        <v>317.64</v>
      </c>
      <c r="CG315" s="2">
        <f t="shared" si="194"/>
        <v>-3012.3999999999996</v>
      </c>
      <c r="CH315" s="2">
        <f t="shared" si="195"/>
        <v>3175.2000000000003</v>
      </c>
      <c r="CI315" s="2">
        <f t="shared" si="196"/>
        <v>0</v>
      </c>
      <c r="CJ315" s="2">
        <f t="shared" si="197"/>
        <v>0</v>
      </c>
      <c r="CK315" s="2">
        <f t="shared" si="198"/>
        <v>0</v>
      </c>
      <c r="CL315" s="2">
        <f t="shared" si="199"/>
        <v>0</v>
      </c>
      <c r="CM315" s="2">
        <f t="shared" si="170"/>
        <v>0</v>
      </c>
      <c r="CN315" s="2">
        <f t="shared" si="171"/>
        <v>-177615</v>
      </c>
      <c r="CO315" s="2">
        <f t="shared" si="172"/>
        <v>0</v>
      </c>
      <c r="CP315" s="2">
        <f t="shared" si="173"/>
        <v>0</v>
      </c>
      <c r="CQ315" s="2">
        <f t="shared" si="174"/>
        <v>0</v>
      </c>
      <c r="CR315" s="2">
        <f t="shared" si="175"/>
        <v>0</v>
      </c>
      <c r="CV315" t="s">
        <v>64</v>
      </c>
      <c r="CW315" t="s">
        <v>388</v>
      </c>
      <c r="CX315" t="s">
        <v>15</v>
      </c>
      <c r="CY315" s="4">
        <v>42738</v>
      </c>
      <c r="CZ315" t="s">
        <v>65</v>
      </c>
      <c r="DA315" t="s">
        <v>66</v>
      </c>
      <c r="DB315">
        <v>1000</v>
      </c>
      <c r="DC315">
        <v>39.090000000000003</v>
      </c>
      <c r="DD315" t="s">
        <v>69</v>
      </c>
      <c r="DE315" t="s">
        <v>70</v>
      </c>
      <c r="DF315">
        <v>39090</v>
      </c>
    </row>
    <row r="316" spans="1:110" x14ac:dyDescent="0.25">
      <c r="A316" s="1">
        <v>43194</v>
      </c>
      <c r="B316">
        <v>169.04</v>
      </c>
      <c r="C316">
        <v>92.52</v>
      </c>
      <c r="D316">
        <v>321.11</v>
      </c>
      <c r="E316">
        <v>141.75</v>
      </c>
      <c r="F316">
        <v>40.29</v>
      </c>
      <c r="G316">
        <v>110.22</v>
      </c>
      <c r="H316">
        <v>99.37</v>
      </c>
      <c r="I316">
        <v>62.56</v>
      </c>
      <c r="J316">
        <v>249.89</v>
      </c>
      <c r="K316">
        <v>174.51</v>
      </c>
      <c r="L316">
        <v>147.19</v>
      </c>
      <c r="M316">
        <v>48.78</v>
      </c>
      <c r="N316">
        <v>127.78</v>
      </c>
      <c r="O316">
        <v>108.19</v>
      </c>
      <c r="P316">
        <v>43.14</v>
      </c>
      <c r="Q316">
        <v>158.72999999999999</v>
      </c>
      <c r="R316">
        <v>211.72</v>
      </c>
      <c r="S316">
        <v>53.38</v>
      </c>
      <c r="T316">
        <v>91.19</v>
      </c>
      <c r="U316">
        <v>67.86</v>
      </c>
      <c r="V316">
        <v>34.9</v>
      </c>
      <c r="W316">
        <v>76.34</v>
      </c>
      <c r="X316">
        <v>136.16</v>
      </c>
      <c r="Y316">
        <v>226.49</v>
      </c>
      <c r="Z316">
        <v>122.96</v>
      </c>
      <c r="AA316">
        <v>119.02</v>
      </c>
      <c r="AB316">
        <v>45.8</v>
      </c>
      <c r="AC316">
        <v>63.96</v>
      </c>
      <c r="AD316">
        <v>85.71</v>
      </c>
      <c r="AE316">
        <v>71.83</v>
      </c>
      <c r="AI316" s="2">
        <v>5000</v>
      </c>
      <c r="AJ316" s="2">
        <f t="shared" si="208"/>
        <v>1220</v>
      </c>
      <c r="AK316" s="2">
        <f t="shared" si="208"/>
        <v>1220</v>
      </c>
      <c r="AL316" s="2">
        <f t="shared" si="208"/>
        <v>1220</v>
      </c>
      <c r="AM316" s="2">
        <f t="shared" si="208"/>
        <v>1220</v>
      </c>
      <c r="AN316" s="2">
        <f t="shared" si="208"/>
        <v>1220</v>
      </c>
      <c r="AO316" s="2">
        <f t="shared" si="208"/>
        <v>1220</v>
      </c>
      <c r="AP316" s="2">
        <f t="shared" si="208"/>
        <v>1100</v>
      </c>
      <c r="AQ316" s="2">
        <v>1000</v>
      </c>
      <c r="AR316" s="2">
        <v>0</v>
      </c>
      <c r="AS316" s="2">
        <v>10</v>
      </c>
      <c r="AT316" s="2">
        <v>0</v>
      </c>
      <c r="AU316" s="2">
        <v>0</v>
      </c>
      <c r="AV316" s="2">
        <v>0</v>
      </c>
      <c r="AW316" s="2">
        <v>0</v>
      </c>
      <c r="AX316" s="2">
        <v>0</v>
      </c>
      <c r="AY316" s="2">
        <v>0</v>
      </c>
      <c r="AZ316" s="2">
        <v>1035</v>
      </c>
      <c r="BA316" s="2">
        <v>926</v>
      </c>
      <c r="BB316" s="2">
        <v>1014</v>
      </c>
      <c r="BC316" s="2">
        <v>-1000</v>
      </c>
      <c r="BD316" s="2">
        <v>-7500</v>
      </c>
      <c r="BE316" s="2">
        <v>5000</v>
      </c>
      <c r="BF316" s="2">
        <v>3000</v>
      </c>
      <c r="BG316" s="2">
        <v>5000</v>
      </c>
      <c r="BH316" s="2">
        <v>4000</v>
      </c>
      <c r="BI316" s="2">
        <v>3000</v>
      </c>
      <c r="BJ316" s="2">
        <v>-1500</v>
      </c>
      <c r="BK316" s="2">
        <v>1000</v>
      </c>
      <c r="BL316" s="2">
        <v>1000</v>
      </c>
      <c r="BO316" s="2">
        <f t="shared" si="169"/>
        <v>0</v>
      </c>
      <c r="BP316" s="2">
        <f t="shared" si="177"/>
        <v>0</v>
      </c>
      <c r="BQ316" s="2">
        <f t="shared" si="178"/>
        <v>0</v>
      </c>
      <c r="BR316" s="2">
        <f t="shared" si="179"/>
        <v>0</v>
      </c>
      <c r="BS316" s="2">
        <f t="shared" si="180"/>
        <v>0</v>
      </c>
      <c r="BT316" s="2">
        <f t="shared" si="181"/>
        <v>0</v>
      </c>
      <c r="BU316" s="2">
        <f t="shared" si="182"/>
        <v>0</v>
      </c>
      <c r="BV316" s="2">
        <f t="shared" si="183"/>
        <v>0</v>
      </c>
      <c r="BW316" s="2">
        <f t="shared" si="184"/>
        <v>0</v>
      </c>
      <c r="BX316" s="2">
        <f t="shared" si="185"/>
        <v>0</v>
      </c>
      <c r="BY316" s="2">
        <f t="shared" si="186"/>
        <v>0</v>
      </c>
      <c r="BZ316" s="2">
        <f t="shared" si="187"/>
        <v>0</v>
      </c>
      <c r="CA316" s="2">
        <f t="shared" si="188"/>
        <v>0</v>
      </c>
      <c r="CB316" s="2">
        <f t="shared" si="189"/>
        <v>0</v>
      </c>
      <c r="CC316" s="2">
        <f t="shared" si="190"/>
        <v>0</v>
      </c>
      <c r="CD316" s="2">
        <f t="shared" si="191"/>
        <v>0</v>
      </c>
      <c r="CE316" s="2">
        <f t="shared" si="192"/>
        <v>0</v>
      </c>
      <c r="CF316" s="2">
        <f t="shared" si="193"/>
        <v>-3309.56</v>
      </c>
      <c r="CG316" s="2">
        <f t="shared" si="194"/>
        <v>5106.6399999999994</v>
      </c>
      <c r="CH316" s="2">
        <f t="shared" si="195"/>
        <v>-3935.88</v>
      </c>
      <c r="CI316" s="2">
        <f t="shared" si="196"/>
        <v>0</v>
      </c>
      <c r="CJ316" s="2">
        <f t="shared" si="197"/>
        <v>0</v>
      </c>
      <c r="CK316" s="2">
        <f t="shared" si="198"/>
        <v>0</v>
      </c>
      <c r="CL316" s="2">
        <f t="shared" si="199"/>
        <v>0</v>
      </c>
      <c r="CM316" s="2">
        <f t="shared" si="170"/>
        <v>0</v>
      </c>
      <c r="CN316" s="2">
        <f t="shared" si="171"/>
        <v>0</v>
      </c>
      <c r="CO316" s="2">
        <f t="shared" si="172"/>
        <v>0</v>
      </c>
      <c r="CP316" s="2">
        <f t="shared" si="173"/>
        <v>0</v>
      </c>
      <c r="CQ316" s="2">
        <f t="shared" si="174"/>
        <v>0</v>
      </c>
      <c r="CR316" s="2">
        <f t="shared" si="175"/>
        <v>0</v>
      </c>
      <c r="CV316" t="s">
        <v>64</v>
      </c>
      <c r="CW316" t="s">
        <v>389</v>
      </c>
      <c r="CX316" t="s">
        <v>15</v>
      </c>
      <c r="CY316" s="4">
        <v>42790</v>
      </c>
      <c r="CZ316" t="s">
        <v>67</v>
      </c>
      <c r="DA316" t="s">
        <v>68</v>
      </c>
      <c r="DB316">
        <v>1000</v>
      </c>
      <c r="DC316">
        <v>39.07</v>
      </c>
      <c r="DD316" t="s">
        <v>69</v>
      </c>
      <c r="DE316" t="s">
        <v>70</v>
      </c>
      <c r="DF316">
        <v>39070</v>
      </c>
    </row>
    <row r="317" spans="1:110" x14ac:dyDescent="0.25">
      <c r="A317" s="1">
        <v>43195</v>
      </c>
      <c r="B317">
        <v>170.21</v>
      </c>
      <c r="C317">
        <v>93.48</v>
      </c>
      <c r="D317">
        <v>329.9</v>
      </c>
      <c r="E317">
        <v>144.63</v>
      </c>
      <c r="F317">
        <v>40.9</v>
      </c>
      <c r="G317">
        <v>112.92</v>
      </c>
      <c r="H317">
        <v>100.52</v>
      </c>
      <c r="I317">
        <v>64.28</v>
      </c>
      <c r="J317">
        <v>253.04</v>
      </c>
      <c r="K317">
        <v>176.17</v>
      </c>
      <c r="L317">
        <v>147.1</v>
      </c>
      <c r="M317">
        <v>49.17</v>
      </c>
      <c r="N317">
        <v>128.07</v>
      </c>
      <c r="O317">
        <v>109.61</v>
      </c>
      <c r="P317">
        <v>43.29</v>
      </c>
      <c r="Q317">
        <v>160.91</v>
      </c>
      <c r="R317">
        <v>212.8</v>
      </c>
      <c r="S317">
        <v>53.37</v>
      </c>
      <c r="T317">
        <v>91.23</v>
      </c>
      <c r="U317">
        <v>69.02</v>
      </c>
      <c r="V317">
        <v>34.520000000000003</v>
      </c>
      <c r="W317">
        <v>76.09</v>
      </c>
      <c r="X317">
        <v>136.81</v>
      </c>
      <c r="Y317">
        <v>226.77</v>
      </c>
      <c r="Z317">
        <v>122.95</v>
      </c>
      <c r="AA317">
        <v>120.39</v>
      </c>
      <c r="AB317">
        <v>46.1</v>
      </c>
      <c r="AC317">
        <v>63.12</v>
      </c>
      <c r="AD317">
        <v>86.29</v>
      </c>
      <c r="AE317">
        <v>72.930000000000007</v>
      </c>
      <c r="AI317" s="2">
        <v>5000</v>
      </c>
      <c r="AJ317" s="2">
        <f t="shared" si="208"/>
        <v>1220</v>
      </c>
      <c r="AK317" s="2">
        <f t="shared" si="208"/>
        <v>1220</v>
      </c>
      <c r="AL317" s="2">
        <f t="shared" si="208"/>
        <v>1220</v>
      </c>
      <c r="AM317" s="2">
        <f t="shared" si="208"/>
        <v>1220</v>
      </c>
      <c r="AN317" s="2">
        <f t="shared" si="208"/>
        <v>1220</v>
      </c>
      <c r="AO317" s="2">
        <f t="shared" si="208"/>
        <v>1220</v>
      </c>
      <c r="AP317" s="2">
        <f t="shared" si="208"/>
        <v>1100</v>
      </c>
      <c r="AQ317" s="2">
        <v>1000</v>
      </c>
      <c r="AR317" s="2">
        <v>0</v>
      </c>
      <c r="AS317" s="2">
        <v>10</v>
      </c>
      <c r="AT317" s="2">
        <v>0</v>
      </c>
      <c r="AU317" s="2">
        <v>0</v>
      </c>
      <c r="AV317" s="2">
        <v>0</v>
      </c>
      <c r="AW317" s="2">
        <v>0</v>
      </c>
      <c r="AX317" s="2">
        <v>0</v>
      </c>
      <c r="AY317" s="2">
        <v>0</v>
      </c>
      <c r="AZ317" s="2">
        <v>1036</v>
      </c>
      <c r="BA317" s="2">
        <v>1077</v>
      </c>
      <c r="BB317" s="2">
        <v>1020</v>
      </c>
      <c r="BC317" s="2">
        <v>-1000</v>
      </c>
      <c r="BD317" s="2">
        <v>-7500</v>
      </c>
      <c r="BE317" s="2">
        <v>5000</v>
      </c>
      <c r="BF317" s="2">
        <v>3000</v>
      </c>
      <c r="BG317" s="2">
        <v>5000</v>
      </c>
      <c r="BH317" s="2">
        <v>4000</v>
      </c>
      <c r="BI317" s="2">
        <v>3000</v>
      </c>
      <c r="BJ317" s="2">
        <v>-1500</v>
      </c>
      <c r="BK317" s="2">
        <v>1000</v>
      </c>
      <c r="BL317" s="2">
        <v>1000</v>
      </c>
      <c r="BO317" s="2">
        <f t="shared" si="169"/>
        <v>0</v>
      </c>
      <c r="BP317" s="2">
        <f t="shared" si="177"/>
        <v>0</v>
      </c>
      <c r="BQ317" s="2">
        <f t="shared" si="178"/>
        <v>0</v>
      </c>
      <c r="BR317" s="2">
        <f t="shared" si="179"/>
        <v>0</v>
      </c>
      <c r="BS317" s="2">
        <f t="shared" si="180"/>
        <v>0</v>
      </c>
      <c r="BT317" s="2">
        <f t="shared" si="181"/>
        <v>0</v>
      </c>
      <c r="BU317" s="2">
        <f t="shared" si="182"/>
        <v>0</v>
      </c>
      <c r="BV317" s="2">
        <f t="shared" si="183"/>
        <v>0</v>
      </c>
      <c r="BW317" s="2">
        <f t="shared" si="184"/>
        <v>0</v>
      </c>
      <c r="BX317" s="2">
        <f t="shared" si="185"/>
        <v>0</v>
      </c>
      <c r="BY317" s="2">
        <f t="shared" si="186"/>
        <v>0</v>
      </c>
      <c r="BZ317" s="2">
        <f t="shared" si="187"/>
        <v>0</v>
      </c>
      <c r="CA317" s="2">
        <f t="shared" si="188"/>
        <v>0</v>
      </c>
      <c r="CB317" s="2">
        <f t="shared" si="189"/>
        <v>0</v>
      </c>
      <c r="CC317" s="2">
        <f t="shared" si="190"/>
        <v>0</v>
      </c>
      <c r="CD317" s="2">
        <f t="shared" si="191"/>
        <v>0</v>
      </c>
      <c r="CE317" s="2">
        <f t="shared" si="192"/>
        <v>0</v>
      </c>
      <c r="CF317" s="2">
        <f t="shared" si="193"/>
        <v>-53.37</v>
      </c>
      <c r="CG317" s="2">
        <f t="shared" si="194"/>
        <v>-13775.730000000001</v>
      </c>
      <c r="CH317" s="2">
        <f t="shared" si="195"/>
        <v>-414.12</v>
      </c>
      <c r="CI317" s="2">
        <f t="shared" si="196"/>
        <v>0</v>
      </c>
      <c r="CJ317" s="2">
        <f t="shared" si="197"/>
        <v>0</v>
      </c>
      <c r="CK317" s="2">
        <f t="shared" si="198"/>
        <v>0</v>
      </c>
      <c r="CL317" s="2">
        <f t="shared" si="199"/>
        <v>0</v>
      </c>
      <c r="CM317" s="2">
        <f t="shared" si="170"/>
        <v>0</v>
      </c>
      <c r="CN317" s="2">
        <f t="shared" si="171"/>
        <v>0</v>
      </c>
      <c r="CO317" s="2">
        <f t="shared" si="172"/>
        <v>0</v>
      </c>
      <c r="CP317" s="2">
        <f t="shared" si="173"/>
        <v>0</v>
      </c>
      <c r="CQ317" s="2">
        <f t="shared" si="174"/>
        <v>0</v>
      </c>
      <c r="CR317" s="2">
        <f t="shared" si="175"/>
        <v>0</v>
      </c>
      <c r="CV317" t="s">
        <v>64</v>
      </c>
      <c r="CW317" t="s">
        <v>390</v>
      </c>
      <c r="CX317" t="s">
        <v>16</v>
      </c>
      <c r="CY317" s="4">
        <v>42738</v>
      </c>
      <c r="CZ317" t="s">
        <v>65</v>
      </c>
      <c r="DA317" t="s">
        <v>66</v>
      </c>
      <c r="DB317">
        <v>1000</v>
      </c>
      <c r="DC317">
        <v>113.73</v>
      </c>
      <c r="DD317" t="s">
        <v>69</v>
      </c>
      <c r="DE317" t="s">
        <v>70</v>
      </c>
      <c r="DF317">
        <v>113730</v>
      </c>
    </row>
    <row r="318" spans="1:110" x14ac:dyDescent="0.25">
      <c r="A318" s="1">
        <v>43196</v>
      </c>
      <c r="B318">
        <v>165.85</v>
      </c>
      <c r="C318">
        <v>91.21</v>
      </c>
      <c r="D318">
        <v>319.81</v>
      </c>
      <c r="E318">
        <v>139.61000000000001</v>
      </c>
      <c r="F318">
        <v>39.840000000000003</v>
      </c>
      <c r="G318">
        <v>110.49</v>
      </c>
      <c r="H318">
        <v>98.78</v>
      </c>
      <c r="I318">
        <v>62.58</v>
      </c>
      <c r="J318">
        <v>247.27</v>
      </c>
      <c r="K318">
        <v>171.57</v>
      </c>
      <c r="L318">
        <v>143.80000000000001</v>
      </c>
      <c r="M318">
        <v>47.61</v>
      </c>
      <c r="N318">
        <v>125.52</v>
      </c>
      <c r="O318">
        <v>106.88</v>
      </c>
      <c r="P318">
        <v>42.83</v>
      </c>
      <c r="Q318">
        <v>158.26</v>
      </c>
      <c r="R318">
        <v>206.56</v>
      </c>
      <c r="S318">
        <v>52.23</v>
      </c>
      <c r="T318">
        <v>89.11</v>
      </c>
      <c r="U318">
        <v>67</v>
      </c>
      <c r="V318">
        <v>33.97</v>
      </c>
      <c r="W318">
        <v>75.739999999999995</v>
      </c>
      <c r="X318">
        <v>134.80000000000001</v>
      </c>
      <c r="Y318">
        <v>221.71</v>
      </c>
      <c r="Z318">
        <v>120.02</v>
      </c>
      <c r="AA318">
        <v>116.92</v>
      </c>
      <c r="AB318">
        <v>45.37</v>
      </c>
      <c r="AC318">
        <v>61.97</v>
      </c>
      <c r="AD318">
        <v>85.19</v>
      </c>
      <c r="AE318">
        <v>71.83</v>
      </c>
      <c r="AI318" s="2">
        <v>5000</v>
      </c>
      <c r="AJ318" s="2">
        <f t="shared" si="208"/>
        <v>1220</v>
      </c>
      <c r="AK318" s="2">
        <f t="shared" si="208"/>
        <v>1220</v>
      </c>
      <c r="AL318" s="2">
        <f t="shared" si="208"/>
        <v>1220</v>
      </c>
      <c r="AM318" s="2">
        <f t="shared" si="208"/>
        <v>1220</v>
      </c>
      <c r="AN318" s="2">
        <f t="shared" si="208"/>
        <v>1220</v>
      </c>
      <c r="AO318" s="2">
        <f t="shared" si="208"/>
        <v>1220</v>
      </c>
      <c r="AP318" s="2">
        <f t="shared" si="208"/>
        <v>1100</v>
      </c>
      <c r="AQ318" s="2">
        <v>1000</v>
      </c>
      <c r="AR318" s="2">
        <v>0</v>
      </c>
      <c r="AS318" s="2">
        <v>10</v>
      </c>
      <c r="AT318" s="2">
        <v>0</v>
      </c>
      <c r="AU318" s="2">
        <v>0</v>
      </c>
      <c r="AV318" s="2">
        <v>0</v>
      </c>
      <c r="AW318" s="2">
        <v>0</v>
      </c>
      <c r="AX318" s="2">
        <v>0</v>
      </c>
      <c r="AY318" s="2">
        <v>0</v>
      </c>
      <c r="AZ318" s="2">
        <v>1004</v>
      </c>
      <c r="BA318" s="2">
        <v>1043</v>
      </c>
      <c r="BB318" s="2">
        <v>919</v>
      </c>
      <c r="BC318" s="2">
        <v>-1000</v>
      </c>
      <c r="BD318" s="2">
        <v>-7500</v>
      </c>
      <c r="BE318" s="2">
        <v>5000</v>
      </c>
      <c r="BF318" s="2">
        <v>3000</v>
      </c>
      <c r="BG318" s="2">
        <v>5000</v>
      </c>
      <c r="BH318" s="2">
        <v>5000</v>
      </c>
      <c r="BI318" s="2">
        <v>3000</v>
      </c>
      <c r="BJ318" s="2">
        <v>-1500</v>
      </c>
      <c r="BK318" s="2">
        <v>1000</v>
      </c>
      <c r="BL318" s="2">
        <v>1000</v>
      </c>
      <c r="BO318" s="2">
        <f t="shared" si="169"/>
        <v>0</v>
      </c>
      <c r="BP318" s="2">
        <f t="shared" si="177"/>
        <v>0</v>
      </c>
      <c r="BQ318" s="2">
        <f t="shared" si="178"/>
        <v>0</v>
      </c>
      <c r="BR318" s="2">
        <f t="shared" si="179"/>
        <v>0</v>
      </c>
      <c r="BS318" s="2">
        <f t="shared" si="180"/>
        <v>0</v>
      </c>
      <c r="BT318" s="2">
        <f t="shared" si="181"/>
        <v>0</v>
      </c>
      <c r="BU318" s="2">
        <f t="shared" si="182"/>
        <v>0</v>
      </c>
      <c r="BV318" s="2">
        <f t="shared" si="183"/>
        <v>0</v>
      </c>
      <c r="BW318" s="2">
        <f t="shared" si="184"/>
        <v>0</v>
      </c>
      <c r="BX318" s="2">
        <f t="shared" si="185"/>
        <v>0</v>
      </c>
      <c r="BY318" s="2">
        <f t="shared" si="186"/>
        <v>0</v>
      </c>
      <c r="BZ318" s="2">
        <f t="shared" si="187"/>
        <v>0</v>
      </c>
      <c r="CA318" s="2">
        <f t="shared" si="188"/>
        <v>0</v>
      </c>
      <c r="CB318" s="2">
        <f t="shared" si="189"/>
        <v>0</v>
      </c>
      <c r="CC318" s="2">
        <f t="shared" si="190"/>
        <v>0</v>
      </c>
      <c r="CD318" s="2">
        <f t="shared" si="191"/>
        <v>0</v>
      </c>
      <c r="CE318" s="2">
        <f t="shared" si="192"/>
        <v>0</v>
      </c>
      <c r="CF318" s="2">
        <f t="shared" si="193"/>
        <v>1671.36</v>
      </c>
      <c r="CG318" s="2">
        <f t="shared" si="194"/>
        <v>3029.74</v>
      </c>
      <c r="CH318" s="2">
        <f t="shared" si="195"/>
        <v>6767</v>
      </c>
      <c r="CI318" s="2">
        <f t="shared" si="196"/>
        <v>0</v>
      </c>
      <c r="CJ318" s="2">
        <f t="shared" si="197"/>
        <v>0</v>
      </c>
      <c r="CK318" s="2">
        <f t="shared" si="198"/>
        <v>0</v>
      </c>
      <c r="CL318" s="2">
        <f t="shared" si="199"/>
        <v>0</v>
      </c>
      <c r="CM318" s="2">
        <f t="shared" si="170"/>
        <v>0</v>
      </c>
      <c r="CN318" s="2">
        <f t="shared" si="171"/>
        <v>-116920</v>
      </c>
      <c r="CO318" s="2">
        <f t="shared" si="172"/>
        <v>0</v>
      </c>
      <c r="CP318" s="2">
        <f t="shared" si="173"/>
        <v>0</v>
      </c>
      <c r="CQ318" s="2">
        <f t="shared" si="174"/>
        <v>0</v>
      </c>
      <c r="CR318" s="2">
        <f t="shared" si="175"/>
        <v>0</v>
      </c>
      <c r="CV318" t="s">
        <v>64</v>
      </c>
      <c r="CW318" t="s">
        <v>391</v>
      </c>
      <c r="CX318" t="s">
        <v>16</v>
      </c>
      <c r="CY318" s="4">
        <v>42846</v>
      </c>
      <c r="CZ318" t="s">
        <v>67</v>
      </c>
      <c r="DA318" t="s">
        <v>68</v>
      </c>
      <c r="DB318">
        <v>1000</v>
      </c>
      <c r="DC318">
        <v>127.78</v>
      </c>
      <c r="DD318" t="s">
        <v>69</v>
      </c>
      <c r="DE318" t="s">
        <v>70</v>
      </c>
      <c r="DF318">
        <v>127780</v>
      </c>
    </row>
    <row r="319" spans="1:110" x14ac:dyDescent="0.25">
      <c r="A319" s="1">
        <v>43199</v>
      </c>
      <c r="B319">
        <v>167.5</v>
      </c>
      <c r="C319">
        <v>91.44</v>
      </c>
      <c r="D319">
        <v>316.25</v>
      </c>
      <c r="E319">
        <v>139.69999999999999</v>
      </c>
      <c r="F319">
        <v>40.270000000000003</v>
      </c>
      <c r="G319">
        <v>111.66</v>
      </c>
      <c r="H319">
        <v>98.14</v>
      </c>
      <c r="I319">
        <v>62.56</v>
      </c>
      <c r="J319">
        <v>249.46</v>
      </c>
      <c r="K319">
        <v>169.66</v>
      </c>
      <c r="L319">
        <v>145.82</v>
      </c>
      <c r="M319">
        <v>48.36</v>
      </c>
      <c r="N319">
        <v>126.87</v>
      </c>
      <c r="O319">
        <v>108.16</v>
      </c>
      <c r="P319">
        <v>42.74</v>
      </c>
      <c r="Q319">
        <v>158.24</v>
      </c>
      <c r="R319">
        <v>207.1</v>
      </c>
      <c r="S319">
        <v>54.97</v>
      </c>
      <c r="T319">
        <v>89.64</v>
      </c>
      <c r="U319">
        <v>66.63</v>
      </c>
      <c r="V319">
        <v>34.25</v>
      </c>
      <c r="W319">
        <v>75.48</v>
      </c>
      <c r="X319">
        <v>134.78</v>
      </c>
      <c r="Y319">
        <v>220.49</v>
      </c>
      <c r="Z319">
        <v>119.49</v>
      </c>
      <c r="AA319">
        <v>118</v>
      </c>
      <c r="AB319">
        <v>45.4</v>
      </c>
      <c r="AC319">
        <v>61.36</v>
      </c>
      <c r="AD319">
        <v>84.78</v>
      </c>
      <c r="AE319">
        <v>71.83</v>
      </c>
      <c r="AI319" s="2">
        <v>5000</v>
      </c>
      <c r="AJ319" s="2">
        <f t="shared" si="208"/>
        <v>1220</v>
      </c>
      <c r="AK319" s="2">
        <f t="shared" si="208"/>
        <v>1220</v>
      </c>
      <c r="AL319" s="2">
        <f t="shared" si="208"/>
        <v>1220</v>
      </c>
      <c r="AM319" s="2">
        <f t="shared" si="208"/>
        <v>1220</v>
      </c>
      <c r="AN319" s="2">
        <f t="shared" si="208"/>
        <v>1220</v>
      </c>
      <c r="AO319" s="2">
        <f t="shared" si="208"/>
        <v>1220</v>
      </c>
      <c r="AP319" s="2">
        <f t="shared" si="208"/>
        <v>1100</v>
      </c>
      <c r="AQ319" s="2">
        <v>1000</v>
      </c>
      <c r="AR319" s="2">
        <v>0</v>
      </c>
      <c r="AS319" s="2">
        <v>10</v>
      </c>
      <c r="AT319" s="2">
        <v>0</v>
      </c>
      <c r="AU319" s="2">
        <v>0</v>
      </c>
      <c r="AV319" s="2">
        <v>0</v>
      </c>
      <c r="AW319" s="2">
        <v>0</v>
      </c>
      <c r="AX319" s="2">
        <v>0</v>
      </c>
      <c r="AY319" s="2">
        <v>0</v>
      </c>
      <c r="AZ319" s="2">
        <v>997</v>
      </c>
      <c r="BA319" s="2">
        <v>1011</v>
      </c>
      <c r="BB319" s="2">
        <v>908</v>
      </c>
      <c r="BC319" s="2">
        <v>-1000</v>
      </c>
      <c r="BD319" s="2">
        <v>-7500</v>
      </c>
      <c r="BE319" s="2">
        <v>5000</v>
      </c>
      <c r="BF319" s="2">
        <v>3000</v>
      </c>
      <c r="BG319" s="2">
        <v>5000</v>
      </c>
      <c r="BH319" s="2">
        <v>5000</v>
      </c>
      <c r="BI319" s="2">
        <v>3000</v>
      </c>
      <c r="BJ319" s="2">
        <v>-1500</v>
      </c>
      <c r="BK319" s="2">
        <v>1000</v>
      </c>
      <c r="BL319" s="2">
        <v>1000</v>
      </c>
      <c r="BO319" s="2">
        <f t="shared" si="169"/>
        <v>0</v>
      </c>
      <c r="BP319" s="2">
        <f t="shared" si="177"/>
        <v>0</v>
      </c>
      <c r="BQ319" s="2">
        <f t="shared" si="178"/>
        <v>0</v>
      </c>
      <c r="BR319" s="2">
        <f t="shared" si="179"/>
        <v>0</v>
      </c>
      <c r="BS319" s="2">
        <f t="shared" si="180"/>
        <v>0</v>
      </c>
      <c r="BT319" s="2">
        <f t="shared" si="181"/>
        <v>0</v>
      </c>
      <c r="BU319" s="2">
        <f t="shared" si="182"/>
        <v>0</v>
      </c>
      <c r="BV319" s="2">
        <f t="shared" si="183"/>
        <v>0</v>
      </c>
      <c r="BW319" s="2">
        <f t="shared" si="184"/>
        <v>0</v>
      </c>
      <c r="BX319" s="2">
        <f t="shared" si="185"/>
        <v>0</v>
      </c>
      <c r="BY319" s="2">
        <f t="shared" si="186"/>
        <v>0</v>
      </c>
      <c r="BZ319" s="2">
        <f t="shared" si="187"/>
        <v>0</v>
      </c>
      <c r="CA319" s="2">
        <f t="shared" si="188"/>
        <v>0</v>
      </c>
      <c r="CB319" s="2">
        <f t="shared" si="189"/>
        <v>0</v>
      </c>
      <c r="CC319" s="2">
        <f t="shared" si="190"/>
        <v>0</v>
      </c>
      <c r="CD319" s="2">
        <f t="shared" si="191"/>
        <v>0</v>
      </c>
      <c r="CE319" s="2">
        <f t="shared" si="192"/>
        <v>0</v>
      </c>
      <c r="CF319" s="2">
        <f t="shared" si="193"/>
        <v>384.78999999999996</v>
      </c>
      <c r="CG319" s="2">
        <f t="shared" si="194"/>
        <v>2868.48</v>
      </c>
      <c r="CH319" s="2">
        <f t="shared" si="195"/>
        <v>732.93</v>
      </c>
      <c r="CI319" s="2">
        <f t="shared" si="196"/>
        <v>0</v>
      </c>
      <c r="CJ319" s="2">
        <f t="shared" si="197"/>
        <v>0</v>
      </c>
      <c r="CK319" s="2">
        <f t="shared" si="198"/>
        <v>0</v>
      </c>
      <c r="CL319" s="2">
        <f t="shared" si="199"/>
        <v>0</v>
      </c>
      <c r="CM319" s="2">
        <f t="shared" si="170"/>
        <v>0</v>
      </c>
      <c r="CN319" s="2">
        <f t="shared" si="171"/>
        <v>0</v>
      </c>
      <c r="CO319" s="2">
        <f t="shared" si="172"/>
        <v>0</v>
      </c>
      <c r="CP319" s="2">
        <f t="shared" si="173"/>
        <v>0</v>
      </c>
      <c r="CQ319" s="2">
        <f t="shared" si="174"/>
        <v>0</v>
      </c>
      <c r="CR319" s="2">
        <f t="shared" si="175"/>
        <v>0</v>
      </c>
      <c r="CV319" t="s">
        <v>64</v>
      </c>
      <c r="CW319" t="s">
        <v>392</v>
      </c>
      <c r="CX319" t="s">
        <v>17</v>
      </c>
      <c r="CY319" s="4">
        <v>42738</v>
      </c>
      <c r="CZ319" t="s">
        <v>65</v>
      </c>
      <c r="DA319" t="s">
        <v>66</v>
      </c>
      <c r="DB319">
        <v>1000</v>
      </c>
      <c r="DC319">
        <v>168.31</v>
      </c>
      <c r="DD319" t="s">
        <v>69</v>
      </c>
      <c r="DE319" t="s">
        <v>70</v>
      </c>
      <c r="DF319">
        <v>168310</v>
      </c>
    </row>
    <row r="320" spans="1:110" x14ac:dyDescent="0.25">
      <c r="A320" s="1">
        <v>43200</v>
      </c>
      <c r="B320">
        <v>170.65</v>
      </c>
      <c r="C320">
        <v>92.29</v>
      </c>
      <c r="D320">
        <v>328.36</v>
      </c>
      <c r="E320">
        <v>144.59</v>
      </c>
      <c r="F320">
        <v>41.58</v>
      </c>
      <c r="G320">
        <v>114.42</v>
      </c>
      <c r="H320">
        <v>99.79</v>
      </c>
      <c r="I320">
        <v>64.72</v>
      </c>
      <c r="J320">
        <v>253.79</v>
      </c>
      <c r="K320">
        <v>170.62</v>
      </c>
      <c r="L320">
        <v>148.4</v>
      </c>
      <c r="M320">
        <v>50.03</v>
      </c>
      <c r="N320">
        <v>127.62</v>
      </c>
      <c r="O320">
        <v>110.23</v>
      </c>
      <c r="P320">
        <v>42.89</v>
      </c>
      <c r="Q320">
        <v>159.75</v>
      </c>
      <c r="R320">
        <v>211.16</v>
      </c>
      <c r="S320">
        <v>55.29</v>
      </c>
      <c r="T320">
        <v>91.73</v>
      </c>
      <c r="U320">
        <v>66.45</v>
      </c>
      <c r="V320">
        <v>34.729999999999997</v>
      </c>
      <c r="W320">
        <v>75.680000000000007</v>
      </c>
      <c r="X320">
        <v>135.4</v>
      </c>
      <c r="Y320">
        <v>224.51</v>
      </c>
      <c r="Z320">
        <v>120.21</v>
      </c>
      <c r="AA320">
        <v>119.92</v>
      </c>
      <c r="AB320">
        <v>46.71</v>
      </c>
      <c r="AC320">
        <v>62.25</v>
      </c>
      <c r="AD320">
        <v>84.95</v>
      </c>
      <c r="AE320">
        <v>73.94</v>
      </c>
      <c r="AI320" s="2">
        <v>5000</v>
      </c>
      <c r="AJ320" s="2">
        <f t="shared" si="208"/>
        <v>1220</v>
      </c>
      <c r="AK320" s="2">
        <f t="shared" si="208"/>
        <v>1220</v>
      </c>
      <c r="AL320" s="2">
        <f t="shared" si="208"/>
        <v>1220</v>
      </c>
      <c r="AM320" s="2">
        <f t="shared" si="208"/>
        <v>1220</v>
      </c>
      <c r="AN320" s="2">
        <f t="shared" si="208"/>
        <v>1220</v>
      </c>
      <c r="AO320" s="2">
        <f t="shared" si="208"/>
        <v>1220</v>
      </c>
      <c r="AP320" s="2">
        <f t="shared" si="208"/>
        <v>1100</v>
      </c>
      <c r="AQ320" s="2">
        <v>1000</v>
      </c>
      <c r="AR320" s="2">
        <v>0</v>
      </c>
      <c r="AS320" s="2">
        <v>10</v>
      </c>
      <c r="AT320" s="2">
        <v>0</v>
      </c>
      <c r="AU320" s="2">
        <v>0</v>
      </c>
      <c r="AV320" s="2">
        <v>0</v>
      </c>
      <c r="AW320" s="2">
        <v>0</v>
      </c>
      <c r="AX320" s="2">
        <v>0</v>
      </c>
      <c r="AY320" s="2">
        <v>0</v>
      </c>
      <c r="AZ320" s="2">
        <v>958</v>
      </c>
      <c r="BA320" s="2">
        <v>1031</v>
      </c>
      <c r="BB320" s="2">
        <v>1010</v>
      </c>
      <c r="BC320" s="2">
        <v>-1000</v>
      </c>
      <c r="BD320" s="2">
        <v>-7500</v>
      </c>
      <c r="BE320" s="2">
        <v>5000</v>
      </c>
      <c r="BF320" s="2">
        <v>3000</v>
      </c>
      <c r="BG320" s="2">
        <v>5000</v>
      </c>
      <c r="BH320" s="2">
        <v>5000</v>
      </c>
      <c r="BI320" s="2">
        <v>3000</v>
      </c>
      <c r="BJ320" s="2">
        <v>-1500</v>
      </c>
      <c r="BK320" s="2">
        <v>1000</v>
      </c>
      <c r="BL320" s="2">
        <v>1000</v>
      </c>
      <c r="BO320" s="2">
        <f t="shared" si="169"/>
        <v>0</v>
      </c>
      <c r="BP320" s="2">
        <f t="shared" si="177"/>
        <v>0</v>
      </c>
      <c r="BQ320" s="2">
        <f t="shared" si="178"/>
        <v>0</v>
      </c>
      <c r="BR320" s="2">
        <f t="shared" si="179"/>
        <v>0</v>
      </c>
      <c r="BS320" s="2">
        <f t="shared" si="180"/>
        <v>0</v>
      </c>
      <c r="BT320" s="2">
        <f t="shared" si="181"/>
        <v>0</v>
      </c>
      <c r="BU320" s="2">
        <f t="shared" si="182"/>
        <v>0</v>
      </c>
      <c r="BV320" s="2">
        <f t="shared" si="183"/>
        <v>0</v>
      </c>
      <c r="BW320" s="2">
        <f t="shared" si="184"/>
        <v>0</v>
      </c>
      <c r="BX320" s="2">
        <f t="shared" si="185"/>
        <v>0</v>
      </c>
      <c r="BY320" s="2">
        <f t="shared" si="186"/>
        <v>0</v>
      </c>
      <c r="BZ320" s="2">
        <f t="shared" si="187"/>
        <v>0</v>
      </c>
      <c r="CA320" s="2">
        <f t="shared" si="188"/>
        <v>0</v>
      </c>
      <c r="CB320" s="2">
        <f t="shared" si="189"/>
        <v>0</v>
      </c>
      <c r="CC320" s="2">
        <f t="shared" si="190"/>
        <v>0</v>
      </c>
      <c r="CD320" s="2">
        <f t="shared" si="191"/>
        <v>0</v>
      </c>
      <c r="CE320" s="2">
        <f t="shared" si="192"/>
        <v>0</v>
      </c>
      <c r="CF320" s="2">
        <f t="shared" si="193"/>
        <v>2156.31</v>
      </c>
      <c r="CG320" s="2">
        <f t="shared" si="194"/>
        <v>-1834.6000000000001</v>
      </c>
      <c r="CH320" s="2">
        <f t="shared" si="195"/>
        <v>-6777.9000000000005</v>
      </c>
      <c r="CI320" s="2">
        <f t="shared" si="196"/>
        <v>0</v>
      </c>
      <c r="CJ320" s="2">
        <f t="shared" si="197"/>
        <v>0</v>
      </c>
      <c r="CK320" s="2">
        <f t="shared" si="198"/>
        <v>0</v>
      </c>
      <c r="CL320" s="2">
        <f t="shared" si="199"/>
        <v>0</v>
      </c>
      <c r="CM320" s="2">
        <f t="shared" si="170"/>
        <v>0</v>
      </c>
      <c r="CN320" s="2">
        <f t="shared" si="171"/>
        <v>0</v>
      </c>
      <c r="CO320" s="2">
        <f t="shared" si="172"/>
        <v>0</v>
      </c>
      <c r="CP320" s="2">
        <f t="shared" si="173"/>
        <v>0</v>
      </c>
      <c r="CQ320" s="2">
        <f t="shared" si="174"/>
        <v>0</v>
      </c>
      <c r="CR320" s="2">
        <f t="shared" si="175"/>
        <v>0</v>
      </c>
      <c r="CV320" t="s">
        <v>64</v>
      </c>
      <c r="CW320" t="s">
        <v>393</v>
      </c>
      <c r="CX320" t="s">
        <v>17</v>
      </c>
      <c r="CY320" s="4">
        <v>42976</v>
      </c>
      <c r="CZ320" t="s">
        <v>67</v>
      </c>
      <c r="DA320" t="s">
        <v>68</v>
      </c>
      <c r="DB320">
        <v>1000</v>
      </c>
      <c r="DC320">
        <v>195.33</v>
      </c>
      <c r="DD320" t="s">
        <v>69</v>
      </c>
      <c r="DE320" t="s">
        <v>70</v>
      </c>
      <c r="DF320">
        <v>195330</v>
      </c>
    </row>
    <row r="321" spans="1:110" x14ac:dyDescent="0.25">
      <c r="A321" s="1">
        <v>43201</v>
      </c>
      <c r="B321">
        <v>169.85</v>
      </c>
      <c r="C321">
        <v>90.9</v>
      </c>
      <c r="D321">
        <v>321.02999999999997</v>
      </c>
      <c r="E321">
        <v>143.32</v>
      </c>
      <c r="F321">
        <v>41.5</v>
      </c>
      <c r="G321">
        <v>114.81</v>
      </c>
      <c r="H321">
        <v>99.23</v>
      </c>
      <c r="I321">
        <v>63.58</v>
      </c>
      <c r="J321">
        <v>250.2</v>
      </c>
      <c r="K321">
        <v>170</v>
      </c>
      <c r="L321">
        <v>148.37</v>
      </c>
      <c r="M321">
        <v>49.87</v>
      </c>
      <c r="N321">
        <v>127.02</v>
      </c>
      <c r="O321">
        <v>108.38</v>
      </c>
      <c r="P321">
        <v>42.89</v>
      </c>
      <c r="Q321">
        <v>160.31</v>
      </c>
      <c r="R321">
        <v>208.58</v>
      </c>
      <c r="S321">
        <v>55.01</v>
      </c>
      <c r="T321">
        <v>90.72</v>
      </c>
      <c r="U321">
        <v>66.28</v>
      </c>
      <c r="V321">
        <v>34.57</v>
      </c>
      <c r="W321">
        <v>75.58</v>
      </c>
      <c r="X321">
        <v>134.16</v>
      </c>
      <c r="Y321">
        <v>219.67</v>
      </c>
      <c r="Z321">
        <v>119.71</v>
      </c>
      <c r="AA321">
        <v>118.99</v>
      </c>
      <c r="AB321">
        <v>46.04</v>
      </c>
      <c r="AC321">
        <v>62.59</v>
      </c>
      <c r="AD321">
        <v>84.42</v>
      </c>
      <c r="AE321">
        <v>74.28</v>
      </c>
      <c r="AI321" s="2">
        <v>5000</v>
      </c>
      <c r="AJ321" s="2">
        <f t="shared" si="208"/>
        <v>1220</v>
      </c>
      <c r="AK321" s="2">
        <f t="shared" si="208"/>
        <v>1220</v>
      </c>
      <c r="AL321" s="2">
        <f t="shared" si="208"/>
        <v>1220</v>
      </c>
      <c r="AM321" s="2">
        <f t="shared" si="208"/>
        <v>1220</v>
      </c>
      <c r="AN321" s="2">
        <f t="shared" si="208"/>
        <v>1220</v>
      </c>
      <c r="AO321" s="2">
        <f t="shared" si="208"/>
        <v>1220</v>
      </c>
      <c r="AP321" s="2">
        <f t="shared" si="208"/>
        <v>1100</v>
      </c>
      <c r="AQ321" s="2">
        <v>1000</v>
      </c>
      <c r="AR321" s="2">
        <v>0</v>
      </c>
      <c r="AS321" s="2">
        <v>10</v>
      </c>
      <c r="AT321" s="2">
        <v>0</v>
      </c>
      <c r="AU321" s="2">
        <v>0</v>
      </c>
      <c r="AV321" s="2">
        <v>0</v>
      </c>
      <c r="AW321" s="2">
        <v>0</v>
      </c>
      <c r="AX321" s="2">
        <v>0</v>
      </c>
      <c r="AY321" s="2">
        <v>0</v>
      </c>
      <c r="AZ321" s="2">
        <v>995</v>
      </c>
      <c r="BA321" s="2">
        <v>921</v>
      </c>
      <c r="BB321" s="2">
        <v>1095</v>
      </c>
      <c r="BC321" s="2">
        <v>-1000</v>
      </c>
      <c r="BD321" s="2">
        <v>-7500</v>
      </c>
      <c r="BE321" s="2">
        <v>5000</v>
      </c>
      <c r="BF321" s="2">
        <v>3000</v>
      </c>
      <c r="BG321" s="2">
        <v>5000</v>
      </c>
      <c r="BH321" s="2">
        <v>5000</v>
      </c>
      <c r="BI321" s="2">
        <v>3000</v>
      </c>
      <c r="BJ321" s="2">
        <v>-1500</v>
      </c>
      <c r="BK321" s="2">
        <v>1000</v>
      </c>
      <c r="BL321" s="2">
        <v>1000</v>
      </c>
      <c r="BO321" s="2">
        <f t="shared" si="169"/>
        <v>0</v>
      </c>
      <c r="BP321" s="2">
        <f t="shared" si="177"/>
        <v>0</v>
      </c>
      <c r="BQ321" s="2">
        <f t="shared" si="178"/>
        <v>0</v>
      </c>
      <c r="BR321" s="2">
        <f t="shared" si="179"/>
        <v>0</v>
      </c>
      <c r="BS321" s="2">
        <f t="shared" si="180"/>
        <v>0</v>
      </c>
      <c r="BT321" s="2">
        <f t="shared" si="181"/>
        <v>0</v>
      </c>
      <c r="BU321" s="2">
        <f t="shared" si="182"/>
        <v>0</v>
      </c>
      <c r="BV321" s="2">
        <f t="shared" si="183"/>
        <v>0</v>
      </c>
      <c r="BW321" s="2">
        <f t="shared" si="184"/>
        <v>0</v>
      </c>
      <c r="BX321" s="2">
        <f t="shared" si="185"/>
        <v>0</v>
      </c>
      <c r="BY321" s="2">
        <f t="shared" si="186"/>
        <v>0</v>
      </c>
      <c r="BZ321" s="2">
        <f t="shared" si="187"/>
        <v>0</v>
      </c>
      <c r="CA321" s="2">
        <f t="shared" si="188"/>
        <v>0</v>
      </c>
      <c r="CB321" s="2">
        <f t="shared" si="189"/>
        <v>0</v>
      </c>
      <c r="CC321" s="2">
        <f t="shared" si="190"/>
        <v>0</v>
      </c>
      <c r="CD321" s="2">
        <f t="shared" si="191"/>
        <v>0</v>
      </c>
      <c r="CE321" s="2">
        <f t="shared" si="192"/>
        <v>0</v>
      </c>
      <c r="CF321" s="2">
        <f t="shared" si="193"/>
        <v>-2035.37</v>
      </c>
      <c r="CG321" s="2">
        <f t="shared" si="194"/>
        <v>9979.2000000000007</v>
      </c>
      <c r="CH321" s="2">
        <f t="shared" si="195"/>
        <v>-5633.8</v>
      </c>
      <c r="CI321" s="2">
        <f t="shared" si="196"/>
        <v>0</v>
      </c>
      <c r="CJ321" s="2">
        <f t="shared" si="197"/>
        <v>0</v>
      </c>
      <c r="CK321" s="2">
        <f t="shared" si="198"/>
        <v>0</v>
      </c>
      <c r="CL321" s="2">
        <f t="shared" si="199"/>
        <v>0</v>
      </c>
      <c r="CM321" s="2">
        <f t="shared" si="170"/>
        <v>0</v>
      </c>
      <c r="CN321" s="2">
        <f t="shared" si="171"/>
        <v>0</v>
      </c>
      <c r="CO321" s="2">
        <f t="shared" si="172"/>
        <v>0</v>
      </c>
      <c r="CP321" s="2">
        <f t="shared" si="173"/>
        <v>0</v>
      </c>
      <c r="CQ321" s="2">
        <f t="shared" si="174"/>
        <v>0</v>
      </c>
      <c r="CR321" s="2">
        <f t="shared" si="175"/>
        <v>0</v>
      </c>
      <c r="CV321" t="s">
        <v>64</v>
      </c>
      <c r="CW321" t="s">
        <v>394</v>
      </c>
      <c r="CX321" t="s">
        <v>18</v>
      </c>
      <c r="CY321" s="4">
        <v>42738</v>
      </c>
      <c r="CZ321" t="s">
        <v>65</v>
      </c>
      <c r="DA321" t="s">
        <v>66</v>
      </c>
      <c r="DB321">
        <v>1000</v>
      </c>
      <c r="DC321">
        <v>56.63</v>
      </c>
      <c r="DD321" t="s">
        <v>69</v>
      </c>
      <c r="DE321" t="s">
        <v>70</v>
      </c>
      <c r="DF321">
        <v>56630</v>
      </c>
    </row>
    <row r="322" spans="1:110" x14ac:dyDescent="0.25">
      <c r="A322" s="1">
        <v>43202</v>
      </c>
      <c r="B322">
        <v>171.53</v>
      </c>
      <c r="C322">
        <v>92.64</v>
      </c>
      <c r="D322">
        <v>330.96</v>
      </c>
      <c r="E322">
        <v>146.59</v>
      </c>
      <c r="F322">
        <v>42.39</v>
      </c>
      <c r="G322">
        <v>114.79</v>
      </c>
      <c r="H322">
        <v>98.82</v>
      </c>
      <c r="I322">
        <v>65.290000000000006</v>
      </c>
      <c r="J322">
        <v>256.77999999999997</v>
      </c>
      <c r="K322">
        <v>170.5</v>
      </c>
      <c r="L322">
        <v>150.96</v>
      </c>
      <c r="M322">
        <v>51.45</v>
      </c>
      <c r="N322">
        <v>127.8</v>
      </c>
      <c r="O322">
        <v>111.07</v>
      </c>
      <c r="P322">
        <v>42.93</v>
      </c>
      <c r="Q322">
        <v>158.63</v>
      </c>
      <c r="R322">
        <v>210.61</v>
      </c>
      <c r="S322">
        <v>55.53</v>
      </c>
      <c r="T322">
        <v>92.42</v>
      </c>
      <c r="U322">
        <v>67.22</v>
      </c>
      <c r="V322">
        <v>35.090000000000003</v>
      </c>
      <c r="W322">
        <v>75.12</v>
      </c>
      <c r="X322">
        <v>134.84</v>
      </c>
      <c r="Y322">
        <v>221.99</v>
      </c>
      <c r="Z322">
        <v>120.5</v>
      </c>
      <c r="AA322">
        <v>120.27</v>
      </c>
      <c r="AB322">
        <v>46.19</v>
      </c>
      <c r="AC322">
        <v>62.53</v>
      </c>
      <c r="AD322">
        <v>83.95</v>
      </c>
      <c r="AE322">
        <v>74.08</v>
      </c>
      <c r="AI322" s="2">
        <v>5000</v>
      </c>
      <c r="AJ322" s="2">
        <f t="shared" si="208"/>
        <v>1220</v>
      </c>
      <c r="AK322" s="2">
        <f t="shared" si="208"/>
        <v>1220</v>
      </c>
      <c r="AL322" s="2">
        <f t="shared" si="208"/>
        <v>1220</v>
      </c>
      <c r="AM322" s="2">
        <f t="shared" si="208"/>
        <v>1220</v>
      </c>
      <c r="AN322" s="2">
        <f t="shared" si="208"/>
        <v>1220</v>
      </c>
      <c r="AO322" s="2">
        <f t="shared" si="208"/>
        <v>1220</v>
      </c>
      <c r="AP322" s="2">
        <f t="shared" si="208"/>
        <v>1100</v>
      </c>
      <c r="AQ322" s="2">
        <v>1000</v>
      </c>
      <c r="AR322" s="2">
        <v>0</v>
      </c>
      <c r="AS322" s="2">
        <v>10</v>
      </c>
      <c r="AT322" s="2">
        <v>0</v>
      </c>
      <c r="AU322" s="2">
        <v>0</v>
      </c>
      <c r="AV322" s="2">
        <v>0</v>
      </c>
      <c r="AW322" s="2">
        <v>0</v>
      </c>
      <c r="AX322" s="2">
        <v>0</v>
      </c>
      <c r="AY322" s="2">
        <v>0</v>
      </c>
      <c r="AZ322" s="2">
        <v>1048</v>
      </c>
      <c r="BA322" s="2">
        <v>985</v>
      </c>
      <c r="BB322" s="2">
        <v>1071</v>
      </c>
      <c r="BC322" s="2">
        <v>-1000</v>
      </c>
      <c r="BD322" s="2">
        <v>-7500</v>
      </c>
      <c r="BE322" s="2">
        <v>5000</v>
      </c>
      <c r="BF322" s="2">
        <v>3000</v>
      </c>
      <c r="BG322" s="2">
        <v>5000</v>
      </c>
      <c r="BH322" s="2">
        <v>5000</v>
      </c>
      <c r="BI322" s="2">
        <v>3000</v>
      </c>
      <c r="BJ322" s="2">
        <v>-1500</v>
      </c>
      <c r="BK322" s="2">
        <v>1000</v>
      </c>
      <c r="BL322" s="2">
        <v>1000</v>
      </c>
      <c r="BO322" s="2">
        <f t="shared" si="169"/>
        <v>0</v>
      </c>
      <c r="BP322" s="2">
        <f t="shared" si="177"/>
        <v>0</v>
      </c>
      <c r="BQ322" s="2">
        <f t="shared" si="178"/>
        <v>0</v>
      </c>
      <c r="BR322" s="2">
        <f t="shared" si="179"/>
        <v>0</v>
      </c>
      <c r="BS322" s="2">
        <f t="shared" si="180"/>
        <v>0</v>
      </c>
      <c r="BT322" s="2">
        <f t="shared" si="181"/>
        <v>0</v>
      </c>
      <c r="BU322" s="2">
        <f t="shared" si="182"/>
        <v>0</v>
      </c>
      <c r="BV322" s="2">
        <f t="shared" si="183"/>
        <v>0</v>
      </c>
      <c r="BW322" s="2">
        <f t="shared" si="184"/>
        <v>0</v>
      </c>
      <c r="BX322" s="2">
        <f t="shared" si="185"/>
        <v>0</v>
      </c>
      <c r="BY322" s="2">
        <f t="shared" si="186"/>
        <v>0</v>
      </c>
      <c r="BZ322" s="2">
        <f t="shared" si="187"/>
        <v>0</v>
      </c>
      <c r="CA322" s="2">
        <f t="shared" si="188"/>
        <v>0</v>
      </c>
      <c r="CB322" s="2">
        <f t="shared" si="189"/>
        <v>0</v>
      </c>
      <c r="CC322" s="2">
        <f t="shared" si="190"/>
        <v>0</v>
      </c>
      <c r="CD322" s="2">
        <f t="shared" si="191"/>
        <v>0</v>
      </c>
      <c r="CE322" s="2">
        <f t="shared" si="192"/>
        <v>0</v>
      </c>
      <c r="CF322" s="2">
        <f t="shared" si="193"/>
        <v>-2943.09</v>
      </c>
      <c r="CG322" s="2">
        <f t="shared" si="194"/>
        <v>-5914.88</v>
      </c>
      <c r="CH322" s="2">
        <f t="shared" si="195"/>
        <v>1613.28</v>
      </c>
      <c r="CI322" s="2">
        <f t="shared" si="196"/>
        <v>0</v>
      </c>
      <c r="CJ322" s="2">
        <f t="shared" si="197"/>
        <v>0</v>
      </c>
      <c r="CK322" s="2">
        <f t="shared" si="198"/>
        <v>0</v>
      </c>
      <c r="CL322" s="2">
        <f t="shared" si="199"/>
        <v>0</v>
      </c>
      <c r="CM322" s="2">
        <f t="shared" si="170"/>
        <v>0</v>
      </c>
      <c r="CN322" s="2">
        <f t="shared" si="171"/>
        <v>0</v>
      </c>
      <c r="CO322" s="2">
        <f t="shared" si="172"/>
        <v>0</v>
      </c>
      <c r="CP322" s="2">
        <f t="shared" si="173"/>
        <v>0</v>
      </c>
      <c r="CQ322" s="2">
        <f t="shared" si="174"/>
        <v>0</v>
      </c>
      <c r="CR322" s="2">
        <f t="shared" si="175"/>
        <v>0</v>
      </c>
      <c r="CV322" t="s">
        <v>64</v>
      </c>
      <c r="CW322" t="s">
        <v>395</v>
      </c>
      <c r="CX322" t="s">
        <v>18</v>
      </c>
      <c r="CY322" s="4">
        <v>42739</v>
      </c>
      <c r="CZ322" t="s">
        <v>67</v>
      </c>
      <c r="DA322" t="s">
        <v>68</v>
      </c>
      <c r="DB322">
        <v>42</v>
      </c>
      <c r="DC322">
        <v>56.61</v>
      </c>
      <c r="DD322" t="s">
        <v>69</v>
      </c>
      <c r="DE322" t="s">
        <v>70</v>
      </c>
      <c r="DF322">
        <v>2377.62</v>
      </c>
    </row>
    <row r="323" spans="1:110" x14ac:dyDescent="0.25">
      <c r="A323" s="1">
        <v>43203</v>
      </c>
      <c r="B323">
        <v>172.11</v>
      </c>
      <c r="C323">
        <v>92.32</v>
      </c>
      <c r="D323">
        <v>322.91000000000003</v>
      </c>
      <c r="E323">
        <v>146.68</v>
      </c>
      <c r="F323">
        <v>42.06</v>
      </c>
      <c r="G323">
        <v>115.45</v>
      </c>
      <c r="H323">
        <v>98.78</v>
      </c>
      <c r="I323">
        <v>64.989999999999995</v>
      </c>
      <c r="J323">
        <v>253.15</v>
      </c>
      <c r="K323">
        <v>169.95</v>
      </c>
      <c r="L323">
        <v>149.66</v>
      </c>
      <c r="M323">
        <v>50.61</v>
      </c>
      <c r="N323">
        <v>127.99</v>
      </c>
      <c r="O323">
        <v>108.06</v>
      </c>
      <c r="P323">
        <v>43.4</v>
      </c>
      <c r="Q323">
        <v>158.72999999999999</v>
      </c>
      <c r="R323">
        <v>209.74</v>
      </c>
      <c r="S323">
        <v>55.95</v>
      </c>
      <c r="T323">
        <v>91.93</v>
      </c>
      <c r="U323">
        <v>66.7</v>
      </c>
      <c r="V323">
        <v>35.090000000000003</v>
      </c>
      <c r="W323">
        <v>75.680000000000007</v>
      </c>
      <c r="X323">
        <v>133.86000000000001</v>
      </c>
      <c r="Y323">
        <v>222.03</v>
      </c>
      <c r="Z323">
        <v>119.97</v>
      </c>
      <c r="AA323">
        <v>119.95</v>
      </c>
      <c r="AB323">
        <v>46.12</v>
      </c>
      <c r="AC323">
        <v>62.31</v>
      </c>
      <c r="AD323">
        <v>84.53</v>
      </c>
      <c r="AE323">
        <v>74.680000000000007</v>
      </c>
      <c r="AI323" s="2">
        <v>5000</v>
      </c>
      <c r="AJ323" s="2">
        <f t="shared" si="208"/>
        <v>1220</v>
      </c>
      <c r="AK323" s="2">
        <f t="shared" si="208"/>
        <v>1220</v>
      </c>
      <c r="AL323" s="2">
        <f t="shared" si="208"/>
        <v>1220</v>
      </c>
      <c r="AM323" s="2">
        <f t="shared" si="208"/>
        <v>1220</v>
      </c>
      <c r="AN323" s="2">
        <f t="shared" si="208"/>
        <v>1220</v>
      </c>
      <c r="AO323" s="2">
        <f t="shared" si="208"/>
        <v>1220</v>
      </c>
      <c r="AP323" s="2">
        <f t="shared" si="208"/>
        <v>1100</v>
      </c>
      <c r="AQ323" s="2">
        <v>1000</v>
      </c>
      <c r="AR323" s="2">
        <v>0</v>
      </c>
      <c r="AS323" s="2">
        <v>10</v>
      </c>
      <c r="AT323" s="2">
        <v>0</v>
      </c>
      <c r="AU323" s="2">
        <v>0</v>
      </c>
      <c r="AV323" s="2">
        <v>0</v>
      </c>
      <c r="AW323" s="2">
        <v>0</v>
      </c>
      <c r="AX323" s="2">
        <v>0</v>
      </c>
      <c r="AY323" s="2">
        <v>0</v>
      </c>
      <c r="AZ323" s="2">
        <v>1017</v>
      </c>
      <c r="BA323" s="2">
        <v>1011</v>
      </c>
      <c r="BB323" s="2">
        <v>1019</v>
      </c>
      <c r="BC323" s="2">
        <v>-1000</v>
      </c>
      <c r="BD323" s="2">
        <v>-7500</v>
      </c>
      <c r="BE323" s="2">
        <v>5000</v>
      </c>
      <c r="BF323" s="2">
        <v>3000</v>
      </c>
      <c r="BG323" s="2">
        <v>5000</v>
      </c>
      <c r="BH323" s="2">
        <v>5000</v>
      </c>
      <c r="BI323" s="2">
        <v>3000</v>
      </c>
      <c r="BJ323" s="2">
        <v>-1500</v>
      </c>
      <c r="BK323" s="2">
        <v>1000</v>
      </c>
      <c r="BL323" s="2">
        <v>1000</v>
      </c>
      <c r="BO323" s="2">
        <f t="shared" si="169"/>
        <v>0</v>
      </c>
      <c r="BP323" s="2">
        <f t="shared" si="177"/>
        <v>0</v>
      </c>
      <c r="BQ323" s="2">
        <f t="shared" si="178"/>
        <v>0</v>
      </c>
      <c r="BR323" s="2">
        <f t="shared" si="179"/>
        <v>0</v>
      </c>
      <c r="BS323" s="2">
        <f t="shared" si="180"/>
        <v>0</v>
      </c>
      <c r="BT323" s="2">
        <f t="shared" si="181"/>
        <v>0</v>
      </c>
      <c r="BU323" s="2">
        <f t="shared" si="182"/>
        <v>0</v>
      </c>
      <c r="BV323" s="2">
        <f t="shared" si="183"/>
        <v>0</v>
      </c>
      <c r="BW323" s="2">
        <f t="shared" si="184"/>
        <v>0</v>
      </c>
      <c r="BX323" s="2">
        <f t="shared" si="185"/>
        <v>0</v>
      </c>
      <c r="BY323" s="2">
        <f t="shared" si="186"/>
        <v>0</v>
      </c>
      <c r="BZ323" s="2">
        <f t="shared" si="187"/>
        <v>0</v>
      </c>
      <c r="CA323" s="2">
        <f t="shared" si="188"/>
        <v>0</v>
      </c>
      <c r="CB323" s="2">
        <f t="shared" si="189"/>
        <v>0</v>
      </c>
      <c r="CC323" s="2">
        <f t="shared" si="190"/>
        <v>0</v>
      </c>
      <c r="CD323" s="2">
        <f t="shared" si="191"/>
        <v>0</v>
      </c>
      <c r="CE323" s="2">
        <f t="shared" si="192"/>
        <v>0</v>
      </c>
      <c r="CF323" s="2">
        <f t="shared" si="193"/>
        <v>1734.45</v>
      </c>
      <c r="CG323" s="2">
        <f t="shared" si="194"/>
        <v>-2390.1800000000003</v>
      </c>
      <c r="CH323" s="2">
        <f t="shared" si="195"/>
        <v>3468.4</v>
      </c>
      <c r="CI323" s="2">
        <f t="shared" si="196"/>
        <v>0</v>
      </c>
      <c r="CJ323" s="2">
        <f t="shared" si="197"/>
        <v>0</v>
      </c>
      <c r="CK323" s="2">
        <f t="shared" si="198"/>
        <v>0</v>
      </c>
      <c r="CL323" s="2">
        <f t="shared" si="199"/>
        <v>0</v>
      </c>
      <c r="CM323" s="2">
        <f t="shared" si="170"/>
        <v>0</v>
      </c>
      <c r="CN323" s="2">
        <f t="shared" si="171"/>
        <v>0</v>
      </c>
      <c r="CO323" s="2">
        <f t="shared" si="172"/>
        <v>0</v>
      </c>
      <c r="CP323" s="2">
        <f t="shared" si="173"/>
        <v>0</v>
      </c>
      <c r="CQ323" s="2">
        <f t="shared" si="174"/>
        <v>0</v>
      </c>
      <c r="CR323" s="2">
        <f t="shared" si="175"/>
        <v>0</v>
      </c>
      <c r="CV323" t="s">
        <v>64</v>
      </c>
      <c r="CW323" t="s">
        <v>396</v>
      </c>
      <c r="CX323" t="s">
        <v>18</v>
      </c>
      <c r="CY323" s="4">
        <v>42740</v>
      </c>
      <c r="CZ323" t="s">
        <v>65</v>
      </c>
      <c r="DA323" t="s">
        <v>66</v>
      </c>
      <c r="DB323">
        <v>9</v>
      </c>
      <c r="DC323">
        <v>56.59</v>
      </c>
      <c r="DD323" t="s">
        <v>69</v>
      </c>
      <c r="DE323" t="s">
        <v>70</v>
      </c>
      <c r="DF323">
        <v>509.31000000000006</v>
      </c>
    </row>
    <row r="324" spans="1:110" x14ac:dyDescent="0.25">
      <c r="A324" s="1">
        <v>43206</v>
      </c>
      <c r="B324">
        <v>173.18</v>
      </c>
      <c r="C324">
        <v>92.89</v>
      </c>
      <c r="D324">
        <v>325.36</v>
      </c>
      <c r="E324">
        <v>148.55000000000001</v>
      </c>
      <c r="F324">
        <v>42.35</v>
      </c>
      <c r="G324">
        <v>116.21</v>
      </c>
      <c r="H324">
        <v>98.68</v>
      </c>
      <c r="I324">
        <v>65.819999999999993</v>
      </c>
      <c r="J324">
        <v>255.09</v>
      </c>
      <c r="K324">
        <v>171.55</v>
      </c>
      <c r="L324">
        <v>150.79</v>
      </c>
      <c r="M324">
        <v>51.14</v>
      </c>
      <c r="N324">
        <v>129.1</v>
      </c>
      <c r="O324">
        <v>107.98</v>
      </c>
      <c r="P324">
        <v>43.57</v>
      </c>
      <c r="Q324">
        <v>158.63999999999999</v>
      </c>
      <c r="R324">
        <v>211.86</v>
      </c>
      <c r="S324">
        <v>57.4</v>
      </c>
      <c r="T324">
        <v>93</v>
      </c>
      <c r="U324">
        <v>66.510000000000005</v>
      </c>
      <c r="V324">
        <v>35.29</v>
      </c>
      <c r="W324">
        <v>75.91</v>
      </c>
      <c r="X324">
        <v>135.1</v>
      </c>
      <c r="Y324">
        <v>228.01</v>
      </c>
      <c r="Z324">
        <v>121.04</v>
      </c>
      <c r="AA324">
        <v>121.07</v>
      </c>
      <c r="AB324">
        <v>46.82</v>
      </c>
      <c r="AC324">
        <v>64.650000000000006</v>
      </c>
      <c r="AD324">
        <v>85.33</v>
      </c>
      <c r="AE324">
        <v>75.349999999999994</v>
      </c>
      <c r="AI324" s="2">
        <v>5000</v>
      </c>
      <c r="AJ324" s="2">
        <f t="shared" ref="AJ324:AP324" si="209">AJ323+10</f>
        <v>1230</v>
      </c>
      <c r="AK324" s="2">
        <f t="shared" si="209"/>
        <v>1230</v>
      </c>
      <c r="AL324" s="2">
        <f t="shared" si="209"/>
        <v>1230</v>
      </c>
      <c r="AM324" s="2">
        <f t="shared" si="209"/>
        <v>1230</v>
      </c>
      <c r="AN324" s="2">
        <f t="shared" si="209"/>
        <v>1230</v>
      </c>
      <c r="AO324" s="2">
        <f t="shared" si="209"/>
        <v>1230</v>
      </c>
      <c r="AP324" s="2">
        <f t="shared" si="209"/>
        <v>1110</v>
      </c>
      <c r="AQ324" s="2">
        <v>1000</v>
      </c>
      <c r="AR324" s="2">
        <v>0</v>
      </c>
      <c r="AS324" s="2">
        <v>10</v>
      </c>
      <c r="AT324" s="2">
        <v>0</v>
      </c>
      <c r="AU324" s="2">
        <v>0</v>
      </c>
      <c r="AV324" s="2">
        <v>0</v>
      </c>
      <c r="AW324" s="2">
        <v>0</v>
      </c>
      <c r="AX324" s="2">
        <v>0</v>
      </c>
      <c r="AY324" s="2">
        <v>0</v>
      </c>
      <c r="AZ324" s="2">
        <v>996</v>
      </c>
      <c r="BA324" s="2">
        <v>1048</v>
      </c>
      <c r="BB324" s="2">
        <v>982</v>
      </c>
      <c r="BC324" s="2">
        <v>-1000</v>
      </c>
      <c r="BD324" s="2">
        <v>-7500</v>
      </c>
      <c r="BE324" s="2">
        <v>5000</v>
      </c>
      <c r="BF324" s="2">
        <v>3000</v>
      </c>
      <c r="BG324" s="2">
        <v>5000</v>
      </c>
      <c r="BH324" s="2">
        <v>5000</v>
      </c>
      <c r="BI324" s="2">
        <v>3000</v>
      </c>
      <c r="BJ324" s="2">
        <v>-2000</v>
      </c>
      <c r="BK324" s="2">
        <v>1000</v>
      </c>
      <c r="BL324" s="2">
        <v>1000</v>
      </c>
      <c r="BO324" s="2">
        <f t="shared" ref="BO324:BO387" si="210">(AI323-AI324)*B324</f>
        <v>0</v>
      </c>
      <c r="BP324" s="2">
        <f t="shared" si="177"/>
        <v>-928.9</v>
      </c>
      <c r="BQ324" s="2">
        <f t="shared" si="178"/>
        <v>-3253.6000000000004</v>
      </c>
      <c r="BR324" s="2">
        <f t="shared" si="179"/>
        <v>-1485.5</v>
      </c>
      <c r="BS324" s="2">
        <f t="shared" si="180"/>
        <v>-423.5</v>
      </c>
      <c r="BT324" s="2">
        <f t="shared" si="181"/>
        <v>-1162.0999999999999</v>
      </c>
      <c r="BU324" s="2">
        <f t="shared" si="182"/>
        <v>-986.80000000000007</v>
      </c>
      <c r="BV324" s="2">
        <f t="shared" si="183"/>
        <v>-658.19999999999993</v>
      </c>
      <c r="BW324" s="2">
        <f t="shared" si="184"/>
        <v>0</v>
      </c>
      <c r="BX324" s="2">
        <f t="shared" si="185"/>
        <v>0</v>
      </c>
      <c r="BY324" s="2">
        <f t="shared" si="186"/>
        <v>0</v>
      </c>
      <c r="BZ324" s="2">
        <f t="shared" si="187"/>
        <v>0</v>
      </c>
      <c r="CA324" s="2">
        <f t="shared" si="188"/>
        <v>0</v>
      </c>
      <c r="CB324" s="2">
        <f t="shared" si="189"/>
        <v>0</v>
      </c>
      <c r="CC324" s="2">
        <f t="shared" si="190"/>
        <v>0</v>
      </c>
      <c r="CD324" s="2">
        <f t="shared" si="191"/>
        <v>0</v>
      </c>
      <c r="CE324" s="2">
        <f t="shared" si="192"/>
        <v>0</v>
      </c>
      <c r="CF324" s="2">
        <f t="shared" si="193"/>
        <v>1205.3999999999999</v>
      </c>
      <c r="CG324" s="2">
        <f t="shared" si="194"/>
        <v>-3441</v>
      </c>
      <c r="CH324" s="2">
        <f t="shared" si="195"/>
        <v>2460.8700000000003</v>
      </c>
      <c r="CI324" s="2">
        <f t="shared" si="196"/>
        <v>0</v>
      </c>
      <c r="CJ324" s="2">
        <f t="shared" si="197"/>
        <v>0</v>
      </c>
      <c r="CK324" s="2">
        <f t="shared" si="198"/>
        <v>0</v>
      </c>
      <c r="CL324" s="2">
        <f t="shared" si="199"/>
        <v>0</v>
      </c>
      <c r="CM324" s="2">
        <f t="shared" si="170"/>
        <v>0</v>
      </c>
      <c r="CN324" s="2">
        <f t="shared" si="171"/>
        <v>0</v>
      </c>
      <c r="CO324" s="2">
        <f t="shared" si="172"/>
        <v>0</v>
      </c>
      <c r="CP324" s="2">
        <f t="shared" si="173"/>
        <v>32325.000000000004</v>
      </c>
      <c r="CQ324" s="2">
        <f t="shared" si="174"/>
        <v>0</v>
      </c>
      <c r="CR324" s="2">
        <f t="shared" si="175"/>
        <v>0</v>
      </c>
      <c r="CV324" t="s">
        <v>64</v>
      </c>
      <c r="CW324" t="s">
        <v>397</v>
      </c>
      <c r="CX324" t="s">
        <v>18</v>
      </c>
      <c r="CY324" s="4">
        <v>42741</v>
      </c>
      <c r="CZ324" t="s">
        <v>65</v>
      </c>
      <c r="DA324" t="s">
        <v>66</v>
      </c>
      <c r="DB324">
        <v>8</v>
      </c>
      <c r="DC324">
        <v>56.74</v>
      </c>
      <c r="DD324" t="s">
        <v>69</v>
      </c>
      <c r="DE324" t="s">
        <v>70</v>
      </c>
      <c r="DF324">
        <v>453.92</v>
      </c>
    </row>
    <row r="325" spans="1:110" x14ac:dyDescent="0.25">
      <c r="A325" s="1">
        <v>43207</v>
      </c>
      <c r="B325">
        <v>175.57</v>
      </c>
      <c r="C325">
        <v>93.14</v>
      </c>
      <c r="D325">
        <v>330.21</v>
      </c>
      <c r="E325">
        <v>149.69</v>
      </c>
      <c r="F325">
        <v>43.61</v>
      </c>
      <c r="G325">
        <v>116.94</v>
      </c>
      <c r="H325">
        <v>100.58</v>
      </c>
      <c r="I325">
        <v>66.349999999999994</v>
      </c>
      <c r="J325">
        <v>250.89</v>
      </c>
      <c r="K325">
        <v>172.02</v>
      </c>
      <c r="L325">
        <v>153.66999999999999</v>
      </c>
      <c r="M325">
        <v>52.25</v>
      </c>
      <c r="N325">
        <v>127.91</v>
      </c>
      <c r="O325">
        <v>107.98</v>
      </c>
      <c r="P325">
        <v>43.76</v>
      </c>
      <c r="Q325">
        <v>159.54</v>
      </c>
      <c r="R325">
        <v>214.19</v>
      </c>
      <c r="S325">
        <v>58.01</v>
      </c>
      <c r="T325">
        <v>94.88</v>
      </c>
      <c r="U325">
        <v>66.959999999999994</v>
      </c>
      <c r="V325">
        <v>35.1</v>
      </c>
      <c r="W325">
        <v>75.739999999999995</v>
      </c>
      <c r="X325">
        <v>134.88999999999999</v>
      </c>
      <c r="Y325">
        <v>236.16</v>
      </c>
      <c r="Z325">
        <v>121.75</v>
      </c>
      <c r="AA325">
        <v>122.98</v>
      </c>
      <c r="AB325">
        <v>47.27</v>
      </c>
      <c r="AC325">
        <v>64.41</v>
      </c>
      <c r="AD325">
        <v>86.37</v>
      </c>
      <c r="AE325">
        <v>75.150000000000006</v>
      </c>
      <c r="AI325" s="2">
        <v>5000</v>
      </c>
      <c r="AJ325" s="2">
        <f t="shared" ref="AJ325:AP325" si="211">AJ324</f>
        <v>1230</v>
      </c>
      <c r="AK325" s="2">
        <f t="shared" si="211"/>
        <v>1230</v>
      </c>
      <c r="AL325" s="2">
        <f t="shared" si="211"/>
        <v>1230</v>
      </c>
      <c r="AM325" s="2">
        <f t="shared" si="211"/>
        <v>1230</v>
      </c>
      <c r="AN325" s="2">
        <f t="shared" si="211"/>
        <v>1230</v>
      </c>
      <c r="AO325" s="2">
        <f t="shared" si="211"/>
        <v>1230</v>
      </c>
      <c r="AP325" s="2">
        <f t="shared" si="211"/>
        <v>1110</v>
      </c>
      <c r="AQ325" s="2">
        <v>1000</v>
      </c>
      <c r="AR325" s="2">
        <v>0</v>
      </c>
      <c r="AS325" s="2">
        <v>10</v>
      </c>
      <c r="AT325" s="2">
        <v>0</v>
      </c>
      <c r="AU325" s="2">
        <v>0</v>
      </c>
      <c r="AV325" s="2">
        <v>0</v>
      </c>
      <c r="AW325" s="2">
        <v>0</v>
      </c>
      <c r="AX325" s="2">
        <v>0</v>
      </c>
      <c r="AY325" s="2">
        <v>0</v>
      </c>
      <c r="AZ325" s="2">
        <v>1015</v>
      </c>
      <c r="BA325" s="2">
        <v>985</v>
      </c>
      <c r="BB325" s="2">
        <v>956</v>
      </c>
      <c r="BC325" s="2">
        <v>-1000</v>
      </c>
      <c r="BD325" s="2">
        <v>-7500</v>
      </c>
      <c r="BE325" s="2">
        <v>5000</v>
      </c>
      <c r="BF325" s="2">
        <v>3000</v>
      </c>
      <c r="BG325" s="2">
        <v>5000</v>
      </c>
      <c r="BH325" s="2">
        <v>5000</v>
      </c>
      <c r="BI325" s="2">
        <v>3000</v>
      </c>
      <c r="BJ325" s="2">
        <v>-2000</v>
      </c>
      <c r="BK325" s="2">
        <v>1000</v>
      </c>
      <c r="BL325" s="2">
        <v>1000</v>
      </c>
      <c r="BO325" s="2">
        <f t="shared" si="210"/>
        <v>0</v>
      </c>
      <c r="BP325" s="2">
        <f t="shared" si="177"/>
        <v>0</v>
      </c>
      <c r="BQ325" s="2">
        <f t="shared" si="178"/>
        <v>0</v>
      </c>
      <c r="BR325" s="2">
        <f t="shared" si="179"/>
        <v>0</v>
      </c>
      <c r="BS325" s="2">
        <f t="shared" si="180"/>
        <v>0</v>
      </c>
      <c r="BT325" s="2">
        <f t="shared" si="181"/>
        <v>0</v>
      </c>
      <c r="BU325" s="2">
        <f t="shared" si="182"/>
        <v>0</v>
      </c>
      <c r="BV325" s="2">
        <f t="shared" si="183"/>
        <v>0</v>
      </c>
      <c r="BW325" s="2">
        <f t="shared" si="184"/>
        <v>0</v>
      </c>
      <c r="BX325" s="2">
        <f t="shared" si="185"/>
        <v>0</v>
      </c>
      <c r="BY325" s="2">
        <f t="shared" si="186"/>
        <v>0</v>
      </c>
      <c r="BZ325" s="2">
        <f t="shared" si="187"/>
        <v>0</v>
      </c>
      <c r="CA325" s="2">
        <f t="shared" si="188"/>
        <v>0</v>
      </c>
      <c r="CB325" s="2">
        <f t="shared" si="189"/>
        <v>0</v>
      </c>
      <c r="CC325" s="2">
        <f t="shared" si="190"/>
        <v>0</v>
      </c>
      <c r="CD325" s="2">
        <f t="shared" si="191"/>
        <v>0</v>
      </c>
      <c r="CE325" s="2">
        <f t="shared" si="192"/>
        <v>0</v>
      </c>
      <c r="CF325" s="2">
        <f t="shared" si="193"/>
        <v>-1102.19</v>
      </c>
      <c r="CG325" s="2">
        <f t="shared" si="194"/>
        <v>5977.44</v>
      </c>
      <c r="CH325" s="2">
        <f t="shared" si="195"/>
        <v>1740.9599999999998</v>
      </c>
      <c r="CI325" s="2">
        <f t="shared" si="196"/>
        <v>0</v>
      </c>
      <c r="CJ325" s="2">
        <f t="shared" si="197"/>
        <v>0</v>
      </c>
      <c r="CK325" s="2">
        <f t="shared" si="198"/>
        <v>0</v>
      </c>
      <c r="CL325" s="2">
        <f t="shared" si="199"/>
        <v>0</v>
      </c>
      <c r="CM325" s="2">
        <f t="shared" si="170"/>
        <v>0</v>
      </c>
      <c r="CN325" s="2">
        <f t="shared" si="171"/>
        <v>0</v>
      </c>
      <c r="CO325" s="2">
        <f t="shared" si="172"/>
        <v>0</v>
      </c>
      <c r="CP325" s="2">
        <f t="shared" si="173"/>
        <v>0</v>
      </c>
      <c r="CQ325" s="2">
        <f t="shared" si="174"/>
        <v>0</v>
      </c>
      <c r="CR325" s="2">
        <f t="shared" si="175"/>
        <v>0</v>
      </c>
      <c r="CV325" t="s">
        <v>64</v>
      </c>
      <c r="CW325" t="s">
        <v>398</v>
      </c>
      <c r="CX325" t="s">
        <v>18</v>
      </c>
      <c r="CY325" s="4">
        <v>42744</v>
      </c>
      <c r="CZ325" t="s">
        <v>67</v>
      </c>
      <c r="DA325" t="s">
        <v>68</v>
      </c>
      <c r="DB325">
        <v>16</v>
      </c>
      <c r="DC325">
        <v>57.52</v>
      </c>
      <c r="DD325" t="s">
        <v>69</v>
      </c>
      <c r="DE325" t="s">
        <v>70</v>
      </c>
      <c r="DF325">
        <v>920.32</v>
      </c>
    </row>
    <row r="326" spans="1:110" x14ac:dyDescent="0.25">
      <c r="A326" s="1">
        <v>43208</v>
      </c>
      <c r="B326">
        <v>175.17</v>
      </c>
      <c r="C326">
        <v>94.42</v>
      </c>
      <c r="D326">
        <v>334.41</v>
      </c>
      <c r="E326">
        <v>152.27000000000001</v>
      </c>
      <c r="F326">
        <v>43.65</v>
      </c>
      <c r="G326">
        <v>119.21</v>
      </c>
      <c r="H326">
        <v>99.63</v>
      </c>
      <c r="I326">
        <v>66.849999999999994</v>
      </c>
      <c r="J326">
        <v>251.25</v>
      </c>
      <c r="K326">
        <v>176.88</v>
      </c>
      <c r="L326">
        <v>142.1</v>
      </c>
      <c r="M326">
        <v>52.32</v>
      </c>
      <c r="N326">
        <v>125.14</v>
      </c>
      <c r="O326">
        <v>107.1</v>
      </c>
      <c r="P326">
        <v>43.4</v>
      </c>
      <c r="Q326">
        <v>158.81</v>
      </c>
      <c r="R326">
        <v>213.63</v>
      </c>
      <c r="S326">
        <v>57.67</v>
      </c>
      <c r="T326">
        <v>95.24</v>
      </c>
      <c r="U326">
        <v>65.66</v>
      </c>
      <c r="V326">
        <v>35.25</v>
      </c>
      <c r="W326">
        <v>75.52</v>
      </c>
      <c r="X326">
        <v>134.04</v>
      </c>
      <c r="Y326">
        <v>234.03</v>
      </c>
      <c r="Z326">
        <v>122.01</v>
      </c>
      <c r="AA326">
        <v>123.66</v>
      </c>
      <c r="AB326">
        <v>47.05</v>
      </c>
      <c r="AC326">
        <v>64.69</v>
      </c>
      <c r="AD326">
        <v>86.05</v>
      </c>
      <c r="AE326">
        <v>76</v>
      </c>
      <c r="AI326" s="2">
        <v>5000</v>
      </c>
      <c r="AJ326" s="2">
        <f t="shared" si="208"/>
        <v>1230</v>
      </c>
      <c r="AK326" s="2">
        <f t="shared" si="208"/>
        <v>1230</v>
      </c>
      <c r="AL326" s="2">
        <f t="shared" si="208"/>
        <v>1230</v>
      </c>
      <c r="AM326" s="2">
        <f t="shared" si="208"/>
        <v>1230</v>
      </c>
      <c r="AN326" s="2">
        <f t="shared" si="208"/>
        <v>1230</v>
      </c>
      <c r="AO326" s="2">
        <f t="shared" si="208"/>
        <v>1230</v>
      </c>
      <c r="AP326" s="2">
        <f t="shared" si="208"/>
        <v>1110</v>
      </c>
      <c r="AQ326" s="2">
        <v>1000</v>
      </c>
      <c r="AR326" s="2">
        <v>0</v>
      </c>
      <c r="AS326" s="2">
        <v>10</v>
      </c>
      <c r="AT326" s="2">
        <v>0</v>
      </c>
      <c r="AU326" s="2">
        <v>0</v>
      </c>
      <c r="AV326" s="2">
        <v>0</v>
      </c>
      <c r="AW326" s="2">
        <v>0</v>
      </c>
      <c r="AX326" s="2">
        <v>0</v>
      </c>
      <c r="AY326" s="2">
        <v>0</v>
      </c>
      <c r="AZ326" s="2">
        <v>1040</v>
      </c>
      <c r="BA326" s="2">
        <v>911</v>
      </c>
      <c r="BB326" s="2">
        <v>1084</v>
      </c>
      <c r="BC326" s="2">
        <v>-1000</v>
      </c>
      <c r="BD326" s="2">
        <v>-7500</v>
      </c>
      <c r="BE326" s="2">
        <v>5000</v>
      </c>
      <c r="BF326" s="2">
        <v>3000</v>
      </c>
      <c r="BG326" s="2">
        <v>5000</v>
      </c>
      <c r="BH326" s="2">
        <v>5000</v>
      </c>
      <c r="BI326" s="2">
        <v>3000</v>
      </c>
      <c r="BJ326" s="2">
        <v>-2000</v>
      </c>
      <c r="BK326" s="2">
        <v>1000</v>
      </c>
      <c r="BL326" s="2">
        <v>1000</v>
      </c>
      <c r="BO326" s="2">
        <f t="shared" si="210"/>
        <v>0</v>
      </c>
      <c r="BP326" s="2">
        <f t="shared" si="177"/>
        <v>0</v>
      </c>
      <c r="BQ326" s="2">
        <f t="shared" si="178"/>
        <v>0</v>
      </c>
      <c r="BR326" s="2">
        <f t="shared" si="179"/>
        <v>0</v>
      </c>
      <c r="BS326" s="2">
        <f t="shared" si="180"/>
        <v>0</v>
      </c>
      <c r="BT326" s="2">
        <f t="shared" si="181"/>
        <v>0</v>
      </c>
      <c r="BU326" s="2">
        <f t="shared" si="182"/>
        <v>0</v>
      </c>
      <c r="BV326" s="2">
        <f t="shared" si="183"/>
        <v>0</v>
      </c>
      <c r="BW326" s="2">
        <f t="shared" si="184"/>
        <v>0</v>
      </c>
      <c r="BX326" s="2">
        <f t="shared" si="185"/>
        <v>0</v>
      </c>
      <c r="BY326" s="2">
        <f t="shared" si="186"/>
        <v>0</v>
      </c>
      <c r="BZ326" s="2">
        <f t="shared" si="187"/>
        <v>0</v>
      </c>
      <c r="CA326" s="2">
        <f t="shared" si="188"/>
        <v>0</v>
      </c>
      <c r="CB326" s="2">
        <f t="shared" si="189"/>
        <v>0</v>
      </c>
      <c r="CC326" s="2">
        <f t="shared" si="190"/>
        <v>0</v>
      </c>
      <c r="CD326" s="2">
        <f t="shared" si="191"/>
        <v>0</v>
      </c>
      <c r="CE326" s="2">
        <f t="shared" si="192"/>
        <v>0</v>
      </c>
      <c r="CF326" s="2">
        <f t="shared" si="193"/>
        <v>-1441.75</v>
      </c>
      <c r="CG326" s="2">
        <f t="shared" si="194"/>
        <v>7047.7599999999993</v>
      </c>
      <c r="CH326" s="2">
        <f t="shared" si="195"/>
        <v>-8404.48</v>
      </c>
      <c r="CI326" s="2">
        <f t="shared" si="196"/>
        <v>0</v>
      </c>
      <c r="CJ326" s="2">
        <f t="shared" si="197"/>
        <v>0</v>
      </c>
      <c r="CK326" s="2">
        <f t="shared" si="198"/>
        <v>0</v>
      </c>
      <c r="CL326" s="2">
        <f t="shared" si="199"/>
        <v>0</v>
      </c>
      <c r="CM326" s="2">
        <f t="shared" si="170"/>
        <v>0</v>
      </c>
      <c r="CN326" s="2">
        <f t="shared" si="171"/>
        <v>0</v>
      </c>
      <c r="CO326" s="2">
        <f t="shared" si="172"/>
        <v>0</v>
      </c>
      <c r="CP326" s="2">
        <f t="shared" si="173"/>
        <v>0</v>
      </c>
      <c r="CQ326" s="2">
        <f t="shared" si="174"/>
        <v>0</v>
      </c>
      <c r="CR326" s="2">
        <f t="shared" si="175"/>
        <v>0</v>
      </c>
      <c r="CV326" t="s">
        <v>64</v>
      </c>
      <c r="CW326" t="s">
        <v>399</v>
      </c>
      <c r="CX326" t="s">
        <v>18</v>
      </c>
      <c r="CY326" s="4">
        <v>42745</v>
      </c>
      <c r="CZ326" t="s">
        <v>65</v>
      </c>
      <c r="DA326" t="s">
        <v>66</v>
      </c>
      <c r="DB326">
        <v>87</v>
      </c>
      <c r="DC326">
        <v>56.41</v>
      </c>
      <c r="DD326" t="s">
        <v>69</v>
      </c>
      <c r="DE326" t="s">
        <v>70</v>
      </c>
      <c r="DF326">
        <v>4907.67</v>
      </c>
    </row>
    <row r="327" spans="1:110" x14ac:dyDescent="0.25">
      <c r="A327" s="1">
        <v>43209</v>
      </c>
      <c r="B327">
        <v>170.21</v>
      </c>
      <c r="C327">
        <v>101.59</v>
      </c>
      <c r="D327">
        <v>334.05</v>
      </c>
      <c r="E327">
        <v>152.02000000000001</v>
      </c>
      <c r="F327">
        <v>43.58</v>
      </c>
      <c r="G327">
        <v>119.1</v>
      </c>
      <c r="H327">
        <v>99.32</v>
      </c>
      <c r="I327">
        <v>65.349999999999994</v>
      </c>
      <c r="J327">
        <v>251.42</v>
      </c>
      <c r="K327">
        <v>174.15</v>
      </c>
      <c r="L327">
        <v>141.06</v>
      </c>
      <c r="M327">
        <v>50.96</v>
      </c>
      <c r="N327">
        <v>124.98</v>
      </c>
      <c r="O327">
        <v>109.45</v>
      </c>
      <c r="P327">
        <v>43.21</v>
      </c>
      <c r="Q327">
        <v>156.57</v>
      </c>
      <c r="R327">
        <v>212.98</v>
      </c>
      <c r="S327">
        <v>57.39</v>
      </c>
      <c r="T327">
        <v>94.92</v>
      </c>
      <c r="U327">
        <v>65.19</v>
      </c>
      <c r="V327">
        <v>35.29</v>
      </c>
      <c r="W327">
        <v>73.05</v>
      </c>
      <c r="X327">
        <v>134.16</v>
      </c>
      <c r="Y327">
        <v>233.39</v>
      </c>
      <c r="Z327">
        <v>121.08</v>
      </c>
      <c r="AA327">
        <v>123.14</v>
      </c>
      <c r="AB327">
        <v>46.86</v>
      </c>
      <c r="AC327">
        <v>63.74</v>
      </c>
      <c r="AD327">
        <v>86.36</v>
      </c>
      <c r="AE327">
        <v>76.19</v>
      </c>
      <c r="AI327" s="2">
        <v>5000</v>
      </c>
      <c r="AJ327" s="2">
        <f t="shared" si="208"/>
        <v>1230</v>
      </c>
      <c r="AK327" s="2">
        <f t="shared" si="208"/>
        <v>1230</v>
      </c>
      <c r="AL327" s="2">
        <f t="shared" si="208"/>
        <v>1230</v>
      </c>
      <c r="AM327" s="2">
        <f t="shared" si="208"/>
        <v>1230</v>
      </c>
      <c r="AN327" s="2">
        <f t="shared" si="208"/>
        <v>1230</v>
      </c>
      <c r="AO327" s="2">
        <f t="shared" si="208"/>
        <v>1230</v>
      </c>
      <c r="AP327" s="2">
        <f t="shared" si="208"/>
        <v>1110</v>
      </c>
      <c r="AQ327" s="2">
        <v>1000</v>
      </c>
      <c r="AR327" s="2">
        <v>0</v>
      </c>
      <c r="AS327" s="2">
        <v>10</v>
      </c>
      <c r="AT327" s="2">
        <v>0</v>
      </c>
      <c r="AU327" s="2">
        <v>0</v>
      </c>
      <c r="AV327" s="2">
        <v>0</v>
      </c>
      <c r="AW327" s="2">
        <v>0</v>
      </c>
      <c r="AX327" s="2">
        <v>0</v>
      </c>
      <c r="AY327" s="2">
        <v>0</v>
      </c>
      <c r="AZ327" s="2">
        <v>1001</v>
      </c>
      <c r="BA327" s="2">
        <v>975</v>
      </c>
      <c r="BB327" s="2">
        <v>1071</v>
      </c>
      <c r="BC327" s="2">
        <v>-1000</v>
      </c>
      <c r="BD327" s="2">
        <v>-7500</v>
      </c>
      <c r="BE327" s="2">
        <v>5000</v>
      </c>
      <c r="BF327" s="2">
        <v>3000</v>
      </c>
      <c r="BG327" s="2">
        <v>5000</v>
      </c>
      <c r="BH327" s="2">
        <v>5000</v>
      </c>
      <c r="BI327" s="2">
        <v>3000</v>
      </c>
      <c r="BJ327" s="2">
        <v>-2000</v>
      </c>
      <c r="BK327" s="2">
        <v>1000</v>
      </c>
      <c r="BL327" s="2">
        <v>1000</v>
      </c>
      <c r="BO327" s="2">
        <f t="shared" si="210"/>
        <v>0</v>
      </c>
      <c r="BP327" s="2">
        <f t="shared" si="177"/>
        <v>0</v>
      </c>
      <c r="BQ327" s="2">
        <f t="shared" si="178"/>
        <v>0</v>
      </c>
      <c r="BR327" s="2">
        <f t="shared" si="179"/>
        <v>0</v>
      </c>
      <c r="BS327" s="2">
        <f t="shared" si="180"/>
        <v>0</v>
      </c>
      <c r="BT327" s="2">
        <f t="shared" si="181"/>
        <v>0</v>
      </c>
      <c r="BU327" s="2">
        <f t="shared" si="182"/>
        <v>0</v>
      </c>
      <c r="BV327" s="2">
        <f t="shared" si="183"/>
        <v>0</v>
      </c>
      <c r="BW327" s="2">
        <f t="shared" si="184"/>
        <v>0</v>
      </c>
      <c r="BX327" s="2">
        <f t="shared" si="185"/>
        <v>0</v>
      </c>
      <c r="BY327" s="2">
        <f t="shared" si="186"/>
        <v>0</v>
      </c>
      <c r="BZ327" s="2">
        <f t="shared" si="187"/>
        <v>0</v>
      </c>
      <c r="CA327" s="2">
        <f t="shared" si="188"/>
        <v>0</v>
      </c>
      <c r="CB327" s="2">
        <f t="shared" si="189"/>
        <v>0</v>
      </c>
      <c r="CC327" s="2">
        <f t="shared" si="190"/>
        <v>0</v>
      </c>
      <c r="CD327" s="2">
        <f t="shared" si="191"/>
        <v>0</v>
      </c>
      <c r="CE327" s="2">
        <f t="shared" si="192"/>
        <v>0</v>
      </c>
      <c r="CF327" s="2">
        <f t="shared" si="193"/>
        <v>2238.21</v>
      </c>
      <c r="CG327" s="2">
        <f t="shared" si="194"/>
        <v>-6074.88</v>
      </c>
      <c r="CH327" s="2">
        <f t="shared" si="195"/>
        <v>847.47</v>
      </c>
      <c r="CI327" s="2">
        <f t="shared" si="196"/>
        <v>0</v>
      </c>
      <c r="CJ327" s="2">
        <f t="shared" si="197"/>
        <v>0</v>
      </c>
      <c r="CK327" s="2">
        <f t="shared" si="198"/>
        <v>0</v>
      </c>
      <c r="CL327" s="2">
        <f t="shared" si="199"/>
        <v>0</v>
      </c>
      <c r="CM327" s="2">
        <f t="shared" si="170"/>
        <v>0</v>
      </c>
      <c r="CN327" s="2">
        <f t="shared" si="171"/>
        <v>0</v>
      </c>
      <c r="CO327" s="2">
        <f t="shared" si="172"/>
        <v>0</v>
      </c>
      <c r="CP327" s="2">
        <f t="shared" si="173"/>
        <v>0</v>
      </c>
      <c r="CQ327" s="2">
        <f t="shared" si="174"/>
        <v>0</v>
      </c>
      <c r="CR327" s="2">
        <f t="shared" si="175"/>
        <v>0</v>
      </c>
      <c r="CV327" t="s">
        <v>64</v>
      </c>
      <c r="CW327" t="s">
        <v>400</v>
      </c>
      <c r="CX327" t="s">
        <v>18</v>
      </c>
      <c r="CY327" s="4">
        <v>42746</v>
      </c>
      <c r="CZ327" t="s">
        <v>67</v>
      </c>
      <c r="DA327" t="s">
        <v>68</v>
      </c>
      <c r="DB327">
        <v>79</v>
      </c>
      <c r="DC327">
        <v>58.02</v>
      </c>
      <c r="DD327" t="s">
        <v>69</v>
      </c>
      <c r="DE327" t="s">
        <v>70</v>
      </c>
      <c r="DF327">
        <v>4583.58</v>
      </c>
    </row>
    <row r="328" spans="1:110" x14ac:dyDescent="0.25">
      <c r="A328" s="1">
        <v>43210</v>
      </c>
      <c r="B328">
        <v>163.22999999999999</v>
      </c>
      <c r="C328">
        <v>100.02</v>
      </c>
      <c r="D328">
        <v>332.12</v>
      </c>
      <c r="E328">
        <v>150.38</v>
      </c>
      <c r="F328">
        <v>43.12</v>
      </c>
      <c r="G328">
        <v>117.76</v>
      </c>
      <c r="H328">
        <v>98.68</v>
      </c>
      <c r="I328">
        <v>64.86</v>
      </c>
      <c r="J328">
        <v>249.23</v>
      </c>
      <c r="K328">
        <v>174.09</v>
      </c>
      <c r="L328">
        <v>138.38</v>
      </c>
      <c r="M328">
        <v>50.29</v>
      </c>
      <c r="N328">
        <v>124.1</v>
      </c>
      <c r="O328">
        <v>109.21</v>
      </c>
      <c r="P328">
        <v>42.65</v>
      </c>
      <c r="Q328">
        <v>155.83000000000001</v>
      </c>
      <c r="R328">
        <v>211.91</v>
      </c>
      <c r="S328">
        <v>57.58</v>
      </c>
      <c r="T328">
        <v>93.82</v>
      </c>
      <c r="U328">
        <v>65.55</v>
      </c>
      <c r="V328">
        <v>35.39</v>
      </c>
      <c r="W328">
        <v>71.930000000000007</v>
      </c>
      <c r="X328">
        <v>134.4</v>
      </c>
      <c r="Y328">
        <v>232.7</v>
      </c>
      <c r="Z328">
        <v>120.33</v>
      </c>
      <c r="AA328">
        <v>123.38</v>
      </c>
      <c r="AB328">
        <v>46.35</v>
      </c>
      <c r="AC328">
        <v>62.41</v>
      </c>
      <c r="AD328">
        <v>85.47</v>
      </c>
      <c r="AE328">
        <v>75.790000000000006</v>
      </c>
      <c r="AI328" s="2">
        <v>5000</v>
      </c>
      <c r="AJ328" s="2">
        <f t="shared" si="208"/>
        <v>1230</v>
      </c>
      <c r="AK328" s="2">
        <f t="shared" si="208"/>
        <v>1230</v>
      </c>
      <c r="AL328" s="2">
        <f t="shared" si="208"/>
        <v>1230</v>
      </c>
      <c r="AM328" s="2">
        <f t="shared" si="208"/>
        <v>1230</v>
      </c>
      <c r="AN328" s="2">
        <f t="shared" si="208"/>
        <v>1230</v>
      </c>
      <c r="AO328" s="2">
        <f t="shared" si="208"/>
        <v>1230</v>
      </c>
      <c r="AP328" s="2">
        <f t="shared" si="208"/>
        <v>1110</v>
      </c>
      <c r="AQ328" s="2">
        <v>1000</v>
      </c>
      <c r="AR328" s="2">
        <v>0</v>
      </c>
      <c r="AS328" s="2">
        <v>10</v>
      </c>
      <c r="AT328" s="2">
        <v>0</v>
      </c>
      <c r="AU328" s="2">
        <v>0</v>
      </c>
      <c r="AV328" s="2">
        <v>0</v>
      </c>
      <c r="AW328" s="2">
        <v>0</v>
      </c>
      <c r="AX328" s="2">
        <v>0</v>
      </c>
      <c r="AY328" s="2">
        <v>0</v>
      </c>
      <c r="AZ328" s="2">
        <v>1023</v>
      </c>
      <c r="BA328" s="2">
        <v>927</v>
      </c>
      <c r="BB328" s="2">
        <v>1051</v>
      </c>
      <c r="BC328" s="2">
        <v>-1000</v>
      </c>
      <c r="BD328" s="2">
        <v>-7500</v>
      </c>
      <c r="BE328" s="2">
        <v>5000</v>
      </c>
      <c r="BF328" s="2">
        <v>3000</v>
      </c>
      <c r="BG328" s="2">
        <v>5000</v>
      </c>
      <c r="BH328" s="2">
        <v>5000</v>
      </c>
      <c r="BI328" s="2">
        <v>3000</v>
      </c>
      <c r="BJ328" s="2">
        <v>-2000</v>
      </c>
      <c r="BK328" s="2">
        <v>1000</v>
      </c>
      <c r="BL328" s="2">
        <v>1000</v>
      </c>
      <c r="BO328" s="2">
        <f t="shared" si="210"/>
        <v>0</v>
      </c>
      <c r="BP328" s="2">
        <f t="shared" si="177"/>
        <v>0</v>
      </c>
      <c r="BQ328" s="2">
        <f t="shared" si="178"/>
        <v>0</v>
      </c>
      <c r="BR328" s="2">
        <f t="shared" si="179"/>
        <v>0</v>
      </c>
      <c r="BS328" s="2">
        <f t="shared" si="180"/>
        <v>0</v>
      </c>
      <c r="BT328" s="2">
        <f t="shared" si="181"/>
        <v>0</v>
      </c>
      <c r="BU328" s="2">
        <f t="shared" si="182"/>
        <v>0</v>
      </c>
      <c r="BV328" s="2">
        <f t="shared" si="183"/>
        <v>0</v>
      </c>
      <c r="BW328" s="2">
        <f t="shared" si="184"/>
        <v>0</v>
      </c>
      <c r="BX328" s="2">
        <f t="shared" si="185"/>
        <v>0</v>
      </c>
      <c r="BY328" s="2">
        <f t="shared" si="186"/>
        <v>0</v>
      </c>
      <c r="BZ328" s="2">
        <f t="shared" si="187"/>
        <v>0</v>
      </c>
      <c r="CA328" s="2">
        <f t="shared" si="188"/>
        <v>0</v>
      </c>
      <c r="CB328" s="2">
        <f t="shared" si="189"/>
        <v>0</v>
      </c>
      <c r="CC328" s="2">
        <f t="shared" si="190"/>
        <v>0</v>
      </c>
      <c r="CD328" s="2">
        <f t="shared" si="191"/>
        <v>0</v>
      </c>
      <c r="CE328" s="2">
        <f t="shared" si="192"/>
        <v>0</v>
      </c>
      <c r="CF328" s="2">
        <f t="shared" si="193"/>
        <v>-1266.76</v>
      </c>
      <c r="CG328" s="2">
        <f t="shared" si="194"/>
        <v>4503.3599999999997</v>
      </c>
      <c r="CH328" s="2">
        <f t="shared" si="195"/>
        <v>1311</v>
      </c>
      <c r="CI328" s="2">
        <f t="shared" si="196"/>
        <v>0</v>
      </c>
      <c r="CJ328" s="2">
        <f t="shared" si="197"/>
        <v>0</v>
      </c>
      <c r="CK328" s="2">
        <f t="shared" si="198"/>
        <v>0</v>
      </c>
      <c r="CL328" s="2">
        <f t="shared" si="199"/>
        <v>0</v>
      </c>
      <c r="CM328" s="2">
        <f t="shared" si="170"/>
        <v>0</v>
      </c>
      <c r="CN328" s="2">
        <f t="shared" si="171"/>
        <v>0</v>
      </c>
      <c r="CO328" s="2">
        <f t="shared" si="172"/>
        <v>0</v>
      </c>
      <c r="CP328" s="2">
        <f t="shared" si="173"/>
        <v>0</v>
      </c>
      <c r="CQ328" s="2">
        <f t="shared" si="174"/>
        <v>0</v>
      </c>
      <c r="CR328" s="2">
        <f t="shared" si="175"/>
        <v>0</v>
      </c>
      <c r="CV328" t="s">
        <v>64</v>
      </c>
      <c r="CW328" t="s">
        <v>401</v>
      </c>
      <c r="CX328" t="s">
        <v>18</v>
      </c>
      <c r="CY328" s="4">
        <v>42747</v>
      </c>
      <c r="CZ328" t="s">
        <v>65</v>
      </c>
      <c r="DA328" t="s">
        <v>66</v>
      </c>
      <c r="DB328">
        <v>46</v>
      </c>
      <c r="DC328">
        <v>58.56</v>
      </c>
      <c r="DD328" t="s">
        <v>69</v>
      </c>
      <c r="DE328" t="s">
        <v>70</v>
      </c>
      <c r="DF328">
        <v>2693.76</v>
      </c>
    </row>
    <row r="329" spans="1:110" x14ac:dyDescent="0.25">
      <c r="A329" s="1">
        <v>43213</v>
      </c>
      <c r="B329">
        <v>162.76</v>
      </c>
      <c r="C329">
        <v>99.84</v>
      </c>
      <c r="D329">
        <v>332.29</v>
      </c>
      <c r="E329">
        <v>151.11000000000001</v>
      </c>
      <c r="F329">
        <v>43.28</v>
      </c>
      <c r="G329">
        <v>118.98</v>
      </c>
      <c r="H329">
        <v>98.59</v>
      </c>
      <c r="I329">
        <v>64.430000000000007</v>
      </c>
      <c r="J329">
        <v>244</v>
      </c>
      <c r="K329">
        <v>174.72</v>
      </c>
      <c r="L329">
        <v>139.30000000000001</v>
      </c>
      <c r="M329">
        <v>49.87</v>
      </c>
      <c r="N329">
        <v>124.27</v>
      </c>
      <c r="O329">
        <v>108.68</v>
      </c>
      <c r="P329">
        <v>42.89</v>
      </c>
      <c r="Q329">
        <v>156.04</v>
      </c>
      <c r="R329">
        <v>210.09</v>
      </c>
      <c r="S329">
        <v>58.97</v>
      </c>
      <c r="T329">
        <v>94.17</v>
      </c>
      <c r="U329">
        <v>66.33</v>
      </c>
      <c r="V329">
        <v>35.549999999999997</v>
      </c>
      <c r="W329">
        <v>71.150000000000006</v>
      </c>
      <c r="X329">
        <v>134.78</v>
      </c>
      <c r="Y329">
        <v>231.99</v>
      </c>
      <c r="Z329">
        <v>120.7</v>
      </c>
      <c r="AA329">
        <v>123.64</v>
      </c>
      <c r="AB329">
        <v>47.08</v>
      </c>
      <c r="AC329">
        <v>63.07</v>
      </c>
      <c r="AD329">
        <v>84.61</v>
      </c>
      <c r="AE329">
        <v>76.34</v>
      </c>
      <c r="AI329" s="2">
        <v>5000</v>
      </c>
      <c r="AJ329" s="2">
        <f t="shared" si="208"/>
        <v>1230</v>
      </c>
      <c r="AK329" s="2">
        <f t="shared" si="208"/>
        <v>1230</v>
      </c>
      <c r="AL329" s="2">
        <f t="shared" si="208"/>
        <v>1230</v>
      </c>
      <c r="AM329" s="2">
        <f t="shared" si="208"/>
        <v>1230</v>
      </c>
      <c r="AN329" s="2">
        <f t="shared" si="208"/>
        <v>1230</v>
      </c>
      <c r="AO329" s="2">
        <f t="shared" si="208"/>
        <v>1230</v>
      </c>
      <c r="AP329" s="2">
        <f t="shared" si="208"/>
        <v>1110</v>
      </c>
      <c r="AQ329" s="2">
        <v>1000</v>
      </c>
      <c r="AR329" s="2">
        <v>0</v>
      </c>
      <c r="AS329" s="2">
        <v>10</v>
      </c>
      <c r="AT329" s="2">
        <v>0</v>
      </c>
      <c r="AU329" s="2">
        <v>0</v>
      </c>
      <c r="AV329" s="2">
        <v>0</v>
      </c>
      <c r="AW329" s="2">
        <v>0</v>
      </c>
      <c r="AX329" s="2">
        <v>0</v>
      </c>
      <c r="AY329" s="2">
        <v>0</v>
      </c>
      <c r="AZ329" s="2">
        <v>959</v>
      </c>
      <c r="BA329" s="2">
        <v>1071</v>
      </c>
      <c r="BB329" s="2">
        <v>1065</v>
      </c>
      <c r="BC329" s="2">
        <v>-1000</v>
      </c>
      <c r="BD329" s="2">
        <v>-7500</v>
      </c>
      <c r="BE329" s="2">
        <v>5000</v>
      </c>
      <c r="BF329" s="2">
        <v>3000</v>
      </c>
      <c r="BG329" s="2">
        <v>5000</v>
      </c>
      <c r="BH329" s="2">
        <v>5000</v>
      </c>
      <c r="BI329" s="2">
        <v>3000</v>
      </c>
      <c r="BJ329" s="2">
        <v>-2000</v>
      </c>
      <c r="BK329" s="2">
        <v>1000</v>
      </c>
      <c r="BL329" s="2">
        <v>1000</v>
      </c>
      <c r="BO329" s="2">
        <f t="shared" si="210"/>
        <v>0</v>
      </c>
      <c r="BP329" s="2">
        <f t="shared" si="177"/>
        <v>0</v>
      </c>
      <c r="BQ329" s="2">
        <f t="shared" si="178"/>
        <v>0</v>
      </c>
      <c r="BR329" s="2">
        <f t="shared" si="179"/>
        <v>0</v>
      </c>
      <c r="BS329" s="2">
        <f t="shared" si="180"/>
        <v>0</v>
      </c>
      <c r="BT329" s="2">
        <f t="shared" si="181"/>
        <v>0</v>
      </c>
      <c r="BU329" s="2">
        <f t="shared" si="182"/>
        <v>0</v>
      </c>
      <c r="BV329" s="2">
        <f t="shared" si="183"/>
        <v>0</v>
      </c>
      <c r="BW329" s="2">
        <f t="shared" si="184"/>
        <v>0</v>
      </c>
      <c r="BX329" s="2">
        <f t="shared" si="185"/>
        <v>0</v>
      </c>
      <c r="BY329" s="2">
        <f t="shared" si="186"/>
        <v>0</v>
      </c>
      <c r="BZ329" s="2">
        <f t="shared" si="187"/>
        <v>0</v>
      </c>
      <c r="CA329" s="2">
        <f t="shared" si="188"/>
        <v>0</v>
      </c>
      <c r="CB329" s="2">
        <f t="shared" si="189"/>
        <v>0</v>
      </c>
      <c r="CC329" s="2">
        <f t="shared" si="190"/>
        <v>0</v>
      </c>
      <c r="CD329" s="2">
        <f t="shared" si="191"/>
        <v>0</v>
      </c>
      <c r="CE329" s="2">
        <f t="shared" si="192"/>
        <v>0</v>
      </c>
      <c r="CF329" s="2">
        <f t="shared" si="193"/>
        <v>3774.08</v>
      </c>
      <c r="CG329" s="2">
        <f t="shared" si="194"/>
        <v>-13560.48</v>
      </c>
      <c r="CH329" s="2">
        <f t="shared" si="195"/>
        <v>-928.62</v>
      </c>
      <c r="CI329" s="2">
        <f t="shared" si="196"/>
        <v>0</v>
      </c>
      <c r="CJ329" s="2">
        <f t="shared" si="197"/>
        <v>0</v>
      </c>
      <c r="CK329" s="2">
        <f t="shared" si="198"/>
        <v>0</v>
      </c>
      <c r="CL329" s="2">
        <f t="shared" si="199"/>
        <v>0</v>
      </c>
      <c r="CM329" s="2">
        <f t="shared" si="170"/>
        <v>0</v>
      </c>
      <c r="CN329" s="2">
        <f t="shared" si="171"/>
        <v>0</v>
      </c>
      <c r="CO329" s="2">
        <f t="shared" si="172"/>
        <v>0</v>
      </c>
      <c r="CP329" s="2">
        <f t="shared" si="173"/>
        <v>0</v>
      </c>
      <c r="CQ329" s="2">
        <f t="shared" si="174"/>
        <v>0</v>
      </c>
      <c r="CR329" s="2">
        <f t="shared" si="175"/>
        <v>0</v>
      </c>
      <c r="CV329" t="s">
        <v>64</v>
      </c>
      <c r="CW329" t="s">
        <v>402</v>
      </c>
      <c r="CX329" t="s">
        <v>18</v>
      </c>
      <c r="CY329" s="4">
        <v>42748</v>
      </c>
      <c r="CZ329" t="s">
        <v>67</v>
      </c>
      <c r="DA329" t="s">
        <v>68</v>
      </c>
      <c r="DB329">
        <v>8</v>
      </c>
      <c r="DC329">
        <v>58.69</v>
      </c>
      <c r="DD329" t="s">
        <v>69</v>
      </c>
      <c r="DE329" t="s">
        <v>70</v>
      </c>
      <c r="DF329">
        <v>469.52</v>
      </c>
    </row>
    <row r="330" spans="1:110" x14ac:dyDescent="0.25">
      <c r="A330" s="1">
        <v>43214</v>
      </c>
      <c r="B330">
        <v>160.5</v>
      </c>
      <c r="C330">
        <v>99.67</v>
      </c>
      <c r="D330">
        <v>322.7</v>
      </c>
      <c r="E330">
        <v>141.74</v>
      </c>
      <c r="F330">
        <v>42.78</v>
      </c>
      <c r="G330">
        <v>117.98</v>
      </c>
      <c r="H330">
        <v>97.91</v>
      </c>
      <c r="I330">
        <v>62.06</v>
      </c>
      <c r="J330">
        <v>239.87</v>
      </c>
      <c r="K330">
        <v>173.35</v>
      </c>
      <c r="L330">
        <v>139.01</v>
      </c>
      <c r="M330">
        <v>50.21</v>
      </c>
      <c r="N330">
        <v>123.64</v>
      </c>
      <c r="O330">
        <v>108.17</v>
      </c>
      <c r="P330">
        <v>42</v>
      </c>
      <c r="Q330">
        <v>154.4</v>
      </c>
      <c r="R330">
        <v>195.73</v>
      </c>
      <c r="S330">
        <v>58.81</v>
      </c>
      <c r="T330">
        <v>91.97</v>
      </c>
      <c r="U330">
        <v>66.42</v>
      </c>
      <c r="V330">
        <v>35.799999999999997</v>
      </c>
      <c r="W330">
        <v>70.66</v>
      </c>
      <c r="X330">
        <v>130.51</v>
      </c>
      <c r="Y330">
        <v>231.87</v>
      </c>
      <c r="Z330">
        <v>119.37</v>
      </c>
      <c r="AA330">
        <v>120.47</v>
      </c>
      <c r="AB330">
        <v>48.06</v>
      </c>
      <c r="AC330">
        <v>63.46</v>
      </c>
      <c r="AD330">
        <v>85.03</v>
      </c>
      <c r="AE330">
        <v>75.17</v>
      </c>
      <c r="AI330" s="2">
        <v>5000</v>
      </c>
      <c r="AJ330" s="2">
        <f t="shared" si="208"/>
        <v>1230</v>
      </c>
      <c r="AK330" s="2">
        <f t="shared" si="208"/>
        <v>1230</v>
      </c>
      <c r="AL330" s="2">
        <f t="shared" si="208"/>
        <v>1230</v>
      </c>
      <c r="AM330" s="2">
        <f t="shared" si="208"/>
        <v>1230</v>
      </c>
      <c r="AN330" s="2">
        <f t="shared" si="208"/>
        <v>1230</v>
      </c>
      <c r="AO330" s="2">
        <f t="shared" si="208"/>
        <v>1230</v>
      </c>
      <c r="AP330" s="2">
        <f t="shared" si="208"/>
        <v>1110</v>
      </c>
      <c r="AQ330" s="2">
        <v>1000</v>
      </c>
      <c r="AR330" s="2">
        <v>0</v>
      </c>
      <c r="AS330" s="2">
        <v>10</v>
      </c>
      <c r="AT330" s="2">
        <v>0</v>
      </c>
      <c r="AU330" s="2">
        <v>0</v>
      </c>
      <c r="AV330" s="2">
        <v>0</v>
      </c>
      <c r="AW330" s="2">
        <v>0</v>
      </c>
      <c r="AX330" s="2">
        <v>0</v>
      </c>
      <c r="AY330" s="2">
        <v>0</v>
      </c>
      <c r="AZ330" s="2">
        <v>972</v>
      </c>
      <c r="BA330" s="2">
        <v>1037</v>
      </c>
      <c r="BB330" s="2">
        <v>975</v>
      </c>
      <c r="BC330" s="2">
        <v>-1000</v>
      </c>
      <c r="BD330" s="2">
        <v>-7500</v>
      </c>
      <c r="BE330" s="2">
        <v>5000</v>
      </c>
      <c r="BF330" s="2">
        <v>3000</v>
      </c>
      <c r="BG330" s="2">
        <v>5000</v>
      </c>
      <c r="BH330" s="2">
        <v>5000</v>
      </c>
      <c r="BI330" s="2">
        <v>3000</v>
      </c>
      <c r="BJ330" s="2">
        <v>-2000</v>
      </c>
      <c r="BK330" s="2">
        <v>1000</v>
      </c>
      <c r="BL330" s="2">
        <v>1000</v>
      </c>
      <c r="BO330" s="2">
        <f t="shared" si="210"/>
        <v>0</v>
      </c>
      <c r="BP330" s="2">
        <f t="shared" si="177"/>
        <v>0</v>
      </c>
      <c r="BQ330" s="2">
        <f t="shared" si="178"/>
        <v>0</v>
      </c>
      <c r="BR330" s="2">
        <f t="shared" si="179"/>
        <v>0</v>
      </c>
      <c r="BS330" s="2">
        <f t="shared" si="180"/>
        <v>0</v>
      </c>
      <c r="BT330" s="2">
        <f t="shared" si="181"/>
        <v>0</v>
      </c>
      <c r="BU330" s="2">
        <f t="shared" si="182"/>
        <v>0</v>
      </c>
      <c r="BV330" s="2">
        <f t="shared" si="183"/>
        <v>0</v>
      </c>
      <c r="BW330" s="2">
        <f t="shared" si="184"/>
        <v>0</v>
      </c>
      <c r="BX330" s="2">
        <f t="shared" si="185"/>
        <v>0</v>
      </c>
      <c r="BY330" s="2">
        <f t="shared" si="186"/>
        <v>0</v>
      </c>
      <c r="BZ330" s="2">
        <f t="shared" si="187"/>
        <v>0</v>
      </c>
      <c r="CA330" s="2">
        <f t="shared" si="188"/>
        <v>0</v>
      </c>
      <c r="CB330" s="2">
        <f t="shared" si="189"/>
        <v>0</v>
      </c>
      <c r="CC330" s="2">
        <f t="shared" si="190"/>
        <v>0</v>
      </c>
      <c r="CD330" s="2">
        <f t="shared" si="191"/>
        <v>0</v>
      </c>
      <c r="CE330" s="2">
        <f t="shared" si="192"/>
        <v>0</v>
      </c>
      <c r="CF330" s="2">
        <f t="shared" si="193"/>
        <v>-764.53</v>
      </c>
      <c r="CG330" s="2">
        <f t="shared" si="194"/>
        <v>3126.98</v>
      </c>
      <c r="CH330" s="2">
        <f t="shared" si="195"/>
        <v>5977.8</v>
      </c>
      <c r="CI330" s="2">
        <f t="shared" si="196"/>
        <v>0</v>
      </c>
      <c r="CJ330" s="2">
        <f t="shared" si="197"/>
        <v>0</v>
      </c>
      <c r="CK330" s="2">
        <f t="shared" si="198"/>
        <v>0</v>
      </c>
      <c r="CL330" s="2">
        <f t="shared" si="199"/>
        <v>0</v>
      </c>
      <c r="CM330" s="2">
        <f t="shared" si="170"/>
        <v>0</v>
      </c>
      <c r="CN330" s="2">
        <f t="shared" si="171"/>
        <v>0</v>
      </c>
      <c r="CO330" s="2">
        <f t="shared" si="172"/>
        <v>0</v>
      </c>
      <c r="CP330" s="2">
        <f t="shared" si="173"/>
        <v>0</v>
      </c>
      <c r="CQ330" s="2">
        <f t="shared" si="174"/>
        <v>0</v>
      </c>
      <c r="CR330" s="2">
        <f t="shared" si="175"/>
        <v>0</v>
      </c>
      <c r="CV330" t="s">
        <v>64</v>
      </c>
      <c r="CW330" t="s">
        <v>403</v>
      </c>
      <c r="CX330" t="s">
        <v>18</v>
      </c>
      <c r="CY330" s="4">
        <v>42752</v>
      </c>
      <c r="CZ330" t="s">
        <v>67</v>
      </c>
      <c r="DA330" t="s">
        <v>68</v>
      </c>
      <c r="DB330">
        <v>35</v>
      </c>
      <c r="DC330">
        <v>57.88</v>
      </c>
      <c r="DD330" t="s">
        <v>69</v>
      </c>
      <c r="DE330" t="s">
        <v>70</v>
      </c>
      <c r="DF330">
        <v>2025.8000000000002</v>
      </c>
    </row>
    <row r="331" spans="1:110" x14ac:dyDescent="0.25">
      <c r="A331" s="1">
        <v>43215</v>
      </c>
      <c r="B331">
        <v>161.19999999999999</v>
      </c>
      <c r="C331">
        <v>98.03</v>
      </c>
      <c r="D331">
        <v>336.23</v>
      </c>
      <c r="E331">
        <v>142.47</v>
      </c>
      <c r="F331">
        <v>42.75</v>
      </c>
      <c r="G331">
        <v>118.15</v>
      </c>
      <c r="H331">
        <v>99.57</v>
      </c>
      <c r="I331">
        <v>62.51</v>
      </c>
      <c r="J331">
        <v>236.64</v>
      </c>
      <c r="K331">
        <v>174.46</v>
      </c>
      <c r="L331">
        <v>139.38</v>
      </c>
      <c r="M331">
        <v>50.14</v>
      </c>
      <c r="N331">
        <v>124.2</v>
      </c>
      <c r="O331">
        <v>107.76</v>
      </c>
      <c r="P331">
        <v>41.37</v>
      </c>
      <c r="Q331">
        <v>153.05000000000001</v>
      </c>
      <c r="R331">
        <v>193.51</v>
      </c>
      <c r="S331">
        <v>58.36</v>
      </c>
      <c r="T331">
        <v>91.17</v>
      </c>
      <c r="U331">
        <v>66.12</v>
      </c>
      <c r="V331">
        <v>35.43</v>
      </c>
      <c r="W331">
        <v>70.459999999999994</v>
      </c>
      <c r="X331">
        <v>129.86000000000001</v>
      </c>
      <c r="Y331">
        <v>232.54</v>
      </c>
      <c r="Z331">
        <v>118.74</v>
      </c>
      <c r="AA331">
        <v>120.41</v>
      </c>
      <c r="AB331">
        <v>48.48</v>
      </c>
      <c r="AC331">
        <v>64.39</v>
      </c>
      <c r="AD331">
        <v>85.66</v>
      </c>
      <c r="AE331">
        <v>76.27</v>
      </c>
      <c r="AI331" s="2">
        <v>5000</v>
      </c>
      <c r="AJ331" s="2">
        <f t="shared" si="208"/>
        <v>1230</v>
      </c>
      <c r="AK331" s="2">
        <f t="shared" si="208"/>
        <v>1230</v>
      </c>
      <c r="AL331" s="2">
        <f t="shared" si="208"/>
        <v>1230</v>
      </c>
      <c r="AM331" s="2">
        <f t="shared" si="208"/>
        <v>1230</v>
      </c>
      <c r="AN331" s="2">
        <f t="shared" si="208"/>
        <v>1230</v>
      </c>
      <c r="AO331" s="2">
        <f t="shared" si="208"/>
        <v>1230</v>
      </c>
      <c r="AP331" s="2">
        <f t="shared" si="208"/>
        <v>1110</v>
      </c>
      <c r="AQ331" s="2">
        <v>1000</v>
      </c>
      <c r="AR331" s="2">
        <v>0</v>
      </c>
      <c r="AS331" s="2">
        <v>10</v>
      </c>
      <c r="AT331" s="2">
        <v>0</v>
      </c>
      <c r="AU331" s="2">
        <v>0</v>
      </c>
      <c r="AV331" s="2">
        <v>0</v>
      </c>
      <c r="AW331" s="2">
        <v>0</v>
      </c>
      <c r="AX331" s="2">
        <v>0</v>
      </c>
      <c r="AY331" s="2">
        <v>0</v>
      </c>
      <c r="AZ331" s="2">
        <v>1031</v>
      </c>
      <c r="BA331" s="2">
        <v>1055</v>
      </c>
      <c r="BB331" s="2">
        <v>952</v>
      </c>
      <c r="BC331" s="2">
        <v>-1000</v>
      </c>
      <c r="BD331" s="2">
        <v>-7500</v>
      </c>
      <c r="BE331" s="2">
        <v>5000</v>
      </c>
      <c r="BF331" s="2">
        <v>3000</v>
      </c>
      <c r="BG331" s="2">
        <v>5000</v>
      </c>
      <c r="BH331" s="2">
        <v>5000</v>
      </c>
      <c r="BI331" s="2">
        <v>3000</v>
      </c>
      <c r="BJ331" s="2">
        <v>-2000</v>
      </c>
      <c r="BK331" s="2">
        <v>1000</v>
      </c>
      <c r="BL331" s="2">
        <v>1000</v>
      </c>
      <c r="BO331" s="2">
        <f t="shared" si="210"/>
        <v>0</v>
      </c>
      <c r="BP331" s="2">
        <f t="shared" si="177"/>
        <v>0</v>
      </c>
      <c r="BQ331" s="2">
        <f t="shared" si="178"/>
        <v>0</v>
      </c>
      <c r="BR331" s="2">
        <f t="shared" si="179"/>
        <v>0</v>
      </c>
      <c r="BS331" s="2">
        <f t="shared" si="180"/>
        <v>0</v>
      </c>
      <c r="BT331" s="2">
        <f t="shared" si="181"/>
        <v>0</v>
      </c>
      <c r="BU331" s="2">
        <f t="shared" si="182"/>
        <v>0</v>
      </c>
      <c r="BV331" s="2">
        <f t="shared" si="183"/>
        <v>0</v>
      </c>
      <c r="BW331" s="2">
        <f t="shared" si="184"/>
        <v>0</v>
      </c>
      <c r="BX331" s="2">
        <f t="shared" si="185"/>
        <v>0</v>
      </c>
      <c r="BY331" s="2">
        <f t="shared" si="186"/>
        <v>0</v>
      </c>
      <c r="BZ331" s="2">
        <f t="shared" si="187"/>
        <v>0</v>
      </c>
      <c r="CA331" s="2">
        <f t="shared" si="188"/>
        <v>0</v>
      </c>
      <c r="CB331" s="2">
        <f t="shared" si="189"/>
        <v>0</v>
      </c>
      <c r="CC331" s="2">
        <f t="shared" si="190"/>
        <v>0</v>
      </c>
      <c r="CD331" s="2">
        <f t="shared" si="191"/>
        <v>0</v>
      </c>
      <c r="CE331" s="2">
        <f t="shared" si="192"/>
        <v>0</v>
      </c>
      <c r="CF331" s="2">
        <f t="shared" si="193"/>
        <v>-3443.24</v>
      </c>
      <c r="CG331" s="2">
        <f t="shared" si="194"/>
        <v>-1641.06</v>
      </c>
      <c r="CH331" s="2">
        <f t="shared" si="195"/>
        <v>1520.7600000000002</v>
      </c>
      <c r="CI331" s="2">
        <f t="shared" si="196"/>
        <v>0</v>
      </c>
      <c r="CJ331" s="2">
        <f t="shared" si="197"/>
        <v>0</v>
      </c>
      <c r="CK331" s="2">
        <f t="shared" si="198"/>
        <v>0</v>
      </c>
      <c r="CL331" s="2">
        <f t="shared" si="199"/>
        <v>0</v>
      </c>
      <c r="CM331" s="2">
        <f t="shared" ref="CM331:CM394" si="212">(BG330-BG331)*Z331</f>
        <v>0</v>
      </c>
      <c r="CN331" s="2">
        <f t="shared" ref="CN331:CN394" si="213">(BH330-BH331)*AA331</f>
        <v>0</v>
      </c>
      <c r="CO331" s="2">
        <f t="shared" ref="CO331:CO394" si="214">(BI330-BI331)*AB331</f>
        <v>0</v>
      </c>
      <c r="CP331" s="2">
        <f t="shared" ref="CP331:CP394" si="215">(BJ330-BJ331)*AC331</f>
        <v>0</v>
      </c>
      <c r="CQ331" s="2">
        <f t="shared" ref="CQ331:CQ394" si="216">(BK330-BK331)*AD331</f>
        <v>0</v>
      </c>
      <c r="CR331" s="2">
        <f t="shared" ref="CR331:CR394" si="217">(BL330-BL331)*AE331</f>
        <v>0</v>
      </c>
      <c r="CV331" t="s">
        <v>64</v>
      </c>
      <c r="CW331" t="s">
        <v>404</v>
      </c>
      <c r="CX331" t="s">
        <v>18</v>
      </c>
      <c r="CY331" s="4">
        <v>42753</v>
      </c>
      <c r="CZ331" t="s">
        <v>65</v>
      </c>
      <c r="DA331" t="s">
        <v>66</v>
      </c>
      <c r="DB331">
        <v>48</v>
      </c>
      <c r="DC331">
        <v>57.59</v>
      </c>
      <c r="DD331" t="s">
        <v>69</v>
      </c>
      <c r="DE331" t="s">
        <v>70</v>
      </c>
      <c r="DF331">
        <v>2764.32</v>
      </c>
    </row>
    <row r="332" spans="1:110" x14ac:dyDescent="0.25">
      <c r="A332" s="1">
        <v>43216</v>
      </c>
      <c r="B332">
        <v>161.76</v>
      </c>
      <c r="C332">
        <v>99.46</v>
      </c>
      <c r="D332">
        <v>336.16</v>
      </c>
      <c r="E332">
        <v>143.57</v>
      </c>
      <c r="F332">
        <v>43.24</v>
      </c>
      <c r="G332">
        <v>119.59</v>
      </c>
      <c r="H332">
        <v>98.28</v>
      </c>
      <c r="I332">
        <v>62.9</v>
      </c>
      <c r="J332">
        <v>237.49</v>
      </c>
      <c r="K332">
        <v>182.65</v>
      </c>
      <c r="L332">
        <v>140.12</v>
      </c>
      <c r="M332">
        <v>51.77</v>
      </c>
      <c r="N332">
        <v>125.43</v>
      </c>
      <c r="O332">
        <v>107.87</v>
      </c>
      <c r="P332">
        <v>41.69</v>
      </c>
      <c r="Q332">
        <v>155.96</v>
      </c>
      <c r="R332">
        <v>191.8</v>
      </c>
      <c r="S332">
        <v>58.15</v>
      </c>
      <c r="T332">
        <v>93.09</v>
      </c>
      <c r="U332">
        <v>67.489999999999995</v>
      </c>
      <c r="V332">
        <v>35.6</v>
      </c>
      <c r="W332">
        <v>70.900000000000006</v>
      </c>
      <c r="X332">
        <v>130.58000000000001</v>
      </c>
      <c r="Y332">
        <v>234.65</v>
      </c>
      <c r="Z332">
        <v>120.08</v>
      </c>
      <c r="AA332">
        <v>126.24</v>
      </c>
      <c r="AB332">
        <v>48.15</v>
      </c>
      <c r="AC332">
        <v>65.16</v>
      </c>
      <c r="AD332">
        <v>86.41</v>
      </c>
      <c r="AE332">
        <v>77.58</v>
      </c>
      <c r="AI332" s="2">
        <v>5000</v>
      </c>
      <c r="AJ332" s="2">
        <f t="shared" si="208"/>
        <v>1230</v>
      </c>
      <c r="AK332" s="2">
        <f t="shared" si="208"/>
        <v>1230</v>
      </c>
      <c r="AL332" s="2">
        <f t="shared" si="208"/>
        <v>1230</v>
      </c>
      <c r="AM332" s="2">
        <f t="shared" si="208"/>
        <v>1230</v>
      </c>
      <c r="AN332" s="2">
        <f t="shared" si="208"/>
        <v>1230</v>
      </c>
      <c r="AO332" s="2">
        <f t="shared" si="208"/>
        <v>1230</v>
      </c>
      <c r="AP332" s="2">
        <f t="shared" si="208"/>
        <v>1110</v>
      </c>
      <c r="AQ332" s="2">
        <v>1000</v>
      </c>
      <c r="AR332" s="2">
        <v>0</v>
      </c>
      <c r="AS332" s="2">
        <v>10</v>
      </c>
      <c r="AT332" s="2">
        <v>0</v>
      </c>
      <c r="AU332" s="2">
        <v>0</v>
      </c>
      <c r="AV332" s="2">
        <v>0</v>
      </c>
      <c r="AW332" s="2">
        <v>0</v>
      </c>
      <c r="AX332" s="2">
        <v>0</v>
      </c>
      <c r="AY332" s="2">
        <v>0</v>
      </c>
      <c r="AZ332" s="2">
        <v>963</v>
      </c>
      <c r="BA332" s="2">
        <v>949</v>
      </c>
      <c r="BB332" s="2">
        <v>903</v>
      </c>
      <c r="BC332" s="2">
        <v>-1000</v>
      </c>
      <c r="BD332" s="2">
        <v>-7500</v>
      </c>
      <c r="BE332" s="2">
        <v>5000</v>
      </c>
      <c r="BF332" s="2">
        <v>3000</v>
      </c>
      <c r="BG332" s="2">
        <v>5000</v>
      </c>
      <c r="BH332" s="2">
        <v>5000</v>
      </c>
      <c r="BI332" s="2">
        <v>3000</v>
      </c>
      <c r="BJ332" s="2">
        <v>-2000</v>
      </c>
      <c r="BK332" s="2">
        <v>1000</v>
      </c>
      <c r="BL332" s="2">
        <v>1000</v>
      </c>
      <c r="BO332" s="2">
        <f t="shared" si="210"/>
        <v>0</v>
      </c>
      <c r="BP332" s="2">
        <f t="shared" ref="BP332:BP395" si="218">(AJ331-AJ332)*C332</f>
        <v>0</v>
      </c>
      <c r="BQ332" s="2">
        <f t="shared" ref="BQ332:BQ395" si="219">(AK331-AK332)*D332</f>
        <v>0</v>
      </c>
      <c r="BR332" s="2">
        <f t="shared" ref="BR332:BR395" si="220">(AL331-AL332)*E332</f>
        <v>0</v>
      </c>
      <c r="BS332" s="2">
        <f t="shared" ref="BS332:BS395" si="221">(AM331-AM332)*F332</f>
        <v>0</v>
      </c>
      <c r="BT332" s="2">
        <f t="shared" ref="BT332:BT395" si="222">(AN331-AN332)*G332</f>
        <v>0</v>
      </c>
      <c r="BU332" s="2">
        <f t="shared" ref="BU332:BU395" si="223">(AO331-AO332)*H332</f>
        <v>0</v>
      </c>
      <c r="BV332" s="2">
        <f t="shared" ref="BV332:BV395" si="224">(AP331-AP332)*I332</f>
        <v>0</v>
      </c>
      <c r="BW332" s="2">
        <f t="shared" ref="BW332:BW395" si="225">(AQ331-AQ332)*J332</f>
        <v>0</v>
      </c>
      <c r="BX332" s="2">
        <f t="shared" ref="BX332:BX395" si="226">(AR331-AR332)*K332</f>
        <v>0</v>
      </c>
      <c r="BY332" s="2">
        <f t="shared" ref="BY332:BY395" si="227">(AS331-AS332)*L332</f>
        <v>0</v>
      </c>
      <c r="BZ332" s="2">
        <f t="shared" ref="BZ332:BZ395" si="228">(AT331-AT332)*M332</f>
        <v>0</v>
      </c>
      <c r="CA332" s="2">
        <f t="shared" ref="CA332:CA395" si="229">(AU331-AU332)*N332</f>
        <v>0</v>
      </c>
      <c r="CB332" s="2">
        <f t="shared" ref="CB332:CB395" si="230">(AV331-AV332)*O332</f>
        <v>0</v>
      </c>
      <c r="CC332" s="2">
        <f t="shared" ref="CC332:CC395" si="231">(AW331-AW332)*P332</f>
        <v>0</v>
      </c>
      <c r="CD332" s="2">
        <f t="shared" ref="CD332:CD395" si="232">(AX331-AX332)*Q332</f>
        <v>0</v>
      </c>
      <c r="CE332" s="2">
        <f t="shared" ref="CE332:CE395" si="233">(AY331-AY332)*R332</f>
        <v>0</v>
      </c>
      <c r="CF332" s="2">
        <f t="shared" ref="CF332:CF395" si="234">(AZ331-AZ332)*S332</f>
        <v>3954.2</v>
      </c>
      <c r="CG332" s="2">
        <f t="shared" ref="CG332:CG395" si="235">(BA331-BA332)*T332</f>
        <v>9867.5400000000009</v>
      </c>
      <c r="CH332" s="2">
        <f t="shared" ref="CH332:CH395" si="236">(BB331-BB332)*U332</f>
        <v>3307.0099999999998</v>
      </c>
      <c r="CI332" s="2">
        <f t="shared" ref="CI332:CI395" si="237">(BC331-BC332)*V332</f>
        <v>0</v>
      </c>
      <c r="CJ332" s="2">
        <f t="shared" ref="CJ332:CJ395" si="238">(BD331-BD332)*W332</f>
        <v>0</v>
      </c>
      <c r="CK332" s="2">
        <f t="shared" ref="CK332:CK395" si="239">(BE331-BE332)*X332</f>
        <v>0</v>
      </c>
      <c r="CL332" s="2">
        <f t="shared" ref="CL332:CL395" si="240">(BF331-BF332)*Y332</f>
        <v>0</v>
      </c>
      <c r="CM332" s="2">
        <f t="shared" si="212"/>
        <v>0</v>
      </c>
      <c r="CN332" s="2">
        <f t="shared" si="213"/>
        <v>0</v>
      </c>
      <c r="CO332" s="2">
        <f t="shared" si="214"/>
        <v>0</v>
      </c>
      <c r="CP332" s="2">
        <f t="shared" si="215"/>
        <v>0</v>
      </c>
      <c r="CQ332" s="2">
        <f t="shared" si="216"/>
        <v>0</v>
      </c>
      <c r="CR332" s="2">
        <f t="shared" si="217"/>
        <v>0</v>
      </c>
      <c r="CV332" t="s">
        <v>64</v>
      </c>
      <c r="CW332" t="s">
        <v>405</v>
      </c>
      <c r="CX332" t="s">
        <v>18</v>
      </c>
      <c r="CY332" s="4">
        <v>42754</v>
      </c>
      <c r="CZ332" t="s">
        <v>65</v>
      </c>
      <c r="DA332" t="s">
        <v>66</v>
      </c>
      <c r="DB332">
        <v>27</v>
      </c>
      <c r="DC332">
        <v>56.79</v>
      </c>
      <c r="DD332" t="s">
        <v>69</v>
      </c>
      <c r="DE332" t="s">
        <v>70</v>
      </c>
      <c r="DF332">
        <v>1533.33</v>
      </c>
    </row>
    <row r="333" spans="1:110" x14ac:dyDescent="0.25">
      <c r="A333" s="1">
        <v>43217</v>
      </c>
      <c r="B333">
        <v>159.88999999999999</v>
      </c>
      <c r="C333">
        <v>98.85</v>
      </c>
      <c r="D333">
        <v>334.29</v>
      </c>
      <c r="E333">
        <v>142.01</v>
      </c>
      <c r="F333">
        <v>43.73</v>
      </c>
      <c r="G333">
        <v>121.9</v>
      </c>
      <c r="H333">
        <v>97.68</v>
      </c>
      <c r="I333">
        <v>63.18</v>
      </c>
      <c r="J333">
        <v>237.21</v>
      </c>
      <c r="K333">
        <v>183.38</v>
      </c>
      <c r="L333">
        <v>139.88999999999999</v>
      </c>
      <c r="M333">
        <v>51.46</v>
      </c>
      <c r="N333">
        <v>125.68</v>
      </c>
      <c r="O333">
        <v>107.18</v>
      </c>
      <c r="P333">
        <v>42.23</v>
      </c>
      <c r="Q333">
        <v>155.37</v>
      </c>
      <c r="R333">
        <v>190.86</v>
      </c>
      <c r="S333">
        <v>58.21</v>
      </c>
      <c r="T333">
        <v>94.63</v>
      </c>
      <c r="U333">
        <v>68.989999999999995</v>
      </c>
      <c r="V333">
        <v>35.74</v>
      </c>
      <c r="W333">
        <v>70.959999999999994</v>
      </c>
      <c r="X333">
        <v>130.82</v>
      </c>
      <c r="Y333">
        <v>237.77</v>
      </c>
      <c r="Z333">
        <v>119.72</v>
      </c>
      <c r="AA333">
        <v>125.18</v>
      </c>
      <c r="AB333">
        <v>49.9</v>
      </c>
      <c r="AC333">
        <v>65.52</v>
      </c>
      <c r="AD333">
        <v>85.77</v>
      </c>
      <c r="AE333">
        <v>74.63</v>
      </c>
      <c r="AI333" s="2">
        <v>5000</v>
      </c>
      <c r="AJ333" s="2">
        <f t="shared" si="208"/>
        <v>1230</v>
      </c>
      <c r="AK333" s="2">
        <f t="shared" si="208"/>
        <v>1230</v>
      </c>
      <c r="AL333" s="2">
        <f t="shared" si="208"/>
        <v>1230</v>
      </c>
      <c r="AM333" s="2">
        <f t="shared" si="208"/>
        <v>1230</v>
      </c>
      <c r="AN333" s="2">
        <f t="shared" si="208"/>
        <v>1230</v>
      </c>
      <c r="AO333" s="2">
        <f t="shared" si="208"/>
        <v>1230</v>
      </c>
      <c r="AP333" s="2">
        <f t="shared" si="208"/>
        <v>1110</v>
      </c>
      <c r="AQ333" s="2">
        <v>1000</v>
      </c>
      <c r="AR333" s="2">
        <v>0</v>
      </c>
      <c r="AS333" s="2">
        <v>10</v>
      </c>
      <c r="AT333" s="2">
        <v>0</v>
      </c>
      <c r="AU333" s="2">
        <v>0</v>
      </c>
      <c r="AV333" s="2">
        <v>0</v>
      </c>
      <c r="AW333" s="2">
        <v>0</v>
      </c>
      <c r="AX333" s="2">
        <v>0</v>
      </c>
      <c r="AY333" s="2">
        <v>0</v>
      </c>
      <c r="AZ333" s="2">
        <v>1040</v>
      </c>
      <c r="BA333" s="2">
        <v>1034</v>
      </c>
      <c r="BB333" s="2">
        <v>983</v>
      </c>
      <c r="BC333" s="2">
        <v>-1000</v>
      </c>
      <c r="BD333" s="2">
        <v>-7500</v>
      </c>
      <c r="BE333" s="2">
        <v>5000</v>
      </c>
      <c r="BF333" s="2">
        <v>3000</v>
      </c>
      <c r="BG333" s="2">
        <v>5000</v>
      </c>
      <c r="BH333" s="2">
        <v>5000</v>
      </c>
      <c r="BI333" s="2">
        <v>3000</v>
      </c>
      <c r="BJ333" s="2">
        <v>-2000</v>
      </c>
      <c r="BK333" s="2">
        <v>1000</v>
      </c>
      <c r="BL333" s="2">
        <v>1000</v>
      </c>
      <c r="BO333" s="2">
        <f t="shared" si="210"/>
        <v>0</v>
      </c>
      <c r="BP333" s="2">
        <f t="shared" si="218"/>
        <v>0</v>
      </c>
      <c r="BQ333" s="2">
        <f t="shared" si="219"/>
        <v>0</v>
      </c>
      <c r="BR333" s="2">
        <f t="shared" si="220"/>
        <v>0</v>
      </c>
      <c r="BS333" s="2">
        <f t="shared" si="221"/>
        <v>0</v>
      </c>
      <c r="BT333" s="2">
        <f t="shared" si="222"/>
        <v>0</v>
      </c>
      <c r="BU333" s="2">
        <f t="shared" si="223"/>
        <v>0</v>
      </c>
      <c r="BV333" s="2">
        <f t="shared" si="224"/>
        <v>0</v>
      </c>
      <c r="BW333" s="2">
        <f t="shared" si="225"/>
        <v>0</v>
      </c>
      <c r="BX333" s="2">
        <f t="shared" si="226"/>
        <v>0</v>
      </c>
      <c r="BY333" s="2">
        <f t="shared" si="227"/>
        <v>0</v>
      </c>
      <c r="BZ333" s="2">
        <f t="shared" si="228"/>
        <v>0</v>
      </c>
      <c r="CA333" s="2">
        <f t="shared" si="229"/>
        <v>0</v>
      </c>
      <c r="CB333" s="2">
        <f t="shared" si="230"/>
        <v>0</v>
      </c>
      <c r="CC333" s="2">
        <f t="shared" si="231"/>
        <v>0</v>
      </c>
      <c r="CD333" s="2">
        <f t="shared" si="232"/>
        <v>0</v>
      </c>
      <c r="CE333" s="2">
        <f t="shared" si="233"/>
        <v>0</v>
      </c>
      <c r="CF333" s="2">
        <f t="shared" si="234"/>
        <v>-4482.17</v>
      </c>
      <c r="CG333" s="2">
        <f t="shared" si="235"/>
        <v>-8043.5499999999993</v>
      </c>
      <c r="CH333" s="2">
        <f t="shared" si="236"/>
        <v>-5519.2</v>
      </c>
      <c r="CI333" s="2">
        <f t="shared" si="237"/>
        <v>0</v>
      </c>
      <c r="CJ333" s="2">
        <f t="shared" si="238"/>
        <v>0</v>
      </c>
      <c r="CK333" s="2">
        <f t="shared" si="239"/>
        <v>0</v>
      </c>
      <c r="CL333" s="2">
        <f t="shared" si="240"/>
        <v>0</v>
      </c>
      <c r="CM333" s="2">
        <f t="shared" si="212"/>
        <v>0</v>
      </c>
      <c r="CN333" s="2">
        <f t="shared" si="213"/>
        <v>0</v>
      </c>
      <c r="CO333" s="2">
        <f t="shared" si="214"/>
        <v>0</v>
      </c>
      <c r="CP333" s="2">
        <f t="shared" si="215"/>
        <v>0</v>
      </c>
      <c r="CQ333" s="2">
        <f t="shared" si="216"/>
        <v>0</v>
      </c>
      <c r="CR333" s="2">
        <f t="shared" si="217"/>
        <v>0</v>
      </c>
      <c r="CV333" t="s">
        <v>64</v>
      </c>
      <c r="CW333" t="s">
        <v>406</v>
      </c>
      <c r="CX333" t="s">
        <v>18</v>
      </c>
      <c r="CY333" s="4">
        <v>42755</v>
      </c>
      <c r="CZ333" t="s">
        <v>67</v>
      </c>
      <c r="DA333" t="s">
        <v>68</v>
      </c>
      <c r="DB333">
        <v>32</v>
      </c>
      <c r="DC333">
        <v>58.87</v>
      </c>
      <c r="DD333" t="s">
        <v>69</v>
      </c>
      <c r="DE333" t="s">
        <v>70</v>
      </c>
      <c r="DF333">
        <v>1883.84</v>
      </c>
    </row>
    <row r="334" spans="1:110" x14ac:dyDescent="0.25">
      <c r="A334" s="1">
        <v>43220</v>
      </c>
      <c r="B334">
        <v>162.78</v>
      </c>
      <c r="C334">
        <v>98</v>
      </c>
      <c r="D334">
        <v>327.11</v>
      </c>
      <c r="E334">
        <v>141.66</v>
      </c>
      <c r="F334">
        <v>43.32</v>
      </c>
      <c r="G334">
        <v>120.45</v>
      </c>
      <c r="H334">
        <v>98.76</v>
      </c>
      <c r="I334">
        <v>62.11</v>
      </c>
      <c r="J334">
        <v>235.75</v>
      </c>
      <c r="K334">
        <v>181.75</v>
      </c>
      <c r="L334">
        <v>138.44</v>
      </c>
      <c r="M334">
        <v>50.38</v>
      </c>
      <c r="N334">
        <v>123.94</v>
      </c>
      <c r="O334">
        <v>106.57</v>
      </c>
      <c r="P334">
        <v>42.13</v>
      </c>
      <c r="Q334">
        <v>164.34</v>
      </c>
      <c r="R334">
        <v>189.18</v>
      </c>
      <c r="S334">
        <v>57.62</v>
      </c>
      <c r="T334">
        <v>92.36</v>
      </c>
      <c r="U334">
        <v>67.83</v>
      </c>
      <c r="V334">
        <v>35.369999999999997</v>
      </c>
      <c r="W334">
        <v>70.5</v>
      </c>
      <c r="X334">
        <v>129.25</v>
      </c>
      <c r="Y334">
        <v>234.03</v>
      </c>
      <c r="Z334">
        <v>117.47</v>
      </c>
      <c r="AA334">
        <v>126.04</v>
      </c>
      <c r="AB334">
        <v>47.75</v>
      </c>
      <c r="AC334">
        <v>64.88</v>
      </c>
      <c r="AD334">
        <v>86.92</v>
      </c>
      <c r="AE334">
        <v>74.59</v>
      </c>
      <c r="AI334" s="2">
        <v>5000</v>
      </c>
      <c r="AJ334" s="2">
        <f t="shared" si="208"/>
        <v>1230</v>
      </c>
      <c r="AK334" s="2">
        <f t="shared" si="208"/>
        <v>1230</v>
      </c>
      <c r="AL334" s="2">
        <f t="shared" si="208"/>
        <v>1230</v>
      </c>
      <c r="AM334" s="2">
        <f t="shared" si="208"/>
        <v>1230</v>
      </c>
      <c r="AN334" s="2">
        <f t="shared" si="208"/>
        <v>1230</v>
      </c>
      <c r="AO334" s="2">
        <f t="shared" si="208"/>
        <v>1230</v>
      </c>
      <c r="AP334" s="2">
        <f t="shared" si="208"/>
        <v>1110</v>
      </c>
      <c r="AQ334" s="2">
        <v>1000</v>
      </c>
      <c r="AR334" s="2">
        <v>0</v>
      </c>
      <c r="AS334" s="2">
        <v>10</v>
      </c>
      <c r="AT334" s="2">
        <v>0</v>
      </c>
      <c r="AU334" s="2">
        <v>0</v>
      </c>
      <c r="AV334" s="2">
        <v>0</v>
      </c>
      <c r="AW334" s="2">
        <v>0</v>
      </c>
      <c r="AX334" s="2">
        <v>0</v>
      </c>
      <c r="AY334" s="2">
        <v>0</v>
      </c>
      <c r="AZ334" s="2">
        <v>1024</v>
      </c>
      <c r="BA334" s="2">
        <v>1037</v>
      </c>
      <c r="BB334" s="2">
        <v>1063</v>
      </c>
      <c r="BC334" s="2">
        <v>-1000</v>
      </c>
      <c r="BD334" s="2">
        <v>-7500</v>
      </c>
      <c r="BE334" s="2">
        <v>5000</v>
      </c>
      <c r="BF334" s="2">
        <v>3000</v>
      </c>
      <c r="BG334" s="2">
        <v>5000</v>
      </c>
      <c r="BH334" s="2">
        <v>5000</v>
      </c>
      <c r="BI334" s="2">
        <v>3000</v>
      </c>
      <c r="BJ334" s="2">
        <v>-2000</v>
      </c>
      <c r="BK334" s="2">
        <v>1000</v>
      </c>
      <c r="BL334" s="2">
        <v>1000</v>
      </c>
      <c r="BO334" s="2">
        <f t="shared" si="210"/>
        <v>0</v>
      </c>
      <c r="BP334" s="2">
        <f t="shared" si="218"/>
        <v>0</v>
      </c>
      <c r="BQ334" s="2">
        <f t="shared" si="219"/>
        <v>0</v>
      </c>
      <c r="BR334" s="2">
        <f t="shared" si="220"/>
        <v>0</v>
      </c>
      <c r="BS334" s="2">
        <f t="shared" si="221"/>
        <v>0</v>
      </c>
      <c r="BT334" s="2">
        <f t="shared" si="222"/>
        <v>0</v>
      </c>
      <c r="BU334" s="2">
        <f t="shared" si="223"/>
        <v>0</v>
      </c>
      <c r="BV334" s="2">
        <f t="shared" si="224"/>
        <v>0</v>
      </c>
      <c r="BW334" s="2">
        <f t="shared" si="225"/>
        <v>0</v>
      </c>
      <c r="BX334" s="2">
        <f t="shared" si="226"/>
        <v>0</v>
      </c>
      <c r="BY334" s="2">
        <f t="shared" si="227"/>
        <v>0</v>
      </c>
      <c r="BZ334" s="2">
        <f t="shared" si="228"/>
        <v>0</v>
      </c>
      <c r="CA334" s="2">
        <f t="shared" si="229"/>
        <v>0</v>
      </c>
      <c r="CB334" s="2">
        <f t="shared" si="230"/>
        <v>0</v>
      </c>
      <c r="CC334" s="2">
        <f t="shared" si="231"/>
        <v>0</v>
      </c>
      <c r="CD334" s="2">
        <f t="shared" si="232"/>
        <v>0</v>
      </c>
      <c r="CE334" s="2">
        <f t="shared" si="233"/>
        <v>0</v>
      </c>
      <c r="CF334" s="2">
        <f t="shared" si="234"/>
        <v>921.92</v>
      </c>
      <c r="CG334" s="2">
        <f t="shared" si="235"/>
        <v>-277.08</v>
      </c>
      <c r="CH334" s="2">
        <f t="shared" si="236"/>
        <v>-5426.4</v>
      </c>
      <c r="CI334" s="2">
        <f t="shared" si="237"/>
        <v>0</v>
      </c>
      <c r="CJ334" s="2">
        <f t="shared" si="238"/>
        <v>0</v>
      </c>
      <c r="CK334" s="2">
        <f t="shared" si="239"/>
        <v>0</v>
      </c>
      <c r="CL334" s="2">
        <f t="shared" si="240"/>
        <v>0</v>
      </c>
      <c r="CM334" s="2">
        <f t="shared" si="212"/>
        <v>0</v>
      </c>
      <c r="CN334" s="2">
        <f t="shared" si="213"/>
        <v>0</v>
      </c>
      <c r="CO334" s="2">
        <f t="shared" si="214"/>
        <v>0</v>
      </c>
      <c r="CP334" s="2">
        <f t="shared" si="215"/>
        <v>0</v>
      </c>
      <c r="CQ334" s="2">
        <f t="shared" si="216"/>
        <v>0</v>
      </c>
      <c r="CR334" s="2">
        <f t="shared" si="217"/>
        <v>0</v>
      </c>
      <c r="CV334" t="s">
        <v>64</v>
      </c>
      <c r="CW334" t="s">
        <v>407</v>
      </c>
      <c r="CX334" t="s">
        <v>18</v>
      </c>
      <c r="CY334" s="4">
        <v>42758</v>
      </c>
      <c r="CZ334" t="s">
        <v>65</v>
      </c>
      <c r="DA334" t="s">
        <v>66</v>
      </c>
      <c r="DB334">
        <v>11</v>
      </c>
      <c r="DC334">
        <v>58.19</v>
      </c>
      <c r="DD334" t="s">
        <v>69</v>
      </c>
      <c r="DE334" t="s">
        <v>70</v>
      </c>
      <c r="DF334">
        <v>640.08999999999992</v>
      </c>
    </row>
    <row r="335" spans="1:110" x14ac:dyDescent="0.25">
      <c r="A335" s="1">
        <v>43221</v>
      </c>
      <c r="B335">
        <v>166.56</v>
      </c>
      <c r="C335">
        <v>97.83</v>
      </c>
      <c r="D335">
        <v>323.17</v>
      </c>
      <c r="E335">
        <v>141.72</v>
      </c>
      <c r="F335">
        <v>43.85</v>
      </c>
      <c r="G335">
        <v>120.21</v>
      </c>
      <c r="H335">
        <v>98.5</v>
      </c>
      <c r="I335">
        <v>61.94</v>
      </c>
      <c r="J335">
        <v>234.11</v>
      </c>
      <c r="K335">
        <v>181.58</v>
      </c>
      <c r="L335">
        <v>138.47999999999999</v>
      </c>
      <c r="M335">
        <v>52.04</v>
      </c>
      <c r="N335">
        <v>123.47</v>
      </c>
      <c r="O335">
        <v>106.57</v>
      </c>
      <c r="P335">
        <v>41.53</v>
      </c>
      <c r="Q335">
        <v>160.41</v>
      </c>
      <c r="R335">
        <v>189.79</v>
      </c>
      <c r="S335">
        <v>56.75</v>
      </c>
      <c r="T335">
        <v>93.82</v>
      </c>
      <c r="U335">
        <v>67.540000000000006</v>
      </c>
      <c r="V335">
        <v>34.200000000000003</v>
      </c>
      <c r="W335">
        <v>70.13</v>
      </c>
      <c r="X335">
        <v>128.75</v>
      </c>
      <c r="Y335">
        <v>234.47</v>
      </c>
      <c r="Z335">
        <v>116.3</v>
      </c>
      <c r="AA335">
        <v>126.67</v>
      </c>
      <c r="AB335">
        <v>47.24</v>
      </c>
      <c r="AC335">
        <v>63.87</v>
      </c>
      <c r="AD335">
        <v>85.89</v>
      </c>
      <c r="AE335">
        <v>73.819999999999993</v>
      </c>
      <c r="AI335" s="2">
        <v>-2500</v>
      </c>
      <c r="AJ335" s="2">
        <f t="shared" si="208"/>
        <v>1230</v>
      </c>
      <c r="AK335" s="2">
        <f t="shared" si="208"/>
        <v>1230</v>
      </c>
      <c r="AL335" s="2">
        <f t="shared" si="208"/>
        <v>1230</v>
      </c>
      <c r="AM335" s="2">
        <f t="shared" si="208"/>
        <v>1230</v>
      </c>
      <c r="AN335" s="2">
        <f t="shared" si="208"/>
        <v>1230</v>
      </c>
      <c r="AO335" s="2">
        <f t="shared" si="208"/>
        <v>1230</v>
      </c>
      <c r="AP335" s="2">
        <f t="shared" si="208"/>
        <v>1110</v>
      </c>
      <c r="AQ335" s="2">
        <v>1000</v>
      </c>
      <c r="AR335" s="2">
        <v>0</v>
      </c>
      <c r="AS335" s="2">
        <v>10</v>
      </c>
      <c r="AT335" s="2">
        <v>0</v>
      </c>
      <c r="AU335" s="2">
        <v>0</v>
      </c>
      <c r="AV335" s="2">
        <v>0</v>
      </c>
      <c r="AW335" s="2">
        <v>0</v>
      </c>
      <c r="AX335" s="2">
        <v>0</v>
      </c>
      <c r="AY335" s="2">
        <v>0</v>
      </c>
      <c r="AZ335" s="2">
        <v>972</v>
      </c>
      <c r="BA335" s="2">
        <v>1096</v>
      </c>
      <c r="BB335" s="2">
        <v>1008</v>
      </c>
      <c r="BC335" s="2">
        <v>-1000</v>
      </c>
      <c r="BD335" s="2">
        <v>-7500</v>
      </c>
      <c r="BE335" s="2">
        <v>5000</v>
      </c>
      <c r="BF335" s="2">
        <v>3000</v>
      </c>
      <c r="BG335" s="2">
        <v>5000</v>
      </c>
      <c r="BH335" s="2">
        <v>5000</v>
      </c>
      <c r="BI335" s="2">
        <v>3000</v>
      </c>
      <c r="BJ335" s="2">
        <v>-2000</v>
      </c>
      <c r="BK335" s="2">
        <v>1000</v>
      </c>
      <c r="BL335" s="2">
        <v>1000</v>
      </c>
      <c r="BO335" s="2">
        <f t="shared" si="210"/>
        <v>1249200</v>
      </c>
      <c r="BP335" s="2">
        <f t="shared" si="218"/>
        <v>0</v>
      </c>
      <c r="BQ335" s="2">
        <f t="shared" si="219"/>
        <v>0</v>
      </c>
      <c r="BR335" s="2">
        <f t="shared" si="220"/>
        <v>0</v>
      </c>
      <c r="BS335" s="2">
        <f t="shared" si="221"/>
        <v>0</v>
      </c>
      <c r="BT335" s="2">
        <f t="shared" si="222"/>
        <v>0</v>
      </c>
      <c r="BU335" s="2">
        <f t="shared" si="223"/>
        <v>0</v>
      </c>
      <c r="BV335" s="2">
        <f t="shared" si="224"/>
        <v>0</v>
      </c>
      <c r="BW335" s="2">
        <f t="shared" si="225"/>
        <v>0</v>
      </c>
      <c r="BX335" s="2">
        <f t="shared" si="226"/>
        <v>0</v>
      </c>
      <c r="BY335" s="2">
        <f t="shared" si="227"/>
        <v>0</v>
      </c>
      <c r="BZ335" s="2">
        <f t="shared" si="228"/>
        <v>0</v>
      </c>
      <c r="CA335" s="2">
        <f t="shared" si="229"/>
        <v>0</v>
      </c>
      <c r="CB335" s="2">
        <f t="shared" si="230"/>
        <v>0</v>
      </c>
      <c r="CC335" s="2">
        <f t="shared" si="231"/>
        <v>0</v>
      </c>
      <c r="CD335" s="2">
        <f t="shared" si="232"/>
        <v>0</v>
      </c>
      <c r="CE335" s="2">
        <f t="shared" si="233"/>
        <v>0</v>
      </c>
      <c r="CF335" s="2">
        <f t="shared" si="234"/>
        <v>2951</v>
      </c>
      <c r="CG335" s="2">
        <f t="shared" si="235"/>
        <v>-5535.3799999999992</v>
      </c>
      <c r="CH335" s="2">
        <f t="shared" si="236"/>
        <v>3714.7000000000003</v>
      </c>
      <c r="CI335" s="2">
        <f t="shared" si="237"/>
        <v>0</v>
      </c>
      <c r="CJ335" s="2">
        <f t="shared" si="238"/>
        <v>0</v>
      </c>
      <c r="CK335" s="2">
        <f t="shared" si="239"/>
        <v>0</v>
      </c>
      <c r="CL335" s="2">
        <f t="shared" si="240"/>
        <v>0</v>
      </c>
      <c r="CM335" s="2">
        <f t="shared" si="212"/>
        <v>0</v>
      </c>
      <c r="CN335" s="2">
        <f t="shared" si="213"/>
        <v>0</v>
      </c>
      <c r="CO335" s="2">
        <f t="shared" si="214"/>
        <v>0</v>
      </c>
      <c r="CP335" s="2">
        <f t="shared" si="215"/>
        <v>0</v>
      </c>
      <c r="CQ335" s="2">
        <f t="shared" si="216"/>
        <v>0</v>
      </c>
      <c r="CR335" s="2">
        <f t="shared" si="217"/>
        <v>0</v>
      </c>
      <c r="CV335" t="s">
        <v>64</v>
      </c>
      <c r="CW335" t="s">
        <v>408</v>
      </c>
      <c r="CX335" t="s">
        <v>18</v>
      </c>
      <c r="CY335" s="4">
        <v>42759</v>
      </c>
      <c r="CZ335" t="s">
        <v>65</v>
      </c>
      <c r="DA335" t="s">
        <v>66</v>
      </c>
      <c r="DB335">
        <v>1</v>
      </c>
      <c r="DC335">
        <v>57.62</v>
      </c>
      <c r="DD335" t="s">
        <v>69</v>
      </c>
      <c r="DE335" t="s">
        <v>70</v>
      </c>
      <c r="DF335">
        <v>57.62</v>
      </c>
    </row>
    <row r="336" spans="1:110" x14ac:dyDescent="0.25">
      <c r="A336" s="1">
        <v>43222</v>
      </c>
      <c r="B336">
        <v>173.92</v>
      </c>
      <c r="C336">
        <v>96.88</v>
      </c>
      <c r="D336">
        <v>317.92</v>
      </c>
      <c r="E336">
        <v>141.16999999999999</v>
      </c>
      <c r="F336">
        <v>42.9</v>
      </c>
      <c r="G336">
        <v>120.82</v>
      </c>
      <c r="H336">
        <v>98.06</v>
      </c>
      <c r="I336">
        <v>62.36</v>
      </c>
      <c r="J336">
        <v>231.52</v>
      </c>
      <c r="K336">
        <v>182.84</v>
      </c>
      <c r="L336">
        <v>136.04</v>
      </c>
      <c r="M336">
        <v>51.05</v>
      </c>
      <c r="N336">
        <v>121.01</v>
      </c>
      <c r="O336">
        <v>105.73</v>
      </c>
      <c r="P336">
        <v>41.01</v>
      </c>
      <c r="Q336">
        <v>157.69999999999999</v>
      </c>
      <c r="R336">
        <v>189.28</v>
      </c>
      <c r="S336">
        <v>56.08</v>
      </c>
      <c r="T336">
        <v>92.35</v>
      </c>
      <c r="U336">
        <v>67.7</v>
      </c>
      <c r="V336">
        <v>33.700000000000003</v>
      </c>
      <c r="W336">
        <v>69.14</v>
      </c>
      <c r="X336">
        <v>126.03</v>
      </c>
      <c r="Y336">
        <v>231.12</v>
      </c>
      <c r="Z336">
        <v>115.85</v>
      </c>
      <c r="AA336">
        <v>125.54</v>
      </c>
      <c r="AB336">
        <v>46.2</v>
      </c>
      <c r="AC336">
        <v>62.15</v>
      </c>
      <c r="AD336">
        <v>84.84</v>
      </c>
      <c r="AE336">
        <v>73.680000000000007</v>
      </c>
      <c r="AI336" s="2">
        <v>-2500</v>
      </c>
      <c r="AJ336" s="2">
        <f t="shared" si="208"/>
        <v>1230</v>
      </c>
      <c r="AK336" s="2">
        <f t="shared" si="208"/>
        <v>1230</v>
      </c>
      <c r="AL336" s="2">
        <f t="shared" si="208"/>
        <v>1230</v>
      </c>
      <c r="AM336" s="2">
        <f t="shared" si="208"/>
        <v>1230</v>
      </c>
      <c r="AN336" s="2">
        <f t="shared" si="208"/>
        <v>1230</v>
      </c>
      <c r="AO336" s="2">
        <f t="shared" si="208"/>
        <v>1230</v>
      </c>
      <c r="AP336" s="2">
        <f t="shared" si="208"/>
        <v>1110</v>
      </c>
      <c r="AQ336" s="2">
        <v>1000</v>
      </c>
      <c r="AR336" s="2">
        <v>0</v>
      </c>
      <c r="AS336" s="2">
        <v>10</v>
      </c>
      <c r="AT336" s="2">
        <v>0</v>
      </c>
      <c r="AU336" s="2">
        <v>0</v>
      </c>
      <c r="AV336" s="2">
        <v>0</v>
      </c>
      <c r="AW336" s="2">
        <v>0</v>
      </c>
      <c r="AX336" s="2">
        <v>0</v>
      </c>
      <c r="AY336" s="2">
        <v>0</v>
      </c>
      <c r="AZ336" s="2">
        <v>964</v>
      </c>
      <c r="BA336" s="2">
        <v>1039</v>
      </c>
      <c r="BB336" s="2">
        <v>1020</v>
      </c>
      <c r="BC336" s="2">
        <v>-1000</v>
      </c>
      <c r="BD336" s="2">
        <v>-7500</v>
      </c>
      <c r="BE336" s="2">
        <v>5000</v>
      </c>
      <c r="BF336" s="2">
        <v>3000</v>
      </c>
      <c r="BG336" s="2">
        <v>5000</v>
      </c>
      <c r="BH336" s="2">
        <v>5000</v>
      </c>
      <c r="BI336" s="2">
        <v>3000</v>
      </c>
      <c r="BJ336" s="2">
        <v>-2000</v>
      </c>
      <c r="BK336" s="2">
        <v>1000</v>
      </c>
      <c r="BL336" s="2">
        <v>1000</v>
      </c>
      <c r="BO336" s="2">
        <f t="shared" si="210"/>
        <v>0</v>
      </c>
      <c r="BP336" s="2">
        <f t="shared" si="218"/>
        <v>0</v>
      </c>
      <c r="BQ336" s="2">
        <f t="shared" si="219"/>
        <v>0</v>
      </c>
      <c r="BR336" s="2">
        <f t="shared" si="220"/>
        <v>0</v>
      </c>
      <c r="BS336" s="2">
        <f t="shared" si="221"/>
        <v>0</v>
      </c>
      <c r="BT336" s="2">
        <f t="shared" si="222"/>
        <v>0</v>
      </c>
      <c r="BU336" s="2">
        <f t="shared" si="223"/>
        <v>0</v>
      </c>
      <c r="BV336" s="2">
        <f t="shared" si="224"/>
        <v>0</v>
      </c>
      <c r="BW336" s="2">
        <f t="shared" si="225"/>
        <v>0</v>
      </c>
      <c r="BX336" s="2">
        <f t="shared" si="226"/>
        <v>0</v>
      </c>
      <c r="BY336" s="2">
        <f t="shared" si="227"/>
        <v>0</v>
      </c>
      <c r="BZ336" s="2">
        <f t="shared" si="228"/>
        <v>0</v>
      </c>
      <c r="CA336" s="2">
        <f t="shared" si="229"/>
        <v>0</v>
      </c>
      <c r="CB336" s="2">
        <f t="shared" si="230"/>
        <v>0</v>
      </c>
      <c r="CC336" s="2">
        <f t="shared" si="231"/>
        <v>0</v>
      </c>
      <c r="CD336" s="2">
        <f t="shared" si="232"/>
        <v>0</v>
      </c>
      <c r="CE336" s="2">
        <f t="shared" si="233"/>
        <v>0</v>
      </c>
      <c r="CF336" s="2">
        <f t="shared" si="234"/>
        <v>448.64</v>
      </c>
      <c r="CG336" s="2">
        <f t="shared" si="235"/>
        <v>5263.95</v>
      </c>
      <c r="CH336" s="2">
        <f t="shared" si="236"/>
        <v>-812.40000000000009</v>
      </c>
      <c r="CI336" s="2">
        <f t="shared" si="237"/>
        <v>0</v>
      </c>
      <c r="CJ336" s="2">
        <f t="shared" si="238"/>
        <v>0</v>
      </c>
      <c r="CK336" s="2">
        <f t="shared" si="239"/>
        <v>0</v>
      </c>
      <c r="CL336" s="2">
        <f t="shared" si="240"/>
        <v>0</v>
      </c>
      <c r="CM336" s="2">
        <f t="shared" si="212"/>
        <v>0</v>
      </c>
      <c r="CN336" s="2">
        <f t="shared" si="213"/>
        <v>0</v>
      </c>
      <c r="CO336" s="2">
        <f t="shared" si="214"/>
        <v>0</v>
      </c>
      <c r="CP336" s="2">
        <f t="shared" si="215"/>
        <v>0</v>
      </c>
      <c r="CQ336" s="2">
        <f t="shared" si="216"/>
        <v>0</v>
      </c>
      <c r="CR336" s="2">
        <f t="shared" si="217"/>
        <v>0</v>
      </c>
      <c r="CV336" t="s">
        <v>64</v>
      </c>
      <c r="CW336" t="s">
        <v>409</v>
      </c>
      <c r="CX336" t="s">
        <v>18</v>
      </c>
      <c r="CY336" s="4">
        <v>42761</v>
      </c>
      <c r="CZ336" t="s">
        <v>67</v>
      </c>
      <c r="DA336" t="s">
        <v>68</v>
      </c>
      <c r="DB336">
        <v>51</v>
      </c>
      <c r="DC336">
        <v>57.61</v>
      </c>
      <c r="DD336" t="s">
        <v>69</v>
      </c>
      <c r="DE336" t="s">
        <v>70</v>
      </c>
      <c r="DF336">
        <v>2938.11</v>
      </c>
    </row>
    <row r="337" spans="1:110" x14ac:dyDescent="0.25">
      <c r="A337" s="1">
        <v>43223</v>
      </c>
      <c r="B337">
        <v>174.24</v>
      </c>
      <c r="C337">
        <v>96.4</v>
      </c>
      <c r="D337">
        <v>324.3</v>
      </c>
      <c r="E337">
        <v>141.09</v>
      </c>
      <c r="F337">
        <v>43.46</v>
      </c>
      <c r="G337">
        <v>121.32</v>
      </c>
      <c r="H337">
        <v>97.22</v>
      </c>
      <c r="I337">
        <v>62.34</v>
      </c>
      <c r="J337">
        <v>230.88</v>
      </c>
      <c r="K337">
        <v>180.16</v>
      </c>
      <c r="L337">
        <v>135.6</v>
      </c>
      <c r="M337">
        <v>51.02</v>
      </c>
      <c r="N337">
        <v>120.55</v>
      </c>
      <c r="O337">
        <v>105.07</v>
      </c>
      <c r="P337">
        <v>40.85</v>
      </c>
      <c r="Q337">
        <v>157.11000000000001</v>
      </c>
      <c r="R337">
        <v>190.43</v>
      </c>
      <c r="S337">
        <v>56.31</v>
      </c>
      <c r="T337">
        <v>92.9</v>
      </c>
      <c r="U337">
        <v>66.349999999999994</v>
      </c>
      <c r="V337">
        <v>33.58</v>
      </c>
      <c r="W337">
        <v>69.55</v>
      </c>
      <c r="X337">
        <v>125.04</v>
      </c>
      <c r="Y337">
        <v>231.8</v>
      </c>
      <c r="Z337">
        <v>115.07</v>
      </c>
      <c r="AA337">
        <v>126.34</v>
      </c>
      <c r="AB337">
        <v>46.29</v>
      </c>
      <c r="AC337">
        <v>60.76</v>
      </c>
      <c r="AD337">
        <v>84.73</v>
      </c>
      <c r="AE337">
        <v>73.430000000000007</v>
      </c>
      <c r="AI337" s="2">
        <v>-2500</v>
      </c>
      <c r="AJ337" s="2">
        <f t="shared" si="208"/>
        <v>1230</v>
      </c>
      <c r="AK337" s="2">
        <f t="shared" si="208"/>
        <v>1230</v>
      </c>
      <c r="AL337" s="2">
        <f t="shared" si="208"/>
        <v>1230</v>
      </c>
      <c r="AM337" s="2">
        <f t="shared" si="208"/>
        <v>1230</v>
      </c>
      <c r="AN337" s="2">
        <f t="shared" si="208"/>
        <v>1230</v>
      </c>
      <c r="AO337" s="2">
        <f t="shared" si="208"/>
        <v>1230</v>
      </c>
      <c r="AP337" s="2">
        <f t="shared" si="208"/>
        <v>1110</v>
      </c>
      <c r="AQ337" s="2">
        <v>1000</v>
      </c>
      <c r="AR337" s="2">
        <v>0</v>
      </c>
      <c r="AS337" s="2">
        <v>10</v>
      </c>
      <c r="AT337" s="2">
        <v>0</v>
      </c>
      <c r="AU337" s="2">
        <v>0</v>
      </c>
      <c r="AV337" s="2">
        <v>0</v>
      </c>
      <c r="AW337" s="2">
        <v>0</v>
      </c>
      <c r="AX337" s="2">
        <v>0</v>
      </c>
      <c r="AY337" s="2">
        <v>0</v>
      </c>
      <c r="AZ337" s="2">
        <v>961</v>
      </c>
      <c r="BA337" s="2">
        <v>913</v>
      </c>
      <c r="BB337" s="2">
        <v>929</v>
      </c>
      <c r="BC337" s="2">
        <v>-1000</v>
      </c>
      <c r="BD337" s="2">
        <v>-7500</v>
      </c>
      <c r="BE337" s="2">
        <v>5000</v>
      </c>
      <c r="BF337" s="2">
        <v>3000</v>
      </c>
      <c r="BG337" s="2">
        <v>5000</v>
      </c>
      <c r="BH337" s="2">
        <v>5000</v>
      </c>
      <c r="BI337" s="2">
        <v>3000</v>
      </c>
      <c r="BJ337" s="2">
        <v>-2000</v>
      </c>
      <c r="BK337" s="2">
        <v>1000</v>
      </c>
      <c r="BL337" s="2">
        <v>1000</v>
      </c>
      <c r="BO337" s="2">
        <f t="shared" si="210"/>
        <v>0</v>
      </c>
      <c r="BP337" s="2">
        <f t="shared" si="218"/>
        <v>0</v>
      </c>
      <c r="BQ337" s="2">
        <f t="shared" si="219"/>
        <v>0</v>
      </c>
      <c r="BR337" s="2">
        <f t="shared" si="220"/>
        <v>0</v>
      </c>
      <c r="BS337" s="2">
        <f t="shared" si="221"/>
        <v>0</v>
      </c>
      <c r="BT337" s="2">
        <f t="shared" si="222"/>
        <v>0</v>
      </c>
      <c r="BU337" s="2">
        <f t="shared" si="223"/>
        <v>0</v>
      </c>
      <c r="BV337" s="2">
        <f t="shared" si="224"/>
        <v>0</v>
      </c>
      <c r="BW337" s="2">
        <f t="shared" si="225"/>
        <v>0</v>
      </c>
      <c r="BX337" s="2">
        <f t="shared" si="226"/>
        <v>0</v>
      </c>
      <c r="BY337" s="2">
        <f t="shared" si="227"/>
        <v>0</v>
      </c>
      <c r="BZ337" s="2">
        <f t="shared" si="228"/>
        <v>0</v>
      </c>
      <c r="CA337" s="2">
        <f t="shared" si="229"/>
        <v>0</v>
      </c>
      <c r="CB337" s="2">
        <f t="shared" si="230"/>
        <v>0</v>
      </c>
      <c r="CC337" s="2">
        <f t="shared" si="231"/>
        <v>0</v>
      </c>
      <c r="CD337" s="2">
        <f t="shared" si="232"/>
        <v>0</v>
      </c>
      <c r="CE337" s="2">
        <f t="shared" si="233"/>
        <v>0</v>
      </c>
      <c r="CF337" s="2">
        <f t="shared" si="234"/>
        <v>168.93</v>
      </c>
      <c r="CG337" s="2">
        <f t="shared" si="235"/>
        <v>11705.400000000001</v>
      </c>
      <c r="CH337" s="2">
        <f t="shared" si="236"/>
        <v>6037.8499999999995</v>
      </c>
      <c r="CI337" s="2">
        <f t="shared" si="237"/>
        <v>0</v>
      </c>
      <c r="CJ337" s="2">
        <f t="shared" si="238"/>
        <v>0</v>
      </c>
      <c r="CK337" s="2">
        <f t="shared" si="239"/>
        <v>0</v>
      </c>
      <c r="CL337" s="2">
        <f t="shared" si="240"/>
        <v>0</v>
      </c>
      <c r="CM337" s="2">
        <f t="shared" si="212"/>
        <v>0</v>
      </c>
      <c r="CN337" s="2">
        <f t="shared" si="213"/>
        <v>0</v>
      </c>
      <c r="CO337" s="2">
        <f t="shared" si="214"/>
        <v>0</v>
      </c>
      <c r="CP337" s="2">
        <f t="shared" si="215"/>
        <v>0</v>
      </c>
      <c r="CQ337" s="2">
        <f t="shared" si="216"/>
        <v>0</v>
      </c>
      <c r="CR337" s="2">
        <f t="shared" si="217"/>
        <v>0</v>
      </c>
      <c r="CV337" t="s">
        <v>64</v>
      </c>
      <c r="CW337" t="s">
        <v>410</v>
      </c>
      <c r="CX337" t="s">
        <v>18</v>
      </c>
      <c r="CY337" s="4">
        <v>42762</v>
      </c>
      <c r="CZ337" t="s">
        <v>65</v>
      </c>
      <c r="DA337" t="s">
        <v>66</v>
      </c>
      <c r="DB337">
        <v>38</v>
      </c>
      <c r="DC337">
        <v>58.13</v>
      </c>
      <c r="DD337" t="s">
        <v>69</v>
      </c>
      <c r="DE337" t="s">
        <v>70</v>
      </c>
      <c r="DF337">
        <v>2208.94</v>
      </c>
    </row>
    <row r="338" spans="1:110" x14ac:dyDescent="0.25">
      <c r="A338" s="1">
        <v>43224</v>
      </c>
      <c r="B338">
        <v>181.07</v>
      </c>
      <c r="C338">
        <v>97.6</v>
      </c>
      <c r="D338">
        <v>327.96</v>
      </c>
      <c r="E338">
        <v>143.63</v>
      </c>
      <c r="F338">
        <v>44.3</v>
      </c>
      <c r="G338">
        <v>120.86</v>
      </c>
      <c r="H338">
        <v>99.57</v>
      </c>
      <c r="I338">
        <v>63.32</v>
      </c>
      <c r="J338">
        <v>232.4</v>
      </c>
      <c r="K338">
        <v>181.97</v>
      </c>
      <c r="L338">
        <v>137.44</v>
      </c>
      <c r="M338">
        <v>51.8</v>
      </c>
      <c r="N338">
        <v>121.68</v>
      </c>
      <c r="O338">
        <v>106.23</v>
      </c>
      <c r="P338">
        <v>41.31</v>
      </c>
      <c r="Q338">
        <v>161.97</v>
      </c>
      <c r="R338">
        <v>194.01</v>
      </c>
      <c r="S338">
        <v>56.52</v>
      </c>
      <c r="T338">
        <v>93.98</v>
      </c>
      <c r="U338">
        <v>67.540000000000006</v>
      </c>
      <c r="V338">
        <v>33.659999999999997</v>
      </c>
      <c r="W338">
        <v>70.59</v>
      </c>
      <c r="X338">
        <v>127.4</v>
      </c>
      <c r="Y338">
        <v>233.53</v>
      </c>
      <c r="Z338">
        <v>116.84</v>
      </c>
      <c r="AA338">
        <v>127.31</v>
      </c>
      <c r="AB338">
        <v>46.63</v>
      </c>
      <c r="AC338">
        <v>62.3</v>
      </c>
      <c r="AD338">
        <v>86.01</v>
      </c>
      <c r="AE338">
        <v>73.78</v>
      </c>
      <c r="AI338" s="2">
        <v>-2500</v>
      </c>
      <c r="AJ338" s="2">
        <f t="shared" ref="AJ338:AP338" si="241">AJ337+10</f>
        <v>1240</v>
      </c>
      <c r="AK338" s="2">
        <f t="shared" si="241"/>
        <v>1240</v>
      </c>
      <c r="AL338" s="2">
        <f t="shared" si="241"/>
        <v>1240</v>
      </c>
      <c r="AM338" s="2">
        <f t="shared" si="241"/>
        <v>1240</v>
      </c>
      <c r="AN338" s="2">
        <f t="shared" si="241"/>
        <v>1240</v>
      </c>
      <c r="AO338" s="2">
        <f t="shared" si="241"/>
        <v>1240</v>
      </c>
      <c r="AP338" s="2">
        <f t="shared" si="241"/>
        <v>1120</v>
      </c>
      <c r="AQ338" s="2">
        <v>1000</v>
      </c>
      <c r="AR338" s="2">
        <v>0</v>
      </c>
      <c r="AS338" s="2">
        <v>10</v>
      </c>
      <c r="AT338" s="2">
        <v>0</v>
      </c>
      <c r="AU338" s="2">
        <v>0</v>
      </c>
      <c r="AV338" s="2">
        <v>0</v>
      </c>
      <c r="AW338" s="2">
        <v>0</v>
      </c>
      <c r="AX338" s="2">
        <v>0</v>
      </c>
      <c r="AY338" s="2">
        <v>0</v>
      </c>
      <c r="AZ338" s="2">
        <v>1013</v>
      </c>
      <c r="BA338" s="2">
        <v>935</v>
      </c>
      <c r="BB338" s="2">
        <v>1084</v>
      </c>
      <c r="BC338" s="2">
        <v>-1000</v>
      </c>
      <c r="BD338" s="2">
        <v>-7500</v>
      </c>
      <c r="BE338" s="2">
        <v>5000</v>
      </c>
      <c r="BF338" s="2">
        <v>3000</v>
      </c>
      <c r="BG338" s="2">
        <v>5000</v>
      </c>
      <c r="BH338" s="2">
        <v>5000</v>
      </c>
      <c r="BI338" s="2">
        <v>3000</v>
      </c>
      <c r="BJ338" s="2">
        <v>-2000</v>
      </c>
      <c r="BK338" s="2">
        <v>1000</v>
      </c>
      <c r="BL338" s="2">
        <v>1000</v>
      </c>
      <c r="BO338" s="2">
        <f t="shared" si="210"/>
        <v>0</v>
      </c>
      <c r="BP338" s="2">
        <f t="shared" si="218"/>
        <v>-976</v>
      </c>
      <c r="BQ338" s="2">
        <f t="shared" si="219"/>
        <v>-3279.6</v>
      </c>
      <c r="BR338" s="2">
        <f t="shared" si="220"/>
        <v>-1436.3</v>
      </c>
      <c r="BS338" s="2">
        <f t="shared" si="221"/>
        <v>-443</v>
      </c>
      <c r="BT338" s="2">
        <f t="shared" si="222"/>
        <v>-1208.5999999999999</v>
      </c>
      <c r="BU338" s="2">
        <f t="shared" si="223"/>
        <v>-995.69999999999993</v>
      </c>
      <c r="BV338" s="2">
        <f t="shared" si="224"/>
        <v>-633.20000000000005</v>
      </c>
      <c r="BW338" s="2">
        <f t="shared" si="225"/>
        <v>0</v>
      </c>
      <c r="BX338" s="2">
        <f t="shared" si="226"/>
        <v>0</v>
      </c>
      <c r="BY338" s="2">
        <f t="shared" si="227"/>
        <v>0</v>
      </c>
      <c r="BZ338" s="2">
        <f t="shared" si="228"/>
        <v>0</v>
      </c>
      <c r="CA338" s="2">
        <f t="shared" si="229"/>
        <v>0</v>
      </c>
      <c r="CB338" s="2">
        <f t="shared" si="230"/>
        <v>0</v>
      </c>
      <c r="CC338" s="2">
        <f t="shared" si="231"/>
        <v>0</v>
      </c>
      <c r="CD338" s="2">
        <f t="shared" si="232"/>
        <v>0</v>
      </c>
      <c r="CE338" s="2">
        <f t="shared" si="233"/>
        <v>0</v>
      </c>
      <c r="CF338" s="2">
        <f t="shared" si="234"/>
        <v>-2939.04</v>
      </c>
      <c r="CG338" s="2">
        <f t="shared" si="235"/>
        <v>-2067.56</v>
      </c>
      <c r="CH338" s="2">
        <f t="shared" si="236"/>
        <v>-10468.700000000001</v>
      </c>
      <c r="CI338" s="2">
        <f t="shared" si="237"/>
        <v>0</v>
      </c>
      <c r="CJ338" s="2">
        <f t="shared" si="238"/>
        <v>0</v>
      </c>
      <c r="CK338" s="2">
        <f t="shared" si="239"/>
        <v>0</v>
      </c>
      <c r="CL338" s="2">
        <f t="shared" si="240"/>
        <v>0</v>
      </c>
      <c r="CM338" s="2">
        <f t="shared" si="212"/>
        <v>0</v>
      </c>
      <c r="CN338" s="2">
        <f t="shared" si="213"/>
        <v>0</v>
      </c>
      <c r="CO338" s="2">
        <f t="shared" si="214"/>
        <v>0</v>
      </c>
      <c r="CP338" s="2">
        <f t="shared" si="215"/>
        <v>0</v>
      </c>
      <c r="CQ338" s="2">
        <f t="shared" si="216"/>
        <v>0</v>
      </c>
      <c r="CR338" s="2">
        <f t="shared" si="217"/>
        <v>0</v>
      </c>
      <c r="CV338" t="s">
        <v>64</v>
      </c>
      <c r="CW338" t="s">
        <v>411</v>
      </c>
      <c r="CX338" t="s">
        <v>18</v>
      </c>
      <c r="CY338" s="4">
        <v>42765</v>
      </c>
      <c r="CZ338" t="s">
        <v>67</v>
      </c>
      <c r="DA338" t="s">
        <v>68</v>
      </c>
      <c r="DB338">
        <v>13</v>
      </c>
      <c r="DC338">
        <v>57.83</v>
      </c>
      <c r="DD338" t="s">
        <v>69</v>
      </c>
      <c r="DE338" t="s">
        <v>70</v>
      </c>
      <c r="DF338">
        <v>751.79</v>
      </c>
    </row>
    <row r="339" spans="1:110" x14ac:dyDescent="0.25">
      <c r="A339" s="1">
        <v>43227</v>
      </c>
      <c r="B339">
        <v>182.38</v>
      </c>
      <c r="C339">
        <v>97.83</v>
      </c>
      <c r="D339">
        <v>333.85</v>
      </c>
      <c r="E339">
        <v>147.02000000000001</v>
      </c>
      <c r="F339">
        <v>44.73</v>
      </c>
      <c r="G339">
        <v>120.29</v>
      </c>
      <c r="H339">
        <v>100.88</v>
      </c>
      <c r="I339">
        <v>63.76</v>
      </c>
      <c r="J339">
        <v>234.63</v>
      </c>
      <c r="K339">
        <v>180.53</v>
      </c>
      <c r="L339">
        <v>136.78</v>
      </c>
      <c r="M339">
        <v>52.34</v>
      </c>
      <c r="N339">
        <v>121.1</v>
      </c>
      <c r="O339">
        <v>107.15</v>
      </c>
      <c r="P339">
        <v>41.09</v>
      </c>
      <c r="Q339">
        <v>161.94</v>
      </c>
      <c r="R339">
        <v>194.89</v>
      </c>
      <c r="S339">
        <v>56.16</v>
      </c>
      <c r="T339">
        <v>95.03</v>
      </c>
      <c r="U339">
        <v>68.77</v>
      </c>
      <c r="V339">
        <v>33.74</v>
      </c>
      <c r="W339">
        <v>70.150000000000006</v>
      </c>
      <c r="X339">
        <v>126.69</v>
      </c>
      <c r="Y339">
        <v>231.43</v>
      </c>
      <c r="Z339">
        <v>118.19</v>
      </c>
      <c r="AA339">
        <v>128.4</v>
      </c>
      <c r="AB339">
        <v>46.18</v>
      </c>
      <c r="AC339">
        <v>60.83</v>
      </c>
      <c r="AD339">
        <v>83.99</v>
      </c>
      <c r="AE339">
        <v>74.58</v>
      </c>
      <c r="AI339" s="2">
        <v>-2500</v>
      </c>
      <c r="AJ339" s="2">
        <f t="shared" ref="AJ339:AP339" si="242">AJ338</f>
        <v>1240</v>
      </c>
      <c r="AK339" s="2">
        <f t="shared" si="242"/>
        <v>1240</v>
      </c>
      <c r="AL339" s="2">
        <f t="shared" si="242"/>
        <v>1240</v>
      </c>
      <c r="AM339" s="2">
        <f t="shared" si="242"/>
        <v>1240</v>
      </c>
      <c r="AN339" s="2">
        <f t="shared" si="242"/>
        <v>1240</v>
      </c>
      <c r="AO339" s="2">
        <f t="shared" si="242"/>
        <v>1240</v>
      </c>
      <c r="AP339" s="2">
        <f t="shared" si="242"/>
        <v>1120</v>
      </c>
      <c r="AQ339" s="2">
        <v>1000</v>
      </c>
      <c r="AR339" s="2">
        <v>0</v>
      </c>
      <c r="AS339" s="2">
        <v>10</v>
      </c>
      <c r="AT339" s="2">
        <v>0</v>
      </c>
      <c r="AU339" s="2">
        <v>0</v>
      </c>
      <c r="AV339" s="2">
        <v>0</v>
      </c>
      <c r="AW339" s="2">
        <v>0</v>
      </c>
      <c r="AX339" s="2">
        <v>0</v>
      </c>
      <c r="AY339" s="2">
        <v>0</v>
      </c>
      <c r="AZ339" s="2">
        <v>970</v>
      </c>
      <c r="BA339" s="2">
        <v>1083</v>
      </c>
      <c r="BB339" s="2">
        <v>1053</v>
      </c>
      <c r="BC339" s="2">
        <v>-1000</v>
      </c>
      <c r="BD339" s="2">
        <v>-7500</v>
      </c>
      <c r="BE339" s="2">
        <v>5000</v>
      </c>
      <c r="BF339" s="2">
        <v>3000</v>
      </c>
      <c r="BG339" s="2">
        <v>5000</v>
      </c>
      <c r="BH339" s="2">
        <v>5000</v>
      </c>
      <c r="BI339" s="2">
        <v>3000</v>
      </c>
      <c r="BJ339" s="2">
        <v>-2000</v>
      </c>
      <c r="BK339" s="2">
        <v>1000</v>
      </c>
      <c r="BL339" s="2">
        <v>1000</v>
      </c>
      <c r="BO339" s="2">
        <f t="shared" si="210"/>
        <v>0</v>
      </c>
      <c r="BP339" s="2">
        <f t="shared" si="218"/>
        <v>0</v>
      </c>
      <c r="BQ339" s="2">
        <f t="shared" si="219"/>
        <v>0</v>
      </c>
      <c r="BR339" s="2">
        <f t="shared" si="220"/>
        <v>0</v>
      </c>
      <c r="BS339" s="2">
        <f t="shared" si="221"/>
        <v>0</v>
      </c>
      <c r="BT339" s="2">
        <f t="shared" si="222"/>
        <v>0</v>
      </c>
      <c r="BU339" s="2">
        <f t="shared" si="223"/>
        <v>0</v>
      </c>
      <c r="BV339" s="2">
        <f t="shared" si="224"/>
        <v>0</v>
      </c>
      <c r="BW339" s="2">
        <f t="shared" si="225"/>
        <v>0</v>
      </c>
      <c r="BX339" s="2">
        <f t="shared" si="226"/>
        <v>0</v>
      </c>
      <c r="BY339" s="2">
        <f t="shared" si="227"/>
        <v>0</v>
      </c>
      <c r="BZ339" s="2">
        <f t="shared" si="228"/>
        <v>0</v>
      </c>
      <c r="CA339" s="2">
        <f t="shared" si="229"/>
        <v>0</v>
      </c>
      <c r="CB339" s="2">
        <f t="shared" si="230"/>
        <v>0</v>
      </c>
      <c r="CC339" s="2">
        <f t="shared" si="231"/>
        <v>0</v>
      </c>
      <c r="CD339" s="2">
        <f t="shared" si="232"/>
        <v>0</v>
      </c>
      <c r="CE339" s="2">
        <f t="shared" si="233"/>
        <v>0</v>
      </c>
      <c r="CF339" s="2">
        <f t="shared" si="234"/>
        <v>2414.8799999999997</v>
      </c>
      <c r="CG339" s="2">
        <f t="shared" si="235"/>
        <v>-14064.44</v>
      </c>
      <c r="CH339" s="2">
        <f t="shared" si="236"/>
        <v>2131.87</v>
      </c>
      <c r="CI339" s="2">
        <f t="shared" si="237"/>
        <v>0</v>
      </c>
      <c r="CJ339" s="2">
        <f t="shared" si="238"/>
        <v>0</v>
      </c>
      <c r="CK339" s="2">
        <f t="shared" si="239"/>
        <v>0</v>
      </c>
      <c r="CL339" s="2">
        <f t="shared" si="240"/>
        <v>0</v>
      </c>
      <c r="CM339" s="2">
        <f t="shared" si="212"/>
        <v>0</v>
      </c>
      <c r="CN339" s="2">
        <f t="shared" si="213"/>
        <v>0</v>
      </c>
      <c r="CO339" s="2">
        <f t="shared" si="214"/>
        <v>0</v>
      </c>
      <c r="CP339" s="2">
        <f t="shared" si="215"/>
        <v>0</v>
      </c>
      <c r="CQ339" s="2">
        <f t="shared" si="216"/>
        <v>0</v>
      </c>
      <c r="CR339" s="2">
        <f t="shared" si="217"/>
        <v>0</v>
      </c>
      <c r="CV339" t="s">
        <v>64</v>
      </c>
      <c r="CW339" t="s">
        <v>412</v>
      </c>
      <c r="CX339" t="s">
        <v>18</v>
      </c>
      <c r="CY339" s="4">
        <v>42766</v>
      </c>
      <c r="CZ339" t="s">
        <v>67</v>
      </c>
      <c r="DA339" t="s">
        <v>68</v>
      </c>
      <c r="DB339">
        <v>28</v>
      </c>
      <c r="DC339">
        <v>58.36</v>
      </c>
      <c r="DD339" t="s">
        <v>69</v>
      </c>
      <c r="DE339" t="s">
        <v>70</v>
      </c>
      <c r="DF339">
        <v>1634.08</v>
      </c>
    </row>
    <row r="340" spans="1:110" x14ac:dyDescent="0.25">
      <c r="A340" s="1">
        <v>43228</v>
      </c>
      <c r="B340">
        <v>183.26</v>
      </c>
      <c r="C340">
        <v>98.98</v>
      </c>
      <c r="D340">
        <v>331.83</v>
      </c>
      <c r="E340">
        <v>147.13</v>
      </c>
      <c r="F340">
        <v>44.71</v>
      </c>
      <c r="G340">
        <v>121.86</v>
      </c>
      <c r="H340">
        <v>100.2</v>
      </c>
      <c r="I340">
        <v>63.09</v>
      </c>
      <c r="J340">
        <v>234.44</v>
      </c>
      <c r="K340">
        <v>181.98</v>
      </c>
      <c r="L340">
        <v>136.57</v>
      </c>
      <c r="M340">
        <v>52.64</v>
      </c>
      <c r="N340">
        <v>120.14</v>
      </c>
      <c r="O340">
        <v>108.74</v>
      </c>
      <c r="P340">
        <v>40.770000000000003</v>
      </c>
      <c r="Q340">
        <v>161.72</v>
      </c>
      <c r="R340">
        <v>196.33</v>
      </c>
      <c r="S340">
        <v>55.55</v>
      </c>
      <c r="T340">
        <v>94.62</v>
      </c>
      <c r="U340">
        <v>67.900000000000006</v>
      </c>
      <c r="V340">
        <v>33.79</v>
      </c>
      <c r="W340">
        <v>69.63</v>
      </c>
      <c r="X340">
        <v>126.37</v>
      </c>
      <c r="Y340">
        <v>229.7</v>
      </c>
      <c r="Z340">
        <v>119.07</v>
      </c>
      <c r="AA340">
        <v>129.04</v>
      </c>
      <c r="AB340">
        <v>45.5</v>
      </c>
      <c r="AC340">
        <v>60.89</v>
      </c>
      <c r="AD340">
        <v>84.25</v>
      </c>
      <c r="AE340">
        <v>74.92</v>
      </c>
      <c r="AI340" s="2">
        <v>-1250</v>
      </c>
      <c r="AJ340" s="2">
        <f t="shared" ref="AJ340:AP365" si="243">AJ339</f>
        <v>1240</v>
      </c>
      <c r="AK340" s="2">
        <f t="shared" si="243"/>
        <v>1240</v>
      </c>
      <c r="AL340" s="2">
        <f t="shared" si="243"/>
        <v>1240</v>
      </c>
      <c r="AM340" s="2">
        <f t="shared" si="243"/>
        <v>1240</v>
      </c>
      <c r="AN340" s="2">
        <f t="shared" si="243"/>
        <v>1240</v>
      </c>
      <c r="AO340" s="2">
        <f t="shared" si="243"/>
        <v>1240</v>
      </c>
      <c r="AP340" s="2">
        <f t="shared" si="243"/>
        <v>1120</v>
      </c>
      <c r="AQ340" s="2">
        <v>1000</v>
      </c>
      <c r="AR340" s="2">
        <v>0</v>
      </c>
      <c r="AS340" s="2">
        <v>10</v>
      </c>
      <c r="AT340" s="2">
        <v>0</v>
      </c>
      <c r="AU340" s="2">
        <v>0</v>
      </c>
      <c r="AV340" s="2">
        <v>0</v>
      </c>
      <c r="AW340" s="2">
        <v>0</v>
      </c>
      <c r="AX340" s="2">
        <v>0</v>
      </c>
      <c r="AY340" s="2">
        <v>0</v>
      </c>
      <c r="AZ340" s="2">
        <v>975</v>
      </c>
      <c r="BA340" s="2">
        <v>1003</v>
      </c>
      <c r="BB340" s="2">
        <v>1027</v>
      </c>
      <c r="BC340" s="2">
        <v>-1000</v>
      </c>
      <c r="BD340" s="2">
        <v>-7500</v>
      </c>
      <c r="BE340" s="2">
        <v>5000</v>
      </c>
      <c r="BF340" s="2">
        <v>3000</v>
      </c>
      <c r="BG340" s="2">
        <v>5000</v>
      </c>
      <c r="BH340" s="2">
        <v>5000</v>
      </c>
      <c r="BI340" s="2">
        <v>3000</v>
      </c>
      <c r="BJ340" s="2">
        <v>-2000</v>
      </c>
      <c r="BK340" s="2">
        <v>1000</v>
      </c>
      <c r="BL340" s="2">
        <v>1000</v>
      </c>
      <c r="BO340" s="2">
        <f t="shared" si="210"/>
        <v>-229075</v>
      </c>
      <c r="BP340" s="2">
        <f t="shared" si="218"/>
        <v>0</v>
      </c>
      <c r="BQ340" s="2">
        <f t="shared" si="219"/>
        <v>0</v>
      </c>
      <c r="BR340" s="2">
        <f t="shared" si="220"/>
        <v>0</v>
      </c>
      <c r="BS340" s="2">
        <f t="shared" si="221"/>
        <v>0</v>
      </c>
      <c r="BT340" s="2">
        <f t="shared" si="222"/>
        <v>0</v>
      </c>
      <c r="BU340" s="2">
        <f t="shared" si="223"/>
        <v>0</v>
      </c>
      <c r="BV340" s="2">
        <f t="shared" si="224"/>
        <v>0</v>
      </c>
      <c r="BW340" s="2">
        <f t="shared" si="225"/>
        <v>0</v>
      </c>
      <c r="BX340" s="2">
        <f t="shared" si="226"/>
        <v>0</v>
      </c>
      <c r="BY340" s="2">
        <f t="shared" si="227"/>
        <v>0</v>
      </c>
      <c r="BZ340" s="2">
        <f t="shared" si="228"/>
        <v>0</v>
      </c>
      <c r="CA340" s="2">
        <f t="shared" si="229"/>
        <v>0</v>
      </c>
      <c r="CB340" s="2">
        <f t="shared" si="230"/>
        <v>0</v>
      </c>
      <c r="CC340" s="2">
        <f t="shared" si="231"/>
        <v>0</v>
      </c>
      <c r="CD340" s="2">
        <f t="shared" si="232"/>
        <v>0</v>
      </c>
      <c r="CE340" s="2">
        <f t="shared" si="233"/>
        <v>0</v>
      </c>
      <c r="CF340" s="2">
        <f t="shared" si="234"/>
        <v>-277.75</v>
      </c>
      <c r="CG340" s="2">
        <f t="shared" si="235"/>
        <v>7569.6</v>
      </c>
      <c r="CH340" s="2">
        <f t="shared" si="236"/>
        <v>1765.4</v>
      </c>
      <c r="CI340" s="2">
        <f t="shared" si="237"/>
        <v>0</v>
      </c>
      <c r="CJ340" s="2">
        <f t="shared" si="238"/>
        <v>0</v>
      </c>
      <c r="CK340" s="2">
        <f t="shared" si="239"/>
        <v>0</v>
      </c>
      <c r="CL340" s="2">
        <f t="shared" si="240"/>
        <v>0</v>
      </c>
      <c r="CM340" s="2">
        <f t="shared" si="212"/>
        <v>0</v>
      </c>
      <c r="CN340" s="2">
        <f t="shared" si="213"/>
        <v>0</v>
      </c>
      <c r="CO340" s="2">
        <f t="shared" si="214"/>
        <v>0</v>
      </c>
      <c r="CP340" s="2">
        <f t="shared" si="215"/>
        <v>0</v>
      </c>
      <c r="CQ340" s="2">
        <f t="shared" si="216"/>
        <v>0</v>
      </c>
      <c r="CR340" s="2">
        <f t="shared" si="217"/>
        <v>0</v>
      </c>
      <c r="CV340" t="s">
        <v>64</v>
      </c>
      <c r="CW340" t="s">
        <v>413</v>
      </c>
      <c r="CX340" t="s">
        <v>18</v>
      </c>
      <c r="CY340" s="4">
        <v>42767</v>
      </c>
      <c r="CZ340" t="s">
        <v>65</v>
      </c>
      <c r="DA340" t="s">
        <v>66</v>
      </c>
      <c r="DB340">
        <v>20</v>
      </c>
      <c r="DC340">
        <v>58.46</v>
      </c>
      <c r="DD340" t="s">
        <v>69</v>
      </c>
      <c r="DE340" t="s">
        <v>70</v>
      </c>
      <c r="DF340">
        <v>1169.2</v>
      </c>
    </row>
    <row r="341" spans="1:110" x14ac:dyDescent="0.25">
      <c r="A341" s="1">
        <v>43229</v>
      </c>
      <c r="B341">
        <v>184.55</v>
      </c>
      <c r="C341">
        <v>99.73</v>
      </c>
      <c r="D341">
        <v>337.84</v>
      </c>
      <c r="E341">
        <v>149.76</v>
      </c>
      <c r="F341">
        <v>45.03</v>
      </c>
      <c r="G341">
        <v>123.93</v>
      </c>
      <c r="H341">
        <v>98.41</v>
      </c>
      <c r="I341">
        <v>64.849999999999994</v>
      </c>
      <c r="J341">
        <v>239.11</v>
      </c>
      <c r="K341">
        <v>183.28</v>
      </c>
      <c r="L341">
        <v>137.71</v>
      </c>
      <c r="M341">
        <v>53.34</v>
      </c>
      <c r="N341">
        <v>121.02</v>
      </c>
      <c r="O341">
        <v>111.11</v>
      </c>
      <c r="P341">
        <v>40.74</v>
      </c>
      <c r="Q341">
        <v>161.19999999999999</v>
      </c>
      <c r="R341">
        <v>197.96</v>
      </c>
      <c r="S341">
        <v>56.72</v>
      </c>
      <c r="T341">
        <v>95.74</v>
      </c>
      <c r="U341">
        <v>67.39</v>
      </c>
      <c r="V341">
        <v>33.97</v>
      </c>
      <c r="W341">
        <v>70.53</v>
      </c>
      <c r="X341">
        <v>127.44</v>
      </c>
      <c r="Y341">
        <v>226.91</v>
      </c>
      <c r="Z341">
        <v>120.36</v>
      </c>
      <c r="AA341">
        <v>129.97</v>
      </c>
      <c r="AB341">
        <v>44.88</v>
      </c>
      <c r="AC341">
        <v>61.45</v>
      </c>
      <c r="AD341">
        <v>81.62</v>
      </c>
      <c r="AE341">
        <v>76.680000000000007</v>
      </c>
      <c r="AI341" s="2">
        <v>0</v>
      </c>
      <c r="AJ341" s="2">
        <f t="shared" si="243"/>
        <v>1240</v>
      </c>
      <c r="AK341" s="2">
        <f t="shared" si="243"/>
        <v>1240</v>
      </c>
      <c r="AL341" s="2">
        <f t="shared" si="243"/>
        <v>1240</v>
      </c>
      <c r="AM341" s="2">
        <f t="shared" si="243"/>
        <v>1240</v>
      </c>
      <c r="AN341" s="2">
        <f t="shared" si="243"/>
        <v>1240</v>
      </c>
      <c r="AO341" s="2">
        <f t="shared" si="243"/>
        <v>1240</v>
      </c>
      <c r="AP341" s="2">
        <f t="shared" si="243"/>
        <v>1120</v>
      </c>
      <c r="AQ341" s="2">
        <v>1000</v>
      </c>
      <c r="AR341" s="2">
        <v>0</v>
      </c>
      <c r="AS341" s="2">
        <v>10</v>
      </c>
      <c r="AT341" s="2">
        <v>0</v>
      </c>
      <c r="AU341" s="2">
        <v>0</v>
      </c>
      <c r="AV341" s="2">
        <v>0</v>
      </c>
      <c r="AW341" s="2">
        <v>0</v>
      </c>
      <c r="AX341" s="2">
        <v>0</v>
      </c>
      <c r="AY341" s="2">
        <v>0</v>
      </c>
      <c r="AZ341" s="2">
        <v>961</v>
      </c>
      <c r="BA341" s="2">
        <v>910</v>
      </c>
      <c r="BB341" s="2">
        <v>1025</v>
      </c>
      <c r="BC341" s="2">
        <v>-1000</v>
      </c>
      <c r="BD341" s="2">
        <v>-7500</v>
      </c>
      <c r="BE341" s="2">
        <v>5000</v>
      </c>
      <c r="BF341" s="2">
        <v>3000</v>
      </c>
      <c r="BG341" s="2">
        <v>5000</v>
      </c>
      <c r="BH341" s="2">
        <v>5000</v>
      </c>
      <c r="BI341" s="2">
        <v>3000</v>
      </c>
      <c r="BJ341" s="2">
        <v>-2000</v>
      </c>
      <c r="BK341" s="2">
        <v>1000</v>
      </c>
      <c r="BL341" s="2">
        <v>1000</v>
      </c>
      <c r="BO341" s="2">
        <f t="shared" si="210"/>
        <v>-230687.5</v>
      </c>
      <c r="BP341" s="2">
        <f t="shared" si="218"/>
        <v>0</v>
      </c>
      <c r="BQ341" s="2">
        <f t="shared" si="219"/>
        <v>0</v>
      </c>
      <c r="BR341" s="2">
        <f t="shared" si="220"/>
        <v>0</v>
      </c>
      <c r="BS341" s="2">
        <f t="shared" si="221"/>
        <v>0</v>
      </c>
      <c r="BT341" s="2">
        <f t="shared" si="222"/>
        <v>0</v>
      </c>
      <c r="BU341" s="2">
        <f t="shared" si="223"/>
        <v>0</v>
      </c>
      <c r="BV341" s="2">
        <f t="shared" si="224"/>
        <v>0</v>
      </c>
      <c r="BW341" s="2">
        <f t="shared" si="225"/>
        <v>0</v>
      </c>
      <c r="BX341" s="2">
        <f t="shared" si="226"/>
        <v>0</v>
      </c>
      <c r="BY341" s="2">
        <f t="shared" si="227"/>
        <v>0</v>
      </c>
      <c r="BZ341" s="2">
        <f t="shared" si="228"/>
        <v>0</v>
      </c>
      <c r="CA341" s="2">
        <f t="shared" si="229"/>
        <v>0</v>
      </c>
      <c r="CB341" s="2">
        <f t="shared" si="230"/>
        <v>0</v>
      </c>
      <c r="CC341" s="2">
        <f t="shared" si="231"/>
        <v>0</v>
      </c>
      <c r="CD341" s="2">
        <f t="shared" si="232"/>
        <v>0</v>
      </c>
      <c r="CE341" s="2">
        <f t="shared" si="233"/>
        <v>0</v>
      </c>
      <c r="CF341" s="2">
        <f t="shared" si="234"/>
        <v>794.07999999999993</v>
      </c>
      <c r="CG341" s="2">
        <f t="shared" si="235"/>
        <v>8903.82</v>
      </c>
      <c r="CH341" s="2">
        <f t="shared" si="236"/>
        <v>134.78</v>
      </c>
      <c r="CI341" s="2">
        <f t="shared" si="237"/>
        <v>0</v>
      </c>
      <c r="CJ341" s="2">
        <f t="shared" si="238"/>
        <v>0</v>
      </c>
      <c r="CK341" s="2">
        <f t="shared" si="239"/>
        <v>0</v>
      </c>
      <c r="CL341" s="2">
        <f t="shared" si="240"/>
        <v>0</v>
      </c>
      <c r="CM341" s="2">
        <f t="shared" si="212"/>
        <v>0</v>
      </c>
      <c r="CN341" s="2">
        <f t="shared" si="213"/>
        <v>0</v>
      </c>
      <c r="CO341" s="2">
        <f t="shared" si="214"/>
        <v>0</v>
      </c>
      <c r="CP341" s="2">
        <f t="shared" si="215"/>
        <v>0</v>
      </c>
      <c r="CQ341" s="2">
        <f t="shared" si="216"/>
        <v>0</v>
      </c>
      <c r="CR341" s="2">
        <f t="shared" si="217"/>
        <v>0</v>
      </c>
      <c r="CV341" t="s">
        <v>64</v>
      </c>
      <c r="CW341" t="s">
        <v>414</v>
      </c>
      <c r="CX341" t="s">
        <v>18</v>
      </c>
      <c r="CY341" s="4">
        <v>42768</v>
      </c>
      <c r="CZ341" t="s">
        <v>65</v>
      </c>
      <c r="DA341" t="s">
        <v>66</v>
      </c>
      <c r="DB341">
        <v>22</v>
      </c>
      <c r="DC341">
        <v>60.42</v>
      </c>
      <c r="DD341" t="s">
        <v>69</v>
      </c>
      <c r="DE341" t="s">
        <v>70</v>
      </c>
      <c r="DF341">
        <v>1329.24</v>
      </c>
    </row>
    <row r="342" spans="1:110" x14ac:dyDescent="0.25">
      <c r="A342" s="1">
        <v>43230</v>
      </c>
      <c r="B342">
        <v>187.19</v>
      </c>
      <c r="C342">
        <v>100.61</v>
      </c>
      <c r="D342">
        <v>339.1</v>
      </c>
      <c r="E342">
        <v>151.09</v>
      </c>
      <c r="F342">
        <v>45.28</v>
      </c>
      <c r="G342">
        <v>124.02</v>
      </c>
      <c r="H342">
        <v>100.09</v>
      </c>
      <c r="I342">
        <v>65.760000000000005</v>
      </c>
      <c r="J342">
        <v>240.81</v>
      </c>
      <c r="K342">
        <v>184.07</v>
      </c>
      <c r="L342">
        <v>139.28</v>
      </c>
      <c r="M342">
        <v>53.96</v>
      </c>
      <c r="N342">
        <v>122.82</v>
      </c>
      <c r="O342">
        <v>111.97</v>
      </c>
      <c r="P342">
        <v>41.13</v>
      </c>
      <c r="Q342">
        <v>162.01</v>
      </c>
      <c r="R342">
        <v>199.53</v>
      </c>
      <c r="S342">
        <v>56.83</v>
      </c>
      <c r="T342">
        <v>96.7</v>
      </c>
      <c r="U342">
        <v>67.36</v>
      </c>
      <c r="V342">
        <v>34.18</v>
      </c>
      <c r="W342">
        <v>71.290000000000006</v>
      </c>
      <c r="X342">
        <v>128.55000000000001</v>
      </c>
      <c r="Y342">
        <v>231.36</v>
      </c>
      <c r="Z342">
        <v>121.33</v>
      </c>
      <c r="AA342">
        <v>130.13</v>
      </c>
      <c r="AB342">
        <v>45.67</v>
      </c>
      <c r="AC342">
        <v>62.3</v>
      </c>
      <c r="AD342">
        <v>81.77</v>
      </c>
      <c r="AE342">
        <v>78.400000000000006</v>
      </c>
      <c r="AI342" s="2">
        <v>2500</v>
      </c>
      <c r="AJ342" s="2">
        <f t="shared" si="243"/>
        <v>1240</v>
      </c>
      <c r="AK342" s="2">
        <f t="shared" si="243"/>
        <v>1240</v>
      </c>
      <c r="AL342" s="2">
        <f t="shared" si="243"/>
        <v>1240</v>
      </c>
      <c r="AM342" s="2">
        <f t="shared" si="243"/>
        <v>1240</v>
      </c>
      <c r="AN342" s="2">
        <f t="shared" si="243"/>
        <v>1240</v>
      </c>
      <c r="AO342" s="2">
        <f t="shared" si="243"/>
        <v>1240</v>
      </c>
      <c r="AP342" s="2">
        <f t="shared" si="243"/>
        <v>1120</v>
      </c>
      <c r="AQ342" s="2">
        <v>1000</v>
      </c>
      <c r="AR342" s="2">
        <v>0</v>
      </c>
      <c r="AS342" s="2">
        <v>10</v>
      </c>
      <c r="AT342" s="2">
        <v>0</v>
      </c>
      <c r="AU342" s="2">
        <v>0</v>
      </c>
      <c r="AV342" s="2">
        <v>0</v>
      </c>
      <c r="AW342" s="2">
        <v>0</v>
      </c>
      <c r="AX342" s="2">
        <v>0</v>
      </c>
      <c r="AY342" s="2">
        <v>0</v>
      </c>
      <c r="AZ342" s="2">
        <v>958</v>
      </c>
      <c r="BA342" s="2">
        <v>1034</v>
      </c>
      <c r="BB342" s="2">
        <v>1015</v>
      </c>
      <c r="BC342" s="2">
        <v>-1000</v>
      </c>
      <c r="BD342" s="2">
        <v>-7500</v>
      </c>
      <c r="BE342" s="2">
        <v>5000</v>
      </c>
      <c r="BF342" s="2">
        <v>3000</v>
      </c>
      <c r="BG342" s="2">
        <v>5000</v>
      </c>
      <c r="BH342" s="2">
        <v>5000</v>
      </c>
      <c r="BI342" s="2">
        <v>3000</v>
      </c>
      <c r="BJ342" s="2">
        <v>-2000</v>
      </c>
      <c r="BK342" s="2">
        <v>1000</v>
      </c>
      <c r="BL342" s="2">
        <v>1000</v>
      </c>
      <c r="BO342" s="2">
        <f t="shared" si="210"/>
        <v>-467975</v>
      </c>
      <c r="BP342" s="2">
        <f t="shared" si="218"/>
        <v>0</v>
      </c>
      <c r="BQ342" s="2">
        <f t="shared" si="219"/>
        <v>0</v>
      </c>
      <c r="BR342" s="2">
        <f t="shared" si="220"/>
        <v>0</v>
      </c>
      <c r="BS342" s="2">
        <f t="shared" si="221"/>
        <v>0</v>
      </c>
      <c r="BT342" s="2">
        <f t="shared" si="222"/>
        <v>0</v>
      </c>
      <c r="BU342" s="2">
        <f t="shared" si="223"/>
        <v>0</v>
      </c>
      <c r="BV342" s="2">
        <f t="shared" si="224"/>
        <v>0</v>
      </c>
      <c r="BW342" s="2">
        <f t="shared" si="225"/>
        <v>0</v>
      </c>
      <c r="BX342" s="2">
        <f t="shared" si="226"/>
        <v>0</v>
      </c>
      <c r="BY342" s="2">
        <f t="shared" si="227"/>
        <v>0</v>
      </c>
      <c r="BZ342" s="2">
        <f t="shared" si="228"/>
        <v>0</v>
      </c>
      <c r="CA342" s="2">
        <f t="shared" si="229"/>
        <v>0</v>
      </c>
      <c r="CB342" s="2">
        <f t="shared" si="230"/>
        <v>0</v>
      </c>
      <c r="CC342" s="2">
        <f t="shared" si="231"/>
        <v>0</v>
      </c>
      <c r="CD342" s="2">
        <f t="shared" si="232"/>
        <v>0</v>
      </c>
      <c r="CE342" s="2">
        <f t="shared" si="233"/>
        <v>0</v>
      </c>
      <c r="CF342" s="2">
        <f t="shared" si="234"/>
        <v>170.49</v>
      </c>
      <c r="CG342" s="2">
        <f t="shared" si="235"/>
        <v>-11990.800000000001</v>
      </c>
      <c r="CH342" s="2">
        <f t="shared" si="236"/>
        <v>673.6</v>
      </c>
      <c r="CI342" s="2">
        <f t="shared" si="237"/>
        <v>0</v>
      </c>
      <c r="CJ342" s="2">
        <f t="shared" si="238"/>
        <v>0</v>
      </c>
      <c r="CK342" s="2">
        <f t="shared" si="239"/>
        <v>0</v>
      </c>
      <c r="CL342" s="2">
        <f t="shared" si="240"/>
        <v>0</v>
      </c>
      <c r="CM342" s="2">
        <f t="shared" si="212"/>
        <v>0</v>
      </c>
      <c r="CN342" s="2">
        <f t="shared" si="213"/>
        <v>0</v>
      </c>
      <c r="CO342" s="2">
        <f t="shared" si="214"/>
        <v>0</v>
      </c>
      <c r="CP342" s="2">
        <f t="shared" si="215"/>
        <v>0</v>
      </c>
      <c r="CQ342" s="2">
        <f t="shared" si="216"/>
        <v>0</v>
      </c>
      <c r="CR342" s="2">
        <f t="shared" si="217"/>
        <v>0</v>
      </c>
      <c r="CV342" t="s">
        <v>64</v>
      </c>
      <c r="CW342" t="s">
        <v>415</v>
      </c>
      <c r="CX342" t="s">
        <v>18</v>
      </c>
      <c r="CY342" s="4">
        <v>42769</v>
      </c>
      <c r="CZ342" t="s">
        <v>67</v>
      </c>
      <c r="DA342" t="s">
        <v>68</v>
      </c>
      <c r="DB342">
        <v>1</v>
      </c>
      <c r="DC342">
        <v>60.52</v>
      </c>
      <c r="DD342" t="s">
        <v>69</v>
      </c>
      <c r="DE342" t="s">
        <v>70</v>
      </c>
      <c r="DF342">
        <v>60.52</v>
      </c>
    </row>
    <row r="343" spans="1:110" x14ac:dyDescent="0.25">
      <c r="A343" s="1">
        <v>43231</v>
      </c>
      <c r="B343">
        <v>186.48</v>
      </c>
      <c r="C343">
        <v>100.65</v>
      </c>
      <c r="D343">
        <v>337.51</v>
      </c>
      <c r="E343">
        <v>151.96</v>
      </c>
      <c r="F343">
        <v>44.92</v>
      </c>
      <c r="G343">
        <v>125</v>
      </c>
      <c r="H343">
        <v>100.48</v>
      </c>
      <c r="I343">
        <v>65.739999999999995</v>
      </c>
      <c r="J343">
        <v>240.29</v>
      </c>
      <c r="K343">
        <v>187.17</v>
      </c>
      <c r="L343">
        <v>139.18</v>
      </c>
      <c r="M343">
        <v>53.66</v>
      </c>
      <c r="N343">
        <v>124.67</v>
      </c>
      <c r="O343">
        <v>111.55</v>
      </c>
      <c r="P343">
        <v>41.09</v>
      </c>
      <c r="Q343">
        <v>162.33000000000001</v>
      </c>
      <c r="R343">
        <v>199.66</v>
      </c>
      <c r="S343">
        <v>58.42</v>
      </c>
      <c r="T343">
        <v>96.49</v>
      </c>
      <c r="U343">
        <v>67.87</v>
      </c>
      <c r="V343">
        <v>34.630000000000003</v>
      </c>
      <c r="W343">
        <v>71.510000000000005</v>
      </c>
      <c r="X343">
        <v>128.91</v>
      </c>
      <c r="Y343">
        <v>235.89</v>
      </c>
      <c r="Z343">
        <v>121.7</v>
      </c>
      <c r="AA343">
        <v>130.94999999999999</v>
      </c>
      <c r="AB343">
        <v>47.05</v>
      </c>
      <c r="AC343">
        <v>62.58</v>
      </c>
      <c r="AD343">
        <v>82.45</v>
      </c>
      <c r="AE343">
        <v>78.77</v>
      </c>
      <c r="AI343" s="2">
        <v>5000</v>
      </c>
      <c r="AJ343" s="2">
        <f t="shared" si="243"/>
        <v>1240</v>
      </c>
      <c r="AK343" s="2">
        <f t="shared" si="243"/>
        <v>1240</v>
      </c>
      <c r="AL343" s="2">
        <f t="shared" si="243"/>
        <v>1240</v>
      </c>
      <c r="AM343" s="2">
        <f t="shared" si="243"/>
        <v>1240</v>
      </c>
      <c r="AN343" s="2">
        <f t="shared" si="243"/>
        <v>1240</v>
      </c>
      <c r="AO343" s="2">
        <f t="shared" si="243"/>
        <v>1240</v>
      </c>
      <c r="AP343" s="2">
        <f t="shared" si="243"/>
        <v>1120</v>
      </c>
      <c r="AQ343" s="2">
        <v>1000</v>
      </c>
      <c r="AR343" s="2">
        <v>0</v>
      </c>
      <c r="AS343" s="2">
        <v>10</v>
      </c>
      <c r="AT343" s="2">
        <v>0</v>
      </c>
      <c r="AU343" s="2">
        <v>0</v>
      </c>
      <c r="AV343" s="2">
        <v>0</v>
      </c>
      <c r="AW343" s="2">
        <v>0</v>
      </c>
      <c r="AX343" s="2">
        <v>0</v>
      </c>
      <c r="AY343" s="2">
        <v>0</v>
      </c>
      <c r="AZ343" s="2">
        <v>1030</v>
      </c>
      <c r="BA343" s="2">
        <v>978</v>
      </c>
      <c r="BB343" s="2">
        <v>1045</v>
      </c>
      <c r="BC343" s="2">
        <v>-1000</v>
      </c>
      <c r="BD343" s="2">
        <v>-7500</v>
      </c>
      <c r="BE343" s="2">
        <v>5000</v>
      </c>
      <c r="BF343" s="2">
        <v>3000</v>
      </c>
      <c r="BG343" s="2">
        <v>5000</v>
      </c>
      <c r="BH343" s="2">
        <v>5000</v>
      </c>
      <c r="BI343" s="2">
        <v>3000</v>
      </c>
      <c r="BJ343" s="2">
        <v>-2000</v>
      </c>
      <c r="BK343" s="2">
        <v>1000</v>
      </c>
      <c r="BL343" s="2">
        <v>1000</v>
      </c>
      <c r="BO343" s="2">
        <f t="shared" si="210"/>
        <v>-466200</v>
      </c>
      <c r="BP343" s="2">
        <f t="shared" si="218"/>
        <v>0</v>
      </c>
      <c r="BQ343" s="2">
        <f t="shared" si="219"/>
        <v>0</v>
      </c>
      <c r="BR343" s="2">
        <f t="shared" si="220"/>
        <v>0</v>
      </c>
      <c r="BS343" s="2">
        <f t="shared" si="221"/>
        <v>0</v>
      </c>
      <c r="BT343" s="2">
        <f t="shared" si="222"/>
        <v>0</v>
      </c>
      <c r="BU343" s="2">
        <f t="shared" si="223"/>
        <v>0</v>
      </c>
      <c r="BV343" s="2">
        <f t="shared" si="224"/>
        <v>0</v>
      </c>
      <c r="BW343" s="2">
        <f t="shared" si="225"/>
        <v>0</v>
      </c>
      <c r="BX343" s="2">
        <f t="shared" si="226"/>
        <v>0</v>
      </c>
      <c r="BY343" s="2">
        <f t="shared" si="227"/>
        <v>0</v>
      </c>
      <c r="BZ343" s="2">
        <f t="shared" si="228"/>
        <v>0</v>
      </c>
      <c r="CA343" s="2">
        <f t="shared" si="229"/>
        <v>0</v>
      </c>
      <c r="CB343" s="2">
        <f t="shared" si="230"/>
        <v>0</v>
      </c>
      <c r="CC343" s="2">
        <f t="shared" si="231"/>
        <v>0</v>
      </c>
      <c r="CD343" s="2">
        <f t="shared" si="232"/>
        <v>0</v>
      </c>
      <c r="CE343" s="2">
        <f t="shared" si="233"/>
        <v>0</v>
      </c>
      <c r="CF343" s="2">
        <f t="shared" si="234"/>
        <v>-4206.24</v>
      </c>
      <c r="CG343" s="2">
        <f t="shared" si="235"/>
        <v>5403.44</v>
      </c>
      <c r="CH343" s="2">
        <f t="shared" si="236"/>
        <v>-2036.1000000000001</v>
      </c>
      <c r="CI343" s="2">
        <f t="shared" si="237"/>
        <v>0</v>
      </c>
      <c r="CJ343" s="2">
        <f t="shared" si="238"/>
        <v>0</v>
      </c>
      <c r="CK343" s="2">
        <f t="shared" si="239"/>
        <v>0</v>
      </c>
      <c r="CL343" s="2">
        <f t="shared" si="240"/>
        <v>0</v>
      </c>
      <c r="CM343" s="2">
        <f t="shared" si="212"/>
        <v>0</v>
      </c>
      <c r="CN343" s="2">
        <f t="shared" si="213"/>
        <v>0</v>
      </c>
      <c r="CO343" s="2">
        <f t="shared" si="214"/>
        <v>0</v>
      </c>
      <c r="CP343" s="2">
        <f t="shared" si="215"/>
        <v>0</v>
      </c>
      <c r="CQ343" s="2">
        <f t="shared" si="216"/>
        <v>0</v>
      </c>
      <c r="CR343" s="2">
        <f t="shared" si="217"/>
        <v>0</v>
      </c>
      <c r="CV343" t="s">
        <v>64</v>
      </c>
      <c r="CW343" t="s">
        <v>416</v>
      </c>
      <c r="CX343" t="s">
        <v>18</v>
      </c>
      <c r="CY343" s="4">
        <v>42772</v>
      </c>
      <c r="CZ343" t="s">
        <v>65</v>
      </c>
      <c r="DA343" t="s">
        <v>66</v>
      </c>
      <c r="DB343">
        <v>3</v>
      </c>
      <c r="DC343">
        <v>61.13</v>
      </c>
      <c r="DD343" t="s">
        <v>69</v>
      </c>
      <c r="DE343" t="s">
        <v>70</v>
      </c>
      <c r="DF343">
        <v>183.39000000000001</v>
      </c>
    </row>
    <row r="344" spans="1:110" x14ac:dyDescent="0.25">
      <c r="A344" s="1">
        <v>43234</v>
      </c>
      <c r="B344">
        <v>186.04</v>
      </c>
      <c r="C344">
        <v>100.52</v>
      </c>
      <c r="D344">
        <v>339.61</v>
      </c>
      <c r="E344">
        <v>152.38</v>
      </c>
      <c r="F344">
        <v>44.7</v>
      </c>
      <c r="G344">
        <v>125.53</v>
      </c>
      <c r="H344">
        <v>100.84</v>
      </c>
      <c r="I344">
        <v>66.33</v>
      </c>
      <c r="J344">
        <v>241.27</v>
      </c>
      <c r="K344">
        <v>187.92</v>
      </c>
      <c r="L344">
        <v>139.34</v>
      </c>
      <c r="M344">
        <v>53.89</v>
      </c>
      <c r="N344">
        <v>123.52</v>
      </c>
      <c r="O344">
        <v>111.59</v>
      </c>
      <c r="P344">
        <v>40.99</v>
      </c>
      <c r="Q344">
        <v>161.66999999999999</v>
      </c>
      <c r="R344">
        <v>200.24</v>
      </c>
      <c r="S344">
        <v>58.41</v>
      </c>
      <c r="T344">
        <v>96.81</v>
      </c>
      <c r="U344">
        <v>68.28</v>
      </c>
      <c r="V344">
        <v>34.979999999999997</v>
      </c>
      <c r="W344">
        <v>71.42</v>
      </c>
      <c r="X344">
        <v>127.68</v>
      </c>
      <c r="Y344">
        <v>240.46</v>
      </c>
      <c r="Z344">
        <v>122.19</v>
      </c>
      <c r="AA344">
        <v>130.34</v>
      </c>
      <c r="AB344">
        <v>46.92</v>
      </c>
      <c r="AC344">
        <v>63.56</v>
      </c>
      <c r="AD344">
        <v>83.45</v>
      </c>
      <c r="AE344">
        <v>79.3</v>
      </c>
      <c r="AI344" s="2">
        <v>5000</v>
      </c>
      <c r="AJ344" s="2">
        <f t="shared" si="243"/>
        <v>1240</v>
      </c>
      <c r="AK344" s="2">
        <f t="shared" si="243"/>
        <v>1240</v>
      </c>
      <c r="AL344" s="2">
        <f t="shared" si="243"/>
        <v>1240</v>
      </c>
      <c r="AM344" s="2">
        <f t="shared" si="243"/>
        <v>1240</v>
      </c>
      <c r="AN344" s="2">
        <f t="shared" si="243"/>
        <v>1240</v>
      </c>
      <c r="AO344" s="2">
        <f t="shared" si="243"/>
        <v>1240</v>
      </c>
      <c r="AP344" s="2">
        <f t="shared" si="243"/>
        <v>1120</v>
      </c>
      <c r="AQ344" s="2">
        <v>1000</v>
      </c>
      <c r="AR344" s="2">
        <v>0</v>
      </c>
      <c r="AS344" s="2">
        <v>10</v>
      </c>
      <c r="AT344" s="2">
        <v>0</v>
      </c>
      <c r="AU344" s="2">
        <v>0</v>
      </c>
      <c r="AV344" s="2">
        <v>0</v>
      </c>
      <c r="AW344" s="2">
        <v>0</v>
      </c>
      <c r="AX344" s="2">
        <v>0</v>
      </c>
      <c r="AY344" s="2">
        <v>0</v>
      </c>
      <c r="AZ344" s="2">
        <v>992</v>
      </c>
      <c r="BA344" s="2">
        <v>1053</v>
      </c>
      <c r="BB344" s="2">
        <v>964</v>
      </c>
      <c r="BC344" s="2">
        <v>-1000</v>
      </c>
      <c r="BD344" s="2">
        <v>-7500</v>
      </c>
      <c r="BE344" s="2">
        <v>5000</v>
      </c>
      <c r="BF344" s="2">
        <v>3000</v>
      </c>
      <c r="BG344" s="2">
        <v>5000</v>
      </c>
      <c r="BH344" s="2">
        <v>5000</v>
      </c>
      <c r="BI344" s="2">
        <v>3000</v>
      </c>
      <c r="BJ344" s="2">
        <v>-2000</v>
      </c>
      <c r="BK344" s="2">
        <v>1000</v>
      </c>
      <c r="BL344" s="2">
        <v>1000</v>
      </c>
      <c r="BO344" s="2">
        <f t="shared" si="210"/>
        <v>0</v>
      </c>
      <c r="BP344" s="2">
        <f t="shared" si="218"/>
        <v>0</v>
      </c>
      <c r="BQ344" s="2">
        <f t="shared" si="219"/>
        <v>0</v>
      </c>
      <c r="BR344" s="2">
        <f t="shared" si="220"/>
        <v>0</v>
      </c>
      <c r="BS344" s="2">
        <f t="shared" si="221"/>
        <v>0</v>
      </c>
      <c r="BT344" s="2">
        <f t="shared" si="222"/>
        <v>0</v>
      </c>
      <c r="BU344" s="2">
        <f t="shared" si="223"/>
        <v>0</v>
      </c>
      <c r="BV344" s="2">
        <f t="shared" si="224"/>
        <v>0</v>
      </c>
      <c r="BW344" s="2">
        <f t="shared" si="225"/>
        <v>0</v>
      </c>
      <c r="BX344" s="2">
        <f t="shared" si="226"/>
        <v>0</v>
      </c>
      <c r="BY344" s="2">
        <f t="shared" si="227"/>
        <v>0</v>
      </c>
      <c r="BZ344" s="2">
        <f t="shared" si="228"/>
        <v>0</v>
      </c>
      <c r="CA344" s="2">
        <f t="shared" si="229"/>
        <v>0</v>
      </c>
      <c r="CB344" s="2">
        <f t="shared" si="230"/>
        <v>0</v>
      </c>
      <c r="CC344" s="2">
        <f t="shared" si="231"/>
        <v>0</v>
      </c>
      <c r="CD344" s="2">
        <f t="shared" si="232"/>
        <v>0</v>
      </c>
      <c r="CE344" s="2">
        <f t="shared" si="233"/>
        <v>0</v>
      </c>
      <c r="CF344" s="2">
        <f t="shared" si="234"/>
        <v>2219.58</v>
      </c>
      <c r="CG344" s="2">
        <f t="shared" si="235"/>
        <v>-7260.75</v>
      </c>
      <c r="CH344" s="2">
        <f t="shared" si="236"/>
        <v>5530.68</v>
      </c>
      <c r="CI344" s="2">
        <f t="shared" si="237"/>
        <v>0</v>
      </c>
      <c r="CJ344" s="2">
        <f t="shared" si="238"/>
        <v>0</v>
      </c>
      <c r="CK344" s="2">
        <f t="shared" si="239"/>
        <v>0</v>
      </c>
      <c r="CL344" s="2">
        <f t="shared" si="240"/>
        <v>0</v>
      </c>
      <c r="CM344" s="2">
        <f t="shared" si="212"/>
        <v>0</v>
      </c>
      <c r="CN344" s="2">
        <f t="shared" si="213"/>
        <v>0</v>
      </c>
      <c r="CO344" s="2">
        <f t="shared" si="214"/>
        <v>0</v>
      </c>
      <c r="CP344" s="2">
        <f t="shared" si="215"/>
        <v>0</v>
      </c>
      <c r="CQ344" s="2">
        <f t="shared" si="216"/>
        <v>0</v>
      </c>
      <c r="CR344" s="2">
        <f t="shared" si="217"/>
        <v>0</v>
      </c>
      <c r="CV344" t="s">
        <v>64</v>
      </c>
      <c r="CW344" t="s">
        <v>417</v>
      </c>
      <c r="CX344" t="s">
        <v>18</v>
      </c>
      <c r="CY344" s="4">
        <v>42773</v>
      </c>
      <c r="CZ344" t="s">
        <v>67</v>
      </c>
      <c r="DA344" t="s">
        <v>68</v>
      </c>
      <c r="DB344">
        <v>46</v>
      </c>
      <c r="DC344">
        <v>60.44</v>
      </c>
      <c r="DD344" t="s">
        <v>69</v>
      </c>
      <c r="DE344" t="s">
        <v>70</v>
      </c>
      <c r="DF344">
        <v>2780.24</v>
      </c>
    </row>
    <row r="345" spans="1:110" x14ac:dyDescent="0.25">
      <c r="A345" s="1">
        <v>43235</v>
      </c>
      <c r="B345">
        <v>184.35</v>
      </c>
      <c r="C345">
        <v>99.97</v>
      </c>
      <c r="D345">
        <v>337.18</v>
      </c>
      <c r="E345">
        <v>149.74</v>
      </c>
      <c r="F345">
        <v>44.48</v>
      </c>
      <c r="G345">
        <v>124.91</v>
      </c>
      <c r="H345">
        <v>101.31</v>
      </c>
      <c r="I345">
        <v>65.95</v>
      </c>
      <c r="J345">
        <v>238.95</v>
      </c>
      <c r="K345">
        <v>184.87</v>
      </c>
      <c r="L345">
        <v>138.80000000000001</v>
      </c>
      <c r="M345">
        <v>52.92</v>
      </c>
      <c r="N345">
        <v>122.61</v>
      </c>
      <c r="O345">
        <v>110.74</v>
      </c>
      <c r="P345">
        <v>40.68</v>
      </c>
      <c r="Q345">
        <v>160.04</v>
      </c>
      <c r="R345">
        <v>196.98</v>
      </c>
      <c r="S345">
        <v>57.94</v>
      </c>
      <c r="T345">
        <v>96.11</v>
      </c>
      <c r="U345">
        <v>68.930000000000007</v>
      </c>
      <c r="V345">
        <v>34.81</v>
      </c>
      <c r="W345">
        <v>71.099999999999994</v>
      </c>
      <c r="X345">
        <v>127.55</v>
      </c>
      <c r="Y345">
        <v>237.1</v>
      </c>
      <c r="Z345">
        <v>121.77</v>
      </c>
      <c r="AA345">
        <v>130.22999999999999</v>
      </c>
      <c r="AB345">
        <v>46.24</v>
      </c>
      <c r="AC345">
        <v>63.08</v>
      </c>
      <c r="AD345">
        <v>83.58</v>
      </c>
      <c r="AE345">
        <v>79.260000000000005</v>
      </c>
      <c r="AI345" s="2">
        <v>5000</v>
      </c>
      <c r="AJ345" s="2">
        <f t="shared" si="243"/>
        <v>1240</v>
      </c>
      <c r="AK345" s="2">
        <f t="shared" si="243"/>
        <v>1240</v>
      </c>
      <c r="AL345" s="2">
        <f t="shared" si="243"/>
        <v>1240</v>
      </c>
      <c r="AM345" s="2">
        <f t="shared" si="243"/>
        <v>1240</v>
      </c>
      <c r="AN345" s="2">
        <f t="shared" si="243"/>
        <v>1240</v>
      </c>
      <c r="AO345" s="2">
        <f t="shared" si="243"/>
        <v>1240</v>
      </c>
      <c r="AP345" s="2">
        <f t="shared" si="243"/>
        <v>1120</v>
      </c>
      <c r="AQ345" s="2">
        <v>1000</v>
      </c>
      <c r="AR345" s="2">
        <v>0</v>
      </c>
      <c r="AS345" s="2">
        <v>10</v>
      </c>
      <c r="AT345" s="2">
        <v>0</v>
      </c>
      <c r="AU345" s="2">
        <v>0</v>
      </c>
      <c r="AV345" s="2">
        <v>0</v>
      </c>
      <c r="AW345" s="2">
        <v>0</v>
      </c>
      <c r="AX345" s="2">
        <v>0</v>
      </c>
      <c r="AY345" s="2">
        <v>0</v>
      </c>
      <c r="AZ345" s="2">
        <v>1013</v>
      </c>
      <c r="BA345" s="2">
        <v>995</v>
      </c>
      <c r="BB345" s="2">
        <v>1035</v>
      </c>
      <c r="BC345" s="2">
        <v>-1000</v>
      </c>
      <c r="BD345" s="2">
        <v>-7500</v>
      </c>
      <c r="BE345" s="2">
        <v>5000</v>
      </c>
      <c r="BF345" s="2">
        <v>3000</v>
      </c>
      <c r="BG345" s="2">
        <v>5000</v>
      </c>
      <c r="BH345" s="2">
        <v>5000</v>
      </c>
      <c r="BI345" s="2">
        <v>3000</v>
      </c>
      <c r="BJ345" s="2">
        <v>-2000</v>
      </c>
      <c r="BK345" s="2">
        <v>1000</v>
      </c>
      <c r="BL345" s="2">
        <v>1000</v>
      </c>
      <c r="BO345" s="2">
        <f t="shared" si="210"/>
        <v>0</v>
      </c>
      <c r="BP345" s="2">
        <f t="shared" si="218"/>
        <v>0</v>
      </c>
      <c r="BQ345" s="2">
        <f t="shared" si="219"/>
        <v>0</v>
      </c>
      <c r="BR345" s="2">
        <f t="shared" si="220"/>
        <v>0</v>
      </c>
      <c r="BS345" s="2">
        <f t="shared" si="221"/>
        <v>0</v>
      </c>
      <c r="BT345" s="2">
        <f t="shared" si="222"/>
        <v>0</v>
      </c>
      <c r="BU345" s="2">
        <f t="shared" si="223"/>
        <v>0</v>
      </c>
      <c r="BV345" s="2">
        <f t="shared" si="224"/>
        <v>0</v>
      </c>
      <c r="BW345" s="2">
        <f t="shared" si="225"/>
        <v>0</v>
      </c>
      <c r="BX345" s="2">
        <f t="shared" si="226"/>
        <v>0</v>
      </c>
      <c r="BY345" s="2">
        <f t="shared" si="227"/>
        <v>0</v>
      </c>
      <c r="BZ345" s="2">
        <f t="shared" si="228"/>
        <v>0</v>
      </c>
      <c r="CA345" s="2">
        <f t="shared" si="229"/>
        <v>0</v>
      </c>
      <c r="CB345" s="2">
        <f t="shared" si="230"/>
        <v>0</v>
      </c>
      <c r="CC345" s="2">
        <f t="shared" si="231"/>
        <v>0</v>
      </c>
      <c r="CD345" s="2">
        <f t="shared" si="232"/>
        <v>0</v>
      </c>
      <c r="CE345" s="2">
        <f t="shared" si="233"/>
        <v>0</v>
      </c>
      <c r="CF345" s="2">
        <f t="shared" si="234"/>
        <v>-1216.74</v>
      </c>
      <c r="CG345" s="2">
        <f t="shared" si="235"/>
        <v>5574.38</v>
      </c>
      <c r="CH345" s="2">
        <f t="shared" si="236"/>
        <v>-4894.0300000000007</v>
      </c>
      <c r="CI345" s="2">
        <f t="shared" si="237"/>
        <v>0</v>
      </c>
      <c r="CJ345" s="2">
        <f t="shared" si="238"/>
        <v>0</v>
      </c>
      <c r="CK345" s="2">
        <f t="shared" si="239"/>
        <v>0</v>
      </c>
      <c r="CL345" s="2">
        <f t="shared" si="240"/>
        <v>0</v>
      </c>
      <c r="CM345" s="2">
        <f t="shared" si="212"/>
        <v>0</v>
      </c>
      <c r="CN345" s="2">
        <f t="shared" si="213"/>
        <v>0</v>
      </c>
      <c r="CO345" s="2">
        <f t="shared" si="214"/>
        <v>0</v>
      </c>
      <c r="CP345" s="2">
        <f t="shared" si="215"/>
        <v>0</v>
      </c>
      <c r="CQ345" s="2">
        <f t="shared" si="216"/>
        <v>0</v>
      </c>
      <c r="CR345" s="2">
        <f t="shared" si="217"/>
        <v>0</v>
      </c>
      <c r="CV345" t="s">
        <v>64</v>
      </c>
      <c r="CW345" t="s">
        <v>418</v>
      </c>
      <c r="CX345" t="s">
        <v>18</v>
      </c>
      <c r="CY345" s="4">
        <v>42775</v>
      </c>
      <c r="CZ345" t="s">
        <v>65</v>
      </c>
      <c r="DA345" t="s">
        <v>66</v>
      </c>
      <c r="DB345">
        <v>1</v>
      </c>
      <c r="DC345">
        <v>60.62</v>
      </c>
      <c r="DD345" t="s">
        <v>69</v>
      </c>
      <c r="DE345" t="s">
        <v>70</v>
      </c>
      <c r="DF345">
        <v>60.62</v>
      </c>
    </row>
    <row r="346" spans="1:110" x14ac:dyDescent="0.25">
      <c r="A346" s="1">
        <v>43236</v>
      </c>
      <c r="B346">
        <v>186.07</v>
      </c>
      <c r="C346">
        <v>99.82</v>
      </c>
      <c r="D346">
        <v>336.05</v>
      </c>
      <c r="E346">
        <v>150.91999999999999</v>
      </c>
      <c r="F346">
        <v>44.17</v>
      </c>
      <c r="G346">
        <v>124.74</v>
      </c>
      <c r="H346">
        <v>103.4</v>
      </c>
      <c r="I346">
        <v>66.819999999999993</v>
      </c>
      <c r="J346">
        <v>238.35</v>
      </c>
      <c r="K346">
        <v>183.3</v>
      </c>
      <c r="L346">
        <v>139.66</v>
      </c>
      <c r="M346">
        <v>53.63</v>
      </c>
      <c r="N346">
        <v>122.82</v>
      </c>
      <c r="O346">
        <v>111.04</v>
      </c>
      <c r="P346">
        <v>40.520000000000003</v>
      </c>
      <c r="Q346">
        <v>159.85</v>
      </c>
      <c r="R346">
        <v>194.84</v>
      </c>
      <c r="S346">
        <v>58.48</v>
      </c>
      <c r="T346">
        <v>96.36</v>
      </c>
      <c r="U346">
        <v>70.760000000000005</v>
      </c>
      <c r="V346">
        <v>34.799999999999997</v>
      </c>
      <c r="W346">
        <v>71.66</v>
      </c>
      <c r="X346">
        <v>127.83</v>
      </c>
      <c r="Y346">
        <v>239.29</v>
      </c>
      <c r="Z346">
        <v>121.99</v>
      </c>
      <c r="AA346">
        <v>130.02000000000001</v>
      </c>
      <c r="AB346">
        <v>46.31</v>
      </c>
      <c r="AC346">
        <v>64.19</v>
      </c>
      <c r="AD346">
        <v>85.17</v>
      </c>
      <c r="AE346">
        <v>79.489999999999995</v>
      </c>
      <c r="AI346" s="2">
        <v>5000</v>
      </c>
      <c r="AJ346" s="2">
        <f t="shared" si="243"/>
        <v>1240</v>
      </c>
      <c r="AK346" s="2">
        <f t="shared" si="243"/>
        <v>1240</v>
      </c>
      <c r="AL346" s="2">
        <f t="shared" si="243"/>
        <v>1240</v>
      </c>
      <c r="AM346" s="2">
        <f t="shared" si="243"/>
        <v>1240</v>
      </c>
      <c r="AN346" s="2">
        <f t="shared" si="243"/>
        <v>1240</v>
      </c>
      <c r="AO346" s="2">
        <f t="shared" si="243"/>
        <v>1240</v>
      </c>
      <c r="AP346" s="2">
        <f t="shared" si="243"/>
        <v>1120</v>
      </c>
      <c r="AQ346" s="2">
        <v>1000</v>
      </c>
      <c r="AR346" s="2">
        <v>0</v>
      </c>
      <c r="AS346" s="2">
        <v>10</v>
      </c>
      <c r="AT346" s="2">
        <v>0</v>
      </c>
      <c r="AU346" s="2">
        <v>0</v>
      </c>
      <c r="AV346" s="2">
        <v>0</v>
      </c>
      <c r="AW346" s="2">
        <v>0</v>
      </c>
      <c r="AX346" s="2">
        <v>0</v>
      </c>
      <c r="AY346" s="2">
        <v>0</v>
      </c>
      <c r="AZ346" s="2">
        <v>1010</v>
      </c>
      <c r="BA346" s="2">
        <v>903</v>
      </c>
      <c r="BB346" s="2">
        <v>1049</v>
      </c>
      <c r="BC346" s="2">
        <v>-1000</v>
      </c>
      <c r="BD346" s="2">
        <v>-7500</v>
      </c>
      <c r="BE346" s="2">
        <v>5000</v>
      </c>
      <c r="BF346" s="2">
        <v>3000</v>
      </c>
      <c r="BG346" s="2">
        <v>5000</v>
      </c>
      <c r="BH346" s="2">
        <v>2500</v>
      </c>
      <c r="BI346" s="2">
        <v>3000</v>
      </c>
      <c r="BJ346" s="2">
        <v>-2000</v>
      </c>
      <c r="BK346" s="2">
        <v>1000</v>
      </c>
      <c r="BL346" s="2">
        <v>1000</v>
      </c>
      <c r="BO346" s="2">
        <f t="shared" si="210"/>
        <v>0</v>
      </c>
      <c r="BP346" s="2">
        <f t="shared" si="218"/>
        <v>0</v>
      </c>
      <c r="BQ346" s="2">
        <f t="shared" si="219"/>
        <v>0</v>
      </c>
      <c r="BR346" s="2">
        <f t="shared" si="220"/>
        <v>0</v>
      </c>
      <c r="BS346" s="2">
        <f t="shared" si="221"/>
        <v>0</v>
      </c>
      <c r="BT346" s="2">
        <f t="shared" si="222"/>
        <v>0</v>
      </c>
      <c r="BU346" s="2">
        <f t="shared" si="223"/>
        <v>0</v>
      </c>
      <c r="BV346" s="2">
        <f t="shared" si="224"/>
        <v>0</v>
      </c>
      <c r="BW346" s="2">
        <f t="shared" si="225"/>
        <v>0</v>
      </c>
      <c r="BX346" s="2">
        <f t="shared" si="226"/>
        <v>0</v>
      </c>
      <c r="BY346" s="2">
        <f t="shared" si="227"/>
        <v>0</v>
      </c>
      <c r="BZ346" s="2">
        <f t="shared" si="228"/>
        <v>0</v>
      </c>
      <c r="CA346" s="2">
        <f t="shared" si="229"/>
        <v>0</v>
      </c>
      <c r="CB346" s="2">
        <f t="shared" si="230"/>
        <v>0</v>
      </c>
      <c r="CC346" s="2">
        <f t="shared" si="231"/>
        <v>0</v>
      </c>
      <c r="CD346" s="2">
        <f t="shared" si="232"/>
        <v>0</v>
      </c>
      <c r="CE346" s="2">
        <f t="shared" si="233"/>
        <v>0</v>
      </c>
      <c r="CF346" s="2">
        <f t="shared" si="234"/>
        <v>175.44</v>
      </c>
      <c r="CG346" s="2">
        <f t="shared" si="235"/>
        <v>8865.1200000000008</v>
      </c>
      <c r="CH346" s="2">
        <f t="shared" si="236"/>
        <v>-990.6400000000001</v>
      </c>
      <c r="CI346" s="2">
        <f t="shared" si="237"/>
        <v>0</v>
      </c>
      <c r="CJ346" s="2">
        <f t="shared" si="238"/>
        <v>0</v>
      </c>
      <c r="CK346" s="2">
        <f t="shared" si="239"/>
        <v>0</v>
      </c>
      <c r="CL346" s="2">
        <f t="shared" si="240"/>
        <v>0</v>
      </c>
      <c r="CM346" s="2">
        <f t="shared" si="212"/>
        <v>0</v>
      </c>
      <c r="CN346" s="2">
        <f t="shared" si="213"/>
        <v>325050</v>
      </c>
      <c r="CO346" s="2">
        <f t="shared" si="214"/>
        <v>0</v>
      </c>
      <c r="CP346" s="2">
        <f t="shared" si="215"/>
        <v>0</v>
      </c>
      <c r="CQ346" s="2">
        <f t="shared" si="216"/>
        <v>0</v>
      </c>
      <c r="CR346" s="2">
        <f t="shared" si="217"/>
        <v>0</v>
      </c>
      <c r="CV346" t="s">
        <v>64</v>
      </c>
      <c r="CW346" t="s">
        <v>419</v>
      </c>
      <c r="CX346" t="s">
        <v>18</v>
      </c>
      <c r="CY346" s="4">
        <v>42776</v>
      </c>
      <c r="CZ346" t="s">
        <v>65</v>
      </c>
      <c r="DA346" t="s">
        <v>66</v>
      </c>
      <c r="DB346">
        <v>41</v>
      </c>
      <c r="DC346">
        <v>60.39</v>
      </c>
      <c r="DD346" t="s">
        <v>69</v>
      </c>
      <c r="DE346" t="s">
        <v>70</v>
      </c>
      <c r="DF346">
        <v>2475.9900000000002</v>
      </c>
    </row>
    <row r="347" spans="1:110" x14ac:dyDescent="0.25">
      <c r="A347" s="1">
        <v>43237</v>
      </c>
      <c r="B347">
        <v>184.9</v>
      </c>
      <c r="C347">
        <v>100.45</v>
      </c>
      <c r="D347">
        <v>339.17</v>
      </c>
      <c r="E347">
        <v>150.82</v>
      </c>
      <c r="F347">
        <v>42.51</v>
      </c>
      <c r="G347">
        <v>125.73</v>
      </c>
      <c r="H347">
        <v>102.71</v>
      </c>
      <c r="I347">
        <v>66.95</v>
      </c>
      <c r="J347">
        <v>236.51</v>
      </c>
      <c r="K347">
        <v>182.27</v>
      </c>
      <c r="L347">
        <v>139.53</v>
      </c>
      <c r="M347">
        <v>53.8</v>
      </c>
      <c r="N347">
        <v>121.35</v>
      </c>
      <c r="O347">
        <v>110.67</v>
      </c>
      <c r="P347">
        <v>41.25</v>
      </c>
      <c r="Q347">
        <v>158.32</v>
      </c>
      <c r="R347">
        <v>196.32</v>
      </c>
      <c r="S347">
        <v>57.81</v>
      </c>
      <c r="T347">
        <v>95.4</v>
      </c>
      <c r="U347">
        <v>70.36</v>
      </c>
      <c r="V347">
        <v>34.83</v>
      </c>
      <c r="W347">
        <v>72.08</v>
      </c>
      <c r="X347">
        <v>128.38999999999999</v>
      </c>
      <c r="Y347">
        <v>240.52</v>
      </c>
      <c r="Z347">
        <v>122.51</v>
      </c>
      <c r="AA347">
        <v>129.28</v>
      </c>
      <c r="AB347">
        <v>46.3</v>
      </c>
      <c r="AC347">
        <v>64.819999999999993</v>
      </c>
      <c r="AD347">
        <v>83.55</v>
      </c>
      <c r="AE347">
        <v>79.349999999999994</v>
      </c>
      <c r="AI347" s="2">
        <v>5000</v>
      </c>
      <c r="AJ347" s="2">
        <f t="shared" si="243"/>
        <v>1240</v>
      </c>
      <c r="AK347" s="2">
        <f t="shared" si="243"/>
        <v>1240</v>
      </c>
      <c r="AL347" s="2">
        <f t="shared" si="243"/>
        <v>1240</v>
      </c>
      <c r="AM347" s="2">
        <f t="shared" si="243"/>
        <v>1240</v>
      </c>
      <c r="AN347" s="2">
        <f t="shared" si="243"/>
        <v>1240</v>
      </c>
      <c r="AO347" s="2">
        <f t="shared" si="243"/>
        <v>1240</v>
      </c>
      <c r="AP347" s="2">
        <f t="shared" si="243"/>
        <v>1120</v>
      </c>
      <c r="AQ347" s="2">
        <v>1000</v>
      </c>
      <c r="AR347" s="2">
        <v>0</v>
      </c>
      <c r="AS347" s="2">
        <v>10</v>
      </c>
      <c r="AT347" s="2">
        <v>0</v>
      </c>
      <c r="AU347" s="2">
        <v>0</v>
      </c>
      <c r="AV347" s="2">
        <v>0</v>
      </c>
      <c r="AW347" s="2">
        <v>0</v>
      </c>
      <c r="AX347" s="2">
        <v>0</v>
      </c>
      <c r="AY347" s="2">
        <v>0</v>
      </c>
      <c r="AZ347" s="2">
        <v>993</v>
      </c>
      <c r="BA347" s="2">
        <v>975</v>
      </c>
      <c r="BB347" s="2">
        <v>945</v>
      </c>
      <c r="BC347" s="2">
        <v>-1000</v>
      </c>
      <c r="BD347" s="2">
        <v>-7500</v>
      </c>
      <c r="BE347" s="2">
        <v>5000</v>
      </c>
      <c r="BF347" s="2">
        <v>3000</v>
      </c>
      <c r="BG347" s="2">
        <v>5000</v>
      </c>
      <c r="BH347" s="2">
        <v>0</v>
      </c>
      <c r="BI347" s="2">
        <v>3000</v>
      </c>
      <c r="BJ347" s="2">
        <v>-2000</v>
      </c>
      <c r="BK347" s="2">
        <v>1000</v>
      </c>
      <c r="BL347" s="2">
        <v>1000</v>
      </c>
      <c r="BO347" s="2">
        <f t="shared" si="210"/>
        <v>0</v>
      </c>
      <c r="BP347" s="2">
        <f t="shared" si="218"/>
        <v>0</v>
      </c>
      <c r="BQ347" s="2">
        <f t="shared" si="219"/>
        <v>0</v>
      </c>
      <c r="BR347" s="2">
        <f t="shared" si="220"/>
        <v>0</v>
      </c>
      <c r="BS347" s="2">
        <f t="shared" si="221"/>
        <v>0</v>
      </c>
      <c r="BT347" s="2">
        <f t="shared" si="222"/>
        <v>0</v>
      </c>
      <c r="BU347" s="2">
        <f t="shared" si="223"/>
        <v>0</v>
      </c>
      <c r="BV347" s="2">
        <f t="shared" si="224"/>
        <v>0</v>
      </c>
      <c r="BW347" s="2">
        <f t="shared" si="225"/>
        <v>0</v>
      </c>
      <c r="BX347" s="2">
        <f t="shared" si="226"/>
        <v>0</v>
      </c>
      <c r="BY347" s="2">
        <f t="shared" si="227"/>
        <v>0</v>
      </c>
      <c r="BZ347" s="2">
        <f t="shared" si="228"/>
        <v>0</v>
      </c>
      <c r="CA347" s="2">
        <f t="shared" si="229"/>
        <v>0</v>
      </c>
      <c r="CB347" s="2">
        <f t="shared" si="230"/>
        <v>0</v>
      </c>
      <c r="CC347" s="2">
        <f t="shared" si="231"/>
        <v>0</v>
      </c>
      <c r="CD347" s="2">
        <f t="shared" si="232"/>
        <v>0</v>
      </c>
      <c r="CE347" s="2">
        <f t="shared" si="233"/>
        <v>0</v>
      </c>
      <c r="CF347" s="2">
        <f t="shared" si="234"/>
        <v>982.77</v>
      </c>
      <c r="CG347" s="2">
        <f t="shared" si="235"/>
        <v>-6868.8</v>
      </c>
      <c r="CH347" s="2">
        <f t="shared" si="236"/>
        <v>7317.44</v>
      </c>
      <c r="CI347" s="2">
        <f t="shared" si="237"/>
        <v>0</v>
      </c>
      <c r="CJ347" s="2">
        <f t="shared" si="238"/>
        <v>0</v>
      </c>
      <c r="CK347" s="2">
        <f t="shared" si="239"/>
        <v>0</v>
      </c>
      <c r="CL347" s="2">
        <f t="shared" si="240"/>
        <v>0</v>
      </c>
      <c r="CM347" s="2">
        <f t="shared" si="212"/>
        <v>0</v>
      </c>
      <c r="CN347" s="2">
        <f t="shared" si="213"/>
        <v>323200</v>
      </c>
      <c r="CO347" s="2">
        <f t="shared" si="214"/>
        <v>0</v>
      </c>
      <c r="CP347" s="2">
        <f t="shared" si="215"/>
        <v>0</v>
      </c>
      <c r="CQ347" s="2">
        <f t="shared" si="216"/>
        <v>0</v>
      </c>
      <c r="CR347" s="2">
        <f t="shared" si="217"/>
        <v>0</v>
      </c>
      <c r="CV347" t="s">
        <v>64</v>
      </c>
      <c r="CW347" t="s">
        <v>420</v>
      </c>
      <c r="CX347" t="s">
        <v>18</v>
      </c>
      <c r="CY347" s="4">
        <v>42779</v>
      </c>
      <c r="CZ347" t="s">
        <v>65</v>
      </c>
      <c r="DA347" t="s">
        <v>66</v>
      </c>
      <c r="DB347">
        <v>21</v>
      </c>
      <c r="DC347">
        <v>60.97</v>
      </c>
      <c r="DD347" t="s">
        <v>69</v>
      </c>
      <c r="DE347" t="s">
        <v>70</v>
      </c>
      <c r="DF347">
        <v>1280.3699999999999</v>
      </c>
    </row>
    <row r="348" spans="1:110" x14ac:dyDescent="0.25">
      <c r="A348" s="1">
        <v>43238</v>
      </c>
      <c r="B348">
        <v>184.22</v>
      </c>
      <c r="C348">
        <v>100.22</v>
      </c>
      <c r="D348">
        <v>346.16</v>
      </c>
      <c r="E348">
        <v>152.80000000000001</v>
      </c>
      <c r="F348">
        <v>42.26</v>
      </c>
      <c r="G348">
        <v>124.17</v>
      </c>
      <c r="H348">
        <v>102.31</v>
      </c>
      <c r="I348">
        <v>66.37</v>
      </c>
      <c r="J348">
        <v>234.44</v>
      </c>
      <c r="K348">
        <v>184.32</v>
      </c>
      <c r="L348">
        <v>139.13</v>
      </c>
      <c r="M348">
        <v>52.51</v>
      </c>
      <c r="N348">
        <v>121.73</v>
      </c>
      <c r="O348">
        <v>108.88</v>
      </c>
      <c r="P348">
        <v>41.13</v>
      </c>
      <c r="Q348">
        <v>158</v>
      </c>
      <c r="R348">
        <v>194.95</v>
      </c>
      <c r="S348">
        <v>57.88</v>
      </c>
      <c r="T348">
        <v>95.58</v>
      </c>
      <c r="U348">
        <v>70.739999999999995</v>
      </c>
      <c r="V348">
        <v>34.76</v>
      </c>
      <c r="W348">
        <v>71.59</v>
      </c>
      <c r="X348">
        <v>127.54</v>
      </c>
      <c r="Y348">
        <v>242.18</v>
      </c>
      <c r="Z348">
        <v>123.08</v>
      </c>
      <c r="AA348">
        <v>129.28</v>
      </c>
      <c r="AB348">
        <v>46.19</v>
      </c>
      <c r="AC348">
        <v>63.2</v>
      </c>
      <c r="AD348">
        <v>82.71</v>
      </c>
      <c r="AE348">
        <v>78.790000000000006</v>
      </c>
      <c r="AI348" s="2">
        <v>5000</v>
      </c>
      <c r="AJ348" s="2">
        <f t="shared" si="243"/>
        <v>1240</v>
      </c>
      <c r="AK348" s="2">
        <f t="shared" si="243"/>
        <v>1240</v>
      </c>
      <c r="AL348" s="2">
        <f t="shared" si="243"/>
        <v>1240</v>
      </c>
      <c r="AM348" s="2">
        <f t="shared" si="243"/>
        <v>1240</v>
      </c>
      <c r="AN348" s="2">
        <f t="shared" si="243"/>
        <v>1240</v>
      </c>
      <c r="AO348" s="2">
        <f t="shared" si="243"/>
        <v>1240</v>
      </c>
      <c r="AP348" s="2">
        <f t="shared" si="243"/>
        <v>1120</v>
      </c>
      <c r="AQ348" s="2">
        <v>1000</v>
      </c>
      <c r="AR348" s="2">
        <v>0</v>
      </c>
      <c r="AS348" s="2">
        <v>10</v>
      </c>
      <c r="AT348" s="2">
        <v>0</v>
      </c>
      <c r="AU348" s="2">
        <v>0</v>
      </c>
      <c r="AV348" s="2">
        <v>0</v>
      </c>
      <c r="AW348" s="2">
        <v>0</v>
      </c>
      <c r="AX348" s="2">
        <v>0</v>
      </c>
      <c r="AY348" s="2">
        <v>0</v>
      </c>
      <c r="AZ348" s="2">
        <v>1033</v>
      </c>
      <c r="BA348" s="2">
        <v>923</v>
      </c>
      <c r="BB348" s="2">
        <v>923</v>
      </c>
      <c r="BC348" s="2">
        <v>-1000</v>
      </c>
      <c r="BD348" s="2">
        <v>-7500</v>
      </c>
      <c r="BE348" s="2">
        <v>5000</v>
      </c>
      <c r="BF348" s="2">
        <v>3000</v>
      </c>
      <c r="BG348" s="2">
        <v>5000</v>
      </c>
      <c r="BH348" s="2">
        <v>-5000</v>
      </c>
      <c r="BI348" s="2">
        <v>3000</v>
      </c>
      <c r="BJ348" s="2">
        <v>-2000</v>
      </c>
      <c r="BK348" s="2">
        <v>1000</v>
      </c>
      <c r="BL348" s="2">
        <v>1000</v>
      </c>
      <c r="BO348" s="2">
        <f t="shared" si="210"/>
        <v>0</v>
      </c>
      <c r="BP348" s="2">
        <f t="shared" si="218"/>
        <v>0</v>
      </c>
      <c r="BQ348" s="2">
        <f t="shared" si="219"/>
        <v>0</v>
      </c>
      <c r="BR348" s="2">
        <f t="shared" si="220"/>
        <v>0</v>
      </c>
      <c r="BS348" s="2">
        <f t="shared" si="221"/>
        <v>0</v>
      </c>
      <c r="BT348" s="2">
        <f t="shared" si="222"/>
        <v>0</v>
      </c>
      <c r="BU348" s="2">
        <f t="shared" si="223"/>
        <v>0</v>
      </c>
      <c r="BV348" s="2">
        <f t="shared" si="224"/>
        <v>0</v>
      </c>
      <c r="BW348" s="2">
        <f t="shared" si="225"/>
        <v>0</v>
      </c>
      <c r="BX348" s="2">
        <f t="shared" si="226"/>
        <v>0</v>
      </c>
      <c r="BY348" s="2">
        <f t="shared" si="227"/>
        <v>0</v>
      </c>
      <c r="BZ348" s="2">
        <f t="shared" si="228"/>
        <v>0</v>
      </c>
      <c r="CA348" s="2">
        <f t="shared" si="229"/>
        <v>0</v>
      </c>
      <c r="CB348" s="2">
        <f t="shared" si="230"/>
        <v>0</v>
      </c>
      <c r="CC348" s="2">
        <f t="shared" si="231"/>
        <v>0</v>
      </c>
      <c r="CD348" s="2">
        <f t="shared" si="232"/>
        <v>0</v>
      </c>
      <c r="CE348" s="2">
        <f t="shared" si="233"/>
        <v>0</v>
      </c>
      <c r="CF348" s="2">
        <f t="shared" si="234"/>
        <v>-2315.2000000000003</v>
      </c>
      <c r="CG348" s="2">
        <f t="shared" si="235"/>
        <v>4970.16</v>
      </c>
      <c r="CH348" s="2">
        <f t="shared" si="236"/>
        <v>1556.28</v>
      </c>
      <c r="CI348" s="2">
        <f t="shared" si="237"/>
        <v>0</v>
      </c>
      <c r="CJ348" s="2">
        <f t="shared" si="238"/>
        <v>0</v>
      </c>
      <c r="CK348" s="2">
        <f t="shared" si="239"/>
        <v>0</v>
      </c>
      <c r="CL348" s="2">
        <f t="shared" si="240"/>
        <v>0</v>
      </c>
      <c r="CM348" s="2">
        <f t="shared" si="212"/>
        <v>0</v>
      </c>
      <c r="CN348" s="2">
        <f t="shared" si="213"/>
        <v>646400</v>
      </c>
      <c r="CO348" s="2">
        <f t="shared" si="214"/>
        <v>0</v>
      </c>
      <c r="CP348" s="2">
        <f t="shared" si="215"/>
        <v>0</v>
      </c>
      <c r="CQ348" s="2">
        <f t="shared" si="216"/>
        <v>0</v>
      </c>
      <c r="CR348" s="2">
        <f t="shared" si="217"/>
        <v>0</v>
      </c>
      <c r="CV348" t="s">
        <v>64</v>
      </c>
      <c r="CW348" t="s">
        <v>421</v>
      </c>
      <c r="CX348" t="s">
        <v>18</v>
      </c>
      <c r="CY348" s="4">
        <v>42780</v>
      </c>
      <c r="CZ348" t="s">
        <v>67</v>
      </c>
      <c r="DA348" t="s">
        <v>68</v>
      </c>
      <c r="DB348">
        <v>67</v>
      </c>
      <c r="DC348">
        <v>61.81</v>
      </c>
      <c r="DD348" t="s">
        <v>69</v>
      </c>
      <c r="DE348" t="s">
        <v>70</v>
      </c>
      <c r="DF348">
        <v>4141.2700000000004</v>
      </c>
    </row>
    <row r="349" spans="1:110" x14ac:dyDescent="0.25">
      <c r="A349" s="1">
        <v>43241</v>
      </c>
      <c r="B349">
        <v>185.53</v>
      </c>
      <c r="C349">
        <v>101.26</v>
      </c>
      <c r="D349">
        <v>358.66</v>
      </c>
      <c r="E349">
        <v>155.94999999999999</v>
      </c>
      <c r="F349">
        <v>42.79</v>
      </c>
      <c r="G349">
        <v>125.64</v>
      </c>
      <c r="H349">
        <v>102.44</v>
      </c>
      <c r="I349">
        <v>67.41</v>
      </c>
      <c r="J349">
        <v>235.13</v>
      </c>
      <c r="K349">
        <v>186.65</v>
      </c>
      <c r="L349">
        <v>140.49</v>
      </c>
      <c r="M349">
        <v>53.32</v>
      </c>
      <c r="N349">
        <v>121.22</v>
      </c>
      <c r="O349">
        <v>109.88</v>
      </c>
      <c r="P349">
        <v>41.35</v>
      </c>
      <c r="Q349">
        <v>158.49</v>
      </c>
      <c r="R349">
        <v>197.69</v>
      </c>
      <c r="S349">
        <v>57.33</v>
      </c>
      <c r="T349">
        <v>96.81</v>
      </c>
      <c r="U349">
        <v>70.8</v>
      </c>
      <c r="V349">
        <v>34.92</v>
      </c>
      <c r="W349">
        <v>72.180000000000007</v>
      </c>
      <c r="X349">
        <v>128.80000000000001</v>
      </c>
      <c r="Y349">
        <v>245.41</v>
      </c>
      <c r="Z349">
        <v>125.9</v>
      </c>
      <c r="AA349">
        <v>130</v>
      </c>
      <c r="AB349">
        <v>46.86</v>
      </c>
      <c r="AC349">
        <v>63.36</v>
      </c>
      <c r="AD349">
        <v>83.57</v>
      </c>
      <c r="AE349">
        <v>79.739999999999995</v>
      </c>
      <c r="AI349" s="2">
        <v>5000</v>
      </c>
      <c r="AJ349" s="2">
        <f t="shared" si="243"/>
        <v>1240</v>
      </c>
      <c r="AK349" s="2">
        <f t="shared" si="243"/>
        <v>1240</v>
      </c>
      <c r="AL349" s="2">
        <f t="shared" si="243"/>
        <v>1240</v>
      </c>
      <c r="AM349" s="2">
        <f t="shared" si="243"/>
        <v>1240</v>
      </c>
      <c r="AN349" s="2">
        <f t="shared" si="243"/>
        <v>1240</v>
      </c>
      <c r="AO349" s="2">
        <f t="shared" si="243"/>
        <v>1240</v>
      </c>
      <c r="AP349" s="2">
        <f t="shared" si="243"/>
        <v>1120</v>
      </c>
      <c r="AQ349" s="2">
        <v>1000</v>
      </c>
      <c r="AR349" s="2">
        <v>0</v>
      </c>
      <c r="AS349" s="2">
        <v>10</v>
      </c>
      <c r="AT349" s="2">
        <v>0</v>
      </c>
      <c r="AU349" s="2">
        <v>0</v>
      </c>
      <c r="AV349" s="2">
        <v>0</v>
      </c>
      <c r="AW349" s="2">
        <v>0</v>
      </c>
      <c r="AX349" s="2">
        <v>0</v>
      </c>
      <c r="AY349" s="2">
        <v>0</v>
      </c>
      <c r="AZ349" s="2">
        <v>971</v>
      </c>
      <c r="BA349" s="2">
        <v>921</v>
      </c>
      <c r="BB349" s="2">
        <v>960</v>
      </c>
      <c r="BC349" s="2">
        <v>-1000</v>
      </c>
      <c r="BD349" s="2">
        <v>-7500</v>
      </c>
      <c r="BE349" s="2">
        <v>5000</v>
      </c>
      <c r="BF349" s="2">
        <v>3000</v>
      </c>
      <c r="BG349" s="2">
        <v>5000</v>
      </c>
      <c r="BH349" s="2">
        <v>-5000</v>
      </c>
      <c r="BI349" s="2">
        <v>3000</v>
      </c>
      <c r="BJ349" s="2">
        <v>-2000</v>
      </c>
      <c r="BK349" s="2">
        <v>1000</v>
      </c>
      <c r="BL349" s="2">
        <v>1000</v>
      </c>
      <c r="BO349" s="2">
        <f t="shared" si="210"/>
        <v>0</v>
      </c>
      <c r="BP349" s="2">
        <f t="shared" si="218"/>
        <v>0</v>
      </c>
      <c r="BQ349" s="2">
        <f t="shared" si="219"/>
        <v>0</v>
      </c>
      <c r="BR349" s="2">
        <f t="shared" si="220"/>
        <v>0</v>
      </c>
      <c r="BS349" s="2">
        <f t="shared" si="221"/>
        <v>0</v>
      </c>
      <c r="BT349" s="2">
        <f t="shared" si="222"/>
        <v>0</v>
      </c>
      <c r="BU349" s="2">
        <f t="shared" si="223"/>
        <v>0</v>
      </c>
      <c r="BV349" s="2">
        <f t="shared" si="224"/>
        <v>0</v>
      </c>
      <c r="BW349" s="2">
        <f t="shared" si="225"/>
        <v>0</v>
      </c>
      <c r="BX349" s="2">
        <f t="shared" si="226"/>
        <v>0</v>
      </c>
      <c r="BY349" s="2">
        <f t="shared" si="227"/>
        <v>0</v>
      </c>
      <c r="BZ349" s="2">
        <f t="shared" si="228"/>
        <v>0</v>
      </c>
      <c r="CA349" s="2">
        <f t="shared" si="229"/>
        <v>0</v>
      </c>
      <c r="CB349" s="2">
        <f t="shared" si="230"/>
        <v>0</v>
      </c>
      <c r="CC349" s="2">
        <f t="shared" si="231"/>
        <v>0</v>
      </c>
      <c r="CD349" s="2">
        <f t="shared" si="232"/>
        <v>0</v>
      </c>
      <c r="CE349" s="2">
        <f t="shared" si="233"/>
        <v>0</v>
      </c>
      <c r="CF349" s="2">
        <f t="shared" si="234"/>
        <v>3554.46</v>
      </c>
      <c r="CG349" s="2">
        <f t="shared" si="235"/>
        <v>193.62</v>
      </c>
      <c r="CH349" s="2">
        <f t="shared" si="236"/>
        <v>-2619.6</v>
      </c>
      <c r="CI349" s="2">
        <f t="shared" si="237"/>
        <v>0</v>
      </c>
      <c r="CJ349" s="2">
        <f t="shared" si="238"/>
        <v>0</v>
      </c>
      <c r="CK349" s="2">
        <f t="shared" si="239"/>
        <v>0</v>
      </c>
      <c r="CL349" s="2">
        <f t="shared" si="240"/>
        <v>0</v>
      </c>
      <c r="CM349" s="2">
        <f t="shared" si="212"/>
        <v>0</v>
      </c>
      <c r="CN349" s="2">
        <f t="shared" si="213"/>
        <v>0</v>
      </c>
      <c r="CO349" s="2">
        <f t="shared" si="214"/>
        <v>0</v>
      </c>
      <c r="CP349" s="2">
        <f t="shared" si="215"/>
        <v>0</v>
      </c>
      <c r="CQ349" s="2">
        <f t="shared" si="216"/>
        <v>0</v>
      </c>
      <c r="CR349" s="2">
        <f t="shared" si="217"/>
        <v>0</v>
      </c>
      <c r="CV349" t="s">
        <v>64</v>
      </c>
      <c r="CW349" t="s">
        <v>422</v>
      </c>
      <c r="CX349" t="s">
        <v>18</v>
      </c>
      <c r="CY349" s="4">
        <v>42781</v>
      </c>
      <c r="CZ349" t="s">
        <v>67</v>
      </c>
      <c r="DA349" t="s">
        <v>68</v>
      </c>
      <c r="DB349">
        <v>2</v>
      </c>
      <c r="DC349">
        <v>61.34</v>
      </c>
      <c r="DD349" t="s">
        <v>69</v>
      </c>
      <c r="DE349" t="s">
        <v>70</v>
      </c>
      <c r="DF349">
        <v>122.68</v>
      </c>
    </row>
    <row r="350" spans="1:110" x14ac:dyDescent="0.25">
      <c r="A350" s="1">
        <v>43242</v>
      </c>
      <c r="B350">
        <v>185.06</v>
      </c>
      <c r="C350">
        <v>101.92</v>
      </c>
      <c r="D350">
        <v>349.89</v>
      </c>
      <c r="E350">
        <v>153.28</v>
      </c>
      <c r="F350">
        <v>42.69</v>
      </c>
      <c r="G350">
        <v>124.53</v>
      </c>
      <c r="H350">
        <v>102.45</v>
      </c>
      <c r="I350">
        <v>66.27</v>
      </c>
      <c r="J350">
        <v>235.43</v>
      </c>
      <c r="K350">
        <v>183.78</v>
      </c>
      <c r="L350">
        <v>140.1</v>
      </c>
      <c r="M350">
        <v>53.44</v>
      </c>
      <c r="N350">
        <v>120.43</v>
      </c>
      <c r="O350">
        <v>110.72</v>
      </c>
      <c r="P350">
        <v>41.2</v>
      </c>
      <c r="Q350">
        <v>156.5</v>
      </c>
      <c r="R350">
        <v>194.96</v>
      </c>
      <c r="S350">
        <v>57.21</v>
      </c>
      <c r="T350">
        <v>96.71</v>
      </c>
      <c r="U350">
        <v>70.73</v>
      </c>
      <c r="V350">
        <v>34.840000000000003</v>
      </c>
      <c r="W350">
        <v>72.150000000000006</v>
      </c>
      <c r="X350">
        <v>129.08000000000001</v>
      </c>
      <c r="Y350">
        <v>242.72</v>
      </c>
      <c r="Z350">
        <v>125.72</v>
      </c>
      <c r="AA350">
        <v>130.05000000000001</v>
      </c>
      <c r="AB350">
        <v>47.23</v>
      </c>
      <c r="AC350">
        <v>63.1</v>
      </c>
      <c r="AD350">
        <v>82.44</v>
      </c>
      <c r="AE350">
        <v>79.12</v>
      </c>
      <c r="AI350" s="2">
        <v>5000</v>
      </c>
      <c r="AJ350" s="2">
        <f t="shared" si="243"/>
        <v>1240</v>
      </c>
      <c r="AK350" s="2">
        <f t="shared" si="243"/>
        <v>1240</v>
      </c>
      <c r="AL350" s="2">
        <f t="shared" si="243"/>
        <v>1240</v>
      </c>
      <c r="AM350" s="2">
        <f t="shared" si="243"/>
        <v>1240</v>
      </c>
      <c r="AN350" s="2">
        <f t="shared" si="243"/>
        <v>1240</v>
      </c>
      <c r="AO350" s="2">
        <f t="shared" si="243"/>
        <v>1240</v>
      </c>
      <c r="AP350" s="2">
        <f t="shared" si="243"/>
        <v>1120</v>
      </c>
      <c r="AQ350" s="2">
        <v>1000</v>
      </c>
      <c r="AR350" s="2">
        <v>0</v>
      </c>
      <c r="AS350" s="2">
        <v>10</v>
      </c>
      <c r="AT350" s="2">
        <v>0</v>
      </c>
      <c r="AU350" s="2">
        <v>0</v>
      </c>
      <c r="AV350" s="2">
        <v>0</v>
      </c>
      <c r="AW350" s="2">
        <v>0</v>
      </c>
      <c r="AX350" s="2">
        <v>0</v>
      </c>
      <c r="AY350" s="2">
        <v>0</v>
      </c>
      <c r="AZ350" s="2">
        <v>1029</v>
      </c>
      <c r="BA350" s="2">
        <v>1032</v>
      </c>
      <c r="BB350" s="2">
        <v>957</v>
      </c>
      <c r="BC350" s="2">
        <v>-1000</v>
      </c>
      <c r="BD350" s="2">
        <v>-7500</v>
      </c>
      <c r="BE350" s="2">
        <v>5000</v>
      </c>
      <c r="BF350" s="2">
        <v>3000</v>
      </c>
      <c r="BG350" s="2">
        <v>5000</v>
      </c>
      <c r="BH350" s="2">
        <v>-5000</v>
      </c>
      <c r="BI350" s="2">
        <v>3000</v>
      </c>
      <c r="BJ350" s="2">
        <v>-2000</v>
      </c>
      <c r="BK350" s="2">
        <v>1000</v>
      </c>
      <c r="BL350" s="2">
        <v>1000</v>
      </c>
      <c r="BO350" s="2">
        <f t="shared" si="210"/>
        <v>0</v>
      </c>
      <c r="BP350" s="2">
        <f t="shared" si="218"/>
        <v>0</v>
      </c>
      <c r="BQ350" s="2">
        <f t="shared" si="219"/>
        <v>0</v>
      </c>
      <c r="BR350" s="2">
        <f t="shared" si="220"/>
        <v>0</v>
      </c>
      <c r="BS350" s="2">
        <f t="shared" si="221"/>
        <v>0</v>
      </c>
      <c r="BT350" s="2">
        <f t="shared" si="222"/>
        <v>0</v>
      </c>
      <c r="BU350" s="2">
        <f t="shared" si="223"/>
        <v>0</v>
      </c>
      <c r="BV350" s="2">
        <f t="shared" si="224"/>
        <v>0</v>
      </c>
      <c r="BW350" s="2">
        <f t="shared" si="225"/>
        <v>0</v>
      </c>
      <c r="BX350" s="2">
        <f t="shared" si="226"/>
        <v>0</v>
      </c>
      <c r="BY350" s="2">
        <f t="shared" si="227"/>
        <v>0</v>
      </c>
      <c r="BZ350" s="2">
        <f t="shared" si="228"/>
        <v>0</v>
      </c>
      <c r="CA350" s="2">
        <f t="shared" si="229"/>
        <v>0</v>
      </c>
      <c r="CB350" s="2">
        <f t="shared" si="230"/>
        <v>0</v>
      </c>
      <c r="CC350" s="2">
        <f t="shared" si="231"/>
        <v>0</v>
      </c>
      <c r="CD350" s="2">
        <f t="shared" si="232"/>
        <v>0</v>
      </c>
      <c r="CE350" s="2">
        <f t="shared" si="233"/>
        <v>0</v>
      </c>
      <c r="CF350" s="2">
        <f t="shared" si="234"/>
        <v>-3318.18</v>
      </c>
      <c r="CG350" s="2">
        <f t="shared" si="235"/>
        <v>-10734.81</v>
      </c>
      <c r="CH350" s="2">
        <f t="shared" si="236"/>
        <v>212.19</v>
      </c>
      <c r="CI350" s="2">
        <f t="shared" si="237"/>
        <v>0</v>
      </c>
      <c r="CJ350" s="2">
        <f t="shared" si="238"/>
        <v>0</v>
      </c>
      <c r="CK350" s="2">
        <f t="shared" si="239"/>
        <v>0</v>
      </c>
      <c r="CL350" s="2">
        <f t="shared" si="240"/>
        <v>0</v>
      </c>
      <c r="CM350" s="2">
        <f t="shared" si="212"/>
        <v>0</v>
      </c>
      <c r="CN350" s="2">
        <f t="shared" si="213"/>
        <v>0</v>
      </c>
      <c r="CO350" s="2">
        <f t="shared" si="214"/>
        <v>0</v>
      </c>
      <c r="CP350" s="2">
        <f t="shared" si="215"/>
        <v>0</v>
      </c>
      <c r="CQ350" s="2">
        <f t="shared" si="216"/>
        <v>0</v>
      </c>
      <c r="CR350" s="2">
        <f t="shared" si="217"/>
        <v>0</v>
      </c>
      <c r="CV350" t="s">
        <v>64</v>
      </c>
      <c r="CW350" t="s">
        <v>423</v>
      </c>
      <c r="CX350" t="s">
        <v>18</v>
      </c>
      <c r="CY350" s="4">
        <v>42782</v>
      </c>
      <c r="CZ350" t="s">
        <v>65</v>
      </c>
      <c r="DA350" t="s">
        <v>66</v>
      </c>
      <c r="DB350">
        <v>3</v>
      </c>
      <c r="DC350">
        <v>61.44</v>
      </c>
      <c r="DD350" t="s">
        <v>69</v>
      </c>
      <c r="DE350" t="s">
        <v>70</v>
      </c>
      <c r="DF350">
        <v>184.32</v>
      </c>
    </row>
    <row r="351" spans="1:110" x14ac:dyDescent="0.25">
      <c r="A351" s="1">
        <v>43243</v>
      </c>
      <c r="B351">
        <v>186.25</v>
      </c>
      <c r="C351">
        <v>101.15</v>
      </c>
      <c r="D351">
        <v>354.02</v>
      </c>
      <c r="E351">
        <v>154.79</v>
      </c>
      <c r="F351">
        <v>42.72</v>
      </c>
      <c r="G351">
        <v>124.99</v>
      </c>
      <c r="H351">
        <v>101.28</v>
      </c>
      <c r="I351">
        <v>65.849999999999994</v>
      </c>
      <c r="J351">
        <v>235.24</v>
      </c>
      <c r="K351">
        <v>183.59</v>
      </c>
      <c r="L351">
        <v>139.69999999999999</v>
      </c>
      <c r="M351">
        <v>54.19</v>
      </c>
      <c r="N351">
        <v>120.96</v>
      </c>
      <c r="O351">
        <v>110.21</v>
      </c>
      <c r="P351">
        <v>41.34</v>
      </c>
      <c r="Q351">
        <v>158.63</v>
      </c>
      <c r="R351">
        <v>194.66</v>
      </c>
      <c r="S351">
        <v>57.91</v>
      </c>
      <c r="T351">
        <v>97.86</v>
      </c>
      <c r="U351">
        <v>70.760000000000005</v>
      </c>
      <c r="V351">
        <v>35.090000000000003</v>
      </c>
      <c r="W351">
        <v>72.3</v>
      </c>
      <c r="X351">
        <v>128.57</v>
      </c>
      <c r="Y351">
        <v>241.81</v>
      </c>
      <c r="Z351">
        <v>125.43</v>
      </c>
      <c r="AA351">
        <v>131.22</v>
      </c>
      <c r="AB351">
        <v>47.02</v>
      </c>
      <c r="AC351">
        <v>62.78</v>
      </c>
      <c r="AD351">
        <v>82.08</v>
      </c>
      <c r="AE351">
        <v>79.61</v>
      </c>
      <c r="AI351" s="2">
        <v>5000</v>
      </c>
      <c r="AJ351" s="2">
        <f t="shared" si="243"/>
        <v>1240</v>
      </c>
      <c r="AK351" s="2">
        <f t="shared" si="243"/>
        <v>1240</v>
      </c>
      <c r="AL351" s="2">
        <f t="shared" si="243"/>
        <v>1240</v>
      </c>
      <c r="AM351" s="2">
        <f t="shared" si="243"/>
        <v>1240</v>
      </c>
      <c r="AN351" s="2">
        <f t="shared" si="243"/>
        <v>1240</v>
      </c>
      <c r="AO351" s="2">
        <f t="shared" si="243"/>
        <v>1240</v>
      </c>
      <c r="AP351" s="2">
        <f t="shared" si="243"/>
        <v>1120</v>
      </c>
      <c r="AQ351" s="2">
        <v>1000</v>
      </c>
      <c r="AR351" s="2">
        <v>0</v>
      </c>
      <c r="AS351" s="2">
        <v>10</v>
      </c>
      <c r="AT351" s="2">
        <v>0</v>
      </c>
      <c r="AU351" s="2">
        <v>0</v>
      </c>
      <c r="AV351" s="2">
        <v>0</v>
      </c>
      <c r="AW351" s="2">
        <v>0</v>
      </c>
      <c r="AX351" s="2">
        <v>0</v>
      </c>
      <c r="AY351" s="2">
        <v>0</v>
      </c>
      <c r="AZ351" s="2">
        <v>970</v>
      </c>
      <c r="BA351" s="2">
        <v>1028</v>
      </c>
      <c r="BB351" s="2">
        <v>961</v>
      </c>
      <c r="BC351" s="2">
        <v>-1000</v>
      </c>
      <c r="BD351" s="2">
        <v>-7500</v>
      </c>
      <c r="BE351" s="2">
        <v>5000</v>
      </c>
      <c r="BF351" s="2">
        <v>3000</v>
      </c>
      <c r="BG351" s="2">
        <v>5000</v>
      </c>
      <c r="BH351" s="2">
        <v>0</v>
      </c>
      <c r="BI351" s="2">
        <v>3000</v>
      </c>
      <c r="BJ351" s="2">
        <v>-2000</v>
      </c>
      <c r="BK351" s="2">
        <v>1000</v>
      </c>
      <c r="BL351" s="2">
        <v>1000</v>
      </c>
      <c r="BO351" s="2">
        <f t="shared" si="210"/>
        <v>0</v>
      </c>
      <c r="BP351" s="2">
        <f t="shared" si="218"/>
        <v>0</v>
      </c>
      <c r="BQ351" s="2">
        <f t="shared" si="219"/>
        <v>0</v>
      </c>
      <c r="BR351" s="2">
        <f t="shared" si="220"/>
        <v>0</v>
      </c>
      <c r="BS351" s="2">
        <f t="shared" si="221"/>
        <v>0</v>
      </c>
      <c r="BT351" s="2">
        <f t="shared" si="222"/>
        <v>0</v>
      </c>
      <c r="BU351" s="2">
        <f t="shared" si="223"/>
        <v>0</v>
      </c>
      <c r="BV351" s="2">
        <f t="shared" si="224"/>
        <v>0</v>
      </c>
      <c r="BW351" s="2">
        <f t="shared" si="225"/>
        <v>0</v>
      </c>
      <c r="BX351" s="2">
        <f t="shared" si="226"/>
        <v>0</v>
      </c>
      <c r="BY351" s="2">
        <f t="shared" si="227"/>
        <v>0</v>
      </c>
      <c r="BZ351" s="2">
        <f t="shared" si="228"/>
        <v>0</v>
      </c>
      <c r="CA351" s="2">
        <f t="shared" si="229"/>
        <v>0</v>
      </c>
      <c r="CB351" s="2">
        <f t="shared" si="230"/>
        <v>0</v>
      </c>
      <c r="CC351" s="2">
        <f t="shared" si="231"/>
        <v>0</v>
      </c>
      <c r="CD351" s="2">
        <f t="shared" si="232"/>
        <v>0</v>
      </c>
      <c r="CE351" s="2">
        <f t="shared" si="233"/>
        <v>0</v>
      </c>
      <c r="CF351" s="2">
        <f t="shared" si="234"/>
        <v>3416.6899999999996</v>
      </c>
      <c r="CG351" s="2">
        <f t="shared" si="235"/>
        <v>391.44</v>
      </c>
      <c r="CH351" s="2">
        <f t="shared" si="236"/>
        <v>-283.04000000000002</v>
      </c>
      <c r="CI351" s="2">
        <f t="shared" si="237"/>
        <v>0</v>
      </c>
      <c r="CJ351" s="2">
        <f t="shared" si="238"/>
        <v>0</v>
      </c>
      <c r="CK351" s="2">
        <f t="shared" si="239"/>
        <v>0</v>
      </c>
      <c r="CL351" s="2">
        <f t="shared" si="240"/>
        <v>0</v>
      </c>
      <c r="CM351" s="2">
        <f t="shared" si="212"/>
        <v>0</v>
      </c>
      <c r="CN351" s="2">
        <f t="shared" si="213"/>
        <v>-656100</v>
      </c>
      <c r="CO351" s="2">
        <f t="shared" si="214"/>
        <v>0</v>
      </c>
      <c r="CP351" s="2">
        <f t="shared" si="215"/>
        <v>0</v>
      </c>
      <c r="CQ351" s="2">
        <f t="shared" si="216"/>
        <v>0</v>
      </c>
      <c r="CR351" s="2">
        <f t="shared" si="217"/>
        <v>0</v>
      </c>
      <c r="CV351" t="s">
        <v>64</v>
      </c>
      <c r="CW351" t="s">
        <v>424</v>
      </c>
      <c r="CX351" t="s">
        <v>18</v>
      </c>
      <c r="CY351" s="4">
        <v>42783</v>
      </c>
      <c r="CZ351" t="s">
        <v>65</v>
      </c>
      <c r="DA351" t="s">
        <v>66</v>
      </c>
      <c r="DB351">
        <v>12</v>
      </c>
      <c r="DC351">
        <v>61.56</v>
      </c>
      <c r="DD351" t="s">
        <v>69</v>
      </c>
      <c r="DE351" t="s">
        <v>70</v>
      </c>
      <c r="DF351">
        <v>738.72</v>
      </c>
    </row>
    <row r="352" spans="1:110" x14ac:dyDescent="0.25">
      <c r="A352" s="1">
        <v>43244</v>
      </c>
      <c r="B352">
        <v>186.04</v>
      </c>
      <c r="C352">
        <v>101.23</v>
      </c>
      <c r="D352">
        <v>353.82</v>
      </c>
      <c r="E352">
        <v>154.75</v>
      </c>
      <c r="F352">
        <v>42.61</v>
      </c>
      <c r="G352">
        <v>122.96</v>
      </c>
      <c r="H352">
        <v>100.52</v>
      </c>
      <c r="I352">
        <v>65.2</v>
      </c>
      <c r="J352">
        <v>233.55</v>
      </c>
      <c r="K352">
        <v>184.06</v>
      </c>
      <c r="L352">
        <v>139.12</v>
      </c>
      <c r="M352">
        <v>53.74</v>
      </c>
      <c r="N352">
        <v>119.78</v>
      </c>
      <c r="O352">
        <v>108.97</v>
      </c>
      <c r="P352">
        <v>41.27</v>
      </c>
      <c r="Q352">
        <v>159.38</v>
      </c>
      <c r="R352">
        <v>195.39</v>
      </c>
      <c r="S352">
        <v>57.87</v>
      </c>
      <c r="T352">
        <v>97.51</v>
      </c>
      <c r="U352">
        <v>71.59</v>
      </c>
      <c r="V352">
        <v>35.01</v>
      </c>
      <c r="W352">
        <v>71.900000000000006</v>
      </c>
      <c r="X352">
        <v>128.32</v>
      </c>
      <c r="Y352">
        <v>240.29</v>
      </c>
      <c r="Z352">
        <v>125.26</v>
      </c>
      <c r="AA352">
        <v>131.22999999999999</v>
      </c>
      <c r="AB352">
        <v>47.07</v>
      </c>
      <c r="AC352">
        <v>62.29</v>
      </c>
      <c r="AD352">
        <v>81.92</v>
      </c>
      <c r="AE352">
        <v>77.790000000000006</v>
      </c>
      <c r="AI352" s="2">
        <v>5000</v>
      </c>
      <c r="AJ352" s="2">
        <f t="shared" ref="AJ352:AP352" si="244">AJ351+10</f>
        <v>1250</v>
      </c>
      <c r="AK352" s="2">
        <f t="shared" si="244"/>
        <v>1250</v>
      </c>
      <c r="AL352" s="2">
        <f t="shared" si="244"/>
        <v>1250</v>
      </c>
      <c r="AM352" s="2">
        <f t="shared" si="244"/>
        <v>1250</v>
      </c>
      <c r="AN352" s="2">
        <f t="shared" si="244"/>
        <v>1250</v>
      </c>
      <c r="AO352" s="2">
        <f t="shared" si="244"/>
        <v>1250</v>
      </c>
      <c r="AP352" s="2">
        <f t="shared" si="244"/>
        <v>1130</v>
      </c>
      <c r="AQ352" s="2">
        <v>1000</v>
      </c>
      <c r="AR352" s="2">
        <v>0</v>
      </c>
      <c r="AS352" s="2">
        <v>10</v>
      </c>
      <c r="AT352" s="2">
        <v>0</v>
      </c>
      <c r="AU352" s="2">
        <v>0</v>
      </c>
      <c r="AV352" s="2">
        <v>0</v>
      </c>
      <c r="AW352" s="2">
        <v>0</v>
      </c>
      <c r="AX352" s="2">
        <v>0</v>
      </c>
      <c r="AY352" s="2">
        <v>0</v>
      </c>
      <c r="AZ352" s="2">
        <v>991</v>
      </c>
      <c r="BA352" s="2">
        <v>947</v>
      </c>
      <c r="BB352" s="2">
        <v>1079</v>
      </c>
      <c r="BC352" s="2">
        <v>-1000</v>
      </c>
      <c r="BD352" s="2">
        <v>-7500</v>
      </c>
      <c r="BE352" s="2">
        <v>5000</v>
      </c>
      <c r="BF352" s="2">
        <v>3000</v>
      </c>
      <c r="BG352" s="2">
        <v>5000</v>
      </c>
      <c r="BH352" s="2">
        <v>0</v>
      </c>
      <c r="BI352" s="2">
        <v>3000</v>
      </c>
      <c r="BJ352" s="2">
        <v>-2000</v>
      </c>
      <c r="BK352" s="2">
        <v>1000</v>
      </c>
      <c r="BL352" s="2">
        <v>1000</v>
      </c>
      <c r="BO352" s="2">
        <f t="shared" si="210"/>
        <v>0</v>
      </c>
      <c r="BP352" s="2">
        <f t="shared" si="218"/>
        <v>-1012.3000000000001</v>
      </c>
      <c r="BQ352" s="2">
        <f t="shared" si="219"/>
        <v>-3538.2</v>
      </c>
      <c r="BR352" s="2">
        <f t="shared" si="220"/>
        <v>-1547.5</v>
      </c>
      <c r="BS352" s="2">
        <f t="shared" si="221"/>
        <v>-426.1</v>
      </c>
      <c r="BT352" s="2">
        <f t="shared" si="222"/>
        <v>-1229.5999999999999</v>
      </c>
      <c r="BU352" s="2">
        <f t="shared" si="223"/>
        <v>-1005.1999999999999</v>
      </c>
      <c r="BV352" s="2">
        <f t="shared" si="224"/>
        <v>-652</v>
      </c>
      <c r="BW352" s="2">
        <f t="shared" si="225"/>
        <v>0</v>
      </c>
      <c r="BX352" s="2">
        <f t="shared" si="226"/>
        <v>0</v>
      </c>
      <c r="BY352" s="2">
        <f t="shared" si="227"/>
        <v>0</v>
      </c>
      <c r="BZ352" s="2">
        <f t="shared" si="228"/>
        <v>0</v>
      </c>
      <c r="CA352" s="2">
        <f t="shared" si="229"/>
        <v>0</v>
      </c>
      <c r="CB352" s="2">
        <f t="shared" si="230"/>
        <v>0</v>
      </c>
      <c r="CC352" s="2">
        <f t="shared" si="231"/>
        <v>0</v>
      </c>
      <c r="CD352" s="2">
        <f t="shared" si="232"/>
        <v>0</v>
      </c>
      <c r="CE352" s="2">
        <f t="shared" si="233"/>
        <v>0</v>
      </c>
      <c r="CF352" s="2">
        <f t="shared" si="234"/>
        <v>-1215.27</v>
      </c>
      <c r="CG352" s="2">
        <f t="shared" si="235"/>
        <v>7898.31</v>
      </c>
      <c r="CH352" s="2">
        <f t="shared" si="236"/>
        <v>-8447.6200000000008</v>
      </c>
      <c r="CI352" s="2">
        <f t="shared" si="237"/>
        <v>0</v>
      </c>
      <c r="CJ352" s="2">
        <f t="shared" si="238"/>
        <v>0</v>
      </c>
      <c r="CK352" s="2">
        <f t="shared" si="239"/>
        <v>0</v>
      </c>
      <c r="CL352" s="2">
        <f t="shared" si="240"/>
        <v>0</v>
      </c>
      <c r="CM352" s="2">
        <f t="shared" si="212"/>
        <v>0</v>
      </c>
      <c r="CN352" s="2">
        <f t="shared" si="213"/>
        <v>0</v>
      </c>
      <c r="CO352" s="2">
        <f t="shared" si="214"/>
        <v>0</v>
      </c>
      <c r="CP352" s="2">
        <f t="shared" si="215"/>
        <v>0</v>
      </c>
      <c r="CQ352" s="2">
        <f t="shared" si="216"/>
        <v>0</v>
      </c>
      <c r="CR352" s="2">
        <f t="shared" si="217"/>
        <v>0</v>
      </c>
      <c r="CV352" t="s">
        <v>64</v>
      </c>
      <c r="CW352" t="s">
        <v>425</v>
      </c>
      <c r="CX352" t="s">
        <v>18</v>
      </c>
      <c r="CY352" s="4">
        <v>42787</v>
      </c>
      <c r="CZ352" t="s">
        <v>65</v>
      </c>
      <c r="DA352" t="s">
        <v>66</v>
      </c>
      <c r="DB352">
        <v>14</v>
      </c>
      <c r="DC352">
        <v>61.64</v>
      </c>
      <c r="DD352" t="s">
        <v>69</v>
      </c>
      <c r="DE352" t="s">
        <v>70</v>
      </c>
      <c r="DF352">
        <v>862.96</v>
      </c>
    </row>
    <row r="353" spans="1:110" x14ac:dyDescent="0.25">
      <c r="A353" s="1">
        <v>43245</v>
      </c>
      <c r="B353">
        <v>186.47</v>
      </c>
      <c r="C353">
        <v>100.33</v>
      </c>
      <c r="D353">
        <v>354.89</v>
      </c>
      <c r="E353">
        <v>152.94</v>
      </c>
      <c r="F353">
        <v>42.31</v>
      </c>
      <c r="G353">
        <v>118.67</v>
      </c>
      <c r="H353">
        <v>100.6</v>
      </c>
      <c r="I353">
        <v>64.540000000000006</v>
      </c>
      <c r="J353">
        <v>232.47</v>
      </c>
      <c r="K353">
        <v>183.76</v>
      </c>
      <c r="L353">
        <v>138.69999999999999</v>
      </c>
      <c r="M353">
        <v>54.42</v>
      </c>
      <c r="N353">
        <v>119.9</v>
      </c>
      <c r="O353">
        <v>108.42</v>
      </c>
      <c r="P353">
        <v>41.34</v>
      </c>
      <c r="Q353">
        <v>160.19</v>
      </c>
      <c r="R353">
        <v>195.02</v>
      </c>
      <c r="S353">
        <v>57.83</v>
      </c>
      <c r="T353">
        <v>97.56</v>
      </c>
      <c r="U353">
        <v>71.66</v>
      </c>
      <c r="V353">
        <v>34.799999999999997</v>
      </c>
      <c r="W353">
        <v>72.42</v>
      </c>
      <c r="X353">
        <v>128.69</v>
      </c>
      <c r="Y353">
        <v>242.49</v>
      </c>
      <c r="Z353">
        <v>124.89</v>
      </c>
      <c r="AA353">
        <v>130.62</v>
      </c>
      <c r="AB353">
        <v>46.95</v>
      </c>
      <c r="AC353">
        <v>62.41</v>
      </c>
      <c r="AD353">
        <v>81.540000000000006</v>
      </c>
      <c r="AE353">
        <v>76.28</v>
      </c>
      <c r="AI353" s="2">
        <v>5000</v>
      </c>
      <c r="AJ353" s="2">
        <f t="shared" ref="AJ353:AP353" si="245">AJ352</f>
        <v>1250</v>
      </c>
      <c r="AK353" s="2">
        <f t="shared" si="245"/>
        <v>1250</v>
      </c>
      <c r="AL353" s="2">
        <f t="shared" si="245"/>
        <v>1250</v>
      </c>
      <c r="AM353" s="2">
        <f t="shared" si="245"/>
        <v>1250</v>
      </c>
      <c r="AN353" s="2">
        <f t="shared" si="245"/>
        <v>1250</v>
      </c>
      <c r="AO353" s="2">
        <f t="shared" si="245"/>
        <v>1250</v>
      </c>
      <c r="AP353" s="2">
        <f t="shared" si="245"/>
        <v>1130</v>
      </c>
      <c r="AQ353" s="2">
        <v>1000</v>
      </c>
      <c r="AR353" s="2">
        <v>0</v>
      </c>
      <c r="AS353" s="2">
        <v>10</v>
      </c>
      <c r="AT353" s="2">
        <v>0</v>
      </c>
      <c r="AU353" s="2">
        <v>0</v>
      </c>
      <c r="AV353" s="2">
        <v>0</v>
      </c>
      <c r="AW353" s="2">
        <v>0</v>
      </c>
      <c r="AX353" s="2">
        <v>0</v>
      </c>
      <c r="AY353" s="2">
        <v>0</v>
      </c>
      <c r="AZ353" s="2">
        <v>989</v>
      </c>
      <c r="BA353" s="2">
        <v>997</v>
      </c>
      <c r="BB353" s="2">
        <v>991</v>
      </c>
      <c r="BC353" s="2">
        <v>-1000</v>
      </c>
      <c r="BD353" s="2">
        <v>-7500</v>
      </c>
      <c r="BE353" s="2">
        <v>5000</v>
      </c>
      <c r="BF353" s="2">
        <v>3000</v>
      </c>
      <c r="BG353" s="2">
        <v>5000</v>
      </c>
      <c r="BH353" s="2">
        <v>0</v>
      </c>
      <c r="BI353" s="2">
        <v>3000</v>
      </c>
      <c r="BJ353" s="2">
        <v>-2000</v>
      </c>
      <c r="BK353" s="2">
        <v>1000</v>
      </c>
      <c r="BL353" s="2">
        <v>1000</v>
      </c>
      <c r="BO353" s="2">
        <f t="shared" si="210"/>
        <v>0</v>
      </c>
      <c r="BP353" s="2">
        <f t="shared" si="218"/>
        <v>0</v>
      </c>
      <c r="BQ353" s="2">
        <f t="shared" si="219"/>
        <v>0</v>
      </c>
      <c r="BR353" s="2">
        <f t="shared" si="220"/>
        <v>0</v>
      </c>
      <c r="BS353" s="2">
        <f t="shared" si="221"/>
        <v>0</v>
      </c>
      <c r="BT353" s="2">
        <f t="shared" si="222"/>
        <v>0</v>
      </c>
      <c r="BU353" s="2">
        <f t="shared" si="223"/>
        <v>0</v>
      </c>
      <c r="BV353" s="2">
        <f t="shared" si="224"/>
        <v>0</v>
      </c>
      <c r="BW353" s="2">
        <f t="shared" si="225"/>
        <v>0</v>
      </c>
      <c r="BX353" s="2">
        <f t="shared" si="226"/>
        <v>0</v>
      </c>
      <c r="BY353" s="2">
        <f t="shared" si="227"/>
        <v>0</v>
      </c>
      <c r="BZ353" s="2">
        <f t="shared" si="228"/>
        <v>0</v>
      </c>
      <c r="CA353" s="2">
        <f t="shared" si="229"/>
        <v>0</v>
      </c>
      <c r="CB353" s="2">
        <f t="shared" si="230"/>
        <v>0</v>
      </c>
      <c r="CC353" s="2">
        <f t="shared" si="231"/>
        <v>0</v>
      </c>
      <c r="CD353" s="2">
        <f t="shared" si="232"/>
        <v>0</v>
      </c>
      <c r="CE353" s="2">
        <f t="shared" si="233"/>
        <v>0</v>
      </c>
      <c r="CF353" s="2">
        <f t="shared" si="234"/>
        <v>115.66</v>
      </c>
      <c r="CG353" s="2">
        <f t="shared" si="235"/>
        <v>-4878</v>
      </c>
      <c r="CH353" s="2">
        <f t="shared" si="236"/>
        <v>6306.08</v>
      </c>
      <c r="CI353" s="2">
        <f t="shared" si="237"/>
        <v>0</v>
      </c>
      <c r="CJ353" s="2">
        <f t="shared" si="238"/>
        <v>0</v>
      </c>
      <c r="CK353" s="2">
        <f t="shared" si="239"/>
        <v>0</v>
      </c>
      <c r="CL353" s="2">
        <f t="shared" si="240"/>
        <v>0</v>
      </c>
      <c r="CM353" s="2">
        <f t="shared" si="212"/>
        <v>0</v>
      </c>
      <c r="CN353" s="2">
        <f t="shared" si="213"/>
        <v>0</v>
      </c>
      <c r="CO353" s="2">
        <f t="shared" si="214"/>
        <v>0</v>
      </c>
      <c r="CP353" s="2">
        <f t="shared" si="215"/>
        <v>0</v>
      </c>
      <c r="CQ353" s="2">
        <f t="shared" si="216"/>
        <v>0</v>
      </c>
      <c r="CR353" s="2">
        <f t="shared" si="217"/>
        <v>0</v>
      </c>
      <c r="CV353" t="s">
        <v>64</v>
      </c>
      <c r="CW353" t="s">
        <v>426</v>
      </c>
      <c r="CX353" t="s">
        <v>18</v>
      </c>
      <c r="CY353" s="4">
        <v>42788</v>
      </c>
      <c r="CZ353" t="s">
        <v>67</v>
      </c>
      <c r="DA353" t="s">
        <v>68</v>
      </c>
      <c r="DB353">
        <v>23</v>
      </c>
      <c r="DC353">
        <v>61.46</v>
      </c>
      <c r="DD353" t="s">
        <v>69</v>
      </c>
      <c r="DE353" t="s">
        <v>70</v>
      </c>
      <c r="DF353">
        <v>1413.58</v>
      </c>
    </row>
    <row r="354" spans="1:110" x14ac:dyDescent="0.25">
      <c r="A354" s="1">
        <v>43249</v>
      </c>
      <c r="B354">
        <v>185.8</v>
      </c>
      <c r="C354">
        <v>96.97</v>
      </c>
      <c r="D354">
        <v>347.39</v>
      </c>
      <c r="E354">
        <v>150.75</v>
      </c>
      <c r="F354">
        <v>42.03</v>
      </c>
      <c r="G354">
        <v>117.89</v>
      </c>
      <c r="H354">
        <v>98.13</v>
      </c>
      <c r="I354">
        <v>62.8</v>
      </c>
      <c r="J354">
        <v>224.57</v>
      </c>
      <c r="K354">
        <v>181.94</v>
      </c>
      <c r="L354">
        <v>136.36000000000001</v>
      </c>
      <c r="M354">
        <v>54.3</v>
      </c>
      <c r="N354">
        <v>117.86</v>
      </c>
      <c r="O354">
        <v>103.78</v>
      </c>
      <c r="P354">
        <v>41.62</v>
      </c>
      <c r="Q354">
        <v>157.63999999999999</v>
      </c>
      <c r="R354">
        <v>191.79</v>
      </c>
      <c r="S354">
        <v>57.16</v>
      </c>
      <c r="T354">
        <v>97.21</v>
      </c>
      <c r="U354">
        <v>70.34</v>
      </c>
      <c r="V354">
        <v>34.82</v>
      </c>
      <c r="W354">
        <v>72.17</v>
      </c>
      <c r="X354">
        <v>125.93</v>
      </c>
      <c r="Y354">
        <v>239.74</v>
      </c>
      <c r="Z354">
        <v>123</v>
      </c>
      <c r="AA354">
        <v>129.04</v>
      </c>
      <c r="AB354">
        <v>46.64</v>
      </c>
      <c r="AC354">
        <v>61.59</v>
      </c>
      <c r="AD354">
        <v>81.48</v>
      </c>
      <c r="AE354">
        <v>76</v>
      </c>
      <c r="AI354" s="2">
        <v>5000</v>
      </c>
      <c r="AJ354" s="2">
        <f t="shared" si="243"/>
        <v>1250</v>
      </c>
      <c r="AK354" s="2">
        <f t="shared" si="243"/>
        <v>1250</v>
      </c>
      <c r="AL354" s="2">
        <f t="shared" si="243"/>
        <v>1250</v>
      </c>
      <c r="AM354" s="2">
        <f t="shared" si="243"/>
        <v>1250</v>
      </c>
      <c r="AN354" s="2">
        <f t="shared" si="243"/>
        <v>1250</v>
      </c>
      <c r="AO354" s="2">
        <f t="shared" si="243"/>
        <v>1250</v>
      </c>
      <c r="AP354" s="2">
        <f t="shared" si="243"/>
        <v>1130</v>
      </c>
      <c r="AQ354" s="2">
        <v>1000</v>
      </c>
      <c r="AR354" s="2">
        <v>0</v>
      </c>
      <c r="AS354" s="2">
        <v>10</v>
      </c>
      <c r="AT354" s="2">
        <v>0</v>
      </c>
      <c r="AU354" s="2">
        <v>0</v>
      </c>
      <c r="AV354" s="2">
        <v>0</v>
      </c>
      <c r="AW354" s="2">
        <v>0</v>
      </c>
      <c r="AX354" s="2">
        <v>0</v>
      </c>
      <c r="AY354" s="2">
        <v>0</v>
      </c>
      <c r="AZ354" s="2">
        <v>985</v>
      </c>
      <c r="BA354" s="2">
        <v>921</v>
      </c>
      <c r="BB354" s="2">
        <v>994</v>
      </c>
      <c r="BC354" s="2">
        <v>-1000</v>
      </c>
      <c r="BD354" s="2">
        <v>-7500</v>
      </c>
      <c r="BE354" s="2">
        <v>5000</v>
      </c>
      <c r="BF354" s="2">
        <v>3000</v>
      </c>
      <c r="BG354" s="2">
        <v>5000</v>
      </c>
      <c r="BH354" s="2">
        <v>0</v>
      </c>
      <c r="BI354" s="2">
        <v>3000</v>
      </c>
      <c r="BJ354" s="2">
        <v>-2000</v>
      </c>
      <c r="BK354" s="2">
        <v>1000</v>
      </c>
      <c r="BL354" s="2">
        <v>1000</v>
      </c>
      <c r="BO354" s="2">
        <f t="shared" si="210"/>
        <v>0</v>
      </c>
      <c r="BP354" s="2">
        <f t="shared" si="218"/>
        <v>0</v>
      </c>
      <c r="BQ354" s="2">
        <f t="shared" si="219"/>
        <v>0</v>
      </c>
      <c r="BR354" s="2">
        <f t="shared" si="220"/>
        <v>0</v>
      </c>
      <c r="BS354" s="2">
        <f t="shared" si="221"/>
        <v>0</v>
      </c>
      <c r="BT354" s="2">
        <f t="shared" si="222"/>
        <v>0</v>
      </c>
      <c r="BU354" s="2">
        <f t="shared" si="223"/>
        <v>0</v>
      </c>
      <c r="BV354" s="2">
        <f t="shared" si="224"/>
        <v>0</v>
      </c>
      <c r="BW354" s="2">
        <f t="shared" si="225"/>
        <v>0</v>
      </c>
      <c r="BX354" s="2">
        <f t="shared" si="226"/>
        <v>0</v>
      </c>
      <c r="BY354" s="2">
        <f t="shared" si="227"/>
        <v>0</v>
      </c>
      <c r="BZ354" s="2">
        <f t="shared" si="228"/>
        <v>0</v>
      </c>
      <c r="CA354" s="2">
        <f t="shared" si="229"/>
        <v>0</v>
      </c>
      <c r="CB354" s="2">
        <f t="shared" si="230"/>
        <v>0</v>
      </c>
      <c r="CC354" s="2">
        <f t="shared" si="231"/>
        <v>0</v>
      </c>
      <c r="CD354" s="2">
        <f t="shared" si="232"/>
        <v>0</v>
      </c>
      <c r="CE354" s="2">
        <f t="shared" si="233"/>
        <v>0</v>
      </c>
      <c r="CF354" s="2">
        <f t="shared" si="234"/>
        <v>228.64</v>
      </c>
      <c r="CG354" s="2">
        <f t="shared" si="235"/>
        <v>7387.9599999999991</v>
      </c>
      <c r="CH354" s="2">
        <f t="shared" si="236"/>
        <v>-211.02</v>
      </c>
      <c r="CI354" s="2">
        <f t="shared" si="237"/>
        <v>0</v>
      </c>
      <c r="CJ354" s="2">
        <f t="shared" si="238"/>
        <v>0</v>
      </c>
      <c r="CK354" s="2">
        <f t="shared" si="239"/>
        <v>0</v>
      </c>
      <c r="CL354" s="2">
        <f t="shared" si="240"/>
        <v>0</v>
      </c>
      <c r="CM354" s="2">
        <f t="shared" si="212"/>
        <v>0</v>
      </c>
      <c r="CN354" s="2">
        <f t="shared" si="213"/>
        <v>0</v>
      </c>
      <c r="CO354" s="2">
        <f t="shared" si="214"/>
        <v>0</v>
      </c>
      <c r="CP354" s="2">
        <f t="shared" si="215"/>
        <v>0</v>
      </c>
      <c r="CQ354" s="2">
        <f t="shared" si="216"/>
        <v>0</v>
      </c>
      <c r="CR354" s="2">
        <f t="shared" si="217"/>
        <v>0</v>
      </c>
      <c r="CV354" t="s">
        <v>64</v>
      </c>
      <c r="CW354" t="s">
        <v>427</v>
      </c>
      <c r="CX354" t="s">
        <v>18</v>
      </c>
      <c r="CY354" s="4">
        <v>42789</v>
      </c>
      <c r="CZ354" t="s">
        <v>65</v>
      </c>
      <c r="DA354" t="s">
        <v>66</v>
      </c>
      <c r="DB354">
        <v>72</v>
      </c>
      <c r="DC354">
        <v>61.99</v>
      </c>
      <c r="DD354" t="s">
        <v>69</v>
      </c>
      <c r="DE354" t="s">
        <v>70</v>
      </c>
      <c r="DF354">
        <v>4463.28</v>
      </c>
    </row>
    <row r="355" spans="1:110" x14ac:dyDescent="0.25">
      <c r="A355" s="1">
        <v>43250</v>
      </c>
      <c r="B355">
        <v>185.4</v>
      </c>
      <c r="C355">
        <v>98.23</v>
      </c>
      <c r="D355">
        <v>353.02</v>
      </c>
      <c r="E355">
        <v>152.55000000000001</v>
      </c>
      <c r="F355">
        <v>41.91</v>
      </c>
      <c r="G355">
        <v>121.55</v>
      </c>
      <c r="H355">
        <v>98.42</v>
      </c>
      <c r="I355">
        <v>64.02</v>
      </c>
      <c r="J355">
        <v>227.48</v>
      </c>
      <c r="K355">
        <v>185.03</v>
      </c>
      <c r="L355">
        <v>137.72</v>
      </c>
      <c r="M355">
        <v>54.65</v>
      </c>
      <c r="N355">
        <v>119.41</v>
      </c>
      <c r="O355">
        <v>106.15</v>
      </c>
      <c r="P355">
        <v>42.06</v>
      </c>
      <c r="Q355">
        <v>158.82</v>
      </c>
      <c r="R355">
        <v>194.67</v>
      </c>
      <c r="S355">
        <v>58.45</v>
      </c>
      <c r="T355">
        <v>98.15</v>
      </c>
      <c r="U355">
        <v>71.64</v>
      </c>
      <c r="V355">
        <v>35.159999999999997</v>
      </c>
      <c r="W355">
        <v>72.989999999999995</v>
      </c>
      <c r="X355">
        <v>127.85</v>
      </c>
      <c r="Y355">
        <v>242.48</v>
      </c>
      <c r="Z355">
        <v>124.08</v>
      </c>
      <c r="AA355">
        <v>129.97999999999999</v>
      </c>
      <c r="AB355">
        <v>47.03</v>
      </c>
      <c r="AC355">
        <v>62.42</v>
      </c>
      <c r="AD355">
        <v>83.18</v>
      </c>
      <c r="AE355">
        <v>78.98</v>
      </c>
      <c r="AI355" s="2">
        <v>5000</v>
      </c>
      <c r="AJ355" s="2">
        <f t="shared" si="243"/>
        <v>1250</v>
      </c>
      <c r="AK355" s="2">
        <f t="shared" si="243"/>
        <v>1250</v>
      </c>
      <c r="AL355" s="2">
        <f t="shared" si="243"/>
        <v>1250</v>
      </c>
      <c r="AM355" s="2">
        <f t="shared" si="243"/>
        <v>1250</v>
      </c>
      <c r="AN355" s="2">
        <f t="shared" si="243"/>
        <v>1250</v>
      </c>
      <c r="AO355" s="2">
        <f t="shared" si="243"/>
        <v>1250</v>
      </c>
      <c r="AP355" s="2">
        <f t="shared" si="243"/>
        <v>1130</v>
      </c>
      <c r="AQ355" s="2">
        <v>1000</v>
      </c>
      <c r="AR355" s="2">
        <v>0</v>
      </c>
      <c r="AS355" s="2">
        <v>10</v>
      </c>
      <c r="AT355" s="2">
        <v>0</v>
      </c>
      <c r="AU355" s="2">
        <v>0</v>
      </c>
      <c r="AV355" s="2">
        <v>0</v>
      </c>
      <c r="AW355" s="2">
        <v>0</v>
      </c>
      <c r="AX355" s="2">
        <v>0</v>
      </c>
      <c r="AY355" s="2">
        <v>0</v>
      </c>
      <c r="AZ355" s="2">
        <v>977</v>
      </c>
      <c r="BA355" s="2">
        <v>1081</v>
      </c>
      <c r="BB355" s="2">
        <v>1022</v>
      </c>
      <c r="BC355" s="2">
        <v>-1000</v>
      </c>
      <c r="BD355" s="2">
        <v>-7500</v>
      </c>
      <c r="BE355" s="2">
        <v>5000</v>
      </c>
      <c r="BF355" s="2">
        <v>3000</v>
      </c>
      <c r="BG355" s="2">
        <v>5000</v>
      </c>
      <c r="BH355" s="2">
        <v>-2500</v>
      </c>
      <c r="BI355" s="2">
        <v>3000</v>
      </c>
      <c r="BJ355" s="2">
        <v>-2000</v>
      </c>
      <c r="BK355" s="2">
        <v>1000</v>
      </c>
      <c r="BL355" s="2">
        <v>1000</v>
      </c>
      <c r="BO355" s="2">
        <f t="shared" si="210"/>
        <v>0</v>
      </c>
      <c r="BP355" s="2">
        <f t="shared" si="218"/>
        <v>0</v>
      </c>
      <c r="BQ355" s="2">
        <f t="shared" si="219"/>
        <v>0</v>
      </c>
      <c r="BR355" s="2">
        <f t="shared" si="220"/>
        <v>0</v>
      </c>
      <c r="BS355" s="2">
        <f t="shared" si="221"/>
        <v>0</v>
      </c>
      <c r="BT355" s="2">
        <f t="shared" si="222"/>
        <v>0</v>
      </c>
      <c r="BU355" s="2">
        <f t="shared" si="223"/>
        <v>0</v>
      </c>
      <c r="BV355" s="2">
        <f t="shared" si="224"/>
        <v>0</v>
      </c>
      <c r="BW355" s="2">
        <f t="shared" si="225"/>
        <v>0</v>
      </c>
      <c r="BX355" s="2">
        <f t="shared" si="226"/>
        <v>0</v>
      </c>
      <c r="BY355" s="2">
        <f t="shared" si="227"/>
        <v>0</v>
      </c>
      <c r="BZ355" s="2">
        <f t="shared" si="228"/>
        <v>0</v>
      </c>
      <c r="CA355" s="2">
        <f t="shared" si="229"/>
        <v>0</v>
      </c>
      <c r="CB355" s="2">
        <f t="shared" si="230"/>
        <v>0</v>
      </c>
      <c r="CC355" s="2">
        <f t="shared" si="231"/>
        <v>0</v>
      </c>
      <c r="CD355" s="2">
        <f t="shared" si="232"/>
        <v>0</v>
      </c>
      <c r="CE355" s="2">
        <f t="shared" si="233"/>
        <v>0</v>
      </c>
      <c r="CF355" s="2">
        <f t="shared" si="234"/>
        <v>467.6</v>
      </c>
      <c r="CG355" s="2">
        <f t="shared" si="235"/>
        <v>-15704</v>
      </c>
      <c r="CH355" s="2">
        <f t="shared" si="236"/>
        <v>-2005.92</v>
      </c>
      <c r="CI355" s="2">
        <f t="shared" si="237"/>
        <v>0</v>
      </c>
      <c r="CJ355" s="2">
        <f t="shared" si="238"/>
        <v>0</v>
      </c>
      <c r="CK355" s="2">
        <f t="shared" si="239"/>
        <v>0</v>
      </c>
      <c r="CL355" s="2">
        <f t="shared" si="240"/>
        <v>0</v>
      </c>
      <c r="CM355" s="2">
        <f t="shared" si="212"/>
        <v>0</v>
      </c>
      <c r="CN355" s="2">
        <f t="shared" si="213"/>
        <v>324950</v>
      </c>
      <c r="CO355" s="2">
        <f t="shared" si="214"/>
        <v>0</v>
      </c>
      <c r="CP355" s="2">
        <f t="shared" si="215"/>
        <v>0</v>
      </c>
      <c r="CQ355" s="2">
        <f t="shared" si="216"/>
        <v>0</v>
      </c>
      <c r="CR355" s="2">
        <f t="shared" si="217"/>
        <v>0</v>
      </c>
      <c r="CV355" t="s">
        <v>64</v>
      </c>
      <c r="CW355" t="s">
        <v>428</v>
      </c>
      <c r="CX355" t="s">
        <v>18</v>
      </c>
      <c r="CY355" s="4">
        <v>42790</v>
      </c>
      <c r="CZ355" t="s">
        <v>67</v>
      </c>
      <c r="DA355" t="s">
        <v>68</v>
      </c>
      <c r="DB355">
        <v>61</v>
      </c>
      <c r="DC355">
        <v>62.28</v>
      </c>
      <c r="DD355" t="s">
        <v>69</v>
      </c>
      <c r="DE355" t="s">
        <v>70</v>
      </c>
      <c r="DF355">
        <v>3799.08</v>
      </c>
    </row>
    <row r="356" spans="1:110" x14ac:dyDescent="0.25">
      <c r="A356" s="1">
        <v>43251</v>
      </c>
      <c r="B356">
        <v>184.78</v>
      </c>
      <c r="C356">
        <v>97.55</v>
      </c>
      <c r="D356">
        <v>347.07</v>
      </c>
      <c r="E356">
        <v>149.07</v>
      </c>
      <c r="F356">
        <v>41.77</v>
      </c>
      <c r="G356">
        <v>120.71</v>
      </c>
      <c r="H356">
        <v>97.92</v>
      </c>
      <c r="I356">
        <v>63.35</v>
      </c>
      <c r="J356">
        <v>224.23</v>
      </c>
      <c r="K356">
        <v>184.5</v>
      </c>
      <c r="L356">
        <v>136.44999999999999</v>
      </c>
      <c r="M356">
        <v>54.18</v>
      </c>
      <c r="N356">
        <v>118.08</v>
      </c>
      <c r="O356">
        <v>104.84</v>
      </c>
      <c r="P356">
        <v>41.93</v>
      </c>
      <c r="Q356">
        <v>157.05000000000001</v>
      </c>
      <c r="R356">
        <v>193.25</v>
      </c>
      <c r="S356">
        <v>58.26</v>
      </c>
      <c r="T356">
        <v>98.04</v>
      </c>
      <c r="U356">
        <v>71.209999999999994</v>
      </c>
      <c r="V356">
        <v>35.049999999999997</v>
      </c>
      <c r="W356">
        <v>71.31</v>
      </c>
      <c r="X356">
        <v>126.23</v>
      </c>
      <c r="Y356">
        <v>239.09</v>
      </c>
      <c r="Z356">
        <v>122.72</v>
      </c>
      <c r="AA356">
        <v>130.06</v>
      </c>
      <c r="AB356">
        <v>46.13</v>
      </c>
      <c r="AC356">
        <v>61.29</v>
      </c>
      <c r="AD356">
        <v>81.62</v>
      </c>
      <c r="AE356">
        <v>78.73</v>
      </c>
      <c r="AI356" s="2">
        <v>5000</v>
      </c>
      <c r="AJ356" s="2">
        <f t="shared" si="243"/>
        <v>1250</v>
      </c>
      <c r="AK356" s="2">
        <f t="shared" si="243"/>
        <v>1250</v>
      </c>
      <c r="AL356" s="2">
        <f t="shared" si="243"/>
        <v>1250</v>
      </c>
      <c r="AM356" s="2">
        <f t="shared" si="243"/>
        <v>1250</v>
      </c>
      <c r="AN356" s="2">
        <f t="shared" si="243"/>
        <v>1250</v>
      </c>
      <c r="AO356" s="2">
        <f t="shared" si="243"/>
        <v>1250</v>
      </c>
      <c r="AP356" s="2">
        <f t="shared" si="243"/>
        <v>1130</v>
      </c>
      <c r="AQ356" s="2">
        <v>1000</v>
      </c>
      <c r="AR356" s="2">
        <v>0</v>
      </c>
      <c r="AS356" s="2">
        <v>10</v>
      </c>
      <c r="AT356" s="2">
        <v>0</v>
      </c>
      <c r="AU356" s="2">
        <v>0</v>
      </c>
      <c r="AV356" s="2">
        <v>0</v>
      </c>
      <c r="AW356" s="2">
        <v>0</v>
      </c>
      <c r="AX356" s="2">
        <v>0</v>
      </c>
      <c r="AY356" s="2">
        <v>0</v>
      </c>
      <c r="AZ356" s="2">
        <v>1021</v>
      </c>
      <c r="BA356" s="2">
        <v>1065</v>
      </c>
      <c r="BB356" s="2">
        <v>957</v>
      </c>
      <c r="BC356" s="2">
        <v>-1000</v>
      </c>
      <c r="BD356" s="2">
        <v>-7500</v>
      </c>
      <c r="BE356" s="2">
        <v>5000</v>
      </c>
      <c r="BF356" s="2">
        <v>3000</v>
      </c>
      <c r="BG356" s="2">
        <v>5000</v>
      </c>
      <c r="BH356" s="2">
        <v>-2500</v>
      </c>
      <c r="BI356" s="2">
        <v>3000</v>
      </c>
      <c r="BJ356" s="2">
        <v>-2000</v>
      </c>
      <c r="BK356" s="2">
        <v>1000</v>
      </c>
      <c r="BL356" s="2">
        <v>1000</v>
      </c>
      <c r="BO356" s="2">
        <f t="shared" si="210"/>
        <v>0</v>
      </c>
      <c r="BP356" s="2">
        <f t="shared" si="218"/>
        <v>0</v>
      </c>
      <c r="BQ356" s="2">
        <f t="shared" si="219"/>
        <v>0</v>
      </c>
      <c r="BR356" s="2">
        <f t="shared" si="220"/>
        <v>0</v>
      </c>
      <c r="BS356" s="2">
        <f t="shared" si="221"/>
        <v>0</v>
      </c>
      <c r="BT356" s="2">
        <f t="shared" si="222"/>
        <v>0</v>
      </c>
      <c r="BU356" s="2">
        <f t="shared" si="223"/>
        <v>0</v>
      </c>
      <c r="BV356" s="2">
        <f t="shared" si="224"/>
        <v>0</v>
      </c>
      <c r="BW356" s="2">
        <f t="shared" si="225"/>
        <v>0</v>
      </c>
      <c r="BX356" s="2">
        <f t="shared" si="226"/>
        <v>0</v>
      </c>
      <c r="BY356" s="2">
        <f t="shared" si="227"/>
        <v>0</v>
      </c>
      <c r="BZ356" s="2">
        <f t="shared" si="228"/>
        <v>0</v>
      </c>
      <c r="CA356" s="2">
        <f t="shared" si="229"/>
        <v>0</v>
      </c>
      <c r="CB356" s="2">
        <f t="shared" si="230"/>
        <v>0</v>
      </c>
      <c r="CC356" s="2">
        <f t="shared" si="231"/>
        <v>0</v>
      </c>
      <c r="CD356" s="2">
        <f t="shared" si="232"/>
        <v>0</v>
      </c>
      <c r="CE356" s="2">
        <f t="shared" si="233"/>
        <v>0</v>
      </c>
      <c r="CF356" s="2">
        <f t="shared" si="234"/>
        <v>-2563.44</v>
      </c>
      <c r="CG356" s="2">
        <f t="shared" si="235"/>
        <v>1568.64</v>
      </c>
      <c r="CH356" s="2">
        <f t="shared" si="236"/>
        <v>4628.6499999999996</v>
      </c>
      <c r="CI356" s="2">
        <f t="shared" si="237"/>
        <v>0</v>
      </c>
      <c r="CJ356" s="2">
        <f t="shared" si="238"/>
        <v>0</v>
      </c>
      <c r="CK356" s="2">
        <f t="shared" si="239"/>
        <v>0</v>
      </c>
      <c r="CL356" s="2">
        <f t="shared" si="240"/>
        <v>0</v>
      </c>
      <c r="CM356" s="2">
        <f t="shared" si="212"/>
        <v>0</v>
      </c>
      <c r="CN356" s="2">
        <f t="shared" si="213"/>
        <v>0</v>
      </c>
      <c r="CO356" s="2">
        <f t="shared" si="214"/>
        <v>0</v>
      </c>
      <c r="CP356" s="2">
        <f t="shared" si="215"/>
        <v>0</v>
      </c>
      <c r="CQ356" s="2">
        <f t="shared" si="216"/>
        <v>0</v>
      </c>
      <c r="CR356" s="2">
        <f t="shared" si="217"/>
        <v>0</v>
      </c>
      <c r="CV356" t="s">
        <v>64</v>
      </c>
      <c r="CW356" t="s">
        <v>429</v>
      </c>
      <c r="CX356" t="s">
        <v>18</v>
      </c>
      <c r="CY356" s="4">
        <v>42793</v>
      </c>
      <c r="CZ356" t="s">
        <v>67</v>
      </c>
      <c r="DA356" t="s">
        <v>68</v>
      </c>
      <c r="DB356">
        <v>2</v>
      </c>
      <c r="DC356">
        <v>61.99</v>
      </c>
      <c r="DD356" t="s">
        <v>69</v>
      </c>
      <c r="DE356" t="s">
        <v>70</v>
      </c>
      <c r="DF356">
        <v>123.98</v>
      </c>
    </row>
    <row r="357" spans="1:110" x14ac:dyDescent="0.25">
      <c r="A357" s="1">
        <v>43252</v>
      </c>
      <c r="B357">
        <v>188.11</v>
      </c>
      <c r="C357">
        <v>97.5</v>
      </c>
      <c r="D357">
        <v>351.57</v>
      </c>
      <c r="E357">
        <v>150.65</v>
      </c>
      <c r="F357">
        <v>42.7</v>
      </c>
      <c r="G357">
        <v>120.28</v>
      </c>
      <c r="H357">
        <v>97.81</v>
      </c>
      <c r="I357">
        <v>65.38</v>
      </c>
      <c r="J357">
        <v>226.68</v>
      </c>
      <c r="K357">
        <v>185.29</v>
      </c>
      <c r="L357">
        <v>137.07</v>
      </c>
      <c r="M357">
        <v>56.03</v>
      </c>
      <c r="N357">
        <v>119.7</v>
      </c>
      <c r="O357">
        <v>106.2</v>
      </c>
      <c r="P357">
        <v>42.05</v>
      </c>
      <c r="Q357">
        <v>157.19999999999999</v>
      </c>
      <c r="R357">
        <v>195.56</v>
      </c>
      <c r="S357">
        <v>59.27</v>
      </c>
      <c r="T357">
        <v>99.97</v>
      </c>
      <c r="U357">
        <v>72.37</v>
      </c>
      <c r="V357">
        <v>35.36</v>
      </c>
      <c r="W357">
        <v>71.59</v>
      </c>
      <c r="X357">
        <v>126.99</v>
      </c>
      <c r="Y357">
        <v>240.91</v>
      </c>
      <c r="Z357">
        <v>123.69</v>
      </c>
      <c r="AA357">
        <v>130.19</v>
      </c>
      <c r="AB357">
        <v>46.26</v>
      </c>
      <c r="AC357">
        <v>61.75</v>
      </c>
      <c r="AD357">
        <v>82.06</v>
      </c>
      <c r="AE357">
        <v>79.3</v>
      </c>
      <c r="AI357" s="2">
        <v>5000</v>
      </c>
      <c r="AJ357" s="2">
        <f t="shared" si="243"/>
        <v>1250</v>
      </c>
      <c r="AK357" s="2">
        <f t="shared" si="243"/>
        <v>1250</v>
      </c>
      <c r="AL357" s="2">
        <f t="shared" si="243"/>
        <v>1250</v>
      </c>
      <c r="AM357" s="2">
        <f t="shared" si="243"/>
        <v>1250</v>
      </c>
      <c r="AN357" s="2">
        <f t="shared" si="243"/>
        <v>1250</v>
      </c>
      <c r="AO357" s="2">
        <f t="shared" si="243"/>
        <v>1250</v>
      </c>
      <c r="AP357" s="2">
        <f t="shared" si="243"/>
        <v>1130</v>
      </c>
      <c r="AQ357" s="2">
        <v>1000</v>
      </c>
      <c r="AR357" s="2">
        <v>0</v>
      </c>
      <c r="AS357" s="2">
        <v>10</v>
      </c>
      <c r="AT357" s="2">
        <v>0</v>
      </c>
      <c r="AU357" s="2">
        <v>0</v>
      </c>
      <c r="AV357" s="2">
        <v>0</v>
      </c>
      <c r="AW357" s="2">
        <v>0</v>
      </c>
      <c r="AX357" s="2">
        <v>0</v>
      </c>
      <c r="AY357" s="2">
        <v>0</v>
      </c>
      <c r="AZ357" s="2">
        <v>1045</v>
      </c>
      <c r="BA357" s="2">
        <v>948</v>
      </c>
      <c r="BB357" s="2">
        <v>900</v>
      </c>
      <c r="BC357" s="2">
        <v>-1000</v>
      </c>
      <c r="BD357" s="2">
        <v>-7500</v>
      </c>
      <c r="BE357" s="2">
        <v>5000</v>
      </c>
      <c r="BF357" s="2">
        <v>3000</v>
      </c>
      <c r="BG357" s="2">
        <v>5000</v>
      </c>
      <c r="BH357" s="2">
        <v>2500</v>
      </c>
      <c r="BI357" s="2">
        <v>3000</v>
      </c>
      <c r="BJ357" s="2">
        <v>-2000</v>
      </c>
      <c r="BK357" s="2">
        <v>1000</v>
      </c>
      <c r="BL357" s="2">
        <v>1000</v>
      </c>
      <c r="BO357" s="2">
        <f t="shared" si="210"/>
        <v>0</v>
      </c>
      <c r="BP357" s="2">
        <f t="shared" si="218"/>
        <v>0</v>
      </c>
      <c r="BQ357" s="2">
        <f t="shared" si="219"/>
        <v>0</v>
      </c>
      <c r="BR357" s="2">
        <f t="shared" si="220"/>
        <v>0</v>
      </c>
      <c r="BS357" s="2">
        <f t="shared" si="221"/>
        <v>0</v>
      </c>
      <c r="BT357" s="2">
        <f t="shared" si="222"/>
        <v>0</v>
      </c>
      <c r="BU357" s="2">
        <f t="shared" si="223"/>
        <v>0</v>
      </c>
      <c r="BV357" s="2">
        <f t="shared" si="224"/>
        <v>0</v>
      </c>
      <c r="BW357" s="2">
        <f t="shared" si="225"/>
        <v>0</v>
      </c>
      <c r="BX357" s="2">
        <f t="shared" si="226"/>
        <v>0</v>
      </c>
      <c r="BY357" s="2">
        <f t="shared" si="227"/>
        <v>0</v>
      </c>
      <c r="BZ357" s="2">
        <f t="shared" si="228"/>
        <v>0</v>
      </c>
      <c r="CA357" s="2">
        <f t="shared" si="229"/>
        <v>0</v>
      </c>
      <c r="CB357" s="2">
        <f t="shared" si="230"/>
        <v>0</v>
      </c>
      <c r="CC357" s="2">
        <f t="shared" si="231"/>
        <v>0</v>
      </c>
      <c r="CD357" s="2">
        <f t="shared" si="232"/>
        <v>0</v>
      </c>
      <c r="CE357" s="2">
        <f t="shared" si="233"/>
        <v>0</v>
      </c>
      <c r="CF357" s="2">
        <f t="shared" si="234"/>
        <v>-1422.48</v>
      </c>
      <c r="CG357" s="2">
        <f t="shared" si="235"/>
        <v>11696.49</v>
      </c>
      <c r="CH357" s="2">
        <f t="shared" si="236"/>
        <v>4125.09</v>
      </c>
      <c r="CI357" s="2">
        <f t="shared" si="237"/>
        <v>0</v>
      </c>
      <c r="CJ357" s="2">
        <f t="shared" si="238"/>
        <v>0</v>
      </c>
      <c r="CK357" s="2">
        <f t="shared" si="239"/>
        <v>0</v>
      </c>
      <c r="CL357" s="2">
        <f t="shared" si="240"/>
        <v>0</v>
      </c>
      <c r="CM357" s="2">
        <f t="shared" si="212"/>
        <v>0</v>
      </c>
      <c r="CN357" s="2">
        <f t="shared" si="213"/>
        <v>-650950</v>
      </c>
      <c r="CO357" s="2">
        <f t="shared" si="214"/>
        <v>0</v>
      </c>
      <c r="CP357" s="2">
        <f t="shared" si="215"/>
        <v>0</v>
      </c>
      <c r="CQ357" s="2">
        <f t="shared" si="216"/>
        <v>0</v>
      </c>
      <c r="CR357" s="2">
        <f t="shared" si="217"/>
        <v>0</v>
      </c>
      <c r="CV357" t="s">
        <v>64</v>
      </c>
      <c r="CW357" t="s">
        <v>430</v>
      </c>
      <c r="CX357" t="s">
        <v>18</v>
      </c>
      <c r="CY357" s="4">
        <v>42794</v>
      </c>
      <c r="CZ357" t="s">
        <v>65</v>
      </c>
      <c r="DA357" t="s">
        <v>66</v>
      </c>
      <c r="DB357">
        <v>59</v>
      </c>
      <c r="DC357">
        <v>62.01</v>
      </c>
      <c r="DD357" t="s">
        <v>69</v>
      </c>
      <c r="DE357" t="s">
        <v>70</v>
      </c>
      <c r="DF357">
        <v>3658.5899999999997</v>
      </c>
    </row>
    <row r="358" spans="1:110" x14ac:dyDescent="0.25">
      <c r="A358" s="1">
        <v>43255</v>
      </c>
      <c r="B358">
        <v>189.68</v>
      </c>
      <c r="C358">
        <v>98.69</v>
      </c>
      <c r="D358">
        <v>355.52</v>
      </c>
      <c r="E358">
        <v>149.65</v>
      </c>
      <c r="F358">
        <v>42.62</v>
      </c>
      <c r="G358">
        <v>118.73</v>
      </c>
      <c r="H358">
        <v>98.68</v>
      </c>
      <c r="I358">
        <v>66.33</v>
      </c>
      <c r="J358">
        <v>228.21</v>
      </c>
      <c r="K358">
        <v>189.25</v>
      </c>
      <c r="L358">
        <v>138.12</v>
      </c>
      <c r="M358">
        <v>55.78</v>
      </c>
      <c r="N358">
        <v>120.38</v>
      </c>
      <c r="O358">
        <v>106.25</v>
      </c>
      <c r="P358">
        <v>42.41</v>
      </c>
      <c r="Q358">
        <v>158.25</v>
      </c>
      <c r="R358">
        <v>197</v>
      </c>
      <c r="S358">
        <v>60.7</v>
      </c>
      <c r="T358">
        <v>100.84</v>
      </c>
      <c r="U358">
        <v>73.430000000000007</v>
      </c>
      <c r="V358">
        <v>35.56</v>
      </c>
      <c r="W358">
        <v>72.3</v>
      </c>
      <c r="X358">
        <v>127.41</v>
      </c>
      <c r="Y358">
        <v>242.17</v>
      </c>
      <c r="Z358">
        <v>124.16</v>
      </c>
      <c r="AA358">
        <v>132.4</v>
      </c>
      <c r="AB358">
        <v>46.27</v>
      </c>
      <c r="AC358">
        <v>62.18</v>
      </c>
      <c r="AD358">
        <v>84.47</v>
      </c>
      <c r="AE358">
        <v>78.47</v>
      </c>
      <c r="AI358" s="2">
        <v>5000</v>
      </c>
      <c r="AJ358" s="2">
        <f t="shared" si="243"/>
        <v>1250</v>
      </c>
      <c r="AK358" s="2">
        <f t="shared" si="243"/>
        <v>1250</v>
      </c>
      <c r="AL358" s="2">
        <f t="shared" si="243"/>
        <v>1250</v>
      </c>
      <c r="AM358" s="2">
        <f t="shared" si="243"/>
        <v>1250</v>
      </c>
      <c r="AN358" s="2">
        <f t="shared" si="243"/>
        <v>1250</v>
      </c>
      <c r="AO358" s="2">
        <f t="shared" si="243"/>
        <v>1250</v>
      </c>
      <c r="AP358" s="2">
        <f t="shared" si="243"/>
        <v>1130</v>
      </c>
      <c r="AQ358" s="2">
        <v>1000</v>
      </c>
      <c r="AR358" s="2">
        <v>0</v>
      </c>
      <c r="AS358" s="2">
        <v>10</v>
      </c>
      <c r="AT358" s="2">
        <v>0</v>
      </c>
      <c r="AU358" s="2">
        <v>0</v>
      </c>
      <c r="AV358" s="2">
        <v>0</v>
      </c>
      <c r="AW358" s="2">
        <v>0</v>
      </c>
      <c r="AX358" s="2">
        <v>0</v>
      </c>
      <c r="AY358" s="2">
        <v>0</v>
      </c>
      <c r="AZ358" s="2">
        <v>978</v>
      </c>
      <c r="BA358" s="2">
        <v>1004</v>
      </c>
      <c r="BB358" s="2">
        <v>923</v>
      </c>
      <c r="BC358" s="2">
        <v>-1000</v>
      </c>
      <c r="BD358" s="2">
        <v>-7500</v>
      </c>
      <c r="BE358" s="2">
        <v>5000</v>
      </c>
      <c r="BF358" s="2">
        <v>3000</v>
      </c>
      <c r="BG358" s="2">
        <v>5000</v>
      </c>
      <c r="BH358" s="2">
        <v>5000</v>
      </c>
      <c r="BI358" s="2">
        <v>3000</v>
      </c>
      <c r="BJ358" s="2">
        <v>-2000</v>
      </c>
      <c r="BK358" s="2">
        <v>1000</v>
      </c>
      <c r="BL358" s="2">
        <v>1000</v>
      </c>
      <c r="BO358" s="2">
        <f t="shared" si="210"/>
        <v>0</v>
      </c>
      <c r="BP358" s="2">
        <f t="shared" si="218"/>
        <v>0</v>
      </c>
      <c r="BQ358" s="2">
        <f t="shared" si="219"/>
        <v>0</v>
      </c>
      <c r="BR358" s="2">
        <f t="shared" si="220"/>
        <v>0</v>
      </c>
      <c r="BS358" s="2">
        <f t="shared" si="221"/>
        <v>0</v>
      </c>
      <c r="BT358" s="2">
        <f t="shared" si="222"/>
        <v>0</v>
      </c>
      <c r="BU358" s="2">
        <f t="shared" si="223"/>
        <v>0</v>
      </c>
      <c r="BV358" s="2">
        <f t="shared" si="224"/>
        <v>0</v>
      </c>
      <c r="BW358" s="2">
        <f t="shared" si="225"/>
        <v>0</v>
      </c>
      <c r="BX358" s="2">
        <f t="shared" si="226"/>
        <v>0</v>
      </c>
      <c r="BY358" s="2">
        <f t="shared" si="227"/>
        <v>0</v>
      </c>
      <c r="BZ358" s="2">
        <f t="shared" si="228"/>
        <v>0</v>
      </c>
      <c r="CA358" s="2">
        <f t="shared" si="229"/>
        <v>0</v>
      </c>
      <c r="CB358" s="2">
        <f t="shared" si="230"/>
        <v>0</v>
      </c>
      <c r="CC358" s="2">
        <f t="shared" si="231"/>
        <v>0</v>
      </c>
      <c r="CD358" s="2">
        <f t="shared" si="232"/>
        <v>0</v>
      </c>
      <c r="CE358" s="2">
        <f t="shared" si="233"/>
        <v>0</v>
      </c>
      <c r="CF358" s="2">
        <f t="shared" si="234"/>
        <v>4066.9</v>
      </c>
      <c r="CG358" s="2">
        <f t="shared" si="235"/>
        <v>-5647.04</v>
      </c>
      <c r="CH358" s="2">
        <f t="shared" si="236"/>
        <v>-1688.89</v>
      </c>
      <c r="CI358" s="2">
        <f t="shared" si="237"/>
        <v>0</v>
      </c>
      <c r="CJ358" s="2">
        <f t="shared" si="238"/>
        <v>0</v>
      </c>
      <c r="CK358" s="2">
        <f t="shared" si="239"/>
        <v>0</v>
      </c>
      <c r="CL358" s="2">
        <f t="shared" si="240"/>
        <v>0</v>
      </c>
      <c r="CM358" s="2">
        <f t="shared" si="212"/>
        <v>0</v>
      </c>
      <c r="CN358" s="2">
        <f t="shared" si="213"/>
        <v>-331000</v>
      </c>
      <c r="CO358" s="2">
        <f t="shared" si="214"/>
        <v>0</v>
      </c>
      <c r="CP358" s="2">
        <f t="shared" si="215"/>
        <v>0</v>
      </c>
      <c r="CQ358" s="2">
        <f t="shared" si="216"/>
        <v>0</v>
      </c>
      <c r="CR358" s="2">
        <f t="shared" si="217"/>
        <v>0</v>
      </c>
      <c r="CV358" t="s">
        <v>64</v>
      </c>
      <c r="CW358" t="s">
        <v>431</v>
      </c>
      <c r="CX358" t="s">
        <v>18</v>
      </c>
      <c r="CY358" s="4">
        <v>42795</v>
      </c>
      <c r="CZ358" t="s">
        <v>67</v>
      </c>
      <c r="DA358" t="s">
        <v>68</v>
      </c>
      <c r="DB358">
        <v>26</v>
      </c>
      <c r="DC358">
        <v>62.33</v>
      </c>
      <c r="DD358" t="s">
        <v>69</v>
      </c>
      <c r="DE358" t="s">
        <v>70</v>
      </c>
      <c r="DF358">
        <v>1620.58</v>
      </c>
    </row>
    <row r="359" spans="1:110" x14ac:dyDescent="0.25">
      <c r="A359" s="1">
        <v>43256</v>
      </c>
      <c r="B359">
        <v>191.14</v>
      </c>
      <c r="C359">
        <v>98.55</v>
      </c>
      <c r="D359">
        <v>354.9</v>
      </c>
      <c r="E359">
        <v>150.15</v>
      </c>
      <c r="F359">
        <v>42.71</v>
      </c>
      <c r="G359">
        <v>119.19</v>
      </c>
      <c r="H359">
        <v>98.38</v>
      </c>
      <c r="I359">
        <v>67.08</v>
      </c>
      <c r="J359">
        <v>226.67</v>
      </c>
      <c r="K359">
        <v>189.83</v>
      </c>
      <c r="L359">
        <v>138.76</v>
      </c>
      <c r="M359">
        <v>55.49</v>
      </c>
      <c r="N359">
        <v>119.91</v>
      </c>
      <c r="O359">
        <v>105.65</v>
      </c>
      <c r="P359">
        <v>42.04</v>
      </c>
      <c r="Q359">
        <v>157.52000000000001</v>
      </c>
      <c r="R359">
        <v>197.14</v>
      </c>
      <c r="S359">
        <v>60.09</v>
      </c>
      <c r="T359">
        <v>101.36</v>
      </c>
      <c r="U359">
        <v>73.650000000000006</v>
      </c>
      <c r="V359">
        <v>35.549999999999997</v>
      </c>
      <c r="W359">
        <v>72.09</v>
      </c>
      <c r="X359">
        <v>126.87</v>
      </c>
      <c r="Y359">
        <v>241.98</v>
      </c>
      <c r="Z359">
        <v>123.83</v>
      </c>
      <c r="AA359">
        <v>132.88999999999999</v>
      </c>
      <c r="AB359">
        <v>46.42</v>
      </c>
      <c r="AC359">
        <v>61.78</v>
      </c>
      <c r="AD359">
        <v>83.67</v>
      </c>
      <c r="AE359">
        <v>78.19</v>
      </c>
      <c r="AI359" s="2">
        <v>5000</v>
      </c>
      <c r="AJ359" s="2">
        <f t="shared" si="243"/>
        <v>1250</v>
      </c>
      <c r="AK359" s="2">
        <f t="shared" si="243"/>
        <v>1250</v>
      </c>
      <c r="AL359" s="2">
        <f t="shared" si="243"/>
        <v>1250</v>
      </c>
      <c r="AM359" s="2">
        <f t="shared" si="243"/>
        <v>1250</v>
      </c>
      <c r="AN359" s="2">
        <f t="shared" si="243"/>
        <v>1250</v>
      </c>
      <c r="AO359" s="2">
        <f t="shared" si="243"/>
        <v>1250</v>
      </c>
      <c r="AP359" s="2">
        <f t="shared" si="243"/>
        <v>1130</v>
      </c>
      <c r="AQ359" s="2">
        <v>1000</v>
      </c>
      <c r="AR359" s="2">
        <v>0</v>
      </c>
      <c r="AS359" s="2">
        <v>10</v>
      </c>
      <c r="AT359" s="2">
        <v>0</v>
      </c>
      <c r="AU359" s="2">
        <v>0</v>
      </c>
      <c r="AV359" s="2">
        <v>0</v>
      </c>
      <c r="AW359" s="2">
        <v>0</v>
      </c>
      <c r="AX359" s="2">
        <v>0</v>
      </c>
      <c r="AY359" s="2">
        <v>0</v>
      </c>
      <c r="AZ359" s="2">
        <v>1042</v>
      </c>
      <c r="BA359" s="2">
        <v>965</v>
      </c>
      <c r="BB359" s="2">
        <v>999</v>
      </c>
      <c r="BC359" s="2">
        <v>-1000</v>
      </c>
      <c r="BD359" s="2">
        <v>-7500</v>
      </c>
      <c r="BE359" s="2">
        <v>5000</v>
      </c>
      <c r="BF359" s="2">
        <v>3000</v>
      </c>
      <c r="BG359" s="2">
        <v>5000</v>
      </c>
      <c r="BH359" s="2">
        <v>5000</v>
      </c>
      <c r="BI359" s="2">
        <v>3000</v>
      </c>
      <c r="BJ359" s="2">
        <v>-2000</v>
      </c>
      <c r="BK359" s="2">
        <v>1000</v>
      </c>
      <c r="BL359" s="2">
        <v>1000</v>
      </c>
      <c r="BO359" s="2">
        <f t="shared" si="210"/>
        <v>0</v>
      </c>
      <c r="BP359" s="2">
        <f t="shared" si="218"/>
        <v>0</v>
      </c>
      <c r="BQ359" s="2">
        <f t="shared" si="219"/>
        <v>0</v>
      </c>
      <c r="BR359" s="2">
        <f t="shared" si="220"/>
        <v>0</v>
      </c>
      <c r="BS359" s="2">
        <f t="shared" si="221"/>
        <v>0</v>
      </c>
      <c r="BT359" s="2">
        <f t="shared" si="222"/>
        <v>0</v>
      </c>
      <c r="BU359" s="2">
        <f t="shared" si="223"/>
        <v>0</v>
      </c>
      <c r="BV359" s="2">
        <f t="shared" si="224"/>
        <v>0</v>
      </c>
      <c r="BW359" s="2">
        <f t="shared" si="225"/>
        <v>0</v>
      </c>
      <c r="BX359" s="2">
        <f t="shared" si="226"/>
        <v>0</v>
      </c>
      <c r="BY359" s="2">
        <f t="shared" si="227"/>
        <v>0</v>
      </c>
      <c r="BZ359" s="2">
        <f t="shared" si="228"/>
        <v>0</v>
      </c>
      <c r="CA359" s="2">
        <f t="shared" si="229"/>
        <v>0</v>
      </c>
      <c r="CB359" s="2">
        <f t="shared" si="230"/>
        <v>0</v>
      </c>
      <c r="CC359" s="2">
        <f t="shared" si="231"/>
        <v>0</v>
      </c>
      <c r="CD359" s="2">
        <f t="shared" si="232"/>
        <v>0</v>
      </c>
      <c r="CE359" s="2">
        <f t="shared" si="233"/>
        <v>0</v>
      </c>
      <c r="CF359" s="2">
        <f t="shared" si="234"/>
        <v>-3845.76</v>
      </c>
      <c r="CG359" s="2">
        <f t="shared" si="235"/>
        <v>3953.04</v>
      </c>
      <c r="CH359" s="2">
        <f t="shared" si="236"/>
        <v>-5597.4000000000005</v>
      </c>
      <c r="CI359" s="2">
        <f t="shared" si="237"/>
        <v>0</v>
      </c>
      <c r="CJ359" s="2">
        <f t="shared" si="238"/>
        <v>0</v>
      </c>
      <c r="CK359" s="2">
        <f t="shared" si="239"/>
        <v>0</v>
      </c>
      <c r="CL359" s="2">
        <f t="shared" si="240"/>
        <v>0</v>
      </c>
      <c r="CM359" s="2">
        <f t="shared" si="212"/>
        <v>0</v>
      </c>
      <c r="CN359" s="2">
        <f t="shared" si="213"/>
        <v>0</v>
      </c>
      <c r="CO359" s="2">
        <f t="shared" si="214"/>
        <v>0</v>
      </c>
      <c r="CP359" s="2">
        <f t="shared" si="215"/>
        <v>0</v>
      </c>
      <c r="CQ359" s="2">
        <f t="shared" si="216"/>
        <v>0</v>
      </c>
      <c r="CR359" s="2">
        <f t="shared" si="217"/>
        <v>0</v>
      </c>
      <c r="CV359" t="s">
        <v>64</v>
      </c>
      <c r="CW359" t="s">
        <v>432</v>
      </c>
      <c r="CX359" t="s">
        <v>18</v>
      </c>
      <c r="CY359" s="4">
        <v>42796</v>
      </c>
      <c r="CZ359" t="s">
        <v>67</v>
      </c>
      <c r="DA359" t="s">
        <v>68</v>
      </c>
      <c r="DB359">
        <v>20</v>
      </c>
      <c r="DC359">
        <v>62.21</v>
      </c>
      <c r="DD359" t="s">
        <v>69</v>
      </c>
      <c r="DE359" t="s">
        <v>70</v>
      </c>
      <c r="DF359">
        <v>1244.2</v>
      </c>
    </row>
    <row r="360" spans="1:110" x14ac:dyDescent="0.25">
      <c r="A360" s="1">
        <v>43257</v>
      </c>
      <c r="B360">
        <v>191.81</v>
      </c>
      <c r="C360">
        <v>100.2</v>
      </c>
      <c r="D360">
        <v>366.19</v>
      </c>
      <c r="E360">
        <v>153.58000000000001</v>
      </c>
      <c r="F360">
        <v>43.29</v>
      </c>
      <c r="G360">
        <v>119.82</v>
      </c>
      <c r="H360">
        <v>100.32</v>
      </c>
      <c r="I360">
        <v>69.2</v>
      </c>
      <c r="J360">
        <v>230.53</v>
      </c>
      <c r="K360">
        <v>191.46</v>
      </c>
      <c r="L360">
        <v>139.72999999999999</v>
      </c>
      <c r="M360">
        <v>55.98</v>
      </c>
      <c r="N360">
        <v>121.21</v>
      </c>
      <c r="O360">
        <v>108.12</v>
      </c>
      <c r="P360">
        <v>42.38</v>
      </c>
      <c r="Q360">
        <v>160.38</v>
      </c>
      <c r="R360">
        <v>199.75</v>
      </c>
      <c r="S360">
        <v>60.61</v>
      </c>
      <c r="T360">
        <v>101.66</v>
      </c>
      <c r="U360">
        <v>74.349999999999994</v>
      </c>
      <c r="V360">
        <v>35.49</v>
      </c>
      <c r="W360">
        <v>72.459999999999994</v>
      </c>
      <c r="X360">
        <v>126.48</v>
      </c>
      <c r="Y360">
        <v>246.15</v>
      </c>
      <c r="Z360">
        <v>124.69</v>
      </c>
      <c r="AA360">
        <v>135.59</v>
      </c>
      <c r="AB360">
        <v>46.84</v>
      </c>
      <c r="AC360">
        <v>62.03</v>
      </c>
      <c r="AD360">
        <v>83.62</v>
      </c>
      <c r="AE360">
        <v>79.52</v>
      </c>
      <c r="AI360" s="2">
        <v>5000</v>
      </c>
      <c r="AJ360" s="2">
        <f t="shared" si="243"/>
        <v>1250</v>
      </c>
      <c r="AK360" s="2">
        <f t="shared" si="243"/>
        <v>1250</v>
      </c>
      <c r="AL360" s="2">
        <f t="shared" si="243"/>
        <v>1250</v>
      </c>
      <c r="AM360" s="2">
        <f t="shared" si="243"/>
        <v>1250</v>
      </c>
      <c r="AN360" s="2">
        <f t="shared" si="243"/>
        <v>1250</v>
      </c>
      <c r="AO360" s="2">
        <f t="shared" si="243"/>
        <v>1250</v>
      </c>
      <c r="AP360" s="2">
        <f t="shared" si="243"/>
        <v>1130</v>
      </c>
      <c r="AQ360" s="2">
        <v>1000</v>
      </c>
      <c r="AR360" s="2">
        <v>0</v>
      </c>
      <c r="AS360" s="2">
        <v>10</v>
      </c>
      <c r="AT360" s="2">
        <v>0</v>
      </c>
      <c r="AU360" s="2">
        <v>0</v>
      </c>
      <c r="AV360" s="2">
        <v>0</v>
      </c>
      <c r="AW360" s="2">
        <v>0</v>
      </c>
      <c r="AX360" s="2">
        <v>0</v>
      </c>
      <c r="AY360" s="2">
        <v>0</v>
      </c>
      <c r="AZ360" s="2">
        <v>992</v>
      </c>
      <c r="BA360" s="2">
        <v>998</v>
      </c>
      <c r="BB360" s="2">
        <v>914</v>
      </c>
      <c r="BC360" s="2">
        <v>-1000</v>
      </c>
      <c r="BD360" s="2">
        <v>-7500</v>
      </c>
      <c r="BE360" s="2">
        <v>5000</v>
      </c>
      <c r="BF360" s="2">
        <v>3000</v>
      </c>
      <c r="BG360" s="2">
        <v>5000</v>
      </c>
      <c r="BH360" s="2">
        <v>5000</v>
      </c>
      <c r="BI360" s="2">
        <v>3000</v>
      </c>
      <c r="BJ360" s="2">
        <v>-2000</v>
      </c>
      <c r="BK360" s="2">
        <v>1000</v>
      </c>
      <c r="BL360" s="2">
        <v>1000</v>
      </c>
      <c r="BO360" s="2">
        <f t="shared" si="210"/>
        <v>0</v>
      </c>
      <c r="BP360" s="2">
        <f t="shared" si="218"/>
        <v>0</v>
      </c>
      <c r="BQ360" s="2">
        <f t="shared" si="219"/>
        <v>0</v>
      </c>
      <c r="BR360" s="2">
        <f t="shared" si="220"/>
        <v>0</v>
      </c>
      <c r="BS360" s="2">
        <f t="shared" si="221"/>
        <v>0</v>
      </c>
      <c r="BT360" s="2">
        <f t="shared" si="222"/>
        <v>0</v>
      </c>
      <c r="BU360" s="2">
        <f t="shared" si="223"/>
        <v>0</v>
      </c>
      <c r="BV360" s="2">
        <f t="shared" si="224"/>
        <v>0</v>
      </c>
      <c r="BW360" s="2">
        <f t="shared" si="225"/>
        <v>0</v>
      </c>
      <c r="BX360" s="2">
        <f t="shared" si="226"/>
        <v>0</v>
      </c>
      <c r="BY360" s="2">
        <f t="shared" si="227"/>
        <v>0</v>
      </c>
      <c r="BZ360" s="2">
        <f t="shared" si="228"/>
        <v>0</v>
      </c>
      <c r="CA360" s="2">
        <f t="shared" si="229"/>
        <v>0</v>
      </c>
      <c r="CB360" s="2">
        <f t="shared" si="230"/>
        <v>0</v>
      </c>
      <c r="CC360" s="2">
        <f t="shared" si="231"/>
        <v>0</v>
      </c>
      <c r="CD360" s="2">
        <f t="shared" si="232"/>
        <v>0</v>
      </c>
      <c r="CE360" s="2">
        <f t="shared" si="233"/>
        <v>0</v>
      </c>
      <c r="CF360" s="2">
        <f t="shared" si="234"/>
        <v>3030.5</v>
      </c>
      <c r="CG360" s="2">
        <f t="shared" si="235"/>
        <v>-3354.7799999999997</v>
      </c>
      <c r="CH360" s="2">
        <f t="shared" si="236"/>
        <v>6319.7499999999991</v>
      </c>
      <c r="CI360" s="2">
        <f t="shared" si="237"/>
        <v>0</v>
      </c>
      <c r="CJ360" s="2">
        <f t="shared" si="238"/>
        <v>0</v>
      </c>
      <c r="CK360" s="2">
        <f t="shared" si="239"/>
        <v>0</v>
      </c>
      <c r="CL360" s="2">
        <f t="shared" si="240"/>
        <v>0</v>
      </c>
      <c r="CM360" s="2">
        <f t="shared" si="212"/>
        <v>0</v>
      </c>
      <c r="CN360" s="2">
        <f t="shared" si="213"/>
        <v>0</v>
      </c>
      <c r="CO360" s="2">
        <f t="shared" si="214"/>
        <v>0</v>
      </c>
      <c r="CP360" s="2">
        <f t="shared" si="215"/>
        <v>0</v>
      </c>
      <c r="CQ360" s="2">
        <f t="shared" si="216"/>
        <v>0</v>
      </c>
      <c r="CR360" s="2">
        <f t="shared" si="217"/>
        <v>0</v>
      </c>
      <c r="CV360" t="s">
        <v>64</v>
      </c>
      <c r="CW360" t="s">
        <v>433</v>
      </c>
      <c r="CX360" t="s">
        <v>18</v>
      </c>
      <c r="CY360" s="4">
        <v>42800</v>
      </c>
      <c r="CZ360" t="s">
        <v>67</v>
      </c>
      <c r="DA360" t="s">
        <v>68</v>
      </c>
      <c r="DB360">
        <v>39</v>
      </c>
      <c r="DC360">
        <v>62.58</v>
      </c>
      <c r="DD360" t="s">
        <v>69</v>
      </c>
      <c r="DE360" t="s">
        <v>70</v>
      </c>
      <c r="DF360">
        <v>2440.62</v>
      </c>
    </row>
    <row r="361" spans="1:110" x14ac:dyDescent="0.25">
      <c r="A361" s="1">
        <v>43258</v>
      </c>
      <c r="B361">
        <v>191.29</v>
      </c>
      <c r="C361">
        <v>100.7</v>
      </c>
      <c r="D361">
        <v>363.21</v>
      </c>
      <c r="E361">
        <v>153.37</v>
      </c>
      <c r="F361">
        <v>42.69</v>
      </c>
      <c r="G361">
        <v>123.3</v>
      </c>
      <c r="H361">
        <v>100.87</v>
      </c>
      <c r="I361">
        <v>68.59</v>
      </c>
      <c r="J361">
        <v>231.74</v>
      </c>
      <c r="K361">
        <v>194.01</v>
      </c>
      <c r="L361">
        <v>140.36000000000001</v>
      </c>
      <c r="M361">
        <v>54.85</v>
      </c>
      <c r="N361">
        <v>121.74</v>
      </c>
      <c r="O361">
        <v>108.55</v>
      </c>
      <c r="P361">
        <v>42.36</v>
      </c>
      <c r="Q361">
        <v>167.4</v>
      </c>
      <c r="R361">
        <v>200.93</v>
      </c>
      <c r="S361">
        <v>60.67</v>
      </c>
      <c r="T361">
        <v>100.06</v>
      </c>
      <c r="U361">
        <v>74.36</v>
      </c>
      <c r="V361">
        <v>35.590000000000003</v>
      </c>
      <c r="W361">
        <v>73.84</v>
      </c>
      <c r="X361">
        <v>128.22</v>
      </c>
      <c r="Y361">
        <v>246.48</v>
      </c>
      <c r="Z361">
        <v>125.43</v>
      </c>
      <c r="AA361">
        <v>133.16999999999999</v>
      </c>
      <c r="AB361">
        <v>47.42</v>
      </c>
      <c r="AC361">
        <v>62.48</v>
      </c>
      <c r="AD361">
        <v>84</v>
      </c>
      <c r="AE361">
        <v>80.319999999999993</v>
      </c>
      <c r="AI361" s="2">
        <v>5000</v>
      </c>
      <c r="AJ361" s="2">
        <f t="shared" si="243"/>
        <v>1250</v>
      </c>
      <c r="AK361" s="2">
        <f t="shared" si="243"/>
        <v>1250</v>
      </c>
      <c r="AL361" s="2">
        <f t="shared" si="243"/>
        <v>1250</v>
      </c>
      <c r="AM361" s="2">
        <f t="shared" si="243"/>
        <v>1250</v>
      </c>
      <c r="AN361" s="2">
        <f t="shared" si="243"/>
        <v>1250</v>
      </c>
      <c r="AO361" s="2">
        <f t="shared" si="243"/>
        <v>1250</v>
      </c>
      <c r="AP361" s="2">
        <f t="shared" si="243"/>
        <v>1130</v>
      </c>
      <c r="AQ361" s="2">
        <v>1000</v>
      </c>
      <c r="AR361" s="2">
        <v>0</v>
      </c>
      <c r="AS361" s="2">
        <v>10</v>
      </c>
      <c r="AT361" s="2">
        <v>0</v>
      </c>
      <c r="AU361" s="2">
        <v>0</v>
      </c>
      <c r="AV361" s="2">
        <v>0</v>
      </c>
      <c r="AW361" s="2">
        <v>0</v>
      </c>
      <c r="AX361" s="2">
        <v>0</v>
      </c>
      <c r="AY361" s="2">
        <v>0</v>
      </c>
      <c r="AZ361" s="2">
        <v>1005</v>
      </c>
      <c r="BA361" s="2">
        <v>967</v>
      </c>
      <c r="BB361" s="2">
        <v>983</v>
      </c>
      <c r="BC361" s="2">
        <v>-1000</v>
      </c>
      <c r="BD361" s="2">
        <v>-7500</v>
      </c>
      <c r="BE361" s="2">
        <v>5000</v>
      </c>
      <c r="BF361" s="2">
        <v>3000</v>
      </c>
      <c r="BG361" s="2">
        <v>5000</v>
      </c>
      <c r="BH361" s="2">
        <v>5000</v>
      </c>
      <c r="BI361" s="2">
        <v>3000</v>
      </c>
      <c r="BJ361" s="2">
        <v>-2000</v>
      </c>
      <c r="BK361" s="2">
        <v>1000</v>
      </c>
      <c r="BL361" s="2">
        <v>1000</v>
      </c>
      <c r="BO361" s="2">
        <f t="shared" si="210"/>
        <v>0</v>
      </c>
      <c r="BP361" s="2">
        <f t="shared" si="218"/>
        <v>0</v>
      </c>
      <c r="BQ361" s="2">
        <f t="shared" si="219"/>
        <v>0</v>
      </c>
      <c r="BR361" s="2">
        <f t="shared" si="220"/>
        <v>0</v>
      </c>
      <c r="BS361" s="2">
        <f t="shared" si="221"/>
        <v>0</v>
      </c>
      <c r="BT361" s="2">
        <f t="shared" si="222"/>
        <v>0</v>
      </c>
      <c r="BU361" s="2">
        <f t="shared" si="223"/>
        <v>0</v>
      </c>
      <c r="BV361" s="2">
        <f t="shared" si="224"/>
        <v>0</v>
      </c>
      <c r="BW361" s="2">
        <f t="shared" si="225"/>
        <v>0</v>
      </c>
      <c r="BX361" s="2">
        <f t="shared" si="226"/>
        <v>0</v>
      </c>
      <c r="BY361" s="2">
        <f t="shared" si="227"/>
        <v>0</v>
      </c>
      <c r="BZ361" s="2">
        <f t="shared" si="228"/>
        <v>0</v>
      </c>
      <c r="CA361" s="2">
        <f t="shared" si="229"/>
        <v>0</v>
      </c>
      <c r="CB361" s="2">
        <f t="shared" si="230"/>
        <v>0</v>
      </c>
      <c r="CC361" s="2">
        <f t="shared" si="231"/>
        <v>0</v>
      </c>
      <c r="CD361" s="2">
        <f t="shared" si="232"/>
        <v>0</v>
      </c>
      <c r="CE361" s="2">
        <f t="shared" si="233"/>
        <v>0</v>
      </c>
      <c r="CF361" s="2">
        <f t="shared" si="234"/>
        <v>-788.71</v>
      </c>
      <c r="CG361" s="2">
        <f t="shared" si="235"/>
        <v>3101.86</v>
      </c>
      <c r="CH361" s="2">
        <f t="shared" si="236"/>
        <v>-5130.84</v>
      </c>
      <c r="CI361" s="2">
        <f t="shared" si="237"/>
        <v>0</v>
      </c>
      <c r="CJ361" s="2">
        <f t="shared" si="238"/>
        <v>0</v>
      </c>
      <c r="CK361" s="2">
        <f t="shared" si="239"/>
        <v>0</v>
      </c>
      <c r="CL361" s="2">
        <f t="shared" si="240"/>
        <v>0</v>
      </c>
      <c r="CM361" s="2">
        <f t="shared" si="212"/>
        <v>0</v>
      </c>
      <c r="CN361" s="2">
        <f t="shared" si="213"/>
        <v>0</v>
      </c>
      <c r="CO361" s="2">
        <f t="shared" si="214"/>
        <v>0</v>
      </c>
      <c r="CP361" s="2">
        <f t="shared" si="215"/>
        <v>0</v>
      </c>
      <c r="CQ361" s="2">
        <f t="shared" si="216"/>
        <v>0</v>
      </c>
      <c r="CR361" s="2">
        <f t="shared" si="217"/>
        <v>0</v>
      </c>
      <c r="CV361" t="s">
        <v>64</v>
      </c>
      <c r="CW361" t="s">
        <v>434</v>
      </c>
      <c r="CX361" t="s">
        <v>18</v>
      </c>
      <c r="CY361" s="4">
        <v>42801</v>
      </c>
      <c r="CZ361" t="s">
        <v>65</v>
      </c>
      <c r="DA361" t="s">
        <v>66</v>
      </c>
      <c r="DB361">
        <v>28</v>
      </c>
      <c r="DC361">
        <v>62.09</v>
      </c>
      <c r="DD361" t="s">
        <v>69</v>
      </c>
      <c r="DE361" t="s">
        <v>70</v>
      </c>
      <c r="DF361">
        <v>1738.52</v>
      </c>
    </row>
    <row r="362" spans="1:110" x14ac:dyDescent="0.25">
      <c r="A362" s="1">
        <v>43259</v>
      </c>
      <c r="B362">
        <v>189.55</v>
      </c>
      <c r="C362">
        <v>100.23</v>
      </c>
      <c r="D362">
        <v>364.16</v>
      </c>
      <c r="E362">
        <v>152.41999999999999</v>
      </c>
      <c r="F362">
        <v>42.52</v>
      </c>
      <c r="G362">
        <v>122.79</v>
      </c>
      <c r="H362">
        <v>102.36</v>
      </c>
      <c r="I362">
        <v>68.66</v>
      </c>
      <c r="J362">
        <v>231.68</v>
      </c>
      <c r="K362">
        <v>196.15</v>
      </c>
      <c r="L362">
        <v>141.12</v>
      </c>
      <c r="M362">
        <v>54.03</v>
      </c>
      <c r="N362">
        <v>122.46</v>
      </c>
      <c r="O362">
        <v>108.86</v>
      </c>
      <c r="P362">
        <v>42.86</v>
      </c>
      <c r="Q362">
        <v>166.83</v>
      </c>
      <c r="R362">
        <v>202.42</v>
      </c>
      <c r="S362">
        <v>61.25</v>
      </c>
      <c r="T362">
        <v>100.8</v>
      </c>
      <c r="U362">
        <v>74.489999999999995</v>
      </c>
      <c r="V362">
        <v>35.770000000000003</v>
      </c>
      <c r="W362">
        <v>75.22</v>
      </c>
      <c r="X362">
        <v>129.76</v>
      </c>
      <c r="Y362">
        <v>248.16</v>
      </c>
      <c r="Z362">
        <v>125.46</v>
      </c>
      <c r="AA362">
        <v>134.06</v>
      </c>
      <c r="AB362">
        <v>47.59</v>
      </c>
      <c r="AC362">
        <v>62.28</v>
      </c>
      <c r="AD362">
        <v>83.42</v>
      </c>
      <c r="AE362">
        <v>81.02</v>
      </c>
      <c r="AI362" s="2">
        <v>5000</v>
      </c>
      <c r="AJ362" s="2">
        <f t="shared" si="243"/>
        <v>1250</v>
      </c>
      <c r="AK362" s="2">
        <f t="shared" si="243"/>
        <v>1250</v>
      </c>
      <c r="AL362" s="2">
        <f t="shared" si="243"/>
        <v>1250</v>
      </c>
      <c r="AM362" s="2">
        <f t="shared" si="243"/>
        <v>1250</v>
      </c>
      <c r="AN362" s="2">
        <f t="shared" si="243"/>
        <v>1250</v>
      </c>
      <c r="AO362" s="2">
        <f t="shared" si="243"/>
        <v>1250</v>
      </c>
      <c r="AP362" s="2">
        <f t="shared" si="243"/>
        <v>1130</v>
      </c>
      <c r="AQ362" s="2">
        <v>1000</v>
      </c>
      <c r="AR362" s="2">
        <v>0</v>
      </c>
      <c r="AS362" s="2">
        <v>10</v>
      </c>
      <c r="AT362" s="2">
        <v>0</v>
      </c>
      <c r="AU362" s="2">
        <v>0</v>
      </c>
      <c r="AV362" s="2">
        <v>0</v>
      </c>
      <c r="AW362" s="2">
        <v>0</v>
      </c>
      <c r="AX362" s="2">
        <v>0</v>
      </c>
      <c r="AY362" s="2">
        <v>0</v>
      </c>
      <c r="AZ362" s="2">
        <v>1044</v>
      </c>
      <c r="BA362" s="2">
        <v>1053</v>
      </c>
      <c r="BB362" s="2">
        <v>972</v>
      </c>
      <c r="BC362" s="2">
        <v>-1000</v>
      </c>
      <c r="BD362" s="2">
        <v>-7500</v>
      </c>
      <c r="BE362" s="2">
        <v>5000</v>
      </c>
      <c r="BF362" s="2">
        <v>3000</v>
      </c>
      <c r="BG362" s="2">
        <v>5000</v>
      </c>
      <c r="BH362" s="2">
        <v>5000</v>
      </c>
      <c r="BI362" s="2">
        <v>3000</v>
      </c>
      <c r="BJ362" s="2">
        <v>-2000</v>
      </c>
      <c r="BK362" s="2">
        <v>1000</v>
      </c>
      <c r="BL362" s="2">
        <v>1000</v>
      </c>
      <c r="BO362" s="2">
        <f t="shared" si="210"/>
        <v>0</v>
      </c>
      <c r="BP362" s="2">
        <f t="shared" si="218"/>
        <v>0</v>
      </c>
      <c r="BQ362" s="2">
        <f t="shared" si="219"/>
        <v>0</v>
      </c>
      <c r="BR362" s="2">
        <f t="shared" si="220"/>
        <v>0</v>
      </c>
      <c r="BS362" s="2">
        <f t="shared" si="221"/>
        <v>0</v>
      </c>
      <c r="BT362" s="2">
        <f t="shared" si="222"/>
        <v>0</v>
      </c>
      <c r="BU362" s="2">
        <f t="shared" si="223"/>
        <v>0</v>
      </c>
      <c r="BV362" s="2">
        <f t="shared" si="224"/>
        <v>0</v>
      </c>
      <c r="BW362" s="2">
        <f t="shared" si="225"/>
        <v>0</v>
      </c>
      <c r="BX362" s="2">
        <f t="shared" si="226"/>
        <v>0</v>
      </c>
      <c r="BY362" s="2">
        <f t="shared" si="227"/>
        <v>0</v>
      </c>
      <c r="BZ362" s="2">
        <f t="shared" si="228"/>
        <v>0</v>
      </c>
      <c r="CA362" s="2">
        <f t="shared" si="229"/>
        <v>0</v>
      </c>
      <c r="CB362" s="2">
        <f t="shared" si="230"/>
        <v>0</v>
      </c>
      <c r="CC362" s="2">
        <f t="shared" si="231"/>
        <v>0</v>
      </c>
      <c r="CD362" s="2">
        <f t="shared" si="232"/>
        <v>0</v>
      </c>
      <c r="CE362" s="2">
        <f t="shared" si="233"/>
        <v>0</v>
      </c>
      <c r="CF362" s="2">
        <f t="shared" si="234"/>
        <v>-2388.75</v>
      </c>
      <c r="CG362" s="2">
        <f t="shared" si="235"/>
        <v>-8668.7999999999993</v>
      </c>
      <c r="CH362" s="2">
        <f t="shared" si="236"/>
        <v>819.39</v>
      </c>
      <c r="CI362" s="2">
        <f t="shared" si="237"/>
        <v>0</v>
      </c>
      <c r="CJ362" s="2">
        <f t="shared" si="238"/>
        <v>0</v>
      </c>
      <c r="CK362" s="2">
        <f t="shared" si="239"/>
        <v>0</v>
      </c>
      <c r="CL362" s="2">
        <f t="shared" si="240"/>
        <v>0</v>
      </c>
      <c r="CM362" s="2">
        <f t="shared" si="212"/>
        <v>0</v>
      </c>
      <c r="CN362" s="2">
        <f t="shared" si="213"/>
        <v>0</v>
      </c>
      <c r="CO362" s="2">
        <f t="shared" si="214"/>
        <v>0</v>
      </c>
      <c r="CP362" s="2">
        <f t="shared" si="215"/>
        <v>0</v>
      </c>
      <c r="CQ362" s="2">
        <f t="shared" si="216"/>
        <v>0</v>
      </c>
      <c r="CR362" s="2">
        <f t="shared" si="217"/>
        <v>0</v>
      </c>
      <c r="CV362" t="s">
        <v>64</v>
      </c>
      <c r="CW362" t="s">
        <v>435</v>
      </c>
      <c r="CX362" t="s">
        <v>18</v>
      </c>
      <c r="CY362" s="4">
        <v>42802</v>
      </c>
      <c r="CZ362" t="s">
        <v>65</v>
      </c>
      <c r="DA362" t="s">
        <v>66</v>
      </c>
      <c r="DB362">
        <v>66</v>
      </c>
      <c r="DC362">
        <v>61.94</v>
      </c>
      <c r="DD362" t="s">
        <v>69</v>
      </c>
      <c r="DE362" t="s">
        <v>70</v>
      </c>
      <c r="DF362">
        <v>4088.04</v>
      </c>
    </row>
    <row r="363" spans="1:110" x14ac:dyDescent="0.25">
      <c r="A363" s="1">
        <v>43262</v>
      </c>
      <c r="B363">
        <v>189.09</v>
      </c>
      <c r="C363">
        <v>100.43</v>
      </c>
      <c r="D363">
        <v>365.58</v>
      </c>
      <c r="E363">
        <v>153.38</v>
      </c>
      <c r="F363">
        <v>42.73</v>
      </c>
      <c r="G363">
        <v>123.88</v>
      </c>
      <c r="H363">
        <v>102.72</v>
      </c>
      <c r="I363">
        <v>68.66</v>
      </c>
      <c r="J363">
        <v>232.38</v>
      </c>
      <c r="K363">
        <v>197.44</v>
      </c>
      <c r="L363">
        <v>141.54</v>
      </c>
      <c r="M363">
        <v>53.51</v>
      </c>
      <c r="N363">
        <v>121.08</v>
      </c>
      <c r="O363">
        <v>108.58</v>
      </c>
      <c r="P363">
        <v>43.03</v>
      </c>
      <c r="Q363">
        <v>164.44</v>
      </c>
      <c r="R363">
        <v>200.98</v>
      </c>
      <c r="S363">
        <v>61.01</v>
      </c>
      <c r="T363">
        <v>100.23</v>
      </c>
      <c r="U363">
        <v>74.19</v>
      </c>
      <c r="V363">
        <v>35.409999999999997</v>
      </c>
      <c r="W363">
        <v>75.56</v>
      </c>
      <c r="X363">
        <v>128.94999999999999</v>
      </c>
      <c r="Y363">
        <v>251.23</v>
      </c>
      <c r="Z363">
        <v>126.01</v>
      </c>
      <c r="AA363">
        <v>133.24</v>
      </c>
      <c r="AB363">
        <v>47.7</v>
      </c>
      <c r="AC363">
        <v>62.93</v>
      </c>
      <c r="AD363">
        <v>83.36</v>
      </c>
      <c r="AE363">
        <v>80.53</v>
      </c>
      <c r="AI363" s="2">
        <v>5000</v>
      </c>
      <c r="AJ363" s="2">
        <f t="shared" si="243"/>
        <v>1250</v>
      </c>
      <c r="AK363" s="2">
        <f t="shared" si="243"/>
        <v>1250</v>
      </c>
      <c r="AL363" s="2">
        <f t="shared" si="243"/>
        <v>1250</v>
      </c>
      <c r="AM363" s="2">
        <f t="shared" si="243"/>
        <v>1250</v>
      </c>
      <c r="AN363" s="2">
        <f t="shared" si="243"/>
        <v>1250</v>
      </c>
      <c r="AO363" s="2">
        <f t="shared" si="243"/>
        <v>1250</v>
      </c>
      <c r="AP363" s="2">
        <f t="shared" si="243"/>
        <v>1130</v>
      </c>
      <c r="AQ363" s="2">
        <v>1000</v>
      </c>
      <c r="AR363" s="2">
        <v>0</v>
      </c>
      <c r="AS363" s="2">
        <v>10</v>
      </c>
      <c r="AT363" s="2">
        <v>0</v>
      </c>
      <c r="AU363" s="2">
        <v>0</v>
      </c>
      <c r="AV363" s="2">
        <v>0</v>
      </c>
      <c r="AW363" s="2">
        <v>0</v>
      </c>
      <c r="AX363" s="2">
        <v>0</v>
      </c>
      <c r="AY363" s="2">
        <v>0</v>
      </c>
      <c r="AZ363" s="2">
        <v>967</v>
      </c>
      <c r="BA363" s="2">
        <v>996</v>
      </c>
      <c r="BB363" s="2">
        <v>925</v>
      </c>
      <c r="BC363" s="2">
        <v>-1000</v>
      </c>
      <c r="BD363" s="2">
        <v>-7500</v>
      </c>
      <c r="BE363" s="2">
        <v>5000</v>
      </c>
      <c r="BF363" s="2">
        <v>3000</v>
      </c>
      <c r="BG363" s="2">
        <v>5000</v>
      </c>
      <c r="BH363" s="2">
        <v>5000</v>
      </c>
      <c r="BI363" s="2">
        <v>3000</v>
      </c>
      <c r="BJ363" s="2">
        <v>-2000</v>
      </c>
      <c r="BK363" s="2">
        <v>1000</v>
      </c>
      <c r="BL363" s="2">
        <v>1000</v>
      </c>
      <c r="BO363" s="2">
        <f t="shared" si="210"/>
        <v>0</v>
      </c>
      <c r="BP363" s="2">
        <f t="shared" si="218"/>
        <v>0</v>
      </c>
      <c r="BQ363" s="2">
        <f t="shared" si="219"/>
        <v>0</v>
      </c>
      <c r="BR363" s="2">
        <f t="shared" si="220"/>
        <v>0</v>
      </c>
      <c r="BS363" s="2">
        <f t="shared" si="221"/>
        <v>0</v>
      </c>
      <c r="BT363" s="2">
        <f t="shared" si="222"/>
        <v>0</v>
      </c>
      <c r="BU363" s="2">
        <f t="shared" si="223"/>
        <v>0</v>
      </c>
      <c r="BV363" s="2">
        <f t="shared" si="224"/>
        <v>0</v>
      </c>
      <c r="BW363" s="2">
        <f t="shared" si="225"/>
        <v>0</v>
      </c>
      <c r="BX363" s="2">
        <f t="shared" si="226"/>
        <v>0</v>
      </c>
      <c r="BY363" s="2">
        <f t="shared" si="227"/>
        <v>0</v>
      </c>
      <c r="BZ363" s="2">
        <f t="shared" si="228"/>
        <v>0</v>
      </c>
      <c r="CA363" s="2">
        <f t="shared" si="229"/>
        <v>0</v>
      </c>
      <c r="CB363" s="2">
        <f t="shared" si="230"/>
        <v>0</v>
      </c>
      <c r="CC363" s="2">
        <f t="shared" si="231"/>
        <v>0</v>
      </c>
      <c r="CD363" s="2">
        <f t="shared" si="232"/>
        <v>0</v>
      </c>
      <c r="CE363" s="2">
        <f t="shared" si="233"/>
        <v>0</v>
      </c>
      <c r="CF363" s="2">
        <f t="shared" si="234"/>
        <v>4697.7699999999995</v>
      </c>
      <c r="CG363" s="2">
        <f t="shared" si="235"/>
        <v>5713.1100000000006</v>
      </c>
      <c r="CH363" s="2">
        <f t="shared" si="236"/>
        <v>3486.93</v>
      </c>
      <c r="CI363" s="2">
        <f t="shared" si="237"/>
        <v>0</v>
      </c>
      <c r="CJ363" s="2">
        <f t="shared" si="238"/>
        <v>0</v>
      </c>
      <c r="CK363" s="2">
        <f t="shared" si="239"/>
        <v>0</v>
      </c>
      <c r="CL363" s="2">
        <f t="shared" si="240"/>
        <v>0</v>
      </c>
      <c r="CM363" s="2">
        <f t="shared" si="212"/>
        <v>0</v>
      </c>
      <c r="CN363" s="2">
        <f t="shared" si="213"/>
        <v>0</v>
      </c>
      <c r="CO363" s="2">
        <f t="shared" si="214"/>
        <v>0</v>
      </c>
      <c r="CP363" s="2">
        <f t="shared" si="215"/>
        <v>0</v>
      </c>
      <c r="CQ363" s="2">
        <f t="shared" si="216"/>
        <v>0</v>
      </c>
      <c r="CR363" s="2">
        <f t="shared" si="217"/>
        <v>0</v>
      </c>
      <c r="CV363" t="s">
        <v>64</v>
      </c>
      <c r="CW363" t="s">
        <v>436</v>
      </c>
      <c r="CX363" t="s">
        <v>18</v>
      </c>
      <c r="CY363" s="4">
        <v>42803</v>
      </c>
      <c r="CZ363" t="s">
        <v>67</v>
      </c>
      <c r="DA363" t="s">
        <v>68</v>
      </c>
      <c r="DB363">
        <v>71</v>
      </c>
      <c r="DC363">
        <v>62.03</v>
      </c>
      <c r="DD363" t="s">
        <v>69</v>
      </c>
      <c r="DE363" t="s">
        <v>70</v>
      </c>
      <c r="DF363">
        <v>4404.13</v>
      </c>
    </row>
    <row r="364" spans="1:110" x14ac:dyDescent="0.25">
      <c r="A364" s="1">
        <v>43263</v>
      </c>
      <c r="B364">
        <v>190.13</v>
      </c>
      <c r="C364">
        <v>99.96</v>
      </c>
      <c r="D364">
        <v>365.27</v>
      </c>
      <c r="E364">
        <v>154.54</v>
      </c>
      <c r="F364">
        <v>42.97</v>
      </c>
      <c r="G364">
        <v>123.41</v>
      </c>
      <c r="H364">
        <v>102.7</v>
      </c>
      <c r="I364">
        <v>68.95</v>
      </c>
      <c r="J364">
        <v>230.93</v>
      </c>
      <c r="K364">
        <v>199.09</v>
      </c>
      <c r="L364">
        <v>141.82</v>
      </c>
      <c r="M364">
        <v>53.81</v>
      </c>
      <c r="N364">
        <v>120.96</v>
      </c>
      <c r="O364">
        <v>107.96</v>
      </c>
      <c r="P364">
        <v>43.3</v>
      </c>
      <c r="Q364">
        <v>164.68</v>
      </c>
      <c r="R364">
        <v>200.79</v>
      </c>
      <c r="S364">
        <v>61.11</v>
      </c>
      <c r="T364">
        <v>100.49</v>
      </c>
      <c r="U364">
        <v>73.89</v>
      </c>
      <c r="V364">
        <v>35.409999999999997</v>
      </c>
      <c r="W364">
        <v>75.28</v>
      </c>
      <c r="X364">
        <v>128.04</v>
      </c>
      <c r="Y364">
        <v>251.03</v>
      </c>
      <c r="Z364">
        <v>125.7</v>
      </c>
      <c r="AA364">
        <v>134.18</v>
      </c>
      <c r="AB364">
        <v>47.23</v>
      </c>
      <c r="AC364">
        <v>62.57</v>
      </c>
      <c r="AD364">
        <v>83.16</v>
      </c>
      <c r="AE364">
        <v>79.87</v>
      </c>
      <c r="AI364" s="2">
        <v>5000</v>
      </c>
      <c r="AJ364" s="2">
        <f t="shared" si="243"/>
        <v>1250</v>
      </c>
      <c r="AK364" s="2">
        <f t="shared" si="243"/>
        <v>1250</v>
      </c>
      <c r="AL364" s="2">
        <f t="shared" si="243"/>
        <v>1250</v>
      </c>
      <c r="AM364" s="2">
        <f t="shared" si="243"/>
        <v>1250</v>
      </c>
      <c r="AN364" s="2">
        <f t="shared" si="243"/>
        <v>1250</v>
      </c>
      <c r="AO364" s="2">
        <f t="shared" si="243"/>
        <v>1250</v>
      </c>
      <c r="AP364" s="2">
        <f t="shared" si="243"/>
        <v>1130</v>
      </c>
      <c r="AQ364" s="2">
        <v>1000</v>
      </c>
      <c r="AR364" s="2">
        <v>0</v>
      </c>
      <c r="AS364" s="2">
        <v>10</v>
      </c>
      <c r="AT364" s="2">
        <v>0</v>
      </c>
      <c r="AU364" s="2">
        <v>0</v>
      </c>
      <c r="AV364" s="2">
        <v>0</v>
      </c>
      <c r="AW364" s="2">
        <v>0</v>
      </c>
      <c r="AX364" s="2">
        <v>0</v>
      </c>
      <c r="AY364" s="2">
        <v>0</v>
      </c>
      <c r="AZ364" s="2">
        <v>1019</v>
      </c>
      <c r="BA364" s="2">
        <v>975</v>
      </c>
      <c r="BB364" s="2">
        <v>1085</v>
      </c>
      <c r="BC364" s="2">
        <v>-1000</v>
      </c>
      <c r="BD364" s="2">
        <v>-7500</v>
      </c>
      <c r="BE364" s="2">
        <v>5000</v>
      </c>
      <c r="BF364" s="2">
        <v>3000</v>
      </c>
      <c r="BG364" s="2">
        <v>5000</v>
      </c>
      <c r="BH364" s="2">
        <v>5000</v>
      </c>
      <c r="BI364" s="2">
        <v>3000</v>
      </c>
      <c r="BJ364" s="2">
        <v>-2000</v>
      </c>
      <c r="BK364" s="2">
        <v>1000</v>
      </c>
      <c r="BL364" s="2">
        <v>1000</v>
      </c>
      <c r="BO364" s="2">
        <f t="shared" si="210"/>
        <v>0</v>
      </c>
      <c r="BP364" s="2">
        <f t="shared" si="218"/>
        <v>0</v>
      </c>
      <c r="BQ364" s="2">
        <f t="shared" si="219"/>
        <v>0</v>
      </c>
      <c r="BR364" s="2">
        <f t="shared" si="220"/>
        <v>0</v>
      </c>
      <c r="BS364" s="2">
        <f t="shared" si="221"/>
        <v>0</v>
      </c>
      <c r="BT364" s="2">
        <f t="shared" si="222"/>
        <v>0</v>
      </c>
      <c r="BU364" s="2">
        <f t="shared" si="223"/>
        <v>0</v>
      </c>
      <c r="BV364" s="2">
        <f t="shared" si="224"/>
        <v>0</v>
      </c>
      <c r="BW364" s="2">
        <f t="shared" si="225"/>
        <v>0</v>
      </c>
      <c r="BX364" s="2">
        <f t="shared" si="226"/>
        <v>0</v>
      </c>
      <c r="BY364" s="2">
        <f t="shared" si="227"/>
        <v>0</v>
      </c>
      <c r="BZ364" s="2">
        <f t="shared" si="228"/>
        <v>0</v>
      </c>
      <c r="CA364" s="2">
        <f t="shared" si="229"/>
        <v>0</v>
      </c>
      <c r="CB364" s="2">
        <f t="shared" si="230"/>
        <v>0</v>
      </c>
      <c r="CC364" s="2">
        <f t="shared" si="231"/>
        <v>0</v>
      </c>
      <c r="CD364" s="2">
        <f t="shared" si="232"/>
        <v>0</v>
      </c>
      <c r="CE364" s="2">
        <f t="shared" si="233"/>
        <v>0</v>
      </c>
      <c r="CF364" s="2">
        <f t="shared" si="234"/>
        <v>-3177.72</v>
      </c>
      <c r="CG364" s="2">
        <f t="shared" si="235"/>
        <v>2110.29</v>
      </c>
      <c r="CH364" s="2">
        <f t="shared" si="236"/>
        <v>-11822.4</v>
      </c>
      <c r="CI364" s="2">
        <f t="shared" si="237"/>
        <v>0</v>
      </c>
      <c r="CJ364" s="2">
        <f t="shared" si="238"/>
        <v>0</v>
      </c>
      <c r="CK364" s="2">
        <f t="shared" si="239"/>
        <v>0</v>
      </c>
      <c r="CL364" s="2">
        <f t="shared" si="240"/>
        <v>0</v>
      </c>
      <c r="CM364" s="2">
        <f t="shared" si="212"/>
        <v>0</v>
      </c>
      <c r="CN364" s="2">
        <f t="shared" si="213"/>
        <v>0</v>
      </c>
      <c r="CO364" s="2">
        <f t="shared" si="214"/>
        <v>0</v>
      </c>
      <c r="CP364" s="2">
        <f t="shared" si="215"/>
        <v>0</v>
      </c>
      <c r="CQ364" s="2">
        <f t="shared" si="216"/>
        <v>0</v>
      </c>
      <c r="CR364" s="2">
        <f t="shared" si="217"/>
        <v>0</v>
      </c>
      <c r="CV364" t="s">
        <v>64</v>
      </c>
      <c r="CW364" t="s">
        <v>437</v>
      </c>
      <c r="CX364" t="s">
        <v>18</v>
      </c>
      <c r="CY364" s="4">
        <v>42804</v>
      </c>
      <c r="CZ364" t="s">
        <v>67</v>
      </c>
      <c r="DA364" t="s">
        <v>68</v>
      </c>
      <c r="DB364">
        <v>6</v>
      </c>
      <c r="DC364">
        <v>61.76</v>
      </c>
      <c r="DD364" t="s">
        <v>69</v>
      </c>
      <c r="DE364" t="s">
        <v>70</v>
      </c>
      <c r="DF364">
        <v>370.56</v>
      </c>
    </row>
    <row r="365" spans="1:110" x14ac:dyDescent="0.25">
      <c r="A365" s="1">
        <v>43264</v>
      </c>
      <c r="B365">
        <v>188.56</v>
      </c>
      <c r="C365">
        <v>99.26</v>
      </c>
      <c r="D365">
        <v>358.6</v>
      </c>
      <c r="E365">
        <v>151.82</v>
      </c>
      <c r="F365">
        <v>43.04</v>
      </c>
      <c r="G365">
        <v>123.4</v>
      </c>
      <c r="H365">
        <v>104.65</v>
      </c>
      <c r="I365">
        <v>67.75</v>
      </c>
      <c r="J365">
        <v>232.12</v>
      </c>
      <c r="K365">
        <v>198.1</v>
      </c>
      <c r="L365">
        <v>141.32</v>
      </c>
      <c r="M365">
        <v>54.01</v>
      </c>
      <c r="N365">
        <v>121.05</v>
      </c>
      <c r="O365">
        <v>107.74</v>
      </c>
      <c r="P365">
        <v>43.08</v>
      </c>
      <c r="Q365">
        <v>164.53</v>
      </c>
      <c r="R365">
        <v>200.76</v>
      </c>
      <c r="S365">
        <v>61.26</v>
      </c>
      <c r="T365">
        <v>100.03</v>
      </c>
      <c r="U365">
        <v>73.709999999999994</v>
      </c>
      <c r="V365">
        <v>35.33</v>
      </c>
      <c r="W365">
        <v>74.53</v>
      </c>
      <c r="X365">
        <v>128.16999999999999</v>
      </c>
      <c r="Y365">
        <v>250.33</v>
      </c>
      <c r="Z365">
        <v>124.8</v>
      </c>
      <c r="AA365">
        <v>133.72</v>
      </c>
      <c r="AB365">
        <v>45.87</v>
      </c>
      <c r="AC365">
        <v>62.78</v>
      </c>
      <c r="AD365">
        <v>83.15</v>
      </c>
      <c r="AE365">
        <v>78.989999999999995</v>
      </c>
      <c r="AI365" s="2">
        <v>5000</v>
      </c>
      <c r="AJ365" s="2">
        <f t="shared" si="243"/>
        <v>1250</v>
      </c>
      <c r="AK365" s="2">
        <f t="shared" si="243"/>
        <v>1250</v>
      </c>
      <c r="AL365" s="2">
        <f t="shared" si="243"/>
        <v>1250</v>
      </c>
      <c r="AM365" s="2">
        <f t="shared" si="243"/>
        <v>1250</v>
      </c>
      <c r="AN365" s="2">
        <f t="shared" si="243"/>
        <v>1250</v>
      </c>
      <c r="AO365" s="2">
        <f t="shared" si="243"/>
        <v>1250</v>
      </c>
      <c r="AP365" s="2">
        <f t="shared" si="243"/>
        <v>1130</v>
      </c>
      <c r="AQ365" s="2">
        <v>1000</v>
      </c>
      <c r="AR365" s="2">
        <v>0</v>
      </c>
      <c r="AS365" s="2">
        <v>10</v>
      </c>
      <c r="AT365" s="2">
        <v>0</v>
      </c>
      <c r="AU365" s="2">
        <v>0</v>
      </c>
      <c r="AV365" s="2">
        <v>0</v>
      </c>
      <c r="AW365" s="2">
        <v>0</v>
      </c>
      <c r="AX365" s="2">
        <v>0</v>
      </c>
      <c r="AY365" s="2">
        <v>0</v>
      </c>
      <c r="AZ365" s="2">
        <v>1043</v>
      </c>
      <c r="BA365" s="2">
        <v>1095</v>
      </c>
      <c r="BB365" s="2">
        <v>932</v>
      </c>
      <c r="BC365" s="2">
        <v>-1000</v>
      </c>
      <c r="BD365" s="2">
        <v>-7500</v>
      </c>
      <c r="BE365" s="2">
        <v>5000</v>
      </c>
      <c r="BF365" s="2">
        <v>3000</v>
      </c>
      <c r="BG365" s="2">
        <v>5000</v>
      </c>
      <c r="BH365" s="2">
        <v>5000</v>
      </c>
      <c r="BI365" s="2">
        <v>3000</v>
      </c>
      <c r="BJ365" s="2">
        <v>-2000</v>
      </c>
      <c r="BK365" s="2">
        <v>1000</v>
      </c>
      <c r="BL365" s="2">
        <v>1000</v>
      </c>
      <c r="BO365" s="2">
        <f t="shared" si="210"/>
        <v>0</v>
      </c>
      <c r="BP365" s="2">
        <f t="shared" si="218"/>
        <v>0</v>
      </c>
      <c r="BQ365" s="2">
        <f t="shared" si="219"/>
        <v>0</v>
      </c>
      <c r="BR365" s="2">
        <f t="shared" si="220"/>
        <v>0</v>
      </c>
      <c r="BS365" s="2">
        <f t="shared" si="221"/>
        <v>0</v>
      </c>
      <c r="BT365" s="2">
        <f t="shared" si="222"/>
        <v>0</v>
      </c>
      <c r="BU365" s="2">
        <f t="shared" si="223"/>
        <v>0</v>
      </c>
      <c r="BV365" s="2">
        <f t="shared" si="224"/>
        <v>0</v>
      </c>
      <c r="BW365" s="2">
        <f t="shared" si="225"/>
        <v>0</v>
      </c>
      <c r="BX365" s="2">
        <f t="shared" si="226"/>
        <v>0</v>
      </c>
      <c r="BY365" s="2">
        <f t="shared" si="227"/>
        <v>0</v>
      </c>
      <c r="BZ365" s="2">
        <f t="shared" si="228"/>
        <v>0</v>
      </c>
      <c r="CA365" s="2">
        <f t="shared" si="229"/>
        <v>0</v>
      </c>
      <c r="CB365" s="2">
        <f t="shared" si="230"/>
        <v>0</v>
      </c>
      <c r="CC365" s="2">
        <f t="shared" si="231"/>
        <v>0</v>
      </c>
      <c r="CD365" s="2">
        <f t="shared" si="232"/>
        <v>0</v>
      </c>
      <c r="CE365" s="2">
        <f t="shared" si="233"/>
        <v>0</v>
      </c>
      <c r="CF365" s="2">
        <f t="shared" si="234"/>
        <v>-1470.24</v>
      </c>
      <c r="CG365" s="2">
        <f t="shared" si="235"/>
        <v>-12003.6</v>
      </c>
      <c r="CH365" s="2">
        <f t="shared" si="236"/>
        <v>11277.63</v>
      </c>
      <c r="CI365" s="2">
        <f t="shared" si="237"/>
        <v>0</v>
      </c>
      <c r="CJ365" s="2">
        <f t="shared" si="238"/>
        <v>0</v>
      </c>
      <c r="CK365" s="2">
        <f t="shared" si="239"/>
        <v>0</v>
      </c>
      <c r="CL365" s="2">
        <f t="shared" si="240"/>
        <v>0</v>
      </c>
      <c r="CM365" s="2">
        <f t="shared" si="212"/>
        <v>0</v>
      </c>
      <c r="CN365" s="2">
        <f t="shared" si="213"/>
        <v>0</v>
      </c>
      <c r="CO365" s="2">
        <f t="shared" si="214"/>
        <v>0</v>
      </c>
      <c r="CP365" s="2">
        <f t="shared" si="215"/>
        <v>0</v>
      </c>
      <c r="CQ365" s="2">
        <f t="shared" si="216"/>
        <v>0</v>
      </c>
      <c r="CR365" s="2">
        <f t="shared" si="217"/>
        <v>0</v>
      </c>
      <c r="CV365" t="s">
        <v>64</v>
      </c>
      <c r="CW365" t="s">
        <v>438</v>
      </c>
      <c r="CX365" t="s">
        <v>18</v>
      </c>
      <c r="CY365" s="4">
        <v>42807</v>
      </c>
      <c r="CZ365" t="s">
        <v>67</v>
      </c>
      <c r="DA365" t="s">
        <v>68</v>
      </c>
      <c r="DB365">
        <v>17</v>
      </c>
      <c r="DC365">
        <v>60.83</v>
      </c>
      <c r="DD365" t="s">
        <v>69</v>
      </c>
      <c r="DE365" t="s">
        <v>70</v>
      </c>
      <c r="DF365">
        <v>1034.1099999999999</v>
      </c>
    </row>
    <row r="366" spans="1:110" x14ac:dyDescent="0.25">
      <c r="A366" s="1">
        <v>43265</v>
      </c>
      <c r="B366">
        <v>188.66</v>
      </c>
      <c r="C366">
        <v>99</v>
      </c>
      <c r="D366">
        <v>357.19</v>
      </c>
      <c r="E366">
        <v>150.28</v>
      </c>
      <c r="F366">
        <v>43.71</v>
      </c>
      <c r="G366">
        <v>122.86</v>
      </c>
      <c r="H366">
        <v>107.05</v>
      </c>
      <c r="I366">
        <v>67.56</v>
      </c>
      <c r="J366">
        <v>231.94</v>
      </c>
      <c r="K366">
        <v>197.47</v>
      </c>
      <c r="L366">
        <v>140.21</v>
      </c>
      <c r="M366">
        <v>54.51</v>
      </c>
      <c r="N366">
        <v>120.83</v>
      </c>
      <c r="O366">
        <v>105.84</v>
      </c>
      <c r="P366">
        <v>42.87</v>
      </c>
      <c r="Q366">
        <v>165</v>
      </c>
      <c r="R366">
        <v>199.52</v>
      </c>
      <c r="S366">
        <v>60.72</v>
      </c>
      <c r="T366">
        <v>100.6</v>
      </c>
      <c r="U366">
        <v>74.3</v>
      </c>
      <c r="V366">
        <v>35.270000000000003</v>
      </c>
      <c r="W366">
        <v>74.06</v>
      </c>
      <c r="X366">
        <v>127.33</v>
      </c>
      <c r="Y366">
        <v>252.77</v>
      </c>
      <c r="Z366">
        <v>124.8</v>
      </c>
      <c r="AA366">
        <v>134.32</v>
      </c>
      <c r="AB366">
        <v>46.27</v>
      </c>
      <c r="AC366">
        <v>63.72</v>
      </c>
      <c r="AD366">
        <v>82.85</v>
      </c>
      <c r="AE366">
        <v>79.36</v>
      </c>
      <c r="AI366" s="2">
        <v>5000</v>
      </c>
      <c r="AJ366" s="2">
        <f t="shared" ref="AJ366:AP366" si="246">AJ365+10</f>
        <v>1260</v>
      </c>
      <c r="AK366" s="2">
        <f t="shared" si="246"/>
        <v>1260</v>
      </c>
      <c r="AL366" s="2">
        <f t="shared" si="246"/>
        <v>1260</v>
      </c>
      <c r="AM366" s="2">
        <f t="shared" si="246"/>
        <v>1260</v>
      </c>
      <c r="AN366" s="2">
        <f t="shared" si="246"/>
        <v>1260</v>
      </c>
      <c r="AO366" s="2">
        <f t="shared" si="246"/>
        <v>1260</v>
      </c>
      <c r="AP366" s="2">
        <f t="shared" si="246"/>
        <v>1140</v>
      </c>
      <c r="AQ366" s="2">
        <v>1000</v>
      </c>
      <c r="AR366" s="2">
        <v>0</v>
      </c>
      <c r="AS366" s="2">
        <v>10</v>
      </c>
      <c r="AT366" s="2">
        <v>0</v>
      </c>
      <c r="AU366" s="2">
        <v>0</v>
      </c>
      <c r="AV366" s="2">
        <v>0</v>
      </c>
      <c r="AW366" s="2">
        <v>0</v>
      </c>
      <c r="AX366" s="2">
        <v>0</v>
      </c>
      <c r="AY366" s="2">
        <v>0</v>
      </c>
      <c r="AZ366" s="2">
        <v>964</v>
      </c>
      <c r="BA366" s="2">
        <v>1039</v>
      </c>
      <c r="BB366" s="2">
        <v>982</v>
      </c>
      <c r="BC366" s="2">
        <v>-1000</v>
      </c>
      <c r="BD366" s="2">
        <v>-7500</v>
      </c>
      <c r="BE366" s="2">
        <v>5000</v>
      </c>
      <c r="BF366" s="2">
        <v>3000</v>
      </c>
      <c r="BG366" s="2">
        <v>5000</v>
      </c>
      <c r="BH366" s="2">
        <v>5000</v>
      </c>
      <c r="BI366" s="2">
        <v>3000</v>
      </c>
      <c r="BJ366" s="2">
        <v>-2000</v>
      </c>
      <c r="BK366" s="2">
        <v>1000</v>
      </c>
      <c r="BL366" s="2">
        <v>1000</v>
      </c>
      <c r="BO366" s="2">
        <f t="shared" si="210"/>
        <v>0</v>
      </c>
      <c r="BP366" s="2">
        <f t="shared" si="218"/>
        <v>-990</v>
      </c>
      <c r="BQ366" s="2">
        <f t="shared" si="219"/>
        <v>-3571.9</v>
      </c>
      <c r="BR366" s="2">
        <f t="shared" si="220"/>
        <v>-1502.8</v>
      </c>
      <c r="BS366" s="2">
        <f t="shared" si="221"/>
        <v>-437.1</v>
      </c>
      <c r="BT366" s="2">
        <f t="shared" si="222"/>
        <v>-1228.5999999999999</v>
      </c>
      <c r="BU366" s="2">
        <f t="shared" si="223"/>
        <v>-1070.5</v>
      </c>
      <c r="BV366" s="2">
        <f t="shared" si="224"/>
        <v>-675.6</v>
      </c>
      <c r="BW366" s="2">
        <f t="shared" si="225"/>
        <v>0</v>
      </c>
      <c r="BX366" s="2">
        <f t="shared" si="226"/>
        <v>0</v>
      </c>
      <c r="BY366" s="2">
        <f t="shared" si="227"/>
        <v>0</v>
      </c>
      <c r="BZ366" s="2">
        <f t="shared" si="228"/>
        <v>0</v>
      </c>
      <c r="CA366" s="2">
        <f t="shared" si="229"/>
        <v>0</v>
      </c>
      <c r="CB366" s="2">
        <f t="shared" si="230"/>
        <v>0</v>
      </c>
      <c r="CC366" s="2">
        <f t="shared" si="231"/>
        <v>0</v>
      </c>
      <c r="CD366" s="2">
        <f t="shared" si="232"/>
        <v>0</v>
      </c>
      <c r="CE366" s="2">
        <f t="shared" si="233"/>
        <v>0</v>
      </c>
      <c r="CF366" s="2">
        <f t="shared" si="234"/>
        <v>4796.88</v>
      </c>
      <c r="CG366" s="2">
        <f t="shared" si="235"/>
        <v>5633.5999999999995</v>
      </c>
      <c r="CH366" s="2">
        <f t="shared" si="236"/>
        <v>-3715</v>
      </c>
      <c r="CI366" s="2">
        <f t="shared" si="237"/>
        <v>0</v>
      </c>
      <c r="CJ366" s="2">
        <f t="shared" si="238"/>
        <v>0</v>
      </c>
      <c r="CK366" s="2">
        <f t="shared" si="239"/>
        <v>0</v>
      </c>
      <c r="CL366" s="2">
        <f t="shared" si="240"/>
        <v>0</v>
      </c>
      <c r="CM366" s="2">
        <f t="shared" si="212"/>
        <v>0</v>
      </c>
      <c r="CN366" s="2">
        <f t="shared" si="213"/>
        <v>0</v>
      </c>
      <c r="CO366" s="2">
        <f t="shared" si="214"/>
        <v>0</v>
      </c>
      <c r="CP366" s="2">
        <f t="shared" si="215"/>
        <v>0</v>
      </c>
      <c r="CQ366" s="2">
        <f t="shared" si="216"/>
        <v>0</v>
      </c>
      <c r="CR366" s="2">
        <f t="shared" si="217"/>
        <v>0</v>
      </c>
      <c r="CV366" t="s">
        <v>64</v>
      </c>
      <c r="CW366" t="s">
        <v>439</v>
      </c>
      <c r="CX366" t="s">
        <v>18</v>
      </c>
      <c r="CY366" s="4">
        <v>42808</v>
      </c>
      <c r="CZ366" t="s">
        <v>65</v>
      </c>
      <c r="DA366" t="s">
        <v>66</v>
      </c>
      <c r="DB366">
        <v>47</v>
      </c>
      <c r="DC366">
        <v>60.87</v>
      </c>
      <c r="DD366" t="s">
        <v>69</v>
      </c>
      <c r="DE366" t="s">
        <v>70</v>
      </c>
      <c r="DF366">
        <v>2860.89</v>
      </c>
    </row>
    <row r="367" spans="1:110" x14ac:dyDescent="0.25">
      <c r="A367" s="1">
        <v>43266</v>
      </c>
      <c r="B367">
        <v>186.72</v>
      </c>
      <c r="C367">
        <v>97.77</v>
      </c>
      <c r="D367">
        <v>352.71</v>
      </c>
      <c r="E367">
        <v>147.21</v>
      </c>
      <c r="F367">
        <v>43.28</v>
      </c>
      <c r="G367">
        <v>120.46</v>
      </c>
      <c r="H367">
        <v>107.15</v>
      </c>
      <c r="I367">
        <v>66.94</v>
      </c>
      <c r="J367">
        <v>230.22</v>
      </c>
      <c r="K367">
        <v>198.33</v>
      </c>
      <c r="L367">
        <v>140.38999999999999</v>
      </c>
      <c r="M367">
        <v>54.09</v>
      </c>
      <c r="N367">
        <v>121.03</v>
      </c>
      <c r="O367">
        <v>105.71</v>
      </c>
      <c r="P367">
        <v>43.4</v>
      </c>
      <c r="Q367">
        <v>164.41</v>
      </c>
      <c r="R367">
        <v>200.84</v>
      </c>
      <c r="S367">
        <v>61.18</v>
      </c>
      <c r="T367">
        <v>99.32</v>
      </c>
      <c r="U367">
        <v>75.430000000000007</v>
      </c>
      <c r="V367">
        <v>35.47</v>
      </c>
      <c r="W367">
        <v>75.42</v>
      </c>
      <c r="X367">
        <v>127.83</v>
      </c>
      <c r="Y367">
        <v>254.31</v>
      </c>
      <c r="Z367">
        <v>124.77</v>
      </c>
      <c r="AA367">
        <v>134.41999999999999</v>
      </c>
      <c r="AB367">
        <v>46.5</v>
      </c>
      <c r="AC367">
        <v>64.64</v>
      </c>
      <c r="AD367">
        <v>82.77</v>
      </c>
      <c r="AE367">
        <v>78.17</v>
      </c>
      <c r="AI367" s="2">
        <v>5000</v>
      </c>
      <c r="AJ367" s="2">
        <f t="shared" ref="AJ367:AP367" si="247">AJ366</f>
        <v>1260</v>
      </c>
      <c r="AK367" s="2">
        <f t="shared" si="247"/>
        <v>1260</v>
      </c>
      <c r="AL367" s="2">
        <f t="shared" si="247"/>
        <v>1260</v>
      </c>
      <c r="AM367" s="2">
        <f t="shared" si="247"/>
        <v>1260</v>
      </c>
      <c r="AN367" s="2">
        <f t="shared" si="247"/>
        <v>1260</v>
      </c>
      <c r="AO367" s="2">
        <f t="shared" si="247"/>
        <v>1260</v>
      </c>
      <c r="AP367" s="2">
        <f t="shared" si="247"/>
        <v>1140</v>
      </c>
      <c r="AQ367" s="2">
        <v>1000</v>
      </c>
      <c r="AR367" s="2">
        <v>0</v>
      </c>
      <c r="AS367" s="2">
        <v>10</v>
      </c>
      <c r="AT367" s="2">
        <v>0</v>
      </c>
      <c r="AU367" s="2">
        <v>0</v>
      </c>
      <c r="AV367" s="2">
        <v>0</v>
      </c>
      <c r="AW367" s="2">
        <v>0</v>
      </c>
      <c r="AX367" s="2">
        <v>0</v>
      </c>
      <c r="AY367" s="2">
        <v>0</v>
      </c>
      <c r="AZ367" s="2">
        <v>1024</v>
      </c>
      <c r="BA367" s="2">
        <v>984</v>
      </c>
      <c r="BB367" s="2">
        <v>987</v>
      </c>
      <c r="BC367" s="2">
        <v>-1000</v>
      </c>
      <c r="BD367" s="2">
        <v>-7500</v>
      </c>
      <c r="BE367" s="2">
        <v>5000</v>
      </c>
      <c r="BF367" s="2">
        <v>3000</v>
      </c>
      <c r="BG367" s="2">
        <v>5000</v>
      </c>
      <c r="BH367" s="2">
        <v>5000</v>
      </c>
      <c r="BI367" s="2">
        <v>3000</v>
      </c>
      <c r="BJ367" s="2">
        <v>-2000</v>
      </c>
      <c r="BK367" s="2">
        <v>1000</v>
      </c>
      <c r="BL367" s="2">
        <v>1000</v>
      </c>
      <c r="BO367" s="2">
        <f t="shared" si="210"/>
        <v>0</v>
      </c>
      <c r="BP367" s="2">
        <f t="shared" si="218"/>
        <v>0</v>
      </c>
      <c r="BQ367" s="2">
        <f t="shared" si="219"/>
        <v>0</v>
      </c>
      <c r="BR367" s="2">
        <f t="shared" si="220"/>
        <v>0</v>
      </c>
      <c r="BS367" s="2">
        <f t="shared" si="221"/>
        <v>0</v>
      </c>
      <c r="BT367" s="2">
        <f t="shared" si="222"/>
        <v>0</v>
      </c>
      <c r="BU367" s="2">
        <f t="shared" si="223"/>
        <v>0</v>
      </c>
      <c r="BV367" s="2">
        <f t="shared" si="224"/>
        <v>0</v>
      </c>
      <c r="BW367" s="2">
        <f t="shared" si="225"/>
        <v>0</v>
      </c>
      <c r="BX367" s="2">
        <f t="shared" si="226"/>
        <v>0</v>
      </c>
      <c r="BY367" s="2">
        <f t="shared" si="227"/>
        <v>0</v>
      </c>
      <c r="BZ367" s="2">
        <f t="shared" si="228"/>
        <v>0</v>
      </c>
      <c r="CA367" s="2">
        <f t="shared" si="229"/>
        <v>0</v>
      </c>
      <c r="CB367" s="2">
        <f t="shared" si="230"/>
        <v>0</v>
      </c>
      <c r="CC367" s="2">
        <f t="shared" si="231"/>
        <v>0</v>
      </c>
      <c r="CD367" s="2">
        <f t="shared" si="232"/>
        <v>0</v>
      </c>
      <c r="CE367" s="2">
        <f t="shared" si="233"/>
        <v>0</v>
      </c>
      <c r="CF367" s="2">
        <f t="shared" si="234"/>
        <v>-3670.8</v>
      </c>
      <c r="CG367" s="2">
        <f t="shared" si="235"/>
        <v>5462.5999999999995</v>
      </c>
      <c r="CH367" s="2">
        <f t="shared" si="236"/>
        <v>-377.15000000000003</v>
      </c>
      <c r="CI367" s="2">
        <f t="shared" si="237"/>
        <v>0</v>
      </c>
      <c r="CJ367" s="2">
        <f t="shared" si="238"/>
        <v>0</v>
      </c>
      <c r="CK367" s="2">
        <f t="shared" si="239"/>
        <v>0</v>
      </c>
      <c r="CL367" s="2">
        <f t="shared" si="240"/>
        <v>0</v>
      </c>
      <c r="CM367" s="2">
        <f t="shared" si="212"/>
        <v>0</v>
      </c>
      <c r="CN367" s="2">
        <f t="shared" si="213"/>
        <v>0</v>
      </c>
      <c r="CO367" s="2">
        <f t="shared" si="214"/>
        <v>0</v>
      </c>
      <c r="CP367" s="2">
        <f t="shared" si="215"/>
        <v>0</v>
      </c>
      <c r="CQ367" s="2">
        <f t="shared" si="216"/>
        <v>0</v>
      </c>
      <c r="CR367" s="2">
        <f t="shared" si="217"/>
        <v>0</v>
      </c>
      <c r="CV367" t="s">
        <v>64</v>
      </c>
      <c r="CW367" t="s">
        <v>440</v>
      </c>
      <c r="CX367" t="s">
        <v>18</v>
      </c>
      <c r="CY367" s="4">
        <v>42809</v>
      </c>
      <c r="CZ367" t="s">
        <v>65</v>
      </c>
      <c r="DA367" t="s">
        <v>66</v>
      </c>
      <c r="DB367">
        <v>4</v>
      </c>
      <c r="DC367">
        <v>61.35</v>
      </c>
      <c r="DD367" t="s">
        <v>69</v>
      </c>
      <c r="DE367" t="s">
        <v>70</v>
      </c>
      <c r="DF367">
        <v>245.4</v>
      </c>
    </row>
    <row r="368" spans="1:110" x14ac:dyDescent="0.25">
      <c r="A368" s="1">
        <v>43269</v>
      </c>
      <c r="B368">
        <v>186.63</v>
      </c>
      <c r="C368">
        <v>97.72</v>
      </c>
      <c r="D368">
        <v>349.62</v>
      </c>
      <c r="E368">
        <v>145.9</v>
      </c>
      <c r="F368">
        <v>43.24</v>
      </c>
      <c r="G368">
        <v>122.34</v>
      </c>
      <c r="H368">
        <v>105.39</v>
      </c>
      <c r="I368">
        <v>66.98</v>
      </c>
      <c r="J368">
        <v>229.7</v>
      </c>
      <c r="K368">
        <v>198.48</v>
      </c>
      <c r="L368">
        <v>139.51</v>
      </c>
      <c r="M368">
        <v>52.24</v>
      </c>
      <c r="N368">
        <v>119.75</v>
      </c>
      <c r="O368">
        <v>105.99</v>
      </c>
      <c r="P368">
        <v>42.84</v>
      </c>
      <c r="Q368">
        <v>164.24</v>
      </c>
      <c r="R368">
        <v>200.05</v>
      </c>
      <c r="S368">
        <v>60.16</v>
      </c>
      <c r="T368">
        <v>100.04</v>
      </c>
      <c r="U368">
        <v>75.2</v>
      </c>
      <c r="V368">
        <v>35.270000000000003</v>
      </c>
      <c r="W368">
        <v>73.91</v>
      </c>
      <c r="X368">
        <v>126.07</v>
      </c>
      <c r="Y368">
        <v>253.2</v>
      </c>
      <c r="Z368">
        <v>125.34</v>
      </c>
      <c r="AA368">
        <v>135.52000000000001</v>
      </c>
      <c r="AB368">
        <v>45.92</v>
      </c>
      <c r="AC368">
        <v>63.02</v>
      </c>
      <c r="AD368">
        <v>82.07</v>
      </c>
      <c r="AE368">
        <v>78.319999999999993</v>
      </c>
      <c r="AI368" s="2">
        <v>5000</v>
      </c>
      <c r="AJ368" s="2">
        <f t="shared" ref="AJ368:AP393" si="248">AJ367</f>
        <v>1260</v>
      </c>
      <c r="AK368" s="2">
        <f t="shared" si="248"/>
        <v>1260</v>
      </c>
      <c r="AL368" s="2">
        <f t="shared" si="248"/>
        <v>1260</v>
      </c>
      <c r="AM368" s="2">
        <f t="shared" si="248"/>
        <v>1260</v>
      </c>
      <c r="AN368" s="2">
        <f t="shared" si="248"/>
        <v>1260</v>
      </c>
      <c r="AO368" s="2">
        <f t="shared" si="248"/>
        <v>1260</v>
      </c>
      <c r="AP368" s="2">
        <f t="shared" si="248"/>
        <v>1140</v>
      </c>
      <c r="AQ368" s="2">
        <v>1000</v>
      </c>
      <c r="AR368" s="2">
        <v>0</v>
      </c>
      <c r="AS368" s="2">
        <v>10</v>
      </c>
      <c r="AT368" s="2">
        <v>0</v>
      </c>
      <c r="AU368" s="2">
        <v>0</v>
      </c>
      <c r="AV368" s="2">
        <v>0</v>
      </c>
      <c r="AW368" s="2">
        <v>0</v>
      </c>
      <c r="AX368" s="2">
        <v>0</v>
      </c>
      <c r="AY368" s="2">
        <v>0</v>
      </c>
      <c r="AZ368" s="2">
        <v>951</v>
      </c>
      <c r="BA368" s="2">
        <v>1074</v>
      </c>
      <c r="BB368" s="2">
        <v>1064</v>
      </c>
      <c r="BC368" s="2">
        <v>-1000</v>
      </c>
      <c r="BD368" s="2">
        <v>-7500</v>
      </c>
      <c r="BE368" s="2">
        <v>5000</v>
      </c>
      <c r="BF368" s="2">
        <v>3000</v>
      </c>
      <c r="BG368" s="2">
        <v>5000</v>
      </c>
      <c r="BH368" s="2">
        <v>5000</v>
      </c>
      <c r="BI368" s="2">
        <v>3000</v>
      </c>
      <c r="BJ368" s="2">
        <v>-2000</v>
      </c>
      <c r="BK368" s="2">
        <v>1000</v>
      </c>
      <c r="BL368" s="2">
        <v>1000</v>
      </c>
      <c r="BO368" s="2">
        <f t="shared" si="210"/>
        <v>0</v>
      </c>
      <c r="BP368" s="2">
        <f t="shared" si="218"/>
        <v>0</v>
      </c>
      <c r="BQ368" s="2">
        <f t="shared" si="219"/>
        <v>0</v>
      </c>
      <c r="BR368" s="2">
        <f t="shared" si="220"/>
        <v>0</v>
      </c>
      <c r="BS368" s="2">
        <f t="shared" si="221"/>
        <v>0</v>
      </c>
      <c r="BT368" s="2">
        <f t="shared" si="222"/>
        <v>0</v>
      </c>
      <c r="BU368" s="2">
        <f t="shared" si="223"/>
        <v>0</v>
      </c>
      <c r="BV368" s="2">
        <f t="shared" si="224"/>
        <v>0</v>
      </c>
      <c r="BW368" s="2">
        <f t="shared" si="225"/>
        <v>0</v>
      </c>
      <c r="BX368" s="2">
        <f t="shared" si="226"/>
        <v>0</v>
      </c>
      <c r="BY368" s="2">
        <f t="shared" si="227"/>
        <v>0</v>
      </c>
      <c r="BZ368" s="2">
        <f t="shared" si="228"/>
        <v>0</v>
      </c>
      <c r="CA368" s="2">
        <f t="shared" si="229"/>
        <v>0</v>
      </c>
      <c r="CB368" s="2">
        <f t="shared" si="230"/>
        <v>0</v>
      </c>
      <c r="CC368" s="2">
        <f t="shared" si="231"/>
        <v>0</v>
      </c>
      <c r="CD368" s="2">
        <f t="shared" si="232"/>
        <v>0</v>
      </c>
      <c r="CE368" s="2">
        <f t="shared" si="233"/>
        <v>0</v>
      </c>
      <c r="CF368" s="2">
        <f t="shared" si="234"/>
        <v>4391.6799999999994</v>
      </c>
      <c r="CG368" s="2">
        <f t="shared" si="235"/>
        <v>-9003.6</v>
      </c>
      <c r="CH368" s="2">
        <f t="shared" si="236"/>
        <v>-5790.4000000000005</v>
      </c>
      <c r="CI368" s="2">
        <f t="shared" si="237"/>
        <v>0</v>
      </c>
      <c r="CJ368" s="2">
        <f t="shared" si="238"/>
        <v>0</v>
      </c>
      <c r="CK368" s="2">
        <f t="shared" si="239"/>
        <v>0</v>
      </c>
      <c r="CL368" s="2">
        <f t="shared" si="240"/>
        <v>0</v>
      </c>
      <c r="CM368" s="2">
        <f t="shared" si="212"/>
        <v>0</v>
      </c>
      <c r="CN368" s="2">
        <f t="shared" si="213"/>
        <v>0</v>
      </c>
      <c r="CO368" s="2">
        <f t="shared" si="214"/>
        <v>0</v>
      </c>
      <c r="CP368" s="2">
        <f t="shared" si="215"/>
        <v>0</v>
      </c>
      <c r="CQ368" s="2">
        <f t="shared" si="216"/>
        <v>0</v>
      </c>
      <c r="CR368" s="2">
        <f t="shared" si="217"/>
        <v>0</v>
      </c>
      <c r="CV368" t="s">
        <v>64</v>
      </c>
      <c r="CW368" t="s">
        <v>441</v>
      </c>
      <c r="CX368" t="s">
        <v>18</v>
      </c>
      <c r="CY368" s="4">
        <v>42810</v>
      </c>
      <c r="CZ368" t="s">
        <v>67</v>
      </c>
      <c r="DA368" t="s">
        <v>68</v>
      </c>
      <c r="DB368">
        <v>45</v>
      </c>
      <c r="DC368">
        <v>60.86</v>
      </c>
      <c r="DD368" t="s">
        <v>69</v>
      </c>
      <c r="DE368" t="s">
        <v>70</v>
      </c>
      <c r="DF368">
        <v>2738.7</v>
      </c>
    </row>
    <row r="369" spans="1:110" x14ac:dyDescent="0.25">
      <c r="A369" s="1">
        <v>43270</v>
      </c>
      <c r="B369">
        <v>183.61</v>
      </c>
      <c r="C369">
        <v>96.4</v>
      </c>
      <c r="D369">
        <v>336.19</v>
      </c>
      <c r="E369">
        <v>140.62</v>
      </c>
      <c r="F369">
        <v>42.86</v>
      </c>
      <c r="G369">
        <v>121.92</v>
      </c>
      <c r="H369">
        <v>104.44</v>
      </c>
      <c r="I369">
        <v>65.569999999999993</v>
      </c>
      <c r="J369">
        <v>226.65</v>
      </c>
      <c r="K369">
        <v>197.02</v>
      </c>
      <c r="L369">
        <v>138.94999999999999</v>
      </c>
      <c r="M369">
        <v>51.95</v>
      </c>
      <c r="N369">
        <v>120.99</v>
      </c>
      <c r="O369">
        <v>105.37</v>
      </c>
      <c r="P369">
        <v>42.89</v>
      </c>
      <c r="Q369">
        <v>162.94</v>
      </c>
      <c r="R369">
        <v>195.37</v>
      </c>
      <c r="S369">
        <v>60.19</v>
      </c>
      <c r="T369">
        <v>100.04</v>
      </c>
      <c r="U369">
        <v>73.86</v>
      </c>
      <c r="V369">
        <v>35.33</v>
      </c>
      <c r="W369">
        <v>74.39</v>
      </c>
      <c r="X369">
        <v>126.63</v>
      </c>
      <c r="Y369">
        <v>251.37</v>
      </c>
      <c r="Z369">
        <v>122.95</v>
      </c>
      <c r="AA369">
        <v>134.43</v>
      </c>
      <c r="AB369">
        <v>46.93</v>
      </c>
      <c r="AC369">
        <v>63.47</v>
      </c>
      <c r="AD369">
        <v>82.68</v>
      </c>
      <c r="AE369">
        <v>78.209999999999994</v>
      </c>
      <c r="AI369" s="2">
        <v>5000</v>
      </c>
      <c r="AJ369" s="2">
        <f t="shared" si="248"/>
        <v>1260</v>
      </c>
      <c r="AK369" s="2">
        <f t="shared" si="248"/>
        <v>1260</v>
      </c>
      <c r="AL369" s="2">
        <f t="shared" si="248"/>
        <v>1260</v>
      </c>
      <c r="AM369" s="2">
        <f t="shared" si="248"/>
        <v>1260</v>
      </c>
      <c r="AN369" s="2">
        <f t="shared" si="248"/>
        <v>1260</v>
      </c>
      <c r="AO369" s="2">
        <f t="shared" si="248"/>
        <v>1260</v>
      </c>
      <c r="AP369" s="2">
        <f t="shared" si="248"/>
        <v>1140</v>
      </c>
      <c r="AQ369" s="2">
        <v>1000</v>
      </c>
      <c r="AR369" s="2">
        <v>0</v>
      </c>
      <c r="AS369" s="2">
        <v>10</v>
      </c>
      <c r="AT369" s="2">
        <v>0</v>
      </c>
      <c r="AU369" s="2">
        <v>0</v>
      </c>
      <c r="AV369" s="2">
        <v>0</v>
      </c>
      <c r="AW369" s="2">
        <v>0</v>
      </c>
      <c r="AX369" s="2">
        <v>0</v>
      </c>
      <c r="AY369" s="2">
        <v>0</v>
      </c>
      <c r="AZ369" s="2">
        <v>1045</v>
      </c>
      <c r="BA369" s="2">
        <v>931</v>
      </c>
      <c r="BB369" s="2">
        <v>1012</v>
      </c>
      <c r="BC369" s="2">
        <v>-1000</v>
      </c>
      <c r="BD369" s="2">
        <v>-7500</v>
      </c>
      <c r="BE369" s="2">
        <v>5000</v>
      </c>
      <c r="BF369" s="2">
        <v>3000</v>
      </c>
      <c r="BG369" s="2">
        <v>5000</v>
      </c>
      <c r="BH369" s="2">
        <v>5000</v>
      </c>
      <c r="BI369" s="2">
        <v>3000</v>
      </c>
      <c r="BJ369" s="2">
        <v>-2000</v>
      </c>
      <c r="BK369" s="2">
        <v>1000</v>
      </c>
      <c r="BL369" s="2">
        <v>1000</v>
      </c>
      <c r="BO369" s="2">
        <f t="shared" si="210"/>
        <v>0</v>
      </c>
      <c r="BP369" s="2">
        <f t="shared" si="218"/>
        <v>0</v>
      </c>
      <c r="BQ369" s="2">
        <f t="shared" si="219"/>
        <v>0</v>
      </c>
      <c r="BR369" s="2">
        <f t="shared" si="220"/>
        <v>0</v>
      </c>
      <c r="BS369" s="2">
        <f t="shared" si="221"/>
        <v>0</v>
      </c>
      <c r="BT369" s="2">
        <f t="shared" si="222"/>
        <v>0</v>
      </c>
      <c r="BU369" s="2">
        <f t="shared" si="223"/>
        <v>0</v>
      </c>
      <c r="BV369" s="2">
        <f t="shared" si="224"/>
        <v>0</v>
      </c>
      <c r="BW369" s="2">
        <f t="shared" si="225"/>
        <v>0</v>
      </c>
      <c r="BX369" s="2">
        <f t="shared" si="226"/>
        <v>0</v>
      </c>
      <c r="BY369" s="2">
        <f t="shared" si="227"/>
        <v>0</v>
      </c>
      <c r="BZ369" s="2">
        <f t="shared" si="228"/>
        <v>0</v>
      </c>
      <c r="CA369" s="2">
        <f t="shared" si="229"/>
        <v>0</v>
      </c>
      <c r="CB369" s="2">
        <f t="shared" si="230"/>
        <v>0</v>
      </c>
      <c r="CC369" s="2">
        <f t="shared" si="231"/>
        <v>0</v>
      </c>
      <c r="CD369" s="2">
        <f t="shared" si="232"/>
        <v>0</v>
      </c>
      <c r="CE369" s="2">
        <f t="shared" si="233"/>
        <v>0</v>
      </c>
      <c r="CF369" s="2">
        <f t="shared" si="234"/>
        <v>-5657.86</v>
      </c>
      <c r="CG369" s="2">
        <f t="shared" si="235"/>
        <v>14305.720000000001</v>
      </c>
      <c r="CH369" s="2">
        <f t="shared" si="236"/>
        <v>3840.72</v>
      </c>
      <c r="CI369" s="2">
        <f t="shared" si="237"/>
        <v>0</v>
      </c>
      <c r="CJ369" s="2">
        <f t="shared" si="238"/>
        <v>0</v>
      </c>
      <c r="CK369" s="2">
        <f t="shared" si="239"/>
        <v>0</v>
      </c>
      <c r="CL369" s="2">
        <f t="shared" si="240"/>
        <v>0</v>
      </c>
      <c r="CM369" s="2">
        <f t="shared" si="212"/>
        <v>0</v>
      </c>
      <c r="CN369" s="2">
        <f t="shared" si="213"/>
        <v>0</v>
      </c>
      <c r="CO369" s="2">
        <f t="shared" si="214"/>
        <v>0</v>
      </c>
      <c r="CP369" s="2">
        <f t="shared" si="215"/>
        <v>0</v>
      </c>
      <c r="CQ369" s="2">
        <f t="shared" si="216"/>
        <v>0</v>
      </c>
      <c r="CR369" s="2">
        <f t="shared" si="217"/>
        <v>0</v>
      </c>
      <c r="CV369" t="s">
        <v>64</v>
      </c>
      <c r="CW369" t="s">
        <v>442</v>
      </c>
      <c r="CX369" t="s">
        <v>18</v>
      </c>
      <c r="CY369" s="4">
        <v>42811</v>
      </c>
      <c r="CZ369" t="s">
        <v>65</v>
      </c>
      <c r="DA369" t="s">
        <v>66</v>
      </c>
      <c r="DB369">
        <v>63</v>
      </c>
      <c r="DC369">
        <v>60.59</v>
      </c>
      <c r="DD369" t="s">
        <v>69</v>
      </c>
      <c r="DE369" t="s">
        <v>70</v>
      </c>
      <c r="DF369">
        <v>3817.17</v>
      </c>
    </row>
    <row r="370" spans="1:110" x14ac:dyDescent="0.25">
      <c r="A370" s="1">
        <v>43271</v>
      </c>
      <c r="B370">
        <v>184.41</v>
      </c>
      <c r="C370">
        <v>95.68</v>
      </c>
      <c r="D370">
        <v>337.74</v>
      </c>
      <c r="E370">
        <v>140.44999999999999</v>
      </c>
      <c r="F370">
        <v>42.78</v>
      </c>
      <c r="G370">
        <v>121.68</v>
      </c>
      <c r="H370">
        <v>105.48</v>
      </c>
      <c r="I370">
        <v>65.099999999999994</v>
      </c>
      <c r="J370">
        <v>226.15</v>
      </c>
      <c r="K370">
        <v>196.89</v>
      </c>
      <c r="L370">
        <v>137.72999999999999</v>
      </c>
      <c r="M370">
        <v>52.47</v>
      </c>
      <c r="N370">
        <v>120.47</v>
      </c>
      <c r="O370">
        <v>105.36</v>
      </c>
      <c r="P370">
        <v>42.56</v>
      </c>
      <c r="Q370">
        <v>160.56</v>
      </c>
      <c r="R370">
        <v>194.08</v>
      </c>
      <c r="S370">
        <v>60.44</v>
      </c>
      <c r="T370">
        <v>101.04</v>
      </c>
      <c r="U370">
        <v>74.319999999999993</v>
      </c>
      <c r="V370">
        <v>35.56</v>
      </c>
      <c r="W370">
        <v>73.92</v>
      </c>
      <c r="X370">
        <v>123.5</v>
      </c>
      <c r="Y370">
        <v>251.16</v>
      </c>
      <c r="Z370">
        <v>123.25</v>
      </c>
      <c r="AA370">
        <v>134.82</v>
      </c>
      <c r="AB370">
        <v>46.53</v>
      </c>
      <c r="AC370">
        <v>66.8</v>
      </c>
      <c r="AD370">
        <v>82.68</v>
      </c>
      <c r="AE370">
        <v>77.959999999999994</v>
      </c>
      <c r="AI370" s="2">
        <v>5000</v>
      </c>
      <c r="AJ370" s="2">
        <f t="shared" si="248"/>
        <v>1260</v>
      </c>
      <c r="AK370" s="2">
        <f t="shared" si="248"/>
        <v>1260</v>
      </c>
      <c r="AL370" s="2">
        <f t="shared" si="248"/>
        <v>1260</v>
      </c>
      <c r="AM370" s="2">
        <f t="shared" si="248"/>
        <v>1260</v>
      </c>
      <c r="AN370" s="2">
        <f t="shared" si="248"/>
        <v>1260</v>
      </c>
      <c r="AO370" s="2">
        <f t="shared" si="248"/>
        <v>1260</v>
      </c>
      <c r="AP370" s="2">
        <f t="shared" si="248"/>
        <v>1140</v>
      </c>
      <c r="AQ370" s="2">
        <v>1000</v>
      </c>
      <c r="AR370" s="2">
        <v>0</v>
      </c>
      <c r="AS370" s="2">
        <v>10</v>
      </c>
      <c r="AT370" s="2">
        <v>0</v>
      </c>
      <c r="AU370" s="2">
        <v>0</v>
      </c>
      <c r="AV370" s="2">
        <v>0</v>
      </c>
      <c r="AW370" s="2">
        <v>0</v>
      </c>
      <c r="AX370" s="2">
        <v>0</v>
      </c>
      <c r="AY370" s="2">
        <v>0</v>
      </c>
      <c r="AZ370" s="2">
        <v>997</v>
      </c>
      <c r="BA370" s="2">
        <v>1082</v>
      </c>
      <c r="BB370" s="2">
        <v>1067</v>
      </c>
      <c r="BC370" s="2">
        <v>-1000</v>
      </c>
      <c r="BD370" s="2">
        <v>-7500</v>
      </c>
      <c r="BE370" s="2">
        <v>5000</v>
      </c>
      <c r="BF370" s="2">
        <v>3000</v>
      </c>
      <c r="BG370" s="2">
        <v>5000</v>
      </c>
      <c r="BH370" s="2">
        <v>5000</v>
      </c>
      <c r="BI370" s="2">
        <v>3000</v>
      </c>
      <c r="BJ370" s="2">
        <v>-2000</v>
      </c>
      <c r="BK370" s="2">
        <v>1000</v>
      </c>
      <c r="BL370" s="2">
        <v>1000</v>
      </c>
      <c r="BO370" s="2">
        <f t="shared" si="210"/>
        <v>0</v>
      </c>
      <c r="BP370" s="2">
        <f t="shared" si="218"/>
        <v>0</v>
      </c>
      <c r="BQ370" s="2">
        <f t="shared" si="219"/>
        <v>0</v>
      </c>
      <c r="BR370" s="2">
        <f t="shared" si="220"/>
        <v>0</v>
      </c>
      <c r="BS370" s="2">
        <f t="shared" si="221"/>
        <v>0</v>
      </c>
      <c r="BT370" s="2">
        <f t="shared" si="222"/>
        <v>0</v>
      </c>
      <c r="BU370" s="2">
        <f t="shared" si="223"/>
        <v>0</v>
      </c>
      <c r="BV370" s="2">
        <f t="shared" si="224"/>
        <v>0</v>
      </c>
      <c r="BW370" s="2">
        <f t="shared" si="225"/>
        <v>0</v>
      </c>
      <c r="BX370" s="2">
        <f t="shared" si="226"/>
        <v>0</v>
      </c>
      <c r="BY370" s="2">
        <f t="shared" si="227"/>
        <v>0</v>
      </c>
      <c r="BZ370" s="2">
        <f t="shared" si="228"/>
        <v>0</v>
      </c>
      <c r="CA370" s="2">
        <f t="shared" si="229"/>
        <v>0</v>
      </c>
      <c r="CB370" s="2">
        <f t="shared" si="230"/>
        <v>0</v>
      </c>
      <c r="CC370" s="2">
        <f t="shared" si="231"/>
        <v>0</v>
      </c>
      <c r="CD370" s="2">
        <f t="shared" si="232"/>
        <v>0</v>
      </c>
      <c r="CE370" s="2">
        <f t="shared" si="233"/>
        <v>0</v>
      </c>
      <c r="CF370" s="2">
        <f t="shared" si="234"/>
        <v>2901.12</v>
      </c>
      <c r="CG370" s="2">
        <f t="shared" si="235"/>
        <v>-15257.04</v>
      </c>
      <c r="CH370" s="2">
        <f t="shared" si="236"/>
        <v>-4087.5999999999995</v>
      </c>
      <c r="CI370" s="2">
        <f t="shared" si="237"/>
        <v>0</v>
      </c>
      <c r="CJ370" s="2">
        <f t="shared" si="238"/>
        <v>0</v>
      </c>
      <c r="CK370" s="2">
        <f t="shared" si="239"/>
        <v>0</v>
      </c>
      <c r="CL370" s="2">
        <f t="shared" si="240"/>
        <v>0</v>
      </c>
      <c r="CM370" s="2">
        <f t="shared" si="212"/>
        <v>0</v>
      </c>
      <c r="CN370" s="2">
        <f t="shared" si="213"/>
        <v>0</v>
      </c>
      <c r="CO370" s="2">
        <f t="shared" si="214"/>
        <v>0</v>
      </c>
      <c r="CP370" s="2">
        <f t="shared" si="215"/>
        <v>0</v>
      </c>
      <c r="CQ370" s="2">
        <f t="shared" si="216"/>
        <v>0</v>
      </c>
      <c r="CR370" s="2">
        <f t="shared" si="217"/>
        <v>0</v>
      </c>
      <c r="CV370" t="s">
        <v>64</v>
      </c>
      <c r="CW370" t="s">
        <v>443</v>
      </c>
      <c r="CX370" t="s">
        <v>18</v>
      </c>
      <c r="CY370" s="4">
        <v>42814</v>
      </c>
      <c r="CZ370" t="s">
        <v>67</v>
      </c>
      <c r="DA370" t="s">
        <v>68</v>
      </c>
      <c r="DB370">
        <v>25</v>
      </c>
      <c r="DC370">
        <v>60.79</v>
      </c>
      <c r="DD370" t="s">
        <v>69</v>
      </c>
      <c r="DE370" t="s">
        <v>70</v>
      </c>
      <c r="DF370">
        <v>1519.75</v>
      </c>
    </row>
    <row r="371" spans="1:110" x14ac:dyDescent="0.25">
      <c r="A371" s="1">
        <v>43272</v>
      </c>
      <c r="B371">
        <v>183.38</v>
      </c>
      <c r="C371">
        <v>95.89</v>
      </c>
      <c r="D371">
        <v>332.78</v>
      </c>
      <c r="E371">
        <v>136.91999999999999</v>
      </c>
      <c r="F371">
        <v>42.21</v>
      </c>
      <c r="G371">
        <v>119.05</v>
      </c>
      <c r="H371">
        <v>104.24</v>
      </c>
      <c r="I371">
        <v>64.5</v>
      </c>
      <c r="J371">
        <v>225.32</v>
      </c>
      <c r="K371">
        <v>198.1</v>
      </c>
      <c r="L371">
        <v>136.38999999999999</v>
      </c>
      <c r="M371">
        <v>51.23</v>
      </c>
      <c r="N371">
        <v>119.88</v>
      </c>
      <c r="O371">
        <v>105.33</v>
      </c>
      <c r="P371">
        <v>42.39</v>
      </c>
      <c r="Q371">
        <v>158.56</v>
      </c>
      <c r="R371">
        <v>191.58</v>
      </c>
      <c r="S371">
        <v>60.34</v>
      </c>
      <c r="T371">
        <v>100.32</v>
      </c>
      <c r="U371">
        <v>73.540000000000006</v>
      </c>
      <c r="V371">
        <v>35.409999999999997</v>
      </c>
      <c r="W371">
        <v>74.5</v>
      </c>
      <c r="X371">
        <v>121.98</v>
      </c>
      <c r="Y371">
        <v>250.24</v>
      </c>
      <c r="Z371">
        <v>121.4</v>
      </c>
      <c r="AA371">
        <v>133.85</v>
      </c>
      <c r="AB371">
        <v>47.06</v>
      </c>
      <c r="AC371">
        <v>66.59</v>
      </c>
      <c r="AD371">
        <v>83.27</v>
      </c>
      <c r="AE371">
        <v>77.23</v>
      </c>
      <c r="AI371" s="2">
        <v>5000</v>
      </c>
      <c r="AJ371" s="2">
        <f t="shared" si="248"/>
        <v>1260</v>
      </c>
      <c r="AK371" s="2">
        <f t="shared" si="248"/>
        <v>1260</v>
      </c>
      <c r="AL371" s="2">
        <f t="shared" si="248"/>
        <v>1260</v>
      </c>
      <c r="AM371" s="2">
        <f t="shared" si="248"/>
        <v>1260</v>
      </c>
      <c r="AN371" s="2">
        <f t="shared" si="248"/>
        <v>1260</v>
      </c>
      <c r="AO371" s="2">
        <f t="shared" si="248"/>
        <v>1260</v>
      </c>
      <c r="AP371" s="2">
        <f t="shared" si="248"/>
        <v>1140</v>
      </c>
      <c r="AQ371" s="2">
        <v>1000</v>
      </c>
      <c r="AR371" s="2">
        <v>0</v>
      </c>
      <c r="AS371" s="2">
        <v>10</v>
      </c>
      <c r="AT371" s="2">
        <v>0</v>
      </c>
      <c r="AU371" s="2">
        <v>0</v>
      </c>
      <c r="AV371" s="2">
        <v>0</v>
      </c>
      <c r="AW371" s="2">
        <v>0</v>
      </c>
      <c r="AX371" s="2">
        <v>0</v>
      </c>
      <c r="AY371" s="2">
        <v>0</v>
      </c>
      <c r="AZ371" s="2">
        <v>957</v>
      </c>
      <c r="BA371" s="2">
        <v>950</v>
      </c>
      <c r="BB371" s="2">
        <v>1036</v>
      </c>
      <c r="BC371" s="2">
        <v>-1000</v>
      </c>
      <c r="BD371" s="2">
        <v>-7500</v>
      </c>
      <c r="BE371" s="2">
        <v>5000</v>
      </c>
      <c r="BF371" s="2">
        <v>3000</v>
      </c>
      <c r="BG371" s="2">
        <v>5000</v>
      </c>
      <c r="BH371" s="2">
        <v>5000</v>
      </c>
      <c r="BI371" s="2">
        <v>3000</v>
      </c>
      <c r="BJ371" s="2">
        <v>-2000</v>
      </c>
      <c r="BK371" s="2">
        <v>1000</v>
      </c>
      <c r="BL371" s="2">
        <v>1000</v>
      </c>
      <c r="BO371" s="2">
        <f t="shared" si="210"/>
        <v>0</v>
      </c>
      <c r="BP371" s="2">
        <f t="shared" si="218"/>
        <v>0</v>
      </c>
      <c r="BQ371" s="2">
        <f t="shared" si="219"/>
        <v>0</v>
      </c>
      <c r="BR371" s="2">
        <f t="shared" si="220"/>
        <v>0</v>
      </c>
      <c r="BS371" s="2">
        <f t="shared" si="221"/>
        <v>0</v>
      </c>
      <c r="BT371" s="2">
        <f t="shared" si="222"/>
        <v>0</v>
      </c>
      <c r="BU371" s="2">
        <f t="shared" si="223"/>
        <v>0</v>
      </c>
      <c r="BV371" s="2">
        <f t="shared" si="224"/>
        <v>0</v>
      </c>
      <c r="BW371" s="2">
        <f t="shared" si="225"/>
        <v>0</v>
      </c>
      <c r="BX371" s="2">
        <f t="shared" si="226"/>
        <v>0</v>
      </c>
      <c r="BY371" s="2">
        <f t="shared" si="227"/>
        <v>0</v>
      </c>
      <c r="BZ371" s="2">
        <f t="shared" si="228"/>
        <v>0</v>
      </c>
      <c r="CA371" s="2">
        <f t="shared" si="229"/>
        <v>0</v>
      </c>
      <c r="CB371" s="2">
        <f t="shared" si="230"/>
        <v>0</v>
      </c>
      <c r="CC371" s="2">
        <f t="shared" si="231"/>
        <v>0</v>
      </c>
      <c r="CD371" s="2">
        <f t="shared" si="232"/>
        <v>0</v>
      </c>
      <c r="CE371" s="2">
        <f t="shared" si="233"/>
        <v>0</v>
      </c>
      <c r="CF371" s="2">
        <f t="shared" si="234"/>
        <v>2413.6000000000004</v>
      </c>
      <c r="CG371" s="2">
        <f t="shared" si="235"/>
        <v>13242.24</v>
      </c>
      <c r="CH371" s="2">
        <f t="shared" si="236"/>
        <v>2279.7400000000002</v>
      </c>
      <c r="CI371" s="2">
        <f t="shared" si="237"/>
        <v>0</v>
      </c>
      <c r="CJ371" s="2">
        <f t="shared" si="238"/>
        <v>0</v>
      </c>
      <c r="CK371" s="2">
        <f t="shared" si="239"/>
        <v>0</v>
      </c>
      <c r="CL371" s="2">
        <f t="shared" si="240"/>
        <v>0</v>
      </c>
      <c r="CM371" s="2">
        <f t="shared" si="212"/>
        <v>0</v>
      </c>
      <c r="CN371" s="2">
        <f t="shared" si="213"/>
        <v>0</v>
      </c>
      <c r="CO371" s="2">
        <f t="shared" si="214"/>
        <v>0</v>
      </c>
      <c r="CP371" s="2">
        <f t="shared" si="215"/>
        <v>0</v>
      </c>
      <c r="CQ371" s="2">
        <f t="shared" si="216"/>
        <v>0</v>
      </c>
      <c r="CR371" s="2">
        <f t="shared" si="217"/>
        <v>0</v>
      </c>
      <c r="CV371" t="s">
        <v>64</v>
      </c>
      <c r="CW371" t="s">
        <v>444</v>
      </c>
      <c r="CX371" t="s">
        <v>18</v>
      </c>
      <c r="CY371" s="4">
        <v>42815</v>
      </c>
      <c r="CZ371" t="s">
        <v>67</v>
      </c>
      <c r="DA371" t="s">
        <v>68</v>
      </c>
      <c r="DB371">
        <v>16</v>
      </c>
      <c r="DC371">
        <v>60.6</v>
      </c>
      <c r="DD371" t="s">
        <v>69</v>
      </c>
      <c r="DE371" t="s">
        <v>70</v>
      </c>
      <c r="DF371">
        <v>969.6</v>
      </c>
    </row>
    <row r="372" spans="1:110" x14ac:dyDescent="0.25">
      <c r="A372" s="1">
        <v>43273</v>
      </c>
      <c r="B372">
        <v>182.85</v>
      </c>
      <c r="C372">
        <v>96.49</v>
      </c>
      <c r="D372">
        <v>334.02</v>
      </c>
      <c r="E372">
        <v>137.32</v>
      </c>
      <c r="F372">
        <v>42.25</v>
      </c>
      <c r="G372">
        <v>121.49</v>
      </c>
      <c r="H372">
        <v>104.68</v>
      </c>
      <c r="I372">
        <v>66.2</v>
      </c>
      <c r="J372">
        <v>224.37</v>
      </c>
      <c r="K372">
        <v>195.24</v>
      </c>
      <c r="L372">
        <v>136.41999999999999</v>
      </c>
      <c r="M372">
        <v>51.53</v>
      </c>
      <c r="N372">
        <v>121.25</v>
      </c>
      <c r="O372">
        <v>103.61</v>
      </c>
      <c r="P372">
        <v>42.55</v>
      </c>
      <c r="Q372">
        <v>162.53</v>
      </c>
      <c r="R372">
        <v>192.54</v>
      </c>
      <c r="S372">
        <v>60.63</v>
      </c>
      <c r="T372">
        <v>99.59</v>
      </c>
      <c r="U372">
        <v>73.03</v>
      </c>
      <c r="V372">
        <v>35.61</v>
      </c>
      <c r="W372">
        <v>75.459999999999994</v>
      </c>
      <c r="X372">
        <v>122.93</v>
      </c>
      <c r="Y372">
        <v>252.71</v>
      </c>
      <c r="Z372">
        <v>122.77</v>
      </c>
      <c r="AA372">
        <v>134.65</v>
      </c>
      <c r="AB372">
        <v>48.15</v>
      </c>
      <c r="AC372">
        <v>66.42</v>
      </c>
      <c r="AD372">
        <v>83.87</v>
      </c>
      <c r="AE372">
        <v>78.87</v>
      </c>
      <c r="AI372" s="2">
        <v>5000</v>
      </c>
      <c r="AJ372" s="2">
        <f t="shared" si="248"/>
        <v>1260</v>
      </c>
      <c r="AK372" s="2">
        <f t="shared" si="248"/>
        <v>1260</v>
      </c>
      <c r="AL372" s="2">
        <f t="shared" si="248"/>
        <v>1260</v>
      </c>
      <c r="AM372" s="2">
        <f t="shared" si="248"/>
        <v>1260</v>
      </c>
      <c r="AN372" s="2">
        <f t="shared" si="248"/>
        <v>1260</v>
      </c>
      <c r="AO372" s="2">
        <f t="shared" si="248"/>
        <v>1260</v>
      </c>
      <c r="AP372" s="2">
        <f t="shared" si="248"/>
        <v>1140</v>
      </c>
      <c r="AQ372" s="2">
        <v>1000</v>
      </c>
      <c r="AR372" s="2">
        <v>0</v>
      </c>
      <c r="AS372" s="2">
        <v>10</v>
      </c>
      <c r="AT372" s="2">
        <v>0</v>
      </c>
      <c r="AU372" s="2">
        <v>0</v>
      </c>
      <c r="AV372" s="2">
        <v>0</v>
      </c>
      <c r="AW372" s="2">
        <v>0</v>
      </c>
      <c r="AX372" s="2">
        <v>0</v>
      </c>
      <c r="AY372" s="2">
        <v>0</v>
      </c>
      <c r="AZ372" s="2">
        <v>985</v>
      </c>
      <c r="BA372" s="2">
        <v>1059</v>
      </c>
      <c r="BB372" s="2">
        <v>1013</v>
      </c>
      <c r="BC372" s="2">
        <v>-1000</v>
      </c>
      <c r="BD372" s="2">
        <v>-7500</v>
      </c>
      <c r="BE372" s="2">
        <v>5000</v>
      </c>
      <c r="BF372" s="2">
        <v>3000</v>
      </c>
      <c r="BG372" s="2">
        <v>5000</v>
      </c>
      <c r="BH372" s="2">
        <v>5000</v>
      </c>
      <c r="BI372" s="2">
        <v>3000</v>
      </c>
      <c r="BJ372" s="2">
        <v>-2000</v>
      </c>
      <c r="BK372" s="2">
        <v>1000</v>
      </c>
      <c r="BL372" s="2">
        <v>1000</v>
      </c>
      <c r="BO372" s="2">
        <f t="shared" si="210"/>
        <v>0</v>
      </c>
      <c r="BP372" s="2">
        <f t="shared" si="218"/>
        <v>0</v>
      </c>
      <c r="BQ372" s="2">
        <f t="shared" si="219"/>
        <v>0</v>
      </c>
      <c r="BR372" s="2">
        <f t="shared" si="220"/>
        <v>0</v>
      </c>
      <c r="BS372" s="2">
        <f t="shared" si="221"/>
        <v>0</v>
      </c>
      <c r="BT372" s="2">
        <f t="shared" si="222"/>
        <v>0</v>
      </c>
      <c r="BU372" s="2">
        <f t="shared" si="223"/>
        <v>0</v>
      </c>
      <c r="BV372" s="2">
        <f t="shared" si="224"/>
        <v>0</v>
      </c>
      <c r="BW372" s="2">
        <f t="shared" si="225"/>
        <v>0</v>
      </c>
      <c r="BX372" s="2">
        <f t="shared" si="226"/>
        <v>0</v>
      </c>
      <c r="BY372" s="2">
        <f t="shared" si="227"/>
        <v>0</v>
      </c>
      <c r="BZ372" s="2">
        <f t="shared" si="228"/>
        <v>0</v>
      </c>
      <c r="CA372" s="2">
        <f t="shared" si="229"/>
        <v>0</v>
      </c>
      <c r="CB372" s="2">
        <f t="shared" si="230"/>
        <v>0</v>
      </c>
      <c r="CC372" s="2">
        <f t="shared" si="231"/>
        <v>0</v>
      </c>
      <c r="CD372" s="2">
        <f t="shared" si="232"/>
        <v>0</v>
      </c>
      <c r="CE372" s="2">
        <f t="shared" si="233"/>
        <v>0</v>
      </c>
      <c r="CF372" s="2">
        <f t="shared" si="234"/>
        <v>-1697.64</v>
      </c>
      <c r="CG372" s="2">
        <f t="shared" si="235"/>
        <v>-10855.31</v>
      </c>
      <c r="CH372" s="2">
        <f t="shared" si="236"/>
        <v>1679.69</v>
      </c>
      <c r="CI372" s="2">
        <f t="shared" si="237"/>
        <v>0</v>
      </c>
      <c r="CJ372" s="2">
        <f t="shared" si="238"/>
        <v>0</v>
      </c>
      <c r="CK372" s="2">
        <f t="shared" si="239"/>
        <v>0</v>
      </c>
      <c r="CL372" s="2">
        <f t="shared" si="240"/>
        <v>0</v>
      </c>
      <c r="CM372" s="2">
        <f t="shared" si="212"/>
        <v>0</v>
      </c>
      <c r="CN372" s="2">
        <f t="shared" si="213"/>
        <v>0</v>
      </c>
      <c r="CO372" s="2">
        <f t="shared" si="214"/>
        <v>0</v>
      </c>
      <c r="CP372" s="2">
        <f t="shared" si="215"/>
        <v>0</v>
      </c>
      <c r="CQ372" s="2">
        <f t="shared" si="216"/>
        <v>0</v>
      </c>
      <c r="CR372" s="2">
        <f t="shared" si="217"/>
        <v>0</v>
      </c>
      <c r="CV372" t="s">
        <v>64</v>
      </c>
      <c r="CW372" t="s">
        <v>445</v>
      </c>
      <c r="CX372" t="s">
        <v>18</v>
      </c>
      <c r="CY372" s="4">
        <v>42816</v>
      </c>
      <c r="CZ372" t="s">
        <v>65</v>
      </c>
      <c r="DA372" t="s">
        <v>66</v>
      </c>
      <c r="DB372">
        <v>59</v>
      </c>
      <c r="DC372">
        <v>60.21</v>
      </c>
      <c r="DD372" t="s">
        <v>69</v>
      </c>
      <c r="DE372" t="s">
        <v>70</v>
      </c>
      <c r="DF372">
        <v>3552.39</v>
      </c>
    </row>
    <row r="373" spans="1:110" x14ac:dyDescent="0.25">
      <c r="A373" s="1">
        <v>43276</v>
      </c>
      <c r="B373">
        <v>180.13</v>
      </c>
      <c r="C373">
        <v>97.79</v>
      </c>
      <c r="D373">
        <v>326.42</v>
      </c>
      <c r="E373">
        <v>134.03</v>
      </c>
      <c r="F373">
        <v>41.36</v>
      </c>
      <c r="G373">
        <v>119.07</v>
      </c>
      <c r="H373">
        <v>102.82</v>
      </c>
      <c r="I373">
        <v>65.19</v>
      </c>
      <c r="J373">
        <v>219.92</v>
      </c>
      <c r="K373">
        <v>194.22</v>
      </c>
      <c r="L373">
        <v>134.02000000000001</v>
      </c>
      <c r="M373">
        <v>49.77</v>
      </c>
      <c r="N373">
        <v>121.01</v>
      </c>
      <c r="O373">
        <v>102.67</v>
      </c>
      <c r="P373">
        <v>42.87</v>
      </c>
      <c r="Q373">
        <v>157.85</v>
      </c>
      <c r="R373">
        <v>191.85</v>
      </c>
      <c r="S373">
        <v>60.24</v>
      </c>
      <c r="T373">
        <v>97.59</v>
      </c>
      <c r="U373">
        <v>71.959999999999994</v>
      </c>
      <c r="V373">
        <v>35.49</v>
      </c>
      <c r="W373">
        <v>75.81</v>
      </c>
      <c r="X373">
        <v>122.25</v>
      </c>
      <c r="Y373">
        <v>249.07</v>
      </c>
      <c r="Z373">
        <v>122.51</v>
      </c>
      <c r="AA373">
        <v>130.27000000000001</v>
      </c>
      <c r="AB373">
        <v>47.99</v>
      </c>
      <c r="AC373">
        <v>66.05</v>
      </c>
      <c r="AD373">
        <v>85.5</v>
      </c>
      <c r="AE373">
        <v>77.28</v>
      </c>
      <c r="AI373" s="2">
        <v>5000</v>
      </c>
      <c r="AJ373" s="2">
        <f t="shared" si="248"/>
        <v>1260</v>
      </c>
      <c r="AK373" s="2">
        <f t="shared" si="248"/>
        <v>1260</v>
      </c>
      <c r="AL373" s="2">
        <f t="shared" si="248"/>
        <v>1260</v>
      </c>
      <c r="AM373" s="2">
        <f t="shared" si="248"/>
        <v>1260</v>
      </c>
      <c r="AN373" s="2">
        <f t="shared" si="248"/>
        <v>1260</v>
      </c>
      <c r="AO373" s="2">
        <f t="shared" si="248"/>
        <v>1260</v>
      </c>
      <c r="AP373" s="2">
        <f t="shared" si="248"/>
        <v>1140</v>
      </c>
      <c r="AQ373" s="2">
        <v>1000</v>
      </c>
      <c r="AR373" s="2">
        <v>0</v>
      </c>
      <c r="AS373" s="2">
        <v>10</v>
      </c>
      <c r="AT373" s="2">
        <v>0</v>
      </c>
      <c r="AU373" s="2">
        <v>0</v>
      </c>
      <c r="AV373" s="2">
        <v>0</v>
      </c>
      <c r="AW373" s="2">
        <v>0</v>
      </c>
      <c r="AX373" s="2">
        <v>0</v>
      </c>
      <c r="AY373" s="2">
        <v>0</v>
      </c>
      <c r="AZ373" s="2">
        <v>999</v>
      </c>
      <c r="BA373" s="2">
        <v>1005</v>
      </c>
      <c r="BB373" s="2">
        <v>979</v>
      </c>
      <c r="BC373" s="2">
        <v>-1000</v>
      </c>
      <c r="BD373" s="2">
        <v>-7500</v>
      </c>
      <c r="BE373" s="2">
        <v>5000</v>
      </c>
      <c r="BF373" s="2">
        <v>3000</v>
      </c>
      <c r="BG373" s="2">
        <v>5000</v>
      </c>
      <c r="BH373" s="2">
        <v>5000</v>
      </c>
      <c r="BI373" s="2">
        <v>3000</v>
      </c>
      <c r="BJ373" s="2">
        <v>-2000</v>
      </c>
      <c r="BK373" s="2">
        <v>1000</v>
      </c>
      <c r="BL373" s="2">
        <v>1000</v>
      </c>
      <c r="BO373" s="2">
        <f t="shared" si="210"/>
        <v>0</v>
      </c>
      <c r="BP373" s="2">
        <f t="shared" si="218"/>
        <v>0</v>
      </c>
      <c r="BQ373" s="2">
        <f t="shared" si="219"/>
        <v>0</v>
      </c>
      <c r="BR373" s="2">
        <f t="shared" si="220"/>
        <v>0</v>
      </c>
      <c r="BS373" s="2">
        <f t="shared" si="221"/>
        <v>0</v>
      </c>
      <c r="BT373" s="2">
        <f t="shared" si="222"/>
        <v>0</v>
      </c>
      <c r="BU373" s="2">
        <f t="shared" si="223"/>
        <v>0</v>
      </c>
      <c r="BV373" s="2">
        <f t="shared" si="224"/>
        <v>0</v>
      </c>
      <c r="BW373" s="2">
        <f t="shared" si="225"/>
        <v>0</v>
      </c>
      <c r="BX373" s="2">
        <f t="shared" si="226"/>
        <v>0</v>
      </c>
      <c r="BY373" s="2">
        <f t="shared" si="227"/>
        <v>0</v>
      </c>
      <c r="BZ373" s="2">
        <f t="shared" si="228"/>
        <v>0</v>
      </c>
      <c r="CA373" s="2">
        <f t="shared" si="229"/>
        <v>0</v>
      </c>
      <c r="CB373" s="2">
        <f t="shared" si="230"/>
        <v>0</v>
      </c>
      <c r="CC373" s="2">
        <f t="shared" si="231"/>
        <v>0</v>
      </c>
      <c r="CD373" s="2">
        <f t="shared" si="232"/>
        <v>0</v>
      </c>
      <c r="CE373" s="2">
        <f t="shared" si="233"/>
        <v>0</v>
      </c>
      <c r="CF373" s="2">
        <f t="shared" si="234"/>
        <v>-843.36</v>
      </c>
      <c r="CG373" s="2">
        <f t="shared" si="235"/>
        <v>5269.8600000000006</v>
      </c>
      <c r="CH373" s="2">
        <f t="shared" si="236"/>
        <v>2446.64</v>
      </c>
      <c r="CI373" s="2">
        <f t="shared" si="237"/>
        <v>0</v>
      </c>
      <c r="CJ373" s="2">
        <f t="shared" si="238"/>
        <v>0</v>
      </c>
      <c r="CK373" s="2">
        <f t="shared" si="239"/>
        <v>0</v>
      </c>
      <c r="CL373" s="2">
        <f t="shared" si="240"/>
        <v>0</v>
      </c>
      <c r="CM373" s="2">
        <f t="shared" si="212"/>
        <v>0</v>
      </c>
      <c r="CN373" s="2">
        <f t="shared" si="213"/>
        <v>0</v>
      </c>
      <c r="CO373" s="2">
        <f t="shared" si="214"/>
        <v>0</v>
      </c>
      <c r="CP373" s="2">
        <f t="shared" si="215"/>
        <v>0</v>
      </c>
      <c r="CQ373" s="2">
        <f t="shared" si="216"/>
        <v>0</v>
      </c>
      <c r="CR373" s="2">
        <f t="shared" si="217"/>
        <v>0</v>
      </c>
      <c r="CV373" t="s">
        <v>64</v>
      </c>
      <c r="CW373" t="s">
        <v>446</v>
      </c>
      <c r="CX373" t="s">
        <v>18</v>
      </c>
      <c r="CY373" s="4">
        <v>42817</v>
      </c>
      <c r="CZ373" t="s">
        <v>67</v>
      </c>
      <c r="DA373" t="s">
        <v>68</v>
      </c>
      <c r="DB373">
        <v>73</v>
      </c>
      <c r="DC373">
        <v>60</v>
      </c>
      <c r="DD373" t="s">
        <v>69</v>
      </c>
      <c r="DE373" t="s">
        <v>70</v>
      </c>
      <c r="DF373">
        <v>4380</v>
      </c>
    </row>
    <row r="374" spans="1:110" x14ac:dyDescent="0.25">
      <c r="A374" s="1">
        <v>43277</v>
      </c>
      <c r="B374">
        <v>182.36</v>
      </c>
      <c r="C374">
        <v>97.46</v>
      </c>
      <c r="D374">
        <v>326.52</v>
      </c>
      <c r="E374">
        <v>133.01</v>
      </c>
      <c r="F374">
        <v>41.62</v>
      </c>
      <c r="G374">
        <v>120.58</v>
      </c>
      <c r="H374">
        <v>102.63</v>
      </c>
      <c r="I374">
        <v>65.52</v>
      </c>
      <c r="J374">
        <v>219.96</v>
      </c>
      <c r="K374">
        <v>194.2</v>
      </c>
      <c r="L374">
        <v>134.30000000000001</v>
      </c>
      <c r="M374">
        <v>48.75</v>
      </c>
      <c r="N374">
        <v>120.77</v>
      </c>
      <c r="O374">
        <v>102.73</v>
      </c>
      <c r="P374">
        <v>42.63</v>
      </c>
      <c r="Q374">
        <v>158.93</v>
      </c>
      <c r="R374">
        <v>192.62</v>
      </c>
      <c r="S374">
        <v>59.89</v>
      </c>
      <c r="T374">
        <v>98.28</v>
      </c>
      <c r="U374">
        <v>72.17</v>
      </c>
      <c r="V374">
        <v>35.49</v>
      </c>
      <c r="W374">
        <v>76.02</v>
      </c>
      <c r="X374">
        <v>121.16</v>
      </c>
      <c r="Y374">
        <v>248.14</v>
      </c>
      <c r="Z374">
        <v>123.53</v>
      </c>
      <c r="AA374">
        <v>131.88</v>
      </c>
      <c r="AB374">
        <v>47.7</v>
      </c>
      <c r="AC374">
        <v>65.39</v>
      </c>
      <c r="AD374">
        <v>85.02</v>
      </c>
      <c r="AE374">
        <v>78.150000000000006</v>
      </c>
      <c r="AI374" s="2">
        <v>5000</v>
      </c>
      <c r="AJ374" s="2">
        <f t="shared" si="248"/>
        <v>1260</v>
      </c>
      <c r="AK374" s="2">
        <f t="shared" si="248"/>
        <v>1260</v>
      </c>
      <c r="AL374" s="2">
        <f t="shared" si="248"/>
        <v>1260</v>
      </c>
      <c r="AM374" s="2">
        <f t="shared" si="248"/>
        <v>1260</v>
      </c>
      <c r="AN374" s="2">
        <f t="shared" si="248"/>
        <v>1260</v>
      </c>
      <c r="AO374" s="2">
        <f t="shared" si="248"/>
        <v>1260</v>
      </c>
      <c r="AP374" s="2">
        <f t="shared" si="248"/>
        <v>1140</v>
      </c>
      <c r="AQ374" s="2">
        <v>1000</v>
      </c>
      <c r="AR374" s="2">
        <v>0</v>
      </c>
      <c r="AS374" s="2">
        <v>10</v>
      </c>
      <c r="AT374" s="2">
        <v>0</v>
      </c>
      <c r="AU374" s="2">
        <v>0</v>
      </c>
      <c r="AV374" s="2">
        <v>0</v>
      </c>
      <c r="AW374" s="2">
        <v>0</v>
      </c>
      <c r="AX374" s="2">
        <v>0</v>
      </c>
      <c r="AY374" s="2">
        <v>0</v>
      </c>
      <c r="AZ374" s="2">
        <v>1000</v>
      </c>
      <c r="BA374" s="2">
        <v>942</v>
      </c>
      <c r="BB374" s="2">
        <v>1077</v>
      </c>
      <c r="BC374" s="2">
        <v>-1000</v>
      </c>
      <c r="BD374" s="2">
        <v>-7500</v>
      </c>
      <c r="BE374" s="2">
        <v>5000</v>
      </c>
      <c r="BF374" s="2">
        <v>3000</v>
      </c>
      <c r="BG374" s="2">
        <v>5000</v>
      </c>
      <c r="BH374" s="2">
        <v>5000</v>
      </c>
      <c r="BI374" s="2">
        <v>3000</v>
      </c>
      <c r="BJ374" s="2">
        <v>-2000</v>
      </c>
      <c r="BK374" s="2">
        <v>1000</v>
      </c>
      <c r="BL374" s="2">
        <v>1000</v>
      </c>
      <c r="BO374" s="2">
        <f t="shared" si="210"/>
        <v>0</v>
      </c>
      <c r="BP374" s="2">
        <f t="shared" si="218"/>
        <v>0</v>
      </c>
      <c r="BQ374" s="2">
        <f t="shared" si="219"/>
        <v>0</v>
      </c>
      <c r="BR374" s="2">
        <f t="shared" si="220"/>
        <v>0</v>
      </c>
      <c r="BS374" s="2">
        <f t="shared" si="221"/>
        <v>0</v>
      </c>
      <c r="BT374" s="2">
        <f t="shared" si="222"/>
        <v>0</v>
      </c>
      <c r="BU374" s="2">
        <f t="shared" si="223"/>
        <v>0</v>
      </c>
      <c r="BV374" s="2">
        <f t="shared" si="224"/>
        <v>0</v>
      </c>
      <c r="BW374" s="2">
        <f t="shared" si="225"/>
        <v>0</v>
      </c>
      <c r="BX374" s="2">
        <f t="shared" si="226"/>
        <v>0</v>
      </c>
      <c r="BY374" s="2">
        <f t="shared" si="227"/>
        <v>0</v>
      </c>
      <c r="BZ374" s="2">
        <f t="shared" si="228"/>
        <v>0</v>
      </c>
      <c r="CA374" s="2">
        <f t="shared" si="229"/>
        <v>0</v>
      </c>
      <c r="CB374" s="2">
        <f t="shared" si="230"/>
        <v>0</v>
      </c>
      <c r="CC374" s="2">
        <f t="shared" si="231"/>
        <v>0</v>
      </c>
      <c r="CD374" s="2">
        <f t="shared" si="232"/>
        <v>0</v>
      </c>
      <c r="CE374" s="2">
        <f t="shared" si="233"/>
        <v>0</v>
      </c>
      <c r="CF374" s="2">
        <f t="shared" si="234"/>
        <v>-59.89</v>
      </c>
      <c r="CG374" s="2">
        <f t="shared" si="235"/>
        <v>6191.64</v>
      </c>
      <c r="CH374" s="2">
        <f t="shared" si="236"/>
        <v>-7072.66</v>
      </c>
      <c r="CI374" s="2">
        <f t="shared" si="237"/>
        <v>0</v>
      </c>
      <c r="CJ374" s="2">
        <f t="shared" si="238"/>
        <v>0</v>
      </c>
      <c r="CK374" s="2">
        <f t="shared" si="239"/>
        <v>0</v>
      </c>
      <c r="CL374" s="2">
        <f t="shared" si="240"/>
        <v>0</v>
      </c>
      <c r="CM374" s="2">
        <f t="shared" si="212"/>
        <v>0</v>
      </c>
      <c r="CN374" s="2">
        <f t="shared" si="213"/>
        <v>0</v>
      </c>
      <c r="CO374" s="2">
        <f t="shared" si="214"/>
        <v>0</v>
      </c>
      <c r="CP374" s="2">
        <f t="shared" si="215"/>
        <v>0</v>
      </c>
      <c r="CQ374" s="2">
        <f t="shared" si="216"/>
        <v>0</v>
      </c>
      <c r="CR374" s="2">
        <f t="shared" si="217"/>
        <v>0</v>
      </c>
      <c r="CV374" t="s">
        <v>64</v>
      </c>
      <c r="CW374" t="s">
        <v>447</v>
      </c>
      <c r="CX374" t="s">
        <v>18</v>
      </c>
      <c r="CY374" s="4">
        <v>42818</v>
      </c>
      <c r="CZ374" t="s">
        <v>65</v>
      </c>
      <c r="DA374" t="s">
        <v>66</v>
      </c>
      <c r="DB374">
        <v>75</v>
      </c>
      <c r="DC374">
        <v>59.91</v>
      </c>
      <c r="DD374" t="s">
        <v>69</v>
      </c>
      <c r="DE374" t="s">
        <v>70</v>
      </c>
      <c r="DF374">
        <v>4493.25</v>
      </c>
    </row>
    <row r="375" spans="1:110" x14ac:dyDescent="0.25">
      <c r="A375" s="1">
        <v>43278</v>
      </c>
      <c r="B375">
        <v>182.1</v>
      </c>
      <c r="C375">
        <v>96.22</v>
      </c>
      <c r="D375">
        <v>325.06</v>
      </c>
      <c r="E375">
        <v>132.09</v>
      </c>
      <c r="F375">
        <v>41.4</v>
      </c>
      <c r="G375">
        <v>122.37</v>
      </c>
      <c r="H375">
        <v>102.34</v>
      </c>
      <c r="I375">
        <v>64.83</v>
      </c>
      <c r="J375">
        <v>218.57</v>
      </c>
      <c r="K375">
        <v>192.87</v>
      </c>
      <c r="L375">
        <v>132.75</v>
      </c>
      <c r="M375">
        <v>47.86</v>
      </c>
      <c r="N375">
        <v>120.04</v>
      </c>
      <c r="O375">
        <v>101.15</v>
      </c>
      <c r="P375">
        <v>42.37</v>
      </c>
      <c r="Q375">
        <v>155.47999999999999</v>
      </c>
      <c r="R375">
        <v>190.99</v>
      </c>
      <c r="S375">
        <v>59.06</v>
      </c>
      <c r="T375">
        <v>96.75</v>
      </c>
      <c r="U375">
        <v>70.959999999999994</v>
      </c>
      <c r="V375">
        <v>35.32</v>
      </c>
      <c r="W375">
        <v>75.72</v>
      </c>
      <c r="X375">
        <v>119.89</v>
      </c>
      <c r="Y375">
        <v>246.55</v>
      </c>
      <c r="Z375">
        <v>122.27</v>
      </c>
      <c r="AA375">
        <v>130.36000000000001</v>
      </c>
      <c r="AB375">
        <v>47.71</v>
      </c>
      <c r="AC375">
        <v>65.09</v>
      </c>
      <c r="AD375">
        <v>85.92</v>
      </c>
      <c r="AE375">
        <v>79.19</v>
      </c>
      <c r="AI375" s="2">
        <v>5000</v>
      </c>
      <c r="AJ375" s="2">
        <f t="shared" si="248"/>
        <v>1260</v>
      </c>
      <c r="AK375" s="2">
        <f t="shared" si="248"/>
        <v>1260</v>
      </c>
      <c r="AL375" s="2">
        <f t="shared" si="248"/>
        <v>1260</v>
      </c>
      <c r="AM375" s="2">
        <f t="shared" si="248"/>
        <v>1260</v>
      </c>
      <c r="AN375" s="2">
        <f t="shared" si="248"/>
        <v>1260</v>
      </c>
      <c r="AO375" s="2">
        <f t="shared" si="248"/>
        <v>1260</v>
      </c>
      <c r="AP375" s="2">
        <f t="shared" si="248"/>
        <v>1140</v>
      </c>
      <c r="AQ375" s="2">
        <v>1000</v>
      </c>
      <c r="AR375" s="2">
        <v>0</v>
      </c>
      <c r="AS375" s="2">
        <v>10</v>
      </c>
      <c r="AT375" s="2">
        <v>0</v>
      </c>
      <c r="AU375" s="2">
        <v>0</v>
      </c>
      <c r="AV375" s="2">
        <v>0</v>
      </c>
      <c r="AW375" s="2">
        <v>0</v>
      </c>
      <c r="AX375" s="2">
        <v>0</v>
      </c>
      <c r="AY375" s="2">
        <v>0</v>
      </c>
      <c r="AZ375" s="2">
        <v>983</v>
      </c>
      <c r="BA375" s="2">
        <v>960</v>
      </c>
      <c r="BB375" s="2">
        <v>1100</v>
      </c>
      <c r="BC375" s="2">
        <v>-1000</v>
      </c>
      <c r="BD375" s="2">
        <v>-7500</v>
      </c>
      <c r="BE375" s="2">
        <v>5000</v>
      </c>
      <c r="BF375" s="2">
        <v>3000</v>
      </c>
      <c r="BG375" s="2">
        <v>5000</v>
      </c>
      <c r="BH375" s="2">
        <v>5000</v>
      </c>
      <c r="BI375" s="2">
        <v>3000</v>
      </c>
      <c r="BJ375" s="2">
        <v>-2000</v>
      </c>
      <c r="BK375" s="2">
        <v>1000</v>
      </c>
      <c r="BL375" s="2">
        <v>1000</v>
      </c>
      <c r="BO375" s="2">
        <f t="shared" si="210"/>
        <v>0</v>
      </c>
      <c r="BP375" s="2">
        <f t="shared" si="218"/>
        <v>0</v>
      </c>
      <c r="BQ375" s="2">
        <f t="shared" si="219"/>
        <v>0</v>
      </c>
      <c r="BR375" s="2">
        <f t="shared" si="220"/>
        <v>0</v>
      </c>
      <c r="BS375" s="2">
        <f t="shared" si="221"/>
        <v>0</v>
      </c>
      <c r="BT375" s="2">
        <f t="shared" si="222"/>
        <v>0</v>
      </c>
      <c r="BU375" s="2">
        <f t="shared" si="223"/>
        <v>0</v>
      </c>
      <c r="BV375" s="2">
        <f t="shared" si="224"/>
        <v>0</v>
      </c>
      <c r="BW375" s="2">
        <f t="shared" si="225"/>
        <v>0</v>
      </c>
      <c r="BX375" s="2">
        <f t="shared" si="226"/>
        <v>0</v>
      </c>
      <c r="BY375" s="2">
        <f t="shared" si="227"/>
        <v>0</v>
      </c>
      <c r="BZ375" s="2">
        <f t="shared" si="228"/>
        <v>0</v>
      </c>
      <c r="CA375" s="2">
        <f t="shared" si="229"/>
        <v>0</v>
      </c>
      <c r="CB375" s="2">
        <f t="shared" si="230"/>
        <v>0</v>
      </c>
      <c r="CC375" s="2">
        <f t="shared" si="231"/>
        <v>0</v>
      </c>
      <c r="CD375" s="2">
        <f t="shared" si="232"/>
        <v>0</v>
      </c>
      <c r="CE375" s="2">
        <f t="shared" si="233"/>
        <v>0</v>
      </c>
      <c r="CF375" s="2">
        <f t="shared" si="234"/>
        <v>1004.02</v>
      </c>
      <c r="CG375" s="2">
        <f t="shared" si="235"/>
        <v>-1741.5</v>
      </c>
      <c r="CH375" s="2">
        <f t="shared" si="236"/>
        <v>-1632.08</v>
      </c>
      <c r="CI375" s="2">
        <f t="shared" si="237"/>
        <v>0</v>
      </c>
      <c r="CJ375" s="2">
        <f t="shared" si="238"/>
        <v>0</v>
      </c>
      <c r="CK375" s="2">
        <f t="shared" si="239"/>
        <v>0</v>
      </c>
      <c r="CL375" s="2">
        <f t="shared" si="240"/>
        <v>0</v>
      </c>
      <c r="CM375" s="2">
        <f t="shared" si="212"/>
        <v>0</v>
      </c>
      <c r="CN375" s="2">
        <f t="shared" si="213"/>
        <v>0</v>
      </c>
      <c r="CO375" s="2">
        <f t="shared" si="214"/>
        <v>0</v>
      </c>
      <c r="CP375" s="2">
        <f t="shared" si="215"/>
        <v>0</v>
      </c>
      <c r="CQ375" s="2">
        <f t="shared" si="216"/>
        <v>0</v>
      </c>
      <c r="CR375" s="2">
        <f t="shared" si="217"/>
        <v>0</v>
      </c>
      <c r="CV375" t="s">
        <v>64</v>
      </c>
      <c r="CW375" t="s">
        <v>448</v>
      </c>
      <c r="CX375" t="s">
        <v>18</v>
      </c>
      <c r="CY375" s="4">
        <v>42821</v>
      </c>
      <c r="CZ375" t="s">
        <v>67</v>
      </c>
      <c r="DA375" t="s">
        <v>68</v>
      </c>
      <c r="DB375">
        <v>47</v>
      </c>
      <c r="DC375">
        <v>59.92</v>
      </c>
      <c r="DD375" t="s">
        <v>69</v>
      </c>
      <c r="DE375" t="s">
        <v>70</v>
      </c>
      <c r="DF375">
        <v>2816.2400000000002</v>
      </c>
    </row>
    <row r="376" spans="1:110" x14ac:dyDescent="0.25">
      <c r="A376" s="1">
        <v>43279</v>
      </c>
      <c r="B376">
        <v>183.42</v>
      </c>
      <c r="C376">
        <v>96.23</v>
      </c>
      <c r="D376">
        <v>329.82</v>
      </c>
      <c r="E376">
        <v>133.49</v>
      </c>
      <c r="F376">
        <v>42</v>
      </c>
      <c r="G376">
        <v>122.04</v>
      </c>
      <c r="H376">
        <v>103.13</v>
      </c>
      <c r="I376">
        <v>65.36</v>
      </c>
      <c r="J376">
        <v>221.78</v>
      </c>
      <c r="K376">
        <v>193.06</v>
      </c>
      <c r="L376">
        <v>135.22999999999999</v>
      </c>
      <c r="M376">
        <v>48.34</v>
      </c>
      <c r="N376">
        <v>120.43</v>
      </c>
      <c r="O376">
        <v>102.8</v>
      </c>
      <c r="P376">
        <v>42.77</v>
      </c>
      <c r="Q376">
        <v>154.4</v>
      </c>
      <c r="R376">
        <v>192.02</v>
      </c>
      <c r="S376">
        <v>59.47</v>
      </c>
      <c r="T376">
        <v>97.83</v>
      </c>
      <c r="U376">
        <v>71.31</v>
      </c>
      <c r="V376">
        <v>35.47</v>
      </c>
      <c r="W376">
        <v>76.069999999999993</v>
      </c>
      <c r="X376">
        <v>120.99</v>
      </c>
      <c r="Y376">
        <v>243.3</v>
      </c>
      <c r="Z376">
        <v>122.5</v>
      </c>
      <c r="AA376">
        <v>132.07</v>
      </c>
      <c r="AB376">
        <v>49.21</v>
      </c>
      <c r="AC376">
        <v>58.65</v>
      </c>
      <c r="AD376">
        <v>84.9</v>
      </c>
      <c r="AE376">
        <v>79.44</v>
      </c>
      <c r="AI376" s="2">
        <v>5000</v>
      </c>
      <c r="AJ376" s="2">
        <f t="shared" si="248"/>
        <v>1260</v>
      </c>
      <c r="AK376" s="2">
        <f t="shared" si="248"/>
        <v>1260</v>
      </c>
      <c r="AL376" s="2">
        <f t="shared" si="248"/>
        <v>1260</v>
      </c>
      <c r="AM376" s="2">
        <f t="shared" si="248"/>
        <v>1260</v>
      </c>
      <c r="AN376" s="2">
        <f t="shared" si="248"/>
        <v>1260</v>
      </c>
      <c r="AO376" s="2">
        <f t="shared" si="248"/>
        <v>1260</v>
      </c>
      <c r="AP376" s="2">
        <f t="shared" si="248"/>
        <v>1140</v>
      </c>
      <c r="AQ376" s="2">
        <v>1000</v>
      </c>
      <c r="AR376" s="2">
        <v>0</v>
      </c>
      <c r="AS376" s="2">
        <v>10</v>
      </c>
      <c r="AT376" s="2">
        <v>0</v>
      </c>
      <c r="AU376" s="2">
        <v>0</v>
      </c>
      <c r="AV376" s="2">
        <v>0</v>
      </c>
      <c r="AW376" s="2">
        <v>0</v>
      </c>
      <c r="AX376" s="2">
        <v>0</v>
      </c>
      <c r="AY376" s="2">
        <v>0</v>
      </c>
      <c r="AZ376" s="2">
        <v>989</v>
      </c>
      <c r="BA376" s="2">
        <v>1059</v>
      </c>
      <c r="BB376" s="2">
        <v>980</v>
      </c>
      <c r="BC376" s="2">
        <v>-1000</v>
      </c>
      <c r="BD376" s="2">
        <v>-7500</v>
      </c>
      <c r="BE376" s="2">
        <v>5000</v>
      </c>
      <c r="BF376" s="2">
        <v>3000</v>
      </c>
      <c r="BG376" s="2">
        <v>5000</v>
      </c>
      <c r="BH376" s="2">
        <v>5000</v>
      </c>
      <c r="BI376" s="2">
        <v>3000</v>
      </c>
      <c r="BJ376" s="2">
        <v>-2000</v>
      </c>
      <c r="BK376" s="2">
        <v>1000</v>
      </c>
      <c r="BL376" s="2">
        <v>1000</v>
      </c>
      <c r="BO376" s="2">
        <f t="shared" si="210"/>
        <v>0</v>
      </c>
      <c r="BP376" s="2">
        <f t="shared" si="218"/>
        <v>0</v>
      </c>
      <c r="BQ376" s="2">
        <f t="shared" si="219"/>
        <v>0</v>
      </c>
      <c r="BR376" s="2">
        <f t="shared" si="220"/>
        <v>0</v>
      </c>
      <c r="BS376" s="2">
        <f t="shared" si="221"/>
        <v>0</v>
      </c>
      <c r="BT376" s="2">
        <f t="shared" si="222"/>
        <v>0</v>
      </c>
      <c r="BU376" s="2">
        <f t="shared" si="223"/>
        <v>0</v>
      </c>
      <c r="BV376" s="2">
        <f t="shared" si="224"/>
        <v>0</v>
      </c>
      <c r="BW376" s="2">
        <f t="shared" si="225"/>
        <v>0</v>
      </c>
      <c r="BX376" s="2">
        <f t="shared" si="226"/>
        <v>0</v>
      </c>
      <c r="BY376" s="2">
        <f t="shared" si="227"/>
        <v>0</v>
      </c>
      <c r="BZ376" s="2">
        <f t="shared" si="228"/>
        <v>0</v>
      </c>
      <c r="CA376" s="2">
        <f t="shared" si="229"/>
        <v>0</v>
      </c>
      <c r="CB376" s="2">
        <f t="shared" si="230"/>
        <v>0</v>
      </c>
      <c r="CC376" s="2">
        <f t="shared" si="231"/>
        <v>0</v>
      </c>
      <c r="CD376" s="2">
        <f t="shared" si="232"/>
        <v>0</v>
      </c>
      <c r="CE376" s="2">
        <f t="shared" si="233"/>
        <v>0</v>
      </c>
      <c r="CF376" s="2">
        <f t="shared" si="234"/>
        <v>-356.82</v>
      </c>
      <c r="CG376" s="2">
        <f t="shared" si="235"/>
        <v>-9685.17</v>
      </c>
      <c r="CH376" s="2">
        <f t="shared" si="236"/>
        <v>8557.2000000000007</v>
      </c>
      <c r="CI376" s="2">
        <f t="shared" si="237"/>
        <v>0</v>
      </c>
      <c r="CJ376" s="2">
        <f t="shared" si="238"/>
        <v>0</v>
      </c>
      <c r="CK376" s="2">
        <f t="shared" si="239"/>
        <v>0</v>
      </c>
      <c r="CL376" s="2">
        <f t="shared" si="240"/>
        <v>0</v>
      </c>
      <c r="CM376" s="2">
        <f t="shared" si="212"/>
        <v>0</v>
      </c>
      <c r="CN376" s="2">
        <f t="shared" si="213"/>
        <v>0</v>
      </c>
      <c r="CO376" s="2">
        <f t="shared" si="214"/>
        <v>0</v>
      </c>
      <c r="CP376" s="2">
        <f t="shared" si="215"/>
        <v>0</v>
      </c>
      <c r="CQ376" s="2">
        <f t="shared" si="216"/>
        <v>0</v>
      </c>
      <c r="CR376" s="2">
        <f t="shared" si="217"/>
        <v>0</v>
      </c>
      <c r="CV376" t="s">
        <v>64</v>
      </c>
      <c r="CW376" t="s">
        <v>449</v>
      </c>
      <c r="CX376" t="s">
        <v>18</v>
      </c>
      <c r="CY376" s="4">
        <v>42822</v>
      </c>
      <c r="CZ376" t="s">
        <v>67</v>
      </c>
      <c r="DA376" t="s">
        <v>68</v>
      </c>
      <c r="DB376">
        <v>5</v>
      </c>
      <c r="DC376">
        <v>60.06</v>
      </c>
      <c r="DD376" t="s">
        <v>69</v>
      </c>
      <c r="DE376" t="s">
        <v>70</v>
      </c>
      <c r="DF376">
        <v>300.3</v>
      </c>
    </row>
    <row r="377" spans="1:110" x14ac:dyDescent="0.25">
      <c r="A377" s="1">
        <v>43280</v>
      </c>
      <c r="B377">
        <v>183.04</v>
      </c>
      <c r="C377">
        <v>97.25</v>
      </c>
      <c r="D377">
        <v>330.66</v>
      </c>
      <c r="E377">
        <v>133.13</v>
      </c>
      <c r="F377">
        <v>42.08</v>
      </c>
      <c r="G377">
        <v>122.78</v>
      </c>
      <c r="H377">
        <v>103.17</v>
      </c>
      <c r="I377">
        <v>65.13</v>
      </c>
      <c r="J377">
        <v>218.96</v>
      </c>
      <c r="K377">
        <v>192.95</v>
      </c>
      <c r="L377">
        <v>134.9</v>
      </c>
      <c r="M377">
        <v>48.79</v>
      </c>
      <c r="N377">
        <v>119.77</v>
      </c>
      <c r="O377">
        <v>102.09</v>
      </c>
      <c r="P377">
        <v>43.15</v>
      </c>
      <c r="Q377">
        <v>154.76</v>
      </c>
      <c r="R377">
        <v>192.75</v>
      </c>
      <c r="S377">
        <v>59.87</v>
      </c>
      <c r="T377">
        <v>97.81</v>
      </c>
      <c r="U377">
        <v>79.25</v>
      </c>
      <c r="V377">
        <v>35.39</v>
      </c>
      <c r="W377">
        <v>76.08</v>
      </c>
      <c r="X377">
        <v>120.88</v>
      </c>
      <c r="Y377">
        <v>243.74</v>
      </c>
      <c r="Z377">
        <v>122.93</v>
      </c>
      <c r="AA377">
        <v>131.78</v>
      </c>
      <c r="AB377">
        <v>48.68</v>
      </c>
      <c r="AC377">
        <v>58.96</v>
      </c>
      <c r="AD377">
        <v>84.69</v>
      </c>
      <c r="AE377">
        <v>80.17</v>
      </c>
      <c r="AI377" s="2">
        <v>5000</v>
      </c>
      <c r="AJ377" s="2">
        <f t="shared" si="248"/>
        <v>1260</v>
      </c>
      <c r="AK377" s="2">
        <f t="shared" si="248"/>
        <v>1260</v>
      </c>
      <c r="AL377" s="2">
        <f t="shared" si="248"/>
        <v>1260</v>
      </c>
      <c r="AM377" s="2">
        <f t="shared" si="248"/>
        <v>1260</v>
      </c>
      <c r="AN377" s="2">
        <f t="shared" si="248"/>
        <v>1260</v>
      </c>
      <c r="AO377" s="2">
        <f t="shared" si="248"/>
        <v>1260</v>
      </c>
      <c r="AP377" s="2">
        <f t="shared" si="248"/>
        <v>1140</v>
      </c>
      <c r="AQ377" s="2">
        <v>1000</v>
      </c>
      <c r="AR377" s="2">
        <v>0</v>
      </c>
      <c r="AS377" s="2">
        <v>10</v>
      </c>
      <c r="AT377" s="2">
        <v>0</v>
      </c>
      <c r="AU377" s="2">
        <v>0</v>
      </c>
      <c r="AV377" s="2">
        <v>0</v>
      </c>
      <c r="AW377" s="2">
        <v>0</v>
      </c>
      <c r="AX377" s="2">
        <v>0</v>
      </c>
      <c r="AY377" s="2">
        <v>0</v>
      </c>
      <c r="AZ377" s="2">
        <v>969</v>
      </c>
      <c r="BA377" s="2">
        <v>1093</v>
      </c>
      <c r="BB377" s="2">
        <v>1064</v>
      </c>
      <c r="BC377" s="2">
        <v>-1000</v>
      </c>
      <c r="BD377" s="2">
        <v>-7500</v>
      </c>
      <c r="BE377" s="2">
        <v>5000</v>
      </c>
      <c r="BF377" s="2">
        <v>3000</v>
      </c>
      <c r="BG377" s="2">
        <v>5000</v>
      </c>
      <c r="BH377" s="2">
        <v>5000</v>
      </c>
      <c r="BI377" s="2">
        <v>3000</v>
      </c>
      <c r="BJ377" s="2">
        <v>-2000</v>
      </c>
      <c r="BK377" s="2">
        <v>1000</v>
      </c>
      <c r="BL377" s="2">
        <v>1000</v>
      </c>
      <c r="BO377" s="2">
        <f t="shared" si="210"/>
        <v>0</v>
      </c>
      <c r="BP377" s="2">
        <f t="shared" si="218"/>
        <v>0</v>
      </c>
      <c r="BQ377" s="2">
        <f t="shared" si="219"/>
        <v>0</v>
      </c>
      <c r="BR377" s="2">
        <f t="shared" si="220"/>
        <v>0</v>
      </c>
      <c r="BS377" s="2">
        <f t="shared" si="221"/>
        <v>0</v>
      </c>
      <c r="BT377" s="2">
        <f t="shared" si="222"/>
        <v>0</v>
      </c>
      <c r="BU377" s="2">
        <f t="shared" si="223"/>
        <v>0</v>
      </c>
      <c r="BV377" s="2">
        <f t="shared" si="224"/>
        <v>0</v>
      </c>
      <c r="BW377" s="2">
        <f t="shared" si="225"/>
        <v>0</v>
      </c>
      <c r="BX377" s="2">
        <f t="shared" si="226"/>
        <v>0</v>
      </c>
      <c r="BY377" s="2">
        <f t="shared" si="227"/>
        <v>0</v>
      </c>
      <c r="BZ377" s="2">
        <f t="shared" si="228"/>
        <v>0</v>
      </c>
      <c r="CA377" s="2">
        <f t="shared" si="229"/>
        <v>0</v>
      </c>
      <c r="CB377" s="2">
        <f t="shared" si="230"/>
        <v>0</v>
      </c>
      <c r="CC377" s="2">
        <f t="shared" si="231"/>
        <v>0</v>
      </c>
      <c r="CD377" s="2">
        <f t="shared" si="232"/>
        <v>0</v>
      </c>
      <c r="CE377" s="2">
        <f t="shared" si="233"/>
        <v>0</v>
      </c>
      <c r="CF377" s="2">
        <f t="shared" si="234"/>
        <v>1197.3999999999999</v>
      </c>
      <c r="CG377" s="2">
        <f t="shared" si="235"/>
        <v>-3325.54</v>
      </c>
      <c r="CH377" s="2">
        <f t="shared" si="236"/>
        <v>-6657</v>
      </c>
      <c r="CI377" s="2">
        <f t="shared" si="237"/>
        <v>0</v>
      </c>
      <c r="CJ377" s="2">
        <f t="shared" si="238"/>
        <v>0</v>
      </c>
      <c r="CK377" s="2">
        <f t="shared" si="239"/>
        <v>0</v>
      </c>
      <c r="CL377" s="2">
        <f t="shared" si="240"/>
        <v>0</v>
      </c>
      <c r="CM377" s="2">
        <f t="shared" si="212"/>
        <v>0</v>
      </c>
      <c r="CN377" s="2">
        <f t="shared" si="213"/>
        <v>0</v>
      </c>
      <c r="CO377" s="2">
        <f t="shared" si="214"/>
        <v>0</v>
      </c>
      <c r="CP377" s="2">
        <f t="shared" si="215"/>
        <v>0</v>
      </c>
      <c r="CQ377" s="2">
        <f t="shared" si="216"/>
        <v>0</v>
      </c>
      <c r="CR377" s="2">
        <f t="shared" si="217"/>
        <v>0</v>
      </c>
      <c r="CV377" t="s">
        <v>64</v>
      </c>
      <c r="CW377" t="s">
        <v>450</v>
      </c>
      <c r="CX377" t="s">
        <v>18</v>
      </c>
      <c r="CY377" s="4">
        <v>42823</v>
      </c>
      <c r="CZ377" t="s">
        <v>65</v>
      </c>
      <c r="DA377" t="s">
        <v>66</v>
      </c>
      <c r="DB377">
        <v>27</v>
      </c>
      <c r="DC377">
        <v>60.34</v>
      </c>
      <c r="DD377" t="s">
        <v>69</v>
      </c>
      <c r="DE377" t="s">
        <v>70</v>
      </c>
      <c r="DF377">
        <v>1629.18</v>
      </c>
    </row>
    <row r="378" spans="1:110" x14ac:dyDescent="0.25">
      <c r="A378" s="1">
        <v>43283</v>
      </c>
      <c r="B378">
        <v>185.08</v>
      </c>
      <c r="C378">
        <v>98.24</v>
      </c>
      <c r="D378">
        <v>331.23</v>
      </c>
      <c r="E378">
        <v>133.74</v>
      </c>
      <c r="F378">
        <v>41.87</v>
      </c>
      <c r="G378">
        <v>120.67</v>
      </c>
      <c r="H378">
        <v>103.69</v>
      </c>
      <c r="I378">
        <v>64.989999999999995</v>
      </c>
      <c r="J378">
        <v>221.63</v>
      </c>
      <c r="K378">
        <v>191.88</v>
      </c>
      <c r="L378">
        <v>135.05000000000001</v>
      </c>
      <c r="M378">
        <v>49.27</v>
      </c>
      <c r="N378">
        <v>120.01</v>
      </c>
      <c r="O378">
        <v>102.95</v>
      </c>
      <c r="P378">
        <v>43.04</v>
      </c>
      <c r="Q378">
        <v>154.94</v>
      </c>
      <c r="R378">
        <v>191.58</v>
      </c>
      <c r="S378">
        <v>59.63</v>
      </c>
      <c r="T378">
        <v>99.2</v>
      </c>
      <c r="U378">
        <v>77.930000000000007</v>
      </c>
      <c r="V378">
        <v>35.44</v>
      </c>
      <c r="W378">
        <v>76.150000000000006</v>
      </c>
      <c r="X378">
        <v>120.93</v>
      </c>
      <c r="Y378">
        <v>245.86</v>
      </c>
      <c r="Z378">
        <v>122.93</v>
      </c>
      <c r="AA378">
        <v>131.83000000000001</v>
      </c>
      <c r="AB378">
        <v>48.79</v>
      </c>
      <c r="AC378">
        <v>60.05</v>
      </c>
      <c r="AD378">
        <v>83.06</v>
      </c>
      <c r="AE378">
        <v>79.23</v>
      </c>
      <c r="AI378" s="2">
        <v>5000</v>
      </c>
      <c r="AJ378" s="2">
        <f t="shared" si="248"/>
        <v>1260</v>
      </c>
      <c r="AK378" s="2">
        <f t="shared" si="248"/>
        <v>1260</v>
      </c>
      <c r="AL378" s="2">
        <f t="shared" si="248"/>
        <v>1260</v>
      </c>
      <c r="AM378" s="2">
        <f t="shared" si="248"/>
        <v>1260</v>
      </c>
      <c r="AN378" s="2">
        <f t="shared" si="248"/>
        <v>1260</v>
      </c>
      <c r="AO378" s="2">
        <f t="shared" si="248"/>
        <v>1260</v>
      </c>
      <c r="AP378" s="2">
        <f t="shared" si="248"/>
        <v>1140</v>
      </c>
      <c r="AQ378" s="2">
        <v>1000</v>
      </c>
      <c r="AR378" s="2">
        <v>0</v>
      </c>
      <c r="AS378" s="2">
        <v>10</v>
      </c>
      <c r="AT378" s="2">
        <v>0</v>
      </c>
      <c r="AU378" s="2">
        <v>0</v>
      </c>
      <c r="AV378" s="2">
        <v>0</v>
      </c>
      <c r="AW378" s="2">
        <v>0</v>
      </c>
      <c r="AX378" s="2">
        <v>0</v>
      </c>
      <c r="AY378" s="2">
        <v>0</v>
      </c>
      <c r="AZ378" s="2">
        <v>953</v>
      </c>
      <c r="BA378" s="2">
        <v>1068</v>
      </c>
      <c r="BB378" s="2">
        <v>1067</v>
      </c>
      <c r="BC378" s="2">
        <v>-1000</v>
      </c>
      <c r="BD378" s="2">
        <v>-7500</v>
      </c>
      <c r="BE378" s="2">
        <v>5000</v>
      </c>
      <c r="BF378" s="2">
        <v>3000</v>
      </c>
      <c r="BG378" s="2">
        <v>5000</v>
      </c>
      <c r="BH378" s="2">
        <v>5000</v>
      </c>
      <c r="BI378" s="2">
        <v>3000</v>
      </c>
      <c r="BJ378" s="2">
        <v>-2000</v>
      </c>
      <c r="BK378" s="2">
        <v>1000</v>
      </c>
      <c r="BL378" s="2">
        <v>1000</v>
      </c>
      <c r="BO378" s="2">
        <f t="shared" si="210"/>
        <v>0</v>
      </c>
      <c r="BP378" s="2">
        <f t="shared" si="218"/>
        <v>0</v>
      </c>
      <c r="BQ378" s="2">
        <f t="shared" si="219"/>
        <v>0</v>
      </c>
      <c r="BR378" s="2">
        <f t="shared" si="220"/>
        <v>0</v>
      </c>
      <c r="BS378" s="2">
        <f t="shared" si="221"/>
        <v>0</v>
      </c>
      <c r="BT378" s="2">
        <f t="shared" si="222"/>
        <v>0</v>
      </c>
      <c r="BU378" s="2">
        <f t="shared" si="223"/>
        <v>0</v>
      </c>
      <c r="BV378" s="2">
        <f t="shared" si="224"/>
        <v>0</v>
      </c>
      <c r="BW378" s="2">
        <f t="shared" si="225"/>
        <v>0</v>
      </c>
      <c r="BX378" s="2">
        <f t="shared" si="226"/>
        <v>0</v>
      </c>
      <c r="BY378" s="2">
        <f t="shared" si="227"/>
        <v>0</v>
      </c>
      <c r="BZ378" s="2">
        <f t="shared" si="228"/>
        <v>0</v>
      </c>
      <c r="CA378" s="2">
        <f t="shared" si="229"/>
        <v>0</v>
      </c>
      <c r="CB378" s="2">
        <f t="shared" si="230"/>
        <v>0</v>
      </c>
      <c r="CC378" s="2">
        <f t="shared" si="231"/>
        <v>0</v>
      </c>
      <c r="CD378" s="2">
        <f t="shared" si="232"/>
        <v>0</v>
      </c>
      <c r="CE378" s="2">
        <f t="shared" si="233"/>
        <v>0</v>
      </c>
      <c r="CF378" s="2">
        <f t="shared" si="234"/>
        <v>954.08</v>
      </c>
      <c r="CG378" s="2">
        <f t="shared" si="235"/>
        <v>2480</v>
      </c>
      <c r="CH378" s="2">
        <f t="shared" si="236"/>
        <v>-233.79000000000002</v>
      </c>
      <c r="CI378" s="2">
        <f t="shared" si="237"/>
        <v>0</v>
      </c>
      <c r="CJ378" s="2">
        <f t="shared" si="238"/>
        <v>0</v>
      </c>
      <c r="CK378" s="2">
        <f t="shared" si="239"/>
        <v>0</v>
      </c>
      <c r="CL378" s="2">
        <f t="shared" si="240"/>
        <v>0</v>
      </c>
      <c r="CM378" s="2">
        <f t="shared" si="212"/>
        <v>0</v>
      </c>
      <c r="CN378" s="2">
        <f t="shared" si="213"/>
        <v>0</v>
      </c>
      <c r="CO378" s="2">
        <f t="shared" si="214"/>
        <v>0</v>
      </c>
      <c r="CP378" s="2">
        <f t="shared" si="215"/>
        <v>0</v>
      </c>
      <c r="CQ378" s="2">
        <f t="shared" si="216"/>
        <v>0</v>
      </c>
      <c r="CR378" s="2">
        <f t="shared" si="217"/>
        <v>0</v>
      </c>
      <c r="CV378" t="s">
        <v>64</v>
      </c>
      <c r="CW378" t="s">
        <v>451</v>
      </c>
      <c r="CX378" t="s">
        <v>18</v>
      </c>
      <c r="CY378" s="4">
        <v>42824</v>
      </c>
      <c r="CZ378" t="s">
        <v>65</v>
      </c>
      <c r="DA378" t="s">
        <v>66</v>
      </c>
      <c r="DB378">
        <v>23</v>
      </c>
      <c r="DC378">
        <v>60.16</v>
      </c>
      <c r="DD378" t="s">
        <v>69</v>
      </c>
      <c r="DE378" t="s">
        <v>70</v>
      </c>
      <c r="DF378">
        <v>1383.6799999999998</v>
      </c>
    </row>
    <row r="379" spans="1:110" x14ac:dyDescent="0.25">
      <c r="A379" s="1">
        <v>43284</v>
      </c>
      <c r="B379">
        <v>181.86</v>
      </c>
      <c r="C379">
        <v>97.09</v>
      </c>
      <c r="D379">
        <v>328.12</v>
      </c>
      <c r="E379">
        <v>131.33000000000001</v>
      </c>
      <c r="F379">
        <v>41.73</v>
      </c>
      <c r="G379">
        <v>121.13</v>
      </c>
      <c r="H379">
        <v>102.42</v>
      </c>
      <c r="I379">
        <v>64.37</v>
      </c>
      <c r="J379">
        <v>218.77</v>
      </c>
      <c r="K379">
        <v>191.49</v>
      </c>
      <c r="L379">
        <v>134.77000000000001</v>
      </c>
      <c r="M379">
        <v>48.56</v>
      </c>
      <c r="N379">
        <v>121.13</v>
      </c>
      <c r="O379">
        <v>101.51</v>
      </c>
      <c r="P379">
        <v>43.28</v>
      </c>
      <c r="Q379">
        <v>154.56</v>
      </c>
      <c r="R379">
        <v>191.88</v>
      </c>
      <c r="S379">
        <v>59.88</v>
      </c>
      <c r="T379">
        <v>98.25</v>
      </c>
      <c r="U379">
        <v>75.87</v>
      </c>
      <c r="V379">
        <v>35.46</v>
      </c>
      <c r="W379">
        <v>75.92</v>
      </c>
      <c r="X379">
        <v>121.31</v>
      </c>
      <c r="Y379">
        <v>245.37</v>
      </c>
      <c r="Z379">
        <v>122.82</v>
      </c>
      <c r="AA379">
        <v>130.79</v>
      </c>
      <c r="AB379">
        <v>49.06</v>
      </c>
      <c r="AC379">
        <v>59.69</v>
      </c>
      <c r="AD379">
        <v>83.5</v>
      </c>
      <c r="AE379">
        <v>79.7</v>
      </c>
      <c r="AI379" s="2">
        <v>5000</v>
      </c>
      <c r="AJ379" s="2">
        <f t="shared" si="248"/>
        <v>1260</v>
      </c>
      <c r="AK379" s="2">
        <f t="shared" si="248"/>
        <v>1260</v>
      </c>
      <c r="AL379" s="2">
        <f t="shared" si="248"/>
        <v>1260</v>
      </c>
      <c r="AM379" s="2">
        <f t="shared" si="248"/>
        <v>1260</v>
      </c>
      <c r="AN379" s="2">
        <f t="shared" si="248"/>
        <v>1260</v>
      </c>
      <c r="AO379" s="2">
        <f t="shared" si="248"/>
        <v>1260</v>
      </c>
      <c r="AP379" s="2">
        <f t="shared" si="248"/>
        <v>1140</v>
      </c>
      <c r="AQ379" s="2">
        <v>1000</v>
      </c>
      <c r="AR379" s="2">
        <v>0</v>
      </c>
      <c r="AS379" s="2">
        <v>10</v>
      </c>
      <c r="AT379" s="2">
        <v>0</v>
      </c>
      <c r="AU379" s="2">
        <v>0</v>
      </c>
      <c r="AV379" s="2">
        <v>0</v>
      </c>
      <c r="AW379" s="2">
        <v>0</v>
      </c>
      <c r="AX379" s="2">
        <v>0</v>
      </c>
      <c r="AY379" s="2">
        <v>0</v>
      </c>
      <c r="AZ379" s="2">
        <v>980</v>
      </c>
      <c r="BA379" s="2">
        <v>1089</v>
      </c>
      <c r="BB379" s="2">
        <v>952</v>
      </c>
      <c r="BC379" s="2">
        <v>-1000</v>
      </c>
      <c r="BD379" s="2">
        <v>-7500</v>
      </c>
      <c r="BE379" s="2">
        <v>5000</v>
      </c>
      <c r="BF379" s="2">
        <v>3000</v>
      </c>
      <c r="BG379" s="2">
        <v>5000</v>
      </c>
      <c r="BH379" s="2">
        <v>2500</v>
      </c>
      <c r="BI379" s="2">
        <v>3000</v>
      </c>
      <c r="BJ379" s="2">
        <v>-2000</v>
      </c>
      <c r="BK379" s="2">
        <v>1000</v>
      </c>
      <c r="BL379" s="2">
        <v>1000</v>
      </c>
      <c r="BO379" s="2">
        <f t="shared" si="210"/>
        <v>0</v>
      </c>
      <c r="BP379" s="2">
        <f t="shared" si="218"/>
        <v>0</v>
      </c>
      <c r="BQ379" s="2">
        <f t="shared" si="219"/>
        <v>0</v>
      </c>
      <c r="BR379" s="2">
        <f t="shared" si="220"/>
        <v>0</v>
      </c>
      <c r="BS379" s="2">
        <f t="shared" si="221"/>
        <v>0</v>
      </c>
      <c r="BT379" s="2">
        <f t="shared" si="222"/>
        <v>0</v>
      </c>
      <c r="BU379" s="2">
        <f t="shared" si="223"/>
        <v>0</v>
      </c>
      <c r="BV379" s="2">
        <f t="shared" si="224"/>
        <v>0</v>
      </c>
      <c r="BW379" s="2">
        <f t="shared" si="225"/>
        <v>0</v>
      </c>
      <c r="BX379" s="2">
        <f t="shared" si="226"/>
        <v>0</v>
      </c>
      <c r="BY379" s="2">
        <f t="shared" si="227"/>
        <v>0</v>
      </c>
      <c r="BZ379" s="2">
        <f t="shared" si="228"/>
        <v>0</v>
      </c>
      <c r="CA379" s="2">
        <f t="shared" si="229"/>
        <v>0</v>
      </c>
      <c r="CB379" s="2">
        <f t="shared" si="230"/>
        <v>0</v>
      </c>
      <c r="CC379" s="2">
        <f t="shared" si="231"/>
        <v>0</v>
      </c>
      <c r="CD379" s="2">
        <f t="shared" si="232"/>
        <v>0</v>
      </c>
      <c r="CE379" s="2">
        <f t="shared" si="233"/>
        <v>0</v>
      </c>
      <c r="CF379" s="2">
        <f t="shared" si="234"/>
        <v>-1616.76</v>
      </c>
      <c r="CG379" s="2">
        <f t="shared" si="235"/>
        <v>-2063.25</v>
      </c>
      <c r="CH379" s="2">
        <f t="shared" si="236"/>
        <v>8725.0500000000011</v>
      </c>
      <c r="CI379" s="2">
        <f t="shared" si="237"/>
        <v>0</v>
      </c>
      <c r="CJ379" s="2">
        <f t="shared" si="238"/>
        <v>0</v>
      </c>
      <c r="CK379" s="2">
        <f t="shared" si="239"/>
        <v>0</v>
      </c>
      <c r="CL379" s="2">
        <f t="shared" si="240"/>
        <v>0</v>
      </c>
      <c r="CM379" s="2">
        <f t="shared" si="212"/>
        <v>0</v>
      </c>
      <c r="CN379" s="2">
        <f t="shared" si="213"/>
        <v>326975</v>
      </c>
      <c r="CO379" s="2">
        <f t="shared" si="214"/>
        <v>0</v>
      </c>
      <c r="CP379" s="2">
        <f t="shared" si="215"/>
        <v>0</v>
      </c>
      <c r="CQ379" s="2">
        <f t="shared" si="216"/>
        <v>0</v>
      </c>
      <c r="CR379" s="2">
        <f t="shared" si="217"/>
        <v>0</v>
      </c>
      <c r="CV379" t="s">
        <v>64</v>
      </c>
      <c r="CW379" t="s">
        <v>452</v>
      </c>
      <c r="CX379" t="s">
        <v>18</v>
      </c>
      <c r="CY379" s="4">
        <v>42825</v>
      </c>
      <c r="CZ379" t="s">
        <v>67</v>
      </c>
      <c r="DA379" t="s">
        <v>68</v>
      </c>
      <c r="DB379">
        <v>52</v>
      </c>
      <c r="DC379">
        <v>60.25</v>
      </c>
      <c r="DD379" t="s">
        <v>69</v>
      </c>
      <c r="DE379" t="s">
        <v>70</v>
      </c>
      <c r="DF379">
        <v>3133</v>
      </c>
    </row>
    <row r="380" spans="1:110" x14ac:dyDescent="0.25">
      <c r="A380" s="1">
        <v>43286</v>
      </c>
      <c r="B380">
        <v>183.32</v>
      </c>
      <c r="C380">
        <v>98.13</v>
      </c>
      <c r="D380">
        <v>328.37</v>
      </c>
      <c r="E380">
        <v>133.27000000000001</v>
      </c>
      <c r="F380">
        <v>41.95</v>
      </c>
      <c r="G380">
        <v>120.4</v>
      </c>
      <c r="H380">
        <v>103.7</v>
      </c>
      <c r="I380">
        <v>65.28</v>
      </c>
      <c r="J380">
        <v>219.12</v>
      </c>
      <c r="K380">
        <v>192.27</v>
      </c>
      <c r="L380">
        <v>136.57</v>
      </c>
      <c r="M380">
        <v>49.81</v>
      </c>
      <c r="N380">
        <v>123.39</v>
      </c>
      <c r="O380">
        <v>102.17</v>
      </c>
      <c r="P380">
        <v>43.94</v>
      </c>
      <c r="Q380">
        <v>155.38999999999999</v>
      </c>
      <c r="R380">
        <v>193.36</v>
      </c>
      <c r="S380">
        <v>60.8</v>
      </c>
      <c r="T380">
        <v>98.95</v>
      </c>
      <c r="U380">
        <v>76.14</v>
      </c>
      <c r="V380">
        <v>35.96</v>
      </c>
      <c r="W380">
        <v>77.2</v>
      </c>
      <c r="X380">
        <v>121.14</v>
      </c>
      <c r="Y380">
        <v>248.86</v>
      </c>
      <c r="Z380">
        <v>122.85</v>
      </c>
      <c r="AA380">
        <v>132.62</v>
      </c>
      <c r="AB380">
        <v>49.62</v>
      </c>
      <c r="AC380">
        <v>61.28</v>
      </c>
      <c r="AD380">
        <v>83.63</v>
      </c>
      <c r="AE380">
        <v>79.77</v>
      </c>
      <c r="AI380" s="2">
        <v>5000</v>
      </c>
      <c r="AJ380" s="2">
        <f t="shared" ref="AJ380:AP380" si="249">AJ379+10</f>
        <v>1270</v>
      </c>
      <c r="AK380" s="2">
        <f t="shared" si="249"/>
        <v>1270</v>
      </c>
      <c r="AL380" s="2">
        <f t="shared" si="249"/>
        <v>1270</v>
      </c>
      <c r="AM380" s="2">
        <f t="shared" si="249"/>
        <v>1270</v>
      </c>
      <c r="AN380" s="2">
        <f t="shared" si="249"/>
        <v>1270</v>
      </c>
      <c r="AO380" s="2">
        <f t="shared" si="249"/>
        <v>1270</v>
      </c>
      <c r="AP380" s="2">
        <f t="shared" si="249"/>
        <v>1150</v>
      </c>
      <c r="AQ380" s="2">
        <v>1000</v>
      </c>
      <c r="AR380" s="2">
        <v>0</v>
      </c>
      <c r="AS380" s="2">
        <v>10</v>
      </c>
      <c r="AT380" s="2">
        <v>0</v>
      </c>
      <c r="AU380" s="2">
        <v>0</v>
      </c>
      <c r="AV380" s="2">
        <v>0</v>
      </c>
      <c r="AW380" s="2">
        <v>0</v>
      </c>
      <c r="AX380" s="2">
        <v>0</v>
      </c>
      <c r="AY380" s="2">
        <v>0</v>
      </c>
      <c r="AZ380" s="2">
        <v>1028</v>
      </c>
      <c r="BA380" s="2">
        <v>1051</v>
      </c>
      <c r="BB380" s="2">
        <v>969</v>
      </c>
      <c r="BC380" s="2">
        <v>-1000</v>
      </c>
      <c r="BD380" s="2">
        <v>-7500</v>
      </c>
      <c r="BE380" s="2">
        <v>5000</v>
      </c>
      <c r="BF380" s="2">
        <v>3000</v>
      </c>
      <c r="BG380" s="2">
        <v>5000</v>
      </c>
      <c r="BH380" s="2">
        <v>2500</v>
      </c>
      <c r="BI380" s="2">
        <v>3000</v>
      </c>
      <c r="BJ380" s="2">
        <v>-2000</v>
      </c>
      <c r="BK380" s="2">
        <v>1000</v>
      </c>
      <c r="BL380" s="2">
        <v>1000</v>
      </c>
      <c r="BO380" s="2">
        <f t="shared" si="210"/>
        <v>0</v>
      </c>
      <c r="BP380" s="2">
        <f t="shared" si="218"/>
        <v>-981.3</v>
      </c>
      <c r="BQ380" s="2">
        <f t="shared" si="219"/>
        <v>-3283.7</v>
      </c>
      <c r="BR380" s="2">
        <f t="shared" si="220"/>
        <v>-1332.7</v>
      </c>
      <c r="BS380" s="2">
        <f t="shared" si="221"/>
        <v>-419.5</v>
      </c>
      <c r="BT380" s="2">
        <f t="shared" si="222"/>
        <v>-1204</v>
      </c>
      <c r="BU380" s="2">
        <f t="shared" si="223"/>
        <v>-1037</v>
      </c>
      <c r="BV380" s="2">
        <f t="shared" si="224"/>
        <v>-652.79999999999995</v>
      </c>
      <c r="BW380" s="2">
        <f t="shared" si="225"/>
        <v>0</v>
      </c>
      <c r="BX380" s="2">
        <f t="shared" si="226"/>
        <v>0</v>
      </c>
      <c r="BY380" s="2">
        <f t="shared" si="227"/>
        <v>0</v>
      </c>
      <c r="BZ380" s="2">
        <f t="shared" si="228"/>
        <v>0</v>
      </c>
      <c r="CA380" s="2">
        <f t="shared" si="229"/>
        <v>0</v>
      </c>
      <c r="CB380" s="2">
        <f t="shared" si="230"/>
        <v>0</v>
      </c>
      <c r="CC380" s="2">
        <f t="shared" si="231"/>
        <v>0</v>
      </c>
      <c r="CD380" s="2">
        <f t="shared" si="232"/>
        <v>0</v>
      </c>
      <c r="CE380" s="2">
        <f t="shared" si="233"/>
        <v>0</v>
      </c>
      <c r="CF380" s="2">
        <f t="shared" si="234"/>
        <v>-2918.3999999999996</v>
      </c>
      <c r="CG380" s="2">
        <f t="shared" si="235"/>
        <v>3760.1</v>
      </c>
      <c r="CH380" s="2">
        <f t="shared" si="236"/>
        <v>-1294.3800000000001</v>
      </c>
      <c r="CI380" s="2">
        <f t="shared" si="237"/>
        <v>0</v>
      </c>
      <c r="CJ380" s="2">
        <f t="shared" si="238"/>
        <v>0</v>
      </c>
      <c r="CK380" s="2">
        <f t="shared" si="239"/>
        <v>0</v>
      </c>
      <c r="CL380" s="2">
        <f t="shared" si="240"/>
        <v>0</v>
      </c>
      <c r="CM380" s="2">
        <f t="shared" si="212"/>
        <v>0</v>
      </c>
      <c r="CN380" s="2">
        <f t="shared" si="213"/>
        <v>0</v>
      </c>
      <c r="CO380" s="2">
        <f t="shared" si="214"/>
        <v>0</v>
      </c>
      <c r="CP380" s="2">
        <f t="shared" si="215"/>
        <v>0</v>
      </c>
      <c r="CQ380" s="2">
        <f t="shared" si="216"/>
        <v>0</v>
      </c>
      <c r="CR380" s="2">
        <f t="shared" si="217"/>
        <v>0</v>
      </c>
      <c r="CV380" t="s">
        <v>64</v>
      </c>
      <c r="CW380" t="s">
        <v>453</v>
      </c>
      <c r="CX380" t="s">
        <v>18</v>
      </c>
      <c r="CY380" s="4">
        <v>42828</v>
      </c>
      <c r="CZ380" t="s">
        <v>65</v>
      </c>
      <c r="DA380" t="s">
        <v>66</v>
      </c>
      <c r="DB380">
        <v>39</v>
      </c>
      <c r="DC380">
        <v>60.18</v>
      </c>
      <c r="DD380" t="s">
        <v>69</v>
      </c>
      <c r="DE380" t="s">
        <v>70</v>
      </c>
      <c r="DF380">
        <v>2347.02</v>
      </c>
    </row>
    <row r="381" spans="1:110" x14ac:dyDescent="0.25">
      <c r="A381" s="1">
        <v>43287</v>
      </c>
      <c r="B381">
        <v>185.86</v>
      </c>
      <c r="C381">
        <v>98.12</v>
      </c>
      <c r="D381">
        <v>329.81</v>
      </c>
      <c r="E381">
        <v>132.88</v>
      </c>
      <c r="F381">
        <v>42.1</v>
      </c>
      <c r="G381">
        <v>120.56</v>
      </c>
      <c r="H381">
        <v>103.97</v>
      </c>
      <c r="I381">
        <v>65.14</v>
      </c>
      <c r="J381">
        <v>220.17</v>
      </c>
      <c r="K381">
        <v>192.34</v>
      </c>
      <c r="L381">
        <v>137.58000000000001</v>
      </c>
      <c r="M381">
        <v>50.42</v>
      </c>
      <c r="N381">
        <v>124.13</v>
      </c>
      <c r="O381">
        <v>102.5</v>
      </c>
      <c r="P381">
        <v>43.92</v>
      </c>
      <c r="Q381">
        <v>157.46</v>
      </c>
      <c r="R381">
        <v>193.48</v>
      </c>
      <c r="S381">
        <v>61.35</v>
      </c>
      <c r="T381">
        <v>100.34</v>
      </c>
      <c r="U381">
        <v>76.069999999999993</v>
      </c>
      <c r="V381">
        <v>36.200000000000003</v>
      </c>
      <c r="W381">
        <v>77.3</v>
      </c>
      <c r="X381">
        <v>121.71</v>
      </c>
      <c r="Y381">
        <v>249.12</v>
      </c>
      <c r="Z381">
        <v>123.29</v>
      </c>
      <c r="AA381">
        <v>133.41999999999999</v>
      </c>
      <c r="AB381">
        <v>49.81</v>
      </c>
      <c r="AC381">
        <v>62.18</v>
      </c>
      <c r="AD381">
        <v>83.57</v>
      </c>
      <c r="AE381">
        <v>79.790000000000006</v>
      </c>
      <c r="AI381" s="2">
        <v>5000</v>
      </c>
      <c r="AJ381" s="2">
        <f t="shared" ref="AJ381:AP381" si="250">AJ380</f>
        <v>1270</v>
      </c>
      <c r="AK381" s="2">
        <f t="shared" si="250"/>
        <v>1270</v>
      </c>
      <c r="AL381" s="2">
        <f t="shared" si="250"/>
        <v>1270</v>
      </c>
      <c r="AM381" s="2">
        <f t="shared" si="250"/>
        <v>1270</v>
      </c>
      <c r="AN381" s="2">
        <f t="shared" si="250"/>
        <v>1270</v>
      </c>
      <c r="AO381" s="2">
        <f t="shared" si="250"/>
        <v>1270</v>
      </c>
      <c r="AP381" s="2">
        <f t="shared" si="250"/>
        <v>1150</v>
      </c>
      <c r="AQ381" s="2">
        <v>1000</v>
      </c>
      <c r="AR381" s="2">
        <v>0</v>
      </c>
      <c r="AS381" s="2">
        <v>10</v>
      </c>
      <c r="AT381" s="2">
        <v>0</v>
      </c>
      <c r="AU381" s="2">
        <v>0</v>
      </c>
      <c r="AV381" s="2">
        <v>0</v>
      </c>
      <c r="AW381" s="2">
        <v>0</v>
      </c>
      <c r="AX381" s="2">
        <v>0</v>
      </c>
      <c r="AY381" s="2">
        <v>0</v>
      </c>
      <c r="AZ381" s="2">
        <v>954</v>
      </c>
      <c r="BA381" s="2">
        <v>997</v>
      </c>
      <c r="BB381" s="2">
        <v>929</v>
      </c>
      <c r="BC381" s="2">
        <v>-1000</v>
      </c>
      <c r="BD381" s="2">
        <v>-7500</v>
      </c>
      <c r="BE381" s="2">
        <v>5000</v>
      </c>
      <c r="BF381" s="2">
        <v>3000</v>
      </c>
      <c r="BG381" s="2">
        <v>5000</v>
      </c>
      <c r="BH381" s="2">
        <v>2500</v>
      </c>
      <c r="BI381" s="2">
        <v>3000</v>
      </c>
      <c r="BJ381" s="2">
        <v>-2000</v>
      </c>
      <c r="BK381" s="2">
        <v>1000</v>
      </c>
      <c r="BL381" s="2">
        <v>1000</v>
      </c>
      <c r="BO381" s="2">
        <f t="shared" si="210"/>
        <v>0</v>
      </c>
      <c r="BP381" s="2">
        <f t="shared" si="218"/>
        <v>0</v>
      </c>
      <c r="BQ381" s="2">
        <f t="shared" si="219"/>
        <v>0</v>
      </c>
      <c r="BR381" s="2">
        <f t="shared" si="220"/>
        <v>0</v>
      </c>
      <c r="BS381" s="2">
        <f t="shared" si="221"/>
        <v>0</v>
      </c>
      <c r="BT381" s="2">
        <f t="shared" si="222"/>
        <v>0</v>
      </c>
      <c r="BU381" s="2">
        <f t="shared" si="223"/>
        <v>0</v>
      </c>
      <c r="BV381" s="2">
        <f t="shared" si="224"/>
        <v>0</v>
      </c>
      <c r="BW381" s="2">
        <f t="shared" si="225"/>
        <v>0</v>
      </c>
      <c r="BX381" s="2">
        <f t="shared" si="226"/>
        <v>0</v>
      </c>
      <c r="BY381" s="2">
        <f t="shared" si="227"/>
        <v>0</v>
      </c>
      <c r="BZ381" s="2">
        <f t="shared" si="228"/>
        <v>0</v>
      </c>
      <c r="CA381" s="2">
        <f t="shared" si="229"/>
        <v>0</v>
      </c>
      <c r="CB381" s="2">
        <f t="shared" si="230"/>
        <v>0</v>
      </c>
      <c r="CC381" s="2">
        <f t="shared" si="231"/>
        <v>0</v>
      </c>
      <c r="CD381" s="2">
        <f t="shared" si="232"/>
        <v>0</v>
      </c>
      <c r="CE381" s="2">
        <f t="shared" si="233"/>
        <v>0</v>
      </c>
      <c r="CF381" s="2">
        <f t="shared" si="234"/>
        <v>4539.9000000000005</v>
      </c>
      <c r="CG381" s="2">
        <f t="shared" si="235"/>
        <v>5418.3600000000006</v>
      </c>
      <c r="CH381" s="2">
        <f t="shared" si="236"/>
        <v>3042.7999999999997</v>
      </c>
      <c r="CI381" s="2">
        <f t="shared" si="237"/>
        <v>0</v>
      </c>
      <c r="CJ381" s="2">
        <f t="shared" si="238"/>
        <v>0</v>
      </c>
      <c r="CK381" s="2">
        <f t="shared" si="239"/>
        <v>0</v>
      </c>
      <c r="CL381" s="2">
        <f t="shared" si="240"/>
        <v>0</v>
      </c>
      <c r="CM381" s="2">
        <f t="shared" si="212"/>
        <v>0</v>
      </c>
      <c r="CN381" s="2">
        <f t="shared" si="213"/>
        <v>0</v>
      </c>
      <c r="CO381" s="2">
        <f t="shared" si="214"/>
        <v>0</v>
      </c>
      <c r="CP381" s="2">
        <f t="shared" si="215"/>
        <v>0</v>
      </c>
      <c r="CQ381" s="2">
        <f t="shared" si="216"/>
        <v>0</v>
      </c>
      <c r="CR381" s="2">
        <f t="shared" si="217"/>
        <v>0</v>
      </c>
      <c r="CV381" t="s">
        <v>64</v>
      </c>
      <c r="CW381" t="s">
        <v>454</v>
      </c>
      <c r="CX381" t="s">
        <v>18</v>
      </c>
      <c r="CY381" s="4">
        <v>42829</v>
      </c>
      <c r="CZ381" t="s">
        <v>67</v>
      </c>
      <c r="DA381" t="s">
        <v>68</v>
      </c>
      <c r="DB381">
        <v>19</v>
      </c>
      <c r="DC381">
        <v>60.37</v>
      </c>
      <c r="DD381" t="s">
        <v>69</v>
      </c>
      <c r="DE381" t="s">
        <v>70</v>
      </c>
      <c r="DF381">
        <v>1147.03</v>
      </c>
    </row>
    <row r="382" spans="1:110" x14ac:dyDescent="0.25">
      <c r="A382" s="1">
        <v>43290</v>
      </c>
      <c r="B382">
        <v>188.45</v>
      </c>
      <c r="C382">
        <v>99.5</v>
      </c>
      <c r="D382">
        <v>336.98</v>
      </c>
      <c r="E382">
        <v>138.33000000000001</v>
      </c>
      <c r="F382">
        <v>42.06</v>
      </c>
      <c r="G382">
        <v>122.36</v>
      </c>
      <c r="H382">
        <v>105.2</v>
      </c>
      <c r="I382">
        <v>65.95</v>
      </c>
      <c r="J382">
        <v>226.32</v>
      </c>
      <c r="K382">
        <v>193.92</v>
      </c>
      <c r="L382">
        <v>139.43</v>
      </c>
      <c r="M382">
        <v>50.9</v>
      </c>
      <c r="N382">
        <v>124.42</v>
      </c>
      <c r="O382">
        <v>105.68</v>
      </c>
      <c r="P382">
        <v>43.68</v>
      </c>
      <c r="Q382">
        <v>157.97</v>
      </c>
      <c r="R382">
        <v>196.49</v>
      </c>
      <c r="S382">
        <v>61.17</v>
      </c>
      <c r="T382">
        <v>101.02</v>
      </c>
      <c r="U382">
        <v>76.86</v>
      </c>
      <c r="V382">
        <v>36.25</v>
      </c>
      <c r="W382">
        <v>75.88</v>
      </c>
      <c r="X382">
        <v>123.91</v>
      </c>
      <c r="Y382">
        <v>252.01</v>
      </c>
      <c r="Z382">
        <v>124.55</v>
      </c>
      <c r="AA382">
        <v>134.84</v>
      </c>
      <c r="AB382">
        <v>49.67</v>
      </c>
      <c r="AC382">
        <v>62.6</v>
      </c>
      <c r="AD382">
        <v>84.97</v>
      </c>
      <c r="AE382">
        <v>80.34</v>
      </c>
      <c r="AI382" s="2">
        <v>5000</v>
      </c>
      <c r="AJ382" s="2">
        <f t="shared" si="248"/>
        <v>1270</v>
      </c>
      <c r="AK382" s="2">
        <f t="shared" si="248"/>
        <v>1270</v>
      </c>
      <c r="AL382" s="2">
        <f t="shared" si="248"/>
        <v>1270</v>
      </c>
      <c r="AM382" s="2">
        <f t="shared" si="248"/>
        <v>1270</v>
      </c>
      <c r="AN382" s="2">
        <f t="shared" si="248"/>
        <v>1270</v>
      </c>
      <c r="AO382" s="2">
        <f t="shared" si="248"/>
        <v>1270</v>
      </c>
      <c r="AP382" s="2">
        <f t="shared" si="248"/>
        <v>1150</v>
      </c>
      <c r="AQ382" s="2">
        <v>1000</v>
      </c>
      <c r="AR382" s="2">
        <v>0</v>
      </c>
      <c r="AS382" s="2">
        <v>10</v>
      </c>
      <c r="AT382" s="2">
        <v>0</v>
      </c>
      <c r="AU382" s="2">
        <v>0</v>
      </c>
      <c r="AV382" s="2">
        <v>0</v>
      </c>
      <c r="AW382" s="2">
        <v>0</v>
      </c>
      <c r="AX382" s="2">
        <v>0</v>
      </c>
      <c r="AY382" s="2">
        <v>0</v>
      </c>
      <c r="AZ382" s="2">
        <v>1031</v>
      </c>
      <c r="BA382" s="2">
        <v>1020</v>
      </c>
      <c r="BB382" s="2">
        <v>1008</v>
      </c>
      <c r="BC382" s="2">
        <v>-1000</v>
      </c>
      <c r="BD382" s="2">
        <v>-7500</v>
      </c>
      <c r="BE382" s="2">
        <v>5000</v>
      </c>
      <c r="BF382" s="2">
        <v>3000</v>
      </c>
      <c r="BG382" s="2">
        <v>5000</v>
      </c>
      <c r="BH382" s="2">
        <v>2500</v>
      </c>
      <c r="BI382" s="2">
        <v>3000</v>
      </c>
      <c r="BJ382" s="2">
        <v>-2000</v>
      </c>
      <c r="BK382" s="2">
        <v>1000</v>
      </c>
      <c r="BL382" s="2">
        <v>1000</v>
      </c>
      <c r="BO382" s="2">
        <f t="shared" si="210"/>
        <v>0</v>
      </c>
      <c r="BP382" s="2">
        <f t="shared" si="218"/>
        <v>0</v>
      </c>
      <c r="BQ382" s="2">
        <f t="shared" si="219"/>
        <v>0</v>
      </c>
      <c r="BR382" s="2">
        <f t="shared" si="220"/>
        <v>0</v>
      </c>
      <c r="BS382" s="2">
        <f t="shared" si="221"/>
        <v>0</v>
      </c>
      <c r="BT382" s="2">
        <f t="shared" si="222"/>
        <v>0</v>
      </c>
      <c r="BU382" s="2">
        <f t="shared" si="223"/>
        <v>0</v>
      </c>
      <c r="BV382" s="2">
        <f t="shared" si="224"/>
        <v>0</v>
      </c>
      <c r="BW382" s="2">
        <f t="shared" si="225"/>
        <v>0</v>
      </c>
      <c r="BX382" s="2">
        <f t="shared" si="226"/>
        <v>0</v>
      </c>
      <c r="BY382" s="2">
        <f t="shared" si="227"/>
        <v>0</v>
      </c>
      <c r="BZ382" s="2">
        <f t="shared" si="228"/>
        <v>0</v>
      </c>
      <c r="CA382" s="2">
        <f t="shared" si="229"/>
        <v>0</v>
      </c>
      <c r="CB382" s="2">
        <f t="shared" si="230"/>
        <v>0</v>
      </c>
      <c r="CC382" s="2">
        <f t="shared" si="231"/>
        <v>0</v>
      </c>
      <c r="CD382" s="2">
        <f t="shared" si="232"/>
        <v>0</v>
      </c>
      <c r="CE382" s="2">
        <f t="shared" si="233"/>
        <v>0</v>
      </c>
      <c r="CF382" s="2">
        <f t="shared" si="234"/>
        <v>-4710.09</v>
      </c>
      <c r="CG382" s="2">
        <f t="shared" si="235"/>
        <v>-2323.46</v>
      </c>
      <c r="CH382" s="2">
        <f t="shared" si="236"/>
        <v>-6071.94</v>
      </c>
      <c r="CI382" s="2">
        <f t="shared" si="237"/>
        <v>0</v>
      </c>
      <c r="CJ382" s="2">
        <f t="shared" si="238"/>
        <v>0</v>
      </c>
      <c r="CK382" s="2">
        <f t="shared" si="239"/>
        <v>0</v>
      </c>
      <c r="CL382" s="2">
        <f t="shared" si="240"/>
        <v>0</v>
      </c>
      <c r="CM382" s="2">
        <f t="shared" si="212"/>
        <v>0</v>
      </c>
      <c r="CN382" s="2">
        <f t="shared" si="213"/>
        <v>0</v>
      </c>
      <c r="CO382" s="2">
        <f t="shared" si="214"/>
        <v>0</v>
      </c>
      <c r="CP382" s="2">
        <f t="shared" si="215"/>
        <v>0</v>
      </c>
      <c r="CQ382" s="2">
        <f t="shared" si="216"/>
        <v>0</v>
      </c>
      <c r="CR382" s="2">
        <f t="shared" si="217"/>
        <v>0</v>
      </c>
      <c r="CV382" t="s">
        <v>64</v>
      </c>
      <c r="CW382" t="s">
        <v>455</v>
      </c>
      <c r="CX382" t="s">
        <v>18</v>
      </c>
      <c r="CY382" s="4">
        <v>42830</v>
      </c>
      <c r="CZ382" t="s">
        <v>65</v>
      </c>
      <c r="DA382" t="s">
        <v>66</v>
      </c>
      <c r="DB382">
        <v>41</v>
      </c>
      <c r="DC382">
        <v>60.28</v>
      </c>
      <c r="DD382" t="s">
        <v>69</v>
      </c>
      <c r="DE382" t="s">
        <v>70</v>
      </c>
      <c r="DF382">
        <v>2471.48</v>
      </c>
    </row>
    <row r="383" spans="1:110" x14ac:dyDescent="0.25">
      <c r="A383" s="1">
        <v>43291</v>
      </c>
      <c r="B383">
        <v>188.22</v>
      </c>
      <c r="C383">
        <v>99.5</v>
      </c>
      <c r="D383">
        <v>342.15</v>
      </c>
      <c r="E383">
        <v>138.61000000000001</v>
      </c>
      <c r="F383">
        <v>42.25</v>
      </c>
      <c r="G383">
        <v>123.91</v>
      </c>
      <c r="H383">
        <v>105.21</v>
      </c>
      <c r="I383">
        <v>67</v>
      </c>
      <c r="J383">
        <v>225.19</v>
      </c>
      <c r="K383">
        <v>195.43</v>
      </c>
      <c r="L383">
        <v>139.72999999999999</v>
      </c>
      <c r="M383">
        <v>51.2</v>
      </c>
      <c r="N383">
        <v>125.74</v>
      </c>
      <c r="O383">
        <v>105.03</v>
      </c>
      <c r="P383">
        <v>44.24</v>
      </c>
      <c r="Q383">
        <v>158.65</v>
      </c>
      <c r="R383">
        <v>197.42</v>
      </c>
      <c r="S383">
        <v>61.45</v>
      </c>
      <c r="T383">
        <v>101.29</v>
      </c>
      <c r="U383">
        <v>77.150000000000006</v>
      </c>
      <c r="V383">
        <v>36.51</v>
      </c>
      <c r="W383">
        <v>77.790000000000006</v>
      </c>
      <c r="X383">
        <v>124.37</v>
      </c>
      <c r="Y383">
        <v>253.87</v>
      </c>
      <c r="Z383">
        <v>124.92</v>
      </c>
      <c r="AA383">
        <v>136</v>
      </c>
      <c r="AB383">
        <v>50.25</v>
      </c>
      <c r="AC383">
        <v>62.08</v>
      </c>
      <c r="AD383">
        <v>86.24</v>
      </c>
      <c r="AE383">
        <v>81.069999999999993</v>
      </c>
      <c r="AI383" s="2">
        <v>5000</v>
      </c>
      <c r="AJ383" s="2">
        <f t="shared" si="248"/>
        <v>1270</v>
      </c>
      <c r="AK383" s="2">
        <f t="shared" si="248"/>
        <v>1270</v>
      </c>
      <c r="AL383" s="2">
        <f t="shared" si="248"/>
        <v>1270</v>
      </c>
      <c r="AM383" s="2">
        <f t="shared" si="248"/>
        <v>1270</v>
      </c>
      <c r="AN383" s="2">
        <f t="shared" si="248"/>
        <v>1270</v>
      </c>
      <c r="AO383" s="2">
        <f t="shared" si="248"/>
        <v>1270</v>
      </c>
      <c r="AP383" s="2">
        <f t="shared" si="248"/>
        <v>1150</v>
      </c>
      <c r="AQ383" s="2">
        <v>1000</v>
      </c>
      <c r="AR383" s="2">
        <v>0</v>
      </c>
      <c r="AS383" s="2">
        <v>10</v>
      </c>
      <c r="AT383" s="2">
        <v>0</v>
      </c>
      <c r="AU383" s="2">
        <v>0</v>
      </c>
      <c r="AV383" s="2">
        <v>0</v>
      </c>
      <c r="AW383" s="2">
        <v>0</v>
      </c>
      <c r="AX383" s="2">
        <v>0</v>
      </c>
      <c r="AY383" s="2">
        <v>0</v>
      </c>
      <c r="AZ383" s="2">
        <v>1025</v>
      </c>
      <c r="BA383" s="2">
        <v>989</v>
      </c>
      <c r="BB383" s="2">
        <v>959</v>
      </c>
      <c r="BC383" s="2">
        <v>-1000</v>
      </c>
      <c r="BD383" s="2">
        <v>-7500</v>
      </c>
      <c r="BE383" s="2">
        <v>5000</v>
      </c>
      <c r="BF383" s="2">
        <v>3000</v>
      </c>
      <c r="BG383" s="2">
        <v>5000</v>
      </c>
      <c r="BH383" s="2">
        <v>2500</v>
      </c>
      <c r="BI383" s="2">
        <v>3000</v>
      </c>
      <c r="BJ383" s="2">
        <v>-2000</v>
      </c>
      <c r="BK383" s="2">
        <v>1000</v>
      </c>
      <c r="BL383" s="2">
        <v>1000</v>
      </c>
      <c r="BO383" s="2">
        <f t="shared" si="210"/>
        <v>0</v>
      </c>
      <c r="BP383" s="2">
        <f t="shared" si="218"/>
        <v>0</v>
      </c>
      <c r="BQ383" s="2">
        <f t="shared" si="219"/>
        <v>0</v>
      </c>
      <c r="BR383" s="2">
        <f t="shared" si="220"/>
        <v>0</v>
      </c>
      <c r="BS383" s="2">
        <f t="shared" si="221"/>
        <v>0</v>
      </c>
      <c r="BT383" s="2">
        <f t="shared" si="222"/>
        <v>0</v>
      </c>
      <c r="BU383" s="2">
        <f t="shared" si="223"/>
        <v>0</v>
      </c>
      <c r="BV383" s="2">
        <f t="shared" si="224"/>
        <v>0</v>
      </c>
      <c r="BW383" s="2">
        <f t="shared" si="225"/>
        <v>0</v>
      </c>
      <c r="BX383" s="2">
        <f t="shared" si="226"/>
        <v>0</v>
      </c>
      <c r="BY383" s="2">
        <f t="shared" si="227"/>
        <v>0</v>
      </c>
      <c r="BZ383" s="2">
        <f t="shared" si="228"/>
        <v>0</v>
      </c>
      <c r="CA383" s="2">
        <f t="shared" si="229"/>
        <v>0</v>
      </c>
      <c r="CB383" s="2">
        <f t="shared" si="230"/>
        <v>0</v>
      </c>
      <c r="CC383" s="2">
        <f t="shared" si="231"/>
        <v>0</v>
      </c>
      <c r="CD383" s="2">
        <f t="shared" si="232"/>
        <v>0</v>
      </c>
      <c r="CE383" s="2">
        <f t="shared" si="233"/>
        <v>0</v>
      </c>
      <c r="CF383" s="2">
        <f t="shared" si="234"/>
        <v>368.70000000000005</v>
      </c>
      <c r="CG383" s="2">
        <f t="shared" si="235"/>
        <v>3139.9900000000002</v>
      </c>
      <c r="CH383" s="2">
        <f t="shared" si="236"/>
        <v>3780.3500000000004</v>
      </c>
      <c r="CI383" s="2">
        <f t="shared" si="237"/>
        <v>0</v>
      </c>
      <c r="CJ383" s="2">
        <f t="shared" si="238"/>
        <v>0</v>
      </c>
      <c r="CK383" s="2">
        <f t="shared" si="239"/>
        <v>0</v>
      </c>
      <c r="CL383" s="2">
        <f t="shared" si="240"/>
        <v>0</v>
      </c>
      <c r="CM383" s="2">
        <f t="shared" si="212"/>
        <v>0</v>
      </c>
      <c r="CN383" s="2">
        <f t="shared" si="213"/>
        <v>0</v>
      </c>
      <c r="CO383" s="2">
        <f t="shared" si="214"/>
        <v>0</v>
      </c>
      <c r="CP383" s="2">
        <f t="shared" si="215"/>
        <v>0</v>
      </c>
      <c r="CQ383" s="2">
        <f t="shared" si="216"/>
        <v>0</v>
      </c>
      <c r="CR383" s="2">
        <f t="shared" si="217"/>
        <v>0</v>
      </c>
      <c r="CV383" t="s">
        <v>64</v>
      </c>
      <c r="CW383" t="s">
        <v>456</v>
      </c>
      <c r="CX383" t="s">
        <v>18</v>
      </c>
      <c r="CY383" s="4">
        <v>42831</v>
      </c>
      <c r="CZ383" t="s">
        <v>67</v>
      </c>
      <c r="DA383" t="s">
        <v>68</v>
      </c>
      <c r="DB383">
        <v>89</v>
      </c>
      <c r="DC383">
        <v>59.96</v>
      </c>
      <c r="DD383" t="s">
        <v>69</v>
      </c>
      <c r="DE383" t="s">
        <v>70</v>
      </c>
      <c r="DF383">
        <v>5336.4400000000005</v>
      </c>
    </row>
    <row r="384" spans="1:110" x14ac:dyDescent="0.25">
      <c r="A384" s="1">
        <v>43292</v>
      </c>
      <c r="B384">
        <v>185.78</v>
      </c>
      <c r="C384">
        <v>99.89</v>
      </c>
      <c r="D384">
        <v>335.68</v>
      </c>
      <c r="E384">
        <v>134.19999999999999</v>
      </c>
      <c r="F384">
        <v>41.96</v>
      </c>
      <c r="G384">
        <v>119.96</v>
      </c>
      <c r="H384">
        <v>107.21</v>
      </c>
      <c r="I384">
        <v>65.510000000000005</v>
      </c>
      <c r="J384">
        <v>224.01</v>
      </c>
      <c r="K384">
        <v>194.78</v>
      </c>
      <c r="L384">
        <v>139.96</v>
      </c>
      <c r="M384">
        <v>50.25</v>
      </c>
      <c r="N384">
        <v>124.61</v>
      </c>
      <c r="O384">
        <v>104.8</v>
      </c>
      <c r="P384">
        <v>44.06</v>
      </c>
      <c r="Q384">
        <v>156.66999999999999</v>
      </c>
      <c r="R384">
        <v>193.69</v>
      </c>
      <c r="S384">
        <v>61.05</v>
      </c>
      <c r="T384">
        <v>101.15</v>
      </c>
      <c r="U384">
        <v>76.94</v>
      </c>
      <c r="V384">
        <v>36.299999999999997</v>
      </c>
      <c r="W384">
        <v>77.150000000000006</v>
      </c>
      <c r="X384">
        <v>123.56</v>
      </c>
      <c r="Y384">
        <v>252.93</v>
      </c>
      <c r="Z384">
        <v>122.78</v>
      </c>
      <c r="AA384">
        <v>137.46</v>
      </c>
      <c r="AB384">
        <v>50.25</v>
      </c>
      <c r="AC384">
        <v>62.54</v>
      </c>
      <c r="AD384">
        <v>85.56</v>
      </c>
      <c r="AE384">
        <v>80.040000000000006</v>
      </c>
      <c r="AI384" s="2">
        <v>5000</v>
      </c>
      <c r="AJ384" s="2">
        <f t="shared" si="248"/>
        <v>1270</v>
      </c>
      <c r="AK384" s="2">
        <f t="shared" si="248"/>
        <v>1270</v>
      </c>
      <c r="AL384" s="2">
        <f t="shared" si="248"/>
        <v>1270</v>
      </c>
      <c r="AM384" s="2">
        <f t="shared" si="248"/>
        <v>1270</v>
      </c>
      <c r="AN384" s="2">
        <f t="shared" si="248"/>
        <v>1270</v>
      </c>
      <c r="AO384" s="2">
        <f t="shared" si="248"/>
        <v>1270</v>
      </c>
      <c r="AP384" s="2">
        <f t="shared" si="248"/>
        <v>1150</v>
      </c>
      <c r="AQ384" s="2">
        <v>1000</v>
      </c>
      <c r="AR384" s="2">
        <v>0</v>
      </c>
      <c r="AS384" s="2">
        <v>10</v>
      </c>
      <c r="AT384" s="2">
        <v>0</v>
      </c>
      <c r="AU384" s="2">
        <v>0</v>
      </c>
      <c r="AV384" s="2">
        <v>0</v>
      </c>
      <c r="AW384" s="2">
        <v>0</v>
      </c>
      <c r="AX384" s="2">
        <v>0</v>
      </c>
      <c r="AY384" s="2">
        <v>0</v>
      </c>
      <c r="AZ384" s="2">
        <v>1034</v>
      </c>
      <c r="BA384" s="2">
        <v>991</v>
      </c>
      <c r="BB384" s="2">
        <v>1031</v>
      </c>
      <c r="BC384" s="2">
        <v>-1000</v>
      </c>
      <c r="BD384" s="2">
        <v>-7500</v>
      </c>
      <c r="BE384" s="2">
        <v>5000</v>
      </c>
      <c r="BF384" s="2">
        <v>3000</v>
      </c>
      <c r="BG384" s="2">
        <v>5000</v>
      </c>
      <c r="BH384" s="2">
        <v>2500</v>
      </c>
      <c r="BI384" s="2">
        <v>3000</v>
      </c>
      <c r="BJ384" s="2">
        <v>-2000</v>
      </c>
      <c r="BK384" s="2">
        <v>1000</v>
      </c>
      <c r="BL384" s="2">
        <v>1000</v>
      </c>
      <c r="BO384" s="2">
        <f t="shared" si="210"/>
        <v>0</v>
      </c>
      <c r="BP384" s="2">
        <f t="shared" si="218"/>
        <v>0</v>
      </c>
      <c r="BQ384" s="2">
        <f t="shared" si="219"/>
        <v>0</v>
      </c>
      <c r="BR384" s="2">
        <f t="shared" si="220"/>
        <v>0</v>
      </c>
      <c r="BS384" s="2">
        <f t="shared" si="221"/>
        <v>0</v>
      </c>
      <c r="BT384" s="2">
        <f t="shared" si="222"/>
        <v>0</v>
      </c>
      <c r="BU384" s="2">
        <f t="shared" si="223"/>
        <v>0</v>
      </c>
      <c r="BV384" s="2">
        <f t="shared" si="224"/>
        <v>0</v>
      </c>
      <c r="BW384" s="2">
        <f t="shared" si="225"/>
        <v>0</v>
      </c>
      <c r="BX384" s="2">
        <f t="shared" si="226"/>
        <v>0</v>
      </c>
      <c r="BY384" s="2">
        <f t="shared" si="227"/>
        <v>0</v>
      </c>
      <c r="BZ384" s="2">
        <f t="shared" si="228"/>
        <v>0</v>
      </c>
      <c r="CA384" s="2">
        <f t="shared" si="229"/>
        <v>0</v>
      </c>
      <c r="CB384" s="2">
        <f t="shared" si="230"/>
        <v>0</v>
      </c>
      <c r="CC384" s="2">
        <f t="shared" si="231"/>
        <v>0</v>
      </c>
      <c r="CD384" s="2">
        <f t="shared" si="232"/>
        <v>0</v>
      </c>
      <c r="CE384" s="2">
        <f t="shared" si="233"/>
        <v>0</v>
      </c>
      <c r="CF384" s="2">
        <f t="shared" si="234"/>
        <v>-549.44999999999993</v>
      </c>
      <c r="CG384" s="2">
        <f t="shared" si="235"/>
        <v>-202.3</v>
      </c>
      <c r="CH384" s="2">
        <f t="shared" si="236"/>
        <v>-5539.68</v>
      </c>
      <c r="CI384" s="2">
        <f t="shared" si="237"/>
        <v>0</v>
      </c>
      <c r="CJ384" s="2">
        <f t="shared" si="238"/>
        <v>0</v>
      </c>
      <c r="CK384" s="2">
        <f t="shared" si="239"/>
        <v>0</v>
      </c>
      <c r="CL384" s="2">
        <f t="shared" si="240"/>
        <v>0</v>
      </c>
      <c r="CM384" s="2">
        <f t="shared" si="212"/>
        <v>0</v>
      </c>
      <c r="CN384" s="2">
        <f t="shared" si="213"/>
        <v>0</v>
      </c>
      <c r="CO384" s="2">
        <f t="shared" si="214"/>
        <v>0</v>
      </c>
      <c r="CP384" s="2">
        <f t="shared" si="215"/>
        <v>0</v>
      </c>
      <c r="CQ384" s="2">
        <f t="shared" si="216"/>
        <v>0</v>
      </c>
      <c r="CR384" s="2">
        <f t="shared" si="217"/>
        <v>0</v>
      </c>
      <c r="CV384" t="s">
        <v>64</v>
      </c>
      <c r="CW384" t="s">
        <v>457</v>
      </c>
      <c r="CX384" t="s">
        <v>18</v>
      </c>
      <c r="CY384" s="4">
        <v>42832</v>
      </c>
      <c r="CZ384" t="s">
        <v>65</v>
      </c>
      <c r="DA384" t="s">
        <v>66</v>
      </c>
      <c r="DB384">
        <v>39</v>
      </c>
      <c r="DC384">
        <v>59.86</v>
      </c>
      <c r="DD384" t="s">
        <v>69</v>
      </c>
      <c r="DE384" t="s">
        <v>70</v>
      </c>
      <c r="DF384">
        <v>2334.54</v>
      </c>
    </row>
    <row r="385" spans="1:110" x14ac:dyDescent="0.25">
      <c r="A385" s="1">
        <v>43293</v>
      </c>
      <c r="B385">
        <v>188.89</v>
      </c>
      <c r="C385">
        <v>100.74</v>
      </c>
      <c r="D385">
        <v>341.03</v>
      </c>
      <c r="E385">
        <v>136.81</v>
      </c>
      <c r="F385">
        <v>42.95</v>
      </c>
      <c r="G385">
        <v>120.68</v>
      </c>
      <c r="H385">
        <v>107.42</v>
      </c>
      <c r="I385">
        <v>65.459999999999994</v>
      </c>
      <c r="J385">
        <v>225.56</v>
      </c>
      <c r="K385">
        <v>195.77</v>
      </c>
      <c r="L385">
        <v>141.41999999999999</v>
      </c>
      <c r="M385">
        <v>51.38</v>
      </c>
      <c r="N385">
        <v>126.11</v>
      </c>
      <c r="O385">
        <v>105.25</v>
      </c>
      <c r="P385">
        <v>43.95</v>
      </c>
      <c r="Q385">
        <v>157.16</v>
      </c>
      <c r="R385">
        <v>195.3</v>
      </c>
      <c r="S385">
        <v>61.8</v>
      </c>
      <c r="T385">
        <v>103.34</v>
      </c>
      <c r="U385">
        <v>76.95</v>
      </c>
      <c r="V385">
        <v>36.6</v>
      </c>
      <c r="W385">
        <v>76.89</v>
      </c>
      <c r="X385">
        <v>124.52</v>
      </c>
      <c r="Y385">
        <v>254.38</v>
      </c>
      <c r="Z385">
        <v>125.21</v>
      </c>
      <c r="AA385">
        <v>139.19999999999999</v>
      </c>
      <c r="AB385">
        <v>50.16</v>
      </c>
      <c r="AC385">
        <v>62.75</v>
      </c>
      <c r="AD385">
        <v>85.55</v>
      </c>
      <c r="AE385">
        <v>80.13</v>
      </c>
      <c r="AI385" s="2">
        <v>5000</v>
      </c>
      <c r="AJ385" s="2">
        <f t="shared" si="248"/>
        <v>1270</v>
      </c>
      <c r="AK385" s="2">
        <f t="shared" si="248"/>
        <v>1270</v>
      </c>
      <c r="AL385" s="2">
        <f t="shared" si="248"/>
        <v>1270</v>
      </c>
      <c r="AM385" s="2">
        <f t="shared" si="248"/>
        <v>1270</v>
      </c>
      <c r="AN385" s="2">
        <f t="shared" si="248"/>
        <v>1270</v>
      </c>
      <c r="AO385" s="2">
        <f t="shared" si="248"/>
        <v>1270</v>
      </c>
      <c r="AP385" s="2">
        <f t="shared" si="248"/>
        <v>1150</v>
      </c>
      <c r="AQ385" s="2">
        <v>1000</v>
      </c>
      <c r="AR385" s="2">
        <v>0</v>
      </c>
      <c r="AS385" s="2">
        <v>10</v>
      </c>
      <c r="AT385" s="2">
        <v>0</v>
      </c>
      <c r="AU385" s="2">
        <v>0</v>
      </c>
      <c r="AV385" s="2">
        <v>0</v>
      </c>
      <c r="AW385" s="2">
        <v>0</v>
      </c>
      <c r="AX385" s="2">
        <v>0</v>
      </c>
      <c r="AY385" s="2">
        <v>0</v>
      </c>
      <c r="AZ385" s="2">
        <v>955</v>
      </c>
      <c r="BA385" s="2">
        <v>1024</v>
      </c>
      <c r="BB385" s="2">
        <v>959</v>
      </c>
      <c r="BC385" s="2">
        <v>-1000</v>
      </c>
      <c r="BD385" s="2">
        <v>-7500</v>
      </c>
      <c r="BE385" s="2">
        <v>5000</v>
      </c>
      <c r="BF385" s="2">
        <v>3000</v>
      </c>
      <c r="BG385" s="2">
        <v>5000</v>
      </c>
      <c r="BH385" s="2">
        <v>2500</v>
      </c>
      <c r="BI385" s="2">
        <v>3000</v>
      </c>
      <c r="BJ385" s="2">
        <v>-2000</v>
      </c>
      <c r="BK385" s="2">
        <v>1000</v>
      </c>
      <c r="BL385" s="2">
        <v>1000</v>
      </c>
      <c r="BO385" s="2">
        <f t="shared" si="210"/>
        <v>0</v>
      </c>
      <c r="BP385" s="2">
        <f t="shared" si="218"/>
        <v>0</v>
      </c>
      <c r="BQ385" s="2">
        <f t="shared" si="219"/>
        <v>0</v>
      </c>
      <c r="BR385" s="2">
        <f t="shared" si="220"/>
        <v>0</v>
      </c>
      <c r="BS385" s="2">
        <f t="shared" si="221"/>
        <v>0</v>
      </c>
      <c r="BT385" s="2">
        <f t="shared" si="222"/>
        <v>0</v>
      </c>
      <c r="BU385" s="2">
        <f t="shared" si="223"/>
        <v>0</v>
      </c>
      <c r="BV385" s="2">
        <f t="shared" si="224"/>
        <v>0</v>
      </c>
      <c r="BW385" s="2">
        <f t="shared" si="225"/>
        <v>0</v>
      </c>
      <c r="BX385" s="2">
        <f t="shared" si="226"/>
        <v>0</v>
      </c>
      <c r="BY385" s="2">
        <f t="shared" si="227"/>
        <v>0</v>
      </c>
      <c r="BZ385" s="2">
        <f t="shared" si="228"/>
        <v>0</v>
      </c>
      <c r="CA385" s="2">
        <f t="shared" si="229"/>
        <v>0</v>
      </c>
      <c r="CB385" s="2">
        <f t="shared" si="230"/>
        <v>0</v>
      </c>
      <c r="CC385" s="2">
        <f t="shared" si="231"/>
        <v>0</v>
      </c>
      <c r="CD385" s="2">
        <f t="shared" si="232"/>
        <v>0</v>
      </c>
      <c r="CE385" s="2">
        <f t="shared" si="233"/>
        <v>0</v>
      </c>
      <c r="CF385" s="2">
        <f t="shared" si="234"/>
        <v>4882.2</v>
      </c>
      <c r="CG385" s="2">
        <f t="shared" si="235"/>
        <v>-3410.2200000000003</v>
      </c>
      <c r="CH385" s="2">
        <f t="shared" si="236"/>
        <v>5540.4000000000005</v>
      </c>
      <c r="CI385" s="2">
        <f t="shared" si="237"/>
        <v>0</v>
      </c>
      <c r="CJ385" s="2">
        <f t="shared" si="238"/>
        <v>0</v>
      </c>
      <c r="CK385" s="2">
        <f t="shared" si="239"/>
        <v>0</v>
      </c>
      <c r="CL385" s="2">
        <f t="shared" si="240"/>
        <v>0</v>
      </c>
      <c r="CM385" s="2">
        <f t="shared" si="212"/>
        <v>0</v>
      </c>
      <c r="CN385" s="2">
        <f t="shared" si="213"/>
        <v>0</v>
      </c>
      <c r="CO385" s="2">
        <f t="shared" si="214"/>
        <v>0</v>
      </c>
      <c r="CP385" s="2">
        <f t="shared" si="215"/>
        <v>0</v>
      </c>
      <c r="CQ385" s="2">
        <f t="shared" si="216"/>
        <v>0</v>
      </c>
      <c r="CR385" s="2">
        <f t="shared" si="217"/>
        <v>0</v>
      </c>
      <c r="CV385" t="s">
        <v>64</v>
      </c>
      <c r="CW385" t="s">
        <v>458</v>
      </c>
      <c r="CX385" t="s">
        <v>18</v>
      </c>
      <c r="CY385" s="4">
        <v>42835</v>
      </c>
      <c r="CZ385" t="s">
        <v>67</v>
      </c>
      <c r="DA385" t="s">
        <v>68</v>
      </c>
      <c r="DB385">
        <v>46</v>
      </c>
      <c r="DC385">
        <v>59.31</v>
      </c>
      <c r="DD385" t="s">
        <v>69</v>
      </c>
      <c r="DE385" t="s">
        <v>70</v>
      </c>
      <c r="DF385">
        <v>2728.26</v>
      </c>
    </row>
    <row r="386" spans="1:110" x14ac:dyDescent="0.25">
      <c r="A386" s="1">
        <v>43294</v>
      </c>
      <c r="B386">
        <v>189.19</v>
      </c>
      <c r="C386">
        <v>100.09</v>
      </c>
      <c r="D386">
        <v>345.72</v>
      </c>
      <c r="E386">
        <v>138.12</v>
      </c>
      <c r="F386">
        <v>41.18</v>
      </c>
      <c r="G386">
        <v>120.46</v>
      </c>
      <c r="H386">
        <v>109.15</v>
      </c>
      <c r="I386">
        <v>65.569999999999993</v>
      </c>
      <c r="J386">
        <v>224.75</v>
      </c>
      <c r="K386">
        <v>196.5</v>
      </c>
      <c r="L386">
        <v>140.88</v>
      </c>
      <c r="M386">
        <v>51.25</v>
      </c>
      <c r="N386">
        <v>124.3</v>
      </c>
      <c r="O386">
        <v>104.77</v>
      </c>
      <c r="P386">
        <v>44.01</v>
      </c>
      <c r="Q386">
        <v>156.56</v>
      </c>
      <c r="R386">
        <v>197.12</v>
      </c>
      <c r="S386">
        <v>62.03</v>
      </c>
      <c r="T386">
        <v>104.57</v>
      </c>
      <c r="U386">
        <v>76.959999999999994</v>
      </c>
      <c r="V386">
        <v>36.61</v>
      </c>
      <c r="W386">
        <v>77.3</v>
      </c>
      <c r="X386">
        <v>125.12</v>
      </c>
      <c r="Y386">
        <v>257.01</v>
      </c>
      <c r="Z386">
        <v>127.33</v>
      </c>
      <c r="AA386">
        <v>138.72</v>
      </c>
      <c r="AB386">
        <v>50.32</v>
      </c>
      <c r="AC386">
        <v>64.02</v>
      </c>
      <c r="AD386">
        <v>86.72</v>
      </c>
      <c r="AE386">
        <v>80.739999999999995</v>
      </c>
      <c r="AI386" s="2">
        <v>5000</v>
      </c>
      <c r="AJ386" s="2">
        <f t="shared" si="248"/>
        <v>1270</v>
      </c>
      <c r="AK386" s="2">
        <f t="shared" si="248"/>
        <v>1270</v>
      </c>
      <c r="AL386" s="2">
        <f t="shared" si="248"/>
        <v>1270</v>
      </c>
      <c r="AM386" s="2">
        <f t="shared" si="248"/>
        <v>1270</v>
      </c>
      <c r="AN386" s="2">
        <f t="shared" si="248"/>
        <v>1270</v>
      </c>
      <c r="AO386" s="2">
        <f t="shared" si="248"/>
        <v>1270</v>
      </c>
      <c r="AP386" s="2">
        <f t="shared" si="248"/>
        <v>1150</v>
      </c>
      <c r="AQ386" s="2">
        <v>1000</v>
      </c>
      <c r="AR386" s="2">
        <v>0</v>
      </c>
      <c r="AS386" s="2">
        <v>10</v>
      </c>
      <c r="AT386" s="2">
        <v>0</v>
      </c>
      <c r="AU386" s="2">
        <v>0</v>
      </c>
      <c r="AV386" s="2">
        <v>0</v>
      </c>
      <c r="AW386" s="2">
        <v>0</v>
      </c>
      <c r="AX386" s="2">
        <v>0</v>
      </c>
      <c r="AY386" s="2">
        <v>0</v>
      </c>
      <c r="AZ386" s="2">
        <v>951</v>
      </c>
      <c r="BA386" s="2">
        <v>995</v>
      </c>
      <c r="BB386" s="2">
        <v>991</v>
      </c>
      <c r="BC386" s="2">
        <v>-1000</v>
      </c>
      <c r="BD386" s="2">
        <v>-7500</v>
      </c>
      <c r="BE386" s="2">
        <v>5000</v>
      </c>
      <c r="BF386" s="2">
        <v>3000</v>
      </c>
      <c r="BG386" s="2">
        <v>5000</v>
      </c>
      <c r="BH386" s="2">
        <v>2500</v>
      </c>
      <c r="BI386" s="2">
        <v>3000</v>
      </c>
      <c r="BJ386" s="2">
        <v>-2000</v>
      </c>
      <c r="BK386" s="2">
        <v>1000</v>
      </c>
      <c r="BL386" s="2">
        <v>1000</v>
      </c>
      <c r="BO386" s="2">
        <f t="shared" si="210"/>
        <v>0</v>
      </c>
      <c r="BP386" s="2">
        <f t="shared" si="218"/>
        <v>0</v>
      </c>
      <c r="BQ386" s="2">
        <f t="shared" si="219"/>
        <v>0</v>
      </c>
      <c r="BR386" s="2">
        <f t="shared" si="220"/>
        <v>0</v>
      </c>
      <c r="BS386" s="2">
        <f t="shared" si="221"/>
        <v>0</v>
      </c>
      <c r="BT386" s="2">
        <f t="shared" si="222"/>
        <v>0</v>
      </c>
      <c r="BU386" s="2">
        <f t="shared" si="223"/>
        <v>0</v>
      </c>
      <c r="BV386" s="2">
        <f t="shared" si="224"/>
        <v>0</v>
      </c>
      <c r="BW386" s="2">
        <f t="shared" si="225"/>
        <v>0</v>
      </c>
      <c r="BX386" s="2">
        <f t="shared" si="226"/>
        <v>0</v>
      </c>
      <c r="BY386" s="2">
        <f t="shared" si="227"/>
        <v>0</v>
      </c>
      <c r="BZ386" s="2">
        <f t="shared" si="228"/>
        <v>0</v>
      </c>
      <c r="CA386" s="2">
        <f t="shared" si="229"/>
        <v>0</v>
      </c>
      <c r="CB386" s="2">
        <f t="shared" si="230"/>
        <v>0</v>
      </c>
      <c r="CC386" s="2">
        <f t="shared" si="231"/>
        <v>0</v>
      </c>
      <c r="CD386" s="2">
        <f t="shared" si="232"/>
        <v>0</v>
      </c>
      <c r="CE386" s="2">
        <f t="shared" si="233"/>
        <v>0</v>
      </c>
      <c r="CF386" s="2">
        <f t="shared" si="234"/>
        <v>248.12</v>
      </c>
      <c r="CG386" s="2">
        <f t="shared" si="235"/>
        <v>3032.5299999999997</v>
      </c>
      <c r="CH386" s="2">
        <f t="shared" si="236"/>
        <v>-2462.7199999999998</v>
      </c>
      <c r="CI386" s="2">
        <f t="shared" si="237"/>
        <v>0</v>
      </c>
      <c r="CJ386" s="2">
        <f t="shared" si="238"/>
        <v>0</v>
      </c>
      <c r="CK386" s="2">
        <f t="shared" si="239"/>
        <v>0</v>
      </c>
      <c r="CL386" s="2">
        <f t="shared" si="240"/>
        <v>0</v>
      </c>
      <c r="CM386" s="2">
        <f t="shared" si="212"/>
        <v>0</v>
      </c>
      <c r="CN386" s="2">
        <f t="shared" si="213"/>
        <v>0</v>
      </c>
      <c r="CO386" s="2">
        <f t="shared" si="214"/>
        <v>0</v>
      </c>
      <c r="CP386" s="2">
        <f t="shared" si="215"/>
        <v>0</v>
      </c>
      <c r="CQ386" s="2">
        <f t="shared" si="216"/>
        <v>0</v>
      </c>
      <c r="CR386" s="2">
        <f t="shared" si="217"/>
        <v>0</v>
      </c>
      <c r="CV386" t="s">
        <v>64</v>
      </c>
      <c r="CW386" t="s">
        <v>459</v>
      </c>
      <c r="CX386" t="s">
        <v>18</v>
      </c>
      <c r="CY386" s="4">
        <v>42836</v>
      </c>
      <c r="CZ386" t="s">
        <v>65</v>
      </c>
      <c r="DA386" t="s">
        <v>66</v>
      </c>
      <c r="DB386">
        <v>41</v>
      </c>
      <c r="DC386">
        <v>59.34</v>
      </c>
      <c r="DD386" t="s">
        <v>69</v>
      </c>
      <c r="DE386" t="s">
        <v>70</v>
      </c>
      <c r="DF386">
        <v>2432.94</v>
      </c>
    </row>
    <row r="387" spans="1:110" x14ac:dyDescent="0.25">
      <c r="A387" s="1">
        <v>43297</v>
      </c>
      <c r="B387">
        <v>188.77</v>
      </c>
      <c r="C387">
        <v>100.28</v>
      </c>
      <c r="D387">
        <v>350.96</v>
      </c>
      <c r="E387">
        <v>135.5</v>
      </c>
      <c r="F387">
        <v>41.89</v>
      </c>
      <c r="G387">
        <v>119.43</v>
      </c>
      <c r="H387">
        <v>109.35</v>
      </c>
      <c r="I387">
        <v>64.94</v>
      </c>
      <c r="J387">
        <v>229.75</v>
      </c>
      <c r="K387">
        <v>196.69</v>
      </c>
      <c r="L387">
        <v>140.46</v>
      </c>
      <c r="M387">
        <v>51.05</v>
      </c>
      <c r="N387">
        <v>123.08</v>
      </c>
      <c r="O387">
        <v>108.93</v>
      </c>
      <c r="P387">
        <v>44</v>
      </c>
      <c r="Q387">
        <v>156.83000000000001</v>
      </c>
      <c r="R387">
        <v>197.05</v>
      </c>
      <c r="S387">
        <v>61.73</v>
      </c>
      <c r="T387">
        <v>104.06</v>
      </c>
      <c r="U387">
        <v>77.33</v>
      </c>
      <c r="V387">
        <v>36.46</v>
      </c>
      <c r="W387">
        <v>77.510000000000005</v>
      </c>
      <c r="X387">
        <v>126.66</v>
      </c>
      <c r="Y387">
        <v>255.3</v>
      </c>
      <c r="Z387">
        <v>126.81</v>
      </c>
      <c r="AA387">
        <v>137.76</v>
      </c>
      <c r="AB387">
        <v>50.5</v>
      </c>
      <c r="AC387">
        <v>64.010000000000005</v>
      </c>
      <c r="AD387">
        <v>86.66</v>
      </c>
      <c r="AE387">
        <v>79.94</v>
      </c>
      <c r="AI387" s="2">
        <v>5000</v>
      </c>
      <c r="AJ387" s="2">
        <f t="shared" si="248"/>
        <v>1270</v>
      </c>
      <c r="AK387" s="2">
        <f t="shared" si="248"/>
        <v>1270</v>
      </c>
      <c r="AL387" s="2">
        <f t="shared" si="248"/>
        <v>1270</v>
      </c>
      <c r="AM387" s="2">
        <f t="shared" si="248"/>
        <v>1270</v>
      </c>
      <c r="AN387" s="2">
        <f t="shared" si="248"/>
        <v>1270</v>
      </c>
      <c r="AO387" s="2">
        <f t="shared" si="248"/>
        <v>1270</v>
      </c>
      <c r="AP387" s="2">
        <f t="shared" si="248"/>
        <v>1150</v>
      </c>
      <c r="AQ387" s="2">
        <v>1000</v>
      </c>
      <c r="AR387" s="2">
        <v>0</v>
      </c>
      <c r="AS387" s="2">
        <v>10</v>
      </c>
      <c r="AT387" s="2">
        <v>0</v>
      </c>
      <c r="AU387" s="2">
        <v>0</v>
      </c>
      <c r="AV387" s="2">
        <v>0</v>
      </c>
      <c r="AW387" s="2">
        <v>0</v>
      </c>
      <c r="AX387" s="2">
        <v>0</v>
      </c>
      <c r="AY387" s="2">
        <v>0</v>
      </c>
      <c r="AZ387" s="2">
        <v>1016</v>
      </c>
      <c r="BA387" s="2">
        <v>903</v>
      </c>
      <c r="BB387" s="2">
        <v>999</v>
      </c>
      <c r="BC387" s="2">
        <v>-1000</v>
      </c>
      <c r="BD387" s="2">
        <v>-7500</v>
      </c>
      <c r="BE387" s="2">
        <v>5000</v>
      </c>
      <c r="BF387" s="2">
        <v>3000</v>
      </c>
      <c r="BG387" s="2">
        <v>5000</v>
      </c>
      <c r="BH387" s="2">
        <v>2500</v>
      </c>
      <c r="BI387" s="2">
        <v>3000</v>
      </c>
      <c r="BJ387" s="2">
        <v>-2000</v>
      </c>
      <c r="BK387" s="2">
        <v>1000</v>
      </c>
      <c r="BL387" s="2">
        <v>1000</v>
      </c>
      <c r="BO387" s="2">
        <f t="shared" si="210"/>
        <v>0</v>
      </c>
      <c r="BP387" s="2">
        <f t="shared" si="218"/>
        <v>0</v>
      </c>
      <c r="BQ387" s="2">
        <f t="shared" si="219"/>
        <v>0</v>
      </c>
      <c r="BR387" s="2">
        <f t="shared" si="220"/>
        <v>0</v>
      </c>
      <c r="BS387" s="2">
        <f t="shared" si="221"/>
        <v>0</v>
      </c>
      <c r="BT387" s="2">
        <f t="shared" si="222"/>
        <v>0</v>
      </c>
      <c r="BU387" s="2">
        <f t="shared" si="223"/>
        <v>0</v>
      </c>
      <c r="BV387" s="2">
        <f t="shared" si="224"/>
        <v>0</v>
      </c>
      <c r="BW387" s="2">
        <f t="shared" si="225"/>
        <v>0</v>
      </c>
      <c r="BX387" s="2">
        <f t="shared" si="226"/>
        <v>0</v>
      </c>
      <c r="BY387" s="2">
        <f t="shared" si="227"/>
        <v>0</v>
      </c>
      <c r="BZ387" s="2">
        <f t="shared" si="228"/>
        <v>0</v>
      </c>
      <c r="CA387" s="2">
        <f t="shared" si="229"/>
        <v>0</v>
      </c>
      <c r="CB387" s="2">
        <f t="shared" si="230"/>
        <v>0</v>
      </c>
      <c r="CC387" s="2">
        <f t="shared" si="231"/>
        <v>0</v>
      </c>
      <c r="CD387" s="2">
        <f t="shared" si="232"/>
        <v>0</v>
      </c>
      <c r="CE387" s="2">
        <f t="shared" si="233"/>
        <v>0</v>
      </c>
      <c r="CF387" s="2">
        <f t="shared" si="234"/>
        <v>-4012.45</v>
      </c>
      <c r="CG387" s="2">
        <f t="shared" si="235"/>
        <v>9573.52</v>
      </c>
      <c r="CH387" s="2">
        <f t="shared" si="236"/>
        <v>-618.64</v>
      </c>
      <c r="CI387" s="2">
        <f t="shared" si="237"/>
        <v>0</v>
      </c>
      <c r="CJ387" s="2">
        <f t="shared" si="238"/>
        <v>0</v>
      </c>
      <c r="CK387" s="2">
        <f t="shared" si="239"/>
        <v>0</v>
      </c>
      <c r="CL387" s="2">
        <f t="shared" si="240"/>
        <v>0</v>
      </c>
      <c r="CM387" s="2">
        <f t="shared" si="212"/>
        <v>0</v>
      </c>
      <c r="CN387" s="2">
        <f t="shared" si="213"/>
        <v>0</v>
      </c>
      <c r="CO387" s="2">
        <f t="shared" si="214"/>
        <v>0</v>
      </c>
      <c r="CP387" s="2">
        <f t="shared" si="215"/>
        <v>0</v>
      </c>
      <c r="CQ387" s="2">
        <f t="shared" si="216"/>
        <v>0</v>
      </c>
      <c r="CR387" s="2">
        <f t="shared" si="217"/>
        <v>0</v>
      </c>
      <c r="CV387" t="s">
        <v>64</v>
      </c>
      <c r="CW387" t="s">
        <v>460</v>
      </c>
      <c r="CX387" t="s">
        <v>18</v>
      </c>
      <c r="CY387" s="4">
        <v>42837</v>
      </c>
      <c r="CZ387" t="s">
        <v>65</v>
      </c>
      <c r="DA387" t="s">
        <v>66</v>
      </c>
      <c r="DB387">
        <v>33</v>
      </c>
      <c r="DC387">
        <v>59.78</v>
      </c>
      <c r="DD387" t="s">
        <v>69</v>
      </c>
      <c r="DE387" t="s">
        <v>70</v>
      </c>
      <c r="DF387">
        <v>1972.74</v>
      </c>
    </row>
    <row r="388" spans="1:110" x14ac:dyDescent="0.25">
      <c r="A388" s="1">
        <v>43298</v>
      </c>
      <c r="B388">
        <v>189.31</v>
      </c>
      <c r="C388">
        <v>100.74</v>
      </c>
      <c r="D388">
        <v>351.73</v>
      </c>
      <c r="E388">
        <v>136.35</v>
      </c>
      <c r="F388">
        <v>41.73</v>
      </c>
      <c r="G388">
        <v>118.39</v>
      </c>
      <c r="H388">
        <v>109.45</v>
      </c>
      <c r="I388">
        <v>66.260000000000005</v>
      </c>
      <c r="J388">
        <v>229.33</v>
      </c>
      <c r="K388">
        <v>198.88</v>
      </c>
      <c r="L388">
        <v>138.56</v>
      </c>
      <c r="M388">
        <v>50.79</v>
      </c>
      <c r="N388">
        <v>127.44</v>
      </c>
      <c r="O388">
        <v>108.85</v>
      </c>
      <c r="P388">
        <v>44.52</v>
      </c>
      <c r="Q388">
        <v>157.79</v>
      </c>
      <c r="R388">
        <v>197.99</v>
      </c>
      <c r="S388">
        <v>61.67</v>
      </c>
      <c r="T388">
        <v>105.09</v>
      </c>
      <c r="U388">
        <v>77.05</v>
      </c>
      <c r="V388">
        <v>36.729999999999997</v>
      </c>
      <c r="W388">
        <v>78</v>
      </c>
      <c r="X388">
        <v>127.26</v>
      </c>
      <c r="Y388">
        <v>248.65</v>
      </c>
      <c r="Z388">
        <v>128.51</v>
      </c>
      <c r="AA388">
        <v>138.94</v>
      </c>
      <c r="AB388">
        <v>50.34</v>
      </c>
      <c r="AC388">
        <v>64.47</v>
      </c>
      <c r="AD388">
        <v>87.2</v>
      </c>
      <c r="AE388">
        <v>79.77</v>
      </c>
      <c r="AI388" s="2">
        <v>5000</v>
      </c>
      <c r="AJ388" s="2">
        <f t="shared" si="248"/>
        <v>1270</v>
      </c>
      <c r="AK388" s="2">
        <f t="shared" si="248"/>
        <v>1270</v>
      </c>
      <c r="AL388" s="2">
        <f t="shared" si="248"/>
        <v>1270</v>
      </c>
      <c r="AM388" s="2">
        <f t="shared" si="248"/>
        <v>1270</v>
      </c>
      <c r="AN388" s="2">
        <f t="shared" si="248"/>
        <v>1270</v>
      </c>
      <c r="AO388" s="2">
        <f t="shared" si="248"/>
        <v>1270</v>
      </c>
      <c r="AP388" s="2">
        <f t="shared" si="248"/>
        <v>1150</v>
      </c>
      <c r="AQ388" s="2">
        <v>1000</v>
      </c>
      <c r="AR388" s="2">
        <v>0</v>
      </c>
      <c r="AS388" s="2">
        <v>10</v>
      </c>
      <c r="AT388" s="2">
        <v>0</v>
      </c>
      <c r="AU388" s="2">
        <v>0</v>
      </c>
      <c r="AV388" s="2">
        <v>0</v>
      </c>
      <c r="AW388" s="2">
        <v>0</v>
      </c>
      <c r="AX388" s="2">
        <v>0</v>
      </c>
      <c r="AY388" s="2">
        <v>0</v>
      </c>
      <c r="AZ388" s="2">
        <v>1035</v>
      </c>
      <c r="BA388" s="2">
        <v>1021</v>
      </c>
      <c r="BB388" s="2">
        <v>1044</v>
      </c>
      <c r="BC388" s="2">
        <v>-1000</v>
      </c>
      <c r="BD388" s="2">
        <v>-7500</v>
      </c>
      <c r="BE388" s="2">
        <v>5000</v>
      </c>
      <c r="BF388" s="2">
        <v>3000</v>
      </c>
      <c r="BG388" s="2">
        <v>5000</v>
      </c>
      <c r="BH388" s="2">
        <v>2500</v>
      </c>
      <c r="BI388" s="2">
        <v>3000</v>
      </c>
      <c r="BJ388" s="2">
        <v>-2000</v>
      </c>
      <c r="BK388" s="2">
        <v>1000</v>
      </c>
      <c r="BL388" s="2">
        <v>1000</v>
      </c>
      <c r="BO388" s="2">
        <f t="shared" ref="BO388:BO451" si="251">(AI387-AI388)*B388</f>
        <v>0</v>
      </c>
      <c r="BP388" s="2">
        <f t="shared" si="218"/>
        <v>0</v>
      </c>
      <c r="BQ388" s="2">
        <f t="shared" si="219"/>
        <v>0</v>
      </c>
      <c r="BR388" s="2">
        <f t="shared" si="220"/>
        <v>0</v>
      </c>
      <c r="BS388" s="2">
        <f t="shared" si="221"/>
        <v>0</v>
      </c>
      <c r="BT388" s="2">
        <f t="shared" si="222"/>
        <v>0</v>
      </c>
      <c r="BU388" s="2">
        <f t="shared" si="223"/>
        <v>0</v>
      </c>
      <c r="BV388" s="2">
        <f t="shared" si="224"/>
        <v>0</v>
      </c>
      <c r="BW388" s="2">
        <f t="shared" si="225"/>
        <v>0</v>
      </c>
      <c r="BX388" s="2">
        <f t="shared" si="226"/>
        <v>0</v>
      </c>
      <c r="BY388" s="2">
        <f t="shared" si="227"/>
        <v>0</v>
      </c>
      <c r="BZ388" s="2">
        <f t="shared" si="228"/>
        <v>0</v>
      </c>
      <c r="CA388" s="2">
        <f t="shared" si="229"/>
        <v>0</v>
      </c>
      <c r="CB388" s="2">
        <f t="shared" si="230"/>
        <v>0</v>
      </c>
      <c r="CC388" s="2">
        <f t="shared" si="231"/>
        <v>0</v>
      </c>
      <c r="CD388" s="2">
        <f t="shared" si="232"/>
        <v>0</v>
      </c>
      <c r="CE388" s="2">
        <f t="shared" si="233"/>
        <v>0</v>
      </c>
      <c r="CF388" s="2">
        <f t="shared" si="234"/>
        <v>-1171.73</v>
      </c>
      <c r="CG388" s="2">
        <f t="shared" si="235"/>
        <v>-12400.62</v>
      </c>
      <c r="CH388" s="2">
        <f t="shared" si="236"/>
        <v>-3467.25</v>
      </c>
      <c r="CI388" s="2">
        <f t="shared" si="237"/>
        <v>0</v>
      </c>
      <c r="CJ388" s="2">
        <f t="shared" si="238"/>
        <v>0</v>
      </c>
      <c r="CK388" s="2">
        <f t="shared" si="239"/>
        <v>0</v>
      </c>
      <c r="CL388" s="2">
        <f t="shared" si="240"/>
        <v>0</v>
      </c>
      <c r="CM388" s="2">
        <f t="shared" si="212"/>
        <v>0</v>
      </c>
      <c r="CN388" s="2">
        <f t="shared" si="213"/>
        <v>0</v>
      </c>
      <c r="CO388" s="2">
        <f t="shared" si="214"/>
        <v>0</v>
      </c>
      <c r="CP388" s="2">
        <f t="shared" si="215"/>
        <v>0</v>
      </c>
      <c r="CQ388" s="2">
        <f t="shared" si="216"/>
        <v>0</v>
      </c>
      <c r="CR388" s="2">
        <f t="shared" si="217"/>
        <v>0</v>
      </c>
      <c r="CV388" t="s">
        <v>64</v>
      </c>
      <c r="CW388" t="s">
        <v>461</v>
      </c>
      <c r="CX388" t="s">
        <v>18</v>
      </c>
      <c r="CY388" s="4">
        <v>42838</v>
      </c>
      <c r="CZ388" t="s">
        <v>65</v>
      </c>
      <c r="DA388" t="s">
        <v>66</v>
      </c>
      <c r="DB388">
        <v>18</v>
      </c>
      <c r="DC388">
        <v>59.37</v>
      </c>
      <c r="DD388" t="s">
        <v>69</v>
      </c>
      <c r="DE388" t="s">
        <v>70</v>
      </c>
      <c r="DF388">
        <v>1068.6599999999999</v>
      </c>
    </row>
    <row r="389" spans="1:110" x14ac:dyDescent="0.25">
      <c r="A389" s="1">
        <v>43299</v>
      </c>
      <c r="B389">
        <v>188.27</v>
      </c>
      <c r="C389">
        <v>102.56</v>
      </c>
      <c r="D389">
        <v>355.03</v>
      </c>
      <c r="E389">
        <v>138.47999999999999</v>
      </c>
      <c r="F389">
        <v>41.6</v>
      </c>
      <c r="G389">
        <v>118.02</v>
      </c>
      <c r="H389">
        <v>109.84</v>
      </c>
      <c r="I389">
        <v>65.8</v>
      </c>
      <c r="J389">
        <v>229.55</v>
      </c>
      <c r="K389">
        <v>198.76</v>
      </c>
      <c r="L389">
        <v>139.55000000000001</v>
      </c>
      <c r="M389">
        <v>50.76</v>
      </c>
      <c r="N389">
        <v>126.15</v>
      </c>
      <c r="O389">
        <v>109.86</v>
      </c>
      <c r="P389">
        <v>44.39</v>
      </c>
      <c r="Q389">
        <v>155.99</v>
      </c>
      <c r="R389">
        <v>198.12</v>
      </c>
      <c r="S389">
        <v>62.08</v>
      </c>
      <c r="T389">
        <v>104.27</v>
      </c>
      <c r="U389">
        <v>76.180000000000007</v>
      </c>
      <c r="V389">
        <v>36.74</v>
      </c>
      <c r="W389">
        <v>77.7</v>
      </c>
      <c r="X389">
        <v>128.44999999999999</v>
      </c>
      <c r="Y389">
        <v>253.75</v>
      </c>
      <c r="Z389">
        <v>129.47</v>
      </c>
      <c r="AA389">
        <v>140.19</v>
      </c>
      <c r="AB389">
        <v>50.06</v>
      </c>
      <c r="AC389">
        <v>64.989999999999995</v>
      </c>
      <c r="AD389">
        <v>87.09</v>
      </c>
      <c r="AE389">
        <v>79.680000000000007</v>
      </c>
      <c r="AI389" s="2">
        <v>5000</v>
      </c>
      <c r="AJ389" s="2">
        <f t="shared" si="248"/>
        <v>1270</v>
      </c>
      <c r="AK389" s="2">
        <f t="shared" si="248"/>
        <v>1270</v>
      </c>
      <c r="AL389" s="2">
        <f t="shared" si="248"/>
        <v>1270</v>
      </c>
      <c r="AM389" s="2">
        <f t="shared" si="248"/>
        <v>1270</v>
      </c>
      <c r="AN389" s="2">
        <f t="shared" si="248"/>
        <v>1270</v>
      </c>
      <c r="AO389" s="2">
        <f t="shared" si="248"/>
        <v>1270</v>
      </c>
      <c r="AP389" s="2">
        <f t="shared" si="248"/>
        <v>1150</v>
      </c>
      <c r="AQ389" s="2">
        <v>1000</v>
      </c>
      <c r="AR389" s="2">
        <v>0</v>
      </c>
      <c r="AS389" s="2">
        <v>10</v>
      </c>
      <c r="AT389" s="2">
        <v>0</v>
      </c>
      <c r="AU389" s="2">
        <v>0</v>
      </c>
      <c r="AV389" s="2">
        <v>0</v>
      </c>
      <c r="AW389" s="2">
        <v>0</v>
      </c>
      <c r="AX389" s="2">
        <v>0</v>
      </c>
      <c r="AY389" s="2">
        <v>0</v>
      </c>
      <c r="AZ389" s="2">
        <v>1023</v>
      </c>
      <c r="BA389" s="2">
        <v>997</v>
      </c>
      <c r="BB389" s="2">
        <v>1063</v>
      </c>
      <c r="BC389" s="2">
        <v>-1000</v>
      </c>
      <c r="BD389" s="2">
        <v>-7500</v>
      </c>
      <c r="BE389" s="2">
        <v>5000</v>
      </c>
      <c r="BF389" s="2">
        <v>3000</v>
      </c>
      <c r="BG389" s="2">
        <v>5000</v>
      </c>
      <c r="BH389" s="2">
        <v>2500</v>
      </c>
      <c r="BI389" s="2">
        <v>3000</v>
      </c>
      <c r="BJ389" s="2">
        <v>-2000</v>
      </c>
      <c r="BK389" s="2">
        <v>1000</v>
      </c>
      <c r="BL389" s="2">
        <v>1000</v>
      </c>
      <c r="BO389" s="2">
        <f t="shared" si="251"/>
        <v>0</v>
      </c>
      <c r="BP389" s="2">
        <f t="shared" si="218"/>
        <v>0</v>
      </c>
      <c r="BQ389" s="2">
        <f t="shared" si="219"/>
        <v>0</v>
      </c>
      <c r="BR389" s="2">
        <f t="shared" si="220"/>
        <v>0</v>
      </c>
      <c r="BS389" s="2">
        <f t="shared" si="221"/>
        <v>0</v>
      </c>
      <c r="BT389" s="2">
        <f t="shared" si="222"/>
        <v>0</v>
      </c>
      <c r="BU389" s="2">
        <f t="shared" si="223"/>
        <v>0</v>
      </c>
      <c r="BV389" s="2">
        <f t="shared" si="224"/>
        <v>0</v>
      </c>
      <c r="BW389" s="2">
        <f t="shared" si="225"/>
        <v>0</v>
      </c>
      <c r="BX389" s="2">
        <f t="shared" si="226"/>
        <v>0</v>
      </c>
      <c r="BY389" s="2">
        <f t="shared" si="227"/>
        <v>0</v>
      </c>
      <c r="BZ389" s="2">
        <f t="shared" si="228"/>
        <v>0</v>
      </c>
      <c r="CA389" s="2">
        <f t="shared" si="229"/>
        <v>0</v>
      </c>
      <c r="CB389" s="2">
        <f t="shared" si="230"/>
        <v>0</v>
      </c>
      <c r="CC389" s="2">
        <f t="shared" si="231"/>
        <v>0</v>
      </c>
      <c r="CD389" s="2">
        <f t="shared" si="232"/>
        <v>0</v>
      </c>
      <c r="CE389" s="2">
        <f t="shared" si="233"/>
        <v>0</v>
      </c>
      <c r="CF389" s="2">
        <f t="shared" si="234"/>
        <v>744.96</v>
      </c>
      <c r="CG389" s="2">
        <f t="shared" si="235"/>
        <v>2502.48</v>
      </c>
      <c r="CH389" s="2">
        <f t="shared" si="236"/>
        <v>-1447.42</v>
      </c>
      <c r="CI389" s="2">
        <f t="shared" si="237"/>
        <v>0</v>
      </c>
      <c r="CJ389" s="2">
        <f t="shared" si="238"/>
        <v>0</v>
      </c>
      <c r="CK389" s="2">
        <f t="shared" si="239"/>
        <v>0</v>
      </c>
      <c r="CL389" s="2">
        <f t="shared" si="240"/>
        <v>0</v>
      </c>
      <c r="CM389" s="2">
        <f t="shared" si="212"/>
        <v>0</v>
      </c>
      <c r="CN389" s="2">
        <f t="shared" si="213"/>
        <v>0</v>
      </c>
      <c r="CO389" s="2">
        <f t="shared" si="214"/>
        <v>0</v>
      </c>
      <c r="CP389" s="2">
        <f t="shared" si="215"/>
        <v>0</v>
      </c>
      <c r="CQ389" s="2">
        <f t="shared" si="216"/>
        <v>0</v>
      </c>
      <c r="CR389" s="2">
        <f t="shared" si="217"/>
        <v>0</v>
      </c>
      <c r="CV389" t="s">
        <v>64</v>
      </c>
      <c r="CW389" t="s">
        <v>462</v>
      </c>
      <c r="CX389" t="s">
        <v>18</v>
      </c>
      <c r="CY389" s="4">
        <v>42842</v>
      </c>
      <c r="CZ389" t="s">
        <v>67</v>
      </c>
      <c r="DA389" t="s">
        <v>68</v>
      </c>
      <c r="DB389">
        <v>37</v>
      </c>
      <c r="DC389">
        <v>59.55</v>
      </c>
      <c r="DD389" t="s">
        <v>69</v>
      </c>
      <c r="DE389" t="s">
        <v>70</v>
      </c>
      <c r="DF389">
        <v>2203.35</v>
      </c>
    </row>
    <row r="390" spans="1:110" x14ac:dyDescent="0.25">
      <c r="A390" s="1">
        <v>43300</v>
      </c>
      <c r="B390">
        <v>189.73</v>
      </c>
      <c r="C390">
        <v>99.76</v>
      </c>
      <c r="D390">
        <v>350.2</v>
      </c>
      <c r="E390">
        <v>137.65</v>
      </c>
      <c r="F390">
        <v>41.79</v>
      </c>
      <c r="G390">
        <v>118.16</v>
      </c>
      <c r="H390">
        <v>111.27</v>
      </c>
      <c r="I390">
        <v>65.349999999999994</v>
      </c>
      <c r="J390">
        <v>227.95</v>
      </c>
      <c r="K390">
        <v>200.4</v>
      </c>
      <c r="L390">
        <v>144.11000000000001</v>
      </c>
      <c r="M390">
        <v>51.02</v>
      </c>
      <c r="N390">
        <v>124.31</v>
      </c>
      <c r="O390">
        <v>108.25</v>
      </c>
      <c r="P390">
        <v>44.38</v>
      </c>
      <c r="Q390">
        <v>155.47</v>
      </c>
      <c r="R390">
        <v>197.53</v>
      </c>
      <c r="S390">
        <v>61.65</v>
      </c>
      <c r="T390">
        <v>103.55</v>
      </c>
      <c r="U390">
        <v>76.53</v>
      </c>
      <c r="V390">
        <v>36.44</v>
      </c>
      <c r="W390">
        <v>77.430000000000007</v>
      </c>
      <c r="X390">
        <v>123.69</v>
      </c>
      <c r="Y390">
        <v>251.28</v>
      </c>
      <c r="Z390">
        <v>128.16999999999999</v>
      </c>
      <c r="AA390">
        <v>139.43</v>
      </c>
      <c r="AB390">
        <v>49.68</v>
      </c>
      <c r="AC390">
        <v>63.78</v>
      </c>
      <c r="AD390">
        <v>86.74</v>
      </c>
      <c r="AE390">
        <v>79.48</v>
      </c>
      <c r="AI390" s="2">
        <v>5000</v>
      </c>
      <c r="AJ390" s="2">
        <f t="shared" si="248"/>
        <v>1270</v>
      </c>
      <c r="AK390" s="2">
        <f t="shared" si="248"/>
        <v>1270</v>
      </c>
      <c r="AL390" s="2">
        <f t="shared" si="248"/>
        <v>1270</v>
      </c>
      <c r="AM390" s="2">
        <f t="shared" si="248"/>
        <v>1270</v>
      </c>
      <c r="AN390" s="2">
        <f t="shared" si="248"/>
        <v>1270</v>
      </c>
      <c r="AO390" s="2">
        <f t="shared" si="248"/>
        <v>1270</v>
      </c>
      <c r="AP390" s="2">
        <f t="shared" si="248"/>
        <v>1150</v>
      </c>
      <c r="AQ390" s="2">
        <v>1000</v>
      </c>
      <c r="AR390" s="2">
        <v>0</v>
      </c>
      <c r="AS390" s="2">
        <v>10</v>
      </c>
      <c r="AT390" s="2">
        <v>0</v>
      </c>
      <c r="AU390" s="2">
        <v>0</v>
      </c>
      <c r="AV390" s="2">
        <v>0</v>
      </c>
      <c r="AW390" s="2">
        <v>0</v>
      </c>
      <c r="AX390" s="2">
        <v>0</v>
      </c>
      <c r="AY390" s="2">
        <v>0</v>
      </c>
      <c r="AZ390" s="2">
        <v>1044</v>
      </c>
      <c r="BA390" s="2">
        <v>959</v>
      </c>
      <c r="BB390" s="2">
        <v>979</v>
      </c>
      <c r="BC390" s="2">
        <v>-1000</v>
      </c>
      <c r="BD390" s="2">
        <v>-7500</v>
      </c>
      <c r="BE390" s="2">
        <v>5000</v>
      </c>
      <c r="BF390" s="2">
        <v>3000</v>
      </c>
      <c r="BG390" s="2">
        <v>5000</v>
      </c>
      <c r="BH390" s="2">
        <v>2500</v>
      </c>
      <c r="BI390" s="2">
        <v>3000</v>
      </c>
      <c r="BJ390" s="2">
        <v>-2000</v>
      </c>
      <c r="BK390" s="2">
        <v>1000</v>
      </c>
      <c r="BL390" s="2">
        <v>1000</v>
      </c>
      <c r="BO390" s="2">
        <f t="shared" si="251"/>
        <v>0</v>
      </c>
      <c r="BP390" s="2">
        <f t="shared" si="218"/>
        <v>0</v>
      </c>
      <c r="BQ390" s="2">
        <f t="shared" si="219"/>
        <v>0</v>
      </c>
      <c r="BR390" s="2">
        <f t="shared" si="220"/>
        <v>0</v>
      </c>
      <c r="BS390" s="2">
        <f t="shared" si="221"/>
        <v>0</v>
      </c>
      <c r="BT390" s="2">
        <f t="shared" si="222"/>
        <v>0</v>
      </c>
      <c r="BU390" s="2">
        <f t="shared" si="223"/>
        <v>0</v>
      </c>
      <c r="BV390" s="2">
        <f t="shared" si="224"/>
        <v>0</v>
      </c>
      <c r="BW390" s="2">
        <f t="shared" si="225"/>
        <v>0</v>
      </c>
      <c r="BX390" s="2">
        <f t="shared" si="226"/>
        <v>0</v>
      </c>
      <c r="BY390" s="2">
        <f t="shared" si="227"/>
        <v>0</v>
      </c>
      <c r="BZ390" s="2">
        <f t="shared" si="228"/>
        <v>0</v>
      </c>
      <c r="CA390" s="2">
        <f t="shared" si="229"/>
        <v>0</v>
      </c>
      <c r="CB390" s="2">
        <f t="shared" si="230"/>
        <v>0</v>
      </c>
      <c r="CC390" s="2">
        <f t="shared" si="231"/>
        <v>0</v>
      </c>
      <c r="CD390" s="2">
        <f t="shared" si="232"/>
        <v>0</v>
      </c>
      <c r="CE390" s="2">
        <f t="shared" si="233"/>
        <v>0</v>
      </c>
      <c r="CF390" s="2">
        <f t="shared" si="234"/>
        <v>-1294.6499999999999</v>
      </c>
      <c r="CG390" s="2">
        <f t="shared" si="235"/>
        <v>3934.9</v>
      </c>
      <c r="CH390" s="2">
        <f t="shared" si="236"/>
        <v>6428.52</v>
      </c>
      <c r="CI390" s="2">
        <f t="shared" si="237"/>
        <v>0</v>
      </c>
      <c r="CJ390" s="2">
        <f t="shared" si="238"/>
        <v>0</v>
      </c>
      <c r="CK390" s="2">
        <f t="shared" si="239"/>
        <v>0</v>
      </c>
      <c r="CL390" s="2">
        <f t="shared" si="240"/>
        <v>0</v>
      </c>
      <c r="CM390" s="2">
        <f t="shared" si="212"/>
        <v>0</v>
      </c>
      <c r="CN390" s="2">
        <f t="shared" si="213"/>
        <v>0</v>
      </c>
      <c r="CO390" s="2">
        <f t="shared" si="214"/>
        <v>0</v>
      </c>
      <c r="CP390" s="2">
        <f t="shared" si="215"/>
        <v>0</v>
      </c>
      <c r="CQ390" s="2">
        <f t="shared" si="216"/>
        <v>0</v>
      </c>
      <c r="CR390" s="2">
        <f t="shared" si="217"/>
        <v>0</v>
      </c>
      <c r="CV390" t="s">
        <v>64</v>
      </c>
      <c r="CW390" t="s">
        <v>463</v>
      </c>
      <c r="CX390" t="s">
        <v>18</v>
      </c>
      <c r="CY390" s="4">
        <v>42843</v>
      </c>
      <c r="CZ390" t="s">
        <v>67</v>
      </c>
      <c r="DA390" t="s">
        <v>68</v>
      </c>
      <c r="DB390">
        <v>10</v>
      </c>
      <c r="DC390">
        <v>59.04</v>
      </c>
      <c r="DD390" t="s">
        <v>69</v>
      </c>
      <c r="DE390" t="s">
        <v>70</v>
      </c>
      <c r="DF390">
        <v>590.4</v>
      </c>
    </row>
    <row r="391" spans="1:110" x14ac:dyDescent="0.25">
      <c r="A391" s="1">
        <v>43301</v>
      </c>
      <c r="B391">
        <v>189.3</v>
      </c>
      <c r="C391">
        <v>99.74</v>
      </c>
      <c r="D391">
        <v>349.77</v>
      </c>
      <c r="E391">
        <v>135.08000000000001</v>
      </c>
      <c r="F391">
        <v>41.41</v>
      </c>
      <c r="G391">
        <v>118.74</v>
      </c>
      <c r="H391">
        <v>110.62</v>
      </c>
      <c r="I391">
        <v>65.040000000000006</v>
      </c>
      <c r="J391">
        <v>229.99</v>
      </c>
      <c r="K391">
        <v>200.22</v>
      </c>
      <c r="L391">
        <v>141.32</v>
      </c>
      <c r="M391">
        <v>50.95</v>
      </c>
      <c r="N391">
        <v>124.23</v>
      </c>
      <c r="O391">
        <v>109.62</v>
      </c>
      <c r="P391">
        <v>44.55</v>
      </c>
      <c r="Q391">
        <v>156.03</v>
      </c>
      <c r="R391">
        <v>197.88</v>
      </c>
      <c r="S391">
        <v>61.66</v>
      </c>
      <c r="T391">
        <v>105.41</v>
      </c>
      <c r="U391">
        <v>76.540000000000006</v>
      </c>
      <c r="V391">
        <v>36.409999999999997</v>
      </c>
      <c r="W391">
        <v>77.38</v>
      </c>
      <c r="X391">
        <v>123.71</v>
      </c>
      <c r="Y391">
        <v>251.05</v>
      </c>
      <c r="Z391">
        <v>128.07</v>
      </c>
      <c r="AA391">
        <v>140.28</v>
      </c>
      <c r="AB391">
        <v>49.55</v>
      </c>
      <c r="AC391">
        <v>63.83</v>
      </c>
      <c r="AD391">
        <v>87.08</v>
      </c>
      <c r="AE391">
        <v>78.88</v>
      </c>
      <c r="AI391" s="2">
        <v>5000</v>
      </c>
      <c r="AJ391" s="2">
        <f t="shared" si="248"/>
        <v>1270</v>
      </c>
      <c r="AK391" s="2">
        <f t="shared" si="248"/>
        <v>1270</v>
      </c>
      <c r="AL391" s="2">
        <f t="shared" si="248"/>
        <v>1270</v>
      </c>
      <c r="AM391" s="2">
        <f t="shared" si="248"/>
        <v>1270</v>
      </c>
      <c r="AN391" s="2">
        <f t="shared" si="248"/>
        <v>1270</v>
      </c>
      <c r="AO391" s="2">
        <f t="shared" si="248"/>
        <v>1270</v>
      </c>
      <c r="AP391" s="2">
        <f t="shared" si="248"/>
        <v>1150</v>
      </c>
      <c r="AQ391" s="2">
        <v>1000</v>
      </c>
      <c r="AR391" s="2">
        <v>0</v>
      </c>
      <c r="AS391" s="2">
        <v>10</v>
      </c>
      <c r="AT391" s="2">
        <v>0</v>
      </c>
      <c r="AU391" s="2">
        <v>0</v>
      </c>
      <c r="AV391" s="2">
        <v>0</v>
      </c>
      <c r="AW391" s="2">
        <v>0</v>
      </c>
      <c r="AX391" s="2">
        <v>0</v>
      </c>
      <c r="AY391" s="2">
        <v>0</v>
      </c>
      <c r="AZ391" s="2">
        <v>981</v>
      </c>
      <c r="BA391" s="2">
        <v>971</v>
      </c>
      <c r="BB391" s="2">
        <v>950</v>
      </c>
      <c r="BC391" s="2">
        <v>-1000</v>
      </c>
      <c r="BD391" s="2">
        <v>-7500</v>
      </c>
      <c r="BE391" s="2">
        <v>5000</v>
      </c>
      <c r="BF391" s="2">
        <v>3000</v>
      </c>
      <c r="BG391" s="2">
        <v>5000</v>
      </c>
      <c r="BH391" s="2">
        <v>2500</v>
      </c>
      <c r="BI391" s="2">
        <v>3000</v>
      </c>
      <c r="BJ391" s="2">
        <v>-2000</v>
      </c>
      <c r="BK391" s="2">
        <v>1000</v>
      </c>
      <c r="BL391" s="2">
        <v>1000</v>
      </c>
      <c r="BO391" s="2">
        <f t="shared" si="251"/>
        <v>0</v>
      </c>
      <c r="BP391" s="2">
        <f t="shared" si="218"/>
        <v>0</v>
      </c>
      <c r="BQ391" s="2">
        <f t="shared" si="219"/>
        <v>0</v>
      </c>
      <c r="BR391" s="2">
        <f t="shared" si="220"/>
        <v>0</v>
      </c>
      <c r="BS391" s="2">
        <f t="shared" si="221"/>
        <v>0</v>
      </c>
      <c r="BT391" s="2">
        <f t="shared" si="222"/>
        <v>0</v>
      </c>
      <c r="BU391" s="2">
        <f t="shared" si="223"/>
        <v>0</v>
      </c>
      <c r="BV391" s="2">
        <f t="shared" si="224"/>
        <v>0</v>
      </c>
      <c r="BW391" s="2">
        <f t="shared" si="225"/>
        <v>0</v>
      </c>
      <c r="BX391" s="2">
        <f t="shared" si="226"/>
        <v>0</v>
      </c>
      <c r="BY391" s="2">
        <f t="shared" si="227"/>
        <v>0</v>
      </c>
      <c r="BZ391" s="2">
        <f t="shared" si="228"/>
        <v>0</v>
      </c>
      <c r="CA391" s="2">
        <f t="shared" si="229"/>
        <v>0</v>
      </c>
      <c r="CB391" s="2">
        <f t="shared" si="230"/>
        <v>0</v>
      </c>
      <c r="CC391" s="2">
        <f t="shared" si="231"/>
        <v>0</v>
      </c>
      <c r="CD391" s="2">
        <f t="shared" si="232"/>
        <v>0</v>
      </c>
      <c r="CE391" s="2">
        <f t="shared" si="233"/>
        <v>0</v>
      </c>
      <c r="CF391" s="2">
        <f t="shared" si="234"/>
        <v>3884.58</v>
      </c>
      <c r="CG391" s="2">
        <f t="shared" si="235"/>
        <v>-1264.92</v>
      </c>
      <c r="CH391" s="2">
        <f t="shared" si="236"/>
        <v>2219.6600000000003</v>
      </c>
      <c r="CI391" s="2">
        <f t="shared" si="237"/>
        <v>0</v>
      </c>
      <c r="CJ391" s="2">
        <f t="shared" si="238"/>
        <v>0</v>
      </c>
      <c r="CK391" s="2">
        <f t="shared" si="239"/>
        <v>0</v>
      </c>
      <c r="CL391" s="2">
        <f t="shared" si="240"/>
        <v>0</v>
      </c>
      <c r="CM391" s="2">
        <f t="shared" si="212"/>
        <v>0</v>
      </c>
      <c r="CN391" s="2">
        <f t="shared" si="213"/>
        <v>0</v>
      </c>
      <c r="CO391" s="2">
        <f t="shared" si="214"/>
        <v>0</v>
      </c>
      <c r="CP391" s="2">
        <f t="shared" si="215"/>
        <v>0</v>
      </c>
      <c r="CQ391" s="2">
        <f t="shared" si="216"/>
        <v>0</v>
      </c>
      <c r="CR391" s="2">
        <f t="shared" si="217"/>
        <v>0</v>
      </c>
      <c r="CV391" t="s">
        <v>64</v>
      </c>
      <c r="CW391" t="s">
        <v>464</v>
      </c>
      <c r="CX391" t="s">
        <v>18</v>
      </c>
      <c r="CY391" s="4">
        <v>42844</v>
      </c>
      <c r="CZ391" t="s">
        <v>65</v>
      </c>
      <c r="DA391" t="s">
        <v>66</v>
      </c>
      <c r="DB391">
        <v>33</v>
      </c>
      <c r="DC391">
        <v>59.4</v>
      </c>
      <c r="DD391" t="s">
        <v>69</v>
      </c>
      <c r="DE391" t="s">
        <v>70</v>
      </c>
      <c r="DF391">
        <v>1960.2</v>
      </c>
    </row>
    <row r="392" spans="1:110" x14ac:dyDescent="0.25">
      <c r="A392" s="1">
        <v>43304</v>
      </c>
      <c r="B392">
        <v>189.46</v>
      </c>
      <c r="C392">
        <v>100.81</v>
      </c>
      <c r="D392">
        <v>348.17</v>
      </c>
      <c r="E392">
        <v>134.55000000000001</v>
      </c>
      <c r="F392">
        <v>41.46</v>
      </c>
      <c r="G392">
        <v>117.83</v>
      </c>
      <c r="H392">
        <v>110.23</v>
      </c>
      <c r="I392">
        <v>64.92</v>
      </c>
      <c r="J392">
        <v>232.05</v>
      </c>
      <c r="K392">
        <v>200</v>
      </c>
      <c r="L392">
        <v>140.69</v>
      </c>
      <c r="M392">
        <v>51.34</v>
      </c>
      <c r="N392">
        <v>125</v>
      </c>
      <c r="O392">
        <v>111.66</v>
      </c>
      <c r="P392">
        <v>44.22</v>
      </c>
      <c r="Q392">
        <v>156.80000000000001</v>
      </c>
      <c r="R392">
        <v>194.83</v>
      </c>
      <c r="S392">
        <v>61.83</v>
      </c>
      <c r="T392">
        <v>107.09</v>
      </c>
      <c r="U392">
        <v>76.180000000000007</v>
      </c>
      <c r="V392">
        <v>36.299999999999997</v>
      </c>
      <c r="W392">
        <v>77.209999999999994</v>
      </c>
      <c r="X392">
        <v>122.76</v>
      </c>
      <c r="Y392">
        <v>251.09</v>
      </c>
      <c r="Z392">
        <v>127.19</v>
      </c>
      <c r="AA392">
        <v>139.33000000000001</v>
      </c>
      <c r="AB392">
        <v>49.68</v>
      </c>
      <c r="AC392">
        <v>64.19</v>
      </c>
      <c r="AD392">
        <v>86.65</v>
      </c>
      <c r="AE392">
        <v>78.88</v>
      </c>
      <c r="AI392" s="2">
        <v>5000</v>
      </c>
      <c r="AJ392" s="2">
        <f t="shared" si="248"/>
        <v>1270</v>
      </c>
      <c r="AK392" s="2">
        <f t="shared" si="248"/>
        <v>1270</v>
      </c>
      <c r="AL392" s="2">
        <f t="shared" si="248"/>
        <v>1270</v>
      </c>
      <c r="AM392" s="2">
        <f t="shared" si="248"/>
        <v>1270</v>
      </c>
      <c r="AN392" s="2">
        <f t="shared" si="248"/>
        <v>1270</v>
      </c>
      <c r="AO392" s="2">
        <f t="shared" si="248"/>
        <v>1270</v>
      </c>
      <c r="AP392" s="2">
        <f t="shared" si="248"/>
        <v>1150</v>
      </c>
      <c r="AQ392" s="2">
        <v>1000</v>
      </c>
      <c r="AR392" s="2">
        <v>0</v>
      </c>
      <c r="AS392" s="2">
        <v>10</v>
      </c>
      <c r="AT392" s="2">
        <v>0</v>
      </c>
      <c r="AU392" s="2">
        <v>0</v>
      </c>
      <c r="AV392" s="2">
        <v>0</v>
      </c>
      <c r="AW392" s="2">
        <v>0</v>
      </c>
      <c r="AX392" s="2">
        <v>0</v>
      </c>
      <c r="AY392" s="2">
        <v>0</v>
      </c>
      <c r="AZ392" s="2">
        <v>1035</v>
      </c>
      <c r="BA392" s="2">
        <v>907</v>
      </c>
      <c r="BB392" s="2">
        <v>1058</v>
      </c>
      <c r="BC392" s="2">
        <v>-1000</v>
      </c>
      <c r="BD392" s="2">
        <v>-7500</v>
      </c>
      <c r="BE392" s="2">
        <v>5000</v>
      </c>
      <c r="BF392" s="2">
        <v>3000</v>
      </c>
      <c r="BG392" s="2">
        <v>5000</v>
      </c>
      <c r="BH392" s="2">
        <v>2500</v>
      </c>
      <c r="BI392" s="2">
        <v>3000</v>
      </c>
      <c r="BJ392" s="2">
        <v>-2000</v>
      </c>
      <c r="BK392" s="2">
        <v>1000</v>
      </c>
      <c r="BL392" s="2">
        <v>1000</v>
      </c>
      <c r="BO392" s="2">
        <f t="shared" si="251"/>
        <v>0</v>
      </c>
      <c r="BP392" s="2">
        <f t="shared" si="218"/>
        <v>0</v>
      </c>
      <c r="BQ392" s="2">
        <f t="shared" si="219"/>
        <v>0</v>
      </c>
      <c r="BR392" s="2">
        <f t="shared" si="220"/>
        <v>0</v>
      </c>
      <c r="BS392" s="2">
        <f t="shared" si="221"/>
        <v>0</v>
      </c>
      <c r="BT392" s="2">
        <f t="shared" si="222"/>
        <v>0</v>
      </c>
      <c r="BU392" s="2">
        <f t="shared" si="223"/>
        <v>0</v>
      </c>
      <c r="BV392" s="2">
        <f t="shared" si="224"/>
        <v>0</v>
      </c>
      <c r="BW392" s="2">
        <f t="shared" si="225"/>
        <v>0</v>
      </c>
      <c r="BX392" s="2">
        <f t="shared" si="226"/>
        <v>0</v>
      </c>
      <c r="BY392" s="2">
        <f t="shared" si="227"/>
        <v>0</v>
      </c>
      <c r="BZ392" s="2">
        <f t="shared" si="228"/>
        <v>0</v>
      </c>
      <c r="CA392" s="2">
        <f t="shared" si="229"/>
        <v>0</v>
      </c>
      <c r="CB392" s="2">
        <f t="shared" si="230"/>
        <v>0</v>
      </c>
      <c r="CC392" s="2">
        <f t="shared" si="231"/>
        <v>0</v>
      </c>
      <c r="CD392" s="2">
        <f t="shared" si="232"/>
        <v>0</v>
      </c>
      <c r="CE392" s="2">
        <f t="shared" si="233"/>
        <v>0</v>
      </c>
      <c r="CF392" s="2">
        <f t="shared" si="234"/>
        <v>-3338.8199999999997</v>
      </c>
      <c r="CG392" s="2">
        <f t="shared" si="235"/>
        <v>6853.76</v>
      </c>
      <c r="CH392" s="2">
        <f t="shared" si="236"/>
        <v>-8227.44</v>
      </c>
      <c r="CI392" s="2">
        <f t="shared" si="237"/>
        <v>0</v>
      </c>
      <c r="CJ392" s="2">
        <f t="shared" si="238"/>
        <v>0</v>
      </c>
      <c r="CK392" s="2">
        <f t="shared" si="239"/>
        <v>0</v>
      </c>
      <c r="CL392" s="2">
        <f t="shared" si="240"/>
        <v>0</v>
      </c>
      <c r="CM392" s="2">
        <f t="shared" si="212"/>
        <v>0</v>
      </c>
      <c r="CN392" s="2">
        <f t="shared" si="213"/>
        <v>0</v>
      </c>
      <c r="CO392" s="2">
        <f t="shared" si="214"/>
        <v>0</v>
      </c>
      <c r="CP392" s="2">
        <f t="shared" si="215"/>
        <v>0</v>
      </c>
      <c r="CQ392" s="2">
        <f t="shared" si="216"/>
        <v>0</v>
      </c>
      <c r="CR392" s="2">
        <f t="shared" si="217"/>
        <v>0</v>
      </c>
      <c r="CV392" t="s">
        <v>64</v>
      </c>
      <c r="CW392" t="s">
        <v>465</v>
      </c>
      <c r="CX392" t="s">
        <v>18</v>
      </c>
      <c r="CY392" s="4">
        <v>42845</v>
      </c>
      <c r="CZ392" t="s">
        <v>67</v>
      </c>
      <c r="DA392" t="s">
        <v>68</v>
      </c>
      <c r="DB392">
        <v>50</v>
      </c>
      <c r="DC392">
        <v>59.31</v>
      </c>
      <c r="DD392" t="s">
        <v>69</v>
      </c>
      <c r="DE392" t="s">
        <v>70</v>
      </c>
      <c r="DF392">
        <v>2965.5</v>
      </c>
    </row>
    <row r="393" spans="1:110" x14ac:dyDescent="0.25">
      <c r="A393" s="1">
        <v>43305</v>
      </c>
      <c r="B393">
        <v>190.84</v>
      </c>
      <c r="C393">
        <v>101.3</v>
      </c>
      <c r="D393">
        <v>353.1</v>
      </c>
      <c r="E393">
        <v>136.22</v>
      </c>
      <c r="F393">
        <v>41.78</v>
      </c>
      <c r="G393">
        <v>120.28</v>
      </c>
      <c r="H393">
        <v>109.85</v>
      </c>
      <c r="I393">
        <v>66.12</v>
      </c>
      <c r="J393">
        <v>234.15</v>
      </c>
      <c r="K393">
        <v>199.77</v>
      </c>
      <c r="L393">
        <v>141.35</v>
      </c>
      <c r="M393">
        <v>51.22</v>
      </c>
      <c r="N393">
        <v>127.69</v>
      </c>
      <c r="O393">
        <v>112.44</v>
      </c>
      <c r="P393">
        <v>44.53</v>
      </c>
      <c r="Q393">
        <v>156</v>
      </c>
      <c r="R393">
        <v>196.63</v>
      </c>
      <c r="S393">
        <v>62.55</v>
      </c>
      <c r="T393">
        <v>106.79</v>
      </c>
      <c r="U393">
        <v>75.12</v>
      </c>
      <c r="V393">
        <v>36.770000000000003</v>
      </c>
      <c r="W393">
        <v>77.680000000000007</v>
      </c>
      <c r="X393">
        <v>123.26</v>
      </c>
      <c r="Y393">
        <v>252.1</v>
      </c>
      <c r="Z393">
        <v>131.97999999999999</v>
      </c>
      <c r="AA393">
        <v>139.33000000000001</v>
      </c>
      <c r="AB393">
        <v>50.42</v>
      </c>
      <c r="AC393">
        <v>64.349999999999994</v>
      </c>
      <c r="AD393">
        <v>86.98</v>
      </c>
      <c r="AE393">
        <v>80.44</v>
      </c>
      <c r="AI393" s="2">
        <v>5000</v>
      </c>
      <c r="AJ393" s="2">
        <f t="shared" si="248"/>
        <v>1270</v>
      </c>
      <c r="AK393" s="2">
        <f t="shared" si="248"/>
        <v>1270</v>
      </c>
      <c r="AL393" s="2">
        <f t="shared" si="248"/>
        <v>1270</v>
      </c>
      <c r="AM393" s="2">
        <f t="shared" si="248"/>
        <v>1270</v>
      </c>
      <c r="AN393" s="2">
        <f t="shared" si="248"/>
        <v>1270</v>
      </c>
      <c r="AO393" s="2">
        <f t="shared" si="248"/>
        <v>1270</v>
      </c>
      <c r="AP393" s="2">
        <f t="shared" si="248"/>
        <v>1150</v>
      </c>
      <c r="AQ393" s="2">
        <v>1000</v>
      </c>
      <c r="AR393" s="2">
        <v>0</v>
      </c>
      <c r="AS393" s="2">
        <v>10</v>
      </c>
      <c r="AT393" s="2">
        <v>0</v>
      </c>
      <c r="AU393" s="2">
        <v>0</v>
      </c>
      <c r="AV393" s="2">
        <v>0</v>
      </c>
      <c r="AW393" s="2">
        <v>0</v>
      </c>
      <c r="AX393" s="2">
        <v>0</v>
      </c>
      <c r="AY393" s="2">
        <v>0</v>
      </c>
      <c r="AZ393" s="2">
        <v>997</v>
      </c>
      <c r="BA393" s="2">
        <v>936</v>
      </c>
      <c r="BB393" s="2">
        <v>1089</v>
      </c>
      <c r="BC393" s="2">
        <v>-1000</v>
      </c>
      <c r="BD393" s="2">
        <v>-7500</v>
      </c>
      <c r="BE393" s="2">
        <v>5000</v>
      </c>
      <c r="BF393" s="2">
        <v>3000</v>
      </c>
      <c r="BG393" s="2">
        <v>5000</v>
      </c>
      <c r="BH393" s="2">
        <v>2500</v>
      </c>
      <c r="BI393" s="2">
        <v>3000</v>
      </c>
      <c r="BJ393" s="2">
        <v>-2000</v>
      </c>
      <c r="BK393" s="2">
        <v>1000</v>
      </c>
      <c r="BL393" s="2">
        <v>1000</v>
      </c>
      <c r="BO393" s="2">
        <f t="shared" si="251"/>
        <v>0</v>
      </c>
      <c r="BP393" s="2">
        <f t="shared" si="218"/>
        <v>0</v>
      </c>
      <c r="BQ393" s="2">
        <f t="shared" si="219"/>
        <v>0</v>
      </c>
      <c r="BR393" s="2">
        <f t="shared" si="220"/>
        <v>0</v>
      </c>
      <c r="BS393" s="2">
        <f t="shared" si="221"/>
        <v>0</v>
      </c>
      <c r="BT393" s="2">
        <f t="shared" si="222"/>
        <v>0</v>
      </c>
      <c r="BU393" s="2">
        <f t="shared" si="223"/>
        <v>0</v>
      </c>
      <c r="BV393" s="2">
        <f t="shared" si="224"/>
        <v>0</v>
      </c>
      <c r="BW393" s="2">
        <f t="shared" si="225"/>
        <v>0</v>
      </c>
      <c r="BX393" s="2">
        <f t="shared" si="226"/>
        <v>0</v>
      </c>
      <c r="BY393" s="2">
        <f t="shared" si="227"/>
        <v>0</v>
      </c>
      <c r="BZ393" s="2">
        <f t="shared" si="228"/>
        <v>0</v>
      </c>
      <c r="CA393" s="2">
        <f t="shared" si="229"/>
        <v>0</v>
      </c>
      <c r="CB393" s="2">
        <f t="shared" si="230"/>
        <v>0</v>
      </c>
      <c r="CC393" s="2">
        <f t="shared" si="231"/>
        <v>0</v>
      </c>
      <c r="CD393" s="2">
        <f t="shared" si="232"/>
        <v>0</v>
      </c>
      <c r="CE393" s="2">
        <f t="shared" si="233"/>
        <v>0</v>
      </c>
      <c r="CF393" s="2">
        <f t="shared" si="234"/>
        <v>2376.9</v>
      </c>
      <c r="CG393" s="2">
        <f t="shared" si="235"/>
        <v>-3096.9100000000003</v>
      </c>
      <c r="CH393" s="2">
        <f t="shared" si="236"/>
        <v>-2328.7200000000003</v>
      </c>
      <c r="CI393" s="2">
        <f t="shared" si="237"/>
        <v>0</v>
      </c>
      <c r="CJ393" s="2">
        <f t="shared" si="238"/>
        <v>0</v>
      </c>
      <c r="CK393" s="2">
        <f t="shared" si="239"/>
        <v>0</v>
      </c>
      <c r="CL393" s="2">
        <f t="shared" si="240"/>
        <v>0</v>
      </c>
      <c r="CM393" s="2">
        <f t="shared" si="212"/>
        <v>0</v>
      </c>
      <c r="CN393" s="2">
        <f t="shared" si="213"/>
        <v>0</v>
      </c>
      <c r="CO393" s="2">
        <f t="shared" si="214"/>
        <v>0</v>
      </c>
      <c r="CP393" s="2">
        <f t="shared" si="215"/>
        <v>0</v>
      </c>
      <c r="CQ393" s="2">
        <f t="shared" si="216"/>
        <v>0</v>
      </c>
      <c r="CR393" s="2">
        <f t="shared" si="217"/>
        <v>0</v>
      </c>
      <c r="CV393" t="s">
        <v>64</v>
      </c>
      <c r="CW393" t="s">
        <v>466</v>
      </c>
      <c r="CX393" t="s">
        <v>18</v>
      </c>
      <c r="CY393" s="4">
        <v>42846</v>
      </c>
      <c r="CZ393" t="s">
        <v>67</v>
      </c>
      <c r="DA393" t="s">
        <v>68</v>
      </c>
      <c r="DB393">
        <v>5</v>
      </c>
      <c r="DC393">
        <v>58.68</v>
      </c>
      <c r="DD393" t="s">
        <v>69</v>
      </c>
      <c r="DE393" t="s">
        <v>70</v>
      </c>
      <c r="DF393">
        <v>293.39999999999998</v>
      </c>
    </row>
    <row r="394" spans="1:110" x14ac:dyDescent="0.25">
      <c r="A394" s="1">
        <v>43306</v>
      </c>
      <c r="B394">
        <v>192.64</v>
      </c>
      <c r="C394">
        <v>102.21</v>
      </c>
      <c r="D394">
        <v>350.78</v>
      </c>
      <c r="E394">
        <v>138.69999999999999</v>
      </c>
      <c r="F394">
        <v>42.54</v>
      </c>
      <c r="G394">
        <v>121.3</v>
      </c>
      <c r="H394">
        <v>110.32</v>
      </c>
      <c r="I394">
        <v>66.72</v>
      </c>
      <c r="J394">
        <v>234.96</v>
      </c>
      <c r="K394">
        <v>198.79</v>
      </c>
      <c r="L394">
        <v>141.58000000000001</v>
      </c>
      <c r="M394">
        <v>51.46</v>
      </c>
      <c r="N394">
        <v>126.96</v>
      </c>
      <c r="O394">
        <v>113.46</v>
      </c>
      <c r="P394">
        <v>45.34</v>
      </c>
      <c r="Q394">
        <v>156.94</v>
      </c>
      <c r="R394">
        <v>200.26</v>
      </c>
      <c r="S394">
        <v>63.61</v>
      </c>
      <c r="T394">
        <v>109.93</v>
      </c>
      <c r="U394">
        <v>76.739999999999995</v>
      </c>
      <c r="V394">
        <v>37.06</v>
      </c>
      <c r="W394">
        <v>78.16</v>
      </c>
      <c r="X394">
        <v>124.78</v>
      </c>
      <c r="Y394">
        <v>253.19</v>
      </c>
      <c r="Z394">
        <v>132.47999999999999</v>
      </c>
      <c r="AA394">
        <v>141.91999999999999</v>
      </c>
      <c r="AB394">
        <v>49.83</v>
      </c>
      <c r="AC394">
        <v>65.52</v>
      </c>
      <c r="AD394">
        <v>86.92</v>
      </c>
      <c r="AE394">
        <v>81.010000000000005</v>
      </c>
      <c r="AI394" s="2">
        <v>5000</v>
      </c>
      <c r="AJ394" s="2">
        <f t="shared" ref="AJ394:AP394" si="252">AJ393+10</f>
        <v>1280</v>
      </c>
      <c r="AK394" s="2">
        <f t="shared" si="252"/>
        <v>1280</v>
      </c>
      <c r="AL394" s="2">
        <f t="shared" si="252"/>
        <v>1280</v>
      </c>
      <c r="AM394" s="2">
        <f t="shared" si="252"/>
        <v>1280</v>
      </c>
      <c r="AN394" s="2">
        <f t="shared" si="252"/>
        <v>1280</v>
      </c>
      <c r="AO394" s="2">
        <f t="shared" si="252"/>
        <v>1280</v>
      </c>
      <c r="AP394" s="2">
        <f t="shared" si="252"/>
        <v>1160</v>
      </c>
      <c r="AQ394" s="2">
        <v>1000</v>
      </c>
      <c r="AR394" s="2">
        <v>0</v>
      </c>
      <c r="AS394" s="2">
        <v>10</v>
      </c>
      <c r="AT394" s="2">
        <v>0</v>
      </c>
      <c r="AU394" s="2">
        <v>0</v>
      </c>
      <c r="AV394" s="2">
        <v>0</v>
      </c>
      <c r="AW394" s="2">
        <v>0</v>
      </c>
      <c r="AX394" s="2">
        <v>0</v>
      </c>
      <c r="AY394" s="2">
        <v>0</v>
      </c>
      <c r="AZ394" s="2">
        <v>994</v>
      </c>
      <c r="BA394" s="2">
        <v>1086</v>
      </c>
      <c r="BB394" s="2">
        <v>946</v>
      </c>
      <c r="BC394" s="2">
        <v>-1000</v>
      </c>
      <c r="BD394" s="2">
        <v>-7500</v>
      </c>
      <c r="BE394" s="2">
        <v>5000</v>
      </c>
      <c r="BF394" s="2">
        <v>3000</v>
      </c>
      <c r="BG394" s="2">
        <v>5000</v>
      </c>
      <c r="BH394" s="2">
        <v>2500</v>
      </c>
      <c r="BI394" s="2">
        <v>3000</v>
      </c>
      <c r="BJ394" s="2">
        <v>-2000</v>
      </c>
      <c r="BK394" s="2">
        <v>1000</v>
      </c>
      <c r="BL394" s="2">
        <v>1000</v>
      </c>
      <c r="BO394" s="2">
        <f t="shared" si="251"/>
        <v>0</v>
      </c>
      <c r="BP394" s="2">
        <f t="shared" si="218"/>
        <v>-1022.0999999999999</v>
      </c>
      <c r="BQ394" s="2">
        <f t="shared" si="219"/>
        <v>-3507.7999999999997</v>
      </c>
      <c r="BR394" s="2">
        <f t="shared" si="220"/>
        <v>-1387</v>
      </c>
      <c r="BS394" s="2">
        <f t="shared" si="221"/>
        <v>-425.4</v>
      </c>
      <c r="BT394" s="2">
        <f t="shared" si="222"/>
        <v>-1213</v>
      </c>
      <c r="BU394" s="2">
        <f t="shared" si="223"/>
        <v>-1103.1999999999998</v>
      </c>
      <c r="BV394" s="2">
        <f t="shared" si="224"/>
        <v>-667.2</v>
      </c>
      <c r="BW394" s="2">
        <f t="shared" si="225"/>
        <v>0</v>
      </c>
      <c r="BX394" s="2">
        <f t="shared" si="226"/>
        <v>0</v>
      </c>
      <c r="BY394" s="2">
        <f t="shared" si="227"/>
        <v>0</v>
      </c>
      <c r="BZ394" s="2">
        <f t="shared" si="228"/>
        <v>0</v>
      </c>
      <c r="CA394" s="2">
        <f t="shared" si="229"/>
        <v>0</v>
      </c>
      <c r="CB394" s="2">
        <f t="shared" si="230"/>
        <v>0</v>
      </c>
      <c r="CC394" s="2">
        <f t="shared" si="231"/>
        <v>0</v>
      </c>
      <c r="CD394" s="2">
        <f t="shared" si="232"/>
        <v>0</v>
      </c>
      <c r="CE394" s="2">
        <f t="shared" si="233"/>
        <v>0</v>
      </c>
      <c r="CF394" s="2">
        <f t="shared" si="234"/>
        <v>190.82999999999998</v>
      </c>
      <c r="CG394" s="2">
        <f t="shared" si="235"/>
        <v>-16489.5</v>
      </c>
      <c r="CH394" s="2">
        <f t="shared" si="236"/>
        <v>10973.82</v>
      </c>
      <c r="CI394" s="2">
        <f t="shared" si="237"/>
        <v>0</v>
      </c>
      <c r="CJ394" s="2">
        <f t="shared" si="238"/>
        <v>0</v>
      </c>
      <c r="CK394" s="2">
        <f t="shared" si="239"/>
        <v>0</v>
      </c>
      <c r="CL394" s="2">
        <f t="shared" si="240"/>
        <v>0</v>
      </c>
      <c r="CM394" s="2">
        <f t="shared" si="212"/>
        <v>0</v>
      </c>
      <c r="CN394" s="2">
        <f t="shared" si="213"/>
        <v>0</v>
      </c>
      <c r="CO394" s="2">
        <f t="shared" si="214"/>
        <v>0</v>
      </c>
      <c r="CP394" s="2">
        <f t="shared" si="215"/>
        <v>0</v>
      </c>
      <c r="CQ394" s="2">
        <f t="shared" si="216"/>
        <v>0</v>
      </c>
      <c r="CR394" s="2">
        <f t="shared" si="217"/>
        <v>0</v>
      </c>
      <c r="CV394" t="s">
        <v>64</v>
      </c>
      <c r="CW394" t="s">
        <v>467</v>
      </c>
      <c r="CX394" t="s">
        <v>18</v>
      </c>
      <c r="CY394" s="4">
        <v>42849</v>
      </c>
      <c r="CZ394" t="s">
        <v>65</v>
      </c>
      <c r="DA394" t="s">
        <v>66</v>
      </c>
      <c r="DB394">
        <v>16</v>
      </c>
      <c r="DC394">
        <v>58.92</v>
      </c>
      <c r="DD394" t="s">
        <v>69</v>
      </c>
      <c r="DE394" t="s">
        <v>70</v>
      </c>
      <c r="DF394">
        <v>942.72</v>
      </c>
    </row>
    <row r="395" spans="1:110" x14ac:dyDescent="0.25">
      <c r="A395" s="1">
        <v>43307</v>
      </c>
      <c r="B395">
        <v>192.03</v>
      </c>
      <c r="C395">
        <v>102.08</v>
      </c>
      <c r="D395">
        <v>354.13</v>
      </c>
      <c r="E395">
        <v>140.77000000000001</v>
      </c>
      <c r="F395">
        <v>42.91</v>
      </c>
      <c r="G395">
        <v>120.37</v>
      </c>
      <c r="H395">
        <v>112.64</v>
      </c>
      <c r="I395">
        <v>67.44</v>
      </c>
      <c r="J395">
        <v>235.37</v>
      </c>
      <c r="K395">
        <v>197.2</v>
      </c>
      <c r="L395">
        <v>141.66999999999999</v>
      </c>
      <c r="M395">
        <v>51.2</v>
      </c>
      <c r="N395">
        <v>128.6</v>
      </c>
      <c r="O395">
        <v>113.13</v>
      </c>
      <c r="P395">
        <v>45.49</v>
      </c>
      <c r="Q395">
        <v>154.22</v>
      </c>
      <c r="R395">
        <v>203.77</v>
      </c>
      <c r="S395">
        <v>63.13</v>
      </c>
      <c r="T395">
        <v>108.73</v>
      </c>
      <c r="U395">
        <v>77.73</v>
      </c>
      <c r="V395">
        <v>37.22</v>
      </c>
      <c r="W395">
        <v>78.77</v>
      </c>
      <c r="X395">
        <v>127.95</v>
      </c>
      <c r="Y395">
        <v>255.32</v>
      </c>
      <c r="Z395">
        <v>133.55000000000001</v>
      </c>
      <c r="AA395">
        <v>141.78</v>
      </c>
      <c r="AB395">
        <v>50.1</v>
      </c>
      <c r="AC395">
        <v>66.349999999999994</v>
      </c>
      <c r="AD395">
        <v>87.24</v>
      </c>
      <c r="AE395">
        <v>81.64</v>
      </c>
      <c r="AI395" s="2">
        <v>5000</v>
      </c>
      <c r="AJ395" s="2">
        <f t="shared" ref="AJ395:AP395" si="253">AJ394</f>
        <v>1280</v>
      </c>
      <c r="AK395" s="2">
        <f t="shared" si="253"/>
        <v>1280</v>
      </c>
      <c r="AL395" s="2">
        <f t="shared" si="253"/>
        <v>1280</v>
      </c>
      <c r="AM395" s="2">
        <f t="shared" si="253"/>
        <v>1280</v>
      </c>
      <c r="AN395" s="2">
        <f t="shared" si="253"/>
        <v>1280</v>
      </c>
      <c r="AO395" s="2">
        <f t="shared" si="253"/>
        <v>1280</v>
      </c>
      <c r="AP395" s="2">
        <f t="shared" si="253"/>
        <v>1160</v>
      </c>
      <c r="AQ395" s="2">
        <v>1000</v>
      </c>
      <c r="AR395" s="2">
        <v>0</v>
      </c>
      <c r="AS395" s="2">
        <v>10</v>
      </c>
      <c r="AT395" s="2">
        <v>0</v>
      </c>
      <c r="AU395" s="2">
        <v>0</v>
      </c>
      <c r="AV395" s="2">
        <v>0</v>
      </c>
      <c r="AW395" s="2">
        <v>0</v>
      </c>
      <c r="AX395" s="2">
        <v>0</v>
      </c>
      <c r="AY395" s="2">
        <v>0</v>
      </c>
      <c r="AZ395" s="2">
        <v>954</v>
      </c>
      <c r="BA395" s="2">
        <v>1091</v>
      </c>
      <c r="BB395" s="2">
        <v>1086</v>
      </c>
      <c r="BC395" s="2">
        <v>-1000</v>
      </c>
      <c r="BD395" s="2">
        <v>-7500</v>
      </c>
      <c r="BE395" s="2">
        <v>5000</v>
      </c>
      <c r="BF395" s="2">
        <v>3000</v>
      </c>
      <c r="BG395" s="2">
        <v>5000</v>
      </c>
      <c r="BH395" s="2">
        <v>2500</v>
      </c>
      <c r="BI395" s="2">
        <v>3000</v>
      </c>
      <c r="BJ395" s="2">
        <v>-2000</v>
      </c>
      <c r="BK395" s="2">
        <v>1000</v>
      </c>
      <c r="BL395" s="2">
        <v>1000</v>
      </c>
      <c r="BO395" s="2">
        <f t="shared" si="251"/>
        <v>0</v>
      </c>
      <c r="BP395" s="2">
        <f t="shared" si="218"/>
        <v>0</v>
      </c>
      <c r="BQ395" s="2">
        <f t="shared" si="219"/>
        <v>0</v>
      </c>
      <c r="BR395" s="2">
        <f t="shared" si="220"/>
        <v>0</v>
      </c>
      <c r="BS395" s="2">
        <f t="shared" si="221"/>
        <v>0</v>
      </c>
      <c r="BT395" s="2">
        <f t="shared" si="222"/>
        <v>0</v>
      </c>
      <c r="BU395" s="2">
        <f t="shared" si="223"/>
        <v>0</v>
      </c>
      <c r="BV395" s="2">
        <f t="shared" si="224"/>
        <v>0</v>
      </c>
      <c r="BW395" s="2">
        <f t="shared" si="225"/>
        <v>0</v>
      </c>
      <c r="BX395" s="2">
        <f t="shared" si="226"/>
        <v>0</v>
      </c>
      <c r="BY395" s="2">
        <f t="shared" si="227"/>
        <v>0</v>
      </c>
      <c r="BZ395" s="2">
        <f t="shared" si="228"/>
        <v>0</v>
      </c>
      <c r="CA395" s="2">
        <f t="shared" si="229"/>
        <v>0</v>
      </c>
      <c r="CB395" s="2">
        <f t="shared" si="230"/>
        <v>0</v>
      </c>
      <c r="CC395" s="2">
        <f t="shared" si="231"/>
        <v>0</v>
      </c>
      <c r="CD395" s="2">
        <f t="shared" si="232"/>
        <v>0</v>
      </c>
      <c r="CE395" s="2">
        <f t="shared" si="233"/>
        <v>0</v>
      </c>
      <c r="CF395" s="2">
        <f t="shared" si="234"/>
        <v>2525.2000000000003</v>
      </c>
      <c r="CG395" s="2">
        <f t="shared" si="235"/>
        <v>-543.65</v>
      </c>
      <c r="CH395" s="2">
        <f t="shared" si="236"/>
        <v>-10882.2</v>
      </c>
      <c r="CI395" s="2">
        <f t="shared" si="237"/>
        <v>0</v>
      </c>
      <c r="CJ395" s="2">
        <f t="shared" si="238"/>
        <v>0</v>
      </c>
      <c r="CK395" s="2">
        <f t="shared" si="239"/>
        <v>0</v>
      </c>
      <c r="CL395" s="2">
        <f t="shared" si="240"/>
        <v>0</v>
      </c>
      <c r="CM395" s="2">
        <f t="shared" ref="CM395:CM458" si="254">(BG394-BG395)*Z395</f>
        <v>0</v>
      </c>
      <c r="CN395" s="2">
        <f t="shared" ref="CN395:CN458" si="255">(BH394-BH395)*AA395</f>
        <v>0</v>
      </c>
      <c r="CO395" s="2">
        <f t="shared" ref="CO395:CO458" si="256">(BI394-BI395)*AB395</f>
        <v>0</v>
      </c>
      <c r="CP395" s="2">
        <f t="shared" ref="CP395:CP458" si="257">(BJ394-BJ395)*AC395</f>
        <v>0</v>
      </c>
      <c r="CQ395" s="2">
        <f t="shared" ref="CQ395:CQ458" si="258">(BK394-BK395)*AD395</f>
        <v>0</v>
      </c>
      <c r="CR395" s="2">
        <f t="shared" ref="CR395:CR458" si="259">(BL394-BL395)*AE395</f>
        <v>0</v>
      </c>
      <c r="CV395" t="s">
        <v>64</v>
      </c>
      <c r="CW395" t="s">
        <v>468</v>
      </c>
      <c r="CX395" t="s">
        <v>18</v>
      </c>
      <c r="CY395" s="4">
        <v>42850</v>
      </c>
      <c r="CZ395" t="s">
        <v>65</v>
      </c>
      <c r="DA395" t="s">
        <v>66</v>
      </c>
      <c r="DB395">
        <v>40</v>
      </c>
      <c r="DC395">
        <v>59.07</v>
      </c>
      <c r="DD395" t="s">
        <v>69</v>
      </c>
      <c r="DE395" t="s">
        <v>70</v>
      </c>
      <c r="DF395">
        <v>2362.8000000000002</v>
      </c>
    </row>
    <row r="396" spans="1:110" x14ac:dyDescent="0.25">
      <c r="A396" s="1">
        <v>43308</v>
      </c>
      <c r="B396">
        <v>188.84</v>
      </c>
      <c r="C396">
        <v>103.43</v>
      </c>
      <c r="D396">
        <v>355.44</v>
      </c>
      <c r="E396">
        <v>140.75</v>
      </c>
      <c r="F396">
        <v>41.96</v>
      </c>
      <c r="G396">
        <v>122.34</v>
      </c>
      <c r="H396">
        <v>111.75</v>
      </c>
      <c r="I396">
        <v>67.55</v>
      </c>
      <c r="J396">
        <v>235.9</v>
      </c>
      <c r="K396">
        <v>194.97</v>
      </c>
      <c r="L396">
        <v>140.16</v>
      </c>
      <c r="M396">
        <v>46.8</v>
      </c>
      <c r="N396">
        <v>129.85</v>
      </c>
      <c r="O396">
        <v>114.29</v>
      </c>
      <c r="P396">
        <v>45.46</v>
      </c>
      <c r="Q396">
        <v>155.54</v>
      </c>
      <c r="R396">
        <v>203.24</v>
      </c>
      <c r="S396">
        <v>62.62</v>
      </c>
      <c r="T396">
        <v>106.81</v>
      </c>
      <c r="U396">
        <v>76.47</v>
      </c>
      <c r="V396">
        <v>37.47</v>
      </c>
      <c r="W396">
        <v>79.25</v>
      </c>
      <c r="X396">
        <v>129.16999999999999</v>
      </c>
      <c r="Y396">
        <v>254.28</v>
      </c>
      <c r="Z396">
        <v>132.27000000000001</v>
      </c>
      <c r="AA396">
        <v>140</v>
      </c>
      <c r="AB396">
        <v>50.91</v>
      </c>
      <c r="AC396">
        <v>67.430000000000007</v>
      </c>
      <c r="AD396">
        <v>87.15</v>
      </c>
      <c r="AE396">
        <v>79.39</v>
      </c>
      <c r="AI396" s="2">
        <v>5000</v>
      </c>
      <c r="AJ396" s="2">
        <f t="shared" ref="AJ396:AP421" si="260">AJ395</f>
        <v>1280</v>
      </c>
      <c r="AK396" s="2">
        <f t="shared" si="260"/>
        <v>1280</v>
      </c>
      <c r="AL396" s="2">
        <f t="shared" si="260"/>
        <v>1280</v>
      </c>
      <c r="AM396" s="2">
        <f t="shared" si="260"/>
        <v>1280</v>
      </c>
      <c r="AN396" s="2">
        <f t="shared" si="260"/>
        <v>1280</v>
      </c>
      <c r="AO396" s="2">
        <f t="shared" si="260"/>
        <v>1280</v>
      </c>
      <c r="AP396" s="2">
        <f t="shared" si="260"/>
        <v>1160</v>
      </c>
      <c r="AQ396" s="2">
        <v>1000</v>
      </c>
      <c r="AR396" s="2">
        <v>0</v>
      </c>
      <c r="AS396" s="2">
        <v>10</v>
      </c>
      <c r="AT396" s="2">
        <v>0</v>
      </c>
      <c r="AU396" s="2">
        <v>0</v>
      </c>
      <c r="AV396" s="2">
        <v>0</v>
      </c>
      <c r="AW396" s="2">
        <v>0</v>
      </c>
      <c r="AX396" s="2">
        <v>0</v>
      </c>
      <c r="AY396" s="2">
        <v>0</v>
      </c>
      <c r="AZ396" s="2">
        <v>974</v>
      </c>
      <c r="BA396" s="2">
        <v>1030</v>
      </c>
      <c r="BB396" s="2">
        <v>902</v>
      </c>
      <c r="BC396" s="2">
        <v>-1000</v>
      </c>
      <c r="BD396" s="2">
        <v>-7500</v>
      </c>
      <c r="BE396" s="2">
        <v>5000</v>
      </c>
      <c r="BF396" s="2">
        <v>3000</v>
      </c>
      <c r="BG396" s="2">
        <v>5000</v>
      </c>
      <c r="BH396" s="2">
        <v>2500</v>
      </c>
      <c r="BI396" s="2">
        <v>3000</v>
      </c>
      <c r="BJ396" s="2">
        <v>-2000</v>
      </c>
      <c r="BK396" s="2">
        <v>1000</v>
      </c>
      <c r="BL396" s="2">
        <v>1000</v>
      </c>
      <c r="BO396" s="2">
        <f t="shared" si="251"/>
        <v>0</v>
      </c>
      <c r="BP396" s="2">
        <f t="shared" ref="BP396:BP459" si="261">(AJ395-AJ396)*C396</f>
        <v>0</v>
      </c>
      <c r="BQ396" s="2">
        <f t="shared" ref="BQ396:BQ459" si="262">(AK395-AK396)*D396</f>
        <v>0</v>
      </c>
      <c r="BR396" s="2">
        <f t="shared" ref="BR396:BR459" si="263">(AL395-AL396)*E396</f>
        <v>0</v>
      </c>
      <c r="BS396" s="2">
        <f t="shared" ref="BS396:BS459" si="264">(AM395-AM396)*F396</f>
        <v>0</v>
      </c>
      <c r="BT396" s="2">
        <f t="shared" ref="BT396:BT459" si="265">(AN395-AN396)*G396</f>
        <v>0</v>
      </c>
      <c r="BU396" s="2">
        <f t="shared" ref="BU396:BU459" si="266">(AO395-AO396)*H396</f>
        <v>0</v>
      </c>
      <c r="BV396" s="2">
        <f t="shared" ref="BV396:BV459" si="267">(AP395-AP396)*I396</f>
        <v>0</v>
      </c>
      <c r="BW396" s="2">
        <f t="shared" ref="BW396:BW459" si="268">(AQ395-AQ396)*J396</f>
        <v>0</v>
      </c>
      <c r="BX396" s="2">
        <f t="shared" ref="BX396:BX459" si="269">(AR395-AR396)*K396</f>
        <v>0</v>
      </c>
      <c r="BY396" s="2">
        <f t="shared" ref="BY396:BY459" si="270">(AS395-AS396)*L396</f>
        <v>0</v>
      </c>
      <c r="BZ396" s="2">
        <f t="shared" ref="BZ396:BZ459" si="271">(AT395-AT396)*M396</f>
        <v>0</v>
      </c>
      <c r="CA396" s="2">
        <f t="shared" ref="CA396:CA459" si="272">(AU395-AU396)*N396</f>
        <v>0</v>
      </c>
      <c r="CB396" s="2">
        <f t="shared" ref="CB396:CB459" si="273">(AV395-AV396)*O396</f>
        <v>0</v>
      </c>
      <c r="CC396" s="2">
        <f t="shared" ref="CC396:CC459" si="274">(AW395-AW396)*P396</f>
        <v>0</v>
      </c>
      <c r="CD396" s="2">
        <f t="shared" ref="CD396:CD459" si="275">(AX395-AX396)*Q396</f>
        <v>0</v>
      </c>
      <c r="CE396" s="2">
        <f t="shared" ref="CE396:CE459" si="276">(AY395-AY396)*R396</f>
        <v>0</v>
      </c>
      <c r="CF396" s="2">
        <f t="shared" ref="CF396:CF459" si="277">(AZ395-AZ396)*S396</f>
        <v>-1252.3999999999999</v>
      </c>
      <c r="CG396" s="2">
        <f t="shared" ref="CG396:CG459" si="278">(BA395-BA396)*T396</f>
        <v>6515.41</v>
      </c>
      <c r="CH396" s="2">
        <f t="shared" ref="CH396:CH459" si="279">(BB395-BB396)*U396</f>
        <v>14070.48</v>
      </c>
      <c r="CI396" s="2">
        <f t="shared" ref="CI396:CI459" si="280">(BC395-BC396)*V396</f>
        <v>0</v>
      </c>
      <c r="CJ396" s="2">
        <f t="shared" ref="CJ396:CJ459" si="281">(BD395-BD396)*W396</f>
        <v>0</v>
      </c>
      <c r="CK396" s="2">
        <f t="shared" ref="CK396:CK459" si="282">(BE395-BE396)*X396</f>
        <v>0</v>
      </c>
      <c r="CL396" s="2">
        <f t="shared" ref="CL396:CL459" si="283">(BF395-BF396)*Y396</f>
        <v>0</v>
      </c>
      <c r="CM396" s="2">
        <f t="shared" si="254"/>
        <v>0</v>
      </c>
      <c r="CN396" s="2">
        <f t="shared" si="255"/>
        <v>0</v>
      </c>
      <c r="CO396" s="2">
        <f t="shared" si="256"/>
        <v>0</v>
      </c>
      <c r="CP396" s="2">
        <f t="shared" si="257"/>
        <v>0</v>
      </c>
      <c r="CQ396" s="2">
        <f t="shared" si="258"/>
        <v>0</v>
      </c>
      <c r="CR396" s="2">
        <f t="shared" si="259"/>
        <v>0</v>
      </c>
      <c r="CV396" t="s">
        <v>64</v>
      </c>
      <c r="CW396" t="s">
        <v>469</v>
      </c>
      <c r="CX396" t="s">
        <v>18</v>
      </c>
      <c r="CY396" s="4">
        <v>42851</v>
      </c>
      <c r="CZ396" t="s">
        <v>67</v>
      </c>
      <c r="DA396" t="s">
        <v>68</v>
      </c>
      <c r="DB396">
        <v>61</v>
      </c>
      <c r="DC396">
        <v>59.45</v>
      </c>
      <c r="DD396" t="s">
        <v>69</v>
      </c>
      <c r="DE396" t="s">
        <v>70</v>
      </c>
      <c r="DF396">
        <v>3626.4500000000003</v>
      </c>
    </row>
    <row r="397" spans="1:110" x14ac:dyDescent="0.25">
      <c r="A397" s="1">
        <v>43311</v>
      </c>
      <c r="B397">
        <v>187.78</v>
      </c>
      <c r="C397">
        <v>100.44</v>
      </c>
      <c r="D397">
        <v>345.99</v>
      </c>
      <c r="E397">
        <v>137.97999999999999</v>
      </c>
      <c r="F397">
        <v>41.57</v>
      </c>
      <c r="G397">
        <v>124.14</v>
      </c>
      <c r="H397">
        <v>111.76</v>
      </c>
      <c r="I397">
        <v>67.239999999999995</v>
      </c>
      <c r="J397">
        <v>237.2</v>
      </c>
      <c r="K397">
        <v>195.11</v>
      </c>
      <c r="L397">
        <v>140.49</v>
      </c>
      <c r="M397">
        <v>46.81</v>
      </c>
      <c r="N397">
        <v>130.46</v>
      </c>
      <c r="O397">
        <v>114.98</v>
      </c>
      <c r="P397">
        <v>45.48</v>
      </c>
      <c r="Q397">
        <v>156.69</v>
      </c>
      <c r="R397">
        <v>200.98</v>
      </c>
      <c r="S397">
        <v>63.92</v>
      </c>
      <c r="T397">
        <v>104.51</v>
      </c>
      <c r="U397">
        <v>75.55</v>
      </c>
      <c r="V397">
        <v>37.64</v>
      </c>
      <c r="W397">
        <v>78.87</v>
      </c>
      <c r="X397">
        <v>129.54</v>
      </c>
      <c r="Y397">
        <v>252.18</v>
      </c>
      <c r="Z397">
        <v>130.86000000000001</v>
      </c>
      <c r="AA397">
        <v>135.79</v>
      </c>
      <c r="AB397">
        <v>51.38</v>
      </c>
      <c r="AC397">
        <v>67.94</v>
      </c>
      <c r="AD397">
        <v>87.89</v>
      </c>
      <c r="AE397">
        <v>79.209999999999994</v>
      </c>
      <c r="AI397" s="2">
        <v>5000</v>
      </c>
      <c r="AJ397" s="2">
        <f t="shared" si="260"/>
        <v>1280</v>
      </c>
      <c r="AK397" s="2">
        <f t="shared" si="260"/>
        <v>1280</v>
      </c>
      <c r="AL397" s="2">
        <f t="shared" si="260"/>
        <v>1280</v>
      </c>
      <c r="AM397" s="2">
        <f t="shared" si="260"/>
        <v>1280</v>
      </c>
      <c r="AN397" s="2">
        <f t="shared" si="260"/>
        <v>1280</v>
      </c>
      <c r="AO397" s="2">
        <f t="shared" si="260"/>
        <v>1280</v>
      </c>
      <c r="AP397" s="2">
        <f t="shared" si="260"/>
        <v>1160</v>
      </c>
      <c r="AQ397" s="2">
        <v>1000</v>
      </c>
      <c r="AR397" s="2">
        <v>0</v>
      </c>
      <c r="AS397" s="2">
        <v>10</v>
      </c>
      <c r="AT397" s="2">
        <v>0</v>
      </c>
      <c r="AU397" s="2">
        <v>0</v>
      </c>
      <c r="AV397" s="2">
        <v>0</v>
      </c>
      <c r="AW397" s="2">
        <v>0</v>
      </c>
      <c r="AX397" s="2">
        <v>0</v>
      </c>
      <c r="AY397" s="2">
        <v>0</v>
      </c>
      <c r="AZ397" s="2">
        <v>1033</v>
      </c>
      <c r="BA397" s="2">
        <v>1034</v>
      </c>
      <c r="BB397" s="2">
        <v>986</v>
      </c>
      <c r="BC397" s="2">
        <v>-1000</v>
      </c>
      <c r="BD397" s="2">
        <v>-7500</v>
      </c>
      <c r="BE397" s="2">
        <v>5000</v>
      </c>
      <c r="BF397" s="2">
        <v>3000</v>
      </c>
      <c r="BG397" s="2">
        <v>5000</v>
      </c>
      <c r="BH397" s="2">
        <v>2500</v>
      </c>
      <c r="BI397" s="2">
        <v>3000</v>
      </c>
      <c r="BJ397" s="2">
        <v>-2000</v>
      </c>
      <c r="BK397" s="2">
        <v>1000</v>
      </c>
      <c r="BL397" s="2">
        <v>1000</v>
      </c>
      <c r="BO397" s="2">
        <f t="shared" si="251"/>
        <v>0</v>
      </c>
      <c r="BP397" s="2">
        <f t="shared" si="261"/>
        <v>0</v>
      </c>
      <c r="BQ397" s="2">
        <f t="shared" si="262"/>
        <v>0</v>
      </c>
      <c r="BR397" s="2">
        <f t="shared" si="263"/>
        <v>0</v>
      </c>
      <c r="BS397" s="2">
        <f t="shared" si="264"/>
        <v>0</v>
      </c>
      <c r="BT397" s="2">
        <f t="shared" si="265"/>
        <v>0</v>
      </c>
      <c r="BU397" s="2">
        <f t="shared" si="266"/>
        <v>0</v>
      </c>
      <c r="BV397" s="2">
        <f t="shared" si="267"/>
        <v>0</v>
      </c>
      <c r="BW397" s="2">
        <f t="shared" si="268"/>
        <v>0</v>
      </c>
      <c r="BX397" s="2">
        <f t="shared" si="269"/>
        <v>0</v>
      </c>
      <c r="BY397" s="2">
        <f t="shared" si="270"/>
        <v>0</v>
      </c>
      <c r="BZ397" s="2">
        <f t="shared" si="271"/>
        <v>0</v>
      </c>
      <c r="CA397" s="2">
        <f t="shared" si="272"/>
        <v>0</v>
      </c>
      <c r="CB397" s="2">
        <f t="shared" si="273"/>
        <v>0</v>
      </c>
      <c r="CC397" s="2">
        <f t="shared" si="274"/>
        <v>0</v>
      </c>
      <c r="CD397" s="2">
        <f t="shared" si="275"/>
        <v>0</v>
      </c>
      <c r="CE397" s="2">
        <f t="shared" si="276"/>
        <v>0</v>
      </c>
      <c r="CF397" s="2">
        <f t="shared" si="277"/>
        <v>-3771.28</v>
      </c>
      <c r="CG397" s="2">
        <f t="shared" si="278"/>
        <v>-418.04</v>
      </c>
      <c r="CH397" s="2">
        <f t="shared" si="279"/>
        <v>-6346.2</v>
      </c>
      <c r="CI397" s="2">
        <f t="shared" si="280"/>
        <v>0</v>
      </c>
      <c r="CJ397" s="2">
        <f t="shared" si="281"/>
        <v>0</v>
      </c>
      <c r="CK397" s="2">
        <f t="shared" si="282"/>
        <v>0</v>
      </c>
      <c r="CL397" s="2">
        <f t="shared" si="283"/>
        <v>0</v>
      </c>
      <c r="CM397" s="2">
        <f t="shared" si="254"/>
        <v>0</v>
      </c>
      <c r="CN397" s="2">
        <f t="shared" si="255"/>
        <v>0</v>
      </c>
      <c r="CO397" s="2">
        <f t="shared" si="256"/>
        <v>0</v>
      </c>
      <c r="CP397" s="2">
        <f t="shared" si="257"/>
        <v>0</v>
      </c>
      <c r="CQ397" s="2">
        <f t="shared" si="258"/>
        <v>0</v>
      </c>
      <c r="CR397" s="2">
        <f t="shared" si="259"/>
        <v>0</v>
      </c>
      <c r="CV397" t="s">
        <v>64</v>
      </c>
      <c r="CW397" t="s">
        <v>470</v>
      </c>
      <c r="CX397" t="s">
        <v>18</v>
      </c>
      <c r="CY397" s="4">
        <v>42852</v>
      </c>
      <c r="CZ397" t="s">
        <v>65</v>
      </c>
      <c r="DA397" t="s">
        <v>66</v>
      </c>
      <c r="DB397">
        <v>64</v>
      </c>
      <c r="DC397">
        <v>59.34</v>
      </c>
      <c r="DD397" t="s">
        <v>69</v>
      </c>
      <c r="DE397" t="s">
        <v>70</v>
      </c>
      <c r="DF397">
        <v>3797.76</v>
      </c>
    </row>
    <row r="398" spans="1:110" x14ac:dyDescent="0.25">
      <c r="A398" s="1">
        <v>43312</v>
      </c>
      <c r="B398">
        <v>188.16</v>
      </c>
      <c r="C398">
        <v>99.11</v>
      </c>
      <c r="D398">
        <v>351.15</v>
      </c>
      <c r="E398">
        <v>141.97999999999999</v>
      </c>
      <c r="F398">
        <v>41.68</v>
      </c>
      <c r="G398">
        <v>122.63</v>
      </c>
      <c r="H398">
        <v>112.69</v>
      </c>
      <c r="I398">
        <v>67.95</v>
      </c>
      <c r="J398">
        <v>235.69</v>
      </c>
      <c r="K398">
        <v>195.34</v>
      </c>
      <c r="L398">
        <v>139.94999999999999</v>
      </c>
      <c r="M398">
        <v>47.21</v>
      </c>
      <c r="N398">
        <v>130.81</v>
      </c>
      <c r="O398">
        <v>113.23</v>
      </c>
      <c r="P398">
        <v>45.87</v>
      </c>
      <c r="Q398">
        <v>155.6</v>
      </c>
      <c r="R398">
        <v>208.04</v>
      </c>
      <c r="S398">
        <v>64.97</v>
      </c>
      <c r="T398">
        <v>105.22</v>
      </c>
      <c r="U398">
        <v>76.489999999999995</v>
      </c>
      <c r="V398">
        <v>38.950000000000003</v>
      </c>
      <c r="W398">
        <v>79.540000000000006</v>
      </c>
      <c r="X398">
        <v>128.59</v>
      </c>
      <c r="Y398">
        <v>251.56</v>
      </c>
      <c r="Z398">
        <v>133.46</v>
      </c>
      <c r="AA398">
        <v>136.05000000000001</v>
      </c>
      <c r="AB398">
        <v>50.55</v>
      </c>
      <c r="AC398">
        <v>66.430000000000007</v>
      </c>
      <c r="AD398">
        <v>88.23</v>
      </c>
      <c r="AE398">
        <v>78.989999999999995</v>
      </c>
      <c r="AI398" s="2">
        <v>5000</v>
      </c>
      <c r="AJ398" s="2">
        <f t="shared" si="260"/>
        <v>1280</v>
      </c>
      <c r="AK398" s="2">
        <f t="shared" si="260"/>
        <v>1280</v>
      </c>
      <c r="AL398" s="2">
        <f t="shared" si="260"/>
        <v>1280</v>
      </c>
      <c r="AM398" s="2">
        <f t="shared" si="260"/>
        <v>1280</v>
      </c>
      <c r="AN398" s="2">
        <f t="shared" si="260"/>
        <v>1280</v>
      </c>
      <c r="AO398" s="2">
        <f t="shared" si="260"/>
        <v>1280</v>
      </c>
      <c r="AP398" s="2">
        <f t="shared" si="260"/>
        <v>1160</v>
      </c>
      <c r="AQ398" s="2">
        <v>1000</v>
      </c>
      <c r="AR398" s="2">
        <v>0</v>
      </c>
      <c r="AS398" s="2">
        <v>10</v>
      </c>
      <c r="AT398" s="2">
        <v>0</v>
      </c>
      <c r="AU398" s="2">
        <v>0</v>
      </c>
      <c r="AV398" s="2">
        <v>0</v>
      </c>
      <c r="AW398" s="2">
        <v>0</v>
      </c>
      <c r="AX398" s="2">
        <v>0</v>
      </c>
      <c r="AY398" s="2">
        <v>0</v>
      </c>
      <c r="AZ398" s="2">
        <v>1007</v>
      </c>
      <c r="BA398" s="2">
        <v>971</v>
      </c>
      <c r="BB398" s="2">
        <v>1008</v>
      </c>
      <c r="BC398" s="2">
        <v>-1000</v>
      </c>
      <c r="BD398" s="2">
        <v>-7500</v>
      </c>
      <c r="BE398" s="2">
        <v>5000</v>
      </c>
      <c r="BF398" s="2">
        <v>3000</v>
      </c>
      <c r="BG398" s="2">
        <v>5000</v>
      </c>
      <c r="BH398" s="2">
        <v>2500</v>
      </c>
      <c r="BI398" s="2">
        <v>3000</v>
      </c>
      <c r="BJ398" s="2">
        <v>-2000</v>
      </c>
      <c r="BK398" s="2">
        <v>1000</v>
      </c>
      <c r="BL398" s="2">
        <v>1000</v>
      </c>
      <c r="BO398" s="2">
        <f t="shared" si="251"/>
        <v>0</v>
      </c>
      <c r="BP398" s="2">
        <f t="shared" si="261"/>
        <v>0</v>
      </c>
      <c r="BQ398" s="2">
        <f t="shared" si="262"/>
        <v>0</v>
      </c>
      <c r="BR398" s="2">
        <f t="shared" si="263"/>
        <v>0</v>
      </c>
      <c r="BS398" s="2">
        <f t="shared" si="264"/>
        <v>0</v>
      </c>
      <c r="BT398" s="2">
        <f t="shared" si="265"/>
        <v>0</v>
      </c>
      <c r="BU398" s="2">
        <f t="shared" si="266"/>
        <v>0</v>
      </c>
      <c r="BV398" s="2">
        <f t="shared" si="267"/>
        <v>0</v>
      </c>
      <c r="BW398" s="2">
        <f t="shared" si="268"/>
        <v>0</v>
      </c>
      <c r="BX398" s="2">
        <f t="shared" si="269"/>
        <v>0</v>
      </c>
      <c r="BY398" s="2">
        <f t="shared" si="270"/>
        <v>0</v>
      </c>
      <c r="BZ398" s="2">
        <f t="shared" si="271"/>
        <v>0</v>
      </c>
      <c r="CA398" s="2">
        <f t="shared" si="272"/>
        <v>0</v>
      </c>
      <c r="CB398" s="2">
        <f t="shared" si="273"/>
        <v>0</v>
      </c>
      <c r="CC398" s="2">
        <f t="shared" si="274"/>
        <v>0</v>
      </c>
      <c r="CD398" s="2">
        <f t="shared" si="275"/>
        <v>0</v>
      </c>
      <c r="CE398" s="2">
        <f t="shared" si="276"/>
        <v>0</v>
      </c>
      <c r="CF398" s="2">
        <f t="shared" si="277"/>
        <v>1689.22</v>
      </c>
      <c r="CG398" s="2">
        <f t="shared" si="278"/>
        <v>6628.86</v>
      </c>
      <c r="CH398" s="2">
        <f t="shared" si="279"/>
        <v>-1682.78</v>
      </c>
      <c r="CI398" s="2">
        <f t="shared" si="280"/>
        <v>0</v>
      </c>
      <c r="CJ398" s="2">
        <f t="shared" si="281"/>
        <v>0</v>
      </c>
      <c r="CK398" s="2">
        <f t="shared" si="282"/>
        <v>0</v>
      </c>
      <c r="CL398" s="2">
        <f t="shared" si="283"/>
        <v>0</v>
      </c>
      <c r="CM398" s="2">
        <f t="shared" si="254"/>
        <v>0</v>
      </c>
      <c r="CN398" s="2">
        <f t="shared" si="255"/>
        <v>0</v>
      </c>
      <c r="CO398" s="2">
        <f t="shared" si="256"/>
        <v>0</v>
      </c>
      <c r="CP398" s="2">
        <f t="shared" si="257"/>
        <v>0</v>
      </c>
      <c r="CQ398" s="2">
        <f t="shared" si="258"/>
        <v>0</v>
      </c>
      <c r="CR398" s="2">
        <f t="shared" si="259"/>
        <v>0</v>
      </c>
      <c r="CV398" t="s">
        <v>64</v>
      </c>
      <c r="CW398" t="s">
        <v>471</v>
      </c>
      <c r="CX398" t="s">
        <v>18</v>
      </c>
      <c r="CY398" s="4">
        <v>42853</v>
      </c>
      <c r="CZ398" t="s">
        <v>67</v>
      </c>
      <c r="DA398" t="s">
        <v>68</v>
      </c>
      <c r="DB398">
        <v>14</v>
      </c>
      <c r="DC398">
        <v>59.1</v>
      </c>
      <c r="DD398" t="s">
        <v>69</v>
      </c>
      <c r="DE398" t="s">
        <v>70</v>
      </c>
      <c r="DF398">
        <v>827.4</v>
      </c>
    </row>
    <row r="399" spans="1:110" x14ac:dyDescent="0.25">
      <c r="A399" s="1">
        <v>43313</v>
      </c>
      <c r="B399">
        <v>199.24</v>
      </c>
      <c r="C399">
        <v>99.04</v>
      </c>
      <c r="D399">
        <v>347.67</v>
      </c>
      <c r="E399">
        <v>136.78</v>
      </c>
      <c r="F399">
        <v>41.26</v>
      </c>
      <c r="G399">
        <v>121.77</v>
      </c>
      <c r="H399">
        <v>112.1</v>
      </c>
      <c r="I399">
        <v>67.150000000000006</v>
      </c>
      <c r="J399">
        <v>234.31</v>
      </c>
      <c r="K399">
        <v>194.14</v>
      </c>
      <c r="L399">
        <v>138.57</v>
      </c>
      <c r="M399">
        <v>47.91</v>
      </c>
      <c r="N399">
        <v>130.93</v>
      </c>
      <c r="O399">
        <v>113.93</v>
      </c>
      <c r="P399">
        <v>45.64</v>
      </c>
      <c r="Q399">
        <v>154.99</v>
      </c>
      <c r="R399">
        <v>202.87</v>
      </c>
      <c r="S399">
        <v>64.59</v>
      </c>
      <c r="T399">
        <v>105.42</v>
      </c>
      <c r="U399">
        <v>77.12</v>
      </c>
      <c r="V399">
        <v>39.28</v>
      </c>
      <c r="W399">
        <v>79.319999999999993</v>
      </c>
      <c r="X399">
        <v>127.42</v>
      </c>
      <c r="Y399">
        <v>251.71</v>
      </c>
      <c r="Z399">
        <v>132.63</v>
      </c>
      <c r="AA399">
        <v>137.56</v>
      </c>
      <c r="AB399">
        <v>50.64</v>
      </c>
      <c r="AC399">
        <v>65.27</v>
      </c>
      <c r="AD399">
        <v>87.25</v>
      </c>
      <c r="AE399">
        <v>77.91</v>
      </c>
      <c r="AI399" s="2">
        <v>5000</v>
      </c>
      <c r="AJ399" s="2">
        <f t="shared" si="260"/>
        <v>1280</v>
      </c>
      <c r="AK399" s="2">
        <f t="shared" si="260"/>
        <v>1280</v>
      </c>
      <c r="AL399" s="2">
        <f t="shared" si="260"/>
        <v>1280</v>
      </c>
      <c r="AM399" s="2">
        <f t="shared" si="260"/>
        <v>1280</v>
      </c>
      <c r="AN399" s="2">
        <f t="shared" si="260"/>
        <v>1280</v>
      </c>
      <c r="AO399" s="2">
        <f t="shared" si="260"/>
        <v>1280</v>
      </c>
      <c r="AP399" s="2">
        <f t="shared" si="260"/>
        <v>1160</v>
      </c>
      <c r="AQ399" s="2">
        <v>1000</v>
      </c>
      <c r="AR399" s="2">
        <v>0</v>
      </c>
      <c r="AS399" s="2">
        <v>10</v>
      </c>
      <c r="AT399" s="2">
        <v>0</v>
      </c>
      <c r="AU399" s="2">
        <v>0</v>
      </c>
      <c r="AV399" s="2">
        <v>0</v>
      </c>
      <c r="AW399" s="2">
        <v>0</v>
      </c>
      <c r="AX399" s="2">
        <v>0</v>
      </c>
      <c r="AY399" s="2">
        <v>0</v>
      </c>
      <c r="AZ399" s="2">
        <v>950</v>
      </c>
      <c r="BA399" s="2">
        <v>945</v>
      </c>
      <c r="BB399" s="2">
        <v>986</v>
      </c>
      <c r="BC399" s="2">
        <v>-1000</v>
      </c>
      <c r="BD399" s="2">
        <v>-7500</v>
      </c>
      <c r="BE399" s="2">
        <v>5000</v>
      </c>
      <c r="BF399" s="2">
        <v>3000</v>
      </c>
      <c r="BG399" s="2">
        <v>5000</v>
      </c>
      <c r="BH399" s="2">
        <v>2500</v>
      </c>
      <c r="BI399" s="2">
        <v>3000</v>
      </c>
      <c r="BJ399" s="2">
        <v>-2000</v>
      </c>
      <c r="BK399" s="2">
        <v>1000</v>
      </c>
      <c r="BL399" s="2">
        <v>1000</v>
      </c>
      <c r="BO399" s="2">
        <f t="shared" si="251"/>
        <v>0</v>
      </c>
      <c r="BP399" s="2">
        <f t="shared" si="261"/>
        <v>0</v>
      </c>
      <c r="BQ399" s="2">
        <f t="shared" si="262"/>
        <v>0</v>
      </c>
      <c r="BR399" s="2">
        <f t="shared" si="263"/>
        <v>0</v>
      </c>
      <c r="BS399" s="2">
        <f t="shared" si="264"/>
        <v>0</v>
      </c>
      <c r="BT399" s="2">
        <f t="shared" si="265"/>
        <v>0</v>
      </c>
      <c r="BU399" s="2">
        <f t="shared" si="266"/>
        <v>0</v>
      </c>
      <c r="BV399" s="2">
        <f t="shared" si="267"/>
        <v>0</v>
      </c>
      <c r="BW399" s="2">
        <f t="shared" si="268"/>
        <v>0</v>
      </c>
      <c r="BX399" s="2">
        <f t="shared" si="269"/>
        <v>0</v>
      </c>
      <c r="BY399" s="2">
        <f t="shared" si="270"/>
        <v>0</v>
      </c>
      <c r="BZ399" s="2">
        <f t="shared" si="271"/>
        <v>0</v>
      </c>
      <c r="CA399" s="2">
        <f t="shared" si="272"/>
        <v>0</v>
      </c>
      <c r="CB399" s="2">
        <f t="shared" si="273"/>
        <v>0</v>
      </c>
      <c r="CC399" s="2">
        <f t="shared" si="274"/>
        <v>0</v>
      </c>
      <c r="CD399" s="2">
        <f t="shared" si="275"/>
        <v>0</v>
      </c>
      <c r="CE399" s="2">
        <f t="shared" si="276"/>
        <v>0</v>
      </c>
      <c r="CF399" s="2">
        <f t="shared" si="277"/>
        <v>3681.63</v>
      </c>
      <c r="CG399" s="2">
        <f t="shared" si="278"/>
        <v>2740.92</v>
      </c>
      <c r="CH399" s="2">
        <f t="shared" si="279"/>
        <v>1696.64</v>
      </c>
      <c r="CI399" s="2">
        <f t="shared" si="280"/>
        <v>0</v>
      </c>
      <c r="CJ399" s="2">
        <f t="shared" si="281"/>
        <v>0</v>
      </c>
      <c r="CK399" s="2">
        <f t="shared" si="282"/>
        <v>0</v>
      </c>
      <c r="CL399" s="2">
        <f t="shared" si="283"/>
        <v>0</v>
      </c>
      <c r="CM399" s="2">
        <f t="shared" si="254"/>
        <v>0</v>
      </c>
      <c r="CN399" s="2">
        <f t="shared" si="255"/>
        <v>0</v>
      </c>
      <c r="CO399" s="2">
        <f t="shared" si="256"/>
        <v>0</v>
      </c>
      <c r="CP399" s="2">
        <f t="shared" si="257"/>
        <v>0</v>
      </c>
      <c r="CQ399" s="2">
        <f t="shared" si="258"/>
        <v>0</v>
      </c>
      <c r="CR399" s="2">
        <f t="shared" si="259"/>
        <v>0</v>
      </c>
      <c r="CV399" t="s">
        <v>64</v>
      </c>
      <c r="CW399" t="s">
        <v>472</v>
      </c>
      <c r="CX399" t="s">
        <v>18</v>
      </c>
      <c r="CY399" s="4">
        <v>42856</v>
      </c>
      <c r="CZ399" t="s">
        <v>67</v>
      </c>
      <c r="DA399" t="s">
        <v>68</v>
      </c>
      <c r="DB399">
        <v>2</v>
      </c>
      <c r="DC399">
        <v>59.15</v>
      </c>
      <c r="DD399" t="s">
        <v>69</v>
      </c>
      <c r="DE399" t="s">
        <v>70</v>
      </c>
      <c r="DF399">
        <v>118.3</v>
      </c>
    </row>
    <row r="400" spans="1:110" x14ac:dyDescent="0.25">
      <c r="A400" s="1">
        <v>43314</v>
      </c>
      <c r="B400">
        <v>205.07</v>
      </c>
      <c r="C400">
        <v>99.32</v>
      </c>
      <c r="D400">
        <v>344.68</v>
      </c>
      <c r="E400">
        <v>136.26</v>
      </c>
      <c r="F400">
        <v>41.92</v>
      </c>
      <c r="G400">
        <v>120.19</v>
      </c>
      <c r="H400">
        <v>111.88</v>
      </c>
      <c r="I400">
        <v>65.650000000000006</v>
      </c>
      <c r="J400">
        <v>232.28</v>
      </c>
      <c r="K400">
        <v>193.5</v>
      </c>
      <c r="L400">
        <v>138.05000000000001</v>
      </c>
      <c r="M400">
        <v>48.57</v>
      </c>
      <c r="N400">
        <v>129.56</v>
      </c>
      <c r="O400">
        <v>114.41</v>
      </c>
      <c r="P400">
        <v>45.43</v>
      </c>
      <c r="Q400">
        <v>153.5</v>
      </c>
      <c r="R400">
        <v>201.38</v>
      </c>
      <c r="S400">
        <v>64.33</v>
      </c>
      <c r="T400">
        <v>106.7</v>
      </c>
      <c r="U400">
        <v>78.22</v>
      </c>
      <c r="V400">
        <v>39.01</v>
      </c>
      <c r="W400">
        <v>80.64</v>
      </c>
      <c r="X400">
        <v>126.8</v>
      </c>
      <c r="Y400">
        <v>254.41</v>
      </c>
      <c r="Z400">
        <v>131.86000000000001</v>
      </c>
      <c r="AA400">
        <v>138.22</v>
      </c>
      <c r="AB400">
        <v>50.88</v>
      </c>
      <c r="AC400">
        <v>65.8</v>
      </c>
      <c r="AD400">
        <v>87.77</v>
      </c>
      <c r="AE400">
        <v>77.44</v>
      </c>
      <c r="AI400" s="2">
        <v>5000</v>
      </c>
      <c r="AJ400" s="2">
        <f t="shared" si="260"/>
        <v>1280</v>
      </c>
      <c r="AK400" s="2">
        <f t="shared" si="260"/>
        <v>1280</v>
      </c>
      <c r="AL400" s="2">
        <f t="shared" si="260"/>
        <v>1280</v>
      </c>
      <c r="AM400" s="2">
        <f t="shared" si="260"/>
        <v>1280</v>
      </c>
      <c r="AN400" s="2">
        <f t="shared" si="260"/>
        <v>1280</v>
      </c>
      <c r="AO400" s="2">
        <f t="shared" si="260"/>
        <v>1280</v>
      </c>
      <c r="AP400" s="2">
        <f t="shared" si="260"/>
        <v>1160</v>
      </c>
      <c r="AQ400" s="2">
        <v>1000</v>
      </c>
      <c r="AR400" s="2">
        <v>0</v>
      </c>
      <c r="AS400" s="2">
        <v>10</v>
      </c>
      <c r="AT400" s="2">
        <v>0</v>
      </c>
      <c r="AU400" s="2">
        <v>0</v>
      </c>
      <c r="AV400" s="2">
        <v>0</v>
      </c>
      <c r="AW400" s="2">
        <v>0</v>
      </c>
      <c r="AX400" s="2">
        <v>0</v>
      </c>
      <c r="AY400" s="2">
        <v>0</v>
      </c>
      <c r="AZ400" s="2">
        <v>954</v>
      </c>
      <c r="BA400" s="2">
        <v>1037</v>
      </c>
      <c r="BB400" s="2">
        <v>1048</v>
      </c>
      <c r="BC400" s="2">
        <v>-1000</v>
      </c>
      <c r="BD400" s="2">
        <v>-7500</v>
      </c>
      <c r="BE400" s="2">
        <v>5000</v>
      </c>
      <c r="BF400" s="2">
        <v>3000</v>
      </c>
      <c r="BG400" s="2">
        <v>5000</v>
      </c>
      <c r="BH400" s="2">
        <v>2500</v>
      </c>
      <c r="BI400" s="2">
        <v>3000</v>
      </c>
      <c r="BJ400" s="2">
        <v>-2000</v>
      </c>
      <c r="BK400" s="2">
        <v>1000</v>
      </c>
      <c r="BL400" s="2">
        <v>1000</v>
      </c>
      <c r="BO400" s="2">
        <f t="shared" si="251"/>
        <v>0</v>
      </c>
      <c r="BP400" s="2">
        <f t="shared" si="261"/>
        <v>0</v>
      </c>
      <c r="BQ400" s="2">
        <f t="shared" si="262"/>
        <v>0</v>
      </c>
      <c r="BR400" s="2">
        <f t="shared" si="263"/>
        <v>0</v>
      </c>
      <c r="BS400" s="2">
        <f t="shared" si="264"/>
        <v>0</v>
      </c>
      <c r="BT400" s="2">
        <f t="shared" si="265"/>
        <v>0</v>
      </c>
      <c r="BU400" s="2">
        <f t="shared" si="266"/>
        <v>0</v>
      </c>
      <c r="BV400" s="2">
        <f t="shared" si="267"/>
        <v>0</v>
      </c>
      <c r="BW400" s="2">
        <f t="shared" si="268"/>
        <v>0</v>
      </c>
      <c r="BX400" s="2">
        <f t="shared" si="269"/>
        <v>0</v>
      </c>
      <c r="BY400" s="2">
        <f t="shared" si="270"/>
        <v>0</v>
      </c>
      <c r="BZ400" s="2">
        <f t="shared" si="271"/>
        <v>0</v>
      </c>
      <c r="CA400" s="2">
        <f t="shared" si="272"/>
        <v>0</v>
      </c>
      <c r="CB400" s="2">
        <f t="shared" si="273"/>
        <v>0</v>
      </c>
      <c r="CC400" s="2">
        <f t="shared" si="274"/>
        <v>0</v>
      </c>
      <c r="CD400" s="2">
        <f t="shared" si="275"/>
        <v>0</v>
      </c>
      <c r="CE400" s="2">
        <f t="shared" si="276"/>
        <v>0</v>
      </c>
      <c r="CF400" s="2">
        <f t="shared" si="277"/>
        <v>-257.32</v>
      </c>
      <c r="CG400" s="2">
        <f t="shared" si="278"/>
        <v>-9816.4</v>
      </c>
      <c r="CH400" s="2">
        <f t="shared" si="279"/>
        <v>-4849.6400000000003</v>
      </c>
      <c r="CI400" s="2">
        <f t="shared" si="280"/>
        <v>0</v>
      </c>
      <c r="CJ400" s="2">
        <f t="shared" si="281"/>
        <v>0</v>
      </c>
      <c r="CK400" s="2">
        <f t="shared" si="282"/>
        <v>0</v>
      </c>
      <c r="CL400" s="2">
        <f t="shared" si="283"/>
        <v>0</v>
      </c>
      <c r="CM400" s="2">
        <f t="shared" si="254"/>
        <v>0</v>
      </c>
      <c r="CN400" s="2">
        <f t="shared" si="255"/>
        <v>0</v>
      </c>
      <c r="CO400" s="2">
        <f t="shared" si="256"/>
        <v>0</v>
      </c>
      <c r="CP400" s="2">
        <f t="shared" si="257"/>
        <v>0</v>
      </c>
      <c r="CQ400" s="2">
        <f t="shared" si="258"/>
        <v>0</v>
      </c>
      <c r="CR400" s="2">
        <f t="shared" si="259"/>
        <v>0</v>
      </c>
      <c r="CV400" t="s">
        <v>64</v>
      </c>
      <c r="CW400" t="s">
        <v>473</v>
      </c>
      <c r="CX400" t="s">
        <v>18</v>
      </c>
      <c r="CY400" s="4">
        <v>42857</v>
      </c>
      <c r="CZ400" t="s">
        <v>67</v>
      </c>
      <c r="DA400" t="s">
        <v>68</v>
      </c>
      <c r="DB400">
        <v>18</v>
      </c>
      <c r="DC400">
        <v>59.45</v>
      </c>
      <c r="DD400" t="s">
        <v>69</v>
      </c>
      <c r="DE400" t="s">
        <v>70</v>
      </c>
      <c r="DF400">
        <v>1070.1000000000001</v>
      </c>
    </row>
    <row r="401" spans="1:110" x14ac:dyDescent="0.25">
      <c r="A401" s="1">
        <v>43315</v>
      </c>
      <c r="B401">
        <v>205.66</v>
      </c>
      <c r="C401">
        <v>100.38</v>
      </c>
      <c r="D401">
        <v>343.41</v>
      </c>
      <c r="E401">
        <v>136.75</v>
      </c>
      <c r="F401">
        <v>42.22</v>
      </c>
      <c r="G401">
        <v>120.47</v>
      </c>
      <c r="H401">
        <v>113.21</v>
      </c>
      <c r="I401">
        <v>66.02</v>
      </c>
      <c r="J401">
        <v>232.38</v>
      </c>
      <c r="K401">
        <v>193.48</v>
      </c>
      <c r="L401">
        <v>142.62</v>
      </c>
      <c r="M401">
        <v>48.71</v>
      </c>
      <c r="N401">
        <v>130.25</v>
      </c>
      <c r="O401">
        <v>115.34</v>
      </c>
      <c r="P401">
        <v>45.86</v>
      </c>
      <c r="Q401">
        <v>154.29</v>
      </c>
      <c r="R401">
        <v>203.11</v>
      </c>
      <c r="S401">
        <v>65.03</v>
      </c>
      <c r="T401">
        <v>107.16</v>
      </c>
      <c r="U401">
        <v>78.31</v>
      </c>
      <c r="V401">
        <v>39.880000000000003</v>
      </c>
      <c r="W401">
        <v>80.97</v>
      </c>
      <c r="X401">
        <v>128.16</v>
      </c>
      <c r="Y401">
        <v>255.54</v>
      </c>
      <c r="Z401">
        <v>131.63999999999999</v>
      </c>
      <c r="AA401">
        <v>139.12</v>
      </c>
      <c r="AB401">
        <v>51.16</v>
      </c>
      <c r="AC401">
        <v>66.03</v>
      </c>
      <c r="AD401">
        <v>88.6</v>
      </c>
      <c r="AE401">
        <v>77.72</v>
      </c>
      <c r="AI401" s="2">
        <v>-2500</v>
      </c>
      <c r="AJ401" s="2">
        <f t="shared" si="260"/>
        <v>1280</v>
      </c>
      <c r="AK401" s="2">
        <f t="shared" si="260"/>
        <v>1280</v>
      </c>
      <c r="AL401" s="2">
        <f t="shared" si="260"/>
        <v>1280</v>
      </c>
      <c r="AM401" s="2">
        <f t="shared" si="260"/>
        <v>1280</v>
      </c>
      <c r="AN401" s="2">
        <f t="shared" si="260"/>
        <v>1280</v>
      </c>
      <c r="AO401" s="2">
        <f t="shared" si="260"/>
        <v>1280</v>
      </c>
      <c r="AP401" s="2">
        <f t="shared" si="260"/>
        <v>1160</v>
      </c>
      <c r="AQ401" s="2">
        <v>1000</v>
      </c>
      <c r="AR401" s="2">
        <v>0</v>
      </c>
      <c r="AS401" s="2">
        <v>10</v>
      </c>
      <c r="AT401" s="2">
        <v>0</v>
      </c>
      <c r="AU401" s="2">
        <v>0</v>
      </c>
      <c r="AV401" s="2">
        <v>0</v>
      </c>
      <c r="AW401" s="2">
        <v>0</v>
      </c>
      <c r="AX401" s="2">
        <v>0</v>
      </c>
      <c r="AY401" s="2">
        <v>0</v>
      </c>
      <c r="AZ401" s="2">
        <v>957</v>
      </c>
      <c r="BA401" s="2">
        <v>1015</v>
      </c>
      <c r="BB401" s="2">
        <v>940</v>
      </c>
      <c r="BC401" s="2">
        <v>-1000</v>
      </c>
      <c r="BD401" s="2">
        <v>-7500</v>
      </c>
      <c r="BE401" s="2">
        <v>5000</v>
      </c>
      <c r="BF401" s="2">
        <v>3000</v>
      </c>
      <c r="BG401" s="2">
        <v>5000</v>
      </c>
      <c r="BH401" s="2">
        <v>2500</v>
      </c>
      <c r="BI401" s="2">
        <v>3000</v>
      </c>
      <c r="BJ401" s="2">
        <v>-2000</v>
      </c>
      <c r="BK401" s="2">
        <v>1000</v>
      </c>
      <c r="BL401" s="2">
        <v>1000</v>
      </c>
      <c r="BO401" s="2">
        <f t="shared" si="251"/>
        <v>1542450</v>
      </c>
      <c r="BP401" s="2">
        <f t="shared" si="261"/>
        <v>0</v>
      </c>
      <c r="BQ401" s="2">
        <f t="shared" si="262"/>
        <v>0</v>
      </c>
      <c r="BR401" s="2">
        <f t="shared" si="263"/>
        <v>0</v>
      </c>
      <c r="BS401" s="2">
        <f t="shared" si="264"/>
        <v>0</v>
      </c>
      <c r="BT401" s="2">
        <f t="shared" si="265"/>
        <v>0</v>
      </c>
      <c r="BU401" s="2">
        <f t="shared" si="266"/>
        <v>0</v>
      </c>
      <c r="BV401" s="2">
        <f t="shared" si="267"/>
        <v>0</v>
      </c>
      <c r="BW401" s="2">
        <f t="shared" si="268"/>
        <v>0</v>
      </c>
      <c r="BX401" s="2">
        <f t="shared" si="269"/>
        <v>0</v>
      </c>
      <c r="BY401" s="2">
        <f t="shared" si="270"/>
        <v>0</v>
      </c>
      <c r="BZ401" s="2">
        <f t="shared" si="271"/>
        <v>0</v>
      </c>
      <c r="CA401" s="2">
        <f t="shared" si="272"/>
        <v>0</v>
      </c>
      <c r="CB401" s="2">
        <f t="shared" si="273"/>
        <v>0</v>
      </c>
      <c r="CC401" s="2">
        <f t="shared" si="274"/>
        <v>0</v>
      </c>
      <c r="CD401" s="2">
        <f t="shared" si="275"/>
        <v>0</v>
      </c>
      <c r="CE401" s="2">
        <f t="shared" si="276"/>
        <v>0</v>
      </c>
      <c r="CF401" s="2">
        <f t="shared" si="277"/>
        <v>-195.09</v>
      </c>
      <c r="CG401" s="2">
        <f t="shared" si="278"/>
        <v>2357.52</v>
      </c>
      <c r="CH401" s="2">
        <f t="shared" si="279"/>
        <v>8457.48</v>
      </c>
      <c r="CI401" s="2">
        <f t="shared" si="280"/>
        <v>0</v>
      </c>
      <c r="CJ401" s="2">
        <f t="shared" si="281"/>
        <v>0</v>
      </c>
      <c r="CK401" s="2">
        <f t="shared" si="282"/>
        <v>0</v>
      </c>
      <c r="CL401" s="2">
        <f t="shared" si="283"/>
        <v>0</v>
      </c>
      <c r="CM401" s="2">
        <f t="shared" si="254"/>
        <v>0</v>
      </c>
      <c r="CN401" s="2">
        <f t="shared" si="255"/>
        <v>0</v>
      </c>
      <c r="CO401" s="2">
        <f t="shared" si="256"/>
        <v>0</v>
      </c>
      <c r="CP401" s="2">
        <f t="shared" si="257"/>
        <v>0</v>
      </c>
      <c r="CQ401" s="2">
        <f t="shared" si="258"/>
        <v>0</v>
      </c>
      <c r="CR401" s="2">
        <f t="shared" si="259"/>
        <v>0</v>
      </c>
      <c r="CV401" t="s">
        <v>64</v>
      </c>
      <c r="CW401" t="s">
        <v>474</v>
      </c>
      <c r="CX401" t="s">
        <v>18</v>
      </c>
      <c r="CY401" s="4">
        <v>42858</v>
      </c>
      <c r="CZ401" t="s">
        <v>67</v>
      </c>
      <c r="DA401" t="s">
        <v>68</v>
      </c>
      <c r="DB401">
        <v>37</v>
      </c>
      <c r="DC401">
        <v>60.33</v>
      </c>
      <c r="DD401" t="s">
        <v>69</v>
      </c>
      <c r="DE401" t="s">
        <v>70</v>
      </c>
      <c r="DF401">
        <v>2232.21</v>
      </c>
    </row>
    <row r="402" spans="1:110" x14ac:dyDescent="0.25">
      <c r="A402" s="1">
        <v>43318</v>
      </c>
      <c r="B402">
        <v>206.73</v>
      </c>
      <c r="C402">
        <v>100.51</v>
      </c>
      <c r="D402">
        <v>341.56</v>
      </c>
      <c r="E402">
        <v>137.71</v>
      </c>
      <c r="F402">
        <v>42.68</v>
      </c>
      <c r="G402">
        <v>120.71</v>
      </c>
      <c r="H402">
        <v>115.05</v>
      </c>
      <c r="I402">
        <v>66.95</v>
      </c>
      <c r="J402">
        <v>234.2</v>
      </c>
      <c r="K402">
        <v>193.53</v>
      </c>
      <c r="L402">
        <v>141.01</v>
      </c>
      <c r="M402">
        <v>48.68</v>
      </c>
      <c r="N402">
        <v>130.32</v>
      </c>
      <c r="O402">
        <v>115.37</v>
      </c>
      <c r="P402">
        <v>45.89</v>
      </c>
      <c r="Q402">
        <v>154.79</v>
      </c>
      <c r="R402">
        <v>202.53</v>
      </c>
      <c r="S402">
        <v>65.31</v>
      </c>
      <c r="T402">
        <v>107.25</v>
      </c>
      <c r="U402">
        <v>79.08</v>
      </c>
      <c r="V402">
        <v>40.369999999999997</v>
      </c>
      <c r="W402">
        <v>81.16</v>
      </c>
      <c r="X402">
        <v>128.44999999999999</v>
      </c>
      <c r="Y402">
        <v>255.08</v>
      </c>
      <c r="Z402">
        <v>131.69</v>
      </c>
      <c r="AA402">
        <v>139.01</v>
      </c>
      <c r="AB402">
        <v>51.37</v>
      </c>
      <c r="AC402">
        <v>66.23</v>
      </c>
      <c r="AD402">
        <v>88.67</v>
      </c>
      <c r="AE402">
        <v>77.7</v>
      </c>
      <c r="AI402" s="2">
        <v>-2500</v>
      </c>
      <c r="AJ402" s="2">
        <f t="shared" si="260"/>
        <v>1280</v>
      </c>
      <c r="AK402" s="2">
        <f t="shared" si="260"/>
        <v>1280</v>
      </c>
      <c r="AL402" s="2">
        <f t="shared" si="260"/>
        <v>1280</v>
      </c>
      <c r="AM402" s="2">
        <f t="shared" si="260"/>
        <v>1280</v>
      </c>
      <c r="AN402" s="2">
        <f t="shared" si="260"/>
        <v>1280</v>
      </c>
      <c r="AO402" s="2">
        <f t="shared" si="260"/>
        <v>1280</v>
      </c>
      <c r="AP402" s="2">
        <f t="shared" si="260"/>
        <v>1160</v>
      </c>
      <c r="AQ402" s="2">
        <v>1000</v>
      </c>
      <c r="AR402" s="2">
        <v>0</v>
      </c>
      <c r="AS402" s="2">
        <v>10</v>
      </c>
      <c r="AT402" s="2">
        <v>0</v>
      </c>
      <c r="AU402" s="2">
        <v>0</v>
      </c>
      <c r="AV402" s="2">
        <v>0</v>
      </c>
      <c r="AW402" s="2">
        <v>0</v>
      </c>
      <c r="AX402" s="2">
        <v>0</v>
      </c>
      <c r="AY402" s="2">
        <v>0</v>
      </c>
      <c r="AZ402" s="2">
        <v>965</v>
      </c>
      <c r="BA402" s="2">
        <v>1072</v>
      </c>
      <c r="BB402" s="2">
        <v>1028</v>
      </c>
      <c r="BC402" s="2">
        <v>-1000</v>
      </c>
      <c r="BD402" s="2">
        <v>-7500</v>
      </c>
      <c r="BE402" s="2">
        <v>5000</v>
      </c>
      <c r="BF402" s="2">
        <v>3000</v>
      </c>
      <c r="BG402" s="2">
        <v>5000</v>
      </c>
      <c r="BH402" s="2">
        <v>2500</v>
      </c>
      <c r="BI402" s="2">
        <v>3000</v>
      </c>
      <c r="BJ402" s="2">
        <v>-2000</v>
      </c>
      <c r="BK402" s="2">
        <v>1000</v>
      </c>
      <c r="BL402" s="2">
        <v>1000</v>
      </c>
      <c r="BO402" s="2">
        <f t="shared" si="251"/>
        <v>0</v>
      </c>
      <c r="BP402" s="2">
        <f t="shared" si="261"/>
        <v>0</v>
      </c>
      <c r="BQ402" s="2">
        <f t="shared" si="262"/>
        <v>0</v>
      </c>
      <c r="BR402" s="2">
        <f t="shared" si="263"/>
        <v>0</v>
      </c>
      <c r="BS402" s="2">
        <f t="shared" si="264"/>
        <v>0</v>
      </c>
      <c r="BT402" s="2">
        <f t="shared" si="265"/>
        <v>0</v>
      </c>
      <c r="BU402" s="2">
        <f t="shared" si="266"/>
        <v>0</v>
      </c>
      <c r="BV402" s="2">
        <f t="shared" si="267"/>
        <v>0</v>
      </c>
      <c r="BW402" s="2">
        <f t="shared" si="268"/>
        <v>0</v>
      </c>
      <c r="BX402" s="2">
        <f t="shared" si="269"/>
        <v>0</v>
      </c>
      <c r="BY402" s="2">
        <f t="shared" si="270"/>
        <v>0</v>
      </c>
      <c r="BZ402" s="2">
        <f t="shared" si="271"/>
        <v>0</v>
      </c>
      <c r="CA402" s="2">
        <f t="shared" si="272"/>
        <v>0</v>
      </c>
      <c r="CB402" s="2">
        <f t="shared" si="273"/>
        <v>0</v>
      </c>
      <c r="CC402" s="2">
        <f t="shared" si="274"/>
        <v>0</v>
      </c>
      <c r="CD402" s="2">
        <f t="shared" si="275"/>
        <v>0</v>
      </c>
      <c r="CE402" s="2">
        <f t="shared" si="276"/>
        <v>0</v>
      </c>
      <c r="CF402" s="2">
        <f t="shared" si="277"/>
        <v>-522.48</v>
      </c>
      <c r="CG402" s="2">
        <f t="shared" si="278"/>
        <v>-6113.25</v>
      </c>
      <c r="CH402" s="2">
        <f t="shared" si="279"/>
        <v>-6959.04</v>
      </c>
      <c r="CI402" s="2">
        <f t="shared" si="280"/>
        <v>0</v>
      </c>
      <c r="CJ402" s="2">
        <f t="shared" si="281"/>
        <v>0</v>
      </c>
      <c r="CK402" s="2">
        <f t="shared" si="282"/>
        <v>0</v>
      </c>
      <c r="CL402" s="2">
        <f t="shared" si="283"/>
        <v>0</v>
      </c>
      <c r="CM402" s="2">
        <f t="shared" si="254"/>
        <v>0</v>
      </c>
      <c r="CN402" s="2">
        <f t="shared" si="255"/>
        <v>0</v>
      </c>
      <c r="CO402" s="2">
        <f t="shared" si="256"/>
        <v>0</v>
      </c>
      <c r="CP402" s="2">
        <f t="shared" si="257"/>
        <v>0</v>
      </c>
      <c r="CQ402" s="2">
        <f t="shared" si="258"/>
        <v>0</v>
      </c>
      <c r="CR402" s="2">
        <f t="shared" si="259"/>
        <v>0</v>
      </c>
      <c r="CV402" t="s">
        <v>64</v>
      </c>
      <c r="CW402" t="s">
        <v>475</v>
      </c>
      <c r="CX402" t="s">
        <v>18</v>
      </c>
      <c r="CY402" s="4">
        <v>42859</v>
      </c>
      <c r="CZ402" t="s">
        <v>65</v>
      </c>
      <c r="DA402" t="s">
        <v>66</v>
      </c>
      <c r="DB402">
        <v>51</v>
      </c>
      <c r="DC402">
        <v>60.1</v>
      </c>
      <c r="DD402" t="s">
        <v>69</v>
      </c>
      <c r="DE402" t="s">
        <v>70</v>
      </c>
      <c r="DF402">
        <v>3065.1</v>
      </c>
    </row>
    <row r="403" spans="1:110" x14ac:dyDescent="0.25">
      <c r="A403" s="1">
        <v>43319</v>
      </c>
      <c r="B403">
        <v>204.79</v>
      </c>
      <c r="C403">
        <v>101.55</v>
      </c>
      <c r="D403">
        <v>345.69</v>
      </c>
      <c r="E403">
        <v>140.57</v>
      </c>
      <c r="F403">
        <v>42.95</v>
      </c>
      <c r="G403">
        <v>121.57</v>
      </c>
      <c r="H403">
        <v>115.66</v>
      </c>
      <c r="I403">
        <v>67.33</v>
      </c>
      <c r="J403">
        <v>236.09</v>
      </c>
      <c r="K403">
        <v>194.88</v>
      </c>
      <c r="L403">
        <v>141.96</v>
      </c>
      <c r="M403">
        <v>49.08</v>
      </c>
      <c r="N403">
        <v>129.76</v>
      </c>
      <c r="O403">
        <v>115.79</v>
      </c>
      <c r="P403">
        <v>45.75</v>
      </c>
      <c r="Q403">
        <v>154.12</v>
      </c>
      <c r="R403">
        <v>204.36</v>
      </c>
      <c r="S403">
        <v>65.67</v>
      </c>
      <c r="T403">
        <v>108</v>
      </c>
      <c r="U403">
        <v>80.09</v>
      </c>
      <c r="V403">
        <v>40.18</v>
      </c>
      <c r="W403">
        <v>81.27</v>
      </c>
      <c r="X403">
        <v>128.38999999999999</v>
      </c>
      <c r="Y403">
        <v>255.97</v>
      </c>
      <c r="Z403">
        <v>132.22999999999999</v>
      </c>
      <c r="AA403">
        <v>139.57</v>
      </c>
      <c r="AB403">
        <v>51.35</v>
      </c>
      <c r="AC403">
        <v>65.87</v>
      </c>
      <c r="AD403">
        <v>88.77</v>
      </c>
      <c r="AE403">
        <v>78.760000000000005</v>
      </c>
      <c r="AI403" s="2">
        <v>-2500</v>
      </c>
      <c r="AJ403" s="2">
        <f t="shared" si="260"/>
        <v>1280</v>
      </c>
      <c r="AK403" s="2">
        <f t="shared" si="260"/>
        <v>1280</v>
      </c>
      <c r="AL403" s="2">
        <f t="shared" si="260"/>
        <v>1280</v>
      </c>
      <c r="AM403" s="2">
        <f t="shared" si="260"/>
        <v>1280</v>
      </c>
      <c r="AN403" s="2">
        <f t="shared" si="260"/>
        <v>1280</v>
      </c>
      <c r="AO403" s="2">
        <f t="shared" si="260"/>
        <v>1280</v>
      </c>
      <c r="AP403" s="2">
        <f t="shared" si="260"/>
        <v>1160</v>
      </c>
      <c r="AQ403" s="2">
        <v>1000</v>
      </c>
      <c r="AR403" s="2">
        <v>0</v>
      </c>
      <c r="AS403" s="2">
        <v>10</v>
      </c>
      <c r="AT403" s="2">
        <v>0</v>
      </c>
      <c r="AU403" s="2">
        <v>0</v>
      </c>
      <c r="AV403" s="2">
        <v>0</v>
      </c>
      <c r="AW403" s="2">
        <v>0</v>
      </c>
      <c r="AX403" s="2">
        <v>0</v>
      </c>
      <c r="AY403" s="2">
        <v>0</v>
      </c>
      <c r="AZ403" s="2">
        <v>1045</v>
      </c>
      <c r="BA403" s="2">
        <v>984</v>
      </c>
      <c r="BB403" s="2">
        <v>914</v>
      </c>
      <c r="BC403" s="2">
        <v>-1000</v>
      </c>
      <c r="BD403" s="2">
        <v>-7500</v>
      </c>
      <c r="BE403" s="2">
        <v>5000</v>
      </c>
      <c r="BF403" s="2">
        <v>3000</v>
      </c>
      <c r="BG403" s="2">
        <v>5000</v>
      </c>
      <c r="BH403" s="2">
        <v>2500</v>
      </c>
      <c r="BI403" s="2">
        <v>3000</v>
      </c>
      <c r="BJ403" s="2">
        <v>-2000</v>
      </c>
      <c r="BK403" s="2">
        <v>1000</v>
      </c>
      <c r="BL403" s="2">
        <v>1000</v>
      </c>
      <c r="BO403" s="2">
        <f t="shared" si="251"/>
        <v>0</v>
      </c>
      <c r="BP403" s="2">
        <f t="shared" si="261"/>
        <v>0</v>
      </c>
      <c r="BQ403" s="2">
        <f t="shared" si="262"/>
        <v>0</v>
      </c>
      <c r="BR403" s="2">
        <f t="shared" si="263"/>
        <v>0</v>
      </c>
      <c r="BS403" s="2">
        <f t="shared" si="264"/>
        <v>0</v>
      </c>
      <c r="BT403" s="2">
        <f t="shared" si="265"/>
        <v>0</v>
      </c>
      <c r="BU403" s="2">
        <f t="shared" si="266"/>
        <v>0</v>
      </c>
      <c r="BV403" s="2">
        <f t="shared" si="267"/>
        <v>0</v>
      </c>
      <c r="BW403" s="2">
        <f t="shared" si="268"/>
        <v>0</v>
      </c>
      <c r="BX403" s="2">
        <f t="shared" si="269"/>
        <v>0</v>
      </c>
      <c r="BY403" s="2">
        <f t="shared" si="270"/>
        <v>0</v>
      </c>
      <c r="BZ403" s="2">
        <f t="shared" si="271"/>
        <v>0</v>
      </c>
      <c r="CA403" s="2">
        <f t="shared" si="272"/>
        <v>0</v>
      </c>
      <c r="CB403" s="2">
        <f t="shared" si="273"/>
        <v>0</v>
      </c>
      <c r="CC403" s="2">
        <f t="shared" si="274"/>
        <v>0</v>
      </c>
      <c r="CD403" s="2">
        <f t="shared" si="275"/>
        <v>0</v>
      </c>
      <c r="CE403" s="2">
        <f t="shared" si="276"/>
        <v>0</v>
      </c>
      <c r="CF403" s="2">
        <f t="shared" si="277"/>
        <v>-5253.6</v>
      </c>
      <c r="CG403" s="2">
        <f t="shared" si="278"/>
        <v>9504</v>
      </c>
      <c r="CH403" s="2">
        <f t="shared" si="279"/>
        <v>9130.26</v>
      </c>
      <c r="CI403" s="2">
        <f t="shared" si="280"/>
        <v>0</v>
      </c>
      <c r="CJ403" s="2">
        <f t="shared" si="281"/>
        <v>0</v>
      </c>
      <c r="CK403" s="2">
        <f t="shared" si="282"/>
        <v>0</v>
      </c>
      <c r="CL403" s="2">
        <f t="shared" si="283"/>
        <v>0</v>
      </c>
      <c r="CM403" s="2">
        <f t="shared" si="254"/>
        <v>0</v>
      </c>
      <c r="CN403" s="2">
        <f t="shared" si="255"/>
        <v>0</v>
      </c>
      <c r="CO403" s="2">
        <f t="shared" si="256"/>
        <v>0</v>
      </c>
      <c r="CP403" s="2">
        <f t="shared" si="257"/>
        <v>0</v>
      </c>
      <c r="CQ403" s="2">
        <f t="shared" si="258"/>
        <v>0</v>
      </c>
      <c r="CR403" s="2">
        <f t="shared" si="259"/>
        <v>0</v>
      </c>
      <c r="CV403" t="s">
        <v>64</v>
      </c>
      <c r="CW403" t="s">
        <v>476</v>
      </c>
      <c r="CX403" t="s">
        <v>18</v>
      </c>
      <c r="CY403" s="4">
        <v>42860</v>
      </c>
      <c r="CZ403" t="s">
        <v>67</v>
      </c>
      <c r="DA403" t="s">
        <v>68</v>
      </c>
      <c r="DB403">
        <v>20</v>
      </c>
      <c r="DC403">
        <v>60.66</v>
      </c>
      <c r="DD403" t="s">
        <v>69</v>
      </c>
      <c r="DE403" t="s">
        <v>70</v>
      </c>
      <c r="DF403">
        <v>1213.1999999999998</v>
      </c>
    </row>
    <row r="404" spans="1:110" x14ac:dyDescent="0.25">
      <c r="A404" s="1">
        <v>43320</v>
      </c>
      <c r="B404">
        <v>204.93</v>
      </c>
      <c r="C404">
        <v>102.36</v>
      </c>
      <c r="D404">
        <v>342.76</v>
      </c>
      <c r="E404">
        <v>137.94</v>
      </c>
      <c r="F404">
        <v>43.21</v>
      </c>
      <c r="G404">
        <v>120.31</v>
      </c>
      <c r="H404">
        <v>113.1</v>
      </c>
      <c r="I404">
        <v>66.849999999999994</v>
      </c>
      <c r="J404">
        <v>234.64</v>
      </c>
      <c r="K404">
        <v>195.84</v>
      </c>
      <c r="L404">
        <v>141.84</v>
      </c>
      <c r="M404">
        <v>49.33</v>
      </c>
      <c r="N404">
        <v>129.47999999999999</v>
      </c>
      <c r="O404">
        <v>116.03</v>
      </c>
      <c r="P404">
        <v>45.4</v>
      </c>
      <c r="Q404">
        <v>156.97</v>
      </c>
      <c r="R404">
        <v>202.96</v>
      </c>
      <c r="S404">
        <v>65.78</v>
      </c>
      <c r="T404">
        <v>108.6</v>
      </c>
      <c r="U404">
        <v>80.06</v>
      </c>
      <c r="V404">
        <v>40.74</v>
      </c>
      <c r="W404">
        <v>80.989999999999995</v>
      </c>
      <c r="X404">
        <v>127.67</v>
      </c>
      <c r="Y404">
        <v>257.12</v>
      </c>
      <c r="Z404">
        <v>132.44</v>
      </c>
      <c r="AA404">
        <v>139.97</v>
      </c>
      <c r="AB404">
        <v>51.59</v>
      </c>
      <c r="AC404">
        <v>65.319999999999993</v>
      </c>
      <c r="AD404">
        <v>89.04</v>
      </c>
      <c r="AE404">
        <v>78.239999999999995</v>
      </c>
      <c r="AI404" s="2">
        <v>-2500</v>
      </c>
      <c r="AJ404" s="2">
        <f t="shared" si="260"/>
        <v>1280</v>
      </c>
      <c r="AK404" s="2">
        <f t="shared" si="260"/>
        <v>1280</v>
      </c>
      <c r="AL404" s="2">
        <f t="shared" si="260"/>
        <v>1280</v>
      </c>
      <c r="AM404" s="2">
        <f t="shared" si="260"/>
        <v>1280</v>
      </c>
      <c r="AN404" s="2">
        <f t="shared" si="260"/>
        <v>1280</v>
      </c>
      <c r="AO404" s="2">
        <f t="shared" si="260"/>
        <v>1280</v>
      </c>
      <c r="AP404" s="2">
        <f t="shared" si="260"/>
        <v>1160</v>
      </c>
      <c r="AQ404" s="2">
        <v>1000</v>
      </c>
      <c r="AR404" s="2">
        <v>0</v>
      </c>
      <c r="AS404" s="2">
        <v>10</v>
      </c>
      <c r="AT404" s="2">
        <v>0</v>
      </c>
      <c r="AU404" s="2">
        <v>0</v>
      </c>
      <c r="AV404" s="2">
        <v>0</v>
      </c>
      <c r="AW404" s="2">
        <v>0</v>
      </c>
      <c r="AX404" s="2">
        <v>0</v>
      </c>
      <c r="AY404" s="2">
        <v>0</v>
      </c>
      <c r="AZ404" s="2">
        <v>1037</v>
      </c>
      <c r="BA404" s="2">
        <v>993</v>
      </c>
      <c r="BB404" s="2">
        <v>1067</v>
      </c>
      <c r="BC404" s="2">
        <v>-1000</v>
      </c>
      <c r="BD404" s="2">
        <v>-7500</v>
      </c>
      <c r="BE404" s="2">
        <v>5000</v>
      </c>
      <c r="BF404" s="2">
        <v>3000</v>
      </c>
      <c r="BG404" s="2">
        <v>5000</v>
      </c>
      <c r="BH404" s="2">
        <v>2500</v>
      </c>
      <c r="BI404" s="2">
        <v>3000</v>
      </c>
      <c r="BJ404" s="2">
        <v>-2000</v>
      </c>
      <c r="BK404" s="2">
        <v>1000</v>
      </c>
      <c r="BL404" s="2">
        <v>1000</v>
      </c>
      <c r="BO404" s="2">
        <f t="shared" si="251"/>
        <v>0</v>
      </c>
      <c r="BP404" s="2">
        <f t="shared" si="261"/>
        <v>0</v>
      </c>
      <c r="BQ404" s="2">
        <f t="shared" si="262"/>
        <v>0</v>
      </c>
      <c r="BR404" s="2">
        <f t="shared" si="263"/>
        <v>0</v>
      </c>
      <c r="BS404" s="2">
        <f t="shared" si="264"/>
        <v>0</v>
      </c>
      <c r="BT404" s="2">
        <f t="shared" si="265"/>
        <v>0</v>
      </c>
      <c r="BU404" s="2">
        <f t="shared" si="266"/>
        <v>0</v>
      </c>
      <c r="BV404" s="2">
        <f t="shared" si="267"/>
        <v>0</v>
      </c>
      <c r="BW404" s="2">
        <f t="shared" si="268"/>
        <v>0</v>
      </c>
      <c r="BX404" s="2">
        <f t="shared" si="269"/>
        <v>0</v>
      </c>
      <c r="BY404" s="2">
        <f t="shared" si="270"/>
        <v>0</v>
      </c>
      <c r="BZ404" s="2">
        <f t="shared" si="271"/>
        <v>0</v>
      </c>
      <c r="CA404" s="2">
        <f t="shared" si="272"/>
        <v>0</v>
      </c>
      <c r="CB404" s="2">
        <f t="shared" si="273"/>
        <v>0</v>
      </c>
      <c r="CC404" s="2">
        <f t="shared" si="274"/>
        <v>0</v>
      </c>
      <c r="CD404" s="2">
        <f t="shared" si="275"/>
        <v>0</v>
      </c>
      <c r="CE404" s="2">
        <f t="shared" si="276"/>
        <v>0</v>
      </c>
      <c r="CF404" s="2">
        <f t="shared" si="277"/>
        <v>526.24</v>
      </c>
      <c r="CG404" s="2">
        <f t="shared" si="278"/>
        <v>-977.4</v>
      </c>
      <c r="CH404" s="2">
        <f t="shared" si="279"/>
        <v>-12249.18</v>
      </c>
      <c r="CI404" s="2">
        <f t="shared" si="280"/>
        <v>0</v>
      </c>
      <c r="CJ404" s="2">
        <f t="shared" si="281"/>
        <v>0</v>
      </c>
      <c r="CK404" s="2">
        <f t="shared" si="282"/>
        <v>0</v>
      </c>
      <c r="CL404" s="2">
        <f t="shared" si="283"/>
        <v>0</v>
      </c>
      <c r="CM404" s="2">
        <f t="shared" si="254"/>
        <v>0</v>
      </c>
      <c r="CN404" s="2">
        <f t="shared" si="255"/>
        <v>0</v>
      </c>
      <c r="CO404" s="2">
        <f t="shared" si="256"/>
        <v>0</v>
      </c>
      <c r="CP404" s="2">
        <f t="shared" si="257"/>
        <v>0</v>
      </c>
      <c r="CQ404" s="2">
        <f t="shared" si="258"/>
        <v>0</v>
      </c>
      <c r="CR404" s="2">
        <f t="shared" si="259"/>
        <v>0</v>
      </c>
      <c r="CV404" t="s">
        <v>64</v>
      </c>
      <c r="CW404" t="s">
        <v>477</v>
      </c>
      <c r="CX404" t="s">
        <v>18</v>
      </c>
      <c r="CY404" s="4">
        <v>42863</v>
      </c>
      <c r="CZ404" t="s">
        <v>65</v>
      </c>
      <c r="DA404" t="s">
        <v>66</v>
      </c>
      <c r="DB404">
        <v>6</v>
      </c>
      <c r="DC404">
        <v>60.69</v>
      </c>
      <c r="DD404" t="s">
        <v>69</v>
      </c>
      <c r="DE404" t="s">
        <v>70</v>
      </c>
      <c r="DF404">
        <v>364.14</v>
      </c>
    </row>
    <row r="405" spans="1:110" x14ac:dyDescent="0.25">
      <c r="A405" s="1">
        <v>43321</v>
      </c>
      <c r="B405">
        <v>206.54</v>
      </c>
      <c r="C405">
        <v>102.57</v>
      </c>
      <c r="D405">
        <v>340.43</v>
      </c>
      <c r="E405">
        <v>136.76</v>
      </c>
      <c r="F405">
        <v>43.15</v>
      </c>
      <c r="G405">
        <v>119</v>
      </c>
      <c r="H405">
        <v>113.28</v>
      </c>
      <c r="I405">
        <v>68.2</v>
      </c>
      <c r="J405">
        <v>232.07</v>
      </c>
      <c r="K405">
        <v>195.9</v>
      </c>
      <c r="L405">
        <v>141.30000000000001</v>
      </c>
      <c r="M405">
        <v>49.51</v>
      </c>
      <c r="N405">
        <v>129.51</v>
      </c>
      <c r="O405">
        <v>115.13</v>
      </c>
      <c r="P405">
        <v>45.6</v>
      </c>
      <c r="Q405">
        <v>157.34</v>
      </c>
      <c r="R405">
        <v>200.65</v>
      </c>
      <c r="S405">
        <v>65.099999999999994</v>
      </c>
      <c r="T405">
        <v>108.78</v>
      </c>
      <c r="U405">
        <v>80.819999999999993</v>
      </c>
      <c r="V405">
        <v>40.33</v>
      </c>
      <c r="W405">
        <v>80.05</v>
      </c>
      <c r="X405">
        <v>128.02000000000001</v>
      </c>
      <c r="Y405">
        <v>259.88</v>
      </c>
      <c r="Z405">
        <v>131.97999999999999</v>
      </c>
      <c r="AA405">
        <v>139.31</v>
      </c>
      <c r="AB405">
        <v>51.89</v>
      </c>
      <c r="AC405">
        <v>65</v>
      </c>
      <c r="AD405">
        <v>88.53</v>
      </c>
      <c r="AE405">
        <v>77.84</v>
      </c>
      <c r="AI405" s="2">
        <v>-2500</v>
      </c>
      <c r="AJ405" s="2">
        <f t="shared" si="260"/>
        <v>1280</v>
      </c>
      <c r="AK405" s="2">
        <f t="shared" si="260"/>
        <v>1280</v>
      </c>
      <c r="AL405" s="2">
        <f t="shared" si="260"/>
        <v>1280</v>
      </c>
      <c r="AM405" s="2">
        <f t="shared" si="260"/>
        <v>1280</v>
      </c>
      <c r="AN405" s="2">
        <f t="shared" si="260"/>
        <v>1280</v>
      </c>
      <c r="AO405" s="2">
        <f t="shared" si="260"/>
        <v>1280</v>
      </c>
      <c r="AP405" s="2">
        <f t="shared" si="260"/>
        <v>1160</v>
      </c>
      <c r="AQ405" s="2">
        <v>1000</v>
      </c>
      <c r="AR405" s="2">
        <v>0</v>
      </c>
      <c r="AS405" s="2">
        <v>10</v>
      </c>
      <c r="AT405" s="2">
        <v>0</v>
      </c>
      <c r="AU405" s="2">
        <v>0</v>
      </c>
      <c r="AV405" s="2">
        <v>0</v>
      </c>
      <c r="AW405" s="2">
        <v>0</v>
      </c>
      <c r="AX405" s="2">
        <v>0</v>
      </c>
      <c r="AY405" s="2">
        <v>0</v>
      </c>
      <c r="AZ405" s="2">
        <v>1024</v>
      </c>
      <c r="BA405" s="2">
        <v>1075</v>
      </c>
      <c r="BB405" s="2">
        <v>945</v>
      </c>
      <c r="BC405" s="2">
        <v>-1000</v>
      </c>
      <c r="BD405" s="2">
        <v>-7500</v>
      </c>
      <c r="BE405" s="2">
        <v>5000</v>
      </c>
      <c r="BF405" s="2">
        <v>3000</v>
      </c>
      <c r="BG405" s="2">
        <v>5000</v>
      </c>
      <c r="BH405" s="2">
        <v>2500</v>
      </c>
      <c r="BI405" s="2">
        <v>3000</v>
      </c>
      <c r="BJ405" s="2">
        <v>-2000</v>
      </c>
      <c r="BK405" s="2">
        <v>1000</v>
      </c>
      <c r="BL405" s="2">
        <v>1000</v>
      </c>
      <c r="BO405" s="2">
        <f t="shared" si="251"/>
        <v>0</v>
      </c>
      <c r="BP405" s="2">
        <f t="shared" si="261"/>
        <v>0</v>
      </c>
      <c r="BQ405" s="2">
        <f t="shared" si="262"/>
        <v>0</v>
      </c>
      <c r="BR405" s="2">
        <f t="shared" si="263"/>
        <v>0</v>
      </c>
      <c r="BS405" s="2">
        <f t="shared" si="264"/>
        <v>0</v>
      </c>
      <c r="BT405" s="2">
        <f t="shared" si="265"/>
        <v>0</v>
      </c>
      <c r="BU405" s="2">
        <f t="shared" si="266"/>
        <v>0</v>
      </c>
      <c r="BV405" s="2">
        <f t="shared" si="267"/>
        <v>0</v>
      </c>
      <c r="BW405" s="2">
        <f t="shared" si="268"/>
        <v>0</v>
      </c>
      <c r="BX405" s="2">
        <f t="shared" si="269"/>
        <v>0</v>
      </c>
      <c r="BY405" s="2">
        <f t="shared" si="270"/>
        <v>0</v>
      </c>
      <c r="BZ405" s="2">
        <f t="shared" si="271"/>
        <v>0</v>
      </c>
      <c r="CA405" s="2">
        <f t="shared" si="272"/>
        <v>0</v>
      </c>
      <c r="CB405" s="2">
        <f t="shared" si="273"/>
        <v>0</v>
      </c>
      <c r="CC405" s="2">
        <f t="shared" si="274"/>
        <v>0</v>
      </c>
      <c r="CD405" s="2">
        <f t="shared" si="275"/>
        <v>0</v>
      </c>
      <c r="CE405" s="2">
        <f t="shared" si="276"/>
        <v>0</v>
      </c>
      <c r="CF405" s="2">
        <f t="shared" si="277"/>
        <v>846.3</v>
      </c>
      <c r="CG405" s="2">
        <f t="shared" si="278"/>
        <v>-8919.9600000000009</v>
      </c>
      <c r="CH405" s="2">
        <f t="shared" si="279"/>
        <v>9860.0399999999991</v>
      </c>
      <c r="CI405" s="2">
        <f t="shared" si="280"/>
        <v>0</v>
      </c>
      <c r="CJ405" s="2">
        <f t="shared" si="281"/>
        <v>0</v>
      </c>
      <c r="CK405" s="2">
        <f t="shared" si="282"/>
        <v>0</v>
      </c>
      <c r="CL405" s="2">
        <f t="shared" si="283"/>
        <v>0</v>
      </c>
      <c r="CM405" s="2">
        <f t="shared" si="254"/>
        <v>0</v>
      </c>
      <c r="CN405" s="2">
        <f t="shared" si="255"/>
        <v>0</v>
      </c>
      <c r="CO405" s="2">
        <f t="shared" si="256"/>
        <v>0</v>
      </c>
      <c r="CP405" s="2">
        <f t="shared" si="257"/>
        <v>0</v>
      </c>
      <c r="CQ405" s="2">
        <f t="shared" si="258"/>
        <v>0</v>
      </c>
      <c r="CR405" s="2">
        <f t="shared" si="259"/>
        <v>0</v>
      </c>
      <c r="CV405" t="s">
        <v>64</v>
      </c>
      <c r="CW405" t="s">
        <v>478</v>
      </c>
      <c r="CX405" t="s">
        <v>18</v>
      </c>
      <c r="CY405" s="4">
        <v>42864</v>
      </c>
      <c r="CZ405" t="s">
        <v>67</v>
      </c>
      <c r="DA405" t="s">
        <v>68</v>
      </c>
      <c r="DB405">
        <v>34</v>
      </c>
      <c r="DC405">
        <v>60.01</v>
      </c>
      <c r="DD405" t="s">
        <v>69</v>
      </c>
      <c r="DE405" t="s">
        <v>70</v>
      </c>
      <c r="DF405">
        <v>2040.34</v>
      </c>
    </row>
    <row r="406" spans="1:110" x14ac:dyDescent="0.25">
      <c r="A406" s="1">
        <v>43322</v>
      </c>
      <c r="B406">
        <v>205.93</v>
      </c>
      <c r="C406">
        <v>101.17</v>
      </c>
      <c r="D406">
        <v>336.16</v>
      </c>
      <c r="E406">
        <v>134.19999999999999</v>
      </c>
      <c r="F406">
        <v>43.15</v>
      </c>
      <c r="G406">
        <v>119.78</v>
      </c>
      <c r="H406">
        <v>111.81</v>
      </c>
      <c r="I406">
        <v>66.930000000000007</v>
      </c>
      <c r="J406">
        <v>227.93</v>
      </c>
      <c r="K406">
        <v>194.14</v>
      </c>
      <c r="L406">
        <v>141.02000000000001</v>
      </c>
      <c r="M406">
        <v>48.24</v>
      </c>
      <c r="N406">
        <v>129.06</v>
      </c>
      <c r="O406">
        <v>114</v>
      </c>
      <c r="P406">
        <v>45.33</v>
      </c>
      <c r="Q406">
        <v>156.72999999999999</v>
      </c>
      <c r="R406">
        <v>197.89</v>
      </c>
      <c r="S406">
        <v>65.17</v>
      </c>
      <c r="T406">
        <v>108.12</v>
      </c>
      <c r="U406">
        <v>80.290000000000006</v>
      </c>
      <c r="V406">
        <v>40.26</v>
      </c>
      <c r="W406">
        <v>80.08</v>
      </c>
      <c r="X406">
        <v>127.33</v>
      </c>
      <c r="Y406">
        <v>258.66000000000003</v>
      </c>
      <c r="Z406">
        <v>130.86000000000001</v>
      </c>
      <c r="AA406">
        <v>139.03</v>
      </c>
      <c r="AB406">
        <v>51.36</v>
      </c>
      <c r="AC406">
        <v>65.319999999999993</v>
      </c>
      <c r="AD406">
        <v>89.69</v>
      </c>
      <c r="AE406">
        <v>77.760000000000005</v>
      </c>
      <c r="AI406" s="2">
        <v>-1250</v>
      </c>
      <c r="AJ406" s="2">
        <f t="shared" si="260"/>
        <v>1280</v>
      </c>
      <c r="AK406" s="2">
        <f t="shared" si="260"/>
        <v>1280</v>
      </c>
      <c r="AL406" s="2">
        <f t="shared" si="260"/>
        <v>1280</v>
      </c>
      <c r="AM406" s="2">
        <f t="shared" si="260"/>
        <v>1280</v>
      </c>
      <c r="AN406" s="2">
        <f t="shared" si="260"/>
        <v>1280</v>
      </c>
      <c r="AO406" s="2">
        <f t="shared" si="260"/>
        <v>1280</v>
      </c>
      <c r="AP406" s="2">
        <f t="shared" si="260"/>
        <v>1160</v>
      </c>
      <c r="AQ406" s="2">
        <v>1000</v>
      </c>
      <c r="AR406" s="2">
        <v>0</v>
      </c>
      <c r="AS406" s="2">
        <v>10</v>
      </c>
      <c r="AT406" s="2">
        <v>0</v>
      </c>
      <c r="AU406" s="2">
        <v>0</v>
      </c>
      <c r="AV406" s="2">
        <v>0</v>
      </c>
      <c r="AW406" s="2">
        <v>0</v>
      </c>
      <c r="AX406" s="2">
        <v>0</v>
      </c>
      <c r="AY406" s="2">
        <v>0</v>
      </c>
      <c r="AZ406" s="2">
        <v>1033</v>
      </c>
      <c r="BA406" s="2">
        <v>953</v>
      </c>
      <c r="BB406" s="2">
        <v>1079</v>
      </c>
      <c r="BC406" s="2">
        <v>-1000</v>
      </c>
      <c r="BD406" s="2">
        <v>-7500</v>
      </c>
      <c r="BE406" s="2">
        <v>5000</v>
      </c>
      <c r="BF406" s="2">
        <v>3000</v>
      </c>
      <c r="BG406" s="2">
        <v>5000</v>
      </c>
      <c r="BH406" s="2">
        <v>2500</v>
      </c>
      <c r="BI406" s="2">
        <v>3000</v>
      </c>
      <c r="BJ406" s="2">
        <v>-2000</v>
      </c>
      <c r="BK406" s="2">
        <v>1000</v>
      </c>
      <c r="BL406" s="2">
        <v>1000</v>
      </c>
      <c r="BO406" s="2">
        <f t="shared" si="251"/>
        <v>-257412.5</v>
      </c>
      <c r="BP406" s="2">
        <f t="shared" si="261"/>
        <v>0</v>
      </c>
      <c r="BQ406" s="2">
        <f t="shared" si="262"/>
        <v>0</v>
      </c>
      <c r="BR406" s="2">
        <f t="shared" si="263"/>
        <v>0</v>
      </c>
      <c r="BS406" s="2">
        <f t="shared" si="264"/>
        <v>0</v>
      </c>
      <c r="BT406" s="2">
        <f t="shared" si="265"/>
        <v>0</v>
      </c>
      <c r="BU406" s="2">
        <f t="shared" si="266"/>
        <v>0</v>
      </c>
      <c r="BV406" s="2">
        <f t="shared" si="267"/>
        <v>0</v>
      </c>
      <c r="BW406" s="2">
        <f t="shared" si="268"/>
        <v>0</v>
      </c>
      <c r="BX406" s="2">
        <f t="shared" si="269"/>
        <v>0</v>
      </c>
      <c r="BY406" s="2">
        <f t="shared" si="270"/>
        <v>0</v>
      </c>
      <c r="BZ406" s="2">
        <f t="shared" si="271"/>
        <v>0</v>
      </c>
      <c r="CA406" s="2">
        <f t="shared" si="272"/>
        <v>0</v>
      </c>
      <c r="CB406" s="2">
        <f t="shared" si="273"/>
        <v>0</v>
      </c>
      <c r="CC406" s="2">
        <f t="shared" si="274"/>
        <v>0</v>
      </c>
      <c r="CD406" s="2">
        <f t="shared" si="275"/>
        <v>0</v>
      </c>
      <c r="CE406" s="2">
        <f t="shared" si="276"/>
        <v>0</v>
      </c>
      <c r="CF406" s="2">
        <f t="shared" si="277"/>
        <v>-586.53</v>
      </c>
      <c r="CG406" s="2">
        <f t="shared" si="278"/>
        <v>13190.640000000001</v>
      </c>
      <c r="CH406" s="2">
        <f t="shared" si="279"/>
        <v>-10758.86</v>
      </c>
      <c r="CI406" s="2">
        <f t="shared" si="280"/>
        <v>0</v>
      </c>
      <c r="CJ406" s="2">
        <f t="shared" si="281"/>
        <v>0</v>
      </c>
      <c r="CK406" s="2">
        <f t="shared" si="282"/>
        <v>0</v>
      </c>
      <c r="CL406" s="2">
        <f t="shared" si="283"/>
        <v>0</v>
      </c>
      <c r="CM406" s="2">
        <f t="shared" si="254"/>
        <v>0</v>
      </c>
      <c r="CN406" s="2">
        <f t="shared" si="255"/>
        <v>0</v>
      </c>
      <c r="CO406" s="2">
        <f t="shared" si="256"/>
        <v>0</v>
      </c>
      <c r="CP406" s="2">
        <f t="shared" si="257"/>
        <v>0</v>
      </c>
      <c r="CQ406" s="2">
        <f t="shared" si="258"/>
        <v>0</v>
      </c>
      <c r="CR406" s="2">
        <f t="shared" si="259"/>
        <v>0</v>
      </c>
      <c r="CV406" t="s">
        <v>64</v>
      </c>
      <c r="CW406" t="s">
        <v>479</v>
      </c>
      <c r="CX406" t="s">
        <v>18</v>
      </c>
      <c r="CY406" s="4">
        <v>42865</v>
      </c>
      <c r="CZ406" t="s">
        <v>65</v>
      </c>
      <c r="DA406" t="s">
        <v>66</v>
      </c>
      <c r="DB406">
        <v>76</v>
      </c>
      <c r="DC406">
        <v>60.63</v>
      </c>
      <c r="DD406" t="s">
        <v>69</v>
      </c>
      <c r="DE406" t="s">
        <v>70</v>
      </c>
      <c r="DF406">
        <v>4607.88</v>
      </c>
    </row>
    <row r="407" spans="1:110" x14ac:dyDescent="0.25">
      <c r="A407" s="1">
        <v>43325</v>
      </c>
      <c r="B407">
        <v>207.25</v>
      </c>
      <c r="C407">
        <v>101.4</v>
      </c>
      <c r="D407">
        <v>335.12</v>
      </c>
      <c r="E407">
        <v>133.31</v>
      </c>
      <c r="F407">
        <v>43.12</v>
      </c>
      <c r="G407">
        <v>118.91</v>
      </c>
      <c r="H407">
        <v>111.26</v>
      </c>
      <c r="I407">
        <v>65.8</v>
      </c>
      <c r="J407">
        <v>225.2</v>
      </c>
      <c r="K407">
        <v>192</v>
      </c>
      <c r="L407">
        <v>139.29</v>
      </c>
      <c r="M407">
        <v>47.84</v>
      </c>
      <c r="N407">
        <v>128.54</v>
      </c>
      <c r="O407">
        <v>112.19</v>
      </c>
      <c r="P407">
        <v>45.09</v>
      </c>
      <c r="Q407">
        <v>156.19999999999999</v>
      </c>
      <c r="R407">
        <v>195.81</v>
      </c>
      <c r="S407">
        <v>65.81</v>
      </c>
      <c r="T407">
        <v>107.33</v>
      </c>
      <c r="U407">
        <v>79.72</v>
      </c>
      <c r="V407">
        <v>40.15</v>
      </c>
      <c r="W407">
        <v>80.17</v>
      </c>
      <c r="X407">
        <v>126.52</v>
      </c>
      <c r="Y407">
        <v>259.2</v>
      </c>
      <c r="Z407">
        <v>129.96</v>
      </c>
      <c r="AA407">
        <v>139.51</v>
      </c>
      <c r="AB407">
        <v>51.12</v>
      </c>
      <c r="AC407">
        <v>65.31</v>
      </c>
      <c r="AD407">
        <v>89.15</v>
      </c>
      <c r="AE407">
        <v>76.92</v>
      </c>
      <c r="AI407" s="2">
        <v>0</v>
      </c>
      <c r="AJ407" s="2">
        <f t="shared" si="260"/>
        <v>1280</v>
      </c>
      <c r="AK407" s="2">
        <f t="shared" si="260"/>
        <v>1280</v>
      </c>
      <c r="AL407" s="2">
        <f t="shared" si="260"/>
        <v>1280</v>
      </c>
      <c r="AM407" s="2">
        <f t="shared" si="260"/>
        <v>1280</v>
      </c>
      <c r="AN407" s="2">
        <f t="shared" si="260"/>
        <v>1280</v>
      </c>
      <c r="AO407" s="2">
        <f t="shared" si="260"/>
        <v>1280</v>
      </c>
      <c r="AP407" s="2">
        <f t="shared" si="260"/>
        <v>1160</v>
      </c>
      <c r="AQ407" s="2">
        <v>1000</v>
      </c>
      <c r="AR407" s="2">
        <v>0</v>
      </c>
      <c r="AS407" s="2">
        <v>10</v>
      </c>
      <c r="AT407" s="2">
        <v>0</v>
      </c>
      <c r="AU407" s="2">
        <v>0</v>
      </c>
      <c r="AV407" s="2">
        <v>0</v>
      </c>
      <c r="AW407" s="2">
        <v>0</v>
      </c>
      <c r="AX407" s="2">
        <v>0</v>
      </c>
      <c r="AY407" s="2">
        <v>0</v>
      </c>
      <c r="AZ407" s="2">
        <v>1035</v>
      </c>
      <c r="BA407" s="2">
        <v>1009</v>
      </c>
      <c r="BB407" s="2">
        <v>908</v>
      </c>
      <c r="BC407" s="2">
        <v>-1000</v>
      </c>
      <c r="BD407" s="2">
        <v>-7500</v>
      </c>
      <c r="BE407" s="2">
        <v>5000</v>
      </c>
      <c r="BF407" s="2">
        <v>3000</v>
      </c>
      <c r="BG407" s="2">
        <v>5000</v>
      </c>
      <c r="BH407" s="2">
        <v>2500</v>
      </c>
      <c r="BI407" s="2">
        <v>3000</v>
      </c>
      <c r="BJ407" s="2">
        <v>-2000</v>
      </c>
      <c r="BK407" s="2">
        <v>1000</v>
      </c>
      <c r="BL407" s="2">
        <v>1000</v>
      </c>
      <c r="BO407" s="2">
        <f t="shared" si="251"/>
        <v>-259062.5</v>
      </c>
      <c r="BP407" s="2">
        <f t="shared" si="261"/>
        <v>0</v>
      </c>
      <c r="BQ407" s="2">
        <f t="shared" si="262"/>
        <v>0</v>
      </c>
      <c r="BR407" s="2">
        <f t="shared" si="263"/>
        <v>0</v>
      </c>
      <c r="BS407" s="2">
        <f t="shared" si="264"/>
        <v>0</v>
      </c>
      <c r="BT407" s="2">
        <f t="shared" si="265"/>
        <v>0</v>
      </c>
      <c r="BU407" s="2">
        <f t="shared" si="266"/>
        <v>0</v>
      </c>
      <c r="BV407" s="2">
        <f t="shared" si="267"/>
        <v>0</v>
      </c>
      <c r="BW407" s="2">
        <f t="shared" si="268"/>
        <v>0</v>
      </c>
      <c r="BX407" s="2">
        <f t="shared" si="269"/>
        <v>0</v>
      </c>
      <c r="BY407" s="2">
        <f t="shared" si="270"/>
        <v>0</v>
      </c>
      <c r="BZ407" s="2">
        <f t="shared" si="271"/>
        <v>0</v>
      </c>
      <c r="CA407" s="2">
        <f t="shared" si="272"/>
        <v>0</v>
      </c>
      <c r="CB407" s="2">
        <f t="shared" si="273"/>
        <v>0</v>
      </c>
      <c r="CC407" s="2">
        <f t="shared" si="274"/>
        <v>0</v>
      </c>
      <c r="CD407" s="2">
        <f t="shared" si="275"/>
        <v>0</v>
      </c>
      <c r="CE407" s="2">
        <f t="shared" si="276"/>
        <v>0</v>
      </c>
      <c r="CF407" s="2">
        <f t="shared" si="277"/>
        <v>-131.62</v>
      </c>
      <c r="CG407" s="2">
        <f t="shared" si="278"/>
        <v>-6010.48</v>
      </c>
      <c r="CH407" s="2">
        <f t="shared" si="279"/>
        <v>13632.119999999999</v>
      </c>
      <c r="CI407" s="2">
        <f t="shared" si="280"/>
        <v>0</v>
      </c>
      <c r="CJ407" s="2">
        <f t="shared" si="281"/>
        <v>0</v>
      </c>
      <c r="CK407" s="2">
        <f t="shared" si="282"/>
        <v>0</v>
      </c>
      <c r="CL407" s="2">
        <f t="shared" si="283"/>
        <v>0</v>
      </c>
      <c r="CM407" s="2">
        <f t="shared" si="254"/>
        <v>0</v>
      </c>
      <c r="CN407" s="2">
        <f t="shared" si="255"/>
        <v>0</v>
      </c>
      <c r="CO407" s="2">
        <f t="shared" si="256"/>
        <v>0</v>
      </c>
      <c r="CP407" s="2">
        <f t="shared" si="257"/>
        <v>0</v>
      </c>
      <c r="CQ407" s="2">
        <f t="shared" si="258"/>
        <v>0</v>
      </c>
      <c r="CR407" s="2">
        <f t="shared" si="259"/>
        <v>0</v>
      </c>
      <c r="CV407" t="s">
        <v>64</v>
      </c>
      <c r="CW407" t="s">
        <v>480</v>
      </c>
      <c r="CX407" t="s">
        <v>18</v>
      </c>
      <c r="CY407" s="4">
        <v>42866</v>
      </c>
      <c r="CZ407" t="s">
        <v>67</v>
      </c>
      <c r="DA407" t="s">
        <v>68</v>
      </c>
      <c r="DB407">
        <v>64</v>
      </c>
      <c r="DC407">
        <v>61.09</v>
      </c>
      <c r="DD407" t="s">
        <v>69</v>
      </c>
      <c r="DE407" t="s">
        <v>70</v>
      </c>
      <c r="DF407">
        <v>3909.76</v>
      </c>
    </row>
    <row r="408" spans="1:110" x14ac:dyDescent="0.25">
      <c r="A408" s="1">
        <v>43326</v>
      </c>
      <c r="B408">
        <v>208.13</v>
      </c>
      <c r="C408">
        <v>101.76</v>
      </c>
      <c r="D408">
        <v>335.89</v>
      </c>
      <c r="E408">
        <v>133.21</v>
      </c>
      <c r="F408">
        <v>43.37</v>
      </c>
      <c r="G408">
        <v>119.04</v>
      </c>
      <c r="H408">
        <v>111.88</v>
      </c>
      <c r="I408">
        <v>66.75</v>
      </c>
      <c r="J408">
        <v>227.88</v>
      </c>
      <c r="K408">
        <v>190.97</v>
      </c>
      <c r="L408">
        <v>139.93</v>
      </c>
      <c r="M408">
        <v>47.52</v>
      </c>
      <c r="N408">
        <v>127.83</v>
      </c>
      <c r="O408">
        <v>112.94</v>
      </c>
      <c r="P408">
        <v>45.15</v>
      </c>
      <c r="Q408">
        <v>158.63</v>
      </c>
      <c r="R408">
        <v>196.48</v>
      </c>
      <c r="S408">
        <v>65.55</v>
      </c>
      <c r="T408">
        <v>108.67</v>
      </c>
      <c r="U408">
        <v>79.709999999999994</v>
      </c>
      <c r="V408">
        <v>40.049999999999997</v>
      </c>
      <c r="W408">
        <v>79.97</v>
      </c>
      <c r="X408">
        <v>126.02</v>
      </c>
      <c r="Y408">
        <v>261.76</v>
      </c>
      <c r="Z408">
        <v>130.19</v>
      </c>
      <c r="AA408">
        <v>140.05000000000001</v>
      </c>
      <c r="AB408">
        <v>51.75</v>
      </c>
      <c r="AC408">
        <v>67.45</v>
      </c>
      <c r="AD408">
        <v>90.36</v>
      </c>
      <c r="AE408">
        <v>76.67</v>
      </c>
      <c r="AI408" s="2">
        <v>2500</v>
      </c>
      <c r="AJ408" s="2">
        <f t="shared" ref="AJ408:AP408" si="284">AJ407+10</f>
        <v>1290</v>
      </c>
      <c r="AK408" s="2">
        <f t="shared" si="284"/>
        <v>1290</v>
      </c>
      <c r="AL408" s="2">
        <f t="shared" si="284"/>
        <v>1290</v>
      </c>
      <c r="AM408" s="2">
        <f t="shared" si="284"/>
        <v>1290</v>
      </c>
      <c r="AN408" s="2">
        <f t="shared" si="284"/>
        <v>1290</v>
      </c>
      <c r="AO408" s="2">
        <f t="shared" si="284"/>
        <v>1290</v>
      </c>
      <c r="AP408" s="2">
        <f t="shared" si="284"/>
        <v>1170</v>
      </c>
      <c r="AQ408" s="2">
        <v>1000</v>
      </c>
      <c r="AR408" s="2">
        <v>0</v>
      </c>
      <c r="AS408" s="2">
        <v>10</v>
      </c>
      <c r="AT408" s="2">
        <v>0</v>
      </c>
      <c r="AU408" s="2">
        <v>0</v>
      </c>
      <c r="AV408" s="2">
        <v>0</v>
      </c>
      <c r="AW408" s="2">
        <v>0</v>
      </c>
      <c r="AX408" s="2">
        <v>0</v>
      </c>
      <c r="AY408" s="2">
        <v>0</v>
      </c>
      <c r="AZ408" s="2">
        <v>1003</v>
      </c>
      <c r="BA408" s="2">
        <v>1032</v>
      </c>
      <c r="BB408" s="2">
        <v>927</v>
      </c>
      <c r="BC408" s="2">
        <v>-1000</v>
      </c>
      <c r="BD408" s="2">
        <v>-7500</v>
      </c>
      <c r="BE408" s="2">
        <v>5000</v>
      </c>
      <c r="BF408" s="2">
        <v>3000</v>
      </c>
      <c r="BG408" s="2">
        <v>5000</v>
      </c>
      <c r="BH408" s="2">
        <v>2500</v>
      </c>
      <c r="BI408" s="2">
        <v>3000</v>
      </c>
      <c r="BJ408" s="2">
        <v>-2000</v>
      </c>
      <c r="BK408" s="2">
        <v>1000</v>
      </c>
      <c r="BL408" s="2">
        <v>1000</v>
      </c>
      <c r="BO408" s="2">
        <f t="shared" si="251"/>
        <v>-520325</v>
      </c>
      <c r="BP408" s="2">
        <f t="shared" si="261"/>
        <v>-1017.6</v>
      </c>
      <c r="BQ408" s="2">
        <f t="shared" si="262"/>
        <v>-3358.8999999999996</v>
      </c>
      <c r="BR408" s="2">
        <f t="shared" si="263"/>
        <v>-1332.1000000000001</v>
      </c>
      <c r="BS408" s="2">
        <f t="shared" si="264"/>
        <v>-433.7</v>
      </c>
      <c r="BT408" s="2">
        <f t="shared" si="265"/>
        <v>-1190.4000000000001</v>
      </c>
      <c r="BU408" s="2">
        <f t="shared" si="266"/>
        <v>-1118.8</v>
      </c>
      <c r="BV408" s="2">
        <f t="shared" si="267"/>
        <v>-667.5</v>
      </c>
      <c r="BW408" s="2">
        <f t="shared" si="268"/>
        <v>0</v>
      </c>
      <c r="BX408" s="2">
        <f t="shared" si="269"/>
        <v>0</v>
      </c>
      <c r="BY408" s="2">
        <f t="shared" si="270"/>
        <v>0</v>
      </c>
      <c r="BZ408" s="2">
        <f t="shared" si="271"/>
        <v>0</v>
      </c>
      <c r="CA408" s="2">
        <f t="shared" si="272"/>
        <v>0</v>
      </c>
      <c r="CB408" s="2">
        <f t="shared" si="273"/>
        <v>0</v>
      </c>
      <c r="CC408" s="2">
        <f t="shared" si="274"/>
        <v>0</v>
      </c>
      <c r="CD408" s="2">
        <f t="shared" si="275"/>
        <v>0</v>
      </c>
      <c r="CE408" s="2">
        <f t="shared" si="276"/>
        <v>0</v>
      </c>
      <c r="CF408" s="2">
        <f t="shared" si="277"/>
        <v>2097.6</v>
      </c>
      <c r="CG408" s="2">
        <f t="shared" si="278"/>
        <v>-2499.41</v>
      </c>
      <c r="CH408" s="2">
        <f t="shared" si="279"/>
        <v>-1514.4899999999998</v>
      </c>
      <c r="CI408" s="2">
        <f t="shared" si="280"/>
        <v>0</v>
      </c>
      <c r="CJ408" s="2">
        <f t="shared" si="281"/>
        <v>0</v>
      </c>
      <c r="CK408" s="2">
        <f t="shared" si="282"/>
        <v>0</v>
      </c>
      <c r="CL408" s="2">
        <f t="shared" si="283"/>
        <v>0</v>
      </c>
      <c r="CM408" s="2">
        <f t="shared" si="254"/>
        <v>0</v>
      </c>
      <c r="CN408" s="2">
        <f t="shared" si="255"/>
        <v>0</v>
      </c>
      <c r="CO408" s="2">
        <f t="shared" si="256"/>
        <v>0</v>
      </c>
      <c r="CP408" s="2">
        <f t="shared" si="257"/>
        <v>0</v>
      </c>
      <c r="CQ408" s="2">
        <f t="shared" si="258"/>
        <v>0</v>
      </c>
      <c r="CR408" s="2">
        <f t="shared" si="259"/>
        <v>0</v>
      </c>
      <c r="CV408" t="s">
        <v>64</v>
      </c>
      <c r="CW408" t="s">
        <v>481</v>
      </c>
      <c r="CX408" t="s">
        <v>18</v>
      </c>
      <c r="CY408" s="4">
        <v>42867</v>
      </c>
      <c r="CZ408" t="s">
        <v>67</v>
      </c>
      <c r="DA408" t="s">
        <v>68</v>
      </c>
      <c r="DB408">
        <v>24</v>
      </c>
      <c r="DC408">
        <v>60.28</v>
      </c>
      <c r="DD408" t="s">
        <v>69</v>
      </c>
      <c r="DE408" t="s">
        <v>70</v>
      </c>
      <c r="DF408">
        <v>1446.72</v>
      </c>
    </row>
    <row r="409" spans="1:110" x14ac:dyDescent="0.25">
      <c r="A409" s="1">
        <v>43327</v>
      </c>
      <c r="B409">
        <v>208.61</v>
      </c>
      <c r="C409">
        <v>101.1</v>
      </c>
      <c r="D409">
        <v>328.58</v>
      </c>
      <c r="E409">
        <v>130.35</v>
      </c>
      <c r="F409">
        <v>43.23</v>
      </c>
      <c r="G409">
        <v>114.54</v>
      </c>
      <c r="H409">
        <v>111.98</v>
      </c>
      <c r="I409">
        <v>65.67</v>
      </c>
      <c r="J409">
        <v>227.57</v>
      </c>
      <c r="K409">
        <v>191.85</v>
      </c>
      <c r="L409">
        <v>140.46</v>
      </c>
      <c r="M409">
        <v>46.87</v>
      </c>
      <c r="N409">
        <v>128.75</v>
      </c>
      <c r="O409">
        <v>112</v>
      </c>
      <c r="P409">
        <v>45.33</v>
      </c>
      <c r="Q409">
        <v>157.91</v>
      </c>
      <c r="R409">
        <v>197.33</v>
      </c>
      <c r="S409">
        <v>66.45</v>
      </c>
      <c r="T409">
        <v>107.2</v>
      </c>
      <c r="U409">
        <v>79.14</v>
      </c>
      <c r="V409">
        <v>40.49</v>
      </c>
      <c r="W409">
        <v>80.94</v>
      </c>
      <c r="X409">
        <v>127.24</v>
      </c>
      <c r="Y409">
        <v>258.91000000000003</v>
      </c>
      <c r="Z409">
        <v>129.53</v>
      </c>
      <c r="AA409">
        <v>139.22</v>
      </c>
      <c r="AB409">
        <v>52.11</v>
      </c>
      <c r="AC409">
        <v>67.52</v>
      </c>
      <c r="AD409">
        <v>89.73</v>
      </c>
      <c r="AE409">
        <v>75.33</v>
      </c>
      <c r="AI409" s="2">
        <v>5000</v>
      </c>
      <c r="AJ409" s="2">
        <f t="shared" ref="AJ409:AP409" si="285">AJ408</f>
        <v>1290</v>
      </c>
      <c r="AK409" s="2">
        <f t="shared" si="285"/>
        <v>1290</v>
      </c>
      <c r="AL409" s="2">
        <f t="shared" si="285"/>
        <v>1290</v>
      </c>
      <c r="AM409" s="2">
        <f t="shared" si="285"/>
        <v>1290</v>
      </c>
      <c r="AN409" s="2">
        <f t="shared" si="285"/>
        <v>1290</v>
      </c>
      <c r="AO409" s="2">
        <f t="shared" si="285"/>
        <v>1290</v>
      </c>
      <c r="AP409" s="2">
        <f t="shared" si="285"/>
        <v>1170</v>
      </c>
      <c r="AQ409" s="2">
        <v>1000</v>
      </c>
      <c r="AR409" s="2">
        <v>0</v>
      </c>
      <c r="AS409" s="2">
        <v>10</v>
      </c>
      <c r="AT409" s="2">
        <v>0</v>
      </c>
      <c r="AU409" s="2">
        <v>0</v>
      </c>
      <c r="AV409" s="2">
        <v>0</v>
      </c>
      <c r="AW409" s="2">
        <v>0</v>
      </c>
      <c r="AX409" s="2">
        <v>0</v>
      </c>
      <c r="AY409" s="2">
        <v>0</v>
      </c>
      <c r="AZ409" s="2">
        <v>1050</v>
      </c>
      <c r="BA409" s="2">
        <v>1056</v>
      </c>
      <c r="BB409" s="2">
        <v>973</v>
      </c>
      <c r="BC409" s="2">
        <v>-1000</v>
      </c>
      <c r="BD409" s="2">
        <v>-7500</v>
      </c>
      <c r="BE409" s="2">
        <v>5000</v>
      </c>
      <c r="BF409" s="2">
        <v>3000</v>
      </c>
      <c r="BG409" s="2">
        <v>5000</v>
      </c>
      <c r="BH409" s="2">
        <v>2500</v>
      </c>
      <c r="BI409" s="2">
        <v>3000</v>
      </c>
      <c r="BJ409" s="2">
        <v>-2000</v>
      </c>
      <c r="BK409" s="2">
        <v>1000</v>
      </c>
      <c r="BL409" s="2">
        <v>1000</v>
      </c>
      <c r="BO409" s="2">
        <f t="shared" si="251"/>
        <v>-521525.00000000006</v>
      </c>
      <c r="BP409" s="2">
        <f t="shared" si="261"/>
        <v>0</v>
      </c>
      <c r="BQ409" s="2">
        <f t="shared" si="262"/>
        <v>0</v>
      </c>
      <c r="BR409" s="2">
        <f t="shared" si="263"/>
        <v>0</v>
      </c>
      <c r="BS409" s="2">
        <f t="shared" si="264"/>
        <v>0</v>
      </c>
      <c r="BT409" s="2">
        <f t="shared" si="265"/>
        <v>0</v>
      </c>
      <c r="BU409" s="2">
        <f t="shared" si="266"/>
        <v>0</v>
      </c>
      <c r="BV409" s="2">
        <f t="shared" si="267"/>
        <v>0</v>
      </c>
      <c r="BW409" s="2">
        <f t="shared" si="268"/>
        <v>0</v>
      </c>
      <c r="BX409" s="2">
        <f t="shared" si="269"/>
        <v>0</v>
      </c>
      <c r="BY409" s="2">
        <f t="shared" si="270"/>
        <v>0</v>
      </c>
      <c r="BZ409" s="2">
        <f t="shared" si="271"/>
        <v>0</v>
      </c>
      <c r="CA409" s="2">
        <f t="shared" si="272"/>
        <v>0</v>
      </c>
      <c r="CB409" s="2">
        <f t="shared" si="273"/>
        <v>0</v>
      </c>
      <c r="CC409" s="2">
        <f t="shared" si="274"/>
        <v>0</v>
      </c>
      <c r="CD409" s="2">
        <f t="shared" si="275"/>
        <v>0</v>
      </c>
      <c r="CE409" s="2">
        <f t="shared" si="276"/>
        <v>0</v>
      </c>
      <c r="CF409" s="2">
        <f t="shared" si="277"/>
        <v>-3123.15</v>
      </c>
      <c r="CG409" s="2">
        <f t="shared" si="278"/>
        <v>-2572.8000000000002</v>
      </c>
      <c r="CH409" s="2">
        <f t="shared" si="279"/>
        <v>-3640.44</v>
      </c>
      <c r="CI409" s="2">
        <f t="shared" si="280"/>
        <v>0</v>
      </c>
      <c r="CJ409" s="2">
        <f t="shared" si="281"/>
        <v>0</v>
      </c>
      <c r="CK409" s="2">
        <f t="shared" si="282"/>
        <v>0</v>
      </c>
      <c r="CL409" s="2">
        <f t="shared" si="283"/>
        <v>0</v>
      </c>
      <c r="CM409" s="2">
        <f t="shared" si="254"/>
        <v>0</v>
      </c>
      <c r="CN409" s="2">
        <f t="shared" si="255"/>
        <v>0</v>
      </c>
      <c r="CO409" s="2">
        <f t="shared" si="256"/>
        <v>0</v>
      </c>
      <c r="CP409" s="2">
        <f t="shared" si="257"/>
        <v>0</v>
      </c>
      <c r="CQ409" s="2">
        <f t="shared" si="258"/>
        <v>0</v>
      </c>
      <c r="CR409" s="2">
        <f t="shared" si="259"/>
        <v>0</v>
      </c>
      <c r="CV409" t="s">
        <v>64</v>
      </c>
      <c r="CW409" t="s">
        <v>482</v>
      </c>
      <c r="CX409" t="s">
        <v>18</v>
      </c>
      <c r="CY409" s="4">
        <v>42870</v>
      </c>
      <c r="CZ409" t="s">
        <v>65</v>
      </c>
      <c r="DA409" t="s">
        <v>66</v>
      </c>
      <c r="DB409">
        <v>42</v>
      </c>
      <c r="DC409">
        <v>60.22</v>
      </c>
      <c r="DD409" t="s">
        <v>69</v>
      </c>
      <c r="DE409" t="s">
        <v>70</v>
      </c>
      <c r="DF409">
        <v>2529.2399999999998</v>
      </c>
    </row>
    <row r="410" spans="1:110" x14ac:dyDescent="0.25">
      <c r="A410" s="1">
        <v>43328</v>
      </c>
      <c r="B410">
        <v>211.67</v>
      </c>
      <c r="C410">
        <v>102.23</v>
      </c>
      <c r="D410">
        <v>342.67</v>
      </c>
      <c r="E410">
        <v>134.53</v>
      </c>
      <c r="F410">
        <v>44.51</v>
      </c>
      <c r="G410">
        <v>115.36</v>
      </c>
      <c r="H410">
        <v>111.61</v>
      </c>
      <c r="I410">
        <v>66.28</v>
      </c>
      <c r="J410">
        <v>231.29</v>
      </c>
      <c r="K410">
        <v>193.24</v>
      </c>
      <c r="L410">
        <v>141.86000000000001</v>
      </c>
      <c r="M410">
        <v>46.58</v>
      </c>
      <c r="N410">
        <v>130.77000000000001</v>
      </c>
      <c r="O410">
        <v>113.05</v>
      </c>
      <c r="P410">
        <v>45.47</v>
      </c>
      <c r="Q410">
        <v>159.74</v>
      </c>
      <c r="R410">
        <v>199.05</v>
      </c>
      <c r="S410">
        <v>67.91</v>
      </c>
      <c r="T410">
        <v>107.18</v>
      </c>
      <c r="U410">
        <v>79.62</v>
      </c>
      <c r="V410">
        <v>40.75</v>
      </c>
      <c r="W410">
        <v>82.31</v>
      </c>
      <c r="X410">
        <v>128.79</v>
      </c>
      <c r="Y410">
        <v>261.38</v>
      </c>
      <c r="Z410">
        <v>131.77000000000001</v>
      </c>
      <c r="AA410">
        <v>140.15</v>
      </c>
      <c r="AB410">
        <v>53.12</v>
      </c>
      <c r="AC410">
        <v>68.39</v>
      </c>
      <c r="AD410">
        <v>98.1</v>
      </c>
      <c r="AE410">
        <v>76.37</v>
      </c>
      <c r="AI410" s="2">
        <v>5000</v>
      </c>
      <c r="AJ410" s="2">
        <f t="shared" si="260"/>
        <v>1290</v>
      </c>
      <c r="AK410" s="2">
        <f t="shared" si="260"/>
        <v>1290</v>
      </c>
      <c r="AL410" s="2">
        <f t="shared" si="260"/>
        <v>1290</v>
      </c>
      <c r="AM410" s="2">
        <f t="shared" si="260"/>
        <v>1290</v>
      </c>
      <c r="AN410" s="2">
        <f t="shared" si="260"/>
        <v>1290</v>
      </c>
      <c r="AO410" s="2">
        <f t="shared" si="260"/>
        <v>1290</v>
      </c>
      <c r="AP410" s="2">
        <f t="shared" si="260"/>
        <v>1170</v>
      </c>
      <c r="AQ410" s="2">
        <v>1000</v>
      </c>
      <c r="AR410" s="2">
        <v>0</v>
      </c>
      <c r="AS410" s="2">
        <v>10</v>
      </c>
      <c r="AT410" s="2">
        <v>0</v>
      </c>
      <c r="AU410" s="2">
        <v>0</v>
      </c>
      <c r="AV410" s="2">
        <v>0</v>
      </c>
      <c r="AW410" s="2">
        <v>0</v>
      </c>
      <c r="AX410" s="2">
        <v>0</v>
      </c>
      <c r="AY410" s="2">
        <v>0</v>
      </c>
      <c r="AZ410" s="2">
        <v>994</v>
      </c>
      <c r="BA410" s="2">
        <v>1000</v>
      </c>
      <c r="BB410" s="2">
        <v>1062</v>
      </c>
      <c r="BC410" s="2">
        <v>-1000</v>
      </c>
      <c r="BD410" s="2">
        <v>-7500</v>
      </c>
      <c r="BE410" s="2">
        <v>5000</v>
      </c>
      <c r="BF410" s="2">
        <v>3000</v>
      </c>
      <c r="BG410" s="2">
        <v>5000</v>
      </c>
      <c r="BH410" s="2">
        <v>2500</v>
      </c>
      <c r="BI410" s="2">
        <v>3000</v>
      </c>
      <c r="BJ410" s="2">
        <v>-2000</v>
      </c>
      <c r="BK410" s="2">
        <v>1000</v>
      </c>
      <c r="BL410" s="2">
        <v>1000</v>
      </c>
      <c r="BO410" s="2">
        <f t="shared" si="251"/>
        <v>0</v>
      </c>
      <c r="BP410" s="2">
        <f t="shared" si="261"/>
        <v>0</v>
      </c>
      <c r="BQ410" s="2">
        <f t="shared" si="262"/>
        <v>0</v>
      </c>
      <c r="BR410" s="2">
        <f t="shared" si="263"/>
        <v>0</v>
      </c>
      <c r="BS410" s="2">
        <f t="shared" si="264"/>
        <v>0</v>
      </c>
      <c r="BT410" s="2">
        <f t="shared" si="265"/>
        <v>0</v>
      </c>
      <c r="BU410" s="2">
        <f t="shared" si="266"/>
        <v>0</v>
      </c>
      <c r="BV410" s="2">
        <f t="shared" si="267"/>
        <v>0</v>
      </c>
      <c r="BW410" s="2">
        <f t="shared" si="268"/>
        <v>0</v>
      </c>
      <c r="BX410" s="2">
        <f t="shared" si="269"/>
        <v>0</v>
      </c>
      <c r="BY410" s="2">
        <f t="shared" si="270"/>
        <v>0</v>
      </c>
      <c r="BZ410" s="2">
        <f t="shared" si="271"/>
        <v>0</v>
      </c>
      <c r="CA410" s="2">
        <f t="shared" si="272"/>
        <v>0</v>
      </c>
      <c r="CB410" s="2">
        <f t="shared" si="273"/>
        <v>0</v>
      </c>
      <c r="CC410" s="2">
        <f t="shared" si="274"/>
        <v>0</v>
      </c>
      <c r="CD410" s="2">
        <f t="shared" si="275"/>
        <v>0</v>
      </c>
      <c r="CE410" s="2">
        <f t="shared" si="276"/>
        <v>0</v>
      </c>
      <c r="CF410" s="2">
        <f t="shared" si="277"/>
        <v>3802.96</v>
      </c>
      <c r="CG410" s="2">
        <f t="shared" si="278"/>
        <v>6002.08</v>
      </c>
      <c r="CH410" s="2">
        <f t="shared" si="279"/>
        <v>-7086.18</v>
      </c>
      <c r="CI410" s="2">
        <f t="shared" si="280"/>
        <v>0</v>
      </c>
      <c r="CJ410" s="2">
        <f t="shared" si="281"/>
        <v>0</v>
      </c>
      <c r="CK410" s="2">
        <f t="shared" si="282"/>
        <v>0</v>
      </c>
      <c r="CL410" s="2">
        <f t="shared" si="283"/>
        <v>0</v>
      </c>
      <c r="CM410" s="2">
        <f t="shared" si="254"/>
        <v>0</v>
      </c>
      <c r="CN410" s="2">
        <f t="shared" si="255"/>
        <v>0</v>
      </c>
      <c r="CO410" s="2">
        <f t="shared" si="256"/>
        <v>0</v>
      </c>
      <c r="CP410" s="2">
        <f t="shared" si="257"/>
        <v>0</v>
      </c>
      <c r="CQ410" s="2">
        <f t="shared" si="258"/>
        <v>0</v>
      </c>
      <c r="CR410" s="2">
        <f t="shared" si="259"/>
        <v>0</v>
      </c>
      <c r="CV410" t="s">
        <v>64</v>
      </c>
      <c r="CW410" t="s">
        <v>483</v>
      </c>
      <c r="CX410" t="s">
        <v>18</v>
      </c>
      <c r="CY410" s="4">
        <v>42871</v>
      </c>
      <c r="CZ410" t="s">
        <v>65</v>
      </c>
      <c r="DA410" t="s">
        <v>66</v>
      </c>
      <c r="DB410">
        <v>2</v>
      </c>
      <c r="DC410">
        <v>60.49</v>
      </c>
      <c r="DD410" t="s">
        <v>69</v>
      </c>
      <c r="DE410" t="s">
        <v>70</v>
      </c>
      <c r="DF410">
        <v>120.98</v>
      </c>
    </row>
    <row r="411" spans="1:110" x14ac:dyDescent="0.25">
      <c r="A411" s="1">
        <v>43329</v>
      </c>
      <c r="B411">
        <v>215.9</v>
      </c>
      <c r="C411">
        <v>102.61</v>
      </c>
      <c r="D411">
        <v>343.08</v>
      </c>
      <c r="E411">
        <v>137.57</v>
      </c>
      <c r="F411">
        <v>45.21</v>
      </c>
      <c r="G411">
        <v>115.5</v>
      </c>
      <c r="H411">
        <v>111.61</v>
      </c>
      <c r="I411">
        <v>66.98</v>
      </c>
      <c r="J411">
        <v>231.67</v>
      </c>
      <c r="K411">
        <v>193.41</v>
      </c>
      <c r="L411">
        <v>142.56</v>
      </c>
      <c r="M411">
        <v>46.51</v>
      </c>
      <c r="N411">
        <v>132.72999999999999</v>
      </c>
      <c r="O411">
        <v>113.05</v>
      </c>
      <c r="P411">
        <v>45.84</v>
      </c>
      <c r="Q411">
        <v>159.16999999999999</v>
      </c>
      <c r="R411">
        <v>200.64</v>
      </c>
      <c r="S411">
        <v>68.11</v>
      </c>
      <c r="T411">
        <v>107.12</v>
      </c>
      <c r="U411">
        <v>79.319999999999993</v>
      </c>
      <c r="V411">
        <v>41.41</v>
      </c>
      <c r="W411">
        <v>82.31</v>
      </c>
      <c r="X411">
        <v>128.87</v>
      </c>
      <c r="Y411">
        <v>260.62</v>
      </c>
      <c r="Z411">
        <v>132.88</v>
      </c>
      <c r="AA411">
        <v>140.83000000000001</v>
      </c>
      <c r="AB411">
        <v>53.63</v>
      </c>
      <c r="AC411">
        <v>69.19</v>
      </c>
      <c r="AD411">
        <v>97.32</v>
      </c>
      <c r="AE411">
        <v>76.62</v>
      </c>
      <c r="AI411" s="2">
        <v>5000</v>
      </c>
      <c r="AJ411" s="2">
        <f t="shared" si="260"/>
        <v>1290</v>
      </c>
      <c r="AK411" s="2">
        <f t="shared" si="260"/>
        <v>1290</v>
      </c>
      <c r="AL411" s="2">
        <f t="shared" si="260"/>
        <v>1290</v>
      </c>
      <c r="AM411" s="2">
        <f t="shared" si="260"/>
        <v>1290</v>
      </c>
      <c r="AN411" s="2">
        <f t="shared" si="260"/>
        <v>1290</v>
      </c>
      <c r="AO411" s="2">
        <f t="shared" si="260"/>
        <v>1290</v>
      </c>
      <c r="AP411" s="2">
        <f t="shared" si="260"/>
        <v>1170</v>
      </c>
      <c r="AQ411" s="2">
        <v>1000</v>
      </c>
      <c r="AR411" s="2">
        <v>0</v>
      </c>
      <c r="AS411" s="2">
        <v>10</v>
      </c>
      <c r="AT411" s="2">
        <v>0</v>
      </c>
      <c r="AU411" s="2">
        <v>0</v>
      </c>
      <c r="AV411" s="2">
        <v>0</v>
      </c>
      <c r="AW411" s="2">
        <v>0</v>
      </c>
      <c r="AX411" s="2">
        <v>0</v>
      </c>
      <c r="AY411" s="2">
        <v>0</v>
      </c>
      <c r="AZ411" s="2">
        <v>1029</v>
      </c>
      <c r="BA411" s="2">
        <v>1032</v>
      </c>
      <c r="BB411" s="2">
        <v>1012</v>
      </c>
      <c r="BC411" s="2">
        <v>-1000</v>
      </c>
      <c r="BD411" s="2">
        <v>-7500</v>
      </c>
      <c r="BE411" s="2">
        <v>5000</v>
      </c>
      <c r="BF411" s="2">
        <v>3000</v>
      </c>
      <c r="BG411" s="2">
        <v>5000</v>
      </c>
      <c r="BH411" s="2">
        <v>2500</v>
      </c>
      <c r="BI411" s="2">
        <v>3000</v>
      </c>
      <c r="BJ411" s="2">
        <v>-2000</v>
      </c>
      <c r="BK411" s="2">
        <v>1000</v>
      </c>
      <c r="BL411" s="2">
        <v>1000</v>
      </c>
      <c r="BO411" s="2">
        <f t="shared" si="251"/>
        <v>0</v>
      </c>
      <c r="BP411" s="2">
        <f t="shared" si="261"/>
        <v>0</v>
      </c>
      <c r="BQ411" s="2">
        <f t="shared" si="262"/>
        <v>0</v>
      </c>
      <c r="BR411" s="2">
        <f t="shared" si="263"/>
        <v>0</v>
      </c>
      <c r="BS411" s="2">
        <f t="shared" si="264"/>
        <v>0</v>
      </c>
      <c r="BT411" s="2">
        <f t="shared" si="265"/>
        <v>0</v>
      </c>
      <c r="BU411" s="2">
        <f t="shared" si="266"/>
        <v>0</v>
      </c>
      <c r="BV411" s="2">
        <f t="shared" si="267"/>
        <v>0</v>
      </c>
      <c r="BW411" s="2">
        <f t="shared" si="268"/>
        <v>0</v>
      </c>
      <c r="BX411" s="2">
        <f t="shared" si="269"/>
        <v>0</v>
      </c>
      <c r="BY411" s="2">
        <f t="shared" si="270"/>
        <v>0</v>
      </c>
      <c r="BZ411" s="2">
        <f t="shared" si="271"/>
        <v>0</v>
      </c>
      <c r="CA411" s="2">
        <f t="shared" si="272"/>
        <v>0</v>
      </c>
      <c r="CB411" s="2">
        <f t="shared" si="273"/>
        <v>0</v>
      </c>
      <c r="CC411" s="2">
        <f t="shared" si="274"/>
        <v>0</v>
      </c>
      <c r="CD411" s="2">
        <f t="shared" si="275"/>
        <v>0</v>
      </c>
      <c r="CE411" s="2">
        <f t="shared" si="276"/>
        <v>0</v>
      </c>
      <c r="CF411" s="2">
        <f t="shared" si="277"/>
        <v>-2383.85</v>
      </c>
      <c r="CG411" s="2">
        <f t="shared" si="278"/>
        <v>-3427.84</v>
      </c>
      <c r="CH411" s="2">
        <f t="shared" si="279"/>
        <v>3965.9999999999995</v>
      </c>
      <c r="CI411" s="2">
        <f t="shared" si="280"/>
        <v>0</v>
      </c>
      <c r="CJ411" s="2">
        <f t="shared" si="281"/>
        <v>0</v>
      </c>
      <c r="CK411" s="2">
        <f t="shared" si="282"/>
        <v>0</v>
      </c>
      <c r="CL411" s="2">
        <f t="shared" si="283"/>
        <v>0</v>
      </c>
      <c r="CM411" s="2">
        <f t="shared" si="254"/>
        <v>0</v>
      </c>
      <c r="CN411" s="2">
        <f t="shared" si="255"/>
        <v>0</v>
      </c>
      <c r="CO411" s="2">
        <f t="shared" si="256"/>
        <v>0</v>
      </c>
      <c r="CP411" s="2">
        <f t="shared" si="257"/>
        <v>0</v>
      </c>
      <c r="CQ411" s="2">
        <f t="shared" si="258"/>
        <v>0</v>
      </c>
      <c r="CR411" s="2">
        <f t="shared" si="259"/>
        <v>0</v>
      </c>
      <c r="CV411" t="s">
        <v>64</v>
      </c>
      <c r="CW411" t="s">
        <v>484</v>
      </c>
      <c r="CX411" t="s">
        <v>18</v>
      </c>
      <c r="CY411" s="4">
        <v>42872</v>
      </c>
      <c r="CZ411" t="s">
        <v>65</v>
      </c>
      <c r="DA411" t="s">
        <v>66</v>
      </c>
      <c r="DB411">
        <v>29</v>
      </c>
      <c r="DC411">
        <v>59.74</v>
      </c>
      <c r="DD411" t="s">
        <v>69</v>
      </c>
      <c r="DE411" t="s">
        <v>70</v>
      </c>
      <c r="DF411">
        <v>1732.46</v>
      </c>
    </row>
    <row r="412" spans="1:110" x14ac:dyDescent="0.25">
      <c r="A412" s="1">
        <v>43332</v>
      </c>
      <c r="B412">
        <v>213.79</v>
      </c>
      <c r="C412">
        <v>103.41</v>
      </c>
      <c r="D412">
        <v>347.38</v>
      </c>
      <c r="E412">
        <v>136.91</v>
      </c>
      <c r="F412">
        <v>45.56</v>
      </c>
      <c r="G412">
        <v>115.45</v>
      </c>
      <c r="H412">
        <v>111.13</v>
      </c>
      <c r="I412">
        <v>67.66</v>
      </c>
      <c r="J412">
        <v>234.05</v>
      </c>
      <c r="K412">
        <v>195.75</v>
      </c>
      <c r="L412">
        <v>143</v>
      </c>
      <c r="M412">
        <v>45.92</v>
      </c>
      <c r="N412">
        <v>135.11000000000001</v>
      </c>
      <c r="O412">
        <v>112.91</v>
      </c>
      <c r="P412">
        <v>45.97</v>
      </c>
      <c r="Q412">
        <v>159.69</v>
      </c>
      <c r="R412">
        <v>200.47</v>
      </c>
      <c r="S412">
        <v>69.209999999999994</v>
      </c>
      <c r="T412">
        <v>106.41</v>
      </c>
      <c r="U412">
        <v>81.739999999999995</v>
      </c>
      <c r="V412">
        <v>41.64</v>
      </c>
      <c r="W412">
        <v>82.26</v>
      </c>
      <c r="X412">
        <v>129.85</v>
      </c>
      <c r="Y412">
        <v>260.68</v>
      </c>
      <c r="Z412">
        <v>133.58000000000001</v>
      </c>
      <c r="AA412">
        <v>140.44</v>
      </c>
      <c r="AB412">
        <v>53.49</v>
      </c>
      <c r="AC412">
        <v>69.19</v>
      </c>
      <c r="AD412">
        <v>95.48</v>
      </c>
      <c r="AE412">
        <v>77.16</v>
      </c>
      <c r="AI412" s="2">
        <v>5000</v>
      </c>
      <c r="AJ412" s="2">
        <f t="shared" si="260"/>
        <v>1290</v>
      </c>
      <c r="AK412" s="2">
        <f t="shared" si="260"/>
        <v>1290</v>
      </c>
      <c r="AL412" s="2">
        <f t="shared" si="260"/>
        <v>1290</v>
      </c>
      <c r="AM412" s="2">
        <f t="shared" si="260"/>
        <v>1290</v>
      </c>
      <c r="AN412" s="2">
        <f t="shared" si="260"/>
        <v>1290</v>
      </c>
      <c r="AO412" s="2">
        <f t="shared" si="260"/>
        <v>1290</v>
      </c>
      <c r="AP412" s="2">
        <f t="shared" si="260"/>
        <v>1170</v>
      </c>
      <c r="AQ412" s="2">
        <v>1000</v>
      </c>
      <c r="AR412" s="2">
        <v>0</v>
      </c>
      <c r="AS412" s="2">
        <v>10</v>
      </c>
      <c r="AT412" s="2">
        <v>0</v>
      </c>
      <c r="AU412" s="2">
        <v>0</v>
      </c>
      <c r="AV412" s="2">
        <v>0</v>
      </c>
      <c r="AW412" s="2">
        <v>0</v>
      </c>
      <c r="AX412" s="2">
        <v>0</v>
      </c>
      <c r="AY412" s="2">
        <v>0</v>
      </c>
      <c r="AZ412" s="2">
        <v>957</v>
      </c>
      <c r="BA412" s="2">
        <v>1008</v>
      </c>
      <c r="BB412" s="2">
        <v>1023</v>
      </c>
      <c r="BC412" s="2">
        <v>-1000</v>
      </c>
      <c r="BD412" s="2">
        <v>-7500</v>
      </c>
      <c r="BE412" s="2">
        <v>5000</v>
      </c>
      <c r="BF412" s="2">
        <v>3000</v>
      </c>
      <c r="BG412" s="2">
        <v>5000</v>
      </c>
      <c r="BH412" s="2">
        <v>2500</v>
      </c>
      <c r="BI412" s="2">
        <v>3000</v>
      </c>
      <c r="BJ412" s="2">
        <v>-2000</v>
      </c>
      <c r="BK412" s="2">
        <v>1000</v>
      </c>
      <c r="BL412" s="2">
        <v>1000</v>
      </c>
      <c r="BO412" s="2">
        <f t="shared" si="251"/>
        <v>0</v>
      </c>
      <c r="BP412" s="2">
        <f t="shared" si="261"/>
        <v>0</v>
      </c>
      <c r="BQ412" s="2">
        <f t="shared" si="262"/>
        <v>0</v>
      </c>
      <c r="BR412" s="2">
        <f t="shared" si="263"/>
        <v>0</v>
      </c>
      <c r="BS412" s="2">
        <f t="shared" si="264"/>
        <v>0</v>
      </c>
      <c r="BT412" s="2">
        <f t="shared" si="265"/>
        <v>0</v>
      </c>
      <c r="BU412" s="2">
        <f t="shared" si="266"/>
        <v>0</v>
      </c>
      <c r="BV412" s="2">
        <f t="shared" si="267"/>
        <v>0</v>
      </c>
      <c r="BW412" s="2">
        <f t="shared" si="268"/>
        <v>0</v>
      </c>
      <c r="BX412" s="2">
        <f t="shared" si="269"/>
        <v>0</v>
      </c>
      <c r="BY412" s="2">
        <f t="shared" si="270"/>
        <v>0</v>
      </c>
      <c r="BZ412" s="2">
        <f t="shared" si="271"/>
        <v>0</v>
      </c>
      <c r="CA412" s="2">
        <f t="shared" si="272"/>
        <v>0</v>
      </c>
      <c r="CB412" s="2">
        <f t="shared" si="273"/>
        <v>0</v>
      </c>
      <c r="CC412" s="2">
        <f t="shared" si="274"/>
        <v>0</v>
      </c>
      <c r="CD412" s="2">
        <f t="shared" si="275"/>
        <v>0</v>
      </c>
      <c r="CE412" s="2">
        <f t="shared" si="276"/>
        <v>0</v>
      </c>
      <c r="CF412" s="2">
        <f t="shared" si="277"/>
        <v>4983.12</v>
      </c>
      <c r="CG412" s="2">
        <f t="shared" si="278"/>
        <v>2553.84</v>
      </c>
      <c r="CH412" s="2">
        <f t="shared" si="279"/>
        <v>-899.14</v>
      </c>
      <c r="CI412" s="2">
        <f t="shared" si="280"/>
        <v>0</v>
      </c>
      <c r="CJ412" s="2">
        <f t="shared" si="281"/>
        <v>0</v>
      </c>
      <c r="CK412" s="2">
        <f t="shared" si="282"/>
        <v>0</v>
      </c>
      <c r="CL412" s="2">
        <f t="shared" si="283"/>
        <v>0</v>
      </c>
      <c r="CM412" s="2">
        <f t="shared" si="254"/>
        <v>0</v>
      </c>
      <c r="CN412" s="2">
        <f t="shared" si="255"/>
        <v>0</v>
      </c>
      <c r="CO412" s="2">
        <f t="shared" si="256"/>
        <v>0</v>
      </c>
      <c r="CP412" s="2">
        <f t="shared" si="257"/>
        <v>0</v>
      </c>
      <c r="CQ412" s="2">
        <f t="shared" si="258"/>
        <v>0</v>
      </c>
      <c r="CR412" s="2">
        <f t="shared" si="259"/>
        <v>0</v>
      </c>
      <c r="CV412" t="s">
        <v>64</v>
      </c>
      <c r="CW412" t="s">
        <v>485</v>
      </c>
      <c r="CX412" t="s">
        <v>18</v>
      </c>
      <c r="CY412" s="4">
        <v>42873</v>
      </c>
      <c r="CZ412" t="s">
        <v>67</v>
      </c>
      <c r="DA412" t="s">
        <v>68</v>
      </c>
      <c r="DB412">
        <v>28</v>
      </c>
      <c r="DC412">
        <v>60.58</v>
      </c>
      <c r="DD412" t="s">
        <v>69</v>
      </c>
      <c r="DE412" t="s">
        <v>70</v>
      </c>
      <c r="DF412">
        <v>1696.24</v>
      </c>
    </row>
    <row r="413" spans="1:110" x14ac:dyDescent="0.25">
      <c r="A413" s="1">
        <v>43333</v>
      </c>
      <c r="B413">
        <v>213.38</v>
      </c>
      <c r="C413">
        <v>104.38</v>
      </c>
      <c r="D413">
        <v>350.38</v>
      </c>
      <c r="E413">
        <v>138.21</v>
      </c>
      <c r="F413">
        <v>45.12</v>
      </c>
      <c r="G413">
        <v>115.64</v>
      </c>
      <c r="H413">
        <v>111.52</v>
      </c>
      <c r="I413">
        <v>68.010000000000005</v>
      </c>
      <c r="J413">
        <v>236.9</v>
      </c>
      <c r="K413">
        <v>198.02</v>
      </c>
      <c r="L413">
        <v>142.47</v>
      </c>
      <c r="M413">
        <v>47.02</v>
      </c>
      <c r="N413">
        <v>133.6</v>
      </c>
      <c r="O413">
        <v>113.6</v>
      </c>
      <c r="P413">
        <v>45.47</v>
      </c>
      <c r="Q413">
        <v>159.06</v>
      </c>
      <c r="R413">
        <v>201.54</v>
      </c>
      <c r="S413">
        <v>68.22</v>
      </c>
      <c r="T413">
        <v>105.52</v>
      </c>
      <c r="U413">
        <v>82.5</v>
      </c>
      <c r="V413">
        <v>41.47</v>
      </c>
      <c r="W413">
        <v>82.51</v>
      </c>
      <c r="X413">
        <v>130.13999999999999</v>
      </c>
      <c r="Y413">
        <v>259.98</v>
      </c>
      <c r="Z413">
        <v>134.41</v>
      </c>
      <c r="AA413">
        <v>139.55000000000001</v>
      </c>
      <c r="AB413">
        <v>53.75</v>
      </c>
      <c r="AC413">
        <v>69.45</v>
      </c>
      <c r="AD413">
        <v>95.56</v>
      </c>
      <c r="AE413">
        <v>77.180000000000007</v>
      </c>
      <c r="AI413" s="2">
        <v>4500</v>
      </c>
      <c r="AJ413" s="2">
        <f t="shared" si="260"/>
        <v>1290</v>
      </c>
      <c r="AK413" s="2">
        <f t="shared" si="260"/>
        <v>1290</v>
      </c>
      <c r="AL413" s="2">
        <f t="shared" si="260"/>
        <v>1290</v>
      </c>
      <c r="AM413" s="2">
        <f t="shared" si="260"/>
        <v>1290</v>
      </c>
      <c r="AN413" s="2">
        <f t="shared" si="260"/>
        <v>1290</v>
      </c>
      <c r="AO413" s="2">
        <f t="shared" si="260"/>
        <v>1290</v>
      </c>
      <c r="AP413" s="2">
        <f t="shared" si="260"/>
        <v>1170</v>
      </c>
      <c r="AQ413" s="2">
        <v>1000</v>
      </c>
      <c r="AR413" s="2">
        <v>0</v>
      </c>
      <c r="AS413" s="2">
        <v>10</v>
      </c>
      <c r="AT413" s="2">
        <v>0</v>
      </c>
      <c r="AU413" s="2">
        <v>0</v>
      </c>
      <c r="AV413" s="2">
        <v>0</v>
      </c>
      <c r="AW413" s="2">
        <v>0</v>
      </c>
      <c r="AX413" s="2">
        <v>0</v>
      </c>
      <c r="AY413" s="2">
        <v>0</v>
      </c>
      <c r="AZ413" s="2">
        <v>1019</v>
      </c>
      <c r="BA413" s="2">
        <v>1014</v>
      </c>
      <c r="BB413" s="2">
        <v>1057</v>
      </c>
      <c r="BC413" s="2">
        <v>-1000</v>
      </c>
      <c r="BD413" s="2">
        <v>-7500</v>
      </c>
      <c r="BE413" s="2">
        <v>5000</v>
      </c>
      <c r="BF413" s="2">
        <v>3000</v>
      </c>
      <c r="BG413" s="2">
        <v>5000</v>
      </c>
      <c r="BH413" s="2">
        <v>2500</v>
      </c>
      <c r="BI413" s="2">
        <v>3000</v>
      </c>
      <c r="BJ413" s="2">
        <v>-2000</v>
      </c>
      <c r="BK413" s="2">
        <v>1000</v>
      </c>
      <c r="BL413" s="2">
        <v>1000</v>
      </c>
      <c r="BO413" s="2">
        <f t="shared" si="251"/>
        <v>106690</v>
      </c>
      <c r="BP413" s="2">
        <f t="shared" si="261"/>
        <v>0</v>
      </c>
      <c r="BQ413" s="2">
        <f t="shared" si="262"/>
        <v>0</v>
      </c>
      <c r="BR413" s="2">
        <f t="shared" si="263"/>
        <v>0</v>
      </c>
      <c r="BS413" s="2">
        <f t="shared" si="264"/>
        <v>0</v>
      </c>
      <c r="BT413" s="2">
        <f t="shared" si="265"/>
        <v>0</v>
      </c>
      <c r="BU413" s="2">
        <f t="shared" si="266"/>
        <v>0</v>
      </c>
      <c r="BV413" s="2">
        <f t="shared" si="267"/>
        <v>0</v>
      </c>
      <c r="BW413" s="2">
        <f t="shared" si="268"/>
        <v>0</v>
      </c>
      <c r="BX413" s="2">
        <f t="shared" si="269"/>
        <v>0</v>
      </c>
      <c r="BY413" s="2">
        <f t="shared" si="270"/>
        <v>0</v>
      </c>
      <c r="BZ413" s="2">
        <f t="shared" si="271"/>
        <v>0</v>
      </c>
      <c r="CA413" s="2">
        <f t="shared" si="272"/>
        <v>0</v>
      </c>
      <c r="CB413" s="2">
        <f t="shared" si="273"/>
        <v>0</v>
      </c>
      <c r="CC413" s="2">
        <f t="shared" si="274"/>
        <v>0</v>
      </c>
      <c r="CD413" s="2">
        <f t="shared" si="275"/>
        <v>0</v>
      </c>
      <c r="CE413" s="2">
        <f t="shared" si="276"/>
        <v>0</v>
      </c>
      <c r="CF413" s="2">
        <f t="shared" si="277"/>
        <v>-4229.6400000000003</v>
      </c>
      <c r="CG413" s="2">
        <f t="shared" si="278"/>
        <v>-633.12</v>
      </c>
      <c r="CH413" s="2">
        <f t="shared" si="279"/>
        <v>-2805</v>
      </c>
      <c r="CI413" s="2">
        <f t="shared" si="280"/>
        <v>0</v>
      </c>
      <c r="CJ413" s="2">
        <f t="shared" si="281"/>
        <v>0</v>
      </c>
      <c r="CK413" s="2">
        <f t="shared" si="282"/>
        <v>0</v>
      </c>
      <c r="CL413" s="2">
        <f t="shared" si="283"/>
        <v>0</v>
      </c>
      <c r="CM413" s="2">
        <f t="shared" si="254"/>
        <v>0</v>
      </c>
      <c r="CN413" s="2">
        <f t="shared" si="255"/>
        <v>0</v>
      </c>
      <c r="CO413" s="2">
        <f t="shared" si="256"/>
        <v>0</v>
      </c>
      <c r="CP413" s="2">
        <f t="shared" si="257"/>
        <v>0</v>
      </c>
      <c r="CQ413" s="2">
        <f t="shared" si="258"/>
        <v>0</v>
      </c>
      <c r="CR413" s="2">
        <f t="shared" si="259"/>
        <v>0</v>
      </c>
      <c r="CV413" t="s">
        <v>64</v>
      </c>
      <c r="CW413" t="s">
        <v>486</v>
      </c>
      <c r="CX413" t="s">
        <v>18</v>
      </c>
      <c r="CY413" s="4">
        <v>42874</v>
      </c>
      <c r="CZ413" t="s">
        <v>67</v>
      </c>
      <c r="DA413" t="s">
        <v>68</v>
      </c>
      <c r="DB413">
        <v>27</v>
      </c>
      <c r="DC413">
        <v>60.48</v>
      </c>
      <c r="DD413" t="s">
        <v>69</v>
      </c>
      <c r="DE413" t="s">
        <v>70</v>
      </c>
      <c r="DF413">
        <v>1632.9599999999998</v>
      </c>
    </row>
    <row r="414" spans="1:110" x14ac:dyDescent="0.25">
      <c r="A414" s="1">
        <v>43334</v>
      </c>
      <c r="B414">
        <v>213.39</v>
      </c>
      <c r="C414">
        <v>105.4</v>
      </c>
      <c r="D414">
        <v>346.68</v>
      </c>
      <c r="E414">
        <v>137.86000000000001</v>
      </c>
      <c r="F414">
        <v>45.33</v>
      </c>
      <c r="G414">
        <v>116.6</v>
      </c>
      <c r="H414">
        <v>111.08</v>
      </c>
      <c r="I414">
        <v>67.94</v>
      </c>
      <c r="J414">
        <v>237.59</v>
      </c>
      <c r="K414">
        <v>196.78</v>
      </c>
      <c r="L414">
        <v>141.76</v>
      </c>
      <c r="M414">
        <v>46.46</v>
      </c>
      <c r="N414">
        <v>132.87</v>
      </c>
      <c r="O414">
        <v>113.25</v>
      </c>
      <c r="P414">
        <v>45.19</v>
      </c>
      <c r="Q414">
        <v>158.58000000000001</v>
      </c>
      <c r="R414">
        <v>200.14</v>
      </c>
      <c r="S414">
        <v>68.09</v>
      </c>
      <c r="T414">
        <v>106.6</v>
      </c>
      <c r="U414">
        <v>82.19</v>
      </c>
      <c r="V414">
        <v>41.39</v>
      </c>
      <c r="W414">
        <v>82.01</v>
      </c>
      <c r="X414">
        <v>127.87</v>
      </c>
      <c r="Y414">
        <v>259.04000000000002</v>
      </c>
      <c r="Z414">
        <v>131.69999999999999</v>
      </c>
      <c r="AA414">
        <v>140.63999999999999</v>
      </c>
      <c r="AB414">
        <v>52.99</v>
      </c>
      <c r="AC414">
        <v>68.849999999999994</v>
      </c>
      <c r="AD414">
        <v>95.15</v>
      </c>
      <c r="AE414">
        <v>78.290000000000006</v>
      </c>
      <c r="AI414" s="2">
        <v>4000</v>
      </c>
      <c r="AJ414" s="2">
        <f t="shared" si="260"/>
        <v>1290</v>
      </c>
      <c r="AK414" s="2">
        <f t="shared" si="260"/>
        <v>1290</v>
      </c>
      <c r="AL414" s="2">
        <f t="shared" si="260"/>
        <v>1290</v>
      </c>
      <c r="AM414" s="2">
        <f t="shared" si="260"/>
        <v>1290</v>
      </c>
      <c r="AN414" s="2">
        <f t="shared" si="260"/>
        <v>1290</v>
      </c>
      <c r="AO414" s="2">
        <f t="shared" si="260"/>
        <v>1290</v>
      </c>
      <c r="AP414" s="2">
        <f t="shared" si="260"/>
        <v>1170</v>
      </c>
      <c r="AQ414" s="2">
        <v>1000</v>
      </c>
      <c r="AR414" s="2">
        <v>0</v>
      </c>
      <c r="AS414" s="2">
        <v>10</v>
      </c>
      <c r="AT414" s="2">
        <v>0</v>
      </c>
      <c r="AU414" s="2">
        <v>0</v>
      </c>
      <c r="AV414" s="2">
        <v>0</v>
      </c>
      <c r="AW414" s="2">
        <v>0</v>
      </c>
      <c r="AX414" s="2">
        <v>0</v>
      </c>
      <c r="AY414" s="2">
        <v>0</v>
      </c>
      <c r="AZ414" s="2">
        <v>1019</v>
      </c>
      <c r="BA414" s="2">
        <v>1081</v>
      </c>
      <c r="BB414" s="2">
        <v>956</v>
      </c>
      <c r="BC414" s="2">
        <v>-2000</v>
      </c>
      <c r="BD414" s="2">
        <v>-7500</v>
      </c>
      <c r="BE414" s="2">
        <v>5000</v>
      </c>
      <c r="BF414" s="2">
        <v>3000</v>
      </c>
      <c r="BG414" s="2">
        <v>5000</v>
      </c>
      <c r="BH414" s="2">
        <v>2500</v>
      </c>
      <c r="BI414" s="2">
        <v>3000</v>
      </c>
      <c r="BJ414" s="2">
        <v>-2000</v>
      </c>
      <c r="BK414" s="2">
        <v>1000</v>
      </c>
      <c r="BL414" s="2">
        <v>1000</v>
      </c>
      <c r="BO414" s="2">
        <f t="shared" si="251"/>
        <v>106695</v>
      </c>
      <c r="BP414" s="2">
        <f t="shared" si="261"/>
        <v>0</v>
      </c>
      <c r="BQ414" s="2">
        <f t="shared" si="262"/>
        <v>0</v>
      </c>
      <c r="BR414" s="2">
        <f t="shared" si="263"/>
        <v>0</v>
      </c>
      <c r="BS414" s="2">
        <f t="shared" si="264"/>
        <v>0</v>
      </c>
      <c r="BT414" s="2">
        <f t="shared" si="265"/>
        <v>0</v>
      </c>
      <c r="BU414" s="2">
        <f t="shared" si="266"/>
        <v>0</v>
      </c>
      <c r="BV414" s="2">
        <f t="shared" si="267"/>
        <v>0</v>
      </c>
      <c r="BW414" s="2">
        <f t="shared" si="268"/>
        <v>0</v>
      </c>
      <c r="BX414" s="2">
        <f t="shared" si="269"/>
        <v>0</v>
      </c>
      <c r="BY414" s="2">
        <f t="shared" si="270"/>
        <v>0</v>
      </c>
      <c r="BZ414" s="2">
        <f t="shared" si="271"/>
        <v>0</v>
      </c>
      <c r="CA414" s="2">
        <f t="shared" si="272"/>
        <v>0</v>
      </c>
      <c r="CB414" s="2">
        <f t="shared" si="273"/>
        <v>0</v>
      </c>
      <c r="CC414" s="2">
        <f t="shared" si="274"/>
        <v>0</v>
      </c>
      <c r="CD414" s="2">
        <f t="shared" si="275"/>
        <v>0</v>
      </c>
      <c r="CE414" s="2">
        <f t="shared" si="276"/>
        <v>0</v>
      </c>
      <c r="CF414" s="2">
        <f t="shared" si="277"/>
        <v>0</v>
      </c>
      <c r="CG414" s="2">
        <f t="shared" si="278"/>
        <v>-7142.2</v>
      </c>
      <c r="CH414" s="2">
        <f t="shared" si="279"/>
        <v>8301.19</v>
      </c>
      <c r="CI414" s="2">
        <f t="shared" si="280"/>
        <v>41390</v>
      </c>
      <c r="CJ414" s="2">
        <f t="shared" si="281"/>
        <v>0</v>
      </c>
      <c r="CK414" s="2">
        <f t="shared" si="282"/>
        <v>0</v>
      </c>
      <c r="CL414" s="2">
        <f t="shared" si="283"/>
        <v>0</v>
      </c>
      <c r="CM414" s="2">
        <f t="shared" si="254"/>
        <v>0</v>
      </c>
      <c r="CN414" s="2">
        <f t="shared" si="255"/>
        <v>0</v>
      </c>
      <c r="CO414" s="2">
        <f t="shared" si="256"/>
        <v>0</v>
      </c>
      <c r="CP414" s="2">
        <f t="shared" si="257"/>
        <v>0</v>
      </c>
      <c r="CQ414" s="2">
        <f t="shared" si="258"/>
        <v>0</v>
      </c>
      <c r="CR414" s="2">
        <f t="shared" si="259"/>
        <v>0</v>
      </c>
      <c r="CV414" t="s">
        <v>64</v>
      </c>
      <c r="CW414" t="s">
        <v>487</v>
      </c>
      <c r="CX414" t="s">
        <v>18</v>
      </c>
      <c r="CY414" s="4">
        <v>42877</v>
      </c>
      <c r="CZ414" t="s">
        <v>65</v>
      </c>
      <c r="DA414" t="s">
        <v>66</v>
      </c>
      <c r="DB414">
        <v>38</v>
      </c>
      <c r="DC414">
        <v>60.72</v>
      </c>
      <c r="DD414" t="s">
        <v>69</v>
      </c>
      <c r="DE414" t="s">
        <v>70</v>
      </c>
      <c r="DF414">
        <v>2307.36</v>
      </c>
    </row>
    <row r="415" spans="1:110" x14ac:dyDescent="0.25">
      <c r="A415" s="1">
        <v>43335</v>
      </c>
      <c r="B415">
        <v>213.82</v>
      </c>
      <c r="C415">
        <v>104.94</v>
      </c>
      <c r="D415">
        <v>344.15</v>
      </c>
      <c r="E415">
        <v>135.05000000000001</v>
      </c>
      <c r="F415">
        <v>45.36</v>
      </c>
      <c r="G415">
        <v>115.79</v>
      </c>
      <c r="H415">
        <v>111.14</v>
      </c>
      <c r="I415">
        <v>67.3</v>
      </c>
      <c r="J415">
        <v>234.61</v>
      </c>
      <c r="K415">
        <v>197.96</v>
      </c>
      <c r="L415">
        <v>141.88999999999999</v>
      </c>
      <c r="M415">
        <v>46.39</v>
      </c>
      <c r="N415">
        <v>133.37</v>
      </c>
      <c r="O415">
        <v>113.01</v>
      </c>
      <c r="P415">
        <v>44.96</v>
      </c>
      <c r="Q415">
        <v>157.09</v>
      </c>
      <c r="R415">
        <v>199.99</v>
      </c>
      <c r="S415">
        <v>68.03</v>
      </c>
      <c r="T415">
        <v>107.1</v>
      </c>
      <c r="U415">
        <v>82.46</v>
      </c>
      <c r="V415">
        <v>41.51</v>
      </c>
      <c r="W415">
        <v>81.86</v>
      </c>
      <c r="X415">
        <v>127.98</v>
      </c>
      <c r="Y415">
        <v>259.70999999999998</v>
      </c>
      <c r="Z415">
        <v>131.08000000000001</v>
      </c>
      <c r="AA415">
        <v>141.6</v>
      </c>
      <c r="AB415">
        <v>53.13</v>
      </c>
      <c r="AC415">
        <v>68.489999999999995</v>
      </c>
      <c r="AD415">
        <v>94.66</v>
      </c>
      <c r="AE415">
        <v>77.430000000000007</v>
      </c>
      <c r="AI415" s="2">
        <v>4000</v>
      </c>
      <c r="AJ415" s="2">
        <f t="shared" si="260"/>
        <v>1290</v>
      </c>
      <c r="AK415" s="2">
        <f t="shared" si="260"/>
        <v>1290</v>
      </c>
      <c r="AL415" s="2">
        <f t="shared" si="260"/>
        <v>1290</v>
      </c>
      <c r="AM415" s="2">
        <f t="shared" si="260"/>
        <v>1290</v>
      </c>
      <c r="AN415" s="2">
        <f t="shared" si="260"/>
        <v>1290</v>
      </c>
      <c r="AO415" s="2">
        <f t="shared" si="260"/>
        <v>1290</v>
      </c>
      <c r="AP415" s="2">
        <f t="shared" si="260"/>
        <v>1170</v>
      </c>
      <c r="AQ415" s="2">
        <v>1000</v>
      </c>
      <c r="AR415" s="2">
        <v>0</v>
      </c>
      <c r="AS415" s="2">
        <v>10</v>
      </c>
      <c r="AT415" s="2">
        <v>0</v>
      </c>
      <c r="AU415" s="2">
        <v>0</v>
      </c>
      <c r="AV415" s="2">
        <v>0</v>
      </c>
      <c r="AW415" s="2">
        <v>0</v>
      </c>
      <c r="AX415" s="2">
        <v>0</v>
      </c>
      <c r="AY415" s="2">
        <v>0</v>
      </c>
      <c r="AZ415" s="2">
        <v>1050</v>
      </c>
      <c r="BA415" s="2">
        <v>1100</v>
      </c>
      <c r="BB415" s="2">
        <v>1028</v>
      </c>
      <c r="BC415" s="2">
        <v>-2000</v>
      </c>
      <c r="BD415" s="2">
        <v>-7500</v>
      </c>
      <c r="BE415" s="2">
        <v>5000</v>
      </c>
      <c r="BF415" s="2">
        <v>3000</v>
      </c>
      <c r="BG415" s="2">
        <v>5000</v>
      </c>
      <c r="BH415" s="2">
        <v>2500</v>
      </c>
      <c r="BI415" s="2">
        <v>3000</v>
      </c>
      <c r="BJ415" s="2">
        <v>-2000</v>
      </c>
      <c r="BK415" s="2">
        <v>1000</v>
      </c>
      <c r="BL415" s="2">
        <v>1000</v>
      </c>
      <c r="BO415" s="2">
        <f t="shared" si="251"/>
        <v>0</v>
      </c>
      <c r="BP415" s="2">
        <f t="shared" si="261"/>
        <v>0</v>
      </c>
      <c r="BQ415" s="2">
        <f t="shared" si="262"/>
        <v>0</v>
      </c>
      <c r="BR415" s="2">
        <f t="shared" si="263"/>
        <v>0</v>
      </c>
      <c r="BS415" s="2">
        <f t="shared" si="264"/>
        <v>0</v>
      </c>
      <c r="BT415" s="2">
        <f t="shared" si="265"/>
        <v>0</v>
      </c>
      <c r="BU415" s="2">
        <f t="shared" si="266"/>
        <v>0</v>
      </c>
      <c r="BV415" s="2">
        <f t="shared" si="267"/>
        <v>0</v>
      </c>
      <c r="BW415" s="2">
        <f t="shared" si="268"/>
        <v>0</v>
      </c>
      <c r="BX415" s="2">
        <f t="shared" si="269"/>
        <v>0</v>
      </c>
      <c r="BY415" s="2">
        <f t="shared" si="270"/>
        <v>0</v>
      </c>
      <c r="BZ415" s="2">
        <f t="shared" si="271"/>
        <v>0</v>
      </c>
      <c r="CA415" s="2">
        <f t="shared" si="272"/>
        <v>0</v>
      </c>
      <c r="CB415" s="2">
        <f t="shared" si="273"/>
        <v>0</v>
      </c>
      <c r="CC415" s="2">
        <f t="shared" si="274"/>
        <v>0</v>
      </c>
      <c r="CD415" s="2">
        <f t="shared" si="275"/>
        <v>0</v>
      </c>
      <c r="CE415" s="2">
        <f t="shared" si="276"/>
        <v>0</v>
      </c>
      <c r="CF415" s="2">
        <f t="shared" si="277"/>
        <v>-2108.9299999999998</v>
      </c>
      <c r="CG415" s="2">
        <f t="shared" si="278"/>
        <v>-2034.8999999999999</v>
      </c>
      <c r="CH415" s="2">
        <f t="shared" si="279"/>
        <v>-5937.12</v>
      </c>
      <c r="CI415" s="2">
        <f t="shared" si="280"/>
        <v>0</v>
      </c>
      <c r="CJ415" s="2">
        <f t="shared" si="281"/>
        <v>0</v>
      </c>
      <c r="CK415" s="2">
        <f t="shared" si="282"/>
        <v>0</v>
      </c>
      <c r="CL415" s="2">
        <f t="shared" si="283"/>
        <v>0</v>
      </c>
      <c r="CM415" s="2">
        <f t="shared" si="254"/>
        <v>0</v>
      </c>
      <c r="CN415" s="2">
        <f t="shared" si="255"/>
        <v>0</v>
      </c>
      <c r="CO415" s="2">
        <f t="shared" si="256"/>
        <v>0</v>
      </c>
      <c r="CP415" s="2">
        <f t="shared" si="257"/>
        <v>0</v>
      </c>
      <c r="CQ415" s="2">
        <f t="shared" si="258"/>
        <v>0</v>
      </c>
      <c r="CR415" s="2">
        <f t="shared" si="259"/>
        <v>0</v>
      </c>
      <c r="CV415" t="s">
        <v>64</v>
      </c>
      <c r="CW415" t="s">
        <v>488</v>
      </c>
      <c r="CX415" t="s">
        <v>18</v>
      </c>
      <c r="CY415" s="4">
        <v>42878</v>
      </c>
      <c r="CZ415" t="s">
        <v>65</v>
      </c>
      <c r="DA415" t="s">
        <v>66</v>
      </c>
      <c r="DB415">
        <v>1</v>
      </c>
      <c r="DC415">
        <v>61.21</v>
      </c>
      <c r="DD415" t="s">
        <v>69</v>
      </c>
      <c r="DE415" t="s">
        <v>70</v>
      </c>
      <c r="DF415">
        <v>61.21</v>
      </c>
    </row>
    <row r="416" spans="1:110" x14ac:dyDescent="0.25">
      <c r="A416" s="1">
        <v>43336</v>
      </c>
      <c r="B416">
        <v>214.49</v>
      </c>
      <c r="C416">
        <v>105.33</v>
      </c>
      <c r="D416">
        <v>346.04</v>
      </c>
      <c r="E416">
        <v>136.46</v>
      </c>
      <c r="F416">
        <v>45.66</v>
      </c>
      <c r="G416">
        <v>116.69</v>
      </c>
      <c r="H416">
        <v>111.07</v>
      </c>
      <c r="I416">
        <v>68.38</v>
      </c>
      <c r="J416">
        <v>233.39</v>
      </c>
      <c r="K416">
        <v>199.08</v>
      </c>
      <c r="L416">
        <v>142.54</v>
      </c>
      <c r="M416">
        <v>47.06</v>
      </c>
      <c r="N416">
        <v>134.19999999999999</v>
      </c>
      <c r="O416">
        <v>112.97</v>
      </c>
      <c r="P416">
        <v>44.89</v>
      </c>
      <c r="Q416">
        <v>157.41999999999999</v>
      </c>
      <c r="R416">
        <v>202.5</v>
      </c>
      <c r="S416">
        <v>68.09</v>
      </c>
      <c r="T416">
        <v>107.93</v>
      </c>
      <c r="U416">
        <v>82</v>
      </c>
      <c r="V416">
        <v>41.71</v>
      </c>
      <c r="W416">
        <v>81.98</v>
      </c>
      <c r="X416">
        <v>128.96</v>
      </c>
      <c r="Y416">
        <v>262.55</v>
      </c>
      <c r="Z416">
        <v>131.82</v>
      </c>
      <c r="AA416">
        <v>143.69</v>
      </c>
      <c r="AB416">
        <v>53.62</v>
      </c>
      <c r="AC416">
        <v>68.42</v>
      </c>
      <c r="AD416">
        <v>94.43</v>
      </c>
      <c r="AE416">
        <v>77.959999999999994</v>
      </c>
      <c r="AI416" s="2">
        <v>4000</v>
      </c>
      <c r="AJ416" s="2">
        <f t="shared" si="260"/>
        <v>1290</v>
      </c>
      <c r="AK416" s="2">
        <f t="shared" si="260"/>
        <v>1290</v>
      </c>
      <c r="AL416" s="2">
        <f t="shared" si="260"/>
        <v>1290</v>
      </c>
      <c r="AM416" s="2">
        <f t="shared" si="260"/>
        <v>1290</v>
      </c>
      <c r="AN416" s="2">
        <f t="shared" si="260"/>
        <v>1290</v>
      </c>
      <c r="AO416" s="2">
        <f t="shared" si="260"/>
        <v>1290</v>
      </c>
      <c r="AP416" s="2">
        <f t="shared" si="260"/>
        <v>1170</v>
      </c>
      <c r="AQ416" s="2">
        <v>1000</v>
      </c>
      <c r="AR416" s="2">
        <v>0</v>
      </c>
      <c r="AS416" s="2">
        <v>10</v>
      </c>
      <c r="AT416" s="2">
        <v>0</v>
      </c>
      <c r="AU416" s="2">
        <v>0</v>
      </c>
      <c r="AV416" s="2">
        <v>0</v>
      </c>
      <c r="AW416" s="2">
        <v>0</v>
      </c>
      <c r="AX416" s="2">
        <v>0</v>
      </c>
      <c r="AY416" s="2">
        <v>0</v>
      </c>
      <c r="AZ416" s="2">
        <v>1048</v>
      </c>
      <c r="BA416" s="2">
        <v>1010</v>
      </c>
      <c r="BB416" s="2">
        <v>1034</v>
      </c>
      <c r="BC416" s="2">
        <v>-2000</v>
      </c>
      <c r="BD416" s="2">
        <v>-7500</v>
      </c>
      <c r="BE416" s="2">
        <v>5000</v>
      </c>
      <c r="BF416" s="2">
        <v>3000</v>
      </c>
      <c r="BG416" s="2">
        <v>5000</v>
      </c>
      <c r="BH416" s="2">
        <v>2500</v>
      </c>
      <c r="BI416" s="2">
        <v>3000</v>
      </c>
      <c r="BJ416" s="2">
        <v>-2000</v>
      </c>
      <c r="BK416" s="2">
        <v>1000</v>
      </c>
      <c r="BL416" s="2">
        <v>1000</v>
      </c>
      <c r="BO416" s="2">
        <f t="shared" si="251"/>
        <v>0</v>
      </c>
      <c r="BP416" s="2">
        <f t="shared" si="261"/>
        <v>0</v>
      </c>
      <c r="BQ416" s="2">
        <f t="shared" si="262"/>
        <v>0</v>
      </c>
      <c r="BR416" s="2">
        <f t="shared" si="263"/>
        <v>0</v>
      </c>
      <c r="BS416" s="2">
        <f t="shared" si="264"/>
        <v>0</v>
      </c>
      <c r="BT416" s="2">
        <f t="shared" si="265"/>
        <v>0</v>
      </c>
      <c r="BU416" s="2">
        <f t="shared" si="266"/>
        <v>0</v>
      </c>
      <c r="BV416" s="2">
        <f t="shared" si="267"/>
        <v>0</v>
      </c>
      <c r="BW416" s="2">
        <f t="shared" si="268"/>
        <v>0</v>
      </c>
      <c r="BX416" s="2">
        <f t="shared" si="269"/>
        <v>0</v>
      </c>
      <c r="BY416" s="2">
        <f t="shared" si="270"/>
        <v>0</v>
      </c>
      <c r="BZ416" s="2">
        <f t="shared" si="271"/>
        <v>0</v>
      </c>
      <c r="CA416" s="2">
        <f t="shared" si="272"/>
        <v>0</v>
      </c>
      <c r="CB416" s="2">
        <f t="shared" si="273"/>
        <v>0</v>
      </c>
      <c r="CC416" s="2">
        <f t="shared" si="274"/>
        <v>0</v>
      </c>
      <c r="CD416" s="2">
        <f t="shared" si="275"/>
        <v>0</v>
      </c>
      <c r="CE416" s="2">
        <f t="shared" si="276"/>
        <v>0</v>
      </c>
      <c r="CF416" s="2">
        <f t="shared" si="277"/>
        <v>136.18</v>
      </c>
      <c r="CG416" s="2">
        <f t="shared" si="278"/>
        <v>9713.7000000000007</v>
      </c>
      <c r="CH416" s="2">
        <f t="shared" si="279"/>
        <v>-492</v>
      </c>
      <c r="CI416" s="2">
        <f t="shared" si="280"/>
        <v>0</v>
      </c>
      <c r="CJ416" s="2">
        <f t="shared" si="281"/>
        <v>0</v>
      </c>
      <c r="CK416" s="2">
        <f t="shared" si="282"/>
        <v>0</v>
      </c>
      <c r="CL416" s="2">
        <f t="shared" si="283"/>
        <v>0</v>
      </c>
      <c r="CM416" s="2">
        <f t="shared" si="254"/>
        <v>0</v>
      </c>
      <c r="CN416" s="2">
        <f t="shared" si="255"/>
        <v>0</v>
      </c>
      <c r="CO416" s="2">
        <f t="shared" si="256"/>
        <v>0</v>
      </c>
      <c r="CP416" s="2">
        <f t="shared" si="257"/>
        <v>0</v>
      </c>
      <c r="CQ416" s="2">
        <f t="shared" si="258"/>
        <v>0</v>
      </c>
      <c r="CR416" s="2">
        <f t="shared" si="259"/>
        <v>0</v>
      </c>
      <c r="CV416" t="s">
        <v>64</v>
      </c>
      <c r="CW416" t="s">
        <v>489</v>
      </c>
      <c r="CX416" t="s">
        <v>18</v>
      </c>
      <c r="CY416" s="4">
        <v>42879</v>
      </c>
      <c r="CZ416" t="s">
        <v>67</v>
      </c>
      <c r="DA416" t="s">
        <v>68</v>
      </c>
      <c r="DB416">
        <v>31</v>
      </c>
      <c r="DC416">
        <v>61.57</v>
      </c>
      <c r="DD416" t="s">
        <v>69</v>
      </c>
      <c r="DE416" t="s">
        <v>70</v>
      </c>
      <c r="DF416">
        <v>1908.67</v>
      </c>
    </row>
    <row r="417" spans="1:110" x14ac:dyDescent="0.25">
      <c r="A417" s="1">
        <v>43339</v>
      </c>
      <c r="B417">
        <v>216.25</v>
      </c>
      <c r="C417">
        <v>106.61</v>
      </c>
      <c r="D417">
        <v>350.35</v>
      </c>
      <c r="E417">
        <v>140.24</v>
      </c>
      <c r="F417">
        <v>45.92</v>
      </c>
      <c r="G417">
        <v>118</v>
      </c>
      <c r="H417">
        <v>111.47</v>
      </c>
      <c r="I417">
        <v>69.97</v>
      </c>
      <c r="J417">
        <v>240.82</v>
      </c>
      <c r="K417">
        <v>199.76</v>
      </c>
      <c r="L417">
        <v>143.18</v>
      </c>
      <c r="M417">
        <v>47.75</v>
      </c>
      <c r="N417">
        <v>134.07</v>
      </c>
      <c r="O417">
        <v>114.96</v>
      </c>
      <c r="P417">
        <v>44.95</v>
      </c>
      <c r="Q417">
        <v>158.51</v>
      </c>
      <c r="R417">
        <v>205.5</v>
      </c>
      <c r="S417">
        <v>68.05</v>
      </c>
      <c r="T417">
        <v>109.13</v>
      </c>
      <c r="U417">
        <v>82.2</v>
      </c>
      <c r="V417">
        <v>40.9</v>
      </c>
      <c r="W417">
        <v>82.06</v>
      </c>
      <c r="X417">
        <v>130.32</v>
      </c>
      <c r="Y417">
        <v>265.33</v>
      </c>
      <c r="Z417">
        <v>133.79</v>
      </c>
      <c r="AA417">
        <v>144.88999999999999</v>
      </c>
      <c r="AB417">
        <v>53.69</v>
      </c>
      <c r="AC417">
        <v>68.650000000000006</v>
      </c>
      <c r="AD417">
        <v>94.03</v>
      </c>
      <c r="AE417">
        <v>78.72</v>
      </c>
      <c r="AI417" s="2">
        <v>4000</v>
      </c>
      <c r="AJ417" s="2">
        <f t="shared" si="260"/>
        <v>1290</v>
      </c>
      <c r="AK417" s="2">
        <f t="shared" si="260"/>
        <v>1290</v>
      </c>
      <c r="AL417" s="2">
        <f t="shared" si="260"/>
        <v>1290</v>
      </c>
      <c r="AM417" s="2">
        <f t="shared" si="260"/>
        <v>1290</v>
      </c>
      <c r="AN417" s="2">
        <f t="shared" si="260"/>
        <v>1290</v>
      </c>
      <c r="AO417" s="2">
        <f t="shared" si="260"/>
        <v>1290</v>
      </c>
      <c r="AP417" s="2">
        <f t="shared" si="260"/>
        <v>1170</v>
      </c>
      <c r="AQ417" s="2">
        <v>1000</v>
      </c>
      <c r="AR417" s="2">
        <v>0</v>
      </c>
      <c r="AS417" s="2">
        <v>10</v>
      </c>
      <c r="AT417" s="2">
        <v>0</v>
      </c>
      <c r="AU417" s="2">
        <v>0</v>
      </c>
      <c r="AV417" s="2">
        <v>0</v>
      </c>
      <c r="AW417" s="2">
        <v>0</v>
      </c>
      <c r="AX417" s="2">
        <v>0</v>
      </c>
      <c r="AY417" s="2">
        <v>0</v>
      </c>
      <c r="AZ417" s="2">
        <v>1001</v>
      </c>
      <c r="BA417" s="2">
        <v>958</v>
      </c>
      <c r="BB417" s="2">
        <v>955</v>
      </c>
      <c r="BC417" s="2">
        <v>-2000</v>
      </c>
      <c r="BD417" s="2">
        <v>-7500</v>
      </c>
      <c r="BE417" s="2">
        <v>5000</v>
      </c>
      <c r="BF417" s="2">
        <v>3000</v>
      </c>
      <c r="BG417" s="2">
        <v>5000</v>
      </c>
      <c r="BH417" s="2">
        <v>2500</v>
      </c>
      <c r="BI417" s="2">
        <v>3000</v>
      </c>
      <c r="BJ417" s="2">
        <v>-2000</v>
      </c>
      <c r="BK417" s="2">
        <v>1000</v>
      </c>
      <c r="BL417" s="2">
        <v>1000</v>
      </c>
      <c r="BO417" s="2">
        <f t="shared" si="251"/>
        <v>0</v>
      </c>
      <c r="BP417" s="2">
        <f t="shared" si="261"/>
        <v>0</v>
      </c>
      <c r="BQ417" s="2">
        <f t="shared" si="262"/>
        <v>0</v>
      </c>
      <c r="BR417" s="2">
        <f t="shared" si="263"/>
        <v>0</v>
      </c>
      <c r="BS417" s="2">
        <f t="shared" si="264"/>
        <v>0</v>
      </c>
      <c r="BT417" s="2">
        <f t="shared" si="265"/>
        <v>0</v>
      </c>
      <c r="BU417" s="2">
        <f t="shared" si="266"/>
        <v>0</v>
      </c>
      <c r="BV417" s="2">
        <f t="shared" si="267"/>
        <v>0</v>
      </c>
      <c r="BW417" s="2">
        <f t="shared" si="268"/>
        <v>0</v>
      </c>
      <c r="BX417" s="2">
        <f t="shared" si="269"/>
        <v>0</v>
      </c>
      <c r="BY417" s="2">
        <f t="shared" si="270"/>
        <v>0</v>
      </c>
      <c r="BZ417" s="2">
        <f t="shared" si="271"/>
        <v>0</v>
      </c>
      <c r="CA417" s="2">
        <f t="shared" si="272"/>
        <v>0</v>
      </c>
      <c r="CB417" s="2">
        <f t="shared" si="273"/>
        <v>0</v>
      </c>
      <c r="CC417" s="2">
        <f t="shared" si="274"/>
        <v>0</v>
      </c>
      <c r="CD417" s="2">
        <f t="shared" si="275"/>
        <v>0</v>
      </c>
      <c r="CE417" s="2">
        <f t="shared" si="276"/>
        <v>0</v>
      </c>
      <c r="CF417" s="2">
        <f t="shared" si="277"/>
        <v>3198.35</v>
      </c>
      <c r="CG417" s="2">
        <f t="shared" si="278"/>
        <v>5674.76</v>
      </c>
      <c r="CH417" s="2">
        <f t="shared" si="279"/>
        <v>6493.8</v>
      </c>
      <c r="CI417" s="2">
        <f t="shared" si="280"/>
        <v>0</v>
      </c>
      <c r="CJ417" s="2">
        <f t="shared" si="281"/>
        <v>0</v>
      </c>
      <c r="CK417" s="2">
        <f t="shared" si="282"/>
        <v>0</v>
      </c>
      <c r="CL417" s="2">
        <f t="shared" si="283"/>
        <v>0</v>
      </c>
      <c r="CM417" s="2">
        <f t="shared" si="254"/>
        <v>0</v>
      </c>
      <c r="CN417" s="2">
        <f t="shared" si="255"/>
        <v>0</v>
      </c>
      <c r="CO417" s="2">
        <f t="shared" si="256"/>
        <v>0</v>
      </c>
      <c r="CP417" s="2">
        <f t="shared" si="257"/>
        <v>0</v>
      </c>
      <c r="CQ417" s="2">
        <f t="shared" si="258"/>
        <v>0</v>
      </c>
      <c r="CR417" s="2">
        <f t="shared" si="259"/>
        <v>0</v>
      </c>
      <c r="CV417" t="s">
        <v>64</v>
      </c>
      <c r="CW417" t="s">
        <v>490</v>
      </c>
      <c r="CX417" t="s">
        <v>18</v>
      </c>
      <c r="CY417" s="4">
        <v>42880</v>
      </c>
      <c r="CZ417" t="s">
        <v>65</v>
      </c>
      <c r="DA417" t="s">
        <v>66</v>
      </c>
      <c r="DB417">
        <v>13</v>
      </c>
      <c r="DC417">
        <v>61.67</v>
      </c>
      <c r="DD417" t="s">
        <v>69</v>
      </c>
      <c r="DE417" t="s">
        <v>70</v>
      </c>
      <c r="DF417">
        <v>801.71</v>
      </c>
    </row>
    <row r="418" spans="1:110" x14ac:dyDescent="0.25">
      <c r="A418" s="1">
        <v>43340</v>
      </c>
      <c r="B418">
        <v>218</v>
      </c>
      <c r="C418">
        <v>106.84</v>
      </c>
      <c r="D418">
        <v>347.85</v>
      </c>
      <c r="E418">
        <v>140.19999999999999</v>
      </c>
      <c r="F418">
        <v>46.28</v>
      </c>
      <c r="G418">
        <v>117.52</v>
      </c>
      <c r="H418">
        <v>111.71</v>
      </c>
      <c r="I418">
        <v>69.900000000000006</v>
      </c>
      <c r="J418">
        <v>240.6</v>
      </c>
      <c r="K418">
        <v>199.75</v>
      </c>
      <c r="L418">
        <v>143.08000000000001</v>
      </c>
      <c r="M418">
        <v>47.96</v>
      </c>
      <c r="N418">
        <v>133.47</v>
      </c>
      <c r="O418">
        <v>114.4</v>
      </c>
      <c r="P418">
        <v>44.63</v>
      </c>
      <c r="Q418">
        <v>159.65</v>
      </c>
      <c r="R418">
        <v>206.58</v>
      </c>
      <c r="S418">
        <v>67.69</v>
      </c>
      <c r="T418">
        <v>109.79</v>
      </c>
      <c r="U418">
        <v>82.13</v>
      </c>
      <c r="V418">
        <v>40.83</v>
      </c>
      <c r="W418">
        <v>82.1</v>
      </c>
      <c r="X418">
        <v>130.69999999999999</v>
      </c>
      <c r="Y418">
        <v>266.75</v>
      </c>
      <c r="Z418">
        <v>132.94</v>
      </c>
      <c r="AA418">
        <v>144.69</v>
      </c>
      <c r="AB418">
        <v>53.49</v>
      </c>
      <c r="AC418">
        <v>68.489999999999995</v>
      </c>
      <c r="AD418">
        <v>95.55</v>
      </c>
      <c r="AE418">
        <v>78.599999999999994</v>
      </c>
      <c r="AI418" s="2">
        <v>4000</v>
      </c>
      <c r="AJ418" s="2">
        <f t="shared" si="260"/>
        <v>1290</v>
      </c>
      <c r="AK418" s="2">
        <f t="shared" si="260"/>
        <v>1290</v>
      </c>
      <c r="AL418" s="2">
        <f t="shared" si="260"/>
        <v>1290</v>
      </c>
      <c r="AM418" s="2">
        <f t="shared" si="260"/>
        <v>1290</v>
      </c>
      <c r="AN418" s="2">
        <f t="shared" si="260"/>
        <v>1290</v>
      </c>
      <c r="AO418" s="2">
        <f t="shared" si="260"/>
        <v>1290</v>
      </c>
      <c r="AP418" s="2">
        <f t="shared" si="260"/>
        <v>1170</v>
      </c>
      <c r="AQ418" s="2">
        <v>1000</v>
      </c>
      <c r="AR418" s="2">
        <v>0</v>
      </c>
      <c r="AS418" s="2">
        <v>10</v>
      </c>
      <c r="AT418" s="2">
        <v>0</v>
      </c>
      <c r="AU418" s="2">
        <v>0</v>
      </c>
      <c r="AV418" s="2">
        <v>0</v>
      </c>
      <c r="AW418" s="2">
        <v>0</v>
      </c>
      <c r="AX418" s="2">
        <v>0</v>
      </c>
      <c r="AY418" s="2">
        <v>0</v>
      </c>
      <c r="AZ418" s="2">
        <v>959</v>
      </c>
      <c r="BA418" s="2">
        <v>993</v>
      </c>
      <c r="BB418" s="2">
        <v>901</v>
      </c>
      <c r="BC418" s="2">
        <v>-2000</v>
      </c>
      <c r="BD418" s="2">
        <v>-7500</v>
      </c>
      <c r="BE418" s="2">
        <v>5000</v>
      </c>
      <c r="BF418" s="2">
        <v>3000</v>
      </c>
      <c r="BG418" s="2">
        <v>5000</v>
      </c>
      <c r="BH418" s="2">
        <v>2500</v>
      </c>
      <c r="BI418" s="2">
        <v>3000</v>
      </c>
      <c r="BJ418" s="2">
        <v>-2000</v>
      </c>
      <c r="BK418" s="2">
        <v>1000</v>
      </c>
      <c r="BL418" s="2">
        <v>1000</v>
      </c>
      <c r="BO418" s="2">
        <f t="shared" si="251"/>
        <v>0</v>
      </c>
      <c r="BP418" s="2">
        <f t="shared" si="261"/>
        <v>0</v>
      </c>
      <c r="BQ418" s="2">
        <f t="shared" si="262"/>
        <v>0</v>
      </c>
      <c r="BR418" s="2">
        <f t="shared" si="263"/>
        <v>0</v>
      </c>
      <c r="BS418" s="2">
        <f t="shared" si="264"/>
        <v>0</v>
      </c>
      <c r="BT418" s="2">
        <f t="shared" si="265"/>
        <v>0</v>
      </c>
      <c r="BU418" s="2">
        <f t="shared" si="266"/>
        <v>0</v>
      </c>
      <c r="BV418" s="2">
        <f t="shared" si="267"/>
        <v>0</v>
      </c>
      <c r="BW418" s="2">
        <f t="shared" si="268"/>
        <v>0</v>
      </c>
      <c r="BX418" s="2">
        <f t="shared" si="269"/>
        <v>0</v>
      </c>
      <c r="BY418" s="2">
        <f t="shared" si="270"/>
        <v>0</v>
      </c>
      <c r="BZ418" s="2">
        <f t="shared" si="271"/>
        <v>0</v>
      </c>
      <c r="CA418" s="2">
        <f t="shared" si="272"/>
        <v>0</v>
      </c>
      <c r="CB418" s="2">
        <f t="shared" si="273"/>
        <v>0</v>
      </c>
      <c r="CC418" s="2">
        <f t="shared" si="274"/>
        <v>0</v>
      </c>
      <c r="CD418" s="2">
        <f t="shared" si="275"/>
        <v>0</v>
      </c>
      <c r="CE418" s="2">
        <f t="shared" si="276"/>
        <v>0</v>
      </c>
      <c r="CF418" s="2">
        <f t="shared" si="277"/>
        <v>2842.98</v>
      </c>
      <c r="CG418" s="2">
        <f t="shared" si="278"/>
        <v>-3842.65</v>
      </c>
      <c r="CH418" s="2">
        <f t="shared" si="279"/>
        <v>4435.0199999999995</v>
      </c>
      <c r="CI418" s="2">
        <f t="shared" si="280"/>
        <v>0</v>
      </c>
      <c r="CJ418" s="2">
        <f t="shared" si="281"/>
        <v>0</v>
      </c>
      <c r="CK418" s="2">
        <f t="shared" si="282"/>
        <v>0</v>
      </c>
      <c r="CL418" s="2">
        <f t="shared" si="283"/>
        <v>0</v>
      </c>
      <c r="CM418" s="2">
        <f t="shared" si="254"/>
        <v>0</v>
      </c>
      <c r="CN418" s="2">
        <f t="shared" si="255"/>
        <v>0</v>
      </c>
      <c r="CO418" s="2">
        <f t="shared" si="256"/>
        <v>0</v>
      </c>
      <c r="CP418" s="2">
        <f t="shared" si="257"/>
        <v>0</v>
      </c>
      <c r="CQ418" s="2">
        <f t="shared" si="258"/>
        <v>0</v>
      </c>
      <c r="CR418" s="2">
        <f t="shared" si="259"/>
        <v>0</v>
      </c>
      <c r="CV418" t="s">
        <v>64</v>
      </c>
      <c r="CW418" t="s">
        <v>491</v>
      </c>
      <c r="CX418" t="s">
        <v>18</v>
      </c>
      <c r="CY418" s="4">
        <v>42881</v>
      </c>
      <c r="CZ418" t="s">
        <v>65</v>
      </c>
      <c r="DA418" t="s">
        <v>66</v>
      </c>
      <c r="DB418">
        <v>12</v>
      </c>
      <c r="DC418">
        <v>61.56</v>
      </c>
      <c r="DD418" t="s">
        <v>69</v>
      </c>
      <c r="DE418" t="s">
        <v>70</v>
      </c>
      <c r="DF418">
        <v>738.72</v>
      </c>
    </row>
    <row r="419" spans="1:110" x14ac:dyDescent="0.25">
      <c r="A419" s="1">
        <v>43341</v>
      </c>
      <c r="B419">
        <v>221.26</v>
      </c>
      <c r="C419">
        <v>106.28</v>
      </c>
      <c r="D419">
        <v>346.84</v>
      </c>
      <c r="E419">
        <v>140.06</v>
      </c>
      <c r="F419">
        <v>46.8</v>
      </c>
      <c r="G419">
        <v>117.87</v>
      </c>
      <c r="H419">
        <v>111.58</v>
      </c>
      <c r="I419">
        <v>70.59</v>
      </c>
      <c r="J419">
        <v>240.43</v>
      </c>
      <c r="K419">
        <v>200.48</v>
      </c>
      <c r="L419">
        <v>144.01</v>
      </c>
      <c r="M419">
        <v>48.14</v>
      </c>
      <c r="N419">
        <v>134.01</v>
      </c>
      <c r="O419">
        <v>114.03</v>
      </c>
      <c r="P419">
        <v>44.6</v>
      </c>
      <c r="Q419">
        <v>161.1</v>
      </c>
      <c r="R419">
        <v>207.6</v>
      </c>
      <c r="S419">
        <v>67.87</v>
      </c>
      <c r="T419">
        <v>111.54</v>
      </c>
      <c r="U419">
        <v>82.34</v>
      </c>
      <c r="V419">
        <v>40.83</v>
      </c>
      <c r="W419">
        <v>82.11</v>
      </c>
      <c r="X419">
        <v>131.08000000000001</v>
      </c>
      <c r="Y419">
        <v>267.24</v>
      </c>
      <c r="Z419">
        <v>132.07</v>
      </c>
      <c r="AA419">
        <v>146.51</v>
      </c>
      <c r="AB419">
        <v>53.42</v>
      </c>
      <c r="AC419">
        <v>67.88</v>
      </c>
      <c r="AD419">
        <v>95.12</v>
      </c>
      <c r="AE419">
        <v>79.17</v>
      </c>
      <c r="AI419" s="2">
        <v>4000</v>
      </c>
      <c r="AJ419" s="2">
        <f t="shared" si="260"/>
        <v>1290</v>
      </c>
      <c r="AK419" s="2">
        <f t="shared" si="260"/>
        <v>1290</v>
      </c>
      <c r="AL419" s="2">
        <f t="shared" si="260"/>
        <v>1290</v>
      </c>
      <c r="AM419" s="2">
        <f t="shared" si="260"/>
        <v>1290</v>
      </c>
      <c r="AN419" s="2">
        <f t="shared" si="260"/>
        <v>1290</v>
      </c>
      <c r="AO419" s="2">
        <f t="shared" si="260"/>
        <v>1290</v>
      </c>
      <c r="AP419" s="2">
        <f t="shared" si="260"/>
        <v>1170</v>
      </c>
      <c r="AQ419" s="2">
        <v>1000</v>
      </c>
      <c r="AR419" s="2">
        <v>0</v>
      </c>
      <c r="AS419" s="2">
        <v>10</v>
      </c>
      <c r="AT419" s="2">
        <v>0</v>
      </c>
      <c r="AU419" s="2">
        <v>0</v>
      </c>
      <c r="AV419" s="2">
        <v>0</v>
      </c>
      <c r="AW419" s="2">
        <v>0</v>
      </c>
      <c r="AX419" s="2">
        <v>0</v>
      </c>
      <c r="AY419" s="2">
        <v>0</v>
      </c>
      <c r="AZ419" s="2">
        <v>1032</v>
      </c>
      <c r="BA419" s="2">
        <v>1012</v>
      </c>
      <c r="BB419" s="2">
        <v>1011</v>
      </c>
      <c r="BC419" s="2">
        <v>-2000</v>
      </c>
      <c r="BD419" s="2">
        <v>-7500</v>
      </c>
      <c r="BE419" s="2">
        <v>5000</v>
      </c>
      <c r="BF419" s="2">
        <v>3000</v>
      </c>
      <c r="BG419" s="2">
        <v>5000</v>
      </c>
      <c r="BH419" s="2">
        <v>2500</v>
      </c>
      <c r="BI419" s="2">
        <v>3000</v>
      </c>
      <c r="BJ419" s="2">
        <v>-2000</v>
      </c>
      <c r="BK419" s="2">
        <v>1000</v>
      </c>
      <c r="BL419" s="2">
        <v>1000</v>
      </c>
      <c r="BO419" s="2">
        <f t="shared" si="251"/>
        <v>0</v>
      </c>
      <c r="BP419" s="2">
        <f t="shared" si="261"/>
        <v>0</v>
      </c>
      <c r="BQ419" s="2">
        <f t="shared" si="262"/>
        <v>0</v>
      </c>
      <c r="BR419" s="2">
        <f t="shared" si="263"/>
        <v>0</v>
      </c>
      <c r="BS419" s="2">
        <f t="shared" si="264"/>
        <v>0</v>
      </c>
      <c r="BT419" s="2">
        <f t="shared" si="265"/>
        <v>0</v>
      </c>
      <c r="BU419" s="2">
        <f t="shared" si="266"/>
        <v>0</v>
      </c>
      <c r="BV419" s="2">
        <f t="shared" si="267"/>
        <v>0</v>
      </c>
      <c r="BW419" s="2">
        <f t="shared" si="268"/>
        <v>0</v>
      </c>
      <c r="BX419" s="2">
        <f t="shared" si="269"/>
        <v>0</v>
      </c>
      <c r="BY419" s="2">
        <f t="shared" si="270"/>
        <v>0</v>
      </c>
      <c r="BZ419" s="2">
        <f t="shared" si="271"/>
        <v>0</v>
      </c>
      <c r="CA419" s="2">
        <f t="shared" si="272"/>
        <v>0</v>
      </c>
      <c r="CB419" s="2">
        <f t="shared" si="273"/>
        <v>0</v>
      </c>
      <c r="CC419" s="2">
        <f t="shared" si="274"/>
        <v>0</v>
      </c>
      <c r="CD419" s="2">
        <f t="shared" si="275"/>
        <v>0</v>
      </c>
      <c r="CE419" s="2">
        <f t="shared" si="276"/>
        <v>0</v>
      </c>
      <c r="CF419" s="2">
        <f t="shared" si="277"/>
        <v>-4954.51</v>
      </c>
      <c r="CG419" s="2">
        <f t="shared" si="278"/>
        <v>-2119.2600000000002</v>
      </c>
      <c r="CH419" s="2">
        <f t="shared" si="279"/>
        <v>-9057.4</v>
      </c>
      <c r="CI419" s="2">
        <f t="shared" si="280"/>
        <v>0</v>
      </c>
      <c r="CJ419" s="2">
        <f t="shared" si="281"/>
        <v>0</v>
      </c>
      <c r="CK419" s="2">
        <f t="shared" si="282"/>
        <v>0</v>
      </c>
      <c r="CL419" s="2">
        <f t="shared" si="283"/>
        <v>0</v>
      </c>
      <c r="CM419" s="2">
        <f t="shared" si="254"/>
        <v>0</v>
      </c>
      <c r="CN419" s="2">
        <f t="shared" si="255"/>
        <v>0</v>
      </c>
      <c r="CO419" s="2">
        <f t="shared" si="256"/>
        <v>0</v>
      </c>
      <c r="CP419" s="2">
        <f t="shared" si="257"/>
        <v>0</v>
      </c>
      <c r="CQ419" s="2">
        <f t="shared" si="258"/>
        <v>0</v>
      </c>
      <c r="CR419" s="2">
        <f t="shared" si="259"/>
        <v>0</v>
      </c>
      <c r="CV419" t="s">
        <v>64</v>
      </c>
      <c r="CW419" t="s">
        <v>492</v>
      </c>
      <c r="CX419" t="s">
        <v>18</v>
      </c>
      <c r="CY419" s="4">
        <v>42885</v>
      </c>
      <c r="CZ419" t="s">
        <v>67</v>
      </c>
      <c r="DA419" t="s">
        <v>68</v>
      </c>
      <c r="DB419">
        <v>19</v>
      </c>
      <c r="DC419">
        <v>61.52</v>
      </c>
      <c r="DD419" t="s">
        <v>69</v>
      </c>
      <c r="DE419" t="s">
        <v>70</v>
      </c>
      <c r="DF419">
        <v>1168.8800000000001</v>
      </c>
    </row>
    <row r="420" spans="1:110" x14ac:dyDescent="0.25">
      <c r="A420" s="1">
        <v>43342</v>
      </c>
      <c r="B420">
        <v>223.29</v>
      </c>
      <c r="C420">
        <v>105.8</v>
      </c>
      <c r="D420">
        <v>343.58</v>
      </c>
      <c r="E420">
        <v>137.30000000000001</v>
      </c>
      <c r="F420">
        <v>46.47</v>
      </c>
      <c r="G420">
        <v>117.47</v>
      </c>
      <c r="H420">
        <v>111.06</v>
      </c>
      <c r="I420">
        <v>69.73</v>
      </c>
      <c r="J420">
        <v>238.43</v>
      </c>
      <c r="K420">
        <v>198.08</v>
      </c>
      <c r="L420">
        <v>142.44</v>
      </c>
      <c r="M420">
        <v>47.64</v>
      </c>
      <c r="N420">
        <v>134.1</v>
      </c>
      <c r="O420">
        <v>113.47</v>
      </c>
      <c r="P420">
        <v>44.22</v>
      </c>
      <c r="Q420">
        <v>160.80000000000001</v>
      </c>
      <c r="R420">
        <v>207.36</v>
      </c>
      <c r="S420">
        <v>67.599999999999994</v>
      </c>
      <c r="T420">
        <v>111.47</v>
      </c>
      <c r="U420">
        <v>80.959999999999994</v>
      </c>
      <c r="V420">
        <v>40.83</v>
      </c>
      <c r="W420">
        <v>82.03</v>
      </c>
      <c r="X420">
        <v>130.08000000000001</v>
      </c>
      <c r="Y420">
        <v>266.64</v>
      </c>
      <c r="Z420">
        <v>131.06</v>
      </c>
      <c r="AA420">
        <v>146.22</v>
      </c>
      <c r="AB420">
        <v>53.59</v>
      </c>
      <c r="AC420">
        <v>67.03</v>
      </c>
      <c r="AD420">
        <v>95.58</v>
      </c>
      <c r="AE420">
        <v>78.83</v>
      </c>
      <c r="AI420" s="2">
        <v>4000</v>
      </c>
      <c r="AJ420" s="2">
        <f t="shared" si="260"/>
        <v>1290</v>
      </c>
      <c r="AK420" s="2">
        <f t="shared" si="260"/>
        <v>1290</v>
      </c>
      <c r="AL420" s="2">
        <f t="shared" si="260"/>
        <v>1290</v>
      </c>
      <c r="AM420" s="2">
        <f t="shared" si="260"/>
        <v>1290</v>
      </c>
      <c r="AN420" s="2">
        <f t="shared" si="260"/>
        <v>1290</v>
      </c>
      <c r="AO420" s="2">
        <f t="shared" si="260"/>
        <v>1290</v>
      </c>
      <c r="AP420" s="2">
        <f t="shared" si="260"/>
        <v>1170</v>
      </c>
      <c r="AQ420" s="2">
        <v>1000</v>
      </c>
      <c r="AR420" s="2">
        <v>0</v>
      </c>
      <c r="AS420" s="2">
        <v>10</v>
      </c>
      <c r="AT420" s="2">
        <v>0</v>
      </c>
      <c r="AU420" s="2">
        <v>0</v>
      </c>
      <c r="AV420" s="2">
        <v>0</v>
      </c>
      <c r="AW420" s="2">
        <v>0</v>
      </c>
      <c r="AX420" s="2">
        <v>0</v>
      </c>
      <c r="AY420" s="2">
        <v>0</v>
      </c>
      <c r="AZ420" s="2">
        <v>963</v>
      </c>
      <c r="BA420" s="2">
        <v>1047</v>
      </c>
      <c r="BB420" s="2">
        <v>974</v>
      </c>
      <c r="BC420" s="2">
        <v>-2000</v>
      </c>
      <c r="BD420" s="2">
        <v>-7500</v>
      </c>
      <c r="BE420" s="2">
        <v>5000</v>
      </c>
      <c r="BF420" s="2">
        <v>3000</v>
      </c>
      <c r="BG420" s="2">
        <v>5000</v>
      </c>
      <c r="BH420" s="2">
        <v>2500</v>
      </c>
      <c r="BI420" s="2">
        <v>3000</v>
      </c>
      <c r="BJ420" s="2">
        <v>-2000</v>
      </c>
      <c r="BK420" s="2">
        <v>1000</v>
      </c>
      <c r="BL420" s="2">
        <v>1000</v>
      </c>
      <c r="BO420" s="2">
        <f t="shared" si="251"/>
        <v>0</v>
      </c>
      <c r="BP420" s="2">
        <f t="shared" si="261"/>
        <v>0</v>
      </c>
      <c r="BQ420" s="2">
        <f t="shared" si="262"/>
        <v>0</v>
      </c>
      <c r="BR420" s="2">
        <f t="shared" si="263"/>
        <v>0</v>
      </c>
      <c r="BS420" s="2">
        <f t="shared" si="264"/>
        <v>0</v>
      </c>
      <c r="BT420" s="2">
        <f t="shared" si="265"/>
        <v>0</v>
      </c>
      <c r="BU420" s="2">
        <f t="shared" si="266"/>
        <v>0</v>
      </c>
      <c r="BV420" s="2">
        <f t="shared" si="267"/>
        <v>0</v>
      </c>
      <c r="BW420" s="2">
        <f t="shared" si="268"/>
        <v>0</v>
      </c>
      <c r="BX420" s="2">
        <f t="shared" si="269"/>
        <v>0</v>
      </c>
      <c r="BY420" s="2">
        <f t="shared" si="270"/>
        <v>0</v>
      </c>
      <c r="BZ420" s="2">
        <f t="shared" si="271"/>
        <v>0</v>
      </c>
      <c r="CA420" s="2">
        <f t="shared" si="272"/>
        <v>0</v>
      </c>
      <c r="CB420" s="2">
        <f t="shared" si="273"/>
        <v>0</v>
      </c>
      <c r="CC420" s="2">
        <f t="shared" si="274"/>
        <v>0</v>
      </c>
      <c r="CD420" s="2">
        <f t="shared" si="275"/>
        <v>0</v>
      </c>
      <c r="CE420" s="2">
        <f t="shared" si="276"/>
        <v>0</v>
      </c>
      <c r="CF420" s="2">
        <f t="shared" si="277"/>
        <v>4664.3999999999996</v>
      </c>
      <c r="CG420" s="2">
        <f t="shared" si="278"/>
        <v>-3901.45</v>
      </c>
      <c r="CH420" s="2">
        <f t="shared" si="279"/>
        <v>2995.52</v>
      </c>
      <c r="CI420" s="2">
        <f t="shared" si="280"/>
        <v>0</v>
      </c>
      <c r="CJ420" s="2">
        <f t="shared" si="281"/>
        <v>0</v>
      </c>
      <c r="CK420" s="2">
        <f t="shared" si="282"/>
        <v>0</v>
      </c>
      <c r="CL420" s="2">
        <f t="shared" si="283"/>
        <v>0</v>
      </c>
      <c r="CM420" s="2">
        <f t="shared" si="254"/>
        <v>0</v>
      </c>
      <c r="CN420" s="2">
        <f t="shared" si="255"/>
        <v>0</v>
      </c>
      <c r="CO420" s="2">
        <f t="shared" si="256"/>
        <v>0</v>
      </c>
      <c r="CP420" s="2">
        <f t="shared" si="257"/>
        <v>0</v>
      </c>
      <c r="CQ420" s="2">
        <f t="shared" si="258"/>
        <v>0</v>
      </c>
      <c r="CR420" s="2">
        <f t="shared" si="259"/>
        <v>0</v>
      </c>
      <c r="CV420" t="s">
        <v>64</v>
      </c>
      <c r="CW420" t="s">
        <v>493</v>
      </c>
      <c r="CX420" t="s">
        <v>18</v>
      </c>
      <c r="CY420" s="4">
        <v>42886</v>
      </c>
      <c r="CZ420" t="s">
        <v>65</v>
      </c>
      <c r="DA420" t="s">
        <v>66</v>
      </c>
      <c r="DB420">
        <v>7</v>
      </c>
      <c r="DC420">
        <v>61.74</v>
      </c>
      <c r="DD420" t="s">
        <v>69</v>
      </c>
      <c r="DE420" t="s">
        <v>70</v>
      </c>
      <c r="DF420">
        <v>432.18</v>
      </c>
    </row>
    <row r="421" spans="1:110" x14ac:dyDescent="0.25">
      <c r="A421" s="1">
        <v>43343</v>
      </c>
      <c r="B421">
        <v>225.87</v>
      </c>
      <c r="C421">
        <v>105.55</v>
      </c>
      <c r="D421">
        <v>339.51</v>
      </c>
      <c r="E421">
        <v>137.09</v>
      </c>
      <c r="F421">
        <v>47.08</v>
      </c>
      <c r="G421">
        <v>116.15</v>
      </c>
      <c r="H421">
        <v>111.16</v>
      </c>
      <c r="I421">
        <v>69.66</v>
      </c>
      <c r="J421">
        <v>236.85</v>
      </c>
      <c r="K421">
        <v>199.58</v>
      </c>
      <c r="L421">
        <v>142.97</v>
      </c>
      <c r="M421">
        <v>47.82</v>
      </c>
      <c r="N421">
        <v>133.84</v>
      </c>
      <c r="O421">
        <v>112.87</v>
      </c>
      <c r="P421">
        <v>43.85</v>
      </c>
      <c r="Q421">
        <v>161.24</v>
      </c>
      <c r="R421">
        <v>208.05</v>
      </c>
      <c r="S421">
        <v>67.650000000000006</v>
      </c>
      <c r="T421">
        <v>111.85</v>
      </c>
      <c r="U421">
        <v>81.96</v>
      </c>
      <c r="V421">
        <v>40.85</v>
      </c>
      <c r="W421">
        <v>81.58</v>
      </c>
      <c r="X421">
        <v>130.03</v>
      </c>
      <c r="Y421">
        <v>266.70999999999998</v>
      </c>
      <c r="Z421">
        <v>130.18</v>
      </c>
      <c r="AA421">
        <v>146.37</v>
      </c>
      <c r="AB421">
        <v>53.22</v>
      </c>
      <c r="AC421">
        <v>67.78</v>
      </c>
      <c r="AD421">
        <v>95.34</v>
      </c>
      <c r="AE421">
        <v>78.489999999999995</v>
      </c>
      <c r="AI421" s="2">
        <v>4000</v>
      </c>
      <c r="AJ421" s="2">
        <f t="shared" si="260"/>
        <v>1290</v>
      </c>
      <c r="AK421" s="2">
        <f t="shared" si="260"/>
        <v>1290</v>
      </c>
      <c r="AL421" s="2">
        <f t="shared" si="260"/>
        <v>1290</v>
      </c>
      <c r="AM421" s="2">
        <f t="shared" si="260"/>
        <v>1290</v>
      </c>
      <c r="AN421" s="2">
        <f t="shared" si="260"/>
        <v>1290</v>
      </c>
      <c r="AO421" s="2">
        <f t="shared" si="260"/>
        <v>1290</v>
      </c>
      <c r="AP421" s="2">
        <f t="shared" si="260"/>
        <v>1170</v>
      </c>
      <c r="AQ421" s="2">
        <v>1000</v>
      </c>
      <c r="AR421" s="2">
        <v>0</v>
      </c>
      <c r="AS421" s="2">
        <v>10</v>
      </c>
      <c r="AT421" s="2">
        <v>0</v>
      </c>
      <c r="AU421" s="2">
        <v>0</v>
      </c>
      <c r="AV421" s="2">
        <v>0</v>
      </c>
      <c r="AW421" s="2">
        <v>0</v>
      </c>
      <c r="AX421" s="2">
        <v>0</v>
      </c>
      <c r="AY421" s="2">
        <v>0</v>
      </c>
      <c r="AZ421" s="2">
        <v>1048</v>
      </c>
      <c r="BA421" s="2">
        <v>1077</v>
      </c>
      <c r="BB421" s="2">
        <v>983</v>
      </c>
      <c r="BC421" s="2">
        <v>-2000</v>
      </c>
      <c r="BD421" s="2">
        <v>-7500</v>
      </c>
      <c r="BE421" s="2">
        <v>5000</v>
      </c>
      <c r="BF421" s="2">
        <v>3000</v>
      </c>
      <c r="BG421" s="2">
        <v>5000</v>
      </c>
      <c r="BH421" s="2">
        <v>2500</v>
      </c>
      <c r="BI421" s="2">
        <v>3000</v>
      </c>
      <c r="BJ421" s="2">
        <v>-2000</v>
      </c>
      <c r="BK421" s="2">
        <v>1000</v>
      </c>
      <c r="BL421" s="2">
        <v>1000</v>
      </c>
      <c r="BO421" s="2">
        <f t="shared" si="251"/>
        <v>0</v>
      </c>
      <c r="BP421" s="2">
        <f t="shared" si="261"/>
        <v>0</v>
      </c>
      <c r="BQ421" s="2">
        <f t="shared" si="262"/>
        <v>0</v>
      </c>
      <c r="BR421" s="2">
        <f t="shared" si="263"/>
        <v>0</v>
      </c>
      <c r="BS421" s="2">
        <f t="shared" si="264"/>
        <v>0</v>
      </c>
      <c r="BT421" s="2">
        <f t="shared" si="265"/>
        <v>0</v>
      </c>
      <c r="BU421" s="2">
        <f t="shared" si="266"/>
        <v>0</v>
      </c>
      <c r="BV421" s="2">
        <f t="shared" si="267"/>
        <v>0</v>
      </c>
      <c r="BW421" s="2">
        <f t="shared" si="268"/>
        <v>0</v>
      </c>
      <c r="BX421" s="2">
        <f t="shared" si="269"/>
        <v>0</v>
      </c>
      <c r="BY421" s="2">
        <f t="shared" si="270"/>
        <v>0</v>
      </c>
      <c r="BZ421" s="2">
        <f t="shared" si="271"/>
        <v>0</v>
      </c>
      <c r="CA421" s="2">
        <f t="shared" si="272"/>
        <v>0</v>
      </c>
      <c r="CB421" s="2">
        <f t="shared" si="273"/>
        <v>0</v>
      </c>
      <c r="CC421" s="2">
        <f t="shared" si="274"/>
        <v>0</v>
      </c>
      <c r="CD421" s="2">
        <f t="shared" si="275"/>
        <v>0</v>
      </c>
      <c r="CE421" s="2">
        <f t="shared" si="276"/>
        <v>0</v>
      </c>
      <c r="CF421" s="2">
        <f t="shared" si="277"/>
        <v>-5750.2500000000009</v>
      </c>
      <c r="CG421" s="2">
        <f t="shared" si="278"/>
        <v>-3355.5</v>
      </c>
      <c r="CH421" s="2">
        <f t="shared" si="279"/>
        <v>-737.64</v>
      </c>
      <c r="CI421" s="2">
        <f t="shared" si="280"/>
        <v>0</v>
      </c>
      <c r="CJ421" s="2">
        <f t="shared" si="281"/>
        <v>0</v>
      </c>
      <c r="CK421" s="2">
        <f t="shared" si="282"/>
        <v>0</v>
      </c>
      <c r="CL421" s="2">
        <f t="shared" si="283"/>
        <v>0</v>
      </c>
      <c r="CM421" s="2">
        <f t="shared" si="254"/>
        <v>0</v>
      </c>
      <c r="CN421" s="2">
        <f t="shared" si="255"/>
        <v>0</v>
      </c>
      <c r="CO421" s="2">
        <f t="shared" si="256"/>
        <v>0</v>
      </c>
      <c r="CP421" s="2">
        <f t="shared" si="257"/>
        <v>0</v>
      </c>
      <c r="CQ421" s="2">
        <f t="shared" si="258"/>
        <v>0</v>
      </c>
      <c r="CR421" s="2">
        <f t="shared" si="259"/>
        <v>0</v>
      </c>
      <c r="CV421" t="s">
        <v>64</v>
      </c>
      <c r="CW421" t="s">
        <v>494</v>
      </c>
      <c r="CX421" t="s">
        <v>18</v>
      </c>
      <c r="CY421" s="4">
        <v>42887</v>
      </c>
      <c r="CZ421" t="s">
        <v>65</v>
      </c>
      <c r="DA421" t="s">
        <v>66</v>
      </c>
      <c r="DB421">
        <v>20</v>
      </c>
      <c r="DC421">
        <v>61.88</v>
      </c>
      <c r="DD421" t="s">
        <v>69</v>
      </c>
      <c r="DE421" t="s">
        <v>70</v>
      </c>
      <c r="DF421">
        <v>1237.6000000000001</v>
      </c>
    </row>
    <row r="422" spans="1:110" x14ac:dyDescent="0.25">
      <c r="A422" s="1">
        <v>43347</v>
      </c>
      <c r="B422">
        <v>226.59</v>
      </c>
      <c r="C422">
        <v>106.57</v>
      </c>
      <c r="D422">
        <v>342.94</v>
      </c>
      <c r="E422">
        <v>136.49</v>
      </c>
      <c r="F422">
        <v>47.05</v>
      </c>
      <c r="G422">
        <v>116.55</v>
      </c>
      <c r="H422">
        <v>110</v>
      </c>
      <c r="I422">
        <v>69.260000000000005</v>
      </c>
      <c r="J422">
        <v>236.7</v>
      </c>
      <c r="K422">
        <v>203.86</v>
      </c>
      <c r="L422">
        <v>142.19</v>
      </c>
      <c r="M422">
        <v>47.36</v>
      </c>
      <c r="N422">
        <v>132.87</v>
      </c>
      <c r="O422">
        <v>113.43</v>
      </c>
      <c r="P422">
        <v>44.03</v>
      </c>
      <c r="Q422">
        <v>160.72999999999999</v>
      </c>
      <c r="R422">
        <v>205.76</v>
      </c>
      <c r="S422">
        <v>67.02</v>
      </c>
      <c r="T422">
        <v>111.23</v>
      </c>
      <c r="U422">
        <v>79.36</v>
      </c>
      <c r="V422">
        <v>40.700000000000003</v>
      </c>
      <c r="W422">
        <v>81.33</v>
      </c>
      <c r="X422">
        <v>130.56</v>
      </c>
      <c r="Y422">
        <v>266.75</v>
      </c>
      <c r="Z422">
        <v>130.37</v>
      </c>
      <c r="AA422">
        <v>147.28</v>
      </c>
      <c r="AB422">
        <v>52.06</v>
      </c>
      <c r="AC422">
        <v>66.849999999999994</v>
      </c>
      <c r="AD422">
        <v>94.84</v>
      </c>
      <c r="AE422">
        <v>78.61</v>
      </c>
      <c r="AI422" s="2">
        <v>5000</v>
      </c>
      <c r="AJ422" s="2">
        <f t="shared" ref="AJ422:AP422" si="286">AJ421+10</f>
        <v>1300</v>
      </c>
      <c r="AK422" s="2">
        <f t="shared" si="286"/>
        <v>1300</v>
      </c>
      <c r="AL422" s="2">
        <f t="shared" si="286"/>
        <v>1300</v>
      </c>
      <c r="AM422" s="2">
        <f t="shared" si="286"/>
        <v>1300</v>
      </c>
      <c r="AN422" s="2">
        <f t="shared" si="286"/>
        <v>1300</v>
      </c>
      <c r="AO422" s="2">
        <f t="shared" si="286"/>
        <v>1300</v>
      </c>
      <c r="AP422" s="2">
        <f t="shared" si="286"/>
        <v>1180</v>
      </c>
      <c r="AQ422" s="2">
        <v>1000</v>
      </c>
      <c r="AR422" s="2">
        <v>0</v>
      </c>
      <c r="AS422" s="2">
        <v>10</v>
      </c>
      <c r="AT422" s="2">
        <v>0</v>
      </c>
      <c r="AU422" s="2">
        <v>0</v>
      </c>
      <c r="AV422" s="2">
        <v>0</v>
      </c>
      <c r="AW422" s="2">
        <v>0</v>
      </c>
      <c r="AX422" s="2">
        <v>0</v>
      </c>
      <c r="AY422" s="2">
        <v>0</v>
      </c>
      <c r="AZ422" s="2">
        <v>956</v>
      </c>
      <c r="BA422" s="2">
        <v>970</v>
      </c>
      <c r="BB422" s="2">
        <v>1005</v>
      </c>
      <c r="BC422" s="2">
        <v>-2000</v>
      </c>
      <c r="BD422" s="2">
        <v>-7500</v>
      </c>
      <c r="BE422" s="2">
        <v>5000</v>
      </c>
      <c r="BF422" s="2">
        <v>3000</v>
      </c>
      <c r="BG422" s="2">
        <v>5000</v>
      </c>
      <c r="BH422" s="2">
        <v>2500</v>
      </c>
      <c r="BI422" s="2">
        <v>3000</v>
      </c>
      <c r="BJ422" s="2">
        <v>-2000</v>
      </c>
      <c r="BK422" s="2">
        <v>1000</v>
      </c>
      <c r="BL422" s="2">
        <v>1000</v>
      </c>
      <c r="BO422" s="2">
        <f t="shared" si="251"/>
        <v>-226590</v>
      </c>
      <c r="BP422" s="2">
        <f t="shared" si="261"/>
        <v>-1065.6999999999998</v>
      </c>
      <c r="BQ422" s="2">
        <f t="shared" si="262"/>
        <v>-3429.4</v>
      </c>
      <c r="BR422" s="2">
        <f t="shared" si="263"/>
        <v>-1364.9</v>
      </c>
      <c r="BS422" s="2">
        <f t="shared" si="264"/>
        <v>-470.5</v>
      </c>
      <c r="BT422" s="2">
        <f t="shared" si="265"/>
        <v>-1165.5</v>
      </c>
      <c r="BU422" s="2">
        <f t="shared" si="266"/>
        <v>-1100</v>
      </c>
      <c r="BV422" s="2">
        <f t="shared" si="267"/>
        <v>-692.6</v>
      </c>
      <c r="BW422" s="2">
        <f t="shared" si="268"/>
        <v>0</v>
      </c>
      <c r="BX422" s="2">
        <f t="shared" si="269"/>
        <v>0</v>
      </c>
      <c r="BY422" s="2">
        <f t="shared" si="270"/>
        <v>0</v>
      </c>
      <c r="BZ422" s="2">
        <f t="shared" si="271"/>
        <v>0</v>
      </c>
      <c r="CA422" s="2">
        <f t="shared" si="272"/>
        <v>0</v>
      </c>
      <c r="CB422" s="2">
        <f t="shared" si="273"/>
        <v>0</v>
      </c>
      <c r="CC422" s="2">
        <f t="shared" si="274"/>
        <v>0</v>
      </c>
      <c r="CD422" s="2">
        <f t="shared" si="275"/>
        <v>0</v>
      </c>
      <c r="CE422" s="2">
        <f t="shared" si="276"/>
        <v>0</v>
      </c>
      <c r="CF422" s="2">
        <f t="shared" si="277"/>
        <v>6165.8399999999992</v>
      </c>
      <c r="CG422" s="2">
        <f t="shared" si="278"/>
        <v>11901.61</v>
      </c>
      <c r="CH422" s="2">
        <f t="shared" si="279"/>
        <v>-1745.92</v>
      </c>
      <c r="CI422" s="2">
        <f t="shared" si="280"/>
        <v>0</v>
      </c>
      <c r="CJ422" s="2">
        <f t="shared" si="281"/>
        <v>0</v>
      </c>
      <c r="CK422" s="2">
        <f t="shared" si="282"/>
        <v>0</v>
      </c>
      <c r="CL422" s="2">
        <f t="shared" si="283"/>
        <v>0</v>
      </c>
      <c r="CM422" s="2">
        <f t="shared" si="254"/>
        <v>0</v>
      </c>
      <c r="CN422" s="2">
        <f t="shared" si="255"/>
        <v>0</v>
      </c>
      <c r="CO422" s="2">
        <f t="shared" si="256"/>
        <v>0</v>
      </c>
      <c r="CP422" s="2">
        <f t="shared" si="257"/>
        <v>0</v>
      </c>
      <c r="CQ422" s="2">
        <f t="shared" si="258"/>
        <v>0</v>
      </c>
      <c r="CR422" s="2">
        <f t="shared" si="259"/>
        <v>0</v>
      </c>
      <c r="CV422" t="s">
        <v>64</v>
      </c>
      <c r="CW422" t="s">
        <v>495</v>
      </c>
      <c r="CX422" t="s">
        <v>18</v>
      </c>
      <c r="CY422" s="4">
        <v>42888</v>
      </c>
      <c r="CZ422" t="s">
        <v>67</v>
      </c>
      <c r="DA422" t="s">
        <v>68</v>
      </c>
      <c r="DB422">
        <v>49</v>
      </c>
      <c r="DC422">
        <v>62.08</v>
      </c>
      <c r="DD422" t="s">
        <v>69</v>
      </c>
      <c r="DE422" t="s">
        <v>70</v>
      </c>
      <c r="DF422">
        <v>3041.92</v>
      </c>
    </row>
    <row r="423" spans="1:110" x14ac:dyDescent="0.25">
      <c r="A423" s="1">
        <v>43348</v>
      </c>
      <c r="B423">
        <v>225.12</v>
      </c>
      <c r="C423">
        <v>105.25</v>
      </c>
      <c r="D423">
        <v>343.36</v>
      </c>
      <c r="E423">
        <v>138.81</v>
      </c>
      <c r="F423">
        <v>46.59</v>
      </c>
      <c r="G423">
        <v>116.6</v>
      </c>
      <c r="H423">
        <v>109.02</v>
      </c>
      <c r="I423">
        <v>69.58</v>
      </c>
      <c r="J423">
        <v>236.6</v>
      </c>
      <c r="K423">
        <v>202.94</v>
      </c>
      <c r="L423">
        <v>143.15</v>
      </c>
      <c r="M423">
        <v>47.12</v>
      </c>
      <c r="N423">
        <v>135</v>
      </c>
      <c r="O423">
        <v>112.88</v>
      </c>
      <c r="P423">
        <v>44.64</v>
      </c>
      <c r="Q423">
        <v>162.24</v>
      </c>
      <c r="R423">
        <v>208.95</v>
      </c>
      <c r="S423">
        <v>67.680000000000007</v>
      </c>
      <c r="T423">
        <v>108.02</v>
      </c>
      <c r="U423">
        <v>79.680000000000007</v>
      </c>
      <c r="V423">
        <v>41.17</v>
      </c>
      <c r="W423">
        <v>81.91</v>
      </c>
      <c r="X423">
        <v>131.01</v>
      </c>
      <c r="Y423">
        <v>265.89</v>
      </c>
      <c r="Z423">
        <v>131.24</v>
      </c>
      <c r="AA423">
        <v>142.16999999999999</v>
      </c>
      <c r="AB423">
        <v>52.68</v>
      </c>
      <c r="AC423">
        <v>67.459999999999994</v>
      </c>
      <c r="AD423">
        <v>96.1</v>
      </c>
      <c r="AE423">
        <v>79.66</v>
      </c>
      <c r="AI423" s="2">
        <v>5000</v>
      </c>
      <c r="AJ423" s="2">
        <f t="shared" ref="AJ423:AP423" si="287">AJ422</f>
        <v>1300</v>
      </c>
      <c r="AK423" s="2">
        <f t="shared" si="287"/>
        <v>1300</v>
      </c>
      <c r="AL423" s="2">
        <f t="shared" si="287"/>
        <v>1300</v>
      </c>
      <c r="AM423" s="2">
        <f t="shared" si="287"/>
        <v>1300</v>
      </c>
      <c r="AN423" s="2">
        <f t="shared" si="287"/>
        <v>1300</v>
      </c>
      <c r="AO423" s="2">
        <f t="shared" si="287"/>
        <v>1300</v>
      </c>
      <c r="AP423" s="2">
        <f t="shared" si="287"/>
        <v>1180</v>
      </c>
      <c r="AQ423" s="2">
        <v>1000</v>
      </c>
      <c r="AR423" s="2">
        <v>0</v>
      </c>
      <c r="AS423" s="2">
        <v>10</v>
      </c>
      <c r="AT423" s="2">
        <v>0</v>
      </c>
      <c r="AU423" s="2">
        <v>0</v>
      </c>
      <c r="AV423" s="2">
        <v>0</v>
      </c>
      <c r="AW423" s="2">
        <v>0</v>
      </c>
      <c r="AX423" s="2">
        <v>0</v>
      </c>
      <c r="AY423" s="2">
        <v>0</v>
      </c>
      <c r="AZ423" s="2">
        <v>1030</v>
      </c>
      <c r="BA423" s="2">
        <v>920</v>
      </c>
      <c r="BB423" s="2">
        <v>943</v>
      </c>
      <c r="BC423" s="2">
        <v>-2000</v>
      </c>
      <c r="BD423" s="2">
        <v>-7500</v>
      </c>
      <c r="BE423" s="2">
        <v>5000</v>
      </c>
      <c r="BF423" s="2">
        <v>3000</v>
      </c>
      <c r="BG423" s="2">
        <v>5000</v>
      </c>
      <c r="BH423" s="2">
        <v>2500</v>
      </c>
      <c r="BI423" s="2">
        <v>3000</v>
      </c>
      <c r="BJ423" s="2">
        <v>-2000</v>
      </c>
      <c r="BK423" s="2">
        <v>1000</v>
      </c>
      <c r="BL423" s="2">
        <v>1000</v>
      </c>
      <c r="BO423" s="2">
        <f t="shared" si="251"/>
        <v>0</v>
      </c>
      <c r="BP423" s="2">
        <f t="shared" si="261"/>
        <v>0</v>
      </c>
      <c r="BQ423" s="2">
        <f t="shared" si="262"/>
        <v>0</v>
      </c>
      <c r="BR423" s="2">
        <f t="shared" si="263"/>
        <v>0</v>
      </c>
      <c r="BS423" s="2">
        <f t="shared" si="264"/>
        <v>0</v>
      </c>
      <c r="BT423" s="2">
        <f t="shared" si="265"/>
        <v>0</v>
      </c>
      <c r="BU423" s="2">
        <f t="shared" si="266"/>
        <v>0</v>
      </c>
      <c r="BV423" s="2">
        <f t="shared" si="267"/>
        <v>0</v>
      </c>
      <c r="BW423" s="2">
        <f t="shared" si="268"/>
        <v>0</v>
      </c>
      <c r="BX423" s="2">
        <f t="shared" si="269"/>
        <v>0</v>
      </c>
      <c r="BY423" s="2">
        <f t="shared" si="270"/>
        <v>0</v>
      </c>
      <c r="BZ423" s="2">
        <f t="shared" si="271"/>
        <v>0</v>
      </c>
      <c r="CA423" s="2">
        <f t="shared" si="272"/>
        <v>0</v>
      </c>
      <c r="CB423" s="2">
        <f t="shared" si="273"/>
        <v>0</v>
      </c>
      <c r="CC423" s="2">
        <f t="shared" si="274"/>
        <v>0</v>
      </c>
      <c r="CD423" s="2">
        <f t="shared" si="275"/>
        <v>0</v>
      </c>
      <c r="CE423" s="2">
        <f t="shared" si="276"/>
        <v>0</v>
      </c>
      <c r="CF423" s="2">
        <f t="shared" si="277"/>
        <v>-5008.3200000000006</v>
      </c>
      <c r="CG423" s="2">
        <f t="shared" si="278"/>
        <v>5401</v>
      </c>
      <c r="CH423" s="2">
        <f t="shared" si="279"/>
        <v>4940.1600000000008</v>
      </c>
      <c r="CI423" s="2">
        <f t="shared" si="280"/>
        <v>0</v>
      </c>
      <c r="CJ423" s="2">
        <f t="shared" si="281"/>
        <v>0</v>
      </c>
      <c r="CK423" s="2">
        <f t="shared" si="282"/>
        <v>0</v>
      </c>
      <c r="CL423" s="2">
        <f t="shared" si="283"/>
        <v>0</v>
      </c>
      <c r="CM423" s="2">
        <f t="shared" si="254"/>
        <v>0</v>
      </c>
      <c r="CN423" s="2">
        <f t="shared" si="255"/>
        <v>0</v>
      </c>
      <c r="CO423" s="2">
        <f t="shared" si="256"/>
        <v>0</v>
      </c>
      <c r="CP423" s="2">
        <f t="shared" si="257"/>
        <v>0</v>
      </c>
      <c r="CQ423" s="2">
        <f t="shared" si="258"/>
        <v>0</v>
      </c>
      <c r="CR423" s="2">
        <f t="shared" si="259"/>
        <v>0</v>
      </c>
      <c r="CV423" t="s">
        <v>64</v>
      </c>
      <c r="CW423" t="s">
        <v>496</v>
      </c>
      <c r="CX423" t="s">
        <v>18</v>
      </c>
      <c r="CY423" s="4">
        <v>42891</v>
      </c>
      <c r="CZ423" t="s">
        <v>65</v>
      </c>
      <c r="DA423" t="s">
        <v>66</v>
      </c>
      <c r="DB423">
        <v>86</v>
      </c>
      <c r="DC423">
        <v>61.7</v>
      </c>
      <c r="DD423" t="s">
        <v>69</v>
      </c>
      <c r="DE423" t="s">
        <v>70</v>
      </c>
      <c r="DF423">
        <v>5306.2</v>
      </c>
    </row>
    <row r="424" spans="1:110" x14ac:dyDescent="0.25">
      <c r="A424" s="1">
        <v>43349</v>
      </c>
      <c r="B424">
        <v>221.37</v>
      </c>
      <c r="C424">
        <v>104.97</v>
      </c>
      <c r="D424">
        <v>347.91</v>
      </c>
      <c r="E424">
        <v>139.77000000000001</v>
      </c>
      <c r="F424">
        <v>46.6</v>
      </c>
      <c r="G424">
        <v>112.98</v>
      </c>
      <c r="H424">
        <v>109.41</v>
      </c>
      <c r="I424">
        <v>69.61</v>
      </c>
      <c r="J424">
        <v>233.57</v>
      </c>
      <c r="K424">
        <v>204.67</v>
      </c>
      <c r="L424">
        <v>142.88</v>
      </c>
      <c r="M424">
        <v>46.67</v>
      </c>
      <c r="N424">
        <v>136</v>
      </c>
      <c r="O424">
        <v>112.39</v>
      </c>
      <c r="P424">
        <v>45.03</v>
      </c>
      <c r="Q424">
        <v>162.74</v>
      </c>
      <c r="R424">
        <v>209.85</v>
      </c>
      <c r="S424">
        <v>68.430000000000007</v>
      </c>
      <c r="T424">
        <v>108.27</v>
      </c>
      <c r="U424">
        <v>80.16</v>
      </c>
      <c r="V424">
        <v>41.1</v>
      </c>
      <c r="W424">
        <v>81.28</v>
      </c>
      <c r="X424">
        <v>130.99</v>
      </c>
      <c r="Y424">
        <v>268.79000000000002</v>
      </c>
      <c r="Z424">
        <v>131.97</v>
      </c>
      <c r="AA424">
        <v>143.99</v>
      </c>
      <c r="AB424">
        <v>53.14</v>
      </c>
      <c r="AC424">
        <v>67.25</v>
      </c>
      <c r="AD424">
        <v>95.93</v>
      </c>
      <c r="AE424">
        <v>78.78</v>
      </c>
      <c r="AI424" s="2">
        <v>5000</v>
      </c>
      <c r="AJ424" s="2">
        <f t="shared" ref="AJ424:AP449" si="288">AJ423</f>
        <v>1300</v>
      </c>
      <c r="AK424" s="2">
        <f t="shared" si="288"/>
        <v>1300</v>
      </c>
      <c r="AL424" s="2">
        <f t="shared" si="288"/>
        <v>1300</v>
      </c>
      <c r="AM424" s="2">
        <f t="shared" si="288"/>
        <v>1300</v>
      </c>
      <c r="AN424" s="2">
        <f t="shared" si="288"/>
        <v>1300</v>
      </c>
      <c r="AO424" s="2">
        <f t="shared" si="288"/>
        <v>1300</v>
      </c>
      <c r="AP424" s="2">
        <f t="shared" si="288"/>
        <v>1180</v>
      </c>
      <c r="AQ424" s="2">
        <v>1000</v>
      </c>
      <c r="AR424" s="2">
        <v>0</v>
      </c>
      <c r="AS424" s="2">
        <v>10</v>
      </c>
      <c r="AT424" s="2">
        <v>0</v>
      </c>
      <c r="AU424" s="2">
        <v>0</v>
      </c>
      <c r="AV424" s="2">
        <v>0</v>
      </c>
      <c r="AW424" s="2">
        <v>0</v>
      </c>
      <c r="AX424" s="2">
        <v>0</v>
      </c>
      <c r="AY424" s="2">
        <v>0</v>
      </c>
      <c r="AZ424" s="2">
        <v>1045</v>
      </c>
      <c r="BA424" s="2">
        <v>1099</v>
      </c>
      <c r="BB424" s="2">
        <v>939</v>
      </c>
      <c r="BC424" s="2">
        <v>-2000</v>
      </c>
      <c r="BD424" s="2">
        <v>-7500</v>
      </c>
      <c r="BE424" s="2">
        <v>5000</v>
      </c>
      <c r="BF424" s="2">
        <v>3000</v>
      </c>
      <c r="BG424" s="2">
        <v>5000</v>
      </c>
      <c r="BH424" s="2">
        <v>2500</v>
      </c>
      <c r="BI424" s="2">
        <v>3000</v>
      </c>
      <c r="BJ424" s="2">
        <v>-2000</v>
      </c>
      <c r="BK424" s="2">
        <v>1000</v>
      </c>
      <c r="BL424" s="2">
        <v>1000</v>
      </c>
      <c r="BO424" s="2">
        <f t="shared" si="251"/>
        <v>0</v>
      </c>
      <c r="BP424" s="2">
        <f t="shared" si="261"/>
        <v>0</v>
      </c>
      <c r="BQ424" s="2">
        <f t="shared" si="262"/>
        <v>0</v>
      </c>
      <c r="BR424" s="2">
        <f t="shared" si="263"/>
        <v>0</v>
      </c>
      <c r="BS424" s="2">
        <f t="shared" si="264"/>
        <v>0</v>
      </c>
      <c r="BT424" s="2">
        <f t="shared" si="265"/>
        <v>0</v>
      </c>
      <c r="BU424" s="2">
        <f t="shared" si="266"/>
        <v>0</v>
      </c>
      <c r="BV424" s="2">
        <f t="shared" si="267"/>
        <v>0</v>
      </c>
      <c r="BW424" s="2">
        <f t="shared" si="268"/>
        <v>0</v>
      </c>
      <c r="BX424" s="2">
        <f t="shared" si="269"/>
        <v>0</v>
      </c>
      <c r="BY424" s="2">
        <f t="shared" si="270"/>
        <v>0</v>
      </c>
      <c r="BZ424" s="2">
        <f t="shared" si="271"/>
        <v>0</v>
      </c>
      <c r="CA424" s="2">
        <f t="shared" si="272"/>
        <v>0</v>
      </c>
      <c r="CB424" s="2">
        <f t="shared" si="273"/>
        <v>0</v>
      </c>
      <c r="CC424" s="2">
        <f t="shared" si="274"/>
        <v>0</v>
      </c>
      <c r="CD424" s="2">
        <f t="shared" si="275"/>
        <v>0</v>
      </c>
      <c r="CE424" s="2">
        <f t="shared" si="276"/>
        <v>0</v>
      </c>
      <c r="CF424" s="2">
        <f t="shared" si="277"/>
        <v>-1026.45</v>
      </c>
      <c r="CG424" s="2">
        <f t="shared" si="278"/>
        <v>-19380.329999999998</v>
      </c>
      <c r="CH424" s="2">
        <f t="shared" si="279"/>
        <v>320.64</v>
      </c>
      <c r="CI424" s="2">
        <f t="shared" si="280"/>
        <v>0</v>
      </c>
      <c r="CJ424" s="2">
        <f t="shared" si="281"/>
        <v>0</v>
      </c>
      <c r="CK424" s="2">
        <f t="shared" si="282"/>
        <v>0</v>
      </c>
      <c r="CL424" s="2">
        <f t="shared" si="283"/>
        <v>0</v>
      </c>
      <c r="CM424" s="2">
        <f t="shared" si="254"/>
        <v>0</v>
      </c>
      <c r="CN424" s="2">
        <f t="shared" si="255"/>
        <v>0</v>
      </c>
      <c r="CO424" s="2">
        <f t="shared" si="256"/>
        <v>0</v>
      </c>
      <c r="CP424" s="2">
        <f t="shared" si="257"/>
        <v>0</v>
      </c>
      <c r="CQ424" s="2">
        <f t="shared" si="258"/>
        <v>0</v>
      </c>
      <c r="CR424" s="2">
        <f t="shared" si="259"/>
        <v>0</v>
      </c>
      <c r="CV424" t="s">
        <v>64</v>
      </c>
      <c r="CW424" t="s">
        <v>497</v>
      </c>
      <c r="CX424" t="s">
        <v>18</v>
      </c>
      <c r="CY424" s="4">
        <v>42892</v>
      </c>
      <c r="CZ424" t="s">
        <v>67</v>
      </c>
      <c r="DA424" t="s">
        <v>68</v>
      </c>
      <c r="DB424">
        <v>31</v>
      </c>
      <c r="DC424">
        <v>61.32</v>
      </c>
      <c r="DD424" t="s">
        <v>69</v>
      </c>
      <c r="DE424" t="s">
        <v>70</v>
      </c>
      <c r="DF424">
        <v>1900.92</v>
      </c>
    </row>
    <row r="425" spans="1:110" x14ac:dyDescent="0.25">
      <c r="A425" s="1">
        <v>43350</v>
      </c>
      <c r="B425">
        <v>219.59</v>
      </c>
      <c r="C425">
        <v>105.65</v>
      </c>
      <c r="D425">
        <v>345.94</v>
      </c>
      <c r="E425">
        <v>139.53</v>
      </c>
      <c r="F425">
        <v>46.38</v>
      </c>
      <c r="G425">
        <v>112.36</v>
      </c>
      <c r="H425">
        <v>110.12</v>
      </c>
      <c r="I425">
        <v>69.540000000000006</v>
      </c>
      <c r="J425">
        <v>232.97</v>
      </c>
      <c r="K425">
        <v>205</v>
      </c>
      <c r="L425">
        <v>141.97</v>
      </c>
      <c r="M425">
        <v>45.87</v>
      </c>
      <c r="N425">
        <v>136.44999999999999</v>
      </c>
      <c r="O425">
        <v>112.61</v>
      </c>
      <c r="P425">
        <v>44.98</v>
      </c>
      <c r="Q425">
        <v>162.9</v>
      </c>
      <c r="R425">
        <v>209.68</v>
      </c>
      <c r="S425">
        <v>68.72</v>
      </c>
      <c r="T425">
        <v>107.74</v>
      </c>
      <c r="U425">
        <v>80.06</v>
      </c>
      <c r="V425">
        <v>41.51</v>
      </c>
      <c r="W425">
        <v>80.56</v>
      </c>
      <c r="X425">
        <v>129.29</v>
      </c>
      <c r="Y425">
        <v>267.43</v>
      </c>
      <c r="Z425">
        <v>130.47999999999999</v>
      </c>
      <c r="AA425">
        <v>142.69</v>
      </c>
      <c r="AB425">
        <v>52.86</v>
      </c>
      <c r="AC425">
        <v>67.41</v>
      </c>
      <c r="AD425">
        <v>95.31</v>
      </c>
      <c r="AE425">
        <v>80.12</v>
      </c>
      <c r="AI425" s="2">
        <v>3500</v>
      </c>
      <c r="AJ425" s="2">
        <f t="shared" si="288"/>
        <v>1300</v>
      </c>
      <c r="AK425" s="2">
        <f t="shared" si="288"/>
        <v>1300</v>
      </c>
      <c r="AL425" s="2">
        <f t="shared" si="288"/>
        <v>1300</v>
      </c>
      <c r="AM425" s="2">
        <f t="shared" si="288"/>
        <v>1300</v>
      </c>
      <c r="AN425" s="2">
        <f t="shared" si="288"/>
        <v>1300</v>
      </c>
      <c r="AO425" s="2">
        <f t="shared" si="288"/>
        <v>1300</v>
      </c>
      <c r="AP425" s="2">
        <f t="shared" si="288"/>
        <v>1180</v>
      </c>
      <c r="AQ425" s="2">
        <v>1000</v>
      </c>
      <c r="AR425" s="2">
        <v>0</v>
      </c>
      <c r="AS425" s="2">
        <v>10</v>
      </c>
      <c r="AT425" s="2">
        <v>0</v>
      </c>
      <c r="AU425" s="2">
        <v>0</v>
      </c>
      <c r="AV425" s="2">
        <v>0</v>
      </c>
      <c r="AW425" s="2">
        <v>0</v>
      </c>
      <c r="AX425" s="2">
        <v>0</v>
      </c>
      <c r="AY425" s="2">
        <v>0</v>
      </c>
      <c r="AZ425" s="2">
        <v>1017</v>
      </c>
      <c r="BA425" s="2">
        <v>1088</v>
      </c>
      <c r="BB425" s="2">
        <v>1060</v>
      </c>
      <c r="BC425" s="2">
        <v>-2000</v>
      </c>
      <c r="BD425" s="2">
        <v>-7500</v>
      </c>
      <c r="BE425" s="2">
        <v>5000</v>
      </c>
      <c r="BF425" s="2">
        <v>3000</v>
      </c>
      <c r="BG425" s="2">
        <v>5000</v>
      </c>
      <c r="BH425" s="2">
        <v>2500</v>
      </c>
      <c r="BI425" s="2">
        <v>3000</v>
      </c>
      <c r="BJ425" s="2">
        <v>-2000</v>
      </c>
      <c r="BK425" s="2">
        <v>1000</v>
      </c>
      <c r="BL425" s="2">
        <v>1000</v>
      </c>
      <c r="BO425" s="2">
        <f t="shared" si="251"/>
        <v>329385</v>
      </c>
      <c r="BP425" s="2">
        <f t="shared" si="261"/>
        <v>0</v>
      </c>
      <c r="BQ425" s="2">
        <f t="shared" si="262"/>
        <v>0</v>
      </c>
      <c r="BR425" s="2">
        <f t="shared" si="263"/>
        <v>0</v>
      </c>
      <c r="BS425" s="2">
        <f t="shared" si="264"/>
        <v>0</v>
      </c>
      <c r="BT425" s="2">
        <f t="shared" si="265"/>
        <v>0</v>
      </c>
      <c r="BU425" s="2">
        <f t="shared" si="266"/>
        <v>0</v>
      </c>
      <c r="BV425" s="2">
        <f t="shared" si="267"/>
        <v>0</v>
      </c>
      <c r="BW425" s="2">
        <f t="shared" si="268"/>
        <v>0</v>
      </c>
      <c r="BX425" s="2">
        <f t="shared" si="269"/>
        <v>0</v>
      </c>
      <c r="BY425" s="2">
        <f t="shared" si="270"/>
        <v>0</v>
      </c>
      <c r="BZ425" s="2">
        <f t="shared" si="271"/>
        <v>0</v>
      </c>
      <c r="CA425" s="2">
        <f t="shared" si="272"/>
        <v>0</v>
      </c>
      <c r="CB425" s="2">
        <f t="shared" si="273"/>
        <v>0</v>
      </c>
      <c r="CC425" s="2">
        <f t="shared" si="274"/>
        <v>0</v>
      </c>
      <c r="CD425" s="2">
        <f t="shared" si="275"/>
        <v>0</v>
      </c>
      <c r="CE425" s="2">
        <f t="shared" si="276"/>
        <v>0</v>
      </c>
      <c r="CF425" s="2">
        <f t="shared" si="277"/>
        <v>1924.1599999999999</v>
      </c>
      <c r="CG425" s="2">
        <f t="shared" si="278"/>
        <v>1185.1399999999999</v>
      </c>
      <c r="CH425" s="2">
        <f t="shared" si="279"/>
        <v>-9687.26</v>
      </c>
      <c r="CI425" s="2">
        <f t="shared" si="280"/>
        <v>0</v>
      </c>
      <c r="CJ425" s="2">
        <f t="shared" si="281"/>
        <v>0</v>
      </c>
      <c r="CK425" s="2">
        <f t="shared" si="282"/>
        <v>0</v>
      </c>
      <c r="CL425" s="2">
        <f t="shared" si="283"/>
        <v>0</v>
      </c>
      <c r="CM425" s="2">
        <f t="shared" si="254"/>
        <v>0</v>
      </c>
      <c r="CN425" s="2">
        <f t="shared" si="255"/>
        <v>0</v>
      </c>
      <c r="CO425" s="2">
        <f t="shared" si="256"/>
        <v>0</v>
      </c>
      <c r="CP425" s="2">
        <f t="shared" si="257"/>
        <v>0</v>
      </c>
      <c r="CQ425" s="2">
        <f t="shared" si="258"/>
        <v>0</v>
      </c>
      <c r="CR425" s="2">
        <f t="shared" si="259"/>
        <v>0</v>
      </c>
      <c r="CV425" t="s">
        <v>64</v>
      </c>
      <c r="CW425" t="s">
        <v>498</v>
      </c>
      <c r="CX425" t="s">
        <v>18</v>
      </c>
      <c r="CY425" s="4">
        <v>42893</v>
      </c>
      <c r="CZ425" t="s">
        <v>67</v>
      </c>
      <c r="DA425" t="s">
        <v>68</v>
      </c>
      <c r="DB425">
        <v>9</v>
      </c>
      <c r="DC425">
        <v>60.74</v>
      </c>
      <c r="DD425" t="s">
        <v>69</v>
      </c>
      <c r="DE425" t="s">
        <v>70</v>
      </c>
      <c r="DF425">
        <v>546.66</v>
      </c>
    </row>
    <row r="426" spans="1:110" x14ac:dyDescent="0.25">
      <c r="A426" s="1">
        <v>43353</v>
      </c>
      <c r="B426">
        <v>216.64</v>
      </c>
      <c r="C426">
        <v>106.85</v>
      </c>
      <c r="D426">
        <v>338.59</v>
      </c>
      <c r="E426">
        <v>140.25</v>
      </c>
      <c r="F426">
        <v>46.39</v>
      </c>
      <c r="G426">
        <v>112.24</v>
      </c>
      <c r="H426">
        <v>109.83</v>
      </c>
      <c r="I426">
        <v>69.59</v>
      </c>
      <c r="J426">
        <v>230.97</v>
      </c>
      <c r="K426">
        <v>209.44</v>
      </c>
      <c r="L426">
        <v>142.16</v>
      </c>
      <c r="M426">
        <v>45.72</v>
      </c>
      <c r="N426">
        <v>136.34</v>
      </c>
      <c r="O426">
        <v>112.01</v>
      </c>
      <c r="P426">
        <v>45.31</v>
      </c>
      <c r="Q426">
        <v>164.06</v>
      </c>
      <c r="R426">
        <v>210.03</v>
      </c>
      <c r="S426">
        <v>68.61</v>
      </c>
      <c r="T426">
        <v>108.91</v>
      </c>
      <c r="U426">
        <v>81.86</v>
      </c>
      <c r="V426">
        <v>41.38</v>
      </c>
      <c r="W426">
        <v>81.02</v>
      </c>
      <c r="X426">
        <v>126.82</v>
      </c>
      <c r="Y426">
        <v>258.89999999999998</v>
      </c>
      <c r="Z426">
        <v>132.1</v>
      </c>
      <c r="AA426">
        <v>143.57</v>
      </c>
      <c r="AB426">
        <v>52.97</v>
      </c>
      <c r="AC426">
        <v>68.010000000000005</v>
      </c>
      <c r="AD426">
        <v>96.37</v>
      </c>
      <c r="AE426">
        <v>80</v>
      </c>
      <c r="AI426" s="2">
        <v>1000</v>
      </c>
      <c r="AJ426" s="2">
        <f t="shared" si="288"/>
        <v>1300</v>
      </c>
      <c r="AK426" s="2">
        <f t="shared" si="288"/>
        <v>1300</v>
      </c>
      <c r="AL426" s="2">
        <f t="shared" si="288"/>
        <v>1300</v>
      </c>
      <c r="AM426" s="2">
        <f t="shared" si="288"/>
        <v>1300</v>
      </c>
      <c r="AN426" s="2">
        <f t="shared" si="288"/>
        <v>1300</v>
      </c>
      <c r="AO426" s="2">
        <f t="shared" si="288"/>
        <v>1300</v>
      </c>
      <c r="AP426" s="2">
        <f t="shared" si="288"/>
        <v>1180</v>
      </c>
      <c r="AQ426" s="2">
        <v>1000</v>
      </c>
      <c r="AR426" s="2">
        <v>0</v>
      </c>
      <c r="AS426" s="2">
        <v>10</v>
      </c>
      <c r="AT426" s="2">
        <v>0</v>
      </c>
      <c r="AU426" s="2">
        <v>0</v>
      </c>
      <c r="AV426" s="2">
        <v>0</v>
      </c>
      <c r="AW426" s="2">
        <v>0</v>
      </c>
      <c r="AX426" s="2">
        <v>0</v>
      </c>
      <c r="AY426" s="2">
        <v>0</v>
      </c>
      <c r="AZ426" s="2">
        <v>1024</v>
      </c>
      <c r="BA426" s="2">
        <v>1092</v>
      </c>
      <c r="BB426" s="2">
        <v>1093</v>
      </c>
      <c r="BC426" s="2">
        <v>-2000</v>
      </c>
      <c r="BD426" s="2">
        <v>-7500</v>
      </c>
      <c r="BE426" s="2">
        <v>5000</v>
      </c>
      <c r="BF426" s="2">
        <v>3000</v>
      </c>
      <c r="BG426" s="2">
        <v>5000</v>
      </c>
      <c r="BH426" s="2">
        <v>2500</v>
      </c>
      <c r="BI426" s="2">
        <v>3000</v>
      </c>
      <c r="BJ426" s="2">
        <v>-2000</v>
      </c>
      <c r="BK426" s="2">
        <v>1000</v>
      </c>
      <c r="BL426" s="2">
        <v>1000</v>
      </c>
      <c r="BO426" s="2">
        <f t="shared" si="251"/>
        <v>541600</v>
      </c>
      <c r="BP426" s="2">
        <f t="shared" si="261"/>
        <v>0</v>
      </c>
      <c r="BQ426" s="2">
        <f t="shared" si="262"/>
        <v>0</v>
      </c>
      <c r="BR426" s="2">
        <f t="shared" si="263"/>
        <v>0</v>
      </c>
      <c r="BS426" s="2">
        <f t="shared" si="264"/>
        <v>0</v>
      </c>
      <c r="BT426" s="2">
        <f t="shared" si="265"/>
        <v>0</v>
      </c>
      <c r="BU426" s="2">
        <f t="shared" si="266"/>
        <v>0</v>
      </c>
      <c r="BV426" s="2">
        <f t="shared" si="267"/>
        <v>0</v>
      </c>
      <c r="BW426" s="2">
        <f t="shared" si="268"/>
        <v>0</v>
      </c>
      <c r="BX426" s="2">
        <f t="shared" si="269"/>
        <v>0</v>
      </c>
      <c r="BY426" s="2">
        <f t="shared" si="270"/>
        <v>0</v>
      </c>
      <c r="BZ426" s="2">
        <f t="shared" si="271"/>
        <v>0</v>
      </c>
      <c r="CA426" s="2">
        <f t="shared" si="272"/>
        <v>0</v>
      </c>
      <c r="CB426" s="2">
        <f t="shared" si="273"/>
        <v>0</v>
      </c>
      <c r="CC426" s="2">
        <f t="shared" si="274"/>
        <v>0</v>
      </c>
      <c r="CD426" s="2">
        <f t="shared" si="275"/>
        <v>0</v>
      </c>
      <c r="CE426" s="2">
        <f t="shared" si="276"/>
        <v>0</v>
      </c>
      <c r="CF426" s="2">
        <f t="shared" si="277"/>
        <v>-480.27</v>
      </c>
      <c r="CG426" s="2">
        <f t="shared" si="278"/>
        <v>-435.64</v>
      </c>
      <c r="CH426" s="2">
        <f t="shared" si="279"/>
        <v>-2701.38</v>
      </c>
      <c r="CI426" s="2">
        <f t="shared" si="280"/>
        <v>0</v>
      </c>
      <c r="CJ426" s="2">
        <f t="shared" si="281"/>
        <v>0</v>
      </c>
      <c r="CK426" s="2">
        <f t="shared" si="282"/>
        <v>0</v>
      </c>
      <c r="CL426" s="2">
        <f t="shared" si="283"/>
        <v>0</v>
      </c>
      <c r="CM426" s="2">
        <f t="shared" si="254"/>
        <v>0</v>
      </c>
      <c r="CN426" s="2">
        <f t="shared" si="255"/>
        <v>0</v>
      </c>
      <c r="CO426" s="2">
        <f t="shared" si="256"/>
        <v>0</v>
      </c>
      <c r="CP426" s="2">
        <f t="shared" si="257"/>
        <v>0</v>
      </c>
      <c r="CQ426" s="2">
        <f t="shared" si="258"/>
        <v>0</v>
      </c>
      <c r="CR426" s="2">
        <f t="shared" si="259"/>
        <v>0</v>
      </c>
      <c r="CV426" t="s">
        <v>64</v>
      </c>
      <c r="CW426" t="s">
        <v>499</v>
      </c>
      <c r="CX426" t="s">
        <v>18</v>
      </c>
      <c r="CY426" s="4">
        <v>42894</v>
      </c>
      <c r="CZ426" t="s">
        <v>67</v>
      </c>
      <c r="DA426" t="s">
        <v>68</v>
      </c>
      <c r="DB426">
        <v>26</v>
      </c>
      <c r="DC426">
        <v>59.93</v>
      </c>
      <c r="DD426" t="s">
        <v>69</v>
      </c>
      <c r="DE426" t="s">
        <v>70</v>
      </c>
      <c r="DF426">
        <v>1558.18</v>
      </c>
    </row>
    <row r="427" spans="1:110" x14ac:dyDescent="0.25">
      <c r="A427" s="1">
        <v>43354</v>
      </c>
      <c r="B427">
        <v>222.12</v>
      </c>
      <c r="C427">
        <v>107.87</v>
      </c>
      <c r="D427">
        <v>341.95</v>
      </c>
      <c r="E427">
        <v>140.22999999999999</v>
      </c>
      <c r="F427">
        <v>46.36</v>
      </c>
      <c r="G427">
        <v>112.77</v>
      </c>
      <c r="H427">
        <v>108.76</v>
      </c>
      <c r="I427">
        <v>69.61</v>
      </c>
      <c r="J427">
        <v>229.28</v>
      </c>
      <c r="K427">
        <v>212.58</v>
      </c>
      <c r="L427">
        <v>142.97999999999999</v>
      </c>
      <c r="M427">
        <v>44.37</v>
      </c>
      <c r="N427">
        <v>137.63</v>
      </c>
      <c r="O427">
        <v>112.72</v>
      </c>
      <c r="P427">
        <v>45.27</v>
      </c>
      <c r="Q427">
        <v>163.61000000000001</v>
      </c>
      <c r="R427">
        <v>208.9</v>
      </c>
      <c r="S427">
        <v>68.13</v>
      </c>
      <c r="T427">
        <v>110.76</v>
      </c>
      <c r="U427">
        <v>82.39</v>
      </c>
      <c r="V427">
        <v>41.62</v>
      </c>
      <c r="W427">
        <v>80.650000000000006</v>
      </c>
      <c r="X427">
        <v>127.07</v>
      </c>
      <c r="Y427">
        <v>260.20999999999998</v>
      </c>
      <c r="Z427">
        <v>132.06</v>
      </c>
      <c r="AA427">
        <v>144.97999999999999</v>
      </c>
      <c r="AB427">
        <v>53.56</v>
      </c>
      <c r="AC427">
        <v>67.959999999999994</v>
      </c>
      <c r="AD427">
        <v>96.12</v>
      </c>
      <c r="AE427">
        <v>81.13</v>
      </c>
      <c r="AI427" s="2">
        <v>0</v>
      </c>
      <c r="AJ427" s="2">
        <f t="shared" si="288"/>
        <v>1300</v>
      </c>
      <c r="AK427" s="2">
        <f t="shared" si="288"/>
        <v>1300</v>
      </c>
      <c r="AL427" s="2">
        <f t="shared" si="288"/>
        <v>1300</v>
      </c>
      <c r="AM427" s="2">
        <f t="shared" si="288"/>
        <v>1300</v>
      </c>
      <c r="AN427" s="2">
        <f t="shared" si="288"/>
        <v>1300</v>
      </c>
      <c r="AO427" s="2">
        <f t="shared" si="288"/>
        <v>1300</v>
      </c>
      <c r="AP427" s="2">
        <f t="shared" si="288"/>
        <v>1180</v>
      </c>
      <c r="AQ427" s="2">
        <v>1000</v>
      </c>
      <c r="AR427" s="2">
        <v>0</v>
      </c>
      <c r="AS427" s="2">
        <v>10</v>
      </c>
      <c r="AT427" s="2">
        <v>0</v>
      </c>
      <c r="AU427" s="2">
        <v>0</v>
      </c>
      <c r="AV427" s="2">
        <v>0</v>
      </c>
      <c r="AW427" s="2">
        <v>0</v>
      </c>
      <c r="AX427" s="2">
        <v>0</v>
      </c>
      <c r="AY427" s="2">
        <v>0</v>
      </c>
      <c r="AZ427" s="2">
        <v>999</v>
      </c>
      <c r="BA427" s="2">
        <v>907</v>
      </c>
      <c r="BB427" s="2">
        <v>1069</v>
      </c>
      <c r="BC427" s="2">
        <v>-2000</v>
      </c>
      <c r="BD427" s="2">
        <v>-7500</v>
      </c>
      <c r="BE427" s="2">
        <v>5000</v>
      </c>
      <c r="BF427" s="2">
        <v>3000</v>
      </c>
      <c r="BG427" s="2">
        <v>5000</v>
      </c>
      <c r="BH427" s="2">
        <v>2500</v>
      </c>
      <c r="BI427" s="2">
        <v>3000</v>
      </c>
      <c r="BJ427" s="2">
        <v>-2000</v>
      </c>
      <c r="BK427" s="2">
        <v>1000</v>
      </c>
      <c r="BL427" s="2">
        <v>1000</v>
      </c>
      <c r="BO427" s="2">
        <f t="shared" si="251"/>
        <v>222120</v>
      </c>
      <c r="BP427" s="2">
        <f t="shared" si="261"/>
        <v>0</v>
      </c>
      <c r="BQ427" s="2">
        <f t="shared" si="262"/>
        <v>0</v>
      </c>
      <c r="BR427" s="2">
        <f t="shared" si="263"/>
        <v>0</v>
      </c>
      <c r="BS427" s="2">
        <f t="shared" si="264"/>
        <v>0</v>
      </c>
      <c r="BT427" s="2">
        <f t="shared" si="265"/>
        <v>0</v>
      </c>
      <c r="BU427" s="2">
        <f t="shared" si="266"/>
        <v>0</v>
      </c>
      <c r="BV427" s="2">
        <f t="shared" si="267"/>
        <v>0</v>
      </c>
      <c r="BW427" s="2">
        <f t="shared" si="268"/>
        <v>0</v>
      </c>
      <c r="BX427" s="2">
        <f t="shared" si="269"/>
        <v>0</v>
      </c>
      <c r="BY427" s="2">
        <f t="shared" si="270"/>
        <v>0</v>
      </c>
      <c r="BZ427" s="2">
        <f t="shared" si="271"/>
        <v>0</v>
      </c>
      <c r="CA427" s="2">
        <f t="shared" si="272"/>
        <v>0</v>
      </c>
      <c r="CB427" s="2">
        <f t="shared" si="273"/>
        <v>0</v>
      </c>
      <c r="CC427" s="2">
        <f t="shared" si="274"/>
        <v>0</v>
      </c>
      <c r="CD427" s="2">
        <f t="shared" si="275"/>
        <v>0</v>
      </c>
      <c r="CE427" s="2">
        <f t="shared" si="276"/>
        <v>0</v>
      </c>
      <c r="CF427" s="2">
        <f t="shared" si="277"/>
        <v>1703.25</v>
      </c>
      <c r="CG427" s="2">
        <f t="shared" si="278"/>
        <v>20490.600000000002</v>
      </c>
      <c r="CH427" s="2">
        <f t="shared" si="279"/>
        <v>1977.3600000000001</v>
      </c>
      <c r="CI427" s="2">
        <f t="shared" si="280"/>
        <v>0</v>
      </c>
      <c r="CJ427" s="2">
        <f t="shared" si="281"/>
        <v>0</v>
      </c>
      <c r="CK427" s="2">
        <f t="shared" si="282"/>
        <v>0</v>
      </c>
      <c r="CL427" s="2">
        <f t="shared" si="283"/>
        <v>0</v>
      </c>
      <c r="CM427" s="2">
        <f t="shared" si="254"/>
        <v>0</v>
      </c>
      <c r="CN427" s="2">
        <f t="shared" si="255"/>
        <v>0</v>
      </c>
      <c r="CO427" s="2">
        <f t="shared" si="256"/>
        <v>0</v>
      </c>
      <c r="CP427" s="2">
        <f t="shared" si="257"/>
        <v>0</v>
      </c>
      <c r="CQ427" s="2">
        <f t="shared" si="258"/>
        <v>0</v>
      </c>
      <c r="CR427" s="2">
        <f t="shared" si="259"/>
        <v>0</v>
      </c>
      <c r="CV427" t="s">
        <v>64</v>
      </c>
      <c r="CW427" t="s">
        <v>500</v>
      </c>
      <c r="CX427" t="s">
        <v>18</v>
      </c>
      <c r="CY427" s="4">
        <v>42895</v>
      </c>
      <c r="CZ427" t="s">
        <v>67</v>
      </c>
      <c r="DA427" t="s">
        <v>68</v>
      </c>
      <c r="DB427">
        <v>9</v>
      </c>
      <c r="DC427">
        <v>61.05</v>
      </c>
      <c r="DD427" t="s">
        <v>69</v>
      </c>
      <c r="DE427" t="s">
        <v>70</v>
      </c>
      <c r="DF427">
        <v>549.44999999999993</v>
      </c>
    </row>
    <row r="428" spans="1:110" x14ac:dyDescent="0.25">
      <c r="A428" s="1">
        <v>43355</v>
      </c>
      <c r="B428">
        <v>219.36</v>
      </c>
      <c r="C428">
        <v>107.44</v>
      </c>
      <c r="D428">
        <v>350.03</v>
      </c>
      <c r="E428">
        <v>142.44999999999999</v>
      </c>
      <c r="F428">
        <v>46.22</v>
      </c>
      <c r="G428">
        <v>113.53</v>
      </c>
      <c r="H428">
        <v>108.62</v>
      </c>
      <c r="I428">
        <v>68.78</v>
      </c>
      <c r="J428">
        <v>227.23</v>
      </c>
      <c r="K428">
        <v>210.72</v>
      </c>
      <c r="L428">
        <v>143.06</v>
      </c>
      <c r="M428">
        <v>44.37</v>
      </c>
      <c r="N428">
        <v>138.47999999999999</v>
      </c>
      <c r="O428">
        <v>111.39</v>
      </c>
      <c r="P428">
        <v>45.49</v>
      </c>
      <c r="Q428">
        <v>163.72999999999999</v>
      </c>
      <c r="R428">
        <v>203.9</v>
      </c>
      <c r="S428">
        <v>68.900000000000006</v>
      </c>
      <c r="T428">
        <v>111.23</v>
      </c>
      <c r="U428">
        <v>82.75</v>
      </c>
      <c r="V428">
        <v>41.72</v>
      </c>
      <c r="W428">
        <v>81.739999999999995</v>
      </c>
      <c r="X428">
        <v>126.11</v>
      </c>
      <c r="Y428">
        <v>261.83</v>
      </c>
      <c r="Z428">
        <v>132.34</v>
      </c>
      <c r="AA428">
        <v>146.05000000000001</v>
      </c>
      <c r="AB428">
        <v>53.81</v>
      </c>
      <c r="AC428">
        <v>69.58</v>
      </c>
      <c r="AD428">
        <v>95.45</v>
      </c>
      <c r="AE428">
        <v>81.39</v>
      </c>
      <c r="AI428" s="2">
        <v>0</v>
      </c>
      <c r="AJ428" s="2">
        <f t="shared" si="288"/>
        <v>1300</v>
      </c>
      <c r="AK428" s="2">
        <f t="shared" si="288"/>
        <v>1300</v>
      </c>
      <c r="AL428" s="2">
        <f t="shared" si="288"/>
        <v>1300</v>
      </c>
      <c r="AM428" s="2">
        <f t="shared" si="288"/>
        <v>1300</v>
      </c>
      <c r="AN428" s="2">
        <f t="shared" si="288"/>
        <v>1300</v>
      </c>
      <c r="AO428" s="2">
        <f t="shared" si="288"/>
        <v>1300</v>
      </c>
      <c r="AP428" s="2">
        <f t="shared" si="288"/>
        <v>1180</v>
      </c>
      <c r="AQ428" s="2">
        <v>1000</v>
      </c>
      <c r="AR428" s="2">
        <v>0</v>
      </c>
      <c r="AS428" s="2">
        <v>10</v>
      </c>
      <c r="AT428" s="2">
        <v>0</v>
      </c>
      <c r="AU428" s="2">
        <v>0</v>
      </c>
      <c r="AV428" s="2">
        <v>0</v>
      </c>
      <c r="AW428" s="2">
        <v>0</v>
      </c>
      <c r="AX428" s="2">
        <v>0</v>
      </c>
      <c r="AY428" s="2">
        <v>0</v>
      </c>
      <c r="AZ428" s="2">
        <v>969</v>
      </c>
      <c r="BA428" s="2">
        <v>984</v>
      </c>
      <c r="BB428" s="2">
        <v>1027</v>
      </c>
      <c r="BC428" s="2">
        <v>-2000</v>
      </c>
      <c r="BD428" s="2">
        <v>-7500</v>
      </c>
      <c r="BE428" s="2">
        <v>5000</v>
      </c>
      <c r="BF428" s="2">
        <v>3000</v>
      </c>
      <c r="BG428" s="2">
        <v>5000</v>
      </c>
      <c r="BH428" s="2">
        <v>2500</v>
      </c>
      <c r="BI428" s="2">
        <v>3000</v>
      </c>
      <c r="BJ428" s="2">
        <v>-2000</v>
      </c>
      <c r="BK428" s="2">
        <v>1000</v>
      </c>
      <c r="BL428" s="2">
        <v>1000</v>
      </c>
      <c r="BO428" s="2">
        <f t="shared" si="251"/>
        <v>0</v>
      </c>
      <c r="BP428" s="2">
        <f t="shared" si="261"/>
        <v>0</v>
      </c>
      <c r="BQ428" s="2">
        <f t="shared" si="262"/>
        <v>0</v>
      </c>
      <c r="BR428" s="2">
        <f t="shared" si="263"/>
        <v>0</v>
      </c>
      <c r="BS428" s="2">
        <f t="shared" si="264"/>
        <v>0</v>
      </c>
      <c r="BT428" s="2">
        <f t="shared" si="265"/>
        <v>0</v>
      </c>
      <c r="BU428" s="2">
        <f t="shared" si="266"/>
        <v>0</v>
      </c>
      <c r="BV428" s="2">
        <f t="shared" si="267"/>
        <v>0</v>
      </c>
      <c r="BW428" s="2">
        <f t="shared" si="268"/>
        <v>0</v>
      </c>
      <c r="BX428" s="2">
        <f t="shared" si="269"/>
        <v>0</v>
      </c>
      <c r="BY428" s="2">
        <f t="shared" si="270"/>
        <v>0</v>
      </c>
      <c r="BZ428" s="2">
        <f t="shared" si="271"/>
        <v>0</v>
      </c>
      <c r="CA428" s="2">
        <f t="shared" si="272"/>
        <v>0</v>
      </c>
      <c r="CB428" s="2">
        <f t="shared" si="273"/>
        <v>0</v>
      </c>
      <c r="CC428" s="2">
        <f t="shared" si="274"/>
        <v>0</v>
      </c>
      <c r="CD428" s="2">
        <f t="shared" si="275"/>
        <v>0</v>
      </c>
      <c r="CE428" s="2">
        <f t="shared" si="276"/>
        <v>0</v>
      </c>
      <c r="CF428" s="2">
        <f t="shared" si="277"/>
        <v>2067</v>
      </c>
      <c r="CG428" s="2">
        <f t="shared" si="278"/>
        <v>-8564.7100000000009</v>
      </c>
      <c r="CH428" s="2">
        <f t="shared" si="279"/>
        <v>3475.5</v>
      </c>
      <c r="CI428" s="2">
        <f t="shared" si="280"/>
        <v>0</v>
      </c>
      <c r="CJ428" s="2">
        <f t="shared" si="281"/>
        <v>0</v>
      </c>
      <c r="CK428" s="2">
        <f t="shared" si="282"/>
        <v>0</v>
      </c>
      <c r="CL428" s="2">
        <f t="shared" si="283"/>
        <v>0</v>
      </c>
      <c r="CM428" s="2">
        <f t="shared" si="254"/>
        <v>0</v>
      </c>
      <c r="CN428" s="2">
        <f t="shared" si="255"/>
        <v>0</v>
      </c>
      <c r="CO428" s="2">
        <f t="shared" si="256"/>
        <v>0</v>
      </c>
      <c r="CP428" s="2">
        <f t="shared" si="257"/>
        <v>0</v>
      </c>
      <c r="CQ428" s="2">
        <f t="shared" si="258"/>
        <v>0</v>
      </c>
      <c r="CR428" s="2">
        <f t="shared" si="259"/>
        <v>0</v>
      </c>
      <c r="CV428" t="s">
        <v>64</v>
      </c>
      <c r="CW428" t="s">
        <v>501</v>
      </c>
      <c r="CX428" t="s">
        <v>18</v>
      </c>
      <c r="CY428" s="4">
        <v>42898</v>
      </c>
      <c r="CZ428" t="s">
        <v>65</v>
      </c>
      <c r="DA428" t="s">
        <v>66</v>
      </c>
      <c r="DB428">
        <v>53</v>
      </c>
      <c r="DC428">
        <v>61.05</v>
      </c>
      <c r="DD428" t="s">
        <v>69</v>
      </c>
      <c r="DE428" t="s">
        <v>70</v>
      </c>
      <c r="DF428">
        <v>3235.6499999999996</v>
      </c>
    </row>
    <row r="429" spans="1:110" x14ac:dyDescent="0.25">
      <c r="A429" s="1">
        <v>43356</v>
      </c>
      <c r="B429">
        <v>224.66</v>
      </c>
      <c r="C429">
        <v>108.22</v>
      </c>
      <c r="D429">
        <v>352.06</v>
      </c>
      <c r="E429">
        <v>143.69</v>
      </c>
      <c r="F429">
        <v>46.56</v>
      </c>
      <c r="G429">
        <v>114.03</v>
      </c>
      <c r="H429">
        <v>109.82</v>
      </c>
      <c r="I429">
        <v>68.459999999999994</v>
      </c>
      <c r="J429">
        <v>227.41</v>
      </c>
      <c r="K429">
        <v>208.2</v>
      </c>
      <c r="L429">
        <v>145.38</v>
      </c>
      <c r="M429">
        <v>45</v>
      </c>
      <c r="N429">
        <v>139</v>
      </c>
      <c r="O429">
        <v>111.82</v>
      </c>
      <c r="P429">
        <v>45.47</v>
      </c>
      <c r="Q429">
        <v>161.4</v>
      </c>
      <c r="R429">
        <v>206.21</v>
      </c>
      <c r="S429">
        <v>69.86</v>
      </c>
      <c r="T429">
        <v>112.42</v>
      </c>
      <c r="U429">
        <v>83.22</v>
      </c>
      <c r="V429">
        <v>42.15</v>
      </c>
      <c r="W429">
        <v>82.07</v>
      </c>
      <c r="X429">
        <v>128.04</v>
      </c>
      <c r="Y429">
        <v>264.64</v>
      </c>
      <c r="Z429">
        <v>133.94999999999999</v>
      </c>
      <c r="AA429">
        <v>147.11000000000001</v>
      </c>
      <c r="AB429">
        <v>53.78</v>
      </c>
      <c r="AC429">
        <v>69.680000000000007</v>
      </c>
      <c r="AD429">
        <v>94.6</v>
      </c>
      <c r="AE429">
        <v>80.599999999999994</v>
      </c>
      <c r="AI429" s="2">
        <v>0</v>
      </c>
      <c r="AJ429" s="2">
        <f t="shared" si="288"/>
        <v>1300</v>
      </c>
      <c r="AK429" s="2">
        <f t="shared" si="288"/>
        <v>1300</v>
      </c>
      <c r="AL429" s="2">
        <f t="shared" si="288"/>
        <v>1300</v>
      </c>
      <c r="AM429" s="2">
        <f t="shared" si="288"/>
        <v>1300</v>
      </c>
      <c r="AN429" s="2">
        <f t="shared" si="288"/>
        <v>1300</v>
      </c>
      <c r="AO429" s="2">
        <f t="shared" si="288"/>
        <v>1300</v>
      </c>
      <c r="AP429" s="2">
        <f t="shared" si="288"/>
        <v>1180</v>
      </c>
      <c r="AQ429" s="2">
        <v>1000</v>
      </c>
      <c r="AR429" s="2">
        <v>0</v>
      </c>
      <c r="AS429" s="2">
        <v>10</v>
      </c>
      <c r="AT429" s="2">
        <v>0</v>
      </c>
      <c r="AU429" s="2">
        <v>0</v>
      </c>
      <c r="AV429" s="2">
        <v>0</v>
      </c>
      <c r="AW429" s="2">
        <v>0</v>
      </c>
      <c r="AX429" s="2">
        <v>0</v>
      </c>
      <c r="AY429" s="2">
        <v>0</v>
      </c>
      <c r="AZ429" s="2">
        <v>1025</v>
      </c>
      <c r="BA429" s="2">
        <v>1096</v>
      </c>
      <c r="BB429" s="2">
        <v>948</v>
      </c>
      <c r="BC429" s="2">
        <v>-2000</v>
      </c>
      <c r="BD429" s="2">
        <v>-7500</v>
      </c>
      <c r="BE429" s="2">
        <v>5000</v>
      </c>
      <c r="BF429" s="2">
        <v>3000</v>
      </c>
      <c r="BG429" s="2">
        <v>5000</v>
      </c>
      <c r="BH429" s="2">
        <v>2500</v>
      </c>
      <c r="BI429" s="2">
        <v>3000</v>
      </c>
      <c r="BJ429" s="2">
        <v>-2000</v>
      </c>
      <c r="BK429" s="2">
        <v>1000</v>
      </c>
      <c r="BL429" s="2">
        <v>1000</v>
      </c>
      <c r="BO429" s="2">
        <f t="shared" si="251"/>
        <v>0</v>
      </c>
      <c r="BP429" s="2">
        <f t="shared" si="261"/>
        <v>0</v>
      </c>
      <c r="BQ429" s="2">
        <f t="shared" si="262"/>
        <v>0</v>
      </c>
      <c r="BR429" s="2">
        <f t="shared" si="263"/>
        <v>0</v>
      </c>
      <c r="BS429" s="2">
        <f t="shared" si="264"/>
        <v>0</v>
      </c>
      <c r="BT429" s="2">
        <f t="shared" si="265"/>
        <v>0</v>
      </c>
      <c r="BU429" s="2">
        <f t="shared" si="266"/>
        <v>0</v>
      </c>
      <c r="BV429" s="2">
        <f t="shared" si="267"/>
        <v>0</v>
      </c>
      <c r="BW429" s="2">
        <f t="shared" si="268"/>
        <v>0</v>
      </c>
      <c r="BX429" s="2">
        <f t="shared" si="269"/>
        <v>0</v>
      </c>
      <c r="BY429" s="2">
        <f t="shared" si="270"/>
        <v>0</v>
      </c>
      <c r="BZ429" s="2">
        <f t="shared" si="271"/>
        <v>0</v>
      </c>
      <c r="CA429" s="2">
        <f t="shared" si="272"/>
        <v>0</v>
      </c>
      <c r="CB429" s="2">
        <f t="shared" si="273"/>
        <v>0</v>
      </c>
      <c r="CC429" s="2">
        <f t="shared" si="274"/>
        <v>0</v>
      </c>
      <c r="CD429" s="2">
        <f t="shared" si="275"/>
        <v>0</v>
      </c>
      <c r="CE429" s="2">
        <f t="shared" si="276"/>
        <v>0</v>
      </c>
      <c r="CF429" s="2">
        <f t="shared" si="277"/>
        <v>-3912.16</v>
      </c>
      <c r="CG429" s="2">
        <f t="shared" si="278"/>
        <v>-12591.04</v>
      </c>
      <c r="CH429" s="2">
        <f t="shared" si="279"/>
        <v>6574.38</v>
      </c>
      <c r="CI429" s="2">
        <f t="shared" si="280"/>
        <v>0</v>
      </c>
      <c r="CJ429" s="2">
        <f t="shared" si="281"/>
        <v>0</v>
      </c>
      <c r="CK429" s="2">
        <f t="shared" si="282"/>
        <v>0</v>
      </c>
      <c r="CL429" s="2">
        <f t="shared" si="283"/>
        <v>0</v>
      </c>
      <c r="CM429" s="2">
        <f t="shared" si="254"/>
        <v>0</v>
      </c>
      <c r="CN429" s="2">
        <f t="shared" si="255"/>
        <v>0</v>
      </c>
      <c r="CO429" s="2">
        <f t="shared" si="256"/>
        <v>0</v>
      </c>
      <c r="CP429" s="2">
        <f t="shared" si="257"/>
        <v>0</v>
      </c>
      <c r="CQ429" s="2">
        <f t="shared" si="258"/>
        <v>0</v>
      </c>
      <c r="CR429" s="2">
        <f t="shared" si="259"/>
        <v>0</v>
      </c>
      <c r="CV429" t="s">
        <v>64</v>
      </c>
      <c r="CW429" t="s">
        <v>502</v>
      </c>
      <c r="CX429" t="s">
        <v>18</v>
      </c>
      <c r="CY429" s="4">
        <v>42899</v>
      </c>
      <c r="CZ429" t="s">
        <v>67</v>
      </c>
      <c r="DA429" t="s">
        <v>68</v>
      </c>
      <c r="DB429">
        <v>71</v>
      </c>
      <c r="DC429">
        <v>60.43</v>
      </c>
      <c r="DD429" t="s">
        <v>69</v>
      </c>
      <c r="DE429" t="s">
        <v>70</v>
      </c>
      <c r="DF429">
        <v>4290.53</v>
      </c>
    </row>
    <row r="430" spans="1:110" x14ac:dyDescent="0.25">
      <c r="A430" s="1">
        <v>43357</v>
      </c>
      <c r="B430">
        <v>222.11</v>
      </c>
      <c r="C430">
        <v>109.11</v>
      </c>
      <c r="D430">
        <v>356.36</v>
      </c>
      <c r="E430">
        <v>143.06</v>
      </c>
      <c r="F430">
        <v>46.72</v>
      </c>
      <c r="G430">
        <v>115.09</v>
      </c>
      <c r="H430">
        <v>108.42</v>
      </c>
      <c r="I430">
        <v>68.12</v>
      </c>
      <c r="J430">
        <v>228.32</v>
      </c>
      <c r="K430">
        <v>207.83</v>
      </c>
      <c r="L430">
        <v>144.78</v>
      </c>
      <c r="M430">
        <v>44.97</v>
      </c>
      <c r="N430">
        <v>138.61000000000001</v>
      </c>
      <c r="O430">
        <v>111.8</v>
      </c>
      <c r="P430">
        <v>45.63</v>
      </c>
      <c r="Q430">
        <v>159.85</v>
      </c>
      <c r="R430">
        <v>205.05</v>
      </c>
      <c r="S430">
        <v>69.489999999999995</v>
      </c>
      <c r="T430">
        <v>112.88</v>
      </c>
      <c r="U430">
        <v>83.24</v>
      </c>
      <c r="V430">
        <v>42.26</v>
      </c>
      <c r="W430">
        <v>82.23</v>
      </c>
      <c r="X430">
        <v>129.21</v>
      </c>
      <c r="Y430">
        <v>264.45999999999998</v>
      </c>
      <c r="Z430">
        <v>136.19999999999999</v>
      </c>
      <c r="AA430">
        <v>147.32</v>
      </c>
      <c r="AB430">
        <v>53.4</v>
      </c>
      <c r="AC430">
        <v>69.48</v>
      </c>
      <c r="AD430">
        <v>94.08</v>
      </c>
      <c r="AE430">
        <v>81.19</v>
      </c>
      <c r="AI430" s="2">
        <v>0</v>
      </c>
      <c r="AJ430" s="2">
        <f t="shared" si="288"/>
        <v>1300</v>
      </c>
      <c r="AK430" s="2">
        <f t="shared" si="288"/>
        <v>1300</v>
      </c>
      <c r="AL430" s="2">
        <f t="shared" si="288"/>
        <v>1300</v>
      </c>
      <c r="AM430" s="2">
        <f t="shared" si="288"/>
        <v>1300</v>
      </c>
      <c r="AN430" s="2">
        <f t="shared" si="288"/>
        <v>1300</v>
      </c>
      <c r="AO430" s="2">
        <f t="shared" si="288"/>
        <v>1300</v>
      </c>
      <c r="AP430" s="2">
        <f t="shared" si="288"/>
        <v>1180</v>
      </c>
      <c r="AQ430" s="2">
        <v>1000</v>
      </c>
      <c r="AR430" s="2">
        <v>0</v>
      </c>
      <c r="AS430" s="2">
        <v>10</v>
      </c>
      <c r="AT430" s="2">
        <v>0</v>
      </c>
      <c r="AU430" s="2">
        <v>0</v>
      </c>
      <c r="AV430" s="2">
        <v>0</v>
      </c>
      <c r="AW430" s="2">
        <v>0</v>
      </c>
      <c r="AX430" s="2">
        <v>0</v>
      </c>
      <c r="AY430" s="2">
        <v>0</v>
      </c>
      <c r="AZ430" s="2">
        <v>1014</v>
      </c>
      <c r="BA430" s="2">
        <v>1009</v>
      </c>
      <c r="BB430" s="2">
        <v>1059</v>
      </c>
      <c r="BC430" s="2">
        <v>-2000</v>
      </c>
      <c r="BD430" s="2">
        <v>-7500</v>
      </c>
      <c r="BE430" s="2">
        <v>5000</v>
      </c>
      <c r="BF430" s="2">
        <v>3000</v>
      </c>
      <c r="BG430" s="2">
        <v>5000</v>
      </c>
      <c r="BH430" s="2">
        <v>2500</v>
      </c>
      <c r="BI430" s="2">
        <v>3000</v>
      </c>
      <c r="BJ430" s="2">
        <v>-2000</v>
      </c>
      <c r="BK430" s="2">
        <v>1000</v>
      </c>
      <c r="BL430" s="2">
        <v>1000</v>
      </c>
      <c r="BO430" s="2">
        <f t="shared" si="251"/>
        <v>0</v>
      </c>
      <c r="BP430" s="2">
        <f t="shared" si="261"/>
        <v>0</v>
      </c>
      <c r="BQ430" s="2">
        <f t="shared" si="262"/>
        <v>0</v>
      </c>
      <c r="BR430" s="2">
        <f t="shared" si="263"/>
        <v>0</v>
      </c>
      <c r="BS430" s="2">
        <f t="shared" si="264"/>
        <v>0</v>
      </c>
      <c r="BT430" s="2">
        <f t="shared" si="265"/>
        <v>0</v>
      </c>
      <c r="BU430" s="2">
        <f t="shared" si="266"/>
        <v>0</v>
      </c>
      <c r="BV430" s="2">
        <f t="shared" si="267"/>
        <v>0</v>
      </c>
      <c r="BW430" s="2">
        <f t="shared" si="268"/>
        <v>0</v>
      </c>
      <c r="BX430" s="2">
        <f t="shared" si="269"/>
        <v>0</v>
      </c>
      <c r="BY430" s="2">
        <f t="shared" si="270"/>
        <v>0</v>
      </c>
      <c r="BZ430" s="2">
        <f t="shared" si="271"/>
        <v>0</v>
      </c>
      <c r="CA430" s="2">
        <f t="shared" si="272"/>
        <v>0</v>
      </c>
      <c r="CB430" s="2">
        <f t="shared" si="273"/>
        <v>0</v>
      </c>
      <c r="CC430" s="2">
        <f t="shared" si="274"/>
        <v>0</v>
      </c>
      <c r="CD430" s="2">
        <f t="shared" si="275"/>
        <v>0</v>
      </c>
      <c r="CE430" s="2">
        <f t="shared" si="276"/>
        <v>0</v>
      </c>
      <c r="CF430" s="2">
        <f t="shared" si="277"/>
        <v>764.39</v>
      </c>
      <c r="CG430" s="2">
        <f t="shared" si="278"/>
        <v>9820.56</v>
      </c>
      <c r="CH430" s="2">
        <f t="shared" si="279"/>
        <v>-9239.64</v>
      </c>
      <c r="CI430" s="2">
        <f t="shared" si="280"/>
        <v>0</v>
      </c>
      <c r="CJ430" s="2">
        <f t="shared" si="281"/>
        <v>0</v>
      </c>
      <c r="CK430" s="2">
        <f t="shared" si="282"/>
        <v>0</v>
      </c>
      <c r="CL430" s="2">
        <f t="shared" si="283"/>
        <v>0</v>
      </c>
      <c r="CM430" s="2">
        <f t="shared" si="254"/>
        <v>0</v>
      </c>
      <c r="CN430" s="2">
        <f t="shared" si="255"/>
        <v>0</v>
      </c>
      <c r="CO430" s="2">
        <f t="shared" si="256"/>
        <v>0</v>
      </c>
      <c r="CP430" s="2">
        <f t="shared" si="257"/>
        <v>0</v>
      </c>
      <c r="CQ430" s="2">
        <f t="shared" si="258"/>
        <v>0</v>
      </c>
      <c r="CR430" s="2">
        <f t="shared" si="259"/>
        <v>0</v>
      </c>
      <c r="CV430" t="s">
        <v>64</v>
      </c>
      <c r="CW430" t="s">
        <v>503</v>
      </c>
      <c r="CX430" t="s">
        <v>18</v>
      </c>
      <c r="CY430" s="4">
        <v>42900</v>
      </c>
      <c r="CZ430" t="s">
        <v>65</v>
      </c>
      <c r="DA430" t="s">
        <v>66</v>
      </c>
      <c r="DB430">
        <v>79</v>
      </c>
      <c r="DC430">
        <v>60.53</v>
      </c>
      <c r="DD430" t="s">
        <v>69</v>
      </c>
      <c r="DE430" t="s">
        <v>70</v>
      </c>
      <c r="DF430">
        <v>4781.87</v>
      </c>
    </row>
    <row r="431" spans="1:110" x14ac:dyDescent="0.25">
      <c r="A431" s="1">
        <v>43360</v>
      </c>
      <c r="B431">
        <v>216.2</v>
      </c>
      <c r="C431">
        <v>108.75</v>
      </c>
      <c r="D431">
        <v>352.55</v>
      </c>
      <c r="E431">
        <v>144.37</v>
      </c>
      <c r="F431">
        <v>46.43</v>
      </c>
      <c r="G431">
        <v>115.21</v>
      </c>
      <c r="H431">
        <v>108.52</v>
      </c>
      <c r="I431">
        <v>68.36</v>
      </c>
      <c r="J431">
        <v>226.97</v>
      </c>
      <c r="K431">
        <v>207.16</v>
      </c>
      <c r="L431">
        <v>144.4</v>
      </c>
      <c r="M431">
        <v>44.85</v>
      </c>
      <c r="N431">
        <v>139.07</v>
      </c>
      <c r="O431">
        <v>112.14</v>
      </c>
      <c r="P431">
        <v>45.96</v>
      </c>
      <c r="Q431">
        <v>157.16999999999999</v>
      </c>
      <c r="R431">
        <v>206.68</v>
      </c>
      <c r="S431">
        <v>69.930000000000007</v>
      </c>
      <c r="T431">
        <v>111.66</v>
      </c>
      <c r="U431">
        <v>83.01</v>
      </c>
      <c r="V431">
        <v>42.31</v>
      </c>
      <c r="W431">
        <v>82.86</v>
      </c>
      <c r="X431">
        <v>129.09</v>
      </c>
      <c r="Y431">
        <v>263.02999999999997</v>
      </c>
      <c r="Z431">
        <v>136.16999999999999</v>
      </c>
      <c r="AA431">
        <v>145.66</v>
      </c>
      <c r="AB431">
        <v>53.54</v>
      </c>
      <c r="AC431">
        <v>69.650000000000006</v>
      </c>
      <c r="AD431">
        <v>94.31</v>
      </c>
      <c r="AE431">
        <v>81.67</v>
      </c>
      <c r="AI431" s="2">
        <v>0</v>
      </c>
      <c r="AJ431" s="2">
        <f t="shared" si="288"/>
        <v>1300</v>
      </c>
      <c r="AK431" s="2">
        <f t="shared" si="288"/>
        <v>1300</v>
      </c>
      <c r="AL431" s="2">
        <f t="shared" si="288"/>
        <v>1300</v>
      </c>
      <c r="AM431" s="2">
        <f t="shared" si="288"/>
        <v>1300</v>
      </c>
      <c r="AN431" s="2">
        <f t="shared" si="288"/>
        <v>1300</v>
      </c>
      <c r="AO431" s="2">
        <f t="shared" si="288"/>
        <v>1300</v>
      </c>
      <c r="AP431" s="2">
        <f t="shared" si="288"/>
        <v>1180</v>
      </c>
      <c r="AQ431" s="2">
        <v>1000</v>
      </c>
      <c r="AR431" s="2">
        <v>0</v>
      </c>
      <c r="AS431" s="2">
        <v>10</v>
      </c>
      <c r="AT431" s="2">
        <v>0</v>
      </c>
      <c r="AU431" s="2">
        <v>0</v>
      </c>
      <c r="AV431" s="2">
        <v>0</v>
      </c>
      <c r="AW431" s="2">
        <v>0</v>
      </c>
      <c r="AX431" s="2">
        <v>0</v>
      </c>
      <c r="AY431" s="2">
        <v>0</v>
      </c>
      <c r="AZ431" s="2">
        <v>987</v>
      </c>
      <c r="BA431" s="2">
        <v>908</v>
      </c>
      <c r="BB431" s="2">
        <v>1089</v>
      </c>
      <c r="BC431" s="2">
        <v>-2000</v>
      </c>
      <c r="BD431" s="2">
        <v>-7500</v>
      </c>
      <c r="BE431" s="2">
        <v>5000</v>
      </c>
      <c r="BF431" s="2">
        <v>3000</v>
      </c>
      <c r="BG431" s="2">
        <v>5000</v>
      </c>
      <c r="BH431" s="2">
        <v>2500</v>
      </c>
      <c r="BI431" s="2">
        <v>3000</v>
      </c>
      <c r="BJ431" s="2">
        <v>-2000</v>
      </c>
      <c r="BK431" s="2">
        <v>1000</v>
      </c>
      <c r="BL431" s="2">
        <v>1000</v>
      </c>
      <c r="BO431" s="2">
        <f t="shared" si="251"/>
        <v>0</v>
      </c>
      <c r="BP431" s="2">
        <f t="shared" si="261"/>
        <v>0</v>
      </c>
      <c r="BQ431" s="2">
        <f t="shared" si="262"/>
        <v>0</v>
      </c>
      <c r="BR431" s="2">
        <f t="shared" si="263"/>
        <v>0</v>
      </c>
      <c r="BS431" s="2">
        <f t="shared" si="264"/>
        <v>0</v>
      </c>
      <c r="BT431" s="2">
        <f t="shared" si="265"/>
        <v>0</v>
      </c>
      <c r="BU431" s="2">
        <f t="shared" si="266"/>
        <v>0</v>
      </c>
      <c r="BV431" s="2">
        <f t="shared" si="267"/>
        <v>0</v>
      </c>
      <c r="BW431" s="2">
        <f t="shared" si="268"/>
        <v>0</v>
      </c>
      <c r="BX431" s="2">
        <f t="shared" si="269"/>
        <v>0</v>
      </c>
      <c r="BY431" s="2">
        <f t="shared" si="270"/>
        <v>0</v>
      </c>
      <c r="BZ431" s="2">
        <f t="shared" si="271"/>
        <v>0</v>
      </c>
      <c r="CA431" s="2">
        <f t="shared" si="272"/>
        <v>0</v>
      </c>
      <c r="CB431" s="2">
        <f t="shared" si="273"/>
        <v>0</v>
      </c>
      <c r="CC431" s="2">
        <f t="shared" si="274"/>
        <v>0</v>
      </c>
      <c r="CD431" s="2">
        <f t="shared" si="275"/>
        <v>0</v>
      </c>
      <c r="CE431" s="2">
        <f t="shared" si="276"/>
        <v>0</v>
      </c>
      <c r="CF431" s="2">
        <f t="shared" si="277"/>
        <v>1888.1100000000001</v>
      </c>
      <c r="CG431" s="2">
        <f t="shared" si="278"/>
        <v>11277.66</v>
      </c>
      <c r="CH431" s="2">
        <f t="shared" si="279"/>
        <v>-2490.3000000000002</v>
      </c>
      <c r="CI431" s="2">
        <f t="shared" si="280"/>
        <v>0</v>
      </c>
      <c r="CJ431" s="2">
        <f t="shared" si="281"/>
        <v>0</v>
      </c>
      <c r="CK431" s="2">
        <f t="shared" si="282"/>
        <v>0</v>
      </c>
      <c r="CL431" s="2">
        <f t="shared" si="283"/>
        <v>0</v>
      </c>
      <c r="CM431" s="2">
        <f t="shared" si="254"/>
        <v>0</v>
      </c>
      <c r="CN431" s="2">
        <f t="shared" si="255"/>
        <v>0</v>
      </c>
      <c r="CO431" s="2">
        <f t="shared" si="256"/>
        <v>0</v>
      </c>
      <c r="CP431" s="2">
        <f t="shared" si="257"/>
        <v>0</v>
      </c>
      <c r="CQ431" s="2">
        <f t="shared" si="258"/>
        <v>0</v>
      </c>
      <c r="CR431" s="2">
        <f t="shared" si="259"/>
        <v>0</v>
      </c>
      <c r="CV431" t="s">
        <v>64</v>
      </c>
      <c r="CW431" t="s">
        <v>504</v>
      </c>
      <c r="CX431" t="s">
        <v>18</v>
      </c>
      <c r="CY431" s="4">
        <v>42901</v>
      </c>
      <c r="CZ431" t="s">
        <v>67</v>
      </c>
      <c r="DA431" t="s">
        <v>68</v>
      </c>
      <c r="DB431">
        <v>56</v>
      </c>
      <c r="DC431">
        <v>60.36</v>
      </c>
      <c r="DD431" t="s">
        <v>69</v>
      </c>
      <c r="DE431" t="s">
        <v>70</v>
      </c>
      <c r="DF431">
        <v>3380.16</v>
      </c>
    </row>
    <row r="432" spans="1:110" x14ac:dyDescent="0.25">
      <c r="A432" s="1">
        <v>43361</v>
      </c>
      <c r="B432">
        <v>216.55</v>
      </c>
      <c r="C432">
        <v>109.19</v>
      </c>
      <c r="D432">
        <v>360.1</v>
      </c>
      <c r="E432">
        <v>147.18</v>
      </c>
      <c r="F432">
        <v>46.78</v>
      </c>
      <c r="G432">
        <v>115.82</v>
      </c>
      <c r="H432">
        <v>108.69</v>
      </c>
      <c r="I432">
        <v>67.58</v>
      </c>
      <c r="J432">
        <v>227.97</v>
      </c>
      <c r="K432">
        <v>209.77</v>
      </c>
      <c r="L432">
        <v>145</v>
      </c>
      <c r="M432">
        <v>45.52</v>
      </c>
      <c r="N432">
        <v>139.65</v>
      </c>
      <c r="O432">
        <v>112.59</v>
      </c>
      <c r="P432">
        <v>45.57</v>
      </c>
      <c r="Q432">
        <v>156.80000000000001</v>
      </c>
      <c r="R432">
        <v>208.65</v>
      </c>
      <c r="S432">
        <v>69.930000000000007</v>
      </c>
      <c r="T432">
        <v>112.72</v>
      </c>
      <c r="U432">
        <v>85.01</v>
      </c>
      <c r="V432">
        <v>42.8</v>
      </c>
      <c r="W432">
        <v>82.61</v>
      </c>
      <c r="X432">
        <v>130.56</v>
      </c>
      <c r="Y432">
        <v>262.45</v>
      </c>
      <c r="Z432">
        <v>137.96</v>
      </c>
      <c r="AA432">
        <v>147.11000000000001</v>
      </c>
      <c r="AB432">
        <v>53.24</v>
      </c>
      <c r="AC432">
        <v>70.069999999999993</v>
      </c>
      <c r="AD432">
        <v>94.91</v>
      </c>
      <c r="AE432">
        <v>81.88</v>
      </c>
      <c r="AI432" s="2">
        <v>0</v>
      </c>
      <c r="AJ432" s="2">
        <f t="shared" si="288"/>
        <v>1300</v>
      </c>
      <c r="AK432" s="2">
        <f t="shared" si="288"/>
        <v>1300</v>
      </c>
      <c r="AL432" s="2">
        <f t="shared" si="288"/>
        <v>1300</v>
      </c>
      <c r="AM432" s="2">
        <f t="shared" si="288"/>
        <v>1300</v>
      </c>
      <c r="AN432" s="2">
        <f t="shared" si="288"/>
        <v>1300</v>
      </c>
      <c r="AO432" s="2">
        <f t="shared" si="288"/>
        <v>1300</v>
      </c>
      <c r="AP432" s="2">
        <f t="shared" si="288"/>
        <v>1180</v>
      </c>
      <c r="AQ432" s="2">
        <v>1000</v>
      </c>
      <c r="AR432" s="2">
        <v>0</v>
      </c>
      <c r="AS432" s="2">
        <v>10</v>
      </c>
      <c r="AT432" s="2">
        <v>0</v>
      </c>
      <c r="AU432" s="2">
        <v>0</v>
      </c>
      <c r="AV432" s="2">
        <v>0</v>
      </c>
      <c r="AW432" s="2">
        <v>0</v>
      </c>
      <c r="AX432" s="2">
        <v>0</v>
      </c>
      <c r="AY432" s="2">
        <v>0</v>
      </c>
      <c r="AZ432" s="2">
        <v>976</v>
      </c>
      <c r="BA432" s="2">
        <v>905</v>
      </c>
      <c r="BB432" s="2">
        <v>956</v>
      </c>
      <c r="BC432" s="2">
        <v>-2000</v>
      </c>
      <c r="BD432" s="2">
        <v>-7500</v>
      </c>
      <c r="BE432" s="2">
        <v>5000</v>
      </c>
      <c r="BF432" s="2">
        <v>3000</v>
      </c>
      <c r="BG432" s="2">
        <v>5000</v>
      </c>
      <c r="BH432" s="2">
        <v>2500</v>
      </c>
      <c r="BI432" s="2">
        <v>3000</v>
      </c>
      <c r="BJ432" s="2">
        <v>-2000</v>
      </c>
      <c r="BK432" s="2">
        <v>1000</v>
      </c>
      <c r="BL432" s="2">
        <v>1000</v>
      </c>
      <c r="BO432" s="2">
        <f t="shared" si="251"/>
        <v>0</v>
      </c>
      <c r="BP432" s="2">
        <f t="shared" si="261"/>
        <v>0</v>
      </c>
      <c r="BQ432" s="2">
        <f t="shared" si="262"/>
        <v>0</v>
      </c>
      <c r="BR432" s="2">
        <f t="shared" si="263"/>
        <v>0</v>
      </c>
      <c r="BS432" s="2">
        <f t="shared" si="264"/>
        <v>0</v>
      </c>
      <c r="BT432" s="2">
        <f t="shared" si="265"/>
        <v>0</v>
      </c>
      <c r="BU432" s="2">
        <f t="shared" si="266"/>
        <v>0</v>
      </c>
      <c r="BV432" s="2">
        <f t="shared" si="267"/>
        <v>0</v>
      </c>
      <c r="BW432" s="2">
        <f t="shared" si="268"/>
        <v>0</v>
      </c>
      <c r="BX432" s="2">
        <f t="shared" si="269"/>
        <v>0</v>
      </c>
      <c r="BY432" s="2">
        <f t="shared" si="270"/>
        <v>0</v>
      </c>
      <c r="BZ432" s="2">
        <f t="shared" si="271"/>
        <v>0</v>
      </c>
      <c r="CA432" s="2">
        <f t="shared" si="272"/>
        <v>0</v>
      </c>
      <c r="CB432" s="2">
        <f t="shared" si="273"/>
        <v>0</v>
      </c>
      <c r="CC432" s="2">
        <f t="shared" si="274"/>
        <v>0</v>
      </c>
      <c r="CD432" s="2">
        <f t="shared" si="275"/>
        <v>0</v>
      </c>
      <c r="CE432" s="2">
        <f t="shared" si="276"/>
        <v>0</v>
      </c>
      <c r="CF432" s="2">
        <f t="shared" si="277"/>
        <v>769.23</v>
      </c>
      <c r="CG432" s="2">
        <f t="shared" si="278"/>
        <v>338.15999999999997</v>
      </c>
      <c r="CH432" s="2">
        <f t="shared" si="279"/>
        <v>11306.33</v>
      </c>
      <c r="CI432" s="2">
        <f t="shared" si="280"/>
        <v>0</v>
      </c>
      <c r="CJ432" s="2">
        <f t="shared" si="281"/>
        <v>0</v>
      </c>
      <c r="CK432" s="2">
        <f t="shared" si="282"/>
        <v>0</v>
      </c>
      <c r="CL432" s="2">
        <f t="shared" si="283"/>
        <v>0</v>
      </c>
      <c r="CM432" s="2">
        <f t="shared" si="254"/>
        <v>0</v>
      </c>
      <c r="CN432" s="2">
        <f t="shared" si="255"/>
        <v>0</v>
      </c>
      <c r="CO432" s="2">
        <f t="shared" si="256"/>
        <v>0</v>
      </c>
      <c r="CP432" s="2">
        <f t="shared" si="257"/>
        <v>0</v>
      </c>
      <c r="CQ432" s="2">
        <f t="shared" si="258"/>
        <v>0</v>
      </c>
      <c r="CR432" s="2">
        <f t="shared" si="259"/>
        <v>0</v>
      </c>
      <c r="CV432" t="s">
        <v>64</v>
      </c>
      <c r="CW432" t="s">
        <v>505</v>
      </c>
      <c r="CX432" t="s">
        <v>18</v>
      </c>
      <c r="CY432" s="4">
        <v>42902</v>
      </c>
      <c r="CZ432" t="s">
        <v>65</v>
      </c>
      <c r="DA432" t="s">
        <v>66</v>
      </c>
      <c r="DB432">
        <v>30</v>
      </c>
      <c r="DC432">
        <v>60.15</v>
      </c>
      <c r="DD432" t="s">
        <v>69</v>
      </c>
      <c r="DE432" t="s">
        <v>70</v>
      </c>
      <c r="DF432">
        <v>1804.5</v>
      </c>
    </row>
    <row r="433" spans="1:110" x14ac:dyDescent="0.25">
      <c r="A433" s="1">
        <v>43362</v>
      </c>
      <c r="B433">
        <v>216.68</v>
      </c>
      <c r="C433">
        <v>109.65</v>
      </c>
      <c r="D433">
        <v>361.72</v>
      </c>
      <c r="E433">
        <v>150.82</v>
      </c>
      <c r="F433">
        <v>46.6</v>
      </c>
      <c r="G433">
        <v>117.18</v>
      </c>
      <c r="H433">
        <v>108.94</v>
      </c>
      <c r="I433">
        <v>68.27</v>
      </c>
      <c r="J433">
        <v>234.63</v>
      </c>
      <c r="K433">
        <v>210.42</v>
      </c>
      <c r="L433">
        <v>145.49</v>
      </c>
      <c r="M433">
        <v>45.57</v>
      </c>
      <c r="N433">
        <v>139.57</v>
      </c>
      <c r="O433">
        <v>115.86</v>
      </c>
      <c r="P433">
        <v>45.6</v>
      </c>
      <c r="Q433">
        <v>158.19999999999999</v>
      </c>
      <c r="R433">
        <v>210.22</v>
      </c>
      <c r="S433">
        <v>69.489999999999995</v>
      </c>
      <c r="T433">
        <v>111.22</v>
      </c>
      <c r="U433">
        <v>84.18</v>
      </c>
      <c r="V433">
        <v>42.56</v>
      </c>
      <c r="W433">
        <v>82.61</v>
      </c>
      <c r="X433">
        <v>131.69</v>
      </c>
      <c r="Y433">
        <v>264.48</v>
      </c>
      <c r="Z433">
        <v>138.87</v>
      </c>
      <c r="AA433">
        <v>146.9</v>
      </c>
      <c r="AB433">
        <v>52.37</v>
      </c>
      <c r="AC433">
        <v>70.47</v>
      </c>
      <c r="AD433">
        <v>94.72</v>
      </c>
      <c r="AE433">
        <v>82.86</v>
      </c>
      <c r="AI433" s="2">
        <v>0</v>
      </c>
      <c r="AJ433" s="2">
        <f t="shared" si="288"/>
        <v>1300</v>
      </c>
      <c r="AK433" s="2">
        <f t="shared" si="288"/>
        <v>1300</v>
      </c>
      <c r="AL433" s="2">
        <f t="shared" si="288"/>
        <v>1300</v>
      </c>
      <c r="AM433" s="2">
        <f t="shared" si="288"/>
        <v>1300</v>
      </c>
      <c r="AN433" s="2">
        <f t="shared" si="288"/>
        <v>1300</v>
      </c>
      <c r="AO433" s="2">
        <f t="shared" si="288"/>
        <v>1300</v>
      </c>
      <c r="AP433" s="2">
        <f t="shared" si="288"/>
        <v>1180</v>
      </c>
      <c r="AQ433" s="2">
        <v>1000</v>
      </c>
      <c r="AR433" s="2">
        <v>0</v>
      </c>
      <c r="AS433" s="2">
        <v>10</v>
      </c>
      <c r="AT433" s="2">
        <v>0</v>
      </c>
      <c r="AU433" s="2">
        <v>0</v>
      </c>
      <c r="AV433" s="2">
        <v>0</v>
      </c>
      <c r="AW433" s="2">
        <v>0</v>
      </c>
      <c r="AX433" s="2">
        <v>0</v>
      </c>
      <c r="AY433" s="2">
        <v>0</v>
      </c>
      <c r="AZ433" s="2">
        <v>1030</v>
      </c>
      <c r="BA433" s="2">
        <v>1093</v>
      </c>
      <c r="BB433" s="2">
        <v>1080</v>
      </c>
      <c r="BC433" s="2">
        <v>-2000</v>
      </c>
      <c r="BD433" s="2">
        <v>-7500</v>
      </c>
      <c r="BE433" s="2">
        <v>5000</v>
      </c>
      <c r="BF433" s="2">
        <v>3000</v>
      </c>
      <c r="BG433" s="2">
        <v>5000</v>
      </c>
      <c r="BH433" s="2">
        <v>2500</v>
      </c>
      <c r="BI433" s="2">
        <v>3000</v>
      </c>
      <c r="BJ433" s="2">
        <v>-2000</v>
      </c>
      <c r="BK433" s="2">
        <v>1000</v>
      </c>
      <c r="BL433" s="2">
        <v>1000</v>
      </c>
      <c r="BO433" s="2">
        <f t="shared" si="251"/>
        <v>0</v>
      </c>
      <c r="BP433" s="2">
        <f t="shared" si="261"/>
        <v>0</v>
      </c>
      <c r="BQ433" s="2">
        <f t="shared" si="262"/>
        <v>0</v>
      </c>
      <c r="BR433" s="2">
        <f t="shared" si="263"/>
        <v>0</v>
      </c>
      <c r="BS433" s="2">
        <f t="shared" si="264"/>
        <v>0</v>
      </c>
      <c r="BT433" s="2">
        <f t="shared" si="265"/>
        <v>0</v>
      </c>
      <c r="BU433" s="2">
        <f t="shared" si="266"/>
        <v>0</v>
      </c>
      <c r="BV433" s="2">
        <f t="shared" si="267"/>
        <v>0</v>
      </c>
      <c r="BW433" s="2">
        <f t="shared" si="268"/>
        <v>0</v>
      </c>
      <c r="BX433" s="2">
        <f t="shared" si="269"/>
        <v>0</v>
      </c>
      <c r="BY433" s="2">
        <f t="shared" si="270"/>
        <v>0</v>
      </c>
      <c r="BZ433" s="2">
        <f t="shared" si="271"/>
        <v>0</v>
      </c>
      <c r="CA433" s="2">
        <f t="shared" si="272"/>
        <v>0</v>
      </c>
      <c r="CB433" s="2">
        <f t="shared" si="273"/>
        <v>0</v>
      </c>
      <c r="CC433" s="2">
        <f t="shared" si="274"/>
        <v>0</v>
      </c>
      <c r="CD433" s="2">
        <f t="shared" si="275"/>
        <v>0</v>
      </c>
      <c r="CE433" s="2">
        <f t="shared" si="276"/>
        <v>0</v>
      </c>
      <c r="CF433" s="2">
        <f t="shared" si="277"/>
        <v>-3752.4599999999996</v>
      </c>
      <c r="CG433" s="2">
        <f t="shared" si="278"/>
        <v>-20909.36</v>
      </c>
      <c r="CH433" s="2">
        <f t="shared" si="279"/>
        <v>-10438.320000000002</v>
      </c>
      <c r="CI433" s="2">
        <f t="shared" si="280"/>
        <v>0</v>
      </c>
      <c r="CJ433" s="2">
        <f t="shared" si="281"/>
        <v>0</v>
      </c>
      <c r="CK433" s="2">
        <f t="shared" si="282"/>
        <v>0</v>
      </c>
      <c r="CL433" s="2">
        <f t="shared" si="283"/>
        <v>0</v>
      </c>
      <c r="CM433" s="2">
        <f t="shared" si="254"/>
        <v>0</v>
      </c>
      <c r="CN433" s="2">
        <f t="shared" si="255"/>
        <v>0</v>
      </c>
      <c r="CO433" s="2">
        <f t="shared" si="256"/>
        <v>0</v>
      </c>
      <c r="CP433" s="2">
        <f t="shared" si="257"/>
        <v>0</v>
      </c>
      <c r="CQ433" s="2">
        <f t="shared" si="258"/>
        <v>0</v>
      </c>
      <c r="CR433" s="2">
        <f t="shared" si="259"/>
        <v>0</v>
      </c>
      <c r="CV433" t="s">
        <v>64</v>
      </c>
      <c r="CW433" t="s">
        <v>506</v>
      </c>
      <c r="CX433" t="s">
        <v>18</v>
      </c>
      <c r="CY433" s="4">
        <v>42905</v>
      </c>
      <c r="CZ433" t="s">
        <v>67</v>
      </c>
      <c r="DA433" t="s">
        <v>68</v>
      </c>
      <c r="DB433">
        <v>38</v>
      </c>
      <c r="DC433">
        <v>60.83</v>
      </c>
      <c r="DD433" t="s">
        <v>69</v>
      </c>
      <c r="DE433" t="s">
        <v>70</v>
      </c>
      <c r="DF433">
        <v>2311.54</v>
      </c>
    </row>
    <row r="434" spans="1:110" x14ac:dyDescent="0.25">
      <c r="A434" s="1">
        <v>43363</v>
      </c>
      <c r="B434">
        <v>218.33</v>
      </c>
      <c r="C434">
        <v>110.66</v>
      </c>
      <c r="D434">
        <v>363.94</v>
      </c>
      <c r="E434">
        <v>154.02000000000001</v>
      </c>
      <c r="F434">
        <v>47.05</v>
      </c>
      <c r="G434">
        <v>117.09</v>
      </c>
      <c r="H434">
        <v>110.76</v>
      </c>
      <c r="I434">
        <v>69.56</v>
      </c>
      <c r="J434">
        <v>236.44</v>
      </c>
      <c r="K434">
        <v>209.81</v>
      </c>
      <c r="L434">
        <v>147.53</v>
      </c>
      <c r="M434">
        <v>46.61</v>
      </c>
      <c r="N434">
        <v>141.08000000000001</v>
      </c>
      <c r="O434">
        <v>116.86</v>
      </c>
      <c r="P434">
        <v>46.27</v>
      </c>
      <c r="Q434">
        <v>159.80000000000001</v>
      </c>
      <c r="R434">
        <v>212.34</v>
      </c>
      <c r="S434">
        <v>70.290000000000006</v>
      </c>
      <c r="T434">
        <v>113.08</v>
      </c>
      <c r="U434">
        <v>85.12</v>
      </c>
      <c r="V434">
        <v>43.04</v>
      </c>
      <c r="W434">
        <v>83.95</v>
      </c>
      <c r="X434">
        <v>133.33000000000001</v>
      </c>
      <c r="Y434">
        <v>265.54000000000002</v>
      </c>
      <c r="Z434">
        <v>140.21</v>
      </c>
      <c r="AA434">
        <v>148.71</v>
      </c>
      <c r="AB434">
        <v>52.81</v>
      </c>
      <c r="AC434">
        <v>72.06</v>
      </c>
      <c r="AD434">
        <v>95.23</v>
      </c>
      <c r="AE434">
        <v>83.05</v>
      </c>
      <c r="AI434" s="2">
        <v>0</v>
      </c>
      <c r="AJ434" s="2">
        <f t="shared" si="288"/>
        <v>1300</v>
      </c>
      <c r="AK434" s="2">
        <f t="shared" si="288"/>
        <v>1300</v>
      </c>
      <c r="AL434" s="2">
        <f t="shared" si="288"/>
        <v>1300</v>
      </c>
      <c r="AM434" s="2">
        <f t="shared" si="288"/>
        <v>1300</v>
      </c>
      <c r="AN434" s="2">
        <f t="shared" si="288"/>
        <v>1300</v>
      </c>
      <c r="AO434" s="2">
        <f t="shared" si="288"/>
        <v>1300</v>
      </c>
      <c r="AP434" s="2">
        <f t="shared" si="288"/>
        <v>1180</v>
      </c>
      <c r="AQ434" s="2">
        <v>1000</v>
      </c>
      <c r="AR434" s="2">
        <v>0</v>
      </c>
      <c r="AS434" s="2">
        <v>10</v>
      </c>
      <c r="AT434" s="2">
        <v>0</v>
      </c>
      <c r="AU434" s="2">
        <v>0</v>
      </c>
      <c r="AV434" s="2">
        <v>0</v>
      </c>
      <c r="AW434" s="2">
        <v>0</v>
      </c>
      <c r="AX434" s="2">
        <v>0</v>
      </c>
      <c r="AY434" s="2">
        <v>0</v>
      </c>
      <c r="AZ434" s="2">
        <v>1007</v>
      </c>
      <c r="BA434" s="2">
        <v>1019</v>
      </c>
      <c r="BB434" s="2">
        <v>984</v>
      </c>
      <c r="BC434" s="2">
        <v>-2000</v>
      </c>
      <c r="BD434" s="2">
        <v>-7500</v>
      </c>
      <c r="BE434" s="2">
        <v>5000</v>
      </c>
      <c r="BF434" s="2">
        <v>3000</v>
      </c>
      <c r="BG434" s="2">
        <v>5000</v>
      </c>
      <c r="BH434" s="2">
        <v>2500</v>
      </c>
      <c r="BI434" s="2">
        <v>3000</v>
      </c>
      <c r="BJ434" s="2">
        <v>-2000</v>
      </c>
      <c r="BK434" s="2">
        <v>1000</v>
      </c>
      <c r="BL434" s="2">
        <v>1000</v>
      </c>
      <c r="BO434" s="2">
        <f t="shared" si="251"/>
        <v>0</v>
      </c>
      <c r="BP434" s="2">
        <f t="shared" si="261"/>
        <v>0</v>
      </c>
      <c r="BQ434" s="2">
        <f t="shared" si="262"/>
        <v>0</v>
      </c>
      <c r="BR434" s="2">
        <f t="shared" si="263"/>
        <v>0</v>
      </c>
      <c r="BS434" s="2">
        <f t="shared" si="264"/>
        <v>0</v>
      </c>
      <c r="BT434" s="2">
        <f t="shared" si="265"/>
        <v>0</v>
      </c>
      <c r="BU434" s="2">
        <f t="shared" si="266"/>
        <v>0</v>
      </c>
      <c r="BV434" s="2">
        <f t="shared" si="267"/>
        <v>0</v>
      </c>
      <c r="BW434" s="2">
        <f t="shared" si="268"/>
        <v>0</v>
      </c>
      <c r="BX434" s="2">
        <f t="shared" si="269"/>
        <v>0</v>
      </c>
      <c r="BY434" s="2">
        <f t="shared" si="270"/>
        <v>0</v>
      </c>
      <c r="BZ434" s="2">
        <f t="shared" si="271"/>
        <v>0</v>
      </c>
      <c r="CA434" s="2">
        <f t="shared" si="272"/>
        <v>0</v>
      </c>
      <c r="CB434" s="2">
        <f t="shared" si="273"/>
        <v>0</v>
      </c>
      <c r="CC434" s="2">
        <f t="shared" si="274"/>
        <v>0</v>
      </c>
      <c r="CD434" s="2">
        <f t="shared" si="275"/>
        <v>0</v>
      </c>
      <c r="CE434" s="2">
        <f t="shared" si="276"/>
        <v>0</v>
      </c>
      <c r="CF434" s="2">
        <f t="shared" si="277"/>
        <v>1616.67</v>
      </c>
      <c r="CG434" s="2">
        <f t="shared" si="278"/>
        <v>8367.92</v>
      </c>
      <c r="CH434" s="2">
        <f t="shared" si="279"/>
        <v>8171.52</v>
      </c>
      <c r="CI434" s="2">
        <f t="shared" si="280"/>
        <v>0</v>
      </c>
      <c r="CJ434" s="2">
        <f t="shared" si="281"/>
        <v>0</v>
      </c>
      <c r="CK434" s="2">
        <f t="shared" si="282"/>
        <v>0</v>
      </c>
      <c r="CL434" s="2">
        <f t="shared" si="283"/>
        <v>0</v>
      </c>
      <c r="CM434" s="2">
        <f t="shared" si="254"/>
        <v>0</v>
      </c>
      <c r="CN434" s="2">
        <f t="shared" si="255"/>
        <v>0</v>
      </c>
      <c r="CO434" s="2">
        <f t="shared" si="256"/>
        <v>0</v>
      </c>
      <c r="CP434" s="2">
        <f t="shared" si="257"/>
        <v>0</v>
      </c>
      <c r="CQ434" s="2">
        <f t="shared" si="258"/>
        <v>0</v>
      </c>
      <c r="CR434" s="2">
        <f t="shared" si="259"/>
        <v>0</v>
      </c>
      <c r="CV434" t="s">
        <v>64</v>
      </c>
      <c r="CW434" t="s">
        <v>507</v>
      </c>
      <c r="CX434" t="s">
        <v>18</v>
      </c>
      <c r="CY434" s="4">
        <v>42906</v>
      </c>
      <c r="CZ434" t="s">
        <v>65</v>
      </c>
      <c r="DA434" t="s">
        <v>66</v>
      </c>
      <c r="DB434">
        <v>58</v>
      </c>
      <c r="DC434">
        <v>61.64</v>
      </c>
      <c r="DD434" t="s">
        <v>69</v>
      </c>
      <c r="DE434" t="s">
        <v>70</v>
      </c>
      <c r="DF434">
        <v>3575.12</v>
      </c>
    </row>
    <row r="435" spans="1:110" x14ac:dyDescent="0.25">
      <c r="A435" s="1">
        <v>43364</v>
      </c>
      <c r="B435">
        <v>215.98</v>
      </c>
      <c r="C435">
        <v>110.45</v>
      </c>
      <c r="D435">
        <v>368.67</v>
      </c>
      <c r="E435">
        <v>154.4</v>
      </c>
      <c r="F435">
        <v>47.86</v>
      </c>
      <c r="G435">
        <v>118.76</v>
      </c>
      <c r="H435">
        <v>109.55</v>
      </c>
      <c r="I435">
        <v>69.23</v>
      </c>
      <c r="J435">
        <v>234.39</v>
      </c>
      <c r="K435">
        <v>211.13</v>
      </c>
      <c r="L435">
        <v>147.72999999999999</v>
      </c>
      <c r="M435">
        <v>46.08</v>
      </c>
      <c r="N435">
        <v>141.97999999999999</v>
      </c>
      <c r="O435">
        <v>116.09</v>
      </c>
      <c r="P435">
        <v>46.21</v>
      </c>
      <c r="Q435">
        <v>164.29</v>
      </c>
      <c r="R435">
        <v>213.39</v>
      </c>
      <c r="S435">
        <v>70.61</v>
      </c>
      <c r="T435">
        <v>113.77</v>
      </c>
      <c r="U435">
        <v>85.3</v>
      </c>
      <c r="V435">
        <v>43.34</v>
      </c>
      <c r="W435">
        <v>84.4</v>
      </c>
      <c r="X435">
        <v>133.61000000000001</v>
      </c>
      <c r="Y435">
        <v>265.82</v>
      </c>
      <c r="Z435">
        <v>140.44</v>
      </c>
      <c r="AA435">
        <v>149.52000000000001</v>
      </c>
      <c r="AB435">
        <v>53.27</v>
      </c>
      <c r="AC435">
        <v>72.17</v>
      </c>
      <c r="AD435">
        <v>95.38</v>
      </c>
      <c r="AE435">
        <v>83.39</v>
      </c>
      <c r="AI435" s="2">
        <v>0</v>
      </c>
      <c r="AJ435" s="2">
        <f t="shared" si="288"/>
        <v>1300</v>
      </c>
      <c r="AK435" s="2">
        <f t="shared" si="288"/>
        <v>1300</v>
      </c>
      <c r="AL435" s="2">
        <f t="shared" si="288"/>
        <v>1300</v>
      </c>
      <c r="AM435" s="2">
        <f t="shared" si="288"/>
        <v>1300</v>
      </c>
      <c r="AN435" s="2">
        <f t="shared" si="288"/>
        <v>1300</v>
      </c>
      <c r="AO435" s="2">
        <f t="shared" si="288"/>
        <v>1300</v>
      </c>
      <c r="AP435" s="2">
        <f t="shared" si="288"/>
        <v>1180</v>
      </c>
      <c r="AQ435" s="2">
        <v>1000</v>
      </c>
      <c r="AR435" s="2">
        <v>0</v>
      </c>
      <c r="AS435" s="2">
        <v>10</v>
      </c>
      <c r="AT435" s="2">
        <v>0</v>
      </c>
      <c r="AU435" s="2">
        <v>0</v>
      </c>
      <c r="AV435" s="2">
        <v>0</v>
      </c>
      <c r="AW435" s="2">
        <v>0</v>
      </c>
      <c r="AX435" s="2">
        <v>0</v>
      </c>
      <c r="AY435" s="2">
        <v>0</v>
      </c>
      <c r="AZ435" s="2">
        <v>975</v>
      </c>
      <c r="BA435" s="2">
        <v>992</v>
      </c>
      <c r="BB435" s="2">
        <v>905</v>
      </c>
      <c r="BC435" s="2">
        <v>-2000</v>
      </c>
      <c r="BD435" s="2">
        <v>-7500</v>
      </c>
      <c r="BE435" s="2">
        <v>5000</v>
      </c>
      <c r="BF435" s="2">
        <v>3000</v>
      </c>
      <c r="BG435" s="2">
        <v>5000</v>
      </c>
      <c r="BH435" s="2">
        <v>2500</v>
      </c>
      <c r="BI435" s="2">
        <v>3000</v>
      </c>
      <c r="BJ435" s="2">
        <v>-2000</v>
      </c>
      <c r="BK435" s="2">
        <v>1000</v>
      </c>
      <c r="BL435" s="2">
        <v>1000</v>
      </c>
      <c r="BO435" s="2">
        <f t="shared" si="251"/>
        <v>0</v>
      </c>
      <c r="BP435" s="2">
        <f t="shared" si="261"/>
        <v>0</v>
      </c>
      <c r="BQ435" s="2">
        <f t="shared" si="262"/>
        <v>0</v>
      </c>
      <c r="BR435" s="2">
        <f t="shared" si="263"/>
        <v>0</v>
      </c>
      <c r="BS435" s="2">
        <f t="shared" si="264"/>
        <v>0</v>
      </c>
      <c r="BT435" s="2">
        <f t="shared" si="265"/>
        <v>0</v>
      </c>
      <c r="BU435" s="2">
        <f t="shared" si="266"/>
        <v>0</v>
      </c>
      <c r="BV435" s="2">
        <f t="shared" si="267"/>
        <v>0</v>
      </c>
      <c r="BW435" s="2">
        <f t="shared" si="268"/>
        <v>0</v>
      </c>
      <c r="BX435" s="2">
        <f t="shared" si="269"/>
        <v>0</v>
      </c>
      <c r="BY435" s="2">
        <f t="shared" si="270"/>
        <v>0</v>
      </c>
      <c r="BZ435" s="2">
        <f t="shared" si="271"/>
        <v>0</v>
      </c>
      <c r="CA435" s="2">
        <f t="shared" si="272"/>
        <v>0</v>
      </c>
      <c r="CB435" s="2">
        <f t="shared" si="273"/>
        <v>0</v>
      </c>
      <c r="CC435" s="2">
        <f t="shared" si="274"/>
        <v>0</v>
      </c>
      <c r="CD435" s="2">
        <f t="shared" si="275"/>
        <v>0</v>
      </c>
      <c r="CE435" s="2">
        <f t="shared" si="276"/>
        <v>0</v>
      </c>
      <c r="CF435" s="2">
        <f t="shared" si="277"/>
        <v>2259.52</v>
      </c>
      <c r="CG435" s="2">
        <f t="shared" si="278"/>
        <v>3071.79</v>
      </c>
      <c r="CH435" s="2">
        <f t="shared" si="279"/>
        <v>6738.7</v>
      </c>
      <c r="CI435" s="2">
        <f t="shared" si="280"/>
        <v>0</v>
      </c>
      <c r="CJ435" s="2">
        <f t="shared" si="281"/>
        <v>0</v>
      </c>
      <c r="CK435" s="2">
        <f t="shared" si="282"/>
        <v>0</v>
      </c>
      <c r="CL435" s="2">
        <f t="shared" si="283"/>
        <v>0</v>
      </c>
      <c r="CM435" s="2">
        <f t="shared" si="254"/>
        <v>0</v>
      </c>
      <c r="CN435" s="2">
        <f t="shared" si="255"/>
        <v>0</v>
      </c>
      <c r="CO435" s="2">
        <f t="shared" si="256"/>
        <v>0</v>
      </c>
      <c r="CP435" s="2">
        <f t="shared" si="257"/>
        <v>0</v>
      </c>
      <c r="CQ435" s="2">
        <f t="shared" si="258"/>
        <v>0</v>
      </c>
      <c r="CR435" s="2">
        <f t="shared" si="259"/>
        <v>0</v>
      </c>
      <c r="CV435" t="s">
        <v>64</v>
      </c>
      <c r="CW435" t="s">
        <v>508</v>
      </c>
      <c r="CX435" t="s">
        <v>18</v>
      </c>
      <c r="CY435" s="4">
        <v>42907</v>
      </c>
      <c r="CZ435" t="s">
        <v>67</v>
      </c>
      <c r="DA435" t="s">
        <v>68</v>
      </c>
      <c r="DB435">
        <v>41</v>
      </c>
      <c r="DC435">
        <v>62.53</v>
      </c>
      <c r="DD435" t="s">
        <v>69</v>
      </c>
      <c r="DE435" t="s">
        <v>70</v>
      </c>
      <c r="DF435">
        <v>2563.73</v>
      </c>
    </row>
    <row r="436" spans="1:110" x14ac:dyDescent="0.25">
      <c r="A436" s="1">
        <v>43367</v>
      </c>
      <c r="B436">
        <v>219.08</v>
      </c>
      <c r="C436">
        <v>109.4</v>
      </c>
      <c r="D436">
        <v>364.47</v>
      </c>
      <c r="E436">
        <v>152.05000000000001</v>
      </c>
      <c r="F436">
        <v>47.75</v>
      </c>
      <c r="G436">
        <v>120.22</v>
      </c>
      <c r="H436">
        <v>111.9</v>
      </c>
      <c r="I436">
        <v>67.75</v>
      </c>
      <c r="J436">
        <v>231.96</v>
      </c>
      <c r="K436">
        <v>206.75</v>
      </c>
      <c r="L436">
        <v>146.44</v>
      </c>
      <c r="M436">
        <v>46.32</v>
      </c>
      <c r="N436">
        <v>139.58000000000001</v>
      </c>
      <c r="O436">
        <v>114.97</v>
      </c>
      <c r="P436">
        <v>45.71</v>
      </c>
      <c r="Q436">
        <v>162.31</v>
      </c>
      <c r="R436">
        <v>210.61</v>
      </c>
      <c r="S436">
        <v>70.290000000000006</v>
      </c>
      <c r="T436">
        <v>114.18</v>
      </c>
      <c r="U436">
        <v>84.02</v>
      </c>
      <c r="V436">
        <v>43.22</v>
      </c>
      <c r="W436">
        <v>82.88</v>
      </c>
      <c r="X436">
        <v>132.01</v>
      </c>
      <c r="Y436">
        <v>266.51</v>
      </c>
      <c r="Z436">
        <v>138.72</v>
      </c>
      <c r="AA436">
        <v>148.58000000000001</v>
      </c>
      <c r="AB436">
        <v>52.41</v>
      </c>
      <c r="AC436">
        <v>71.38</v>
      </c>
      <c r="AD436">
        <v>94.4</v>
      </c>
      <c r="AE436">
        <v>84.79</v>
      </c>
      <c r="AI436" s="2">
        <v>0</v>
      </c>
      <c r="AJ436" s="2">
        <f t="shared" ref="AJ436:AP436" si="289">AJ435+10</f>
        <v>1310</v>
      </c>
      <c r="AK436" s="2">
        <f t="shared" si="289"/>
        <v>1310</v>
      </c>
      <c r="AL436" s="2">
        <f t="shared" si="289"/>
        <v>1310</v>
      </c>
      <c r="AM436" s="2">
        <f t="shared" si="289"/>
        <v>1310</v>
      </c>
      <c r="AN436" s="2">
        <f t="shared" si="289"/>
        <v>1310</v>
      </c>
      <c r="AO436" s="2">
        <f t="shared" si="289"/>
        <v>1310</v>
      </c>
      <c r="AP436" s="2">
        <f t="shared" si="289"/>
        <v>1190</v>
      </c>
      <c r="AQ436" s="2">
        <v>1000</v>
      </c>
      <c r="AR436" s="2">
        <v>0</v>
      </c>
      <c r="AS436" s="2">
        <v>10</v>
      </c>
      <c r="AT436" s="2">
        <v>0</v>
      </c>
      <c r="AU436" s="2">
        <v>0</v>
      </c>
      <c r="AV436" s="2">
        <v>0</v>
      </c>
      <c r="AW436" s="2">
        <v>0</v>
      </c>
      <c r="AX436" s="2">
        <v>0</v>
      </c>
      <c r="AY436" s="2">
        <v>0</v>
      </c>
      <c r="AZ436" s="2">
        <v>1036</v>
      </c>
      <c r="BA436" s="2">
        <v>1068</v>
      </c>
      <c r="BB436" s="2">
        <v>910</v>
      </c>
      <c r="BC436" s="2">
        <v>-2000</v>
      </c>
      <c r="BD436" s="2">
        <v>-7500</v>
      </c>
      <c r="BE436" s="2">
        <v>5000</v>
      </c>
      <c r="BF436" s="2">
        <v>3000</v>
      </c>
      <c r="BG436" s="2">
        <v>5000</v>
      </c>
      <c r="BH436" s="2">
        <v>2500</v>
      </c>
      <c r="BI436" s="2">
        <v>3000</v>
      </c>
      <c r="BJ436" s="2">
        <v>-2000</v>
      </c>
      <c r="BK436" s="2">
        <v>1000</v>
      </c>
      <c r="BL436" s="2">
        <v>1000</v>
      </c>
      <c r="BO436" s="2">
        <f t="shared" si="251"/>
        <v>0</v>
      </c>
      <c r="BP436" s="2">
        <f t="shared" si="261"/>
        <v>-1094</v>
      </c>
      <c r="BQ436" s="2">
        <f t="shared" si="262"/>
        <v>-3644.7000000000003</v>
      </c>
      <c r="BR436" s="2">
        <f t="shared" si="263"/>
        <v>-1520.5</v>
      </c>
      <c r="BS436" s="2">
        <f t="shared" si="264"/>
        <v>-477.5</v>
      </c>
      <c r="BT436" s="2">
        <f t="shared" si="265"/>
        <v>-1202.2</v>
      </c>
      <c r="BU436" s="2">
        <f t="shared" si="266"/>
        <v>-1119</v>
      </c>
      <c r="BV436" s="2">
        <f t="shared" si="267"/>
        <v>-677.5</v>
      </c>
      <c r="BW436" s="2">
        <f t="shared" si="268"/>
        <v>0</v>
      </c>
      <c r="BX436" s="2">
        <f t="shared" si="269"/>
        <v>0</v>
      </c>
      <c r="BY436" s="2">
        <f t="shared" si="270"/>
        <v>0</v>
      </c>
      <c r="BZ436" s="2">
        <f t="shared" si="271"/>
        <v>0</v>
      </c>
      <c r="CA436" s="2">
        <f t="shared" si="272"/>
        <v>0</v>
      </c>
      <c r="CB436" s="2">
        <f t="shared" si="273"/>
        <v>0</v>
      </c>
      <c r="CC436" s="2">
        <f t="shared" si="274"/>
        <v>0</v>
      </c>
      <c r="CD436" s="2">
        <f t="shared" si="275"/>
        <v>0</v>
      </c>
      <c r="CE436" s="2">
        <f t="shared" si="276"/>
        <v>0</v>
      </c>
      <c r="CF436" s="2">
        <f t="shared" si="277"/>
        <v>-4287.6900000000005</v>
      </c>
      <c r="CG436" s="2">
        <f t="shared" si="278"/>
        <v>-8677.68</v>
      </c>
      <c r="CH436" s="2">
        <f t="shared" si="279"/>
        <v>-420.09999999999997</v>
      </c>
      <c r="CI436" s="2">
        <f t="shared" si="280"/>
        <v>0</v>
      </c>
      <c r="CJ436" s="2">
        <f t="shared" si="281"/>
        <v>0</v>
      </c>
      <c r="CK436" s="2">
        <f t="shared" si="282"/>
        <v>0</v>
      </c>
      <c r="CL436" s="2">
        <f t="shared" si="283"/>
        <v>0</v>
      </c>
      <c r="CM436" s="2">
        <f t="shared" si="254"/>
        <v>0</v>
      </c>
      <c r="CN436" s="2">
        <f t="shared" si="255"/>
        <v>0</v>
      </c>
      <c r="CO436" s="2">
        <f t="shared" si="256"/>
        <v>0</v>
      </c>
      <c r="CP436" s="2">
        <f t="shared" si="257"/>
        <v>0</v>
      </c>
      <c r="CQ436" s="2">
        <f t="shared" si="258"/>
        <v>0</v>
      </c>
      <c r="CR436" s="2">
        <f t="shared" si="259"/>
        <v>0</v>
      </c>
      <c r="CV436" t="s">
        <v>64</v>
      </c>
      <c r="CW436" t="s">
        <v>509</v>
      </c>
      <c r="CX436" t="s">
        <v>18</v>
      </c>
      <c r="CY436" s="4">
        <v>42908</v>
      </c>
      <c r="CZ436" t="s">
        <v>67</v>
      </c>
      <c r="DA436" t="s">
        <v>68</v>
      </c>
      <c r="DB436">
        <v>37</v>
      </c>
      <c r="DC436">
        <v>63.06</v>
      </c>
      <c r="DD436" t="s">
        <v>69</v>
      </c>
      <c r="DE436" t="s">
        <v>70</v>
      </c>
      <c r="DF436">
        <v>2333.2200000000003</v>
      </c>
    </row>
    <row r="437" spans="1:110" x14ac:dyDescent="0.25">
      <c r="A437" s="1">
        <v>43368</v>
      </c>
      <c r="B437">
        <v>220.47</v>
      </c>
      <c r="C437">
        <v>109.42</v>
      </c>
      <c r="D437">
        <v>363.71</v>
      </c>
      <c r="E437">
        <v>152.13999999999999</v>
      </c>
      <c r="F437">
        <v>47.77</v>
      </c>
      <c r="G437">
        <v>120.96</v>
      </c>
      <c r="H437">
        <v>112.76</v>
      </c>
      <c r="I437">
        <v>67.5</v>
      </c>
      <c r="J437">
        <v>231.56</v>
      </c>
      <c r="K437">
        <v>206.23</v>
      </c>
      <c r="L437">
        <v>145.34</v>
      </c>
      <c r="M437">
        <v>45.34</v>
      </c>
      <c r="N437">
        <v>137.76</v>
      </c>
      <c r="O437">
        <v>114.65</v>
      </c>
      <c r="P437">
        <v>45.32</v>
      </c>
      <c r="Q437">
        <v>165.39</v>
      </c>
      <c r="R437">
        <v>207.77</v>
      </c>
      <c r="S437">
        <v>70.16</v>
      </c>
      <c r="T437">
        <v>113.96</v>
      </c>
      <c r="U437">
        <v>84.54</v>
      </c>
      <c r="V437">
        <v>43.08</v>
      </c>
      <c r="W437">
        <v>81.75</v>
      </c>
      <c r="X437">
        <v>130.47999999999999</v>
      </c>
      <c r="Y437">
        <v>262.67</v>
      </c>
      <c r="Z437">
        <v>138.09</v>
      </c>
      <c r="AA437">
        <v>149.05000000000001</v>
      </c>
      <c r="AB437">
        <v>51.93</v>
      </c>
      <c r="AC437">
        <v>71.39</v>
      </c>
      <c r="AD437">
        <v>94.58</v>
      </c>
      <c r="AE437">
        <v>84.69</v>
      </c>
      <c r="AI437" s="2">
        <v>2500</v>
      </c>
      <c r="AJ437" s="2">
        <f t="shared" ref="AJ437:AP437" si="290">AJ436</f>
        <v>1310</v>
      </c>
      <c r="AK437" s="2">
        <f t="shared" si="290"/>
        <v>1310</v>
      </c>
      <c r="AL437" s="2">
        <f t="shared" si="290"/>
        <v>1310</v>
      </c>
      <c r="AM437" s="2">
        <f t="shared" si="290"/>
        <v>1310</v>
      </c>
      <c r="AN437" s="2">
        <f t="shared" si="290"/>
        <v>1310</v>
      </c>
      <c r="AO437" s="2">
        <f t="shared" si="290"/>
        <v>1310</v>
      </c>
      <c r="AP437" s="2">
        <f t="shared" si="290"/>
        <v>1190</v>
      </c>
      <c r="AQ437" s="2">
        <v>1000</v>
      </c>
      <c r="AR437" s="2">
        <v>0</v>
      </c>
      <c r="AS437" s="2">
        <v>10</v>
      </c>
      <c r="AT437" s="2">
        <v>0</v>
      </c>
      <c r="AU437" s="2">
        <v>0</v>
      </c>
      <c r="AV437" s="2">
        <v>0</v>
      </c>
      <c r="AW437" s="2">
        <v>0</v>
      </c>
      <c r="AX437" s="2">
        <v>0</v>
      </c>
      <c r="AY437" s="2">
        <v>0</v>
      </c>
      <c r="AZ437" s="2">
        <v>983</v>
      </c>
      <c r="BA437" s="2">
        <v>921</v>
      </c>
      <c r="BB437" s="2">
        <v>1015</v>
      </c>
      <c r="BC437" s="2">
        <v>-2000</v>
      </c>
      <c r="BD437" s="2">
        <v>-7500</v>
      </c>
      <c r="BE437" s="2">
        <v>5000</v>
      </c>
      <c r="BF437" s="2">
        <v>3000</v>
      </c>
      <c r="BG437" s="2">
        <v>5000</v>
      </c>
      <c r="BH437" s="2">
        <v>2500</v>
      </c>
      <c r="BI437" s="2">
        <v>3000</v>
      </c>
      <c r="BJ437" s="2">
        <v>-2000</v>
      </c>
      <c r="BK437" s="2">
        <v>1000</v>
      </c>
      <c r="BL437" s="2">
        <v>1000</v>
      </c>
      <c r="BO437" s="2">
        <f t="shared" si="251"/>
        <v>-551175</v>
      </c>
      <c r="BP437" s="2">
        <f t="shared" si="261"/>
        <v>0</v>
      </c>
      <c r="BQ437" s="2">
        <f t="shared" si="262"/>
        <v>0</v>
      </c>
      <c r="BR437" s="2">
        <f t="shared" si="263"/>
        <v>0</v>
      </c>
      <c r="BS437" s="2">
        <f t="shared" si="264"/>
        <v>0</v>
      </c>
      <c r="BT437" s="2">
        <f t="shared" si="265"/>
        <v>0</v>
      </c>
      <c r="BU437" s="2">
        <f t="shared" si="266"/>
        <v>0</v>
      </c>
      <c r="BV437" s="2">
        <f t="shared" si="267"/>
        <v>0</v>
      </c>
      <c r="BW437" s="2">
        <f t="shared" si="268"/>
        <v>0</v>
      </c>
      <c r="BX437" s="2">
        <f t="shared" si="269"/>
        <v>0</v>
      </c>
      <c r="BY437" s="2">
        <f t="shared" si="270"/>
        <v>0</v>
      </c>
      <c r="BZ437" s="2">
        <f t="shared" si="271"/>
        <v>0</v>
      </c>
      <c r="CA437" s="2">
        <f t="shared" si="272"/>
        <v>0</v>
      </c>
      <c r="CB437" s="2">
        <f t="shared" si="273"/>
        <v>0</v>
      </c>
      <c r="CC437" s="2">
        <f t="shared" si="274"/>
        <v>0</v>
      </c>
      <c r="CD437" s="2">
        <f t="shared" si="275"/>
        <v>0</v>
      </c>
      <c r="CE437" s="2">
        <f t="shared" si="276"/>
        <v>0</v>
      </c>
      <c r="CF437" s="2">
        <f t="shared" si="277"/>
        <v>3718.48</v>
      </c>
      <c r="CG437" s="2">
        <f t="shared" si="278"/>
        <v>16752.12</v>
      </c>
      <c r="CH437" s="2">
        <f t="shared" si="279"/>
        <v>-8876.7000000000007</v>
      </c>
      <c r="CI437" s="2">
        <f t="shared" si="280"/>
        <v>0</v>
      </c>
      <c r="CJ437" s="2">
        <f t="shared" si="281"/>
        <v>0</v>
      </c>
      <c r="CK437" s="2">
        <f t="shared" si="282"/>
        <v>0</v>
      </c>
      <c r="CL437" s="2">
        <f t="shared" si="283"/>
        <v>0</v>
      </c>
      <c r="CM437" s="2">
        <f t="shared" si="254"/>
        <v>0</v>
      </c>
      <c r="CN437" s="2">
        <f t="shared" si="255"/>
        <v>0</v>
      </c>
      <c r="CO437" s="2">
        <f t="shared" si="256"/>
        <v>0</v>
      </c>
      <c r="CP437" s="2">
        <f t="shared" si="257"/>
        <v>0</v>
      </c>
      <c r="CQ437" s="2">
        <f t="shared" si="258"/>
        <v>0</v>
      </c>
      <c r="CR437" s="2">
        <f t="shared" si="259"/>
        <v>0</v>
      </c>
      <c r="CV437" t="s">
        <v>64</v>
      </c>
      <c r="CW437" t="s">
        <v>510</v>
      </c>
      <c r="CX437" t="s">
        <v>18</v>
      </c>
      <c r="CY437" s="4">
        <v>42909</v>
      </c>
      <c r="CZ437" t="s">
        <v>65</v>
      </c>
      <c r="DA437" t="s">
        <v>66</v>
      </c>
      <c r="DB437">
        <v>37</v>
      </c>
      <c r="DC437">
        <v>63.19</v>
      </c>
      <c r="DD437" t="s">
        <v>69</v>
      </c>
      <c r="DE437" t="s">
        <v>70</v>
      </c>
      <c r="DF437">
        <v>2338.0299999999997</v>
      </c>
    </row>
    <row r="438" spans="1:110" x14ac:dyDescent="0.25">
      <c r="A438" s="1">
        <v>43369</v>
      </c>
      <c r="B438">
        <v>218.72</v>
      </c>
      <c r="C438">
        <v>107.57</v>
      </c>
      <c r="D438">
        <v>361.54</v>
      </c>
      <c r="E438">
        <v>151.22999999999999</v>
      </c>
      <c r="F438">
        <v>47.72</v>
      </c>
      <c r="G438">
        <v>119.57</v>
      </c>
      <c r="H438">
        <v>114.32</v>
      </c>
      <c r="I438">
        <v>66.45</v>
      </c>
      <c r="J438">
        <v>227.96</v>
      </c>
      <c r="K438">
        <v>206.29</v>
      </c>
      <c r="L438">
        <v>147.97999999999999</v>
      </c>
      <c r="M438">
        <v>45.13</v>
      </c>
      <c r="N438">
        <v>137.29</v>
      </c>
      <c r="O438">
        <v>113.3</v>
      </c>
      <c r="P438">
        <v>45.49</v>
      </c>
      <c r="Q438">
        <v>164.74</v>
      </c>
      <c r="R438">
        <v>208.2</v>
      </c>
      <c r="S438">
        <v>69.84</v>
      </c>
      <c r="T438">
        <v>113.49</v>
      </c>
      <c r="U438">
        <v>83.45</v>
      </c>
      <c r="V438">
        <v>42.97</v>
      </c>
      <c r="W438">
        <v>81.88</v>
      </c>
      <c r="X438">
        <v>128.69999999999999</v>
      </c>
      <c r="Y438">
        <v>262.07</v>
      </c>
      <c r="Z438">
        <v>137.94</v>
      </c>
      <c r="AA438">
        <v>148.74</v>
      </c>
      <c r="AB438">
        <v>52.02</v>
      </c>
      <c r="AC438">
        <v>72.13</v>
      </c>
      <c r="AD438">
        <v>94.08</v>
      </c>
      <c r="AE438">
        <v>83.99</v>
      </c>
      <c r="AI438" s="2">
        <v>2000</v>
      </c>
      <c r="AJ438" s="2">
        <f t="shared" si="288"/>
        <v>1310</v>
      </c>
      <c r="AK438" s="2">
        <f t="shared" si="288"/>
        <v>1310</v>
      </c>
      <c r="AL438" s="2">
        <f t="shared" si="288"/>
        <v>1310</v>
      </c>
      <c r="AM438" s="2">
        <f t="shared" si="288"/>
        <v>1310</v>
      </c>
      <c r="AN438" s="2">
        <f t="shared" si="288"/>
        <v>1310</v>
      </c>
      <c r="AO438" s="2">
        <f t="shared" si="288"/>
        <v>1310</v>
      </c>
      <c r="AP438" s="2">
        <f t="shared" si="288"/>
        <v>1190</v>
      </c>
      <c r="AQ438" s="2">
        <v>1000</v>
      </c>
      <c r="AR438" s="2">
        <v>0</v>
      </c>
      <c r="AS438" s="2">
        <v>10</v>
      </c>
      <c r="AT438" s="2">
        <v>0</v>
      </c>
      <c r="AU438" s="2">
        <v>0</v>
      </c>
      <c r="AV438" s="2">
        <v>0</v>
      </c>
      <c r="AW438" s="2">
        <v>0</v>
      </c>
      <c r="AX438" s="2">
        <v>0</v>
      </c>
      <c r="AY438" s="2">
        <v>0</v>
      </c>
      <c r="AZ438" s="2">
        <v>1031</v>
      </c>
      <c r="BA438" s="2">
        <v>1065</v>
      </c>
      <c r="BB438" s="2">
        <v>1083</v>
      </c>
      <c r="BC438" s="2">
        <v>-2000</v>
      </c>
      <c r="BD438" s="2">
        <v>-7500</v>
      </c>
      <c r="BE438" s="2">
        <v>5000</v>
      </c>
      <c r="BF438" s="2">
        <v>3000</v>
      </c>
      <c r="BG438" s="2">
        <v>5000</v>
      </c>
      <c r="BH438" s="2">
        <v>2500</v>
      </c>
      <c r="BI438" s="2">
        <v>3000</v>
      </c>
      <c r="BJ438" s="2">
        <v>-2000</v>
      </c>
      <c r="BK438" s="2">
        <v>1000</v>
      </c>
      <c r="BL438" s="2">
        <v>1000</v>
      </c>
      <c r="BO438" s="2">
        <f t="shared" si="251"/>
        <v>109360</v>
      </c>
      <c r="BP438" s="2">
        <f t="shared" si="261"/>
        <v>0</v>
      </c>
      <c r="BQ438" s="2">
        <f t="shared" si="262"/>
        <v>0</v>
      </c>
      <c r="BR438" s="2">
        <f t="shared" si="263"/>
        <v>0</v>
      </c>
      <c r="BS438" s="2">
        <f t="shared" si="264"/>
        <v>0</v>
      </c>
      <c r="BT438" s="2">
        <f t="shared" si="265"/>
        <v>0</v>
      </c>
      <c r="BU438" s="2">
        <f t="shared" si="266"/>
        <v>0</v>
      </c>
      <c r="BV438" s="2">
        <f t="shared" si="267"/>
        <v>0</v>
      </c>
      <c r="BW438" s="2">
        <f t="shared" si="268"/>
        <v>0</v>
      </c>
      <c r="BX438" s="2">
        <f t="shared" si="269"/>
        <v>0</v>
      </c>
      <c r="BY438" s="2">
        <f t="shared" si="270"/>
        <v>0</v>
      </c>
      <c r="BZ438" s="2">
        <f t="shared" si="271"/>
        <v>0</v>
      </c>
      <c r="CA438" s="2">
        <f t="shared" si="272"/>
        <v>0</v>
      </c>
      <c r="CB438" s="2">
        <f t="shared" si="273"/>
        <v>0</v>
      </c>
      <c r="CC438" s="2">
        <f t="shared" si="274"/>
        <v>0</v>
      </c>
      <c r="CD438" s="2">
        <f t="shared" si="275"/>
        <v>0</v>
      </c>
      <c r="CE438" s="2">
        <f t="shared" si="276"/>
        <v>0</v>
      </c>
      <c r="CF438" s="2">
        <f t="shared" si="277"/>
        <v>-3352.32</v>
      </c>
      <c r="CG438" s="2">
        <f t="shared" si="278"/>
        <v>-16342.56</v>
      </c>
      <c r="CH438" s="2">
        <f t="shared" si="279"/>
        <v>-5674.6</v>
      </c>
      <c r="CI438" s="2">
        <f t="shared" si="280"/>
        <v>0</v>
      </c>
      <c r="CJ438" s="2">
        <f t="shared" si="281"/>
        <v>0</v>
      </c>
      <c r="CK438" s="2">
        <f t="shared" si="282"/>
        <v>0</v>
      </c>
      <c r="CL438" s="2">
        <f t="shared" si="283"/>
        <v>0</v>
      </c>
      <c r="CM438" s="2">
        <f t="shared" si="254"/>
        <v>0</v>
      </c>
      <c r="CN438" s="2">
        <f t="shared" si="255"/>
        <v>0</v>
      </c>
      <c r="CO438" s="2">
        <f t="shared" si="256"/>
        <v>0</v>
      </c>
      <c r="CP438" s="2">
        <f t="shared" si="257"/>
        <v>0</v>
      </c>
      <c r="CQ438" s="2">
        <f t="shared" si="258"/>
        <v>0</v>
      </c>
      <c r="CR438" s="2">
        <f t="shared" si="259"/>
        <v>0</v>
      </c>
      <c r="CV438" t="s">
        <v>64</v>
      </c>
      <c r="CW438" t="s">
        <v>511</v>
      </c>
      <c r="CX438" t="s">
        <v>18</v>
      </c>
      <c r="CY438" s="4">
        <v>42912</v>
      </c>
      <c r="CZ438" t="s">
        <v>65</v>
      </c>
      <c r="DA438" t="s">
        <v>66</v>
      </c>
      <c r="DB438">
        <v>5</v>
      </c>
      <c r="DC438">
        <v>62.96</v>
      </c>
      <c r="DD438" t="s">
        <v>69</v>
      </c>
      <c r="DE438" t="s">
        <v>70</v>
      </c>
      <c r="DF438">
        <v>314.8</v>
      </c>
    </row>
    <row r="439" spans="1:110" x14ac:dyDescent="0.25">
      <c r="A439" s="1">
        <v>43370</v>
      </c>
      <c r="B439">
        <v>223.21</v>
      </c>
      <c r="C439">
        <v>107.41</v>
      </c>
      <c r="D439">
        <v>363.87</v>
      </c>
      <c r="E439">
        <v>150.54</v>
      </c>
      <c r="F439">
        <v>47.64</v>
      </c>
      <c r="G439">
        <v>120.08</v>
      </c>
      <c r="H439">
        <v>115.15</v>
      </c>
      <c r="I439">
        <v>64.900000000000006</v>
      </c>
      <c r="J439">
        <v>226.82</v>
      </c>
      <c r="K439">
        <v>205.61</v>
      </c>
      <c r="L439">
        <v>147.87</v>
      </c>
      <c r="M439">
        <v>45.31</v>
      </c>
      <c r="N439">
        <v>137.35</v>
      </c>
      <c r="O439">
        <v>112.81</v>
      </c>
      <c r="P439">
        <v>45.65</v>
      </c>
      <c r="Q439">
        <v>165.51</v>
      </c>
      <c r="R439">
        <v>207.25</v>
      </c>
      <c r="S439">
        <v>70.23</v>
      </c>
      <c r="T439">
        <v>113.92</v>
      </c>
      <c r="U439">
        <v>84.29</v>
      </c>
      <c r="V439">
        <v>43.19</v>
      </c>
      <c r="W439">
        <v>81.489999999999995</v>
      </c>
      <c r="X439">
        <v>128.33000000000001</v>
      </c>
      <c r="Y439">
        <v>263.81</v>
      </c>
      <c r="Z439">
        <v>138.06</v>
      </c>
      <c r="AA439">
        <v>149.49</v>
      </c>
      <c r="AB439">
        <v>52.46</v>
      </c>
      <c r="AC439">
        <v>72.97</v>
      </c>
      <c r="AD439">
        <v>93.62</v>
      </c>
      <c r="AE439">
        <v>83.98</v>
      </c>
      <c r="AI439" s="2">
        <v>2500</v>
      </c>
      <c r="AJ439" s="2">
        <f t="shared" si="288"/>
        <v>1310</v>
      </c>
      <c r="AK439" s="2">
        <f t="shared" si="288"/>
        <v>1310</v>
      </c>
      <c r="AL439" s="2">
        <f t="shared" si="288"/>
        <v>1310</v>
      </c>
      <c r="AM439" s="2">
        <f t="shared" si="288"/>
        <v>1310</v>
      </c>
      <c r="AN439" s="2">
        <f t="shared" si="288"/>
        <v>1310</v>
      </c>
      <c r="AO439" s="2">
        <f t="shared" si="288"/>
        <v>1310</v>
      </c>
      <c r="AP439" s="2">
        <f t="shared" si="288"/>
        <v>1190</v>
      </c>
      <c r="AQ439" s="2">
        <v>1000</v>
      </c>
      <c r="AR439" s="2">
        <v>0</v>
      </c>
      <c r="AS439" s="2">
        <v>10</v>
      </c>
      <c r="AT439" s="2">
        <v>0</v>
      </c>
      <c r="AU439" s="2">
        <v>0</v>
      </c>
      <c r="AV439" s="2">
        <v>0</v>
      </c>
      <c r="AW439" s="2">
        <v>0</v>
      </c>
      <c r="AX439" s="2">
        <v>0</v>
      </c>
      <c r="AY439" s="2">
        <v>0</v>
      </c>
      <c r="AZ439" s="2">
        <v>1017</v>
      </c>
      <c r="BA439" s="2">
        <v>1013</v>
      </c>
      <c r="BB439" s="2">
        <v>1076</v>
      </c>
      <c r="BC439" s="2">
        <v>-2000</v>
      </c>
      <c r="BD439" s="2">
        <v>-7500</v>
      </c>
      <c r="BE439" s="2">
        <v>5000</v>
      </c>
      <c r="BF439" s="2">
        <v>3000</v>
      </c>
      <c r="BG439" s="2">
        <v>5000</v>
      </c>
      <c r="BH439" s="2">
        <v>2500</v>
      </c>
      <c r="BI439" s="2">
        <v>3000</v>
      </c>
      <c r="BJ439" s="2">
        <v>-2000</v>
      </c>
      <c r="BK439" s="2">
        <v>1000</v>
      </c>
      <c r="BL439" s="2">
        <v>1000</v>
      </c>
      <c r="BO439" s="2">
        <f t="shared" si="251"/>
        <v>-111605</v>
      </c>
      <c r="BP439" s="2">
        <f t="shared" si="261"/>
        <v>0</v>
      </c>
      <c r="BQ439" s="2">
        <f t="shared" si="262"/>
        <v>0</v>
      </c>
      <c r="BR439" s="2">
        <f t="shared" si="263"/>
        <v>0</v>
      </c>
      <c r="BS439" s="2">
        <f t="shared" si="264"/>
        <v>0</v>
      </c>
      <c r="BT439" s="2">
        <f t="shared" si="265"/>
        <v>0</v>
      </c>
      <c r="BU439" s="2">
        <f t="shared" si="266"/>
        <v>0</v>
      </c>
      <c r="BV439" s="2">
        <f t="shared" si="267"/>
        <v>0</v>
      </c>
      <c r="BW439" s="2">
        <f t="shared" si="268"/>
        <v>0</v>
      </c>
      <c r="BX439" s="2">
        <f t="shared" si="269"/>
        <v>0</v>
      </c>
      <c r="BY439" s="2">
        <f t="shared" si="270"/>
        <v>0</v>
      </c>
      <c r="BZ439" s="2">
        <f t="shared" si="271"/>
        <v>0</v>
      </c>
      <c r="CA439" s="2">
        <f t="shared" si="272"/>
        <v>0</v>
      </c>
      <c r="CB439" s="2">
        <f t="shared" si="273"/>
        <v>0</v>
      </c>
      <c r="CC439" s="2">
        <f t="shared" si="274"/>
        <v>0</v>
      </c>
      <c r="CD439" s="2">
        <f t="shared" si="275"/>
        <v>0</v>
      </c>
      <c r="CE439" s="2">
        <f t="shared" si="276"/>
        <v>0</v>
      </c>
      <c r="CF439" s="2">
        <f t="shared" si="277"/>
        <v>983.22</v>
      </c>
      <c r="CG439" s="2">
        <f t="shared" si="278"/>
        <v>5923.84</v>
      </c>
      <c r="CH439" s="2">
        <f t="shared" si="279"/>
        <v>590.03000000000009</v>
      </c>
      <c r="CI439" s="2">
        <f t="shared" si="280"/>
        <v>0</v>
      </c>
      <c r="CJ439" s="2">
        <f t="shared" si="281"/>
        <v>0</v>
      </c>
      <c r="CK439" s="2">
        <f t="shared" si="282"/>
        <v>0</v>
      </c>
      <c r="CL439" s="2">
        <f t="shared" si="283"/>
        <v>0</v>
      </c>
      <c r="CM439" s="2">
        <f t="shared" si="254"/>
        <v>0</v>
      </c>
      <c r="CN439" s="2">
        <f t="shared" si="255"/>
        <v>0</v>
      </c>
      <c r="CO439" s="2">
        <f t="shared" si="256"/>
        <v>0</v>
      </c>
      <c r="CP439" s="2">
        <f t="shared" si="257"/>
        <v>0</v>
      </c>
      <c r="CQ439" s="2">
        <f t="shared" si="258"/>
        <v>0</v>
      </c>
      <c r="CR439" s="2">
        <f t="shared" si="259"/>
        <v>0</v>
      </c>
      <c r="CV439" t="s">
        <v>64</v>
      </c>
      <c r="CW439" t="s">
        <v>512</v>
      </c>
      <c r="CX439" t="s">
        <v>18</v>
      </c>
      <c r="CY439" s="4">
        <v>42913</v>
      </c>
      <c r="CZ439" t="s">
        <v>65</v>
      </c>
      <c r="DA439" t="s">
        <v>66</v>
      </c>
      <c r="DB439">
        <v>36</v>
      </c>
      <c r="DC439">
        <v>62.6</v>
      </c>
      <c r="DD439" t="s">
        <v>69</v>
      </c>
      <c r="DE439" t="s">
        <v>70</v>
      </c>
      <c r="DF439">
        <v>2253.6</v>
      </c>
    </row>
    <row r="440" spans="1:110" x14ac:dyDescent="0.25">
      <c r="A440" s="1">
        <v>43371</v>
      </c>
      <c r="B440">
        <v>223.99</v>
      </c>
      <c r="C440">
        <v>106.06</v>
      </c>
      <c r="D440">
        <v>368.34</v>
      </c>
      <c r="E440">
        <v>150.56</v>
      </c>
      <c r="F440">
        <v>47.95</v>
      </c>
      <c r="G440">
        <v>119.89</v>
      </c>
      <c r="H440">
        <v>116.04</v>
      </c>
      <c r="I440">
        <v>63.88</v>
      </c>
      <c r="J440">
        <v>223.34</v>
      </c>
      <c r="K440">
        <v>205.92</v>
      </c>
      <c r="L440">
        <v>147.59</v>
      </c>
      <c r="M440">
        <v>46.7</v>
      </c>
      <c r="N440">
        <v>137.30000000000001</v>
      </c>
      <c r="O440">
        <v>111.15</v>
      </c>
      <c r="P440">
        <v>45.83</v>
      </c>
      <c r="Q440">
        <v>166.26</v>
      </c>
      <c r="R440">
        <v>207.84</v>
      </c>
      <c r="S440">
        <v>70.45</v>
      </c>
      <c r="T440">
        <v>113.88</v>
      </c>
      <c r="U440">
        <v>84.47</v>
      </c>
      <c r="V440">
        <v>43.35</v>
      </c>
      <c r="W440">
        <v>81.849999999999994</v>
      </c>
      <c r="X440">
        <v>128.91</v>
      </c>
      <c r="Y440">
        <v>265.19</v>
      </c>
      <c r="Z440">
        <v>138.19</v>
      </c>
      <c r="AA440">
        <v>149.56</v>
      </c>
      <c r="AB440">
        <v>52.26</v>
      </c>
      <c r="AC440">
        <v>72.069999999999993</v>
      </c>
      <c r="AD440">
        <v>93.4</v>
      </c>
      <c r="AE440">
        <v>83.24</v>
      </c>
      <c r="AI440" s="2">
        <v>4000</v>
      </c>
      <c r="AJ440" s="2">
        <f t="shared" si="288"/>
        <v>1310</v>
      </c>
      <c r="AK440" s="2">
        <f t="shared" si="288"/>
        <v>1310</v>
      </c>
      <c r="AL440" s="2">
        <f t="shared" si="288"/>
        <v>1310</v>
      </c>
      <c r="AM440" s="2">
        <f t="shared" si="288"/>
        <v>1310</v>
      </c>
      <c r="AN440" s="2">
        <f t="shared" si="288"/>
        <v>1310</v>
      </c>
      <c r="AO440" s="2">
        <f t="shared" si="288"/>
        <v>1310</v>
      </c>
      <c r="AP440" s="2">
        <f t="shared" si="288"/>
        <v>1190</v>
      </c>
      <c r="AQ440" s="2">
        <v>1000</v>
      </c>
      <c r="AR440" s="2">
        <v>0</v>
      </c>
      <c r="AS440" s="2">
        <v>10</v>
      </c>
      <c r="AT440" s="2">
        <v>0</v>
      </c>
      <c r="AU440" s="2">
        <v>0</v>
      </c>
      <c r="AV440" s="2">
        <v>0</v>
      </c>
      <c r="AW440" s="2">
        <v>0</v>
      </c>
      <c r="AX440" s="2">
        <v>0</v>
      </c>
      <c r="AY440" s="2">
        <v>0</v>
      </c>
      <c r="AZ440" s="2">
        <v>1021</v>
      </c>
      <c r="BA440" s="2">
        <v>1045</v>
      </c>
      <c r="BB440" s="2">
        <v>1044</v>
      </c>
      <c r="BC440" s="2">
        <v>-2000</v>
      </c>
      <c r="BD440" s="2">
        <v>-7500</v>
      </c>
      <c r="BE440" s="2">
        <v>5000</v>
      </c>
      <c r="BF440" s="2">
        <v>3000</v>
      </c>
      <c r="BG440" s="2">
        <v>5000</v>
      </c>
      <c r="BH440" s="2">
        <v>2500</v>
      </c>
      <c r="BI440" s="2">
        <v>3000</v>
      </c>
      <c r="BJ440" s="2">
        <v>-2000</v>
      </c>
      <c r="BK440" s="2">
        <v>1000</v>
      </c>
      <c r="BL440" s="2">
        <v>1000</v>
      </c>
      <c r="BO440" s="2">
        <f t="shared" si="251"/>
        <v>-335985</v>
      </c>
      <c r="BP440" s="2">
        <f t="shared" si="261"/>
        <v>0</v>
      </c>
      <c r="BQ440" s="2">
        <f t="shared" si="262"/>
        <v>0</v>
      </c>
      <c r="BR440" s="2">
        <f t="shared" si="263"/>
        <v>0</v>
      </c>
      <c r="BS440" s="2">
        <f t="shared" si="264"/>
        <v>0</v>
      </c>
      <c r="BT440" s="2">
        <f t="shared" si="265"/>
        <v>0</v>
      </c>
      <c r="BU440" s="2">
        <f t="shared" si="266"/>
        <v>0</v>
      </c>
      <c r="BV440" s="2">
        <f t="shared" si="267"/>
        <v>0</v>
      </c>
      <c r="BW440" s="2">
        <f t="shared" si="268"/>
        <v>0</v>
      </c>
      <c r="BX440" s="2">
        <f t="shared" si="269"/>
        <v>0</v>
      </c>
      <c r="BY440" s="2">
        <f t="shared" si="270"/>
        <v>0</v>
      </c>
      <c r="BZ440" s="2">
        <f t="shared" si="271"/>
        <v>0</v>
      </c>
      <c r="CA440" s="2">
        <f t="shared" si="272"/>
        <v>0</v>
      </c>
      <c r="CB440" s="2">
        <f t="shared" si="273"/>
        <v>0</v>
      </c>
      <c r="CC440" s="2">
        <f t="shared" si="274"/>
        <v>0</v>
      </c>
      <c r="CD440" s="2">
        <f t="shared" si="275"/>
        <v>0</v>
      </c>
      <c r="CE440" s="2">
        <f t="shared" si="276"/>
        <v>0</v>
      </c>
      <c r="CF440" s="2">
        <f t="shared" si="277"/>
        <v>-281.8</v>
      </c>
      <c r="CG440" s="2">
        <f t="shared" si="278"/>
        <v>-3644.16</v>
      </c>
      <c r="CH440" s="2">
        <f t="shared" si="279"/>
        <v>2703.04</v>
      </c>
      <c r="CI440" s="2">
        <f t="shared" si="280"/>
        <v>0</v>
      </c>
      <c r="CJ440" s="2">
        <f t="shared" si="281"/>
        <v>0</v>
      </c>
      <c r="CK440" s="2">
        <f t="shared" si="282"/>
        <v>0</v>
      </c>
      <c r="CL440" s="2">
        <f t="shared" si="283"/>
        <v>0</v>
      </c>
      <c r="CM440" s="2">
        <f t="shared" si="254"/>
        <v>0</v>
      </c>
      <c r="CN440" s="2">
        <f t="shared" si="255"/>
        <v>0</v>
      </c>
      <c r="CO440" s="2">
        <f t="shared" si="256"/>
        <v>0</v>
      </c>
      <c r="CP440" s="2">
        <f t="shared" si="257"/>
        <v>0</v>
      </c>
      <c r="CQ440" s="2">
        <f t="shared" si="258"/>
        <v>0</v>
      </c>
      <c r="CR440" s="2">
        <f t="shared" si="259"/>
        <v>0</v>
      </c>
      <c r="CV440" t="s">
        <v>64</v>
      </c>
      <c r="CW440" t="s">
        <v>513</v>
      </c>
      <c r="CX440" t="s">
        <v>18</v>
      </c>
      <c r="CY440" s="4">
        <v>42914</v>
      </c>
      <c r="CZ440" t="s">
        <v>67</v>
      </c>
      <c r="DA440" t="s">
        <v>68</v>
      </c>
      <c r="DB440">
        <v>19</v>
      </c>
      <c r="DC440">
        <v>62.24</v>
      </c>
      <c r="DD440" t="s">
        <v>69</v>
      </c>
      <c r="DE440" t="s">
        <v>70</v>
      </c>
      <c r="DF440">
        <v>1182.56</v>
      </c>
    </row>
    <row r="441" spans="1:110" x14ac:dyDescent="0.25">
      <c r="A441" s="1">
        <v>43374</v>
      </c>
      <c r="B441">
        <v>225.5</v>
      </c>
      <c r="C441">
        <v>107.46</v>
      </c>
      <c r="D441">
        <v>378.63</v>
      </c>
      <c r="E441">
        <v>150.35</v>
      </c>
      <c r="F441">
        <v>48.17</v>
      </c>
      <c r="G441">
        <v>121.96</v>
      </c>
      <c r="H441">
        <v>115.35</v>
      </c>
      <c r="I441">
        <v>64.39</v>
      </c>
      <c r="J441">
        <v>224.42</v>
      </c>
      <c r="K441">
        <v>206.37</v>
      </c>
      <c r="L441">
        <v>149.34</v>
      </c>
      <c r="M441">
        <v>45.87</v>
      </c>
      <c r="N441">
        <v>138.81</v>
      </c>
      <c r="O441">
        <v>111.8</v>
      </c>
      <c r="P441">
        <v>45.87</v>
      </c>
      <c r="Q441">
        <v>165.65</v>
      </c>
      <c r="R441">
        <v>209.3</v>
      </c>
      <c r="S441">
        <v>71.03</v>
      </c>
      <c r="T441">
        <v>115.11</v>
      </c>
      <c r="U441">
        <v>84.21</v>
      </c>
      <c r="V441">
        <v>43.55</v>
      </c>
      <c r="W441">
        <v>82.29</v>
      </c>
      <c r="X441">
        <v>128.18</v>
      </c>
      <c r="Y441">
        <v>268.24</v>
      </c>
      <c r="Z441">
        <v>139.29</v>
      </c>
      <c r="AA441">
        <v>150.26</v>
      </c>
      <c r="AB441">
        <v>52.7</v>
      </c>
      <c r="AC441">
        <v>71.63</v>
      </c>
      <c r="AD441">
        <v>93.89</v>
      </c>
      <c r="AE441">
        <v>84.02</v>
      </c>
      <c r="AI441" s="2">
        <v>4000</v>
      </c>
      <c r="AJ441" s="2">
        <f t="shared" si="288"/>
        <v>1310</v>
      </c>
      <c r="AK441" s="2">
        <f t="shared" si="288"/>
        <v>1310</v>
      </c>
      <c r="AL441" s="2">
        <f t="shared" si="288"/>
        <v>1310</v>
      </c>
      <c r="AM441" s="2">
        <f t="shared" si="288"/>
        <v>1310</v>
      </c>
      <c r="AN441" s="2">
        <f t="shared" si="288"/>
        <v>1310</v>
      </c>
      <c r="AO441" s="2">
        <f t="shared" si="288"/>
        <v>1310</v>
      </c>
      <c r="AP441" s="2">
        <f t="shared" si="288"/>
        <v>1190</v>
      </c>
      <c r="AQ441" s="2">
        <v>1000</v>
      </c>
      <c r="AR441" s="2">
        <v>0</v>
      </c>
      <c r="AS441" s="2">
        <v>10</v>
      </c>
      <c r="AT441" s="2">
        <v>0</v>
      </c>
      <c r="AU441" s="2">
        <v>0</v>
      </c>
      <c r="AV441" s="2">
        <v>0</v>
      </c>
      <c r="AW441" s="2">
        <v>0</v>
      </c>
      <c r="AX441" s="2">
        <v>0</v>
      </c>
      <c r="AY441" s="2">
        <v>0</v>
      </c>
      <c r="AZ441" s="2">
        <v>966</v>
      </c>
      <c r="BA441" s="2">
        <v>933</v>
      </c>
      <c r="BB441" s="2">
        <v>1064</v>
      </c>
      <c r="BC441" s="2">
        <v>-2000</v>
      </c>
      <c r="BD441" s="2">
        <v>-7500</v>
      </c>
      <c r="BE441" s="2">
        <v>5000</v>
      </c>
      <c r="BF441" s="2">
        <v>3000</v>
      </c>
      <c r="BG441" s="2">
        <v>5000</v>
      </c>
      <c r="BH441" s="2">
        <v>2500</v>
      </c>
      <c r="BI441" s="2">
        <v>3000</v>
      </c>
      <c r="BJ441" s="2">
        <v>-2000</v>
      </c>
      <c r="BK441" s="2">
        <v>1000</v>
      </c>
      <c r="BL441" s="2">
        <v>1000</v>
      </c>
      <c r="BO441" s="2">
        <f t="shared" si="251"/>
        <v>0</v>
      </c>
      <c r="BP441" s="2">
        <f t="shared" si="261"/>
        <v>0</v>
      </c>
      <c r="BQ441" s="2">
        <f t="shared" si="262"/>
        <v>0</v>
      </c>
      <c r="BR441" s="2">
        <f t="shared" si="263"/>
        <v>0</v>
      </c>
      <c r="BS441" s="2">
        <f t="shared" si="264"/>
        <v>0</v>
      </c>
      <c r="BT441" s="2">
        <f t="shared" si="265"/>
        <v>0</v>
      </c>
      <c r="BU441" s="2">
        <f t="shared" si="266"/>
        <v>0</v>
      </c>
      <c r="BV441" s="2">
        <f t="shared" si="267"/>
        <v>0</v>
      </c>
      <c r="BW441" s="2">
        <f t="shared" si="268"/>
        <v>0</v>
      </c>
      <c r="BX441" s="2">
        <f t="shared" si="269"/>
        <v>0</v>
      </c>
      <c r="BY441" s="2">
        <f t="shared" si="270"/>
        <v>0</v>
      </c>
      <c r="BZ441" s="2">
        <f t="shared" si="271"/>
        <v>0</v>
      </c>
      <c r="CA441" s="2">
        <f t="shared" si="272"/>
        <v>0</v>
      </c>
      <c r="CB441" s="2">
        <f t="shared" si="273"/>
        <v>0</v>
      </c>
      <c r="CC441" s="2">
        <f t="shared" si="274"/>
        <v>0</v>
      </c>
      <c r="CD441" s="2">
        <f t="shared" si="275"/>
        <v>0</v>
      </c>
      <c r="CE441" s="2">
        <f t="shared" si="276"/>
        <v>0</v>
      </c>
      <c r="CF441" s="2">
        <f t="shared" si="277"/>
        <v>3906.65</v>
      </c>
      <c r="CG441" s="2">
        <f t="shared" si="278"/>
        <v>12892.32</v>
      </c>
      <c r="CH441" s="2">
        <f t="shared" si="279"/>
        <v>-1684.1999999999998</v>
      </c>
      <c r="CI441" s="2">
        <f t="shared" si="280"/>
        <v>0</v>
      </c>
      <c r="CJ441" s="2">
        <f t="shared" si="281"/>
        <v>0</v>
      </c>
      <c r="CK441" s="2">
        <f t="shared" si="282"/>
        <v>0</v>
      </c>
      <c r="CL441" s="2">
        <f t="shared" si="283"/>
        <v>0</v>
      </c>
      <c r="CM441" s="2">
        <f t="shared" si="254"/>
        <v>0</v>
      </c>
      <c r="CN441" s="2">
        <f t="shared" si="255"/>
        <v>0</v>
      </c>
      <c r="CO441" s="2">
        <f t="shared" si="256"/>
        <v>0</v>
      </c>
      <c r="CP441" s="2">
        <f t="shared" si="257"/>
        <v>0</v>
      </c>
      <c r="CQ441" s="2">
        <f t="shared" si="258"/>
        <v>0</v>
      </c>
      <c r="CR441" s="2">
        <f t="shared" si="259"/>
        <v>0</v>
      </c>
      <c r="CV441" t="s">
        <v>64</v>
      </c>
      <c r="CW441" t="s">
        <v>514</v>
      </c>
      <c r="CX441" t="s">
        <v>18</v>
      </c>
      <c r="CY441" s="4">
        <v>42915</v>
      </c>
      <c r="CZ441" t="s">
        <v>67</v>
      </c>
      <c r="DA441" t="s">
        <v>68</v>
      </c>
      <c r="DB441">
        <v>61</v>
      </c>
      <c r="DC441">
        <v>61.46</v>
      </c>
      <c r="DD441" t="s">
        <v>69</v>
      </c>
      <c r="DE441" t="s">
        <v>70</v>
      </c>
      <c r="DF441">
        <v>3749.06</v>
      </c>
    </row>
    <row r="442" spans="1:110" x14ac:dyDescent="0.25">
      <c r="A442" s="1">
        <v>43375</v>
      </c>
      <c r="B442">
        <v>227.51</v>
      </c>
      <c r="C442">
        <v>107.95</v>
      </c>
      <c r="D442">
        <v>382.67</v>
      </c>
      <c r="E442">
        <v>152.86000000000001</v>
      </c>
      <c r="F442">
        <v>48.31</v>
      </c>
      <c r="G442">
        <v>122.3</v>
      </c>
      <c r="H442">
        <v>116.75</v>
      </c>
      <c r="I442">
        <v>64.39</v>
      </c>
      <c r="J442">
        <v>225.16</v>
      </c>
      <c r="K442">
        <v>203.53</v>
      </c>
      <c r="L442">
        <v>150.07</v>
      </c>
      <c r="M442">
        <v>47.5</v>
      </c>
      <c r="N442">
        <v>139.59</v>
      </c>
      <c r="O442">
        <v>112.27</v>
      </c>
      <c r="P442">
        <v>46.15</v>
      </c>
      <c r="Q442">
        <v>164.17</v>
      </c>
      <c r="R442">
        <v>212.78</v>
      </c>
      <c r="S442">
        <v>71.25</v>
      </c>
      <c r="T442">
        <v>114.65</v>
      </c>
      <c r="U442">
        <v>82.53</v>
      </c>
      <c r="V442">
        <v>43.5</v>
      </c>
      <c r="W442">
        <v>82.96</v>
      </c>
      <c r="X442">
        <v>128.71</v>
      </c>
      <c r="Y442">
        <v>269.77</v>
      </c>
      <c r="Z442">
        <v>139.81</v>
      </c>
      <c r="AA442">
        <v>149.13999999999999</v>
      </c>
      <c r="AB442">
        <v>53.27</v>
      </c>
      <c r="AC442">
        <v>72.650000000000006</v>
      </c>
      <c r="AD442">
        <v>94.63</v>
      </c>
      <c r="AE442">
        <v>84.65</v>
      </c>
      <c r="AI442" s="2">
        <v>4000</v>
      </c>
      <c r="AJ442" s="2">
        <f t="shared" si="288"/>
        <v>1310</v>
      </c>
      <c r="AK442" s="2">
        <f t="shared" si="288"/>
        <v>1310</v>
      </c>
      <c r="AL442" s="2">
        <f t="shared" si="288"/>
        <v>1310</v>
      </c>
      <c r="AM442" s="2">
        <f t="shared" si="288"/>
        <v>1310</v>
      </c>
      <c r="AN442" s="2">
        <f t="shared" si="288"/>
        <v>1310</v>
      </c>
      <c r="AO442" s="2">
        <f t="shared" si="288"/>
        <v>1310</v>
      </c>
      <c r="AP442" s="2">
        <f t="shared" si="288"/>
        <v>1190</v>
      </c>
      <c r="AQ442" s="2">
        <v>1000</v>
      </c>
      <c r="AR442" s="2">
        <v>0</v>
      </c>
      <c r="AS442" s="2">
        <v>10</v>
      </c>
      <c r="AT442" s="2">
        <v>0</v>
      </c>
      <c r="AU442" s="2">
        <v>0</v>
      </c>
      <c r="AV442" s="2">
        <v>0</v>
      </c>
      <c r="AW442" s="2">
        <v>0</v>
      </c>
      <c r="AX442" s="2">
        <v>0</v>
      </c>
      <c r="AY442" s="2">
        <v>0</v>
      </c>
      <c r="AZ442" s="2">
        <v>998</v>
      </c>
      <c r="BA442" s="2">
        <v>1095</v>
      </c>
      <c r="BB442" s="2">
        <v>1025</v>
      </c>
      <c r="BC442" s="2">
        <v>-2000</v>
      </c>
      <c r="BD442" s="2">
        <v>-7500</v>
      </c>
      <c r="BE442" s="2">
        <v>5000</v>
      </c>
      <c r="BF442" s="2">
        <v>3000</v>
      </c>
      <c r="BG442" s="2">
        <v>5000</v>
      </c>
      <c r="BH442" s="2">
        <v>2500</v>
      </c>
      <c r="BI442" s="2">
        <v>3000</v>
      </c>
      <c r="BJ442" s="2">
        <v>-2000</v>
      </c>
      <c r="BK442" s="2">
        <v>1000</v>
      </c>
      <c r="BL442" s="2">
        <v>1000</v>
      </c>
      <c r="BO442" s="2">
        <f t="shared" si="251"/>
        <v>0</v>
      </c>
      <c r="BP442" s="2">
        <f t="shared" si="261"/>
        <v>0</v>
      </c>
      <c r="BQ442" s="2">
        <f t="shared" si="262"/>
        <v>0</v>
      </c>
      <c r="BR442" s="2">
        <f t="shared" si="263"/>
        <v>0</v>
      </c>
      <c r="BS442" s="2">
        <f t="shared" si="264"/>
        <v>0</v>
      </c>
      <c r="BT442" s="2">
        <f t="shared" si="265"/>
        <v>0</v>
      </c>
      <c r="BU442" s="2">
        <f t="shared" si="266"/>
        <v>0</v>
      </c>
      <c r="BV442" s="2">
        <f t="shared" si="267"/>
        <v>0</v>
      </c>
      <c r="BW442" s="2">
        <f t="shared" si="268"/>
        <v>0</v>
      </c>
      <c r="BX442" s="2">
        <f t="shared" si="269"/>
        <v>0</v>
      </c>
      <c r="BY442" s="2">
        <f t="shared" si="270"/>
        <v>0</v>
      </c>
      <c r="BZ442" s="2">
        <f t="shared" si="271"/>
        <v>0</v>
      </c>
      <c r="CA442" s="2">
        <f t="shared" si="272"/>
        <v>0</v>
      </c>
      <c r="CB442" s="2">
        <f t="shared" si="273"/>
        <v>0</v>
      </c>
      <c r="CC442" s="2">
        <f t="shared" si="274"/>
        <v>0</v>
      </c>
      <c r="CD442" s="2">
        <f t="shared" si="275"/>
        <v>0</v>
      </c>
      <c r="CE442" s="2">
        <f t="shared" si="276"/>
        <v>0</v>
      </c>
      <c r="CF442" s="2">
        <f t="shared" si="277"/>
        <v>-2280</v>
      </c>
      <c r="CG442" s="2">
        <f t="shared" si="278"/>
        <v>-18573.3</v>
      </c>
      <c r="CH442" s="2">
        <f t="shared" si="279"/>
        <v>3218.67</v>
      </c>
      <c r="CI442" s="2">
        <f t="shared" si="280"/>
        <v>0</v>
      </c>
      <c r="CJ442" s="2">
        <f t="shared" si="281"/>
        <v>0</v>
      </c>
      <c r="CK442" s="2">
        <f t="shared" si="282"/>
        <v>0</v>
      </c>
      <c r="CL442" s="2">
        <f t="shared" si="283"/>
        <v>0</v>
      </c>
      <c r="CM442" s="2">
        <f t="shared" si="254"/>
        <v>0</v>
      </c>
      <c r="CN442" s="2">
        <f t="shared" si="255"/>
        <v>0</v>
      </c>
      <c r="CO442" s="2">
        <f t="shared" si="256"/>
        <v>0</v>
      </c>
      <c r="CP442" s="2">
        <f t="shared" si="257"/>
        <v>0</v>
      </c>
      <c r="CQ442" s="2">
        <f t="shared" si="258"/>
        <v>0</v>
      </c>
      <c r="CR442" s="2">
        <f t="shared" si="259"/>
        <v>0</v>
      </c>
      <c r="CV442" t="s">
        <v>64</v>
      </c>
      <c r="CW442" t="s">
        <v>515</v>
      </c>
      <c r="CX442" t="s">
        <v>18</v>
      </c>
      <c r="CY442" s="4">
        <v>42916</v>
      </c>
      <c r="CZ442" t="s">
        <v>65</v>
      </c>
      <c r="DA442" t="s">
        <v>66</v>
      </c>
      <c r="DB442">
        <v>83</v>
      </c>
      <c r="DC442">
        <v>61.22</v>
      </c>
      <c r="DD442" t="s">
        <v>69</v>
      </c>
      <c r="DE442" t="s">
        <v>70</v>
      </c>
      <c r="DF442">
        <v>5081.26</v>
      </c>
    </row>
    <row r="443" spans="1:110" x14ac:dyDescent="0.25">
      <c r="A443" s="1">
        <v>43376</v>
      </c>
      <c r="B443">
        <v>230.28</v>
      </c>
      <c r="C443">
        <v>108.01</v>
      </c>
      <c r="D443">
        <v>388.54</v>
      </c>
      <c r="E443">
        <v>156.21</v>
      </c>
      <c r="F443">
        <v>48.44</v>
      </c>
      <c r="G443">
        <v>122.86</v>
      </c>
      <c r="H443">
        <v>116.01</v>
      </c>
      <c r="I443">
        <v>63.96</v>
      </c>
      <c r="J443">
        <v>226.86</v>
      </c>
      <c r="K443">
        <v>202.53</v>
      </c>
      <c r="L443">
        <v>149.55000000000001</v>
      </c>
      <c r="M443">
        <v>48.15</v>
      </c>
      <c r="N443">
        <v>138.15</v>
      </c>
      <c r="O443">
        <v>113.32</v>
      </c>
      <c r="P443">
        <v>45.51</v>
      </c>
      <c r="Q443">
        <v>163.65</v>
      </c>
      <c r="R443">
        <v>212.83</v>
      </c>
      <c r="S443">
        <v>70.87</v>
      </c>
      <c r="T443">
        <v>114.67</v>
      </c>
      <c r="U443">
        <v>82.26</v>
      </c>
      <c r="V443">
        <v>44.08</v>
      </c>
      <c r="W443">
        <v>81.66</v>
      </c>
      <c r="X443">
        <v>128.74</v>
      </c>
      <c r="Y443">
        <v>270.04000000000002</v>
      </c>
      <c r="Z443">
        <v>139.38999999999999</v>
      </c>
      <c r="AA443">
        <v>148.84</v>
      </c>
      <c r="AB443">
        <v>53.14</v>
      </c>
      <c r="AC443">
        <v>72.959999999999994</v>
      </c>
      <c r="AD443">
        <v>93.56</v>
      </c>
      <c r="AE443">
        <v>84.35</v>
      </c>
      <c r="AI443" s="2">
        <v>5000</v>
      </c>
      <c r="AJ443" s="2">
        <f t="shared" si="288"/>
        <v>1310</v>
      </c>
      <c r="AK443" s="2">
        <f t="shared" si="288"/>
        <v>1310</v>
      </c>
      <c r="AL443" s="2">
        <f t="shared" si="288"/>
        <v>1310</v>
      </c>
      <c r="AM443" s="2">
        <f t="shared" si="288"/>
        <v>1310</v>
      </c>
      <c r="AN443" s="2">
        <f t="shared" si="288"/>
        <v>1310</v>
      </c>
      <c r="AO443" s="2">
        <f t="shared" si="288"/>
        <v>1310</v>
      </c>
      <c r="AP443" s="2">
        <f t="shared" si="288"/>
        <v>1190</v>
      </c>
      <c r="AQ443" s="2">
        <v>1000</v>
      </c>
      <c r="AR443" s="2">
        <v>0</v>
      </c>
      <c r="AS443" s="2">
        <v>10</v>
      </c>
      <c r="AT443" s="2">
        <v>0</v>
      </c>
      <c r="AU443" s="2">
        <v>0</v>
      </c>
      <c r="AV443" s="2">
        <v>0</v>
      </c>
      <c r="AW443" s="2">
        <v>0</v>
      </c>
      <c r="AX443" s="2">
        <v>0</v>
      </c>
      <c r="AY443" s="2">
        <v>0</v>
      </c>
      <c r="AZ443" s="2">
        <v>1019</v>
      </c>
      <c r="BA443" s="2">
        <v>969</v>
      </c>
      <c r="BB443" s="2">
        <v>909</v>
      </c>
      <c r="BC443" s="2">
        <v>-2000</v>
      </c>
      <c r="BD443" s="2">
        <v>-7500</v>
      </c>
      <c r="BE443" s="2">
        <v>5000</v>
      </c>
      <c r="BF443" s="2">
        <v>3000</v>
      </c>
      <c r="BG443" s="2">
        <v>5000</v>
      </c>
      <c r="BH443" s="2">
        <v>2500</v>
      </c>
      <c r="BI443" s="2">
        <v>3000</v>
      </c>
      <c r="BJ443" s="2">
        <v>-2000</v>
      </c>
      <c r="BK443" s="2">
        <v>1000</v>
      </c>
      <c r="BL443" s="2">
        <v>1000</v>
      </c>
      <c r="BO443" s="2">
        <f t="shared" si="251"/>
        <v>-230280</v>
      </c>
      <c r="BP443" s="2">
        <f t="shared" si="261"/>
        <v>0</v>
      </c>
      <c r="BQ443" s="2">
        <f t="shared" si="262"/>
        <v>0</v>
      </c>
      <c r="BR443" s="2">
        <f t="shared" si="263"/>
        <v>0</v>
      </c>
      <c r="BS443" s="2">
        <f t="shared" si="264"/>
        <v>0</v>
      </c>
      <c r="BT443" s="2">
        <f t="shared" si="265"/>
        <v>0</v>
      </c>
      <c r="BU443" s="2">
        <f t="shared" si="266"/>
        <v>0</v>
      </c>
      <c r="BV443" s="2">
        <f t="shared" si="267"/>
        <v>0</v>
      </c>
      <c r="BW443" s="2">
        <f t="shared" si="268"/>
        <v>0</v>
      </c>
      <c r="BX443" s="2">
        <f t="shared" si="269"/>
        <v>0</v>
      </c>
      <c r="BY443" s="2">
        <f t="shared" si="270"/>
        <v>0</v>
      </c>
      <c r="BZ443" s="2">
        <f t="shared" si="271"/>
        <v>0</v>
      </c>
      <c r="CA443" s="2">
        <f t="shared" si="272"/>
        <v>0</v>
      </c>
      <c r="CB443" s="2">
        <f t="shared" si="273"/>
        <v>0</v>
      </c>
      <c r="CC443" s="2">
        <f t="shared" si="274"/>
        <v>0</v>
      </c>
      <c r="CD443" s="2">
        <f t="shared" si="275"/>
        <v>0</v>
      </c>
      <c r="CE443" s="2">
        <f t="shared" si="276"/>
        <v>0</v>
      </c>
      <c r="CF443" s="2">
        <f t="shared" si="277"/>
        <v>-1488.27</v>
      </c>
      <c r="CG443" s="2">
        <f t="shared" si="278"/>
        <v>14448.42</v>
      </c>
      <c r="CH443" s="2">
        <f t="shared" si="279"/>
        <v>9542.16</v>
      </c>
      <c r="CI443" s="2">
        <f t="shared" si="280"/>
        <v>0</v>
      </c>
      <c r="CJ443" s="2">
        <f t="shared" si="281"/>
        <v>0</v>
      </c>
      <c r="CK443" s="2">
        <f t="shared" si="282"/>
        <v>0</v>
      </c>
      <c r="CL443" s="2">
        <f t="shared" si="283"/>
        <v>0</v>
      </c>
      <c r="CM443" s="2">
        <f t="shared" si="254"/>
        <v>0</v>
      </c>
      <c r="CN443" s="2">
        <f t="shared" si="255"/>
        <v>0</v>
      </c>
      <c r="CO443" s="2">
        <f t="shared" si="256"/>
        <v>0</v>
      </c>
      <c r="CP443" s="2">
        <f t="shared" si="257"/>
        <v>0</v>
      </c>
      <c r="CQ443" s="2">
        <f t="shared" si="258"/>
        <v>0</v>
      </c>
      <c r="CR443" s="2">
        <f t="shared" si="259"/>
        <v>0</v>
      </c>
      <c r="CV443" t="s">
        <v>64</v>
      </c>
      <c r="CW443" t="s">
        <v>516</v>
      </c>
      <c r="CX443" t="s">
        <v>18</v>
      </c>
      <c r="CY443" s="4">
        <v>42919</v>
      </c>
      <c r="CZ443" t="s">
        <v>67</v>
      </c>
      <c r="DA443" t="s">
        <v>68</v>
      </c>
      <c r="DB443">
        <v>81</v>
      </c>
      <c r="DC443">
        <v>61.39</v>
      </c>
      <c r="DD443" t="s">
        <v>69</v>
      </c>
      <c r="DE443" t="s">
        <v>70</v>
      </c>
      <c r="DF443">
        <v>4972.59</v>
      </c>
    </row>
    <row r="444" spans="1:110" x14ac:dyDescent="0.25">
      <c r="A444" s="1">
        <v>43377</v>
      </c>
      <c r="B444">
        <v>226.23</v>
      </c>
      <c r="C444">
        <v>107.3</v>
      </c>
      <c r="D444">
        <v>386.26</v>
      </c>
      <c r="E444">
        <v>154.76</v>
      </c>
      <c r="F444">
        <v>48.01</v>
      </c>
      <c r="G444">
        <v>122.51</v>
      </c>
      <c r="H444">
        <v>115.24</v>
      </c>
      <c r="I444">
        <v>63.58</v>
      </c>
      <c r="J444">
        <v>226.56</v>
      </c>
      <c r="K444">
        <v>197.67</v>
      </c>
      <c r="L444">
        <v>147.69</v>
      </c>
      <c r="M444">
        <v>47.53</v>
      </c>
      <c r="N444">
        <v>138.47</v>
      </c>
      <c r="O444">
        <v>114.34</v>
      </c>
      <c r="P444">
        <v>45.49</v>
      </c>
      <c r="Q444">
        <v>164.78</v>
      </c>
      <c r="R444">
        <v>210.93</v>
      </c>
      <c r="S444">
        <v>70.72</v>
      </c>
      <c r="T444">
        <v>112.3</v>
      </c>
      <c r="U444">
        <v>79.94</v>
      </c>
      <c r="V444">
        <v>43.97</v>
      </c>
      <c r="W444">
        <v>80.56</v>
      </c>
      <c r="X444">
        <v>129.99</v>
      </c>
      <c r="Y444">
        <v>267.47000000000003</v>
      </c>
      <c r="Z444">
        <v>138.76</v>
      </c>
      <c r="AA444">
        <v>146.24</v>
      </c>
      <c r="AB444">
        <v>53.86</v>
      </c>
      <c r="AC444">
        <v>72.5</v>
      </c>
      <c r="AD444">
        <v>93.7</v>
      </c>
      <c r="AE444">
        <v>83.79</v>
      </c>
      <c r="AI444" s="2">
        <v>5000</v>
      </c>
      <c r="AJ444" s="2">
        <f t="shared" si="288"/>
        <v>1310</v>
      </c>
      <c r="AK444" s="2">
        <f t="shared" si="288"/>
        <v>1310</v>
      </c>
      <c r="AL444" s="2">
        <f t="shared" si="288"/>
        <v>1310</v>
      </c>
      <c r="AM444" s="2">
        <f t="shared" si="288"/>
        <v>1310</v>
      </c>
      <c r="AN444" s="2">
        <f t="shared" si="288"/>
        <v>1310</v>
      </c>
      <c r="AO444" s="2">
        <f t="shared" si="288"/>
        <v>1310</v>
      </c>
      <c r="AP444" s="2">
        <f t="shared" si="288"/>
        <v>1190</v>
      </c>
      <c r="AQ444" s="2">
        <v>1000</v>
      </c>
      <c r="AR444" s="2">
        <v>0</v>
      </c>
      <c r="AS444" s="2">
        <v>10</v>
      </c>
      <c r="AT444" s="2">
        <v>0</v>
      </c>
      <c r="AU444" s="2">
        <v>0</v>
      </c>
      <c r="AV444" s="2">
        <v>0</v>
      </c>
      <c r="AW444" s="2">
        <v>0</v>
      </c>
      <c r="AX444" s="2">
        <v>0</v>
      </c>
      <c r="AY444" s="2">
        <v>0</v>
      </c>
      <c r="AZ444" s="2">
        <v>956</v>
      </c>
      <c r="BA444" s="2">
        <v>1039</v>
      </c>
      <c r="BB444" s="2">
        <v>911</v>
      </c>
      <c r="BC444" s="2">
        <v>-2000</v>
      </c>
      <c r="BD444" s="2">
        <v>-7500</v>
      </c>
      <c r="BE444" s="2">
        <v>5000</v>
      </c>
      <c r="BF444" s="2">
        <v>3000</v>
      </c>
      <c r="BG444" s="2">
        <v>5000</v>
      </c>
      <c r="BH444" s="2">
        <v>2500</v>
      </c>
      <c r="BI444" s="2">
        <v>3000</v>
      </c>
      <c r="BJ444" s="2">
        <v>-2000</v>
      </c>
      <c r="BK444" s="2">
        <v>1000</v>
      </c>
      <c r="BL444" s="2">
        <v>1000</v>
      </c>
      <c r="BO444" s="2">
        <f t="shared" si="251"/>
        <v>0</v>
      </c>
      <c r="BP444" s="2">
        <f t="shared" si="261"/>
        <v>0</v>
      </c>
      <c r="BQ444" s="2">
        <f t="shared" si="262"/>
        <v>0</v>
      </c>
      <c r="BR444" s="2">
        <f t="shared" si="263"/>
        <v>0</v>
      </c>
      <c r="BS444" s="2">
        <f t="shared" si="264"/>
        <v>0</v>
      </c>
      <c r="BT444" s="2">
        <f t="shared" si="265"/>
        <v>0</v>
      </c>
      <c r="BU444" s="2">
        <f t="shared" si="266"/>
        <v>0</v>
      </c>
      <c r="BV444" s="2">
        <f t="shared" si="267"/>
        <v>0</v>
      </c>
      <c r="BW444" s="2">
        <f t="shared" si="268"/>
        <v>0</v>
      </c>
      <c r="BX444" s="2">
        <f t="shared" si="269"/>
        <v>0</v>
      </c>
      <c r="BY444" s="2">
        <f t="shared" si="270"/>
        <v>0</v>
      </c>
      <c r="BZ444" s="2">
        <f t="shared" si="271"/>
        <v>0</v>
      </c>
      <c r="CA444" s="2">
        <f t="shared" si="272"/>
        <v>0</v>
      </c>
      <c r="CB444" s="2">
        <f t="shared" si="273"/>
        <v>0</v>
      </c>
      <c r="CC444" s="2">
        <f t="shared" si="274"/>
        <v>0</v>
      </c>
      <c r="CD444" s="2">
        <f t="shared" si="275"/>
        <v>0</v>
      </c>
      <c r="CE444" s="2">
        <f t="shared" si="276"/>
        <v>0</v>
      </c>
      <c r="CF444" s="2">
        <f t="shared" si="277"/>
        <v>4455.3599999999997</v>
      </c>
      <c r="CG444" s="2">
        <f t="shared" si="278"/>
        <v>-7861</v>
      </c>
      <c r="CH444" s="2">
        <f t="shared" si="279"/>
        <v>-159.88</v>
      </c>
      <c r="CI444" s="2">
        <f t="shared" si="280"/>
        <v>0</v>
      </c>
      <c r="CJ444" s="2">
        <f t="shared" si="281"/>
        <v>0</v>
      </c>
      <c r="CK444" s="2">
        <f t="shared" si="282"/>
        <v>0</v>
      </c>
      <c r="CL444" s="2">
        <f t="shared" si="283"/>
        <v>0</v>
      </c>
      <c r="CM444" s="2">
        <f t="shared" si="254"/>
        <v>0</v>
      </c>
      <c r="CN444" s="2">
        <f t="shared" si="255"/>
        <v>0</v>
      </c>
      <c r="CO444" s="2">
        <f t="shared" si="256"/>
        <v>0</v>
      </c>
      <c r="CP444" s="2">
        <f t="shared" si="257"/>
        <v>0</v>
      </c>
      <c r="CQ444" s="2">
        <f t="shared" si="258"/>
        <v>0</v>
      </c>
      <c r="CR444" s="2">
        <f t="shared" si="259"/>
        <v>0</v>
      </c>
      <c r="CV444" t="s">
        <v>64</v>
      </c>
      <c r="CW444" t="s">
        <v>517</v>
      </c>
      <c r="CX444" t="s">
        <v>18</v>
      </c>
      <c r="CY444" s="4">
        <v>42921</v>
      </c>
      <c r="CZ444" t="s">
        <v>65</v>
      </c>
      <c r="DA444" t="s">
        <v>66</v>
      </c>
      <c r="DB444">
        <v>27</v>
      </c>
      <c r="DC444">
        <v>61.28</v>
      </c>
      <c r="DD444" t="s">
        <v>69</v>
      </c>
      <c r="DE444" t="s">
        <v>70</v>
      </c>
      <c r="DF444">
        <v>1654.56</v>
      </c>
    </row>
    <row r="445" spans="1:110" x14ac:dyDescent="0.25">
      <c r="A445" s="1">
        <v>43378</v>
      </c>
      <c r="B445">
        <v>222.56</v>
      </c>
      <c r="C445">
        <v>106.79</v>
      </c>
      <c r="D445">
        <v>382.77</v>
      </c>
      <c r="E445">
        <v>151.37</v>
      </c>
      <c r="F445">
        <v>47.76</v>
      </c>
      <c r="G445">
        <v>122.88</v>
      </c>
      <c r="H445">
        <v>113.9</v>
      </c>
      <c r="I445">
        <v>62.77</v>
      </c>
      <c r="J445">
        <v>224.8</v>
      </c>
      <c r="K445">
        <v>195.21</v>
      </c>
      <c r="L445">
        <v>145.46</v>
      </c>
      <c r="M445">
        <v>46.44</v>
      </c>
      <c r="N445">
        <v>138.22</v>
      </c>
      <c r="O445">
        <v>113.7</v>
      </c>
      <c r="P445">
        <v>45.52</v>
      </c>
      <c r="Q445">
        <v>165.55</v>
      </c>
      <c r="R445">
        <v>210.29</v>
      </c>
      <c r="S445">
        <v>70.540000000000006</v>
      </c>
      <c r="T445">
        <v>111.65</v>
      </c>
      <c r="U445">
        <v>79.88</v>
      </c>
      <c r="V445">
        <v>44.18</v>
      </c>
      <c r="W445">
        <v>80.790000000000006</v>
      </c>
      <c r="X445">
        <v>129.33000000000001</v>
      </c>
      <c r="Y445">
        <v>268.33999999999997</v>
      </c>
      <c r="Z445">
        <v>137.44999999999999</v>
      </c>
      <c r="AA445">
        <v>144.85</v>
      </c>
      <c r="AB445">
        <v>53.78</v>
      </c>
      <c r="AC445">
        <v>71.680000000000007</v>
      </c>
      <c r="AD445">
        <v>92.8</v>
      </c>
      <c r="AE445">
        <v>83.56</v>
      </c>
      <c r="AI445" s="2">
        <v>5000</v>
      </c>
      <c r="AJ445" s="2">
        <f t="shared" si="288"/>
        <v>1310</v>
      </c>
      <c r="AK445" s="2">
        <f t="shared" si="288"/>
        <v>1310</v>
      </c>
      <c r="AL445" s="2">
        <f t="shared" si="288"/>
        <v>1310</v>
      </c>
      <c r="AM445" s="2">
        <f t="shared" si="288"/>
        <v>1310</v>
      </c>
      <c r="AN445" s="2">
        <f t="shared" si="288"/>
        <v>1310</v>
      </c>
      <c r="AO445" s="2">
        <f t="shared" si="288"/>
        <v>1310</v>
      </c>
      <c r="AP445" s="2">
        <f t="shared" si="288"/>
        <v>1190</v>
      </c>
      <c r="AQ445" s="2">
        <v>1000</v>
      </c>
      <c r="AR445" s="2">
        <v>0</v>
      </c>
      <c r="AS445" s="2">
        <v>10</v>
      </c>
      <c r="AT445" s="2">
        <v>0</v>
      </c>
      <c r="AU445" s="2">
        <v>0</v>
      </c>
      <c r="AV445" s="2">
        <v>0</v>
      </c>
      <c r="AW445" s="2">
        <v>0</v>
      </c>
      <c r="AX445" s="2">
        <v>0</v>
      </c>
      <c r="AY445" s="2">
        <v>0</v>
      </c>
      <c r="AZ445" s="2">
        <v>969</v>
      </c>
      <c r="BA445" s="2">
        <v>1076</v>
      </c>
      <c r="BB445" s="2">
        <v>932</v>
      </c>
      <c r="BC445" s="2">
        <v>-2000</v>
      </c>
      <c r="BD445" s="2">
        <v>-7500</v>
      </c>
      <c r="BE445" s="2">
        <v>5000</v>
      </c>
      <c r="BF445" s="2">
        <v>3000</v>
      </c>
      <c r="BG445" s="2">
        <v>5000</v>
      </c>
      <c r="BH445" s="2">
        <v>2500</v>
      </c>
      <c r="BI445" s="2">
        <v>3000</v>
      </c>
      <c r="BJ445" s="2">
        <v>-2000</v>
      </c>
      <c r="BK445" s="2">
        <v>1000</v>
      </c>
      <c r="BL445" s="2">
        <v>1000</v>
      </c>
      <c r="BO445" s="2">
        <f t="shared" si="251"/>
        <v>0</v>
      </c>
      <c r="BP445" s="2">
        <f t="shared" si="261"/>
        <v>0</v>
      </c>
      <c r="BQ445" s="2">
        <f t="shared" si="262"/>
        <v>0</v>
      </c>
      <c r="BR445" s="2">
        <f t="shared" si="263"/>
        <v>0</v>
      </c>
      <c r="BS445" s="2">
        <f t="shared" si="264"/>
        <v>0</v>
      </c>
      <c r="BT445" s="2">
        <f t="shared" si="265"/>
        <v>0</v>
      </c>
      <c r="BU445" s="2">
        <f t="shared" si="266"/>
        <v>0</v>
      </c>
      <c r="BV445" s="2">
        <f t="shared" si="267"/>
        <v>0</v>
      </c>
      <c r="BW445" s="2">
        <f t="shared" si="268"/>
        <v>0</v>
      </c>
      <c r="BX445" s="2">
        <f t="shared" si="269"/>
        <v>0</v>
      </c>
      <c r="BY445" s="2">
        <f t="shared" si="270"/>
        <v>0</v>
      </c>
      <c r="BZ445" s="2">
        <f t="shared" si="271"/>
        <v>0</v>
      </c>
      <c r="CA445" s="2">
        <f t="shared" si="272"/>
        <v>0</v>
      </c>
      <c r="CB445" s="2">
        <f t="shared" si="273"/>
        <v>0</v>
      </c>
      <c r="CC445" s="2">
        <f t="shared" si="274"/>
        <v>0</v>
      </c>
      <c r="CD445" s="2">
        <f t="shared" si="275"/>
        <v>0</v>
      </c>
      <c r="CE445" s="2">
        <f t="shared" si="276"/>
        <v>0</v>
      </c>
      <c r="CF445" s="2">
        <f t="shared" si="277"/>
        <v>-917.0200000000001</v>
      </c>
      <c r="CG445" s="2">
        <f t="shared" si="278"/>
        <v>-4131.05</v>
      </c>
      <c r="CH445" s="2">
        <f t="shared" si="279"/>
        <v>-1677.48</v>
      </c>
      <c r="CI445" s="2">
        <f t="shared" si="280"/>
        <v>0</v>
      </c>
      <c r="CJ445" s="2">
        <f t="shared" si="281"/>
        <v>0</v>
      </c>
      <c r="CK445" s="2">
        <f t="shared" si="282"/>
        <v>0</v>
      </c>
      <c r="CL445" s="2">
        <f t="shared" si="283"/>
        <v>0</v>
      </c>
      <c r="CM445" s="2">
        <f t="shared" si="254"/>
        <v>0</v>
      </c>
      <c r="CN445" s="2">
        <f t="shared" si="255"/>
        <v>0</v>
      </c>
      <c r="CO445" s="2">
        <f t="shared" si="256"/>
        <v>0</v>
      </c>
      <c r="CP445" s="2">
        <f t="shared" si="257"/>
        <v>0</v>
      </c>
      <c r="CQ445" s="2">
        <f t="shared" si="258"/>
        <v>0</v>
      </c>
      <c r="CR445" s="2">
        <f t="shared" si="259"/>
        <v>0</v>
      </c>
      <c r="CV445" t="s">
        <v>64</v>
      </c>
      <c r="CW445" t="s">
        <v>518</v>
      </c>
      <c r="CX445" t="s">
        <v>18</v>
      </c>
      <c r="CY445" s="4">
        <v>42922</v>
      </c>
      <c r="CZ445" t="s">
        <v>65</v>
      </c>
      <c r="DA445" t="s">
        <v>66</v>
      </c>
      <c r="DB445">
        <v>67</v>
      </c>
      <c r="DC445">
        <v>60.27</v>
      </c>
      <c r="DD445" t="s">
        <v>69</v>
      </c>
      <c r="DE445" t="s">
        <v>70</v>
      </c>
      <c r="DF445">
        <v>4038.09</v>
      </c>
    </row>
    <row r="446" spans="1:110" x14ac:dyDescent="0.25">
      <c r="A446" s="1">
        <v>43381</v>
      </c>
      <c r="B446">
        <v>222.04</v>
      </c>
      <c r="C446">
        <v>106.55</v>
      </c>
      <c r="D446">
        <v>382.08</v>
      </c>
      <c r="E446">
        <v>151.4</v>
      </c>
      <c r="F446">
        <v>47.15</v>
      </c>
      <c r="G446">
        <v>122.4</v>
      </c>
      <c r="H446">
        <v>115.13</v>
      </c>
      <c r="I446">
        <v>62.74</v>
      </c>
      <c r="J446">
        <v>224.44</v>
      </c>
      <c r="K446">
        <v>197.23</v>
      </c>
      <c r="L446">
        <v>144.84</v>
      </c>
      <c r="M446">
        <v>46.44</v>
      </c>
      <c r="N446">
        <v>138.51</v>
      </c>
      <c r="O446">
        <v>114.39</v>
      </c>
      <c r="P446">
        <v>46.12</v>
      </c>
      <c r="Q446">
        <v>166.74</v>
      </c>
      <c r="R446">
        <v>211.45</v>
      </c>
      <c r="S446">
        <v>70.959999999999994</v>
      </c>
      <c r="T446">
        <v>110.37</v>
      </c>
      <c r="U446">
        <v>79.989999999999995</v>
      </c>
      <c r="V446">
        <v>44.54</v>
      </c>
      <c r="W446">
        <v>81.040000000000006</v>
      </c>
      <c r="X446">
        <v>130.85</v>
      </c>
      <c r="Y446">
        <v>268.14999999999998</v>
      </c>
      <c r="Z446">
        <v>137.97</v>
      </c>
      <c r="AA446">
        <v>141.38999999999999</v>
      </c>
      <c r="AB446">
        <v>53.86</v>
      </c>
      <c r="AC446">
        <v>73.3</v>
      </c>
      <c r="AD446">
        <v>94.18</v>
      </c>
      <c r="AE446">
        <v>84.33</v>
      </c>
      <c r="AI446" s="2">
        <v>5000</v>
      </c>
      <c r="AJ446" s="2">
        <f t="shared" si="288"/>
        <v>1310</v>
      </c>
      <c r="AK446" s="2">
        <f t="shared" si="288"/>
        <v>1310</v>
      </c>
      <c r="AL446" s="2">
        <f t="shared" si="288"/>
        <v>1310</v>
      </c>
      <c r="AM446" s="2">
        <f t="shared" si="288"/>
        <v>1310</v>
      </c>
      <c r="AN446" s="2">
        <f t="shared" si="288"/>
        <v>1310</v>
      </c>
      <c r="AO446" s="2">
        <f t="shared" si="288"/>
        <v>1310</v>
      </c>
      <c r="AP446" s="2">
        <f t="shared" si="288"/>
        <v>1190</v>
      </c>
      <c r="AQ446" s="2">
        <v>1000</v>
      </c>
      <c r="AR446" s="2">
        <v>0</v>
      </c>
      <c r="AS446" s="2">
        <v>10</v>
      </c>
      <c r="AT446" s="2">
        <v>0</v>
      </c>
      <c r="AU446" s="2">
        <v>0</v>
      </c>
      <c r="AV446" s="2">
        <v>0</v>
      </c>
      <c r="AW446" s="2">
        <v>0</v>
      </c>
      <c r="AX446" s="2">
        <v>0</v>
      </c>
      <c r="AY446" s="2">
        <v>0</v>
      </c>
      <c r="AZ446" s="2">
        <v>1050</v>
      </c>
      <c r="BA446" s="2">
        <v>980</v>
      </c>
      <c r="BB446" s="2">
        <v>1083</v>
      </c>
      <c r="BC446" s="2">
        <v>-2000</v>
      </c>
      <c r="BD446" s="2">
        <v>-7500</v>
      </c>
      <c r="BE446" s="2">
        <v>5000</v>
      </c>
      <c r="BF446" s="2">
        <v>3000</v>
      </c>
      <c r="BG446" s="2">
        <v>5000</v>
      </c>
      <c r="BH446" s="2">
        <v>2500</v>
      </c>
      <c r="BI446" s="2">
        <v>3000</v>
      </c>
      <c r="BJ446" s="2">
        <v>-2000</v>
      </c>
      <c r="BK446" s="2">
        <v>1000</v>
      </c>
      <c r="BL446" s="2">
        <v>1000</v>
      </c>
      <c r="BO446" s="2">
        <f t="shared" si="251"/>
        <v>0</v>
      </c>
      <c r="BP446" s="2">
        <f t="shared" si="261"/>
        <v>0</v>
      </c>
      <c r="BQ446" s="2">
        <f t="shared" si="262"/>
        <v>0</v>
      </c>
      <c r="BR446" s="2">
        <f t="shared" si="263"/>
        <v>0</v>
      </c>
      <c r="BS446" s="2">
        <f t="shared" si="264"/>
        <v>0</v>
      </c>
      <c r="BT446" s="2">
        <f t="shared" si="265"/>
        <v>0</v>
      </c>
      <c r="BU446" s="2">
        <f t="shared" si="266"/>
        <v>0</v>
      </c>
      <c r="BV446" s="2">
        <f t="shared" si="267"/>
        <v>0</v>
      </c>
      <c r="BW446" s="2">
        <f t="shared" si="268"/>
        <v>0</v>
      </c>
      <c r="BX446" s="2">
        <f t="shared" si="269"/>
        <v>0</v>
      </c>
      <c r="BY446" s="2">
        <f t="shared" si="270"/>
        <v>0</v>
      </c>
      <c r="BZ446" s="2">
        <f t="shared" si="271"/>
        <v>0</v>
      </c>
      <c r="CA446" s="2">
        <f t="shared" si="272"/>
        <v>0</v>
      </c>
      <c r="CB446" s="2">
        <f t="shared" si="273"/>
        <v>0</v>
      </c>
      <c r="CC446" s="2">
        <f t="shared" si="274"/>
        <v>0</v>
      </c>
      <c r="CD446" s="2">
        <f t="shared" si="275"/>
        <v>0</v>
      </c>
      <c r="CE446" s="2">
        <f t="shared" si="276"/>
        <v>0</v>
      </c>
      <c r="CF446" s="2">
        <f t="shared" si="277"/>
        <v>-5747.7599999999993</v>
      </c>
      <c r="CG446" s="2">
        <f t="shared" si="278"/>
        <v>10595.52</v>
      </c>
      <c r="CH446" s="2">
        <f t="shared" si="279"/>
        <v>-12078.49</v>
      </c>
      <c r="CI446" s="2">
        <f t="shared" si="280"/>
        <v>0</v>
      </c>
      <c r="CJ446" s="2">
        <f t="shared" si="281"/>
        <v>0</v>
      </c>
      <c r="CK446" s="2">
        <f t="shared" si="282"/>
        <v>0</v>
      </c>
      <c r="CL446" s="2">
        <f t="shared" si="283"/>
        <v>0</v>
      </c>
      <c r="CM446" s="2">
        <f t="shared" si="254"/>
        <v>0</v>
      </c>
      <c r="CN446" s="2">
        <f t="shared" si="255"/>
        <v>0</v>
      </c>
      <c r="CO446" s="2">
        <f t="shared" si="256"/>
        <v>0</v>
      </c>
      <c r="CP446" s="2">
        <f t="shared" si="257"/>
        <v>0</v>
      </c>
      <c r="CQ446" s="2">
        <f t="shared" si="258"/>
        <v>0</v>
      </c>
      <c r="CR446" s="2">
        <f t="shared" si="259"/>
        <v>0</v>
      </c>
      <c r="CV446" t="s">
        <v>64</v>
      </c>
      <c r="CW446" t="s">
        <v>519</v>
      </c>
      <c r="CX446" t="s">
        <v>18</v>
      </c>
      <c r="CY446" s="4">
        <v>42923</v>
      </c>
      <c r="CZ446" t="s">
        <v>67</v>
      </c>
      <c r="DA446" t="s">
        <v>68</v>
      </c>
      <c r="DB446">
        <v>86</v>
      </c>
      <c r="DC446">
        <v>60.33</v>
      </c>
      <c r="DD446" t="s">
        <v>69</v>
      </c>
      <c r="DE446" t="s">
        <v>70</v>
      </c>
      <c r="DF446">
        <v>5188.38</v>
      </c>
    </row>
    <row r="447" spans="1:110" x14ac:dyDescent="0.25">
      <c r="A447" s="1">
        <v>43382</v>
      </c>
      <c r="B447">
        <v>225.12</v>
      </c>
      <c r="C447">
        <v>106.23</v>
      </c>
      <c r="D447">
        <v>381.75</v>
      </c>
      <c r="E447">
        <v>147.56</v>
      </c>
      <c r="F447">
        <v>47.13</v>
      </c>
      <c r="G447">
        <v>124.34</v>
      </c>
      <c r="H447">
        <v>115.99</v>
      </c>
      <c r="I447">
        <v>60.44</v>
      </c>
      <c r="J447">
        <v>222.01</v>
      </c>
      <c r="K447">
        <v>194.59</v>
      </c>
      <c r="L447">
        <v>143.71</v>
      </c>
      <c r="M447">
        <v>45.97</v>
      </c>
      <c r="N447">
        <v>138.32</v>
      </c>
      <c r="O447">
        <v>113.6</v>
      </c>
      <c r="P447">
        <v>46.03</v>
      </c>
      <c r="Q447">
        <v>168.79</v>
      </c>
      <c r="R447">
        <v>207.56</v>
      </c>
      <c r="S447">
        <v>71.84</v>
      </c>
      <c r="T447">
        <v>111.78</v>
      </c>
      <c r="U447">
        <v>80.180000000000007</v>
      </c>
      <c r="V447">
        <v>44.73</v>
      </c>
      <c r="W447">
        <v>80.84</v>
      </c>
      <c r="X447">
        <v>130.78</v>
      </c>
      <c r="Y447">
        <v>269.25</v>
      </c>
      <c r="Z447">
        <v>134.31</v>
      </c>
      <c r="AA447">
        <v>141.81</v>
      </c>
      <c r="AB447">
        <v>54.42</v>
      </c>
      <c r="AC447">
        <v>72.72</v>
      </c>
      <c r="AD447">
        <v>96.55</v>
      </c>
      <c r="AE447">
        <v>84.7</v>
      </c>
      <c r="AI447" s="2">
        <v>5000</v>
      </c>
      <c r="AJ447" s="2">
        <f t="shared" si="288"/>
        <v>1310</v>
      </c>
      <c r="AK447" s="2">
        <f t="shared" si="288"/>
        <v>1310</v>
      </c>
      <c r="AL447" s="2">
        <f t="shared" si="288"/>
        <v>1310</v>
      </c>
      <c r="AM447" s="2">
        <f t="shared" si="288"/>
        <v>1310</v>
      </c>
      <c r="AN447" s="2">
        <f t="shared" si="288"/>
        <v>1310</v>
      </c>
      <c r="AO447" s="2">
        <f t="shared" si="288"/>
        <v>1310</v>
      </c>
      <c r="AP447" s="2">
        <f t="shared" si="288"/>
        <v>1190</v>
      </c>
      <c r="AQ447" s="2">
        <v>1000</v>
      </c>
      <c r="AR447" s="2">
        <v>0</v>
      </c>
      <c r="AS447" s="2">
        <v>10</v>
      </c>
      <c r="AT447" s="2">
        <v>0</v>
      </c>
      <c r="AU447" s="2">
        <v>0</v>
      </c>
      <c r="AV447" s="2">
        <v>0</v>
      </c>
      <c r="AW447" s="2">
        <v>0</v>
      </c>
      <c r="AX447" s="2">
        <v>0</v>
      </c>
      <c r="AY447" s="2">
        <v>0</v>
      </c>
      <c r="AZ447" s="2">
        <v>1025</v>
      </c>
      <c r="BA447" s="2">
        <v>1097</v>
      </c>
      <c r="BB447" s="2">
        <v>1061</v>
      </c>
      <c r="BC447" s="2">
        <v>-2000</v>
      </c>
      <c r="BD447" s="2">
        <v>-7500</v>
      </c>
      <c r="BE447" s="2">
        <v>5000</v>
      </c>
      <c r="BF447" s="2">
        <v>3000</v>
      </c>
      <c r="BG447" s="2">
        <v>5000</v>
      </c>
      <c r="BH447" s="2">
        <v>2500</v>
      </c>
      <c r="BI447" s="2">
        <v>3000</v>
      </c>
      <c r="BJ447" s="2">
        <v>-2000</v>
      </c>
      <c r="BK447" s="2">
        <v>1000</v>
      </c>
      <c r="BL447" s="2">
        <v>1000</v>
      </c>
      <c r="BO447" s="2">
        <f t="shared" si="251"/>
        <v>0</v>
      </c>
      <c r="BP447" s="2">
        <f t="shared" si="261"/>
        <v>0</v>
      </c>
      <c r="BQ447" s="2">
        <f t="shared" si="262"/>
        <v>0</v>
      </c>
      <c r="BR447" s="2">
        <f t="shared" si="263"/>
        <v>0</v>
      </c>
      <c r="BS447" s="2">
        <f t="shared" si="264"/>
        <v>0</v>
      </c>
      <c r="BT447" s="2">
        <f t="shared" si="265"/>
        <v>0</v>
      </c>
      <c r="BU447" s="2">
        <f t="shared" si="266"/>
        <v>0</v>
      </c>
      <c r="BV447" s="2">
        <f t="shared" si="267"/>
        <v>0</v>
      </c>
      <c r="BW447" s="2">
        <f t="shared" si="268"/>
        <v>0</v>
      </c>
      <c r="BX447" s="2">
        <f t="shared" si="269"/>
        <v>0</v>
      </c>
      <c r="BY447" s="2">
        <f t="shared" si="270"/>
        <v>0</v>
      </c>
      <c r="BZ447" s="2">
        <f t="shared" si="271"/>
        <v>0</v>
      </c>
      <c r="CA447" s="2">
        <f t="shared" si="272"/>
        <v>0</v>
      </c>
      <c r="CB447" s="2">
        <f t="shared" si="273"/>
        <v>0</v>
      </c>
      <c r="CC447" s="2">
        <f t="shared" si="274"/>
        <v>0</v>
      </c>
      <c r="CD447" s="2">
        <f t="shared" si="275"/>
        <v>0</v>
      </c>
      <c r="CE447" s="2">
        <f t="shared" si="276"/>
        <v>0</v>
      </c>
      <c r="CF447" s="2">
        <f t="shared" si="277"/>
        <v>1796</v>
      </c>
      <c r="CG447" s="2">
        <f t="shared" si="278"/>
        <v>-13078.26</v>
      </c>
      <c r="CH447" s="2">
        <f t="shared" si="279"/>
        <v>1763.96</v>
      </c>
      <c r="CI447" s="2">
        <f t="shared" si="280"/>
        <v>0</v>
      </c>
      <c r="CJ447" s="2">
        <f t="shared" si="281"/>
        <v>0</v>
      </c>
      <c r="CK447" s="2">
        <f t="shared" si="282"/>
        <v>0</v>
      </c>
      <c r="CL447" s="2">
        <f t="shared" si="283"/>
        <v>0</v>
      </c>
      <c r="CM447" s="2">
        <f t="shared" si="254"/>
        <v>0</v>
      </c>
      <c r="CN447" s="2">
        <f t="shared" si="255"/>
        <v>0</v>
      </c>
      <c r="CO447" s="2">
        <f t="shared" si="256"/>
        <v>0</v>
      </c>
      <c r="CP447" s="2">
        <f t="shared" si="257"/>
        <v>0</v>
      </c>
      <c r="CQ447" s="2">
        <f t="shared" si="258"/>
        <v>0</v>
      </c>
      <c r="CR447" s="2">
        <f t="shared" si="259"/>
        <v>0</v>
      </c>
      <c r="CV447" t="s">
        <v>64</v>
      </c>
      <c r="CW447" t="s">
        <v>520</v>
      </c>
      <c r="CX447" t="s">
        <v>18</v>
      </c>
      <c r="CY447" s="4">
        <v>42926</v>
      </c>
      <c r="CZ447" t="s">
        <v>65</v>
      </c>
      <c r="DA447" t="s">
        <v>66</v>
      </c>
      <c r="DB447">
        <v>83</v>
      </c>
      <c r="DC447">
        <v>60.01</v>
      </c>
      <c r="DD447" t="s">
        <v>69</v>
      </c>
      <c r="DE447" t="s">
        <v>70</v>
      </c>
      <c r="DF447">
        <v>4980.83</v>
      </c>
    </row>
    <row r="448" spans="1:110" x14ac:dyDescent="0.25">
      <c r="A448" s="1">
        <v>43383</v>
      </c>
      <c r="B448">
        <v>214.69</v>
      </c>
      <c r="C448">
        <v>103.15</v>
      </c>
      <c r="D448">
        <v>363.95</v>
      </c>
      <c r="E448">
        <v>141.9</v>
      </c>
      <c r="F448">
        <v>45.28</v>
      </c>
      <c r="G448">
        <v>120.21</v>
      </c>
      <c r="H448">
        <v>111.99</v>
      </c>
      <c r="I448">
        <v>58.93</v>
      </c>
      <c r="J448">
        <v>214.02</v>
      </c>
      <c r="K448">
        <v>192.55</v>
      </c>
      <c r="L448">
        <v>139.27000000000001</v>
      </c>
      <c r="M448">
        <v>44.24</v>
      </c>
      <c r="N448">
        <v>136.86000000000001</v>
      </c>
      <c r="O448">
        <v>110.57</v>
      </c>
      <c r="P448">
        <v>45.32</v>
      </c>
      <c r="Q448">
        <v>167.34</v>
      </c>
      <c r="R448">
        <v>199.4</v>
      </c>
      <c r="S448">
        <v>69.959999999999994</v>
      </c>
      <c r="T448">
        <v>105.7</v>
      </c>
      <c r="U448">
        <v>74.72</v>
      </c>
      <c r="V448">
        <v>43.79</v>
      </c>
      <c r="W448">
        <v>80.09</v>
      </c>
      <c r="X448">
        <v>127.38</v>
      </c>
      <c r="Y448">
        <v>262.24</v>
      </c>
      <c r="Z448">
        <v>129.6</v>
      </c>
      <c r="AA448">
        <v>135.04</v>
      </c>
      <c r="AB448">
        <v>53.77</v>
      </c>
      <c r="AC448">
        <v>71.48</v>
      </c>
      <c r="AD448">
        <v>95.24</v>
      </c>
      <c r="AE448">
        <v>82.75</v>
      </c>
      <c r="AI448" s="2">
        <v>5000</v>
      </c>
      <c r="AJ448" s="2">
        <f t="shared" si="288"/>
        <v>1310</v>
      </c>
      <c r="AK448" s="2">
        <f t="shared" si="288"/>
        <v>1310</v>
      </c>
      <c r="AL448" s="2">
        <f t="shared" si="288"/>
        <v>1310</v>
      </c>
      <c r="AM448" s="2">
        <f t="shared" si="288"/>
        <v>1310</v>
      </c>
      <c r="AN448" s="2">
        <f t="shared" si="288"/>
        <v>1310</v>
      </c>
      <c r="AO448" s="2">
        <f t="shared" si="288"/>
        <v>1310</v>
      </c>
      <c r="AP448" s="2">
        <f t="shared" si="288"/>
        <v>1190</v>
      </c>
      <c r="AQ448" s="2">
        <v>1000</v>
      </c>
      <c r="AR448" s="2">
        <v>0</v>
      </c>
      <c r="AS448" s="2">
        <v>10</v>
      </c>
      <c r="AT448" s="2">
        <v>0</v>
      </c>
      <c r="AU448" s="2">
        <v>0</v>
      </c>
      <c r="AV448" s="2">
        <v>0</v>
      </c>
      <c r="AW448" s="2">
        <v>0</v>
      </c>
      <c r="AX448" s="2">
        <v>0</v>
      </c>
      <c r="AY448" s="2">
        <v>0</v>
      </c>
      <c r="AZ448" s="2">
        <v>1034</v>
      </c>
      <c r="BA448" s="2">
        <v>998</v>
      </c>
      <c r="BB448" s="2">
        <v>946</v>
      </c>
      <c r="BC448" s="2">
        <v>-2000</v>
      </c>
      <c r="BD448" s="2">
        <v>-7500</v>
      </c>
      <c r="BE448" s="2">
        <v>5000</v>
      </c>
      <c r="BF448" s="2">
        <v>3000</v>
      </c>
      <c r="BG448" s="2">
        <v>5000</v>
      </c>
      <c r="BH448" s="2">
        <v>2500</v>
      </c>
      <c r="BI448" s="2">
        <v>3000</v>
      </c>
      <c r="BJ448" s="2">
        <v>-2000</v>
      </c>
      <c r="BK448" s="2">
        <v>1000</v>
      </c>
      <c r="BL448" s="2">
        <v>1000</v>
      </c>
      <c r="BO448" s="2">
        <f t="shared" si="251"/>
        <v>0</v>
      </c>
      <c r="BP448" s="2">
        <f t="shared" si="261"/>
        <v>0</v>
      </c>
      <c r="BQ448" s="2">
        <f t="shared" si="262"/>
        <v>0</v>
      </c>
      <c r="BR448" s="2">
        <f t="shared" si="263"/>
        <v>0</v>
      </c>
      <c r="BS448" s="2">
        <f t="shared" si="264"/>
        <v>0</v>
      </c>
      <c r="BT448" s="2">
        <f t="shared" si="265"/>
        <v>0</v>
      </c>
      <c r="BU448" s="2">
        <f t="shared" si="266"/>
        <v>0</v>
      </c>
      <c r="BV448" s="2">
        <f t="shared" si="267"/>
        <v>0</v>
      </c>
      <c r="BW448" s="2">
        <f t="shared" si="268"/>
        <v>0</v>
      </c>
      <c r="BX448" s="2">
        <f t="shared" si="269"/>
        <v>0</v>
      </c>
      <c r="BY448" s="2">
        <f t="shared" si="270"/>
        <v>0</v>
      </c>
      <c r="BZ448" s="2">
        <f t="shared" si="271"/>
        <v>0</v>
      </c>
      <c r="CA448" s="2">
        <f t="shared" si="272"/>
        <v>0</v>
      </c>
      <c r="CB448" s="2">
        <f t="shared" si="273"/>
        <v>0</v>
      </c>
      <c r="CC448" s="2">
        <f t="shared" si="274"/>
        <v>0</v>
      </c>
      <c r="CD448" s="2">
        <f t="shared" si="275"/>
        <v>0</v>
      </c>
      <c r="CE448" s="2">
        <f t="shared" si="276"/>
        <v>0</v>
      </c>
      <c r="CF448" s="2">
        <f t="shared" si="277"/>
        <v>-629.64</v>
      </c>
      <c r="CG448" s="2">
        <f t="shared" si="278"/>
        <v>10464.300000000001</v>
      </c>
      <c r="CH448" s="2">
        <f t="shared" si="279"/>
        <v>8592.7999999999993</v>
      </c>
      <c r="CI448" s="2">
        <f t="shared" si="280"/>
        <v>0</v>
      </c>
      <c r="CJ448" s="2">
        <f t="shared" si="281"/>
        <v>0</v>
      </c>
      <c r="CK448" s="2">
        <f t="shared" si="282"/>
        <v>0</v>
      </c>
      <c r="CL448" s="2">
        <f t="shared" si="283"/>
        <v>0</v>
      </c>
      <c r="CM448" s="2">
        <f t="shared" si="254"/>
        <v>0</v>
      </c>
      <c r="CN448" s="2">
        <f t="shared" si="255"/>
        <v>0</v>
      </c>
      <c r="CO448" s="2">
        <f t="shared" si="256"/>
        <v>0</v>
      </c>
      <c r="CP448" s="2">
        <f t="shared" si="257"/>
        <v>0</v>
      </c>
      <c r="CQ448" s="2">
        <f t="shared" si="258"/>
        <v>0</v>
      </c>
      <c r="CR448" s="2">
        <f t="shared" si="259"/>
        <v>0</v>
      </c>
      <c r="CV448" t="s">
        <v>64</v>
      </c>
      <c r="CW448" t="s">
        <v>521</v>
      </c>
      <c r="CX448" t="s">
        <v>18</v>
      </c>
      <c r="CY448" s="4">
        <v>42927</v>
      </c>
      <c r="CZ448" t="s">
        <v>67</v>
      </c>
      <c r="DA448" t="s">
        <v>68</v>
      </c>
      <c r="DB448">
        <v>10</v>
      </c>
      <c r="DC448">
        <v>59.55</v>
      </c>
      <c r="DD448" t="s">
        <v>69</v>
      </c>
      <c r="DE448" t="s">
        <v>70</v>
      </c>
      <c r="DF448">
        <v>595.5</v>
      </c>
    </row>
    <row r="449" spans="1:110" x14ac:dyDescent="0.25">
      <c r="A449" s="1">
        <v>43384</v>
      </c>
      <c r="B449">
        <v>212.79</v>
      </c>
      <c r="C449">
        <v>101.17</v>
      </c>
      <c r="D449">
        <v>354.68</v>
      </c>
      <c r="E449">
        <v>139.18</v>
      </c>
      <c r="F449">
        <v>43.78</v>
      </c>
      <c r="G449">
        <v>116.12</v>
      </c>
      <c r="H449">
        <v>110.29</v>
      </c>
      <c r="I449">
        <v>58.59</v>
      </c>
      <c r="J449">
        <v>212.11</v>
      </c>
      <c r="K449">
        <v>188.61</v>
      </c>
      <c r="L449">
        <v>135.69</v>
      </c>
      <c r="M449">
        <v>43.68</v>
      </c>
      <c r="N449">
        <v>132.99</v>
      </c>
      <c r="O449">
        <v>107.26</v>
      </c>
      <c r="P449">
        <v>44.29</v>
      </c>
      <c r="Q449">
        <v>161.97</v>
      </c>
      <c r="R449">
        <v>194.05</v>
      </c>
      <c r="S449">
        <v>67.89</v>
      </c>
      <c r="T449">
        <v>105.45</v>
      </c>
      <c r="U449">
        <v>74.290000000000006</v>
      </c>
      <c r="V449">
        <v>42.11</v>
      </c>
      <c r="W449">
        <v>77.569999999999993</v>
      </c>
      <c r="X449">
        <v>123.55</v>
      </c>
      <c r="Y449">
        <v>256.3</v>
      </c>
      <c r="Z449">
        <v>127.87</v>
      </c>
      <c r="AA449">
        <v>133.26</v>
      </c>
      <c r="AB449">
        <v>52.78</v>
      </c>
      <c r="AC449">
        <v>70.09</v>
      </c>
      <c r="AD449">
        <v>93.41</v>
      </c>
      <c r="AE449">
        <v>79.89</v>
      </c>
      <c r="AI449" s="2">
        <v>5000</v>
      </c>
      <c r="AJ449" s="2">
        <f t="shared" si="288"/>
        <v>1310</v>
      </c>
      <c r="AK449" s="2">
        <f t="shared" si="288"/>
        <v>1310</v>
      </c>
      <c r="AL449" s="2">
        <f t="shared" si="288"/>
        <v>1310</v>
      </c>
      <c r="AM449" s="2">
        <f t="shared" si="288"/>
        <v>1310</v>
      </c>
      <c r="AN449" s="2">
        <f t="shared" si="288"/>
        <v>1310</v>
      </c>
      <c r="AO449" s="2">
        <f t="shared" si="288"/>
        <v>1310</v>
      </c>
      <c r="AP449" s="2">
        <f t="shared" si="288"/>
        <v>1190</v>
      </c>
      <c r="AQ449" s="2">
        <v>1000</v>
      </c>
      <c r="AR449" s="2">
        <v>0</v>
      </c>
      <c r="AS449" s="2">
        <v>10</v>
      </c>
      <c r="AT449" s="2">
        <v>0</v>
      </c>
      <c r="AU449" s="2">
        <v>0</v>
      </c>
      <c r="AV449" s="2">
        <v>0</v>
      </c>
      <c r="AW449" s="2">
        <v>0</v>
      </c>
      <c r="AX449" s="2">
        <v>0</v>
      </c>
      <c r="AY449" s="2">
        <v>0</v>
      </c>
      <c r="AZ449" s="2">
        <v>1039</v>
      </c>
      <c r="BA449" s="2">
        <v>1080</v>
      </c>
      <c r="BB449" s="2">
        <v>925</v>
      </c>
      <c r="BC449" s="2">
        <v>-2000</v>
      </c>
      <c r="BD449" s="2">
        <v>-7500</v>
      </c>
      <c r="BE449" s="2">
        <v>5000</v>
      </c>
      <c r="BF449" s="2">
        <v>3000</v>
      </c>
      <c r="BG449" s="2">
        <v>5000</v>
      </c>
      <c r="BH449" s="2">
        <v>2500</v>
      </c>
      <c r="BI449" s="2">
        <v>3000</v>
      </c>
      <c r="BJ449" s="2">
        <v>-2000</v>
      </c>
      <c r="BK449" s="2">
        <v>1000</v>
      </c>
      <c r="BL449" s="2">
        <v>1000</v>
      </c>
      <c r="BO449" s="2">
        <f t="shared" si="251"/>
        <v>0</v>
      </c>
      <c r="BP449" s="2">
        <f t="shared" si="261"/>
        <v>0</v>
      </c>
      <c r="BQ449" s="2">
        <f t="shared" si="262"/>
        <v>0</v>
      </c>
      <c r="BR449" s="2">
        <f t="shared" si="263"/>
        <v>0</v>
      </c>
      <c r="BS449" s="2">
        <f t="shared" si="264"/>
        <v>0</v>
      </c>
      <c r="BT449" s="2">
        <f t="shared" si="265"/>
        <v>0</v>
      </c>
      <c r="BU449" s="2">
        <f t="shared" si="266"/>
        <v>0</v>
      </c>
      <c r="BV449" s="2">
        <f t="shared" si="267"/>
        <v>0</v>
      </c>
      <c r="BW449" s="2">
        <f t="shared" si="268"/>
        <v>0</v>
      </c>
      <c r="BX449" s="2">
        <f t="shared" si="269"/>
        <v>0</v>
      </c>
      <c r="BY449" s="2">
        <f t="shared" si="270"/>
        <v>0</v>
      </c>
      <c r="BZ449" s="2">
        <f t="shared" si="271"/>
        <v>0</v>
      </c>
      <c r="CA449" s="2">
        <f t="shared" si="272"/>
        <v>0</v>
      </c>
      <c r="CB449" s="2">
        <f t="shared" si="273"/>
        <v>0</v>
      </c>
      <c r="CC449" s="2">
        <f t="shared" si="274"/>
        <v>0</v>
      </c>
      <c r="CD449" s="2">
        <f t="shared" si="275"/>
        <v>0</v>
      </c>
      <c r="CE449" s="2">
        <f t="shared" si="276"/>
        <v>0</v>
      </c>
      <c r="CF449" s="2">
        <f t="shared" si="277"/>
        <v>-339.45</v>
      </c>
      <c r="CG449" s="2">
        <f t="shared" si="278"/>
        <v>-8646.9</v>
      </c>
      <c r="CH449" s="2">
        <f t="shared" si="279"/>
        <v>1560.0900000000001</v>
      </c>
      <c r="CI449" s="2">
        <f t="shared" si="280"/>
        <v>0</v>
      </c>
      <c r="CJ449" s="2">
        <f t="shared" si="281"/>
        <v>0</v>
      </c>
      <c r="CK449" s="2">
        <f t="shared" si="282"/>
        <v>0</v>
      </c>
      <c r="CL449" s="2">
        <f t="shared" si="283"/>
        <v>0</v>
      </c>
      <c r="CM449" s="2">
        <f t="shared" si="254"/>
        <v>0</v>
      </c>
      <c r="CN449" s="2">
        <f t="shared" si="255"/>
        <v>0</v>
      </c>
      <c r="CO449" s="2">
        <f t="shared" si="256"/>
        <v>0</v>
      </c>
      <c r="CP449" s="2">
        <f t="shared" si="257"/>
        <v>0</v>
      </c>
      <c r="CQ449" s="2">
        <f t="shared" si="258"/>
        <v>0</v>
      </c>
      <c r="CR449" s="2">
        <f t="shared" si="259"/>
        <v>0</v>
      </c>
      <c r="CV449" t="s">
        <v>64</v>
      </c>
      <c r="CW449" t="s">
        <v>522</v>
      </c>
      <c r="CX449" t="s">
        <v>18</v>
      </c>
      <c r="CY449" s="4">
        <v>42928</v>
      </c>
      <c r="CZ449" t="s">
        <v>67</v>
      </c>
      <c r="DA449" t="s">
        <v>68</v>
      </c>
      <c r="DB449">
        <v>50</v>
      </c>
      <c r="DC449">
        <v>59.97</v>
      </c>
      <c r="DD449" t="s">
        <v>69</v>
      </c>
      <c r="DE449" t="s">
        <v>70</v>
      </c>
      <c r="DF449">
        <v>2998.5</v>
      </c>
    </row>
    <row r="450" spans="1:110" x14ac:dyDescent="0.25">
      <c r="A450" s="1">
        <v>43385</v>
      </c>
      <c r="B450">
        <v>220.39</v>
      </c>
      <c r="C450">
        <v>102.58</v>
      </c>
      <c r="D450">
        <v>356.66</v>
      </c>
      <c r="E450">
        <v>140.27000000000001</v>
      </c>
      <c r="F450">
        <v>45.36</v>
      </c>
      <c r="G450">
        <v>115.47</v>
      </c>
      <c r="H450">
        <v>111.74</v>
      </c>
      <c r="I450">
        <v>59.26</v>
      </c>
      <c r="J450">
        <v>213.01</v>
      </c>
      <c r="K450">
        <v>191.33</v>
      </c>
      <c r="L450">
        <v>137.47999999999999</v>
      </c>
      <c r="M450">
        <v>44.32</v>
      </c>
      <c r="N450">
        <v>133.02000000000001</v>
      </c>
      <c r="O450">
        <v>106.09</v>
      </c>
      <c r="P450">
        <v>44.33</v>
      </c>
      <c r="Q450">
        <v>162.82</v>
      </c>
      <c r="R450">
        <v>195.53</v>
      </c>
      <c r="S450">
        <v>69.319999999999993</v>
      </c>
      <c r="T450">
        <v>109.1</v>
      </c>
      <c r="U450">
        <v>75.69</v>
      </c>
      <c r="V450">
        <v>43.07</v>
      </c>
      <c r="W450">
        <v>77.75</v>
      </c>
      <c r="X450">
        <v>122.89</v>
      </c>
      <c r="Y450">
        <v>258.77999999999997</v>
      </c>
      <c r="Z450">
        <v>128.13</v>
      </c>
      <c r="AA450">
        <v>139.57</v>
      </c>
      <c r="AB450">
        <v>53.18</v>
      </c>
      <c r="AC450">
        <v>72.66</v>
      </c>
      <c r="AD450">
        <v>94.3</v>
      </c>
      <c r="AE450">
        <v>79.680000000000007</v>
      </c>
      <c r="AI450" s="2">
        <v>5000</v>
      </c>
      <c r="AJ450" s="2">
        <f t="shared" ref="AJ450:AP450" si="291">AJ449+10</f>
        <v>1320</v>
      </c>
      <c r="AK450" s="2">
        <f t="shared" si="291"/>
        <v>1320</v>
      </c>
      <c r="AL450" s="2">
        <f t="shared" si="291"/>
        <v>1320</v>
      </c>
      <c r="AM450" s="2">
        <f t="shared" si="291"/>
        <v>1320</v>
      </c>
      <c r="AN450" s="2">
        <f t="shared" si="291"/>
        <v>1320</v>
      </c>
      <c r="AO450" s="2">
        <f t="shared" si="291"/>
        <v>1320</v>
      </c>
      <c r="AP450" s="2">
        <f t="shared" si="291"/>
        <v>1200</v>
      </c>
      <c r="AQ450" s="2">
        <v>1000</v>
      </c>
      <c r="AR450" s="2">
        <v>0</v>
      </c>
      <c r="AS450" s="2">
        <v>10</v>
      </c>
      <c r="AT450" s="2">
        <v>0</v>
      </c>
      <c r="AU450" s="2">
        <v>0</v>
      </c>
      <c r="AV450" s="2">
        <v>0</v>
      </c>
      <c r="AW450" s="2">
        <v>0</v>
      </c>
      <c r="AX450" s="2">
        <v>0</v>
      </c>
      <c r="AY450" s="2">
        <v>0</v>
      </c>
      <c r="AZ450" s="2">
        <v>973</v>
      </c>
      <c r="BA450" s="2">
        <v>1100</v>
      </c>
      <c r="BB450" s="2">
        <v>904</v>
      </c>
      <c r="BC450" s="2">
        <v>-2000</v>
      </c>
      <c r="BD450" s="2">
        <v>-7500</v>
      </c>
      <c r="BE450" s="2">
        <v>5000</v>
      </c>
      <c r="BF450" s="2">
        <v>3000</v>
      </c>
      <c r="BG450" s="2">
        <v>5000</v>
      </c>
      <c r="BH450" s="2">
        <v>2500</v>
      </c>
      <c r="BI450" s="2">
        <v>3000</v>
      </c>
      <c r="BJ450" s="2">
        <v>-2000</v>
      </c>
      <c r="BK450" s="2">
        <v>1000</v>
      </c>
      <c r="BL450" s="2">
        <v>1000</v>
      </c>
      <c r="BO450" s="2">
        <f t="shared" si="251"/>
        <v>0</v>
      </c>
      <c r="BP450" s="2">
        <f t="shared" si="261"/>
        <v>-1025.8</v>
      </c>
      <c r="BQ450" s="2">
        <f t="shared" si="262"/>
        <v>-3566.6000000000004</v>
      </c>
      <c r="BR450" s="2">
        <f t="shared" si="263"/>
        <v>-1402.7</v>
      </c>
      <c r="BS450" s="2">
        <f t="shared" si="264"/>
        <v>-453.6</v>
      </c>
      <c r="BT450" s="2">
        <f t="shared" si="265"/>
        <v>-1154.7</v>
      </c>
      <c r="BU450" s="2">
        <f t="shared" si="266"/>
        <v>-1117.3999999999999</v>
      </c>
      <c r="BV450" s="2">
        <f t="shared" si="267"/>
        <v>-592.6</v>
      </c>
      <c r="BW450" s="2">
        <f t="shared" si="268"/>
        <v>0</v>
      </c>
      <c r="BX450" s="2">
        <f t="shared" si="269"/>
        <v>0</v>
      </c>
      <c r="BY450" s="2">
        <f t="shared" si="270"/>
        <v>0</v>
      </c>
      <c r="BZ450" s="2">
        <f t="shared" si="271"/>
        <v>0</v>
      </c>
      <c r="CA450" s="2">
        <f t="shared" si="272"/>
        <v>0</v>
      </c>
      <c r="CB450" s="2">
        <f t="shared" si="273"/>
        <v>0</v>
      </c>
      <c r="CC450" s="2">
        <f t="shared" si="274"/>
        <v>0</v>
      </c>
      <c r="CD450" s="2">
        <f t="shared" si="275"/>
        <v>0</v>
      </c>
      <c r="CE450" s="2">
        <f t="shared" si="276"/>
        <v>0</v>
      </c>
      <c r="CF450" s="2">
        <f t="shared" si="277"/>
        <v>4575.12</v>
      </c>
      <c r="CG450" s="2">
        <f t="shared" si="278"/>
        <v>-2182</v>
      </c>
      <c r="CH450" s="2">
        <f t="shared" si="279"/>
        <v>1589.49</v>
      </c>
      <c r="CI450" s="2">
        <f t="shared" si="280"/>
        <v>0</v>
      </c>
      <c r="CJ450" s="2">
        <f t="shared" si="281"/>
        <v>0</v>
      </c>
      <c r="CK450" s="2">
        <f t="shared" si="282"/>
        <v>0</v>
      </c>
      <c r="CL450" s="2">
        <f t="shared" si="283"/>
        <v>0</v>
      </c>
      <c r="CM450" s="2">
        <f t="shared" si="254"/>
        <v>0</v>
      </c>
      <c r="CN450" s="2">
        <f t="shared" si="255"/>
        <v>0</v>
      </c>
      <c r="CO450" s="2">
        <f t="shared" si="256"/>
        <v>0</v>
      </c>
      <c r="CP450" s="2">
        <f t="shared" si="257"/>
        <v>0</v>
      </c>
      <c r="CQ450" s="2">
        <f t="shared" si="258"/>
        <v>0</v>
      </c>
      <c r="CR450" s="2">
        <f t="shared" si="259"/>
        <v>0</v>
      </c>
      <c r="CV450" t="s">
        <v>64</v>
      </c>
      <c r="CW450" t="s">
        <v>523</v>
      </c>
      <c r="CX450" t="s">
        <v>18</v>
      </c>
      <c r="CY450" s="4">
        <v>42929</v>
      </c>
      <c r="CZ450" t="s">
        <v>65</v>
      </c>
      <c r="DA450" t="s">
        <v>66</v>
      </c>
      <c r="DB450">
        <v>67</v>
      </c>
      <c r="DC450">
        <v>60.07</v>
      </c>
      <c r="DD450" t="s">
        <v>69</v>
      </c>
      <c r="DE450" t="s">
        <v>70</v>
      </c>
      <c r="DF450">
        <v>4024.69</v>
      </c>
    </row>
    <row r="451" spans="1:110" x14ac:dyDescent="0.25">
      <c r="A451" s="1">
        <v>43388</v>
      </c>
      <c r="B451">
        <v>215.68</v>
      </c>
      <c r="C451">
        <v>102.2</v>
      </c>
      <c r="D451">
        <v>355.44</v>
      </c>
      <c r="E451">
        <v>140</v>
      </c>
      <c r="F451">
        <v>44.33</v>
      </c>
      <c r="G451">
        <v>114.66</v>
      </c>
      <c r="H451">
        <v>112.57</v>
      </c>
      <c r="I451">
        <v>58.55</v>
      </c>
      <c r="J451">
        <v>214.35</v>
      </c>
      <c r="K451">
        <v>190.03</v>
      </c>
      <c r="L451">
        <v>137.75</v>
      </c>
      <c r="M451">
        <v>43.97</v>
      </c>
      <c r="N451">
        <v>133.1</v>
      </c>
      <c r="O451">
        <v>105.48</v>
      </c>
      <c r="P451">
        <v>44.56</v>
      </c>
      <c r="Q451">
        <v>162.66999999999999</v>
      </c>
      <c r="R451">
        <v>196.23</v>
      </c>
      <c r="S451">
        <v>68.98</v>
      </c>
      <c r="T451">
        <v>107.14</v>
      </c>
      <c r="U451">
        <v>74.77</v>
      </c>
      <c r="V451">
        <v>42.42</v>
      </c>
      <c r="W451">
        <v>78.8</v>
      </c>
      <c r="X451">
        <v>122.63</v>
      </c>
      <c r="Y451">
        <v>259.42</v>
      </c>
      <c r="Z451">
        <v>128.82</v>
      </c>
      <c r="AA451">
        <v>136.75</v>
      </c>
      <c r="AB451">
        <v>53.05</v>
      </c>
      <c r="AC451">
        <v>73.87</v>
      </c>
      <c r="AD451">
        <v>93.31</v>
      </c>
      <c r="AE451">
        <v>79.13</v>
      </c>
      <c r="AI451" s="2">
        <v>5000</v>
      </c>
      <c r="AJ451" s="2">
        <f t="shared" ref="AJ451:AP451" si="292">AJ450</f>
        <v>1320</v>
      </c>
      <c r="AK451" s="2">
        <f t="shared" si="292"/>
        <v>1320</v>
      </c>
      <c r="AL451" s="2">
        <f t="shared" si="292"/>
        <v>1320</v>
      </c>
      <c r="AM451" s="2">
        <f t="shared" si="292"/>
        <v>1320</v>
      </c>
      <c r="AN451" s="2">
        <f t="shared" si="292"/>
        <v>1320</v>
      </c>
      <c r="AO451" s="2">
        <f t="shared" si="292"/>
        <v>1320</v>
      </c>
      <c r="AP451" s="2">
        <f t="shared" si="292"/>
        <v>1200</v>
      </c>
      <c r="AQ451" s="2">
        <v>1000</v>
      </c>
      <c r="AR451" s="2">
        <v>0</v>
      </c>
      <c r="AS451" s="2">
        <v>10</v>
      </c>
      <c r="AT451" s="2">
        <v>0</v>
      </c>
      <c r="AU451" s="2">
        <v>0</v>
      </c>
      <c r="AV451" s="2">
        <v>0</v>
      </c>
      <c r="AW451" s="2">
        <v>0</v>
      </c>
      <c r="AX451" s="2">
        <v>0</v>
      </c>
      <c r="AY451" s="2">
        <v>0</v>
      </c>
      <c r="AZ451" s="2">
        <v>1023</v>
      </c>
      <c r="BA451" s="2">
        <v>978</v>
      </c>
      <c r="BB451" s="2">
        <v>940</v>
      </c>
      <c r="BC451" s="2">
        <v>-2000</v>
      </c>
      <c r="BD451" s="2">
        <v>-7500</v>
      </c>
      <c r="BE451" s="2">
        <v>5000</v>
      </c>
      <c r="BF451" s="2">
        <v>3000</v>
      </c>
      <c r="BG451" s="2">
        <v>5000</v>
      </c>
      <c r="BH451" s="2">
        <v>2500</v>
      </c>
      <c r="BI451" s="2">
        <v>3000</v>
      </c>
      <c r="BJ451" s="2">
        <v>-2000</v>
      </c>
      <c r="BK451" s="2">
        <v>1000</v>
      </c>
      <c r="BL451" s="2">
        <v>1000</v>
      </c>
      <c r="BO451" s="2">
        <f t="shared" si="251"/>
        <v>0</v>
      </c>
      <c r="BP451" s="2">
        <f t="shared" si="261"/>
        <v>0</v>
      </c>
      <c r="BQ451" s="2">
        <f t="shared" si="262"/>
        <v>0</v>
      </c>
      <c r="BR451" s="2">
        <f t="shared" si="263"/>
        <v>0</v>
      </c>
      <c r="BS451" s="2">
        <f t="shared" si="264"/>
        <v>0</v>
      </c>
      <c r="BT451" s="2">
        <f t="shared" si="265"/>
        <v>0</v>
      </c>
      <c r="BU451" s="2">
        <f t="shared" si="266"/>
        <v>0</v>
      </c>
      <c r="BV451" s="2">
        <f t="shared" si="267"/>
        <v>0</v>
      </c>
      <c r="BW451" s="2">
        <f t="shared" si="268"/>
        <v>0</v>
      </c>
      <c r="BX451" s="2">
        <f t="shared" si="269"/>
        <v>0</v>
      </c>
      <c r="BY451" s="2">
        <f t="shared" si="270"/>
        <v>0</v>
      </c>
      <c r="BZ451" s="2">
        <f t="shared" si="271"/>
        <v>0</v>
      </c>
      <c r="CA451" s="2">
        <f t="shared" si="272"/>
        <v>0</v>
      </c>
      <c r="CB451" s="2">
        <f t="shared" si="273"/>
        <v>0</v>
      </c>
      <c r="CC451" s="2">
        <f t="shared" si="274"/>
        <v>0</v>
      </c>
      <c r="CD451" s="2">
        <f t="shared" si="275"/>
        <v>0</v>
      </c>
      <c r="CE451" s="2">
        <f t="shared" si="276"/>
        <v>0</v>
      </c>
      <c r="CF451" s="2">
        <f t="shared" si="277"/>
        <v>-3449</v>
      </c>
      <c r="CG451" s="2">
        <f t="shared" si="278"/>
        <v>13071.08</v>
      </c>
      <c r="CH451" s="2">
        <f t="shared" si="279"/>
        <v>-2691.72</v>
      </c>
      <c r="CI451" s="2">
        <f t="shared" si="280"/>
        <v>0</v>
      </c>
      <c r="CJ451" s="2">
        <f t="shared" si="281"/>
        <v>0</v>
      </c>
      <c r="CK451" s="2">
        <f t="shared" si="282"/>
        <v>0</v>
      </c>
      <c r="CL451" s="2">
        <f t="shared" si="283"/>
        <v>0</v>
      </c>
      <c r="CM451" s="2">
        <f t="shared" si="254"/>
        <v>0</v>
      </c>
      <c r="CN451" s="2">
        <f t="shared" si="255"/>
        <v>0</v>
      </c>
      <c r="CO451" s="2">
        <f t="shared" si="256"/>
        <v>0</v>
      </c>
      <c r="CP451" s="2">
        <f t="shared" si="257"/>
        <v>0</v>
      </c>
      <c r="CQ451" s="2">
        <f t="shared" si="258"/>
        <v>0</v>
      </c>
      <c r="CR451" s="2">
        <f t="shared" si="259"/>
        <v>0</v>
      </c>
      <c r="CV451" t="s">
        <v>64</v>
      </c>
      <c r="CW451" t="s">
        <v>524</v>
      </c>
      <c r="CX451" t="s">
        <v>18</v>
      </c>
      <c r="CY451" s="4">
        <v>42930</v>
      </c>
      <c r="CZ451" t="s">
        <v>67</v>
      </c>
      <c r="DA451" t="s">
        <v>68</v>
      </c>
      <c r="DB451">
        <v>67</v>
      </c>
      <c r="DC451">
        <v>60.23</v>
      </c>
      <c r="DD451" t="s">
        <v>69</v>
      </c>
      <c r="DE451" t="s">
        <v>70</v>
      </c>
      <c r="DF451">
        <v>4035.41</v>
      </c>
    </row>
    <row r="452" spans="1:110" x14ac:dyDescent="0.25">
      <c r="A452" s="1">
        <v>43389</v>
      </c>
      <c r="B452">
        <v>220.43</v>
      </c>
      <c r="C452">
        <v>103.85</v>
      </c>
      <c r="D452">
        <v>364.73</v>
      </c>
      <c r="E452">
        <v>141.88999999999999</v>
      </c>
      <c r="F452">
        <v>45.47</v>
      </c>
      <c r="G452">
        <v>115.21</v>
      </c>
      <c r="H452">
        <v>115.3</v>
      </c>
      <c r="I452">
        <v>59.86</v>
      </c>
      <c r="J452">
        <v>220.81</v>
      </c>
      <c r="K452">
        <v>192.43</v>
      </c>
      <c r="L452">
        <v>141.63999999999999</v>
      </c>
      <c r="M452">
        <v>45.37</v>
      </c>
      <c r="N452">
        <v>135.69999999999999</v>
      </c>
      <c r="O452">
        <v>107.75</v>
      </c>
      <c r="P452">
        <v>45.13</v>
      </c>
      <c r="Q452">
        <v>163.06</v>
      </c>
      <c r="R452">
        <v>199.58</v>
      </c>
      <c r="S452">
        <v>70.72</v>
      </c>
      <c r="T452">
        <v>110.52</v>
      </c>
      <c r="U452">
        <v>77.25</v>
      </c>
      <c r="V452">
        <v>43.22</v>
      </c>
      <c r="W452">
        <v>79.67</v>
      </c>
      <c r="X452">
        <v>123.98</v>
      </c>
      <c r="Y452">
        <v>271.7</v>
      </c>
      <c r="Z452">
        <v>130.97999999999999</v>
      </c>
      <c r="AA452">
        <v>141.24</v>
      </c>
      <c r="AB452">
        <v>53.15</v>
      </c>
      <c r="AC452">
        <v>75.41</v>
      </c>
      <c r="AD452">
        <v>95.29</v>
      </c>
      <c r="AE452">
        <v>79.5</v>
      </c>
      <c r="AI452" s="2">
        <v>5000</v>
      </c>
      <c r="AJ452" s="2">
        <f t="shared" ref="AJ452:AP477" si="293">AJ451</f>
        <v>1320</v>
      </c>
      <c r="AK452" s="2">
        <f t="shared" si="293"/>
        <v>1320</v>
      </c>
      <c r="AL452" s="2">
        <f t="shared" si="293"/>
        <v>1320</v>
      </c>
      <c r="AM452" s="2">
        <f t="shared" si="293"/>
        <v>1320</v>
      </c>
      <c r="AN452" s="2">
        <f t="shared" si="293"/>
        <v>1320</v>
      </c>
      <c r="AO452" s="2">
        <f t="shared" si="293"/>
        <v>1320</v>
      </c>
      <c r="AP452" s="2">
        <f t="shared" si="293"/>
        <v>1200</v>
      </c>
      <c r="AQ452" s="2">
        <v>1000</v>
      </c>
      <c r="AR452" s="2">
        <v>0</v>
      </c>
      <c r="AS452" s="2">
        <v>10</v>
      </c>
      <c r="AT452" s="2">
        <v>0</v>
      </c>
      <c r="AU452" s="2">
        <v>0</v>
      </c>
      <c r="AV452" s="2">
        <v>0</v>
      </c>
      <c r="AW452" s="2">
        <v>0</v>
      </c>
      <c r="AX452" s="2">
        <v>0</v>
      </c>
      <c r="AY452" s="2">
        <v>0</v>
      </c>
      <c r="AZ452" s="2">
        <v>993</v>
      </c>
      <c r="BA452" s="2">
        <v>1038</v>
      </c>
      <c r="BB452" s="2">
        <v>1047</v>
      </c>
      <c r="BC452" s="2">
        <v>-2000</v>
      </c>
      <c r="BD452" s="2">
        <v>-7500</v>
      </c>
      <c r="BE452" s="2">
        <v>5000</v>
      </c>
      <c r="BF452" s="2">
        <v>3000</v>
      </c>
      <c r="BG452" s="2">
        <v>5000</v>
      </c>
      <c r="BH452" s="2">
        <v>2500</v>
      </c>
      <c r="BI452" s="2">
        <v>3000</v>
      </c>
      <c r="BJ452" s="2">
        <v>-2000</v>
      </c>
      <c r="BK452" s="2">
        <v>1000</v>
      </c>
      <c r="BL452" s="2">
        <v>1000</v>
      </c>
      <c r="BO452" s="2">
        <f t="shared" ref="BO452:BO503" si="294">(AI451-AI452)*B452</f>
        <v>0</v>
      </c>
      <c r="BP452" s="2">
        <f t="shared" si="261"/>
        <v>0</v>
      </c>
      <c r="BQ452" s="2">
        <f t="shared" si="262"/>
        <v>0</v>
      </c>
      <c r="BR452" s="2">
        <f t="shared" si="263"/>
        <v>0</v>
      </c>
      <c r="BS452" s="2">
        <f t="shared" si="264"/>
        <v>0</v>
      </c>
      <c r="BT452" s="2">
        <f t="shared" si="265"/>
        <v>0</v>
      </c>
      <c r="BU452" s="2">
        <f t="shared" si="266"/>
        <v>0</v>
      </c>
      <c r="BV452" s="2">
        <f t="shared" si="267"/>
        <v>0</v>
      </c>
      <c r="BW452" s="2">
        <f t="shared" si="268"/>
        <v>0</v>
      </c>
      <c r="BX452" s="2">
        <f t="shared" si="269"/>
        <v>0</v>
      </c>
      <c r="BY452" s="2">
        <f t="shared" si="270"/>
        <v>0</v>
      </c>
      <c r="BZ452" s="2">
        <f t="shared" si="271"/>
        <v>0</v>
      </c>
      <c r="CA452" s="2">
        <f t="shared" si="272"/>
        <v>0</v>
      </c>
      <c r="CB452" s="2">
        <f t="shared" si="273"/>
        <v>0</v>
      </c>
      <c r="CC452" s="2">
        <f t="shared" si="274"/>
        <v>0</v>
      </c>
      <c r="CD452" s="2">
        <f t="shared" si="275"/>
        <v>0</v>
      </c>
      <c r="CE452" s="2">
        <f t="shared" si="276"/>
        <v>0</v>
      </c>
      <c r="CF452" s="2">
        <f t="shared" si="277"/>
        <v>2121.6</v>
      </c>
      <c r="CG452" s="2">
        <f t="shared" si="278"/>
        <v>-6631.2</v>
      </c>
      <c r="CH452" s="2">
        <f t="shared" si="279"/>
        <v>-8265.75</v>
      </c>
      <c r="CI452" s="2">
        <f t="shared" si="280"/>
        <v>0</v>
      </c>
      <c r="CJ452" s="2">
        <f t="shared" si="281"/>
        <v>0</v>
      </c>
      <c r="CK452" s="2">
        <f t="shared" si="282"/>
        <v>0</v>
      </c>
      <c r="CL452" s="2">
        <f t="shared" si="283"/>
        <v>0</v>
      </c>
      <c r="CM452" s="2">
        <f t="shared" si="254"/>
        <v>0</v>
      </c>
      <c r="CN452" s="2">
        <f t="shared" si="255"/>
        <v>0</v>
      </c>
      <c r="CO452" s="2">
        <f t="shared" si="256"/>
        <v>0</v>
      </c>
      <c r="CP452" s="2">
        <f t="shared" si="257"/>
        <v>0</v>
      </c>
      <c r="CQ452" s="2">
        <f t="shared" si="258"/>
        <v>0</v>
      </c>
      <c r="CR452" s="2">
        <f t="shared" si="259"/>
        <v>0</v>
      </c>
      <c r="CV452" t="s">
        <v>64</v>
      </c>
      <c r="CW452" t="s">
        <v>525</v>
      </c>
      <c r="CX452" t="s">
        <v>18</v>
      </c>
      <c r="CY452" s="4">
        <v>42933</v>
      </c>
      <c r="CZ452" t="s">
        <v>67</v>
      </c>
      <c r="DA452" t="s">
        <v>68</v>
      </c>
      <c r="DB452">
        <v>18</v>
      </c>
      <c r="DC452">
        <v>59.8</v>
      </c>
      <c r="DD452" t="s">
        <v>69</v>
      </c>
      <c r="DE452" t="s">
        <v>70</v>
      </c>
      <c r="DF452">
        <v>1076.3999999999999</v>
      </c>
    </row>
    <row r="453" spans="1:110" x14ac:dyDescent="0.25">
      <c r="A453" s="1">
        <v>43390</v>
      </c>
      <c r="B453">
        <v>219.48</v>
      </c>
      <c r="C453">
        <v>103.91</v>
      </c>
      <c r="D453">
        <v>362</v>
      </c>
      <c r="E453">
        <v>139.55000000000001</v>
      </c>
      <c r="F453">
        <v>45.59</v>
      </c>
      <c r="G453">
        <v>115</v>
      </c>
      <c r="H453">
        <v>116.23</v>
      </c>
      <c r="I453">
        <v>59.17</v>
      </c>
      <c r="J453">
        <v>227.36</v>
      </c>
      <c r="K453">
        <v>184.07</v>
      </c>
      <c r="L453">
        <v>130.84</v>
      </c>
      <c r="M453">
        <v>45.32</v>
      </c>
      <c r="N453">
        <v>138.58000000000001</v>
      </c>
      <c r="O453">
        <v>108.95</v>
      </c>
      <c r="P453">
        <v>45.5</v>
      </c>
      <c r="Q453">
        <v>165.75</v>
      </c>
      <c r="R453">
        <v>200.17</v>
      </c>
      <c r="S453">
        <v>71.319999999999993</v>
      </c>
      <c r="T453">
        <v>110.23</v>
      </c>
      <c r="U453">
        <v>76.25</v>
      </c>
      <c r="V453">
        <v>43.85</v>
      </c>
      <c r="W453">
        <v>80.510000000000005</v>
      </c>
      <c r="X453">
        <v>125.66</v>
      </c>
      <c r="Y453">
        <v>266.45</v>
      </c>
      <c r="Z453">
        <v>128.56</v>
      </c>
      <c r="AA453">
        <v>141.94999999999999</v>
      </c>
      <c r="AB453">
        <v>53.4</v>
      </c>
      <c r="AC453">
        <v>76.099999999999994</v>
      </c>
      <c r="AD453">
        <v>96.04</v>
      </c>
      <c r="AE453">
        <v>79.8</v>
      </c>
      <c r="AI453" s="2">
        <v>5000</v>
      </c>
      <c r="AJ453" s="2">
        <f t="shared" si="293"/>
        <v>1320</v>
      </c>
      <c r="AK453" s="2">
        <f t="shared" si="293"/>
        <v>1320</v>
      </c>
      <c r="AL453" s="2">
        <f t="shared" si="293"/>
        <v>1320</v>
      </c>
      <c r="AM453" s="2">
        <f t="shared" si="293"/>
        <v>1320</v>
      </c>
      <c r="AN453" s="2">
        <f t="shared" si="293"/>
        <v>1320</v>
      </c>
      <c r="AO453" s="2">
        <f t="shared" si="293"/>
        <v>1320</v>
      </c>
      <c r="AP453" s="2">
        <f t="shared" si="293"/>
        <v>1200</v>
      </c>
      <c r="AQ453" s="2">
        <v>1000</v>
      </c>
      <c r="AR453" s="2">
        <v>0</v>
      </c>
      <c r="AS453" s="2">
        <v>10</v>
      </c>
      <c r="AT453" s="2">
        <v>0</v>
      </c>
      <c r="AU453" s="2">
        <v>0</v>
      </c>
      <c r="AV453" s="2">
        <v>0</v>
      </c>
      <c r="AW453" s="2">
        <v>0</v>
      </c>
      <c r="AX453" s="2">
        <v>0</v>
      </c>
      <c r="AY453" s="2">
        <v>0</v>
      </c>
      <c r="AZ453" s="2">
        <v>1011</v>
      </c>
      <c r="BA453" s="2">
        <v>964</v>
      </c>
      <c r="BB453" s="2">
        <v>1006</v>
      </c>
      <c r="BC453" s="2">
        <v>-2000</v>
      </c>
      <c r="BD453" s="2">
        <v>-7500</v>
      </c>
      <c r="BE453" s="2">
        <v>5000</v>
      </c>
      <c r="BF453" s="2">
        <v>3000</v>
      </c>
      <c r="BG453" s="2">
        <v>5000</v>
      </c>
      <c r="BH453" s="2">
        <v>2500</v>
      </c>
      <c r="BI453" s="2">
        <v>3000</v>
      </c>
      <c r="BJ453" s="2">
        <v>-2000</v>
      </c>
      <c r="BK453" s="2">
        <v>1000</v>
      </c>
      <c r="BL453" s="2">
        <v>1000</v>
      </c>
      <c r="BO453" s="2">
        <f t="shared" si="294"/>
        <v>0</v>
      </c>
      <c r="BP453" s="2">
        <f t="shared" si="261"/>
        <v>0</v>
      </c>
      <c r="BQ453" s="2">
        <f t="shared" si="262"/>
        <v>0</v>
      </c>
      <c r="BR453" s="2">
        <f t="shared" si="263"/>
        <v>0</v>
      </c>
      <c r="BS453" s="2">
        <f t="shared" si="264"/>
        <v>0</v>
      </c>
      <c r="BT453" s="2">
        <f t="shared" si="265"/>
        <v>0</v>
      </c>
      <c r="BU453" s="2">
        <f t="shared" si="266"/>
        <v>0</v>
      </c>
      <c r="BV453" s="2">
        <f t="shared" si="267"/>
        <v>0</v>
      </c>
      <c r="BW453" s="2">
        <f t="shared" si="268"/>
        <v>0</v>
      </c>
      <c r="BX453" s="2">
        <f t="shared" si="269"/>
        <v>0</v>
      </c>
      <c r="BY453" s="2">
        <f t="shared" si="270"/>
        <v>0</v>
      </c>
      <c r="BZ453" s="2">
        <f t="shared" si="271"/>
        <v>0</v>
      </c>
      <c r="CA453" s="2">
        <f t="shared" si="272"/>
        <v>0</v>
      </c>
      <c r="CB453" s="2">
        <f t="shared" si="273"/>
        <v>0</v>
      </c>
      <c r="CC453" s="2">
        <f t="shared" si="274"/>
        <v>0</v>
      </c>
      <c r="CD453" s="2">
        <f t="shared" si="275"/>
        <v>0</v>
      </c>
      <c r="CE453" s="2">
        <f t="shared" si="276"/>
        <v>0</v>
      </c>
      <c r="CF453" s="2">
        <f t="shared" si="277"/>
        <v>-1283.7599999999998</v>
      </c>
      <c r="CG453" s="2">
        <f t="shared" si="278"/>
        <v>8157.02</v>
      </c>
      <c r="CH453" s="2">
        <f t="shared" si="279"/>
        <v>3126.25</v>
      </c>
      <c r="CI453" s="2">
        <f t="shared" si="280"/>
        <v>0</v>
      </c>
      <c r="CJ453" s="2">
        <f t="shared" si="281"/>
        <v>0</v>
      </c>
      <c r="CK453" s="2">
        <f t="shared" si="282"/>
        <v>0</v>
      </c>
      <c r="CL453" s="2">
        <f t="shared" si="283"/>
        <v>0</v>
      </c>
      <c r="CM453" s="2">
        <f t="shared" si="254"/>
        <v>0</v>
      </c>
      <c r="CN453" s="2">
        <f t="shared" si="255"/>
        <v>0</v>
      </c>
      <c r="CO453" s="2">
        <f t="shared" si="256"/>
        <v>0</v>
      </c>
      <c r="CP453" s="2">
        <f t="shared" si="257"/>
        <v>0</v>
      </c>
      <c r="CQ453" s="2">
        <f t="shared" si="258"/>
        <v>0</v>
      </c>
      <c r="CR453" s="2">
        <f t="shared" si="259"/>
        <v>0</v>
      </c>
      <c r="CV453" t="s">
        <v>64</v>
      </c>
      <c r="CW453" t="s">
        <v>526</v>
      </c>
      <c r="CX453" t="s">
        <v>18</v>
      </c>
      <c r="CY453" s="4">
        <v>42934</v>
      </c>
      <c r="CZ453" t="s">
        <v>67</v>
      </c>
      <c r="DA453" t="s">
        <v>68</v>
      </c>
      <c r="DB453">
        <v>10</v>
      </c>
      <c r="DC453">
        <v>59.61</v>
      </c>
      <c r="DD453" t="s">
        <v>69</v>
      </c>
      <c r="DE453" t="s">
        <v>70</v>
      </c>
      <c r="DF453">
        <v>596.1</v>
      </c>
    </row>
    <row r="454" spans="1:110" x14ac:dyDescent="0.25">
      <c r="A454" s="1">
        <v>43391</v>
      </c>
      <c r="B454">
        <v>214.35</v>
      </c>
      <c r="C454">
        <v>102.42</v>
      </c>
      <c r="D454">
        <v>355.91</v>
      </c>
      <c r="E454">
        <v>134.08000000000001</v>
      </c>
      <c r="F454">
        <v>45.11</v>
      </c>
      <c r="G454">
        <v>115.18</v>
      </c>
      <c r="H454">
        <v>115.29</v>
      </c>
      <c r="I454">
        <v>58.19</v>
      </c>
      <c r="J454">
        <v>224.04</v>
      </c>
      <c r="K454">
        <v>179.37</v>
      </c>
      <c r="L454">
        <v>127.42</v>
      </c>
      <c r="M454">
        <v>44.41</v>
      </c>
      <c r="N454">
        <v>138.62</v>
      </c>
      <c r="O454">
        <v>107.22</v>
      </c>
      <c r="P454">
        <v>45.25</v>
      </c>
      <c r="Q454">
        <v>165.79</v>
      </c>
      <c r="R454">
        <v>197.65</v>
      </c>
      <c r="S454">
        <v>71.709999999999994</v>
      </c>
      <c r="T454">
        <v>108.03</v>
      </c>
      <c r="U454">
        <v>75.38</v>
      </c>
      <c r="V454">
        <v>43.29</v>
      </c>
      <c r="W454">
        <v>79.61</v>
      </c>
      <c r="X454">
        <v>124.37</v>
      </c>
      <c r="Y454">
        <v>265.95999999999998</v>
      </c>
      <c r="Z454">
        <v>127.45</v>
      </c>
      <c r="AA454">
        <v>138.80000000000001</v>
      </c>
      <c r="AB454">
        <v>54.09</v>
      </c>
      <c r="AC454">
        <v>75.709999999999994</v>
      </c>
      <c r="AD454">
        <v>95.65</v>
      </c>
      <c r="AE454">
        <v>80.14</v>
      </c>
      <c r="AI454" s="2">
        <v>5000</v>
      </c>
      <c r="AJ454" s="2">
        <f t="shared" si="293"/>
        <v>1320</v>
      </c>
      <c r="AK454" s="2">
        <f t="shared" si="293"/>
        <v>1320</v>
      </c>
      <c r="AL454" s="2">
        <f t="shared" si="293"/>
        <v>1320</v>
      </c>
      <c r="AM454" s="2">
        <f t="shared" si="293"/>
        <v>1320</v>
      </c>
      <c r="AN454" s="2">
        <f t="shared" si="293"/>
        <v>1320</v>
      </c>
      <c r="AO454" s="2">
        <f t="shared" si="293"/>
        <v>1320</v>
      </c>
      <c r="AP454" s="2">
        <f t="shared" si="293"/>
        <v>1200</v>
      </c>
      <c r="AQ454" s="2">
        <v>1000</v>
      </c>
      <c r="AR454" s="2">
        <v>0</v>
      </c>
      <c r="AS454" s="2">
        <v>10</v>
      </c>
      <c r="AT454" s="2">
        <v>0</v>
      </c>
      <c r="AU454" s="2">
        <v>0</v>
      </c>
      <c r="AV454" s="2">
        <v>0</v>
      </c>
      <c r="AW454" s="2">
        <v>0</v>
      </c>
      <c r="AX454" s="2">
        <v>0</v>
      </c>
      <c r="AY454" s="2">
        <v>0</v>
      </c>
      <c r="AZ454" s="2">
        <v>969</v>
      </c>
      <c r="BA454" s="2">
        <v>915</v>
      </c>
      <c r="BB454" s="2">
        <v>1084</v>
      </c>
      <c r="BC454" s="2">
        <v>-2000</v>
      </c>
      <c r="BD454" s="2">
        <v>-7500</v>
      </c>
      <c r="BE454" s="2">
        <v>5000</v>
      </c>
      <c r="BF454" s="2">
        <v>3000</v>
      </c>
      <c r="BG454" s="2">
        <v>5000</v>
      </c>
      <c r="BH454" s="2">
        <v>2500</v>
      </c>
      <c r="BI454" s="2">
        <v>3000</v>
      </c>
      <c r="BJ454" s="2">
        <v>-2000</v>
      </c>
      <c r="BK454" s="2">
        <v>1000</v>
      </c>
      <c r="BL454" s="2">
        <v>1000</v>
      </c>
      <c r="BO454" s="2">
        <f t="shared" si="294"/>
        <v>0</v>
      </c>
      <c r="BP454" s="2">
        <f t="shared" si="261"/>
        <v>0</v>
      </c>
      <c r="BQ454" s="2">
        <f t="shared" si="262"/>
        <v>0</v>
      </c>
      <c r="BR454" s="2">
        <f t="shared" si="263"/>
        <v>0</v>
      </c>
      <c r="BS454" s="2">
        <f t="shared" si="264"/>
        <v>0</v>
      </c>
      <c r="BT454" s="2">
        <f t="shared" si="265"/>
        <v>0</v>
      </c>
      <c r="BU454" s="2">
        <f t="shared" si="266"/>
        <v>0</v>
      </c>
      <c r="BV454" s="2">
        <f t="shared" si="267"/>
        <v>0</v>
      </c>
      <c r="BW454" s="2">
        <f t="shared" si="268"/>
        <v>0</v>
      </c>
      <c r="BX454" s="2">
        <f t="shared" si="269"/>
        <v>0</v>
      </c>
      <c r="BY454" s="2">
        <f t="shared" si="270"/>
        <v>0</v>
      </c>
      <c r="BZ454" s="2">
        <f t="shared" si="271"/>
        <v>0</v>
      </c>
      <c r="CA454" s="2">
        <f t="shared" si="272"/>
        <v>0</v>
      </c>
      <c r="CB454" s="2">
        <f t="shared" si="273"/>
        <v>0</v>
      </c>
      <c r="CC454" s="2">
        <f t="shared" si="274"/>
        <v>0</v>
      </c>
      <c r="CD454" s="2">
        <f t="shared" si="275"/>
        <v>0</v>
      </c>
      <c r="CE454" s="2">
        <f t="shared" si="276"/>
        <v>0</v>
      </c>
      <c r="CF454" s="2">
        <f t="shared" si="277"/>
        <v>3011.8199999999997</v>
      </c>
      <c r="CG454" s="2">
        <f t="shared" si="278"/>
        <v>5293.47</v>
      </c>
      <c r="CH454" s="2">
        <f t="shared" si="279"/>
        <v>-5879.6399999999994</v>
      </c>
      <c r="CI454" s="2">
        <f t="shared" si="280"/>
        <v>0</v>
      </c>
      <c r="CJ454" s="2">
        <f t="shared" si="281"/>
        <v>0</v>
      </c>
      <c r="CK454" s="2">
        <f t="shared" si="282"/>
        <v>0</v>
      </c>
      <c r="CL454" s="2">
        <f t="shared" si="283"/>
        <v>0</v>
      </c>
      <c r="CM454" s="2">
        <f t="shared" si="254"/>
        <v>0</v>
      </c>
      <c r="CN454" s="2">
        <f t="shared" si="255"/>
        <v>0</v>
      </c>
      <c r="CO454" s="2">
        <f t="shared" si="256"/>
        <v>0</v>
      </c>
      <c r="CP454" s="2">
        <f t="shared" si="257"/>
        <v>0</v>
      </c>
      <c r="CQ454" s="2">
        <f t="shared" si="258"/>
        <v>0</v>
      </c>
      <c r="CR454" s="2">
        <f t="shared" si="259"/>
        <v>0</v>
      </c>
      <c r="CV454" t="s">
        <v>64</v>
      </c>
      <c r="CW454" t="s">
        <v>527</v>
      </c>
      <c r="CX454" t="s">
        <v>18</v>
      </c>
      <c r="CY454" s="4">
        <v>42935</v>
      </c>
      <c r="CZ454" t="s">
        <v>65</v>
      </c>
      <c r="DA454" t="s">
        <v>66</v>
      </c>
      <c r="DB454">
        <v>60</v>
      </c>
      <c r="DC454">
        <v>59.81</v>
      </c>
      <c r="DD454" t="s">
        <v>69</v>
      </c>
      <c r="DE454" t="s">
        <v>70</v>
      </c>
      <c r="DF454">
        <v>3588.6000000000004</v>
      </c>
    </row>
    <row r="455" spans="1:110" x14ac:dyDescent="0.25">
      <c r="A455" s="1">
        <v>43392</v>
      </c>
      <c r="B455">
        <v>217.61</v>
      </c>
      <c r="C455">
        <v>106.3</v>
      </c>
      <c r="D455">
        <v>352.85</v>
      </c>
      <c r="E455">
        <v>130.47999999999999</v>
      </c>
      <c r="F455">
        <v>44.99</v>
      </c>
      <c r="G455">
        <v>115.83</v>
      </c>
      <c r="H455">
        <v>117.98</v>
      </c>
      <c r="I455">
        <v>57.11</v>
      </c>
      <c r="J455">
        <v>226.04</v>
      </c>
      <c r="K455">
        <v>178.78</v>
      </c>
      <c r="L455">
        <v>126.01</v>
      </c>
      <c r="M455">
        <v>43.45</v>
      </c>
      <c r="N455">
        <v>138.16999999999999</v>
      </c>
      <c r="O455">
        <v>107.04</v>
      </c>
      <c r="P455">
        <v>45.97</v>
      </c>
      <c r="Q455">
        <v>166.46</v>
      </c>
      <c r="R455">
        <v>197.13</v>
      </c>
      <c r="S455">
        <v>71.849999999999994</v>
      </c>
      <c r="T455">
        <v>108.19</v>
      </c>
      <c r="U455">
        <v>73.989999999999995</v>
      </c>
      <c r="V455">
        <v>43.78</v>
      </c>
      <c r="W455">
        <v>86.61</v>
      </c>
      <c r="X455">
        <v>125.3</v>
      </c>
      <c r="Y455">
        <v>264.45</v>
      </c>
      <c r="Z455">
        <v>127.19</v>
      </c>
      <c r="AA455">
        <v>139.59</v>
      </c>
      <c r="AB455">
        <v>54.33</v>
      </c>
      <c r="AC455">
        <v>76.47</v>
      </c>
      <c r="AD455">
        <v>96.62</v>
      </c>
      <c r="AE455">
        <v>80.260000000000005</v>
      </c>
      <c r="AI455" s="2">
        <v>5000</v>
      </c>
      <c r="AJ455" s="2">
        <f t="shared" si="293"/>
        <v>1320</v>
      </c>
      <c r="AK455" s="2">
        <f t="shared" si="293"/>
        <v>1320</v>
      </c>
      <c r="AL455" s="2">
        <f t="shared" si="293"/>
        <v>1320</v>
      </c>
      <c r="AM455" s="2">
        <f t="shared" si="293"/>
        <v>1320</v>
      </c>
      <c r="AN455" s="2">
        <f t="shared" si="293"/>
        <v>1320</v>
      </c>
      <c r="AO455" s="2">
        <f t="shared" si="293"/>
        <v>1320</v>
      </c>
      <c r="AP455" s="2">
        <f t="shared" si="293"/>
        <v>1200</v>
      </c>
      <c r="AQ455" s="2">
        <v>1000</v>
      </c>
      <c r="AR455" s="2">
        <v>0</v>
      </c>
      <c r="AS455" s="2">
        <v>10</v>
      </c>
      <c r="AT455" s="2">
        <v>0</v>
      </c>
      <c r="AU455" s="2">
        <v>0</v>
      </c>
      <c r="AV455" s="2">
        <v>0</v>
      </c>
      <c r="AW455" s="2">
        <v>0</v>
      </c>
      <c r="AX455" s="2">
        <v>0</v>
      </c>
      <c r="AY455" s="2">
        <v>0</v>
      </c>
      <c r="AZ455" s="2">
        <v>969</v>
      </c>
      <c r="BA455" s="2">
        <v>967</v>
      </c>
      <c r="BB455" s="2">
        <v>987</v>
      </c>
      <c r="BC455" s="2">
        <v>-2000</v>
      </c>
      <c r="BD455" s="2">
        <v>-7500</v>
      </c>
      <c r="BE455" s="2">
        <v>5000</v>
      </c>
      <c r="BF455" s="2">
        <v>3000</v>
      </c>
      <c r="BG455" s="2">
        <v>5000</v>
      </c>
      <c r="BH455" s="2">
        <v>2500</v>
      </c>
      <c r="BI455" s="2">
        <v>3000</v>
      </c>
      <c r="BJ455" s="2">
        <v>-2000</v>
      </c>
      <c r="BK455" s="2">
        <v>1000</v>
      </c>
      <c r="BL455" s="2">
        <v>1000</v>
      </c>
      <c r="BO455" s="2">
        <f t="shared" si="294"/>
        <v>0</v>
      </c>
      <c r="BP455" s="2">
        <f t="shared" si="261"/>
        <v>0</v>
      </c>
      <c r="BQ455" s="2">
        <f t="shared" si="262"/>
        <v>0</v>
      </c>
      <c r="BR455" s="2">
        <f t="shared" si="263"/>
        <v>0</v>
      </c>
      <c r="BS455" s="2">
        <f t="shared" si="264"/>
        <v>0</v>
      </c>
      <c r="BT455" s="2">
        <f t="shared" si="265"/>
        <v>0</v>
      </c>
      <c r="BU455" s="2">
        <f t="shared" si="266"/>
        <v>0</v>
      </c>
      <c r="BV455" s="2">
        <f t="shared" si="267"/>
        <v>0</v>
      </c>
      <c r="BW455" s="2">
        <f t="shared" si="268"/>
        <v>0</v>
      </c>
      <c r="BX455" s="2">
        <f t="shared" si="269"/>
        <v>0</v>
      </c>
      <c r="BY455" s="2">
        <f t="shared" si="270"/>
        <v>0</v>
      </c>
      <c r="BZ455" s="2">
        <f t="shared" si="271"/>
        <v>0</v>
      </c>
      <c r="CA455" s="2">
        <f t="shared" si="272"/>
        <v>0</v>
      </c>
      <c r="CB455" s="2">
        <f t="shared" si="273"/>
        <v>0</v>
      </c>
      <c r="CC455" s="2">
        <f t="shared" si="274"/>
        <v>0</v>
      </c>
      <c r="CD455" s="2">
        <f t="shared" si="275"/>
        <v>0</v>
      </c>
      <c r="CE455" s="2">
        <f t="shared" si="276"/>
        <v>0</v>
      </c>
      <c r="CF455" s="2">
        <f t="shared" si="277"/>
        <v>0</v>
      </c>
      <c r="CG455" s="2">
        <f t="shared" si="278"/>
        <v>-5625.88</v>
      </c>
      <c r="CH455" s="2">
        <f t="shared" si="279"/>
        <v>7177.03</v>
      </c>
      <c r="CI455" s="2">
        <f t="shared" si="280"/>
        <v>0</v>
      </c>
      <c r="CJ455" s="2">
        <f t="shared" si="281"/>
        <v>0</v>
      </c>
      <c r="CK455" s="2">
        <f t="shared" si="282"/>
        <v>0</v>
      </c>
      <c r="CL455" s="2">
        <f t="shared" si="283"/>
        <v>0</v>
      </c>
      <c r="CM455" s="2">
        <f t="shared" si="254"/>
        <v>0</v>
      </c>
      <c r="CN455" s="2">
        <f t="shared" si="255"/>
        <v>0</v>
      </c>
      <c r="CO455" s="2">
        <f t="shared" si="256"/>
        <v>0</v>
      </c>
      <c r="CP455" s="2">
        <f t="shared" si="257"/>
        <v>0</v>
      </c>
      <c r="CQ455" s="2">
        <f t="shared" si="258"/>
        <v>0</v>
      </c>
      <c r="CR455" s="2">
        <f t="shared" si="259"/>
        <v>0</v>
      </c>
      <c r="CV455" t="s">
        <v>64</v>
      </c>
      <c r="CW455" t="s">
        <v>528</v>
      </c>
      <c r="CX455" t="s">
        <v>18</v>
      </c>
      <c r="CY455" s="4">
        <v>42936</v>
      </c>
      <c r="CZ455" t="s">
        <v>65</v>
      </c>
      <c r="DA455" t="s">
        <v>66</v>
      </c>
      <c r="DB455">
        <v>16</v>
      </c>
      <c r="DC455">
        <v>60.12</v>
      </c>
      <c r="DD455" t="s">
        <v>69</v>
      </c>
      <c r="DE455" t="s">
        <v>70</v>
      </c>
      <c r="DF455">
        <v>961.92</v>
      </c>
    </row>
    <row r="456" spans="1:110" x14ac:dyDescent="0.25">
      <c r="A456" s="1">
        <v>43395</v>
      </c>
      <c r="B456">
        <v>218.94</v>
      </c>
      <c r="C456">
        <v>104.08</v>
      </c>
      <c r="D456">
        <v>352.57</v>
      </c>
      <c r="E456">
        <v>127.89</v>
      </c>
      <c r="F456">
        <v>45.41</v>
      </c>
      <c r="G456">
        <v>114.92</v>
      </c>
      <c r="H456">
        <v>117.36</v>
      </c>
      <c r="I456">
        <v>55.7</v>
      </c>
      <c r="J456">
        <v>220.71</v>
      </c>
      <c r="K456">
        <v>177.69</v>
      </c>
      <c r="L456">
        <v>126.91</v>
      </c>
      <c r="M456">
        <v>44.45</v>
      </c>
      <c r="N456">
        <v>137.80000000000001</v>
      </c>
      <c r="O456">
        <v>105.5</v>
      </c>
      <c r="P456">
        <v>45.61</v>
      </c>
      <c r="Q456">
        <v>165.61</v>
      </c>
      <c r="R456">
        <v>198.62</v>
      </c>
      <c r="S456">
        <v>72.06</v>
      </c>
      <c r="T456">
        <v>109.16</v>
      </c>
      <c r="U456">
        <v>74.680000000000007</v>
      </c>
      <c r="V456">
        <v>43.65</v>
      </c>
      <c r="W456">
        <v>85.92</v>
      </c>
      <c r="X456">
        <v>123.31</v>
      </c>
      <c r="Y456">
        <v>261.35000000000002</v>
      </c>
      <c r="Z456">
        <v>124.94</v>
      </c>
      <c r="AA456">
        <v>140.13999999999999</v>
      </c>
      <c r="AB456">
        <v>54.41</v>
      </c>
      <c r="AC456">
        <v>76.760000000000005</v>
      </c>
      <c r="AD456">
        <v>96.61</v>
      </c>
      <c r="AE456">
        <v>79.45</v>
      </c>
      <c r="AI456" s="2">
        <v>5000</v>
      </c>
      <c r="AJ456" s="2">
        <f t="shared" si="293"/>
        <v>1320</v>
      </c>
      <c r="AK456" s="2">
        <f t="shared" si="293"/>
        <v>1320</v>
      </c>
      <c r="AL456" s="2">
        <f t="shared" si="293"/>
        <v>1320</v>
      </c>
      <c r="AM456" s="2">
        <f t="shared" si="293"/>
        <v>1320</v>
      </c>
      <c r="AN456" s="2">
        <f t="shared" si="293"/>
        <v>1320</v>
      </c>
      <c r="AO456" s="2">
        <f t="shared" si="293"/>
        <v>1320</v>
      </c>
      <c r="AP456" s="2">
        <f t="shared" si="293"/>
        <v>1200</v>
      </c>
      <c r="AQ456" s="2">
        <v>1000</v>
      </c>
      <c r="AR456" s="2">
        <v>0</v>
      </c>
      <c r="AS456" s="2">
        <v>10</v>
      </c>
      <c r="AT456" s="2">
        <v>0</v>
      </c>
      <c r="AU456" s="2">
        <v>0</v>
      </c>
      <c r="AV456" s="2">
        <v>0</v>
      </c>
      <c r="AW456" s="2">
        <v>0</v>
      </c>
      <c r="AX456" s="2">
        <v>0</v>
      </c>
      <c r="AY456" s="2">
        <v>0</v>
      </c>
      <c r="AZ456" s="2">
        <v>976</v>
      </c>
      <c r="BA456" s="2">
        <v>983</v>
      </c>
      <c r="BB456" s="2">
        <v>1055</v>
      </c>
      <c r="BC456" s="2">
        <v>-2000</v>
      </c>
      <c r="BD456" s="2">
        <v>-7500</v>
      </c>
      <c r="BE456" s="2">
        <v>5000</v>
      </c>
      <c r="BF456" s="2">
        <v>3000</v>
      </c>
      <c r="BG456" s="2">
        <v>5000</v>
      </c>
      <c r="BH456" s="2">
        <v>2500</v>
      </c>
      <c r="BI456" s="2">
        <v>3000</v>
      </c>
      <c r="BJ456" s="2">
        <v>-2000</v>
      </c>
      <c r="BK456" s="2">
        <v>1000</v>
      </c>
      <c r="BL456" s="2">
        <v>1000</v>
      </c>
      <c r="BO456" s="2">
        <f t="shared" si="294"/>
        <v>0</v>
      </c>
      <c r="BP456" s="2">
        <f t="shared" si="261"/>
        <v>0</v>
      </c>
      <c r="BQ456" s="2">
        <f t="shared" si="262"/>
        <v>0</v>
      </c>
      <c r="BR456" s="2">
        <f t="shared" si="263"/>
        <v>0</v>
      </c>
      <c r="BS456" s="2">
        <f t="shared" si="264"/>
        <v>0</v>
      </c>
      <c r="BT456" s="2">
        <f t="shared" si="265"/>
        <v>0</v>
      </c>
      <c r="BU456" s="2">
        <f t="shared" si="266"/>
        <v>0</v>
      </c>
      <c r="BV456" s="2">
        <f t="shared" si="267"/>
        <v>0</v>
      </c>
      <c r="BW456" s="2">
        <f t="shared" si="268"/>
        <v>0</v>
      </c>
      <c r="BX456" s="2">
        <f t="shared" si="269"/>
        <v>0</v>
      </c>
      <c r="BY456" s="2">
        <f t="shared" si="270"/>
        <v>0</v>
      </c>
      <c r="BZ456" s="2">
        <f t="shared" si="271"/>
        <v>0</v>
      </c>
      <c r="CA456" s="2">
        <f t="shared" si="272"/>
        <v>0</v>
      </c>
      <c r="CB456" s="2">
        <f t="shared" si="273"/>
        <v>0</v>
      </c>
      <c r="CC456" s="2">
        <f t="shared" si="274"/>
        <v>0</v>
      </c>
      <c r="CD456" s="2">
        <f t="shared" si="275"/>
        <v>0</v>
      </c>
      <c r="CE456" s="2">
        <f t="shared" si="276"/>
        <v>0</v>
      </c>
      <c r="CF456" s="2">
        <f t="shared" si="277"/>
        <v>-504.42</v>
      </c>
      <c r="CG456" s="2">
        <f t="shared" si="278"/>
        <v>-1746.56</v>
      </c>
      <c r="CH456" s="2">
        <f t="shared" si="279"/>
        <v>-5078.2400000000007</v>
      </c>
      <c r="CI456" s="2">
        <f t="shared" si="280"/>
        <v>0</v>
      </c>
      <c r="CJ456" s="2">
        <f t="shared" si="281"/>
        <v>0</v>
      </c>
      <c r="CK456" s="2">
        <f t="shared" si="282"/>
        <v>0</v>
      </c>
      <c r="CL456" s="2">
        <f t="shared" si="283"/>
        <v>0</v>
      </c>
      <c r="CM456" s="2">
        <f t="shared" si="254"/>
        <v>0</v>
      </c>
      <c r="CN456" s="2">
        <f t="shared" si="255"/>
        <v>0</v>
      </c>
      <c r="CO456" s="2">
        <f t="shared" si="256"/>
        <v>0</v>
      </c>
      <c r="CP456" s="2">
        <f t="shared" si="257"/>
        <v>0</v>
      </c>
      <c r="CQ456" s="2">
        <f t="shared" si="258"/>
        <v>0</v>
      </c>
      <c r="CR456" s="2">
        <f t="shared" si="259"/>
        <v>0</v>
      </c>
      <c r="CV456" t="s">
        <v>64</v>
      </c>
      <c r="CW456" t="s">
        <v>529</v>
      </c>
      <c r="CX456" t="s">
        <v>18</v>
      </c>
      <c r="CY456" s="4">
        <v>42937</v>
      </c>
      <c r="CZ456" t="s">
        <v>67</v>
      </c>
      <c r="DA456" t="s">
        <v>68</v>
      </c>
      <c r="DB456">
        <v>57</v>
      </c>
      <c r="DC456">
        <v>59.82</v>
      </c>
      <c r="DD456" t="s">
        <v>69</v>
      </c>
      <c r="DE456" t="s">
        <v>70</v>
      </c>
      <c r="DF456">
        <v>3409.7400000000002</v>
      </c>
    </row>
    <row r="457" spans="1:110" x14ac:dyDescent="0.25">
      <c r="A457" s="1">
        <v>43396</v>
      </c>
      <c r="B457">
        <v>221.01</v>
      </c>
      <c r="C457">
        <v>103.95</v>
      </c>
      <c r="D457">
        <v>346.7</v>
      </c>
      <c r="E457">
        <v>118.22</v>
      </c>
      <c r="F457">
        <v>45.07</v>
      </c>
      <c r="G457">
        <v>111.18</v>
      </c>
      <c r="H457">
        <v>116.94</v>
      </c>
      <c r="I457">
        <v>54.32</v>
      </c>
      <c r="J457">
        <v>217.68</v>
      </c>
      <c r="K457">
        <v>177.47</v>
      </c>
      <c r="L457">
        <v>128.07</v>
      </c>
      <c r="M457">
        <v>43.94</v>
      </c>
      <c r="N457">
        <v>138.05000000000001</v>
      </c>
      <c r="O457">
        <v>104.4</v>
      </c>
      <c r="P457">
        <v>46</v>
      </c>
      <c r="Q457">
        <v>176.06</v>
      </c>
      <c r="R457">
        <v>189.93</v>
      </c>
      <c r="S457">
        <v>71.599999999999994</v>
      </c>
      <c r="T457">
        <v>107.64</v>
      </c>
      <c r="U457">
        <v>73.13</v>
      </c>
      <c r="V457">
        <v>43.38</v>
      </c>
      <c r="W457">
        <v>86.48</v>
      </c>
      <c r="X457">
        <v>123.04</v>
      </c>
      <c r="Y457">
        <v>264.02</v>
      </c>
      <c r="Z457">
        <v>128.51</v>
      </c>
      <c r="AA457">
        <v>138.63</v>
      </c>
      <c r="AB457">
        <v>56.62</v>
      </c>
      <c r="AC457">
        <v>76.38</v>
      </c>
      <c r="AD457">
        <v>97.27</v>
      </c>
      <c r="AE457">
        <v>78.17</v>
      </c>
      <c r="AI457" s="2">
        <v>5000</v>
      </c>
      <c r="AJ457" s="2">
        <f t="shared" si="293"/>
        <v>1320</v>
      </c>
      <c r="AK457" s="2">
        <f t="shared" si="293"/>
        <v>1320</v>
      </c>
      <c r="AL457" s="2">
        <f t="shared" si="293"/>
        <v>1320</v>
      </c>
      <c r="AM457" s="2">
        <f t="shared" si="293"/>
        <v>1320</v>
      </c>
      <c r="AN457" s="2">
        <f t="shared" si="293"/>
        <v>1320</v>
      </c>
      <c r="AO457" s="2">
        <f t="shared" si="293"/>
        <v>1320</v>
      </c>
      <c r="AP457" s="2">
        <f t="shared" si="293"/>
        <v>1200</v>
      </c>
      <c r="AQ457" s="2">
        <v>1000</v>
      </c>
      <c r="AR457" s="2">
        <v>0</v>
      </c>
      <c r="AS457" s="2">
        <v>10</v>
      </c>
      <c r="AT457" s="2">
        <v>0</v>
      </c>
      <c r="AU457" s="2">
        <v>0</v>
      </c>
      <c r="AV457" s="2">
        <v>0</v>
      </c>
      <c r="AW457" s="2">
        <v>0</v>
      </c>
      <c r="AX457" s="2">
        <v>0</v>
      </c>
      <c r="AY457" s="2">
        <v>0</v>
      </c>
      <c r="AZ457" s="2">
        <v>1029</v>
      </c>
      <c r="BA457" s="2">
        <v>954</v>
      </c>
      <c r="BB457" s="2">
        <v>1005</v>
      </c>
      <c r="BC457" s="2">
        <v>-2000</v>
      </c>
      <c r="BD457" s="2">
        <v>-7500</v>
      </c>
      <c r="BE457" s="2">
        <v>5000</v>
      </c>
      <c r="BF457" s="2">
        <v>3000</v>
      </c>
      <c r="BG457" s="2">
        <v>5000</v>
      </c>
      <c r="BH457" s="2">
        <v>2500</v>
      </c>
      <c r="BI457" s="2">
        <v>3000</v>
      </c>
      <c r="BJ457" s="2">
        <v>-2000</v>
      </c>
      <c r="BK457" s="2">
        <v>1000</v>
      </c>
      <c r="BL457" s="2">
        <v>1000</v>
      </c>
      <c r="BO457" s="2">
        <f t="shared" si="294"/>
        <v>0</v>
      </c>
      <c r="BP457" s="2">
        <f t="shared" si="261"/>
        <v>0</v>
      </c>
      <c r="BQ457" s="2">
        <f t="shared" si="262"/>
        <v>0</v>
      </c>
      <c r="BR457" s="2">
        <f t="shared" si="263"/>
        <v>0</v>
      </c>
      <c r="BS457" s="2">
        <f t="shared" si="264"/>
        <v>0</v>
      </c>
      <c r="BT457" s="2">
        <f t="shared" si="265"/>
        <v>0</v>
      </c>
      <c r="BU457" s="2">
        <f t="shared" si="266"/>
        <v>0</v>
      </c>
      <c r="BV457" s="2">
        <f t="shared" si="267"/>
        <v>0</v>
      </c>
      <c r="BW457" s="2">
        <f t="shared" si="268"/>
        <v>0</v>
      </c>
      <c r="BX457" s="2">
        <f t="shared" si="269"/>
        <v>0</v>
      </c>
      <c r="BY457" s="2">
        <f t="shared" si="270"/>
        <v>0</v>
      </c>
      <c r="BZ457" s="2">
        <f t="shared" si="271"/>
        <v>0</v>
      </c>
      <c r="CA457" s="2">
        <f t="shared" si="272"/>
        <v>0</v>
      </c>
      <c r="CB457" s="2">
        <f t="shared" si="273"/>
        <v>0</v>
      </c>
      <c r="CC457" s="2">
        <f t="shared" si="274"/>
        <v>0</v>
      </c>
      <c r="CD457" s="2">
        <f t="shared" si="275"/>
        <v>0</v>
      </c>
      <c r="CE457" s="2">
        <f t="shared" si="276"/>
        <v>0</v>
      </c>
      <c r="CF457" s="2">
        <f t="shared" si="277"/>
        <v>-3794.7999999999997</v>
      </c>
      <c r="CG457" s="2">
        <f t="shared" si="278"/>
        <v>3121.56</v>
      </c>
      <c r="CH457" s="2">
        <f t="shared" si="279"/>
        <v>3656.5</v>
      </c>
      <c r="CI457" s="2">
        <f t="shared" si="280"/>
        <v>0</v>
      </c>
      <c r="CJ457" s="2">
        <f t="shared" si="281"/>
        <v>0</v>
      </c>
      <c r="CK457" s="2">
        <f t="shared" si="282"/>
        <v>0</v>
      </c>
      <c r="CL457" s="2">
        <f t="shared" si="283"/>
        <v>0</v>
      </c>
      <c r="CM457" s="2">
        <f t="shared" si="254"/>
        <v>0</v>
      </c>
      <c r="CN457" s="2">
        <f t="shared" si="255"/>
        <v>0</v>
      </c>
      <c r="CO457" s="2">
        <f t="shared" si="256"/>
        <v>0</v>
      </c>
      <c r="CP457" s="2">
        <f t="shared" si="257"/>
        <v>0</v>
      </c>
      <c r="CQ457" s="2">
        <f t="shared" si="258"/>
        <v>0</v>
      </c>
      <c r="CR457" s="2">
        <f t="shared" si="259"/>
        <v>0</v>
      </c>
      <c r="CV457" t="s">
        <v>64</v>
      </c>
      <c r="CW457" t="s">
        <v>530</v>
      </c>
      <c r="CX457" t="s">
        <v>18</v>
      </c>
      <c r="CY457" s="4">
        <v>42941</v>
      </c>
      <c r="CZ457" t="s">
        <v>65</v>
      </c>
      <c r="DA457" t="s">
        <v>66</v>
      </c>
      <c r="DB457">
        <v>8</v>
      </c>
      <c r="DC457">
        <v>59.56</v>
      </c>
      <c r="DD457" t="s">
        <v>69</v>
      </c>
      <c r="DE457" t="s">
        <v>70</v>
      </c>
      <c r="DF457">
        <v>476.48</v>
      </c>
    </row>
    <row r="458" spans="1:110" x14ac:dyDescent="0.25">
      <c r="A458" s="1">
        <v>43397</v>
      </c>
      <c r="B458">
        <v>213.43</v>
      </c>
      <c r="C458">
        <v>101.42</v>
      </c>
      <c r="D458">
        <v>351.26</v>
      </c>
      <c r="E458">
        <v>111.62</v>
      </c>
      <c r="F458">
        <v>43.73</v>
      </c>
      <c r="G458">
        <v>108.06</v>
      </c>
      <c r="H458">
        <v>110.75</v>
      </c>
      <c r="I458">
        <v>52.33</v>
      </c>
      <c r="J458">
        <v>208.34</v>
      </c>
      <c r="K458">
        <v>175.92</v>
      </c>
      <c r="L458">
        <v>124.16</v>
      </c>
      <c r="M458">
        <v>41.89</v>
      </c>
      <c r="N458">
        <v>136.6</v>
      </c>
      <c r="O458">
        <v>102.46</v>
      </c>
      <c r="P458">
        <v>46.36</v>
      </c>
      <c r="Q458">
        <v>176.26</v>
      </c>
      <c r="R458">
        <v>182.03</v>
      </c>
      <c r="S458">
        <v>70.05</v>
      </c>
      <c r="T458">
        <v>101.88</v>
      </c>
      <c r="U458">
        <v>71.91</v>
      </c>
      <c r="V458">
        <v>41.79</v>
      </c>
      <c r="W458">
        <v>88.76</v>
      </c>
      <c r="X458">
        <v>120.81</v>
      </c>
      <c r="Y458">
        <v>255.5</v>
      </c>
      <c r="Z458">
        <v>120.66</v>
      </c>
      <c r="AA458">
        <v>133.79</v>
      </c>
      <c r="AB458">
        <v>56.83</v>
      </c>
      <c r="AC458">
        <v>73.349999999999994</v>
      </c>
      <c r="AD458">
        <v>97.03</v>
      </c>
      <c r="AE458">
        <v>76</v>
      </c>
      <c r="AI458" s="2">
        <v>5000</v>
      </c>
      <c r="AJ458" s="2">
        <f t="shared" si="293"/>
        <v>1320</v>
      </c>
      <c r="AK458" s="2">
        <f t="shared" si="293"/>
        <v>1320</v>
      </c>
      <c r="AL458" s="2">
        <f t="shared" si="293"/>
        <v>1320</v>
      </c>
      <c r="AM458" s="2">
        <f t="shared" si="293"/>
        <v>1320</v>
      </c>
      <c r="AN458" s="2">
        <f t="shared" si="293"/>
        <v>1320</v>
      </c>
      <c r="AO458" s="2">
        <f t="shared" si="293"/>
        <v>1320</v>
      </c>
      <c r="AP458" s="2">
        <f t="shared" si="293"/>
        <v>1200</v>
      </c>
      <c r="AQ458" s="2">
        <v>1000</v>
      </c>
      <c r="AR458" s="2">
        <v>0</v>
      </c>
      <c r="AS458" s="2">
        <v>10</v>
      </c>
      <c r="AT458" s="2">
        <v>0</v>
      </c>
      <c r="AU458" s="2">
        <v>0</v>
      </c>
      <c r="AV458" s="2">
        <v>0</v>
      </c>
      <c r="AW458" s="2">
        <v>0</v>
      </c>
      <c r="AX458" s="2">
        <v>0</v>
      </c>
      <c r="AY458" s="2">
        <v>0</v>
      </c>
      <c r="AZ458" s="2">
        <v>1001</v>
      </c>
      <c r="BA458" s="2">
        <v>1017</v>
      </c>
      <c r="BB458" s="2">
        <v>940</v>
      </c>
      <c r="BC458" s="2">
        <v>-2000</v>
      </c>
      <c r="BD458" s="2">
        <v>-7500</v>
      </c>
      <c r="BE458" s="2">
        <v>5000</v>
      </c>
      <c r="BF458" s="2">
        <v>3000</v>
      </c>
      <c r="BG458" s="2">
        <v>5000</v>
      </c>
      <c r="BH458" s="2">
        <v>2500</v>
      </c>
      <c r="BI458" s="2">
        <v>3000</v>
      </c>
      <c r="BJ458" s="2">
        <v>-2000</v>
      </c>
      <c r="BK458" s="2">
        <v>1000</v>
      </c>
      <c r="BL458" s="2">
        <v>1000</v>
      </c>
      <c r="BO458" s="2">
        <f t="shared" si="294"/>
        <v>0</v>
      </c>
      <c r="BP458" s="2">
        <f t="shared" si="261"/>
        <v>0</v>
      </c>
      <c r="BQ458" s="2">
        <f t="shared" si="262"/>
        <v>0</v>
      </c>
      <c r="BR458" s="2">
        <f t="shared" si="263"/>
        <v>0</v>
      </c>
      <c r="BS458" s="2">
        <f t="shared" si="264"/>
        <v>0</v>
      </c>
      <c r="BT458" s="2">
        <f t="shared" si="265"/>
        <v>0</v>
      </c>
      <c r="BU458" s="2">
        <f t="shared" si="266"/>
        <v>0</v>
      </c>
      <c r="BV458" s="2">
        <f t="shared" si="267"/>
        <v>0</v>
      </c>
      <c r="BW458" s="2">
        <f t="shared" si="268"/>
        <v>0</v>
      </c>
      <c r="BX458" s="2">
        <f t="shared" si="269"/>
        <v>0</v>
      </c>
      <c r="BY458" s="2">
        <f t="shared" si="270"/>
        <v>0</v>
      </c>
      <c r="BZ458" s="2">
        <f t="shared" si="271"/>
        <v>0</v>
      </c>
      <c r="CA458" s="2">
        <f t="shared" si="272"/>
        <v>0</v>
      </c>
      <c r="CB458" s="2">
        <f t="shared" si="273"/>
        <v>0</v>
      </c>
      <c r="CC458" s="2">
        <f t="shared" si="274"/>
        <v>0</v>
      </c>
      <c r="CD458" s="2">
        <f t="shared" si="275"/>
        <v>0</v>
      </c>
      <c r="CE458" s="2">
        <f t="shared" si="276"/>
        <v>0</v>
      </c>
      <c r="CF458" s="2">
        <f t="shared" si="277"/>
        <v>1961.3999999999999</v>
      </c>
      <c r="CG458" s="2">
        <f t="shared" si="278"/>
        <v>-6418.44</v>
      </c>
      <c r="CH458" s="2">
        <f t="shared" si="279"/>
        <v>4674.1499999999996</v>
      </c>
      <c r="CI458" s="2">
        <f t="shared" si="280"/>
        <v>0</v>
      </c>
      <c r="CJ458" s="2">
        <f t="shared" si="281"/>
        <v>0</v>
      </c>
      <c r="CK458" s="2">
        <f t="shared" si="282"/>
        <v>0</v>
      </c>
      <c r="CL458" s="2">
        <f t="shared" si="283"/>
        <v>0</v>
      </c>
      <c r="CM458" s="2">
        <f t="shared" si="254"/>
        <v>0</v>
      </c>
      <c r="CN458" s="2">
        <f t="shared" si="255"/>
        <v>0</v>
      </c>
      <c r="CO458" s="2">
        <f t="shared" si="256"/>
        <v>0</v>
      </c>
      <c r="CP458" s="2">
        <f t="shared" si="257"/>
        <v>0</v>
      </c>
      <c r="CQ458" s="2">
        <f t="shared" si="258"/>
        <v>0</v>
      </c>
      <c r="CR458" s="2">
        <f t="shared" si="259"/>
        <v>0</v>
      </c>
      <c r="CV458" t="s">
        <v>64</v>
      </c>
      <c r="CW458" t="s">
        <v>531</v>
      </c>
      <c r="CX458" t="s">
        <v>18</v>
      </c>
      <c r="CY458" s="4">
        <v>42942</v>
      </c>
      <c r="CZ458" t="s">
        <v>65</v>
      </c>
      <c r="DA458" t="s">
        <v>66</v>
      </c>
      <c r="DB458">
        <v>68</v>
      </c>
      <c r="DC458">
        <v>59.03</v>
      </c>
      <c r="DD458" t="s">
        <v>69</v>
      </c>
      <c r="DE458" t="s">
        <v>70</v>
      </c>
      <c r="DF458">
        <v>4014.04</v>
      </c>
    </row>
    <row r="459" spans="1:110" x14ac:dyDescent="0.25">
      <c r="A459" s="1">
        <v>43398</v>
      </c>
      <c r="B459">
        <v>218.1</v>
      </c>
      <c r="C459">
        <v>103.18</v>
      </c>
      <c r="D459">
        <v>360.29</v>
      </c>
      <c r="E459">
        <v>114.89</v>
      </c>
      <c r="F459">
        <v>45.12</v>
      </c>
      <c r="G459">
        <v>109.4</v>
      </c>
      <c r="H459">
        <v>113.28</v>
      </c>
      <c r="I459">
        <v>52.57</v>
      </c>
      <c r="J459">
        <v>213.15</v>
      </c>
      <c r="K459">
        <v>178.01</v>
      </c>
      <c r="L459">
        <v>123.42</v>
      </c>
      <c r="M459">
        <v>43.76</v>
      </c>
      <c r="N459">
        <v>137.59</v>
      </c>
      <c r="O459">
        <v>104.02</v>
      </c>
      <c r="P459">
        <v>46.15</v>
      </c>
      <c r="Q459">
        <v>174.24</v>
      </c>
      <c r="R459">
        <v>182.47</v>
      </c>
      <c r="S459">
        <v>69.47</v>
      </c>
      <c r="T459">
        <v>107.83</v>
      </c>
      <c r="U459">
        <v>72.88</v>
      </c>
      <c r="V459">
        <v>42.7</v>
      </c>
      <c r="W459">
        <v>88.3</v>
      </c>
      <c r="X459">
        <v>120.5</v>
      </c>
      <c r="Y459">
        <v>263.39999999999998</v>
      </c>
      <c r="Z459">
        <v>122.96</v>
      </c>
      <c r="AA459">
        <v>140.02000000000001</v>
      </c>
      <c r="AB459">
        <v>55.85</v>
      </c>
      <c r="AC459">
        <v>74.88</v>
      </c>
      <c r="AD459">
        <v>98.64</v>
      </c>
      <c r="AE459">
        <v>76.67</v>
      </c>
      <c r="AI459" s="2">
        <v>5000</v>
      </c>
      <c r="AJ459" s="2">
        <f t="shared" si="293"/>
        <v>1320</v>
      </c>
      <c r="AK459" s="2">
        <f t="shared" si="293"/>
        <v>1320</v>
      </c>
      <c r="AL459" s="2">
        <f t="shared" si="293"/>
        <v>1320</v>
      </c>
      <c r="AM459" s="2">
        <f t="shared" si="293"/>
        <v>1320</v>
      </c>
      <c r="AN459" s="2">
        <f t="shared" si="293"/>
        <v>1320</v>
      </c>
      <c r="AO459" s="2">
        <f t="shared" si="293"/>
        <v>1320</v>
      </c>
      <c r="AP459" s="2">
        <f t="shared" si="293"/>
        <v>1200</v>
      </c>
      <c r="AQ459" s="2">
        <v>1000</v>
      </c>
      <c r="AR459" s="2">
        <v>0</v>
      </c>
      <c r="AS459" s="2">
        <v>10</v>
      </c>
      <c r="AT459" s="2">
        <v>0</v>
      </c>
      <c r="AU459" s="2">
        <v>0</v>
      </c>
      <c r="AV459" s="2">
        <v>0</v>
      </c>
      <c r="AW459" s="2">
        <v>0</v>
      </c>
      <c r="AX459" s="2">
        <v>0</v>
      </c>
      <c r="AY459" s="2">
        <v>0</v>
      </c>
      <c r="AZ459" s="2">
        <v>977</v>
      </c>
      <c r="BA459" s="2">
        <v>1007</v>
      </c>
      <c r="BB459" s="2">
        <v>974</v>
      </c>
      <c r="BC459" s="2">
        <v>-2000</v>
      </c>
      <c r="BD459" s="2">
        <v>-7500</v>
      </c>
      <c r="BE459" s="2">
        <v>5000</v>
      </c>
      <c r="BF459" s="2">
        <v>3000</v>
      </c>
      <c r="BG459" s="2">
        <v>5000</v>
      </c>
      <c r="BH459" s="2">
        <v>2500</v>
      </c>
      <c r="BI459" s="2">
        <v>3000</v>
      </c>
      <c r="BJ459" s="2">
        <v>-2000</v>
      </c>
      <c r="BK459" s="2">
        <v>1000</v>
      </c>
      <c r="BL459" s="2">
        <v>1000</v>
      </c>
      <c r="BO459" s="2">
        <f t="shared" si="294"/>
        <v>0</v>
      </c>
      <c r="BP459" s="2">
        <f t="shared" si="261"/>
        <v>0</v>
      </c>
      <c r="BQ459" s="2">
        <f t="shared" si="262"/>
        <v>0</v>
      </c>
      <c r="BR459" s="2">
        <f t="shared" si="263"/>
        <v>0</v>
      </c>
      <c r="BS459" s="2">
        <f t="shared" si="264"/>
        <v>0</v>
      </c>
      <c r="BT459" s="2">
        <f t="shared" si="265"/>
        <v>0</v>
      </c>
      <c r="BU459" s="2">
        <f t="shared" si="266"/>
        <v>0</v>
      </c>
      <c r="BV459" s="2">
        <f t="shared" si="267"/>
        <v>0</v>
      </c>
      <c r="BW459" s="2">
        <f t="shared" si="268"/>
        <v>0</v>
      </c>
      <c r="BX459" s="2">
        <f t="shared" si="269"/>
        <v>0</v>
      </c>
      <c r="BY459" s="2">
        <f t="shared" si="270"/>
        <v>0</v>
      </c>
      <c r="BZ459" s="2">
        <f t="shared" si="271"/>
        <v>0</v>
      </c>
      <c r="CA459" s="2">
        <f t="shared" si="272"/>
        <v>0</v>
      </c>
      <c r="CB459" s="2">
        <f t="shared" si="273"/>
        <v>0</v>
      </c>
      <c r="CC459" s="2">
        <f t="shared" si="274"/>
        <v>0</v>
      </c>
      <c r="CD459" s="2">
        <f t="shared" si="275"/>
        <v>0</v>
      </c>
      <c r="CE459" s="2">
        <f t="shared" si="276"/>
        <v>0</v>
      </c>
      <c r="CF459" s="2">
        <f t="shared" si="277"/>
        <v>1667.28</v>
      </c>
      <c r="CG459" s="2">
        <f t="shared" si="278"/>
        <v>1078.3</v>
      </c>
      <c r="CH459" s="2">
        <f t="shared" si="279"/>
        <v>-2477.92</v>
      </c>
      <c r="CI459" s="2">
        <f t="shared" si="280"/>
        <v>0</v>
      </c>
      <c r="CJ459" s="2">
        <f t="shared" si="281"/>
        <v>0</v>
      </c>
      <c r="CK459" s="2">
        <f t="shared" si="282"/>
        <v>0</v>
      </c>
      <c r="CL459" s="2">
        <f t="shared" si="283"/>
        <v>0</v>
      </c>
      <c r="CM459" s="2">
        <f t="shared" ref="CM459:CM503" si="295">(BG458-BG459)*Z459</f>
        <v>0</v>
      </c>
      <c r="CN459" s="2">
        <f t="shared" ref="CN459:CN503" si="296">(BH458-BH459)*AA459</f>
        <v>0</v>
      </c>
      <c r="CO459" s="2">
        <f t="shared" ref="CO459:CO503" si="297">(BI458-BI459)*AB459</f>
        <v>0</v>
      </c>
      <c r="CP459" s="2">
        <f t="shared" ref="CP459:CP503" si="298">(BJ458-BJ459)*AC459</f>
        <v>0</v>
      </c>
      <c r="CQ459" s="2">
        <f t="shared" ref="CQ459:CQ503" si="299">(BK458-BK459)*AD459</f>
        <v>0</v>
      </c>
      <c r="CR459" s="2">
        <f t="shared" ref="CR459:CR503" si="300">(BL458-BL459)*AE459</f>
        <v>0</v>
      </c>
      <c r="CV459" t="s">
        <v>64</v>
      </c>
      <c r="CW459" t="s">
        <v>532</v>
      </c>
      <c r="CX459" t="s">
        <v>18</v>
      </c>
      <c r="CY459" s="4">
        <v>42943</v>
      </c>
      <c r="CZ459" t="s">
        <v>67</v>
      </c>
      <c r="DA459" t="s">
        <v>68</v>
      </c>
      <c r="DB459">
        <v>3</v>
      </c>
      <c r="DC459">
        <v>60.83</v>
      </c>
      <c r="DD459" t="s">
        <v>69</v>
      </c>
      <c r="DE459" t="s">
        <v>70</v>
      </c>
      <c r="DF459">
        <v>182.49</v>
      </c>
    </row>
    <row r="460" spans="1:110" x14ac:dyDescent="0.25">
      <c r="A460" s="1">
        <v>43399</v>
      </c>
      <c r="B460">
        <v>214.63</v>
      </c>
      <c r="C460">
        <v>100.84</v>
      </c>
      <c r="D460">
        <v>355.83</v>
      </c>
      <c r="E460">
        <v>114.31</v>
      </c>
      <c r="F460">
        <v>43.91</v>
      </c>
      <c r="G460">
        <v>109.35</v>
      </c>
      <c r="H460">
        <v>112.32</v>
      </c>
      <c r="I460">
        <v>51.65</v>
      </c>
      <c r="J460">
        <v>211.5</v>
      </c>
      <c r="K460">
        <v>171.21</v>
      </c>
      <c r="L460">
        <v>121.8</v>
      </c>
      <c r="M460">
        <v>45.12</v>
      </c>
      <c r="N460">
        <v>136.1</v>
      </c>
      <c r="O460">
        <v>102.59</v>
      </c>
      <c r="P460">
        <v>45.56</v>
      </c>
      <c r="Q460">
        <v>172.28</v>
      </c>
      <c r="R460">
        <v>182.43</v>
      </c>
      <c r="S460">
        <v>69.91</v>
      </c>
      <c r="T460">
        <v>106.5</v>
      </c>
      <c r="U460">
        <v>71.86</v>
      </c>
      <c r="V460">
        <v>41.91</v>
      </c>
      <c r="W460">
        <v>87.17</v>
      </c>
      <c r="X460">
        <v>120.55</v>
      </c>
      <c r="Y460">
        <v>257.36</v>
      </c>
      <c r="Z460">
        <v>121.8</v>
      </c>
      <c r="AA460">
        <v>137.25</v>
      </c>
      <c r="AB460">
        <v>54.94</v>
      </c>
      <c r="AC460">
        <v>75.36</v>
      </c>
      <c r="AD460">
        <v>98.4</v>
      </c>
      <c r="AE460">
        <v>75.91</v>
      </c>
      <c r="AI460" s="2">
        <v>5000</v>
      </c>
      <c r="AJ460" s="2">
        <f t="shared" si="293"/>
        <v>1320</v>
      </c>
      <c r="AK460" s="2">
        <f t="shared" si="293"/>
        <v>1320</v>
      </c>
      <c r="AL460" s="2">
        <f t="shared" si="293"/>
        <v>1320</v>
      </c>
      <c r="AM460" s="2">
        <f t="shared" si="293"/>
        <v>1320</v>
      </c>
      <c r="AN460" s="2">
        <f t="shared" si="293"/>
        <v>1320</v>
      </c>
      <c r="AO460" s="2">
        <f t="shared" si="293"/>
        <v>1320</v>
      </c>
      <c r="AP460" s="2">
        <f t="shared" si="293"/>
        <v>1200</v>
      </c>
      <c r="AQ460" s="2">
        <v>1000</v>
      </c>
      <c r="AR460" s="2">
        <v>0</v>
      </c>
      <c r="AS460" s="2">
        <v>10</v>
      </c>
      <c r="AT460" s="2">
        <v>0</v>
      </c>
      <c r="AU460" s="2">
        <v>0</v>
      </c>
      <c r="AV460" s="2">
        <v>0</v>
      </c>
      <c r="AW460" s="2">
        <v>0</v>
      </c>
      <c r="AX460" s="2">
        <v>0</v>
      </c>
      <c r="AY460" s="2">
        <v>0</v>
      </c>
      <c r="AZ460" s="2">
        <v>1018</v>
      </c>
      <c r="BA460" s="2">
        <v>911</v>
      </c>
      <c r="BB460" s="2">
        <v>950</v>
      </c>
      <c r="BC460" s="2">
        <v>-2000</v>
      </c>
      <c r="BD460" s="2">
        <v>-7500</v>
      </c>
      <c r="BE460" s="2">
        <v>5000</v>
      </c>
      <c r="BF460" s="2">
        <v>3000</v>
      </c>
      <c r="BG460" s="2">
        <v>5000</v>
      </c>
      <c r="BH460" s="2">
        <v>2500</v>
      </c>
      <c r="BI460" s="2">
        <v>3000</v>
      </c>
      <c r="BJ460" s="2">
        <v>-2000</v>
      </c>
      <c r="BK460" s="2">
        <v>1000</v>
      </c>
      <c r="BL460" s="2">
        <v>1000</v>
      </c>
      <c r="BO460" s="2">
        <f t="shared" si="294"/>
        <v>0</v>
      </c>
      <c r="BP460" s="2">
        <f t="shared" ref="BP460:BP503" si="301">(AJ459-AJ460)*C460</f>
        <v>0</v>
      </c>
      <c r="BQ460" s="2">
        <f t="shared" ref="BQ460:BQ503" si="302">(AK459-AK460)*D460</f>
        <v>0</v>
      </c>
      <c r="BR460" s="2">
        <f t="shared" ref="BR460:BR503" si="303">(AL459-AL460)*E460</f>
        <v>0</v>
      </c>
      <c r="BS460" s="2">
        <f t="shared" ref="BS460:BS503" si="304">(AM459-AM460)*F460</f>
        <v>0</v>
      </c>
      <c r="BT460" s="2">
        <f t="shared" ref="BT460:BT503" si="305">(AN459-AN460)*G460</f>
        <v>0</v>
      </c>
      <c r="BU460" s="2">
        <f t="shared" ref="BU460:BU503" si="306">(AO459-AO460)*H460</f>
        <v>0</v>
      </c>
      <c r="BV460" s="2">
        <f t="shared" ref="BV460:BV503" si="307">(AP459-AP460)*I460</f>
        <v>0</v>
      </c>
      <c r="BW460" s="2">
        <f t="shared" ref="BW460:BW503" si="308">(AQ459-AQ460)*J460</f>
        <v>0</v>
      </c>
      <c r="BX460" s="2">
        <f t="shared" ref="BX460:BX503" si="309">(AR459-AR460)*K460</f>
        <v>0</v>
      </c>
      <c r="BY460" s="2">
        <f t="shared" ref="BY460:BY503" si="310">(AS459-AS460)*L460</f>
        <v>0</v>
      </c>
      <c r="BZ460" s="2">
        <f t="shared" ref="BZ460:BZ503" si="311">(AT459-AT460)*M460</f>
        <v>0</v>
      </c>
      <c r="CA460" s="2">
        <f t="shared" ref="CA460:CA503" si="312">(AU459-AU460)*N460</f>
        <v>0</v>
      </c>
      <c r="CB460" s="2">
        <f t="shared" ref="CB460:CB503" si="313">(AV459-AV460)*O460</f>
        <v>0</v>
      </c>
      <c r="CC460" s="2">
        <f t="shared" ref="CC460:CC503" si="314">(AW459-AW460)*P460</f>
        <v>0</v>
      </c>
      <c r="CD460" s="2">
        <f t="shared" ref="CD460:CD503" si="315">(AX459-AX460)*Q460</f>
        <v>0</v>
      </c>
      <c r="CE460" s="2">
        <f t="shared" ref="CE460:CE503" si="316">(AY459-AY460)*R460</f>
        <v>0</v>
      </c>
      <c r="CF460" s="2">
        <f t="shared" ref="CF460:CF503" si="317">(AZ459-AZ460)*S460</f>
        <v>-2866.31</v>
      </c>
      <c r="CG460" s="2">
        <f t="shared" ref="CG460:CG503" si="318">(BA459-BA460)*T460</f>
        <v>10224</v>
      </c>
      <c r="CH460" s="2">
        <f t="shared" ref="CH460:CH503" si="319">(BB459-BB460)*U460</f>
        <v>1724.6399999999999</v>
      </c>
      <c r="CI460" s="2">
        <f t="shared" ref="CI460:CI503" si="320">(BC459-BC460)*V460</f>
        <v>0</v>
      </c>
      <c r="CJ460" s="2">
        <f t="shared" ref="CJ460:CJ503" si="321">(BD459-BD460)*W460</f>
        <v>0</v>
      </c>
      <c r="CK460" s="2">
        <f t="shared" ref="CK460:CK503" si="322">(BE459-BE460)*X460</f>
        <v>0</v>
      </c>
      <c r="CL460" s="2">
        <f t="shared" ref="CL460:CL503" si="323">(BF459-BF460)*Y460</f>
        <v>0</v>
      </c>
      <c r="CM460" s="2">
        <f t="shared" si="295"/>
        <v>0</v>
      </c>
      <c r="CN460" s="2">
        <f t="shared" si="296"/>
        <v>0</v>
      </c>
      <c r="CO460" s="2">
        <f t="shared" si="297"/>
        <v>0</v>
      </c>
      <c r="CP460" s="2">
        <f t="shared" si="298"/>
        <v>0</v>
      </c>
      <c r="CQ460" s="2">
        <f t="shared" si="299"/>
        <v>0</v>
      </c>
      <c r="CR460" s="2">
        <f t="shared" si="300"/>
        <v>0</v>
      </c>
      <c r="CV460" t="s">
        <v>64</v>
      </c>
      <c r="CW460" t="s">
        <v>533</v>
      </c>
      <c r="CX460" t="s">
        <v>18</v>
      </c>
      <c r="CY460" s="4">
        <v>42944</v>
      </c>
      <c r="CZ460" t="s">
        <v>67</v>
      </c>
      <c r="DA460" t="s">
        <v>68</v>
      </c>
      <c r="DB460">
        <v>46</v>
      </c>
      <c r="DC460">
        <v>61.24</v>
      </c>
      <c r="DD460" t="s">
        <v>69</v>
      </c>
      <c r="DE460" t="s">
        <v>70</v>
      </c>
      <c r="DF460">
        <v>2817.04</v>
      </c>
    </row>
    <row r="461" spans="1:110" x14ac:dyDescent="0.25">
      <c r="A461" s="1">
        <v>43402</v>
      </c>
      <c r="B461">
        <v>210.6</v>
      </c>
      <c r="C461">
        <v>100.78</v>
      </c>
      <c r="D461">
        <v>332.38</v>
      </c>
      <c r="E461">
        <v>113.25</v>
      </c>
      <c r="F461">
        <v>43.5</v>
      </c>
      <c r="G461">
        <v>106.8</v>
      </c>
      <c r="H461">
        <v>112.17</v>
      </c>
      <c r="I461">
        <v>51.72</v>
      </c>
      <c r="J461">
        <v>213.62</v>
      </c>
      <c r="K461">
        <v>172.17</v>
      </c>
      <c r="L461">
        <v>116.77</v>
      </c>
      <c r="M461">
        <v>44.83</v>
      </c>
      <c r="N461">
        <v>136.68</v>
      </c>
      <c r="O461">
        <v>104.01</v>
      </c>
      <c r="P461">
        <v>46.1</v>
      </c>
      <c r="Q461">
        <v>172.17</v>
      </c>
      <c r="R461">
        <v>183.26</v>
      </c>
      <c r="S461">
        <v>70.95</v>
      </c>
      <c r="T461">
        <v>103.4</v>
      </c>
      <c r="U461">
        <v>71.98</v>
      </c>
      <c r="V461">
        <v>42.53</v>
      </c>
      <c r="W461">
        <v>87.55</v>
      </c>
      <c r="X461">
        <v>121.57</v>
      </c>
      <c r="Y461">
        <v>255.7</v>
      </c>
      <c r="Z461">
        <v>119.69</v>
      </c>
      <c r="AA461">
        <v>133.86000000000001</v>
      </c>
      <c r="AB461">
        <v>55.9</v>
      </c>
      <c r="AC461">
        <v>75.94</v>
      </c>
      <c r="AD461">
        <v>99.26</v>
      </c>
      <c r="AE461">
        <v>75.44</v>
      </c>
      <c r="AI461" s="2">
        <v>5000</v>
      </c>
      <c r="AJ461" s="2">
        <f t="shared" si="293"/>
        <v>1320</v>
      </c>
      <c r="AK461" s="2">
        <f t="shared" si="293"/>
        <v>1320</v>
      </c>
      <c r="AL461" s="2">
        <f t="shared" si="293"/>
        <v>1320</v>
      </c>
      <c r="AM461" s="2">
        <f t="shared" si="293"/>
        <v>1320</v>
      </c>
      <c r="AN461" s="2">
        <f t="shared" si="293"/>
        <v>1320</v>
      </c>
      <c r="AO461" s="2">
        <f t="shared" si="293"/>
        <v>1320</v>
      </c>
      <c r="AP461" s="2">
        <f t="shared" si="293"/>
        <v>1200</v>
      </c>
      <c r="AQ461" s="2">
        <v>1000</v>
      </c>
      <c r="AR461" s="2">
        <v>0</v>
      </c>
      <c r="AS461" s="2">
        <v>10</v>
      </c>
      <c r="AT461" s="2">
        <v>0</v>
      </c>
      <c r="AU461" s="2">
        <v>0</v>
      </c>
      <c r="AV461" s="2">
        <v>0</v>
      </c>
      <c r="AW461" s="2">
        <v>0</v>
      </c>
      <c r="AX461" s="2">
        <v>0</v>
      </c>
      <c r="AY461" s="2">
        <v>0</v>
      </c>
      <c r="AZ461" s="2">
        <v>1020</v>
      </c>
      <c r="BA461" s="2">
        <v>934</v>
      </c>
      <c r="BB461" s="2">
        <v>993</v>
      </c>
      <c r="BC461" s="2">
        <v>-2000</v>
      </c>
      <c r="BD461" s="2">
        <v>-7500</v>
      </c>
      <c r="BE461" s="2">
        <v>5000</v>
      </c>
      <c r="BF461" s="2">
        <v>3000</v>
      </c>
      <c r="BG461" s="2">
        <v>5000</v>
      </c>
      <c r="BH461" s="2">
        <v>2500</v>
      </c>
      <c r="BI461" s="2">
        <v>3000</v>
      </c>
      <c r="BJ461" s="2">
        <v>-2000</v>
      </c>
      <c r="BK461" s="2">
        <v>1000</v>
      </c>
      <c r="BL461" s="2">
        <v>1000</v>
      </c>
      <c r="BO461" s="2">
        <f t="shared" si="294"/>
        <v>0</v>
      </c>
      <c r="BP461" s="2">
        <f t="shared" si="301"/>
        <v>0</v>
      </c>
      <c r="BQ461" s="2">
        <f t="shared" si="302"/>
        <v>0</v>
      </c>
      <c r="BR461" s="2">
        <f t="shared" si="303"/>
        <v>0</v>
      </c>
      <c r="BS461" s="2">
        <f t="shared" si="304"/>
        <v>0</v>
      </c>
      <c r="BT461" s="2">
        <f t="shared" si="305"/>
        <v>0</v>
      </c>
      <c r="BU461" s="2">
        <f t="shared" si="306"/>
        <v>0</v>
      </c>
      <c r="BV461" s="2">
        <f t="shared" si="307"/>
        <v>0</v>
      </c>
      <c r="BW461" s="2">
        <f t="shared" si="308"/>
        <v>0</v>
      </c>
      <c r="BX461" s="2">
        <f t="shared" si="309"/>
        <v>0</v>
      </c>
      <c r="BY461" s="2">
        <f t="shared" si="310"/>
        <v>0</v>
      </c>
      <c r="BZ461" s="2">
        <f t="shared" si="311"/>
        <v>0</v>
      </c>
      <c r="CA461" s="2">
        <f t="shared" si="312"/>
        <v>0</v>
      </c>
      <c r="CB461" s="2">
        <f t="shared" si="313"/>
        <v>0</v>
      </c>
      <c r="CC461" s="2">
        <f t="shared" si="314"/>
        <v>0</v>
      </c>
      <c r="CD461" s="2">
        <f t="shared" si="315"/>
        <v>0</v>
      </c>
      <c r="CE461" s="2">
        <f t="shared" si="316"/>
        <v>0</v>
      </c>
      <c r="CF461" s="2">
        <f t="shared" si="317"/>
        <v>-141.9</v>
      </c>
      <c r="CG461" s="2">
        <f t="shared" si="318"/>
        <v>-2378.2000000000003</v>
      </c>
      <c r="CH461" s="2">
        <f t="shared" si="319"/>
        <v>-3095.1400000000003</v>
      </c>
      <c r="CI461" s="2">
        <f t="shared" si="320"/>
        <v>0</v>
      </c>
      <c r="CJ461" s="2">
        <f t="shared" si="321"/>
        <v>0</v>
      </c>
      <c r="CK461" s="2">
        <f t="shared" si="322"/>
        <v>0</v>
      </c>
      <c r="CL461" s="2">
        <f t="shared" si="323"/>
        <v>0</v>
      </c>
      <c r="CM461" s="2">
        <f t="shared" si="295"/>
        <v>0</v>
      </c>
      <c r="CN461" s="2">
        <f t="shared" si="296"/>
        <v>0</v>
      </c>
      <c r="CO461" s="2">
        <f t="shared" si="297"/>
        <v>0</v>
      </c>
      <c r="CP461" s="2">
        <f t="shared" si="298"/>
        <v>0</v>
      </c>
      <c r="CQ461" s="2">
        <f t="shared" si="299"/>
        <v>0</v>
      </c>
      <c r="CR461" s="2">
        <f t="shared" si="300"/>
        <v>0</v>
      </c>
      <c r="CV461" t="s">
        <v>64</v>
      </c>
      <c r="CW461" t="s">
        <v>534</v>
      </c>
      <c r="CX461" t="s">
        <v>18</v>
      </c>
      <c r="CY461" s="4">
        <v>42947</v>
      </c>
      <c r="CZ461" t="s">
        <v>67</v>
      </c>
      <c r="DA461" t="s">
        <v>68</v>
      </c>
      <c r="DB461">
        <v>39</v>
      </c>
      <c r="DC461">
        <v>61.02</v>
      </c>
      <c r="DD461" t="s">
        <v>69</v>
      </c>
      <c r="DE461" t="s">
        <v>70</v>
      </c>
      <c r="DF461">
        <v>2379.7800000000002</v>
      </c>
    </row>
    <row r="462" spans="1:110" x14ac:dyDescent="0.25">
      <c r="A462" s="1">
        <v>43403</v>
      </c>
      <c r="B462">
        <v>211.65</v>
      </c>
      <c r="C462">
        <v>101.66</v>
      </c>
      <c r="D462">
        <v>346.56</v>
      </c>
      <c r="E462">
        <v>116.71</v>
      </c>
      <c r="F462">
        <v>44.24</v>
      </c>
      <c r="G462">
        <v>108.68</v>
      </c>
      <c r="H462">
        <v>113.88</v>
      </c>
      <c r="I462">
        <v>52.28</v>
      </c>
      <c r="J462">
        <v>218.4</v>
      </c>
      <c r="K462">
        <v>175.19</v>
      </c>
      <c r="L462">
        <v>112.64</v>
      </c>
      <c r="M462">
        <v>47.16</v>
      </c>
      <c r="N462">
        <v>139.86000000000001</v>
      </c>
      <c r="O462">
        <v>105.84</v>
      </c>
      <c r="P462">
        <v>47.26</v>
      </c>
      <c r="Q462">
        <v>177.4</v>
      </c>
      <c r="R462">
        <v>187.23</v>
      </c>
      <c r="S462">
        <v>72.36</v>
      </c>
      <c r="T462">
        <v>103.28</v>
      </c>
      <c r="U462">
        <v>74.290000000000006</v>
      </c>
      <c r="V462">
        <v>42.19</v>
      </c>
      <c r="W462">
        <v>88.49</v>
      </c>
      <c r="X462">
        <v>125.1</v>
      </c>
      <c r="Y462">
        <v>257.45999999999998</v>
      </c>
      <c r="Z462">
        <v>121.2</v>
      </c>
      <c r="AA462">
        <v>132.29</v>
      </c>
      <c r="AB462">
        <v>57.58</v>
      </c>
      <c r="AC462">
        <v>77.900000000000006</v>
      </c>
      <c r="AD462">
        <v>101.86</v>
      </c>
      <c r="AE462">
        <v>77.13</v>
      </c>
      <c r="AI462" s="2">
        <v>5000</v>
      </c>
      <c r="AJ462" s="2">
        <f t="shared" si="293"/>
        <v>1320</v>
      </c>
      <c r="AK462" s="2">
        <f t="shared" si="293"/>
        <v>1320</v>
      </c>
      <c r="AL462" s="2">
        <f t="shared" si="293"/>
        <v>1320</v>
      </c>
      <c r="AM462" s="2">
        <f t="shared" si="293"/>
        <v>1320</v>
      </c>
      <c r="AN462" s="2">
        <f t="shared" si="293"/>
        <v>1320</v>
      </c>
      <c r="AO462" s="2">
        <f t="shared" si="293"/>
        <v>1320</v>
      </c>
      <c r="AP462" s="2">
        <f t="shared" si="293"/>
        <v>1200</v>
      </c>
      <c r="AQ462" s="2">
        <v>1000</v>
      </c>
      <c r="AR462" s="2">
        <v>0</v>
      </c>
      <c r="AS462" s="2">
        <v>10</v>
      </c>
      <c r="AT462" s="2">
        <v>0</v>
      </c>
      <c r="AU462" s="2">
        <v>0</v>
      </c>
      <c r="AV462" s="2">
        <v>0</v>
      </c>
      <c r="AW462" s="2">
        <v>0</v>
      </c>
      <c r="AX462" s="2">
        <v>0</v>
      </c>
      <c r="AY462" s="2">
        <v>0</v>
      </c>
      <c r="AZ462" s="2">
        <v>1048</v>
      </c>
      <c r="BA462" s="2">
        <v>989</v>
      </c>
      <c r="BB462" s="2">
        <v>1074</v>
      </c>
      <c r="BC462" s="2">
        <v>-2000</v>
      </c>
      <c r="BD462" s="2">
        <v>-7500</v>
      </c>
      <c r="BE462" s="2">
        <v>5000</v>
      </c>
      <c r="BF462" s="2">
        <v>3000</v>
      </c>
      <c r="BG462" s="2">
        <v>5000</v>
      </c>
      <c r="BH462" s="2">
        <v>2500</v>
      </c>
      <c r="BI462" s="2">
        <v>3000</v>
      </c>
      <c r="BJ462" s="2">
        <v>-2000</v>
      </c>
      <c r="BK462" s="2">
        <v>1000</v>
      </c>
      <c r="BL462" s="2">
        <v>1000</v>
      </c>
      <c r="BO462" s="2">
        <f t="shared" si="294"/>
        <v>0</v>
      </c>
      <c r="BP462" s="2">
        <f t="shared" si="301"/>
        <v>0</v>
      </c>
      <c r="BQ462" s="2">
        <f t="shared" si="302"/>
        <v>0</v>
      </c>
      <c r="BR462" s="2">
        <f t="shared" si="303"/>
        <v>0</v>
      </c>
      <c r="BS462" s="2">
        <f t="shared" si="304"/>
        <v>0</v>
      </c>
      <c r="BT462" s="2">
        <f t="shared" si="305"/>
        <v>0</v>
      </c>
      <c r="BU462" s="2">
        <f t="shared" si="306"/>
        <v>0</v>
      </c>
      <c r="BV462" s="2">
        <f t="shared" si="307"/>
        <v>0</v>
      </c>
      <c r="BW462" s="2">
        <f t="shared" si="308"/>
        <v>0</v>
      </c>
      <c r="BX462" s="2">
        <f t="shared" si="309"/>
        <v>0</v>
      </c>
      <c r="BY462" s="2">
        <f t="shared" si="310"/>
        <v>0</v>
      </c>
      <c r="BZ462" s="2">
        <f t="shared" si="311"/>
        <v>0</v>
      </c>
      <c r="CA462" s="2">
        <f t="shared" si="312"/>
        <v>0</v>
      </c>
      <c r="CB462" s="2">
        <f t="shared" si="313"/>
        <v>0</v>
      </c>
      <c r="CC462" s="2">
        <f t="shared" si="314"/>
        <v>0</v>
      </c>
      <c r="CD462" s="2">
        <f t="shared" si="315"/>
        <v>0</v>
      </c>
      <c r="CE462" s="2">
        <f t="shared" si="316"/>
        <v>0</v>
      </c>
      <c r="CF462" s="2">
        <f t="shared" si="317"/>
        <v>-2026.08</v>
      </c>
      <c r="CG462" s="2">
        <f t="shared" si="318"/>
        <v>-5680.4</v>
      </c>
      <c r="CH462" s="2">
        <f t="shared" si="319"/>
        <v>-6017.4900000000007</v>
      </c>
      <c r="CI462" s="2">
        <f t="shared" si="320"/>
        <v>0</v>
      </c>
      <c r="CJ462" s="2">
        <f t="shared" si="321"/>
        <v>0</v>
      </c>
      <c r="CK462" s="2">
        <f t="shared" si="322"/>
        <v>0</v>
      </c>
      <c r="CL462" s="2">
        <f t="shared" si="323"/>
        <v>0</v>
      </c>
      <c r="CM462" s="2">
        <f t="shared" si="295"/>
        <v>0</v>
      </c>
      <c r="CN462" s="2">
        <f t="shared" si="296"/>
        <v>0</v>
      </c>
      <c r="CO462" s="2">
        <f t="shared" si="297"/>
        <v>0</v>
      </c>
      <c r="CP462" s="2">
        <f t="shared" si="298"/>
        <v>0</v>
      </c>
      <c r="CQ462" s="2">
        <f t="shared" si="299"/>
        <v>0</v>
      </c>
      <c r="CR462" s="2">
        <f t="shared" si="300"/>
        <v>0</v>
      </c>
      <c r="CV462" t="s">
        <v>64</v>
      </c>
      <c r="CW462" t="s">
        <v>535</v>
      </c>
      <c r="CX462" t="s">
        <v>18</v>
      </c>
      <c r="CY462" s="4">
        <v>42948</v>
      </c>
      <c r="CZ462" t="s">
        <v>65</v>
      </c>
      <c r="DA462" t="s">
        <v>66</v>
      </c>
      <c r="DB462">
        <v>51</v>
      </c>
      <c r="DC462">
        <v>61.05</v>
      </c>
      <c r="DD462" t="s">
        <v>69</v>
      </c>
      <c r="DE462" t="s">
        <v>70</v>
      </c>
      <c r="DF462">
        <v>3113.5499999999997</v>
      </c>
    </row>
    <row r="463" spans="1:110" x14ac:dyDescent="0.25">
      <c r="A463" s="1">
        <v>43404</v>
      </c>
      <c r="B463">
        <v>217.17</v>
      </c>
      <c r="C463">
        <v>102.31</v>
      </c>
      <c r="D463">
        <v>351.46</v>
      </c>
      <c r="E463">
        <v>120.54</v>
      </c>
      <c r="F463">
        <v>45.4</v>
      </c>
      <c r="G463">
        <v>109.47</v>
      </c>
      <c r="H463">
        <v>113.95</v>
      </c>
      <c r="I463">
        <v>53.56</v>
      </c>
      <c r="J463">
        <v>224.46</v>
      </c>
      <c r="K463">
        <v>174.83</v>
      </c>
      <c r="L463">
        <v>112.67</v>
      </c>
      <c r="M463">
        <v>46.29</v>
      </c>
      <c r="N463">
        <v>139.1</v>
      </c>
      <c r="O463">
        <v>108.14</v>
      </c>
      <c r="P463">
        <v>47.5</v>
      </c>
      <c r="Q463">
        <v>175.82</v>
      </c>
      <c r="R463">
        <v>187.67</v>
      </c>
      <c r="S463">
        <v>73.099999999999994</v>
      </c>
      <c r="T463">
        <v>106.35</v>
      </c>
      <c r="U463">
        <v>74.819999999999993</v>
      </c>
      <c r="V463">
        <v>42.36</v>
      </c>
      <c r="W463">
        <v>87.98</v>
      </c>
      <c r="X463">
        <v>124.36</v>
      </c>
      <c r="Y463">
        <v>260.52</v>
      </c>
      <c r="Z463">
        <v>122.77</v>
      </c>
      <c r="AA463">
        <v>137.36000000000001</v>
      </c>
      <c r="AB463">
        <v>56.5</v>
      </c>
      <c r="AC463">
        <v>78.86</v>
      </c>
      <c r="AD463">
        <v>99.74</v>
      </c>
      <c r="AE463">
        <v>78.010000000000005</v>
      </c>
      <c r="AI463" s="2">
        <v>5000</v>
      </c>
      <c r="AJ463" s="2">
        <f t="shared" si="293"/>
        <v>1320</v>
      </c>
      <c r="AK463" s="2">
        <f t="shared" si="293"/>
        <v>1320</v>
      </c>
      <c r="AL463" s="2">
        <f t="shared" si="293"/>
        <v>1320</v>
      </c>
      <c r="AM463" s="2">
        <f t="shared" si="293"/>
        <v>1320</v>
      </c>
      <c r="AN463" s="2">
        <f t="shared" si="293"/>
        <v>1320</v>
      </c>
      <c r="AO463" s="2">
        <f t="shared" si="293"/>
        <v>1320</v>
      </c>
      <c r="AP463" s="2">
        <f t="shared" si="293"/>
        <v>1200</v>
      </c>
      <c r="AQ463" s="2">
        <v>1000</v>
      </c>
      <c r="AR463" s="2">
        <v>0</v>
      </c>
      <c r="AS463" s="2">
        <v>10</v>
      </c>
      <c r="AT463" s="2">
        <v>0</v>
      </c>
      <c r="AU463" s="2">
        <v>0</v>
      </c>
      <c r="AV463" s="2">
        <v>0</v>
      </c>
      <c r="AW463" s="2">
        <v>0</v>
      </c>
      <c r="AX463" s="2">
        <v>0</v>
      </c>
      <c r="AY463" s="2">
        <v>0</v>
      </c>
      <c r="AZ463" s="2">
        <v>1039</v>
      </c>
      <c r="BA463" s="2">
        <v>986</v>
      </c>
      <c r="BB463" s="2">
        <v>1041</v>
      </c>
      <c r="BC463" s="2">
        <v>-2000</v>
      </c>
      <c r="BD463" s="2">
        <v>-7500</v>
      </c>
      <c r="BE463" s="2">
        <v>5000</v>
      </c>
      <c r="BF463" s="2">
        <v>5000</v>
      </c>
      <c r="BG463" s="2">
        <v>5000</v>
      </c>
      <c r="BH463" s="2">
        <v>2500</v>
      </c>
      <c r="BI463" s="2">
        <v>3000</v>
      </c>
      <c r="BJ463" s="2">
        <v>-2000</v>
      </c>
      <c r="BK463" s="2">
        <v>1000</v>
      </c>
      <c r="BL463" s="2">
        <v>1000</v>
      </c>
      <c r="BO463" s="2">
        <f t="shared" si="294"/>
        <v>0</v>
      </c>
      <c r="BP463" s="2">
        <f t="shared" si="301"/>
        <v>0</v>
      </c>
      <c r="BQ463" s="2">
        <f t="shared" si="302"/>
        <v>0</v>
      </c>
      <c r="BR463" s="2">
        <f t="shared" si="303"/>
        <v>0</v>
      </c>
      <c r="BS463" s="2">
        <f t="shared" si="304"/>
        <v>0</v>
      </c>
      <c r="BT463" s="2">
        <f t="shared" si="305"/>
        <v>0</v>
      </c>
      <c r="BU463" s="2">
        <f t="shared" si="306"/>
        <v>0</v>
      </c>
      <c r="BV463" s="2">
        <f t="shared" si="307"/>
        <v>0</v>
      </c>
      <c r="BW463" s="2">
        <f t="shared" si="308"/>
        <v>0</v>
      </c>
      <c r="BX463" s="2">
        <f t="shared" si="309"/>
        <v>0</v>
      </c>
      <c r="BY463" s="2">
        <f t="shared" si="310"/>
        <v>0</v>
      </c>
      <c r="BZ463" s="2">
        <f t="shared" si="311"/>
        <v>0</v>
      </c>
      <c r="CA463" s="2">
        <f t="shared" si="312"/>
        <v>0</v>
      </c>
      <c r="CB463" s="2">
        <f t="shared" si="313"/>
        <v>0</v>
      </c>
      <c r="CC463" s="2">
        <f t="shared" si="314"/>
        <v>0</v>
      </c>
      <c r="CD463" s="2">
        <f t="shared" si="315"/>
        <v>0</v>
      </c>
      <c r="CE463" s="2">
        <f t="shared" si="316"/>
        <v>0</v>
      </c>
      <c r="CF463" s="2">
        <f t="shared" si="317"/>
        <v>657.9</v>
      </c>
      <c r="CG463" s="2">
        <f t="shared" si="318"/>
        <v>319.04999999999995</v>
      </c>
      <c r="CH463" s="2">
        <f t="shared" si="319"/>
        <v>2469.06</v>
      </c>
      <c r="CI463" s="2">
        <f t="shared" si="320"/>
        <v>0</v>
      </c>
      <c r="CJ463" s="2">
        <f t="shared" si="321"/>
        <v>0</v>
      </c>
      <c r="CK463" s="2">
        <f t="shared" si="322"/>
        <v>0</v>
      </c>
      <c r="CL463" s="2">
        <f t="shared" si="323"/>
        <v>-521039.99999999994</v>
      </c>
      <c r="CM463" s="2">
        <f t="shared" si="295"/>
        <v>0</v>
      </c>
      <c r="CN463" s="2">
        <f t="shared" si="296"/>
        <v>0</v>
      </c>
      <c r="CO463" s="2">
        <f t="shared" si="297"/>
        <v>0</v>
      </c>
      <c r="CP463" s="2">
        <f t="shared" si="298"/>
        <v>0</v>
      </c>
      <c r="CQ463" s="2">
        <f t="shared" si="299"/>
        <v>0</v>
      </c>
      <c r="CR463" s="2">
        <f t="shared" si="300"/>
        <v>0</v>
      </c>
      <c r="CV463" t="s">
        <v>64</v>
      </c>
      <c r="CW463" t="s">
        <v>536</v>
      </c>
      <c r="CX463" t="s">
        <v>18</v>
      </c>
      <c r="CY463" s="4">
        <v>42949</v>
      </c>
      <c r="CZ463" t="s">
        <v>67</v>
      </c>
      <c r="DA463" t="s">
        <v>68</v>
      </c>
      <c r="DB463">
        <v>28</v>
      </c>
      <c r="DC463">
        <v>60.6</v>
      </c>
      <c r="DD463" t="s">
        <v>69</v>
      </c>
      <c r="DE463" t="s">
        <v>70</v>
      </c>
      <c r="DF463">
        <v>1696.8</v>
      </c>
    </row>
    <row r="464" spans="1:110" x14ac:dyDescent="0.25">
      <c r="A464" s="1">
        <v>43405</v>
      </c>
      <c r="B464">
        <v>220.5</v>
      </c>
      <c r="C464">
        <v>103.62</v>
      </c>
      <c r="D464">
        <v>359.59</v>
      </c>
      <c r="E464">
        <v>123.9</v>
      </c>
      <c r="F464">
        <v>45.3</v>
      </c>
      <c r="G464">
        <v>109</v>
      </c>
      <c r="H464">
        <v>115.21</v>
      </c>
      <c r="I464">
        <v>57.88</v>
      </c>
      <c r="J464">
        <v>226.05</v>
      </c>
      <c r="K464">
        <v>179.39</v>
      </c>
      <c r="L464">
        <v>114.03</v>
      </c>
      <c r="M464">
        <v>47.62</v>
      </c>
      <c r="N464">
        <v>139.93</v>
      </c>
      <c r="O464">
        <v>108.1</v>
      </c>
      <c r="P464">
        <v>47.37</v>
      </c>
      <c r="Q464">
        <v>173.81</v>
      </c>
      <c r="R464">
        <v>189.61</v>
      </c>
      <c r="S464">
        <v>72.61</v>
      </c>
      <c r="T464">
        <v>105.46</v>
      </c>
      <c r="U464">
        <v>76.56</v>
      </c>
      <c r="V464">
        <v>42.96</v>
      </c>
      <c r="W464">
        <v>88.89</v>
      </c>
      <c r="X464">
        <v>124.43</v>
      </c>
      <c r="Y464">
        <v>260.10000000000002</v>
      </c>
      <c r="Z464">
        <v>126.1</v>
      </c>
      <c r="AA464">
        <v>140.33000000000001</v>
      </c>
      <c r="AB464">
        <v>55.47</v>
      </c>
      <c r="AC464">
        <v>78.989999999999995</v>
      </c>
      <c r="AD464">
        <v>100.03</v>
      </c>
      <c r="AE464">
        <v>78.98</v>
      </c>
      <c r="AI464" s="2">
        <v>5000</v>
      </c>
      <c r="AJ464" s="2">
        <f t="shared" ref="AJ464:AP464" si="324">AJ463+10</f>
        <v>1330</v>
      </c>
      <c r="AK464" s="2">
        <f t="shared" si="324"/>
        <v>1330</v>
      </c>
      <c r="AL464" s="2">
        <f t="shared" si="324"/>
        <v>1330</v>
      </c>
      <c r="AM464" s="2">
        <f t="shared" si="324"/>
        <v>1330</v>
      </c>
      <c r="AN464" s="2">
        <f t="shared" si="324"/>
        <v>1330</v>
      </c>
      <c r="AO464" s="2">
        <f t="shared" si="324"/>
        <v>1330</v>
      </c>
      <c r="AP464" s="2">
        <f t="shared" si="324"/>
        <v>1210</v>
      </c>
      <c r="AQ464" s="2">
        <v>1000</v>
      </c>
      <c r="AR464" s="2">
        <v>0</v>
      </c>
      <c r="AS464" s="2">
        <v>10</v>
      </c>
      <c r="AT464" s="2">
        <v>0</v>
      </c>
      <c r="AU464" s="2">
        <v>0</v>
      </c>
      <c r="AV464" s="2">
        <v>0</v>
      </c>
      <c r="AW464" s="2">
        <v>0</v>
      </c>
      <c r="AX464" s="2">
        <v>0</v>
      </c>
      <c r="AY464" s="2">
        <v>0</v>
      </c>
      <c r="AZ464" s="2">
        <v>1000</v>
      </c>
      <c r="BA464" s="2">
        <v>988</v>
      </c>
      <c r="BB464" s="2">
        <v>1046</v>
      </c>
      <c r="BC464" s="2">
        <v>-2000</v>
      </c>
      <c r="BD464" s="2">
        <v>-7500</v>
      </c>
      <c r="BE464" s="2">
        <v>5000</v>
      </c>
      <c r="BF464" s="2">
        <v>5000</v>
      </c>
      <c r="BG464" s="2">
        <v>5000</v>
      </c>
      <c r="BH464" s="2">
        <v>2500</v>
      </c>
      <c r="BI464" s="2">
        <v>3000</v>
      </c>
      <c r="BJ464" s="2">
        <v>-2000</v>
      </c>
      <c r="BK464" s="2">
        <v>1000</v>
      </c>
      <c r="BL464" s="2">
        <v>1000</v>
      </c>
      <c r="BO464" s="2">
        <f t="shared" si="294"/>
        <v>0</v>
      </c>
      <c r="BP464" s="2">
        <f t="shared" si="301"/>
        <v>-1036.2</v>
      </c>
      <c r="BQ464" s="2">
        <f t="shared" si="302"/>
        <v>-3595.8999999999996</v>
      </c>
      <c r="BR464" s="2">
        <f t="shared" si="303"/>
        <v>-1239</v>
      </c>
      <c r="BS464" s="2">
        <f t="shared" si="304"/>
        <v>-453</v>
      </c>
      <c r="BT464" s="2">
        <f t="shared" si="305"/>
        <v>-1090</v>
      </c>
      <c r="BU464" s="2">
        <f t="shared" si="306"/>
        <v>-1152.0999999999999</v>
      </c>
      <c r="BV464" s="2">
        <f t="shared" si="307"/>
        <v>-578.80000000000007</v>
      </c>
      <c r="BW464" s="2">
        <f t="shared" si="308"/>
        <v>0</v>
      </c>
      <c r="BX464" s="2">
        <f t="shared" si="309"/>
        <v>0</v>
      </c>
      <c r="BY464" s="2">
        <f t="shared" si="310"/>
        <v>0</v>
      </c>
      <c r="BZ464" s="2">
        <f t="shared" si="311"/>
        <v>0</v>
      </c>
      <c r="CA464" s="2">
        <f t="shared" si="312"/>
        <v>0</v>
      </c>
      <c r="CB464" s="2">
        <f t="shared" si="313"/>
        <v>0</v>
      </c>
      <c r="CC464" s="2">
        <f t="shared" si="314"/>
        <v>0</v>
      </c>
      <c r="CD464" s="2">
        <f t="shared" si="315"/>
        <v>0</v>
      </c>
      <c r="CE464" s="2">
        <f t="shared" si="316"/>
        <v>0</v>
      </c>
      <c r="CF464" s="2">
        <f t="shared" si="317"/>
        <v>2831.79</v>
      </c>
      <c r="CG464" s="2">
        <f t="shared" si="318"/>
        <v>-210.92</v>
      </c>
      <c r="CH464" s="2">
        <f t="shared" si="319"/>
        <v>-382.8</v>
      </c>
      <c r="CI464" s="2">
        <f t="shared" si="320"/>
        <v>0</v>
      </c>
      <c r="CJ464" s="2">
        <f t="shared" si="321"/>
        <v>0</v>
      </c>
      <c r="CK464" s="2">
        <f t="shared" si="322"/>
        <v>0</v>
      </c>
      <c r="CL464" s="2">
        <f t="shared" si="323"/>
        <v>0</v>
      </c>
      <c r="CM464" s="2">
        <f t="shared" si="295"/>
        <v>0</v>
      </c>
      <c r="CN464" s="2">
        <f t="shared" si="296"/>
        <v>0</v>
      </c>
      <c r="CO464" s="2">
        <f t="shared" si="297"/>
        <v>0</v>
      </c>
      <c r="CP464" s="2">
        <f t="shared" si="298"/>
        <v>0</v>
      </c>
      <c r="CQ464" s="2">
        <f t="shared" si="299"/>
        <v>0</v>
      </c>
      <c r="CR464" s="2">
        <f t="shared" si="300"/>
        <v>0</v>
      </c>
      <c r="CV464" t="s">
        <v>64</v>
      </c>
      <c r="CW464" t="s">
        <v>537</v>
      </c>
      <c r="CX464" t="s">
        <v>18</v>
      </c>
      <c r="CY464" s="4">
        <v>42950</v>
      </c>
      <c r="CZ464" t="s">
        <v>67</v>
      </c>
      <c r="DA464" t="s">
        <v>68</v>
      </c>
      <c r="DB464">
        <v>9</v>
      </c>
      <c r="DC464">
        <v>60.67</v>
      </c>
      <c r="DD464" t="s">
        <v>69</v>
      </c>
      <c r="DE464" t="s">
        <v>70</v>
      </c>
      <c r="DF464">
        <v>546.03</v>
      </c>
    </row>
    <row r="465" spans="1:110" x14ac:dyDescent="0.25">
      <c r="A465" s="1">
        <v>43406</v>
      </c>
      <c r="B465">
        <v>205.88</v>
      </c>
      <c r="C465">
        <v>103.29</v>
      </c>
      <c r="D465">
        <v>354.33</v>
      </c>
      <c r="E465">
        <v>124.99</v>
      </c>
      <c r="F465">
        <v>45.13</v>
      </c>
      <c r="G465">
        <v>112.49</v>
      </c>
      <c r="H465">
        <v>114.29</v>
      </c>
      <c r="I465">
        <v>57.35</v>
      </c>
      <c r="J465">
        <v>228.76</v>
      </c>
      <c r="K465">
        <v>178.86</v>
      </c>
      <c r="L465">
        <v>112.9</v>
      </c>
      <c r="M465">
        <v>46.52</v>
      </c>
      <c r="N465">
        <v>139.79</v>
      </c>
      <c r="O465">
        <v>107.51</v>
      </c>
      <c r="P465">
        <v>47.62</v>
      </c>
      <c r="Q465">
        <v>175.67</v>
      </c>
      <c r="R465">
        <v>190.19</v>
      </c>
      <c r="S465">
        <v>71.77</v>
      </c>
      <c r="T465">
        <v>105.7</v>
      </c>
      <c r="U465">
        <v>76.349999999999994</v>
      </c>
      <c r="V465">
        <v>42.23</v>
      </c>
      <c r="W465">
        <v>89.11</v>
      </c>
      <c r="X465">
        <v>124.13</v>
      </c>
      <c r="Y465">
        <v>260.18</v>
      </c>
      <c r="Z465">
        <v>125.95</v>
      </c>
      <c r="AA465">
        <v>139.29</v>
      </c>
      <c r="AB465">
        <v>56.05</v>
      </c>
      <c r="AC465">
        <v>78.39</v>
      </c>
      <c r="AD465">
        <v>100.79</v>
      </c>
      <c r="AE465">
        <v>80.239999999999995</v>
      </c>
      <c r="AI465" s="2">
        <v>5000</v>
      </c>
      <c r="AJ465" s="2">
        <f t="shared" ref="AJ465:AP465" si="325">AJ464</f>
        <v>1330</v>
      </c>
      <c r="AK465" s="2">
        <f t="shared" si="325"/>
        <v>1330</v>
      </c>
      <c r="AL465" s="2">
        <f t="shared" si="325"/>
        <v>1330</v>
      </c>
      <c r="AM465" s="2">
        <f t="shared" si="325"/>
        <v>1330</v>
      </c>
      <c r="AN465" s="2">
        <f t="shared" si="325"/>
        <v>1330</v>
      </c>
      <c r="AO465" s="2">
        <f t="shared" si="325"/>
        <v>1330</v>
      </c>
      <c r="AP465" s="2">
        <f t="shared" si="325"/>
        <v>1210</v>
      </c>
      <c r="AQ465" s="2">
        <v>1000</v>
      </c>
      <c r="AR465" s="2">
        <v>0</v>
      </c>
      <c r="AS465" s="2">
        <v>10</v>
      </c>
      <c r="AT465" s="2">
        <v>0</v>
      </c>
      <c r="AU465" s="2">
        <v>0</v>
      </c>
      <c r="AV465" s="2">
        <v>0</v>
      </c>
      <c r="AW465" s="2">
        <v>0</v>
      </c>
      <c r="AX465" s="2">
        <v>0</v>
      </c>
      <c r="AY465" s="2">
        <v>0</v>
      </c>
      <c r="AZ465" s="2">
        <v>965</v>
      </c>
      <c r="BA465" s="2">
        <v>1051</v>
      </c>
      <c r="BB465" s="2">
        <v>970</v>
      </c>
      <c r="BC465" s="2">
        <v>-2000</v>
      </c>
      <c r="BD465" s="2">
        <v>-7500</v>
      </c>
      <c r="BE465" s="2">
        <v>5000</v>
      </c>
      <c r="BF465" s="2">
        <v>5000</v>
      </c>
      <c r="BG465" s="2">
        <v>5000</v>
      </c>
      <c r="BH465" s="2">
        <v>2500</v>
      </c>
      <c r="BI465" s="2">
        <v>3000</v>
      </c>
      <c r="BJ465" s="2">
        <v>-2000</v>
      </c>
      <c r="BK465" s="2">
        <v>1000</v>
      </c>
      <c r="BL465" s="2">
        <v>1000</v>
      </c>
      <c r="BO465" s="2">
        <f t="shared" si="294"/>
        <v>0</v>
      </c>
      <c r="BP465" s="2">
        <f t="shared" si="301"/>
        <v>0</v>
      </c>
      <c r="BQ465" s="2">
        <f t="shared" si="302"/>
        <v>0</v>
      </c>
      <c r="BR465" s="2">
        <f t="shared" si="303"/>
        <v>0</v>
      </c>
      <c r="BS465" s="2">
        <f t="shared" si="304"/>
        <v>0</v>
      </c>
      <c r="BT465" s="2">
        <f t="shared" si="305"/>
        <v>0</v>
      </c>
      <c r="BU465" s="2">
        <f t="shared" si="306"/>
        <v>0</v>
      </c>
      <c r="BV465" s="2">
        <f t="shared" si="307"/>
        <v>0</v>
      </c>
      <c r="BW465" s="2">
        <f t="shared" si="308"/>
        <v>0</v>
      </c>
      <c r="BX465" s="2">
        <f t="shared" si="309"/>
        <v>0</v>
      </c>
      <c r="BY465" s="2">
        <f t="shared" si="310"/>
        <v>0</v>
      </c>
      <c r="BZ465" s="2">
        <f t="shared" si="311"/>
        <v>0</v>
      </c>
      <c r="CA465" s="2">
        <f t="shared" si="312"/>
        <v>0</v>
      </c>
      <c r="CB465" s="2">
        <f t="shared" si="313"/>
        <v>0</v>
      </c>
      <c r="CC465" s="2">
        <f t="shared" si="314"/>
        <v>0</v>
      </c>
      <c r="CD465" s="2">
        <f t="shared" si="315"/>
        <v>0</v>
      </c>
      <c r="CE465" s="2">
        <f t="shared" si="316"/>
        <v>0</v>
      </c>
      <c r="CF465" s="2">
        <f t="shared" si="317"/>
        <v>2511.9499999999998</v>
      </c>
      <c r="CG465" s="2">
        <f t="shared" si="318"/>
        <v>-6659.1</v>
      </c>
      <c r="CH465" s="2">
        <f t="shared" si="319"/>
        <v>5802.5999999999995</v>
      </c>
      <c r="CI465" s="2">
        <f t="shared" si="320"/>
        <v>0</v>
      </c>
      <c r="CJ465" s="2">
        <f t="shared" si="321"/>
        <v>0</v>
      </c>
      <c r="CK465" s="2">
        <f t="shared" si="322"/>
        <v>0</v>
      </c>
      <c r="CL465" s="2">
        <f t="shared" si="323"/>
        <v>0</v>
      </c>
      <c r="CM465" s="2">
        <f t="shared" si="295"/>
        <v>0</v>
      </c>
      <c r="CN465" s="2">
        <f t="shared" si="296"/>
        <v>0</v>
      </c>
      <c r="CO465" s="2">
        <f t="shared" si="297"/>
        <v>0</v>
      </c>
      <c r="CP465" s="2">
        <f t="shared" si="298"/>
        <v>0</v>
      </c>
      <c r="CQ465" s="2">
        <f t="shared" si="299"/>
        <v>0</v>
      </c>
      <c r="CR465" s="2">
        <f t="shared" si="300"/>
        <v>0</v>
      </c>
      <c r="CV465" t="s">
        <v>64</v>
      </c>
      <c r="CW465" t="s">
        <v>538</v>
      </c>
      <c r="CX465" t="s">
        <v>18</v>
      </c>
      <c r="CY465" s="4">
        <v>42951</v>
      </c>
      <c r="CZ465" t="s">
        <v>65</v>
      </c>
      <c r="DA465" t="s">
        <v>66</v>
      </c>
      <c r="DB465">
        <v>28</v>
      </c>
      <c r="DC465">
        <v>60.27</v>
      </c>
      <c r="DD465" t="s">
        <v>69</v>
      </c>
      <c r="DE465" t="s">
        <v>70</v>
      </c>
      <c r="DF465">
        <v>1687.5600000000002</v>
      </c>
    </row>
    <row r="466" spans="1:110" x14ac:dyDescent="0.25">
      <c r="A466" s="1">
        <v>43409</v>
      </c>
      <c r="B466">
        <v>200.03</v>
      </c>
      <c r="C466">
        <v>104.78</v>
      </c>
      <c r="D466">
        <v>358.52</v>
      </c>
      <c r="E466">
        <v>125.6</v>
      </c>
      <c r="F466">
        <v>45.79</v>
      </c>
      <c r="G466">
        <v>116.62</v>
      </c>
      <c r="H466">
        <v>114.56</v>
      </c>
      <c r="I466">
        <v>57.25</v>
      </c>
      <c r="J466">
        <v>227.8</v>
      </c>
      <c r="K466">
        <v>181.11</v>
      </c>
      <c r="L466">
        <v>117.18</v>
      </c>
      <c r="M466">
        <v>47.37</v>
      </c>
      <c r="N466">
        <v>141.30000000000001</v>
      </c>
      <c r="O466">
        <v>108.21</v>
      </c>
      <c r="P466">
        <v>48.31</v>
      </c>
      <c r="Q466">
        <v>179.28</v>
      </c>
      <c r="R466">
        <v>190.62</v>
      </c>
      <c r="S466">
        <v>72.61</v>
      </c>
      <c r="T466">
        <v>107.05</v>
      </c>
      <c r="U466">
        <v>77.3</v>
      </c>
      <c r="V466">
        <v>42.81</v>
      </c>
      <c r="W466">
        <v>90.48</v>
      </c>
      <c r="X466">
        <v>125.75</v>
      </c>
      <c r="Y466">
        <v>260.18</v>
      </c>
      <c r="Z466">
        <v>125.78</v>
      </c>
      <c r="AA466">
        <v>139.31</v>
      </c>
      <c r="AB466">
        <v>56.62</v>
      </c>
      <c r="AC466">
        <v>79.06</v>
      </c>
      <c r="AD466">
        <v>102.35</v>
      </c>
      <c r="AE466">
        <v>79.930000000000007</v>
      </c>
      <c r="AI466" s="2">
        <v>5000</v>
      </c>
      <c r="AJ466" s="2">
        <f t="shared" si="293"/>
        <v>1330</v>
      </c>
      <c r="AK466" s="2">
        <f t="shared" si="293"/>
        <v>1330</v>
      </c>
      <c r="AL466" s="2">
        <f t="shared" si="293"/>
        <v>1330</v>
      </c>
      <c r="AM466" s="2">
        <f t="shared" si="293"/>
        <v>1330</v>
      </c>
      <c r="AN466" s="2">
        <f t="shared" si="293"/>
        <v>1330</v>
      </c>
      <c r="AO466" s="2">
        <f t="shared" si="293"/>
        <v>1330</v>
      </c>
      <c r="AP466" s="2">
        <f t="shared" si="293"/>
        <v>1210</v>
      </c>
      <c r="AQ466" s="2">
        <v>1000</v>
      </c>
      <c r="AR466" s="2">
        <v>0</v>
      </c>
      <c r="AS466" s="2">
        <v>10</v>
      </c>
      <c r="AT466" s="2">
        <v>0</v>
      </c>
      <c r="AU466" s="2">
        <v>0</v>
      </c>
      <c r="AV466" s="2">
        <v>0</v>
      </c>
      <c r="AW466" s="2">
        <v>0</v>
      </c>
      <c r="AX466" s="2">
        <v>0</v>
      </c>
      <c r="AY466" s="2">
        <v>0</v>
      </c>
      <c r="AZ466" s="2">
        <v>1012</v>
      </c>
      <c r="BA466" s="2">
        <v>938</v>
      </c>
      <c r="BB466" s="2">
        <v>1095</v>
      </c>
      <c r="BC466" s="2">
        <v>-2000</v>
      </c>
      <c r="BD466" s="2">
        <v>-7500</v>
      </c>
      <c r="BE466" s="2">
        <v>5000</v>
      </c>
      <c r="BF466" s="2">
        <v>5000</v>
      </c>
      <c r="BG466" s="2">
        <v>5000</v>
      </c>
      <c r="BH466" s="2">
        <v>2500</v>
      </c>
      <c r="BI466" s="2">
        <v>3000</v>
      </c>
      <c r="BJ466" s="2">
        <v>-2000</v>
      </c>
      <c r="BK466" s="2">
        <v>1000</v>
      </c>
      <c r="BL466" s="2">
        <v>1000</v>
      </c>
      <c r="BO466" s="2">
        <f t="shared" si="294"/>
        <v>0</v>
      </c>
      <c r="BP466" s="2">
        <f t="shared" si="301"/>
        <v>0</v>
      </c>
      <c r="BQ466" s="2">
        <f t="shared" si="302"/>
        <v>0</v>
      </c>
      <c r="BR466" s="2">
        <f t="shared" si="303"/>
        <v>0</v>
      </c>
      <c r="BS466" s="2">
        <f t="shared" si="304"/>
        <v>0</v>
      </c>
      <c r="BT466" s="2">
        <f t="shared" si="305"/>
        <v>0</v>
      </c>
      <c r="BU466" s="2">
        <f t="shared" si="306"/>
        <v>0</v>
      </c>
      <c r="BV466" s="2">
        <f t="shared" si="307"/>
        <v>0</v>
      </c>
      <c r="BW466" s="2">
        <f t="shared" si="308"/>
        <v>0</v>
      </c>
      <c r="BX466" s="2">
        <f t="shared" si="309"/>
        <v>0</v>
      </c>
      <c r="BY466" s="2">
        <f t="shared" si="310"/>
        <v>0</v>
      </c>
      <c r="BZ466" s="2">
        <f t="shared" si="311"/>
        <v>0</v>
      </c>
      <c r="CA466" s="2">
        <f t="shared" si="312"/>
        <v>0</v>
      </c>
      <c r="CB466" s="2">
        <f t="shared" si="313"/>
        <v>0</v>
      </c>
      <c r="CC466" s="2">
        <f t="shared" si="314"/>
        <v>0</v>
      </c>
      <c r="CD466" s="2">
        <f t="shared" si="315"/>
        <v>0</v>
      </c>
      <c r="CE466" s="2">
        <f t="shared" si="316"/>
        <v>0</v>
      </c>
      <c r="CF466" s="2">
        <f t="shared" si="317"/>
        <v>-3412.67</v>
      </c>
      <c r="CG466" s="2">
        <f t="shared" si="318"/>
        <v>12096.65</v>
      </c>
      <c r="CH466" s="2">
        <f t="shared" si="319"/>
        <v>-9662.5</v>
      </c>
      <c r="CI466" s="2">
        <f t="shared" si="320"/>
        <v>0</v>
      </c>
      <c r="CJ466" s="2">
        <f t="shared" si="321"/>
        <v>0</v>
      </c>
      <c r="CK466" s="2">
        <f t="shared" si="322"/>
        <v>0</v>
      </c>
      <c r="CL466" s="2">
        <f t="shared" si="323"/>
        <v>0</v>
      </c>
      <c r="CM466" s="2">
        <f t="shared" si="295"/>
        <v>0</v>
      </c>
      <c r="CN466" s="2">
        <f t="shared" si="296"/>
        <v>0</v>
      </c>
      <c r="CO466" s="2">
        <f t="shared" si="297"/>
        <v>0</v>
      </c>
      <c r="CP466" s="2">
        <f t="shared" si="298"/>
        <v>0</v>
      </c>
      <c r="CQ466" s="2">
        <f t="shared" si="299"/>
        <v>0</v>
      </c>
      <c r="CR466" s="2">
        <f t="shared" si="300"/>
        <v>0</v>
      </c>
      <c r="CV466" t="s">
        <v>64</v>
      </c>
      <c r="CW466" t="s">
        <v>539</v>
      </c>
      <c r="CX466" t="s">
        <v>18</v>
      </c>
      <c r="CY466" s="4">
        <v>42954</v>
      </c>
      <c r="CZ466" t="s">
        <v>65</v>
      </c>
      <c r="DA466" t="s">
        <v>66</v>
      </c>
      <c r="DB466">
        <v>10</v>
      </c>
      <c r="DC466">
        <v>60.02</v>
      </c>
      <c r="DD466" t="s">
        <v>69</v>
      </c>
      <c r="DE466" t="s">
        <v>70</v>
      </c>
      <c r="DF466">
        <v>600.20000000000005</v>
      </c>
    </row>
    <row r="467" spans="1:110" x14ac:dyDescent="0.25">
      <c r="A467" s="1">
        <v>43410</v>
      </c>
      <c r="B467">
        <v>202.19</v>
      </c>
      <c r="C467">
        <v>104.55</v>
      </c>
      <c r="D467">
        <v>362.96</v>
      </c>
      <c r="E467">
        <v>128.5</v>
      </c>
      <c r="F467">
        <v>46.14</v>
      </c>
      <c r="G467">
        <v>116.58</v>
      </c>
      <c r="H467">
        <v>115.81</v>
      </c>
      <c r="I467">
        <v>57.63</v>
      </c>
      <c r="J467">
        <v>227.28</v>
      </c>
      <c r="K467">
        <v>180.93</v>
      </c>
      <c r="L467">
        <v>120.17</v>
      </c>
      <c r="M467">
        <v>46.95</v>
      </c>
      <c r="N467">
        <v>141.66999999999999</v>
      </c>
      <c r="O467">
        <v>108.72</v>
      </c>
      <c r="P467">
        <v>48.72</v>
      </c>
      <c r="Q467">
        <v>181.59</v>
      </c>
      <c r="R467">
        <v>192.64</v>
      </c>
      <c r="S467">
        <v>72.8</v>
      </c>
      <c r="T467">
        <v>107.26</v>
      </c>
      <c r="U467">
        <v>76.34</v>
      </c>
      <c r="V467">
        <v>42.31</v>
      </c>
      <c r="W467">
        <v>90.79</v>
      </c>
      <c r="X467">
        <v>127.81</v>
      </c>
      <c r="Y467">
        <v>262.7</v>
      </c>
      <c r="Z467">
        <v>126.46</v>
      </c>
      <c r="AA467">
        <v>140.29</v>
      </c>
      <c r="AB467">
        <v>56.62</v>
      </c>
      <c r="AC467">
        <v>79.680000000000007</v>
      </c>
      <c r="AD467">
        <v>102.77</v>
      </c>
      <c r="AE467">
        <v>80.28</v>
      </c>
      <c r="AI467" s="2">
        <v>5000</v>
      </c>
      <c r="AJ467" s="2">
        <f t="shared" si="293"/>
        <v>1330</v>
      </c>
      <c r="AK467" s="2">
        <f t="shared" si="293"/>
        <v>1330</v>
      </c>
      <c r="AL467" s="2">
        <f t="shared" si="293"/>
        <v>1330</v>
      </c>
      <c r="AM467" s="2">
        <f t="shared" si="293"/>
        <v>1330</v>
      </c>
      <c r="AN467" s="2">
        <f t="shared" si="293"/>
        <v>1330</v>
      </c>
      <c r="AO467" s="2">
        <f t="shared" si="293"/>
        <v>1330</v>
      </c>
      <c r="AP467" s="2">
        <f t="shared" si="293"/>
        <v>1210</v>
      </c>
      <c r="AQ467" s="2">
        <v>1000</v>
      </c>
      <c r="AR467" s="2">
        <v>0</v>
      </c>
      <c r="AS467" s="2">
        <v>10</v>
      </c>
      <c r="AT467" s="2">
        <v>0</v>
      </c>
      <c r="AU467" s="2">
        <v>0</v>
      </c>
      <c r="AV467" s="2">
        <v>0</v>
      </c>
      <c r="AW467" s="2">
        <v>0</v>
      </c>
      <c r="AX467" s="2">
        <v>0</v>
      </c>
      <c r="AY467" s="2">
        <v>0</v>
      </c>
      <c r="AZ467" s="2">
        <v>992</v>
      </c>
      <c r="BA467" s="2">
        <v>953</v>
      </c>
      <c r="BB467" s="2">
        <v>920</v>
      </c>
      <c r="BC467" s="2">
        <v>-2000</v>
      </c>
      <c r="BD467" s="2">
        <v>-7500</v>
      </c>
      <c r="BE467" s="2">
        <v>5000</v>
      </c>
      <c r="BF467" s="2">
        <v>5000</v>
      </c>
      <c r="BG467" s="2">
        <v>5000</v>
      </c>
      <c r="BH467" s="2">
        <v>2500</v>
      </c>
      <c r="BI467" s="2">
        <v>3000</v>
      </c>
      <c r="BJ467" s="2">
        <v>-2000</v>
      </c>
      <c r="BK467" s="2">
        <v>1000</v>
      </c>
      <c r="BL467" s="2">
        <v>1000</v>
      </c>
      <c r="BO467" s="2">
        <f t="shared" si="294"/>
        <v>0</v>
      </c>
      <c r="BP467" s="2">
        <f t="shared" si="301"/>
        <v>0</v>
      </c>
      <c r="BQ467" s="2">
        <f t="shared" si="302"/>
        <v>0</v>
      </c>
      <c r="BR467" s="2">
        <f t="shared" si="303"/>
        <v>0</v>
      </c>
      <c r="BS467" s="2">
        <f t="shared" si="304"/>
        <v>0</v>
      </c>
      <c r="BT467" s="2">
        <f t="shared" si="305"/>
        <v>0</v>
      </c>
      <c r="BU467" s="2">
        <f t="shared" si="306"/>
        <v>0</v>
      </c>
      <c r="BV467" s="2">
        <f t="shared" si="307"/>
        <v>0</v>
      </c>
      <c r="BW467" s="2">
        <f t="shared" si="308"/>
        <v>0</v>
      </c>
      <c r="BX467" s="2">
        <f t="shared" si="309"/>
        <v>0</v>
      </c>
      <c r="BY467" s="2">
        <f t="shared" si="310"/>
        <v>0</v>
      </c>
      <c r="BZ467" s="2">
        <f t="shared" si="311"/>
        <v>0</v>
      </c>
      <c r="CA467" s="2">
        <f t="shared" si="312"/>
        <v>0</v>
      </c>
      <c r="CB467" s="2">
        <f t="shared" si="313"/>
        <v>0</v>
      </c>
      <c r="CC467" s="2">
        <f t="shared" si="314"/>
        <v>0</v>
      </c>
      <c r="CD467" s="2">
        <f t="shared" si="315"/>
        <v>0</v>
      </c>
      <c r="CE467" s="2">
        <f t="shared" si="316"/>
        <v>0</v>
      </c>
      <c r="CF467" s="2">
        <f t="shared" si="317"/>
        <v>1456</v>
      </c>
      <c r="CG467" s="2">
        <f t="shared" si="318"/>
        <v>-1608.9</v>
      </c>
      <c r="CH467" s="2">
        <f t="shared" si="319"/>
        <v>13359.5</v>
      </c>
      <c r="CI467" s="2">
        <f t="shared" si="320"/>
        <v>0</v>
      </c>
      <c r="CJ467" s="2">
        <f t="shared" si="321"/>
        <v>0</v>
      </c>
      <c r="CK467" s="2">
        <f t="shared" si="322"/>
        <v>0</v>
      </c>
      <c r="CL467" s="2">
        <f t="shared" si="323"/>
        <v>0</v>
      </c>
      <c r="CM467" s="2">
        <f t="shared" si="295"/>
        <v>0</v>
      </c>
      <c r="CN467" s="2">
        <f t="shared" si="296"/>
        <v>0</v>
      </c>
      <c r="CO467" s="2">
        <f t="shared" si="297"/>
        <v>0</v>
      </c>
      <c r="CP467" s="2">
        <f t="shared" si="298"/>
        <v>0</v>
      </c>
      <c r="CQ467" s="2">
        <f t="shared" si="299"/>
        <v>0</v>
      </c>
      <c r="CR467" s="2">
        <f t="shared" si="300"/>
        <v>0</v>
      </c>
      <c r="CV467" t="s">
        <v>64</v>
      </c>
      <c r="CW467" t="s">
        <v>540</v>
      </c>
      <c r="CX467" t="s">
        <v>18</v>
      </c>
      <c r="CY467" s="4">
        <v>42955</v>
      </c>
      <c r="CZ467" t="s">
        <v>67</v>
      </c>
      <c r="DA467" t="s">
        <v>68</v>
      </c>
      <c r="DB467">
        <v>25</v>
      </c>
      <c r="DC467">
        <v>59.53</v>
      </c>
      <c r="DD467" t="s">
        <v>69</v>
      </c>
      <c r="DE467" t="s">
        <v>70</v>
      </c>
      <c r="DF467">
        <v>1488.25</v>
      </c>
    </row>
    <row r="468" spans="1:110" x14ac:dyDescent="0.25">
      <c r="A468" s="1">
        <v>43411</v>
      </c>
      <c r="B468">
        <v>208.33</v>
      </c>
      <c r="C468">
        <v>106.87</v>
      </c>
      <c r="D468">
        <v>368.46</v>
      </c>
      <c r="E468">
        <v>134.24</v>
      </c>
      <c r="F468">
        <v>47.53</v>
      </c>
      <c r="G468">
        <v>118.51</v>
      </c>
      <c r="H468">
        <v>116.15</v>
      </c>
      <c r="I468">
        <v>59.43</v>
      </c>
      <c r="J468">
        <v>230.35</v>
      </c>
      <c r="K468">
        <v>186.12</v>
      </c>
      <c r="L468">
        <v>121.85</v>
      </c>
      <c r="M468">
        <v>48.41</v>
      </c>
      <c r="N468">
        <v>143.83000000000001</v>
      </c>
      <c r="O468">
        <v>110.58</v>
      </c>
      <c r="P468">
        <v>48.98</v>
      </c>
      <c r="Q468">
        <v>183.12</v>
      </c>
      <c r="R468">
        <v>198.55</v>
      </c>
      <c r="S468">
        <v>74.56</v>
      </c>
      <c r="T468">
        <v>111.48</v>
      </c>
      <c r="U468">
        <v>77.739999999999995</v>
      </c>
      <c r="V468">
        <v>43.68</v>
      </c>
      <c r="W468">
        <v>90.57</v>
      </c>
      <c r="X468">
        <v>129.47999999999999</v>
      </c>
      <c r="Y468">
        <v>273.76</v>
      </c>
      <c r="Z468">
        <v>129.04</v>
      </c>
      <c r="AA468">
        <v>144.27000000000001</v>
      </c>
      <c r="AB468">
        <v>57.06</v>
      </c>
      <c r="AC468">
        <v>80.98</v>
      </c>
      <c r="AD468">
        <v>103.75</v>
      </c>
      <c r="AE468">
        <v>81.290000000000006</v>
      </c>
      <c r="AI468" s="2">
        <v>5000</v>
      </c>
      <c r="AJ468" s="2">
        <f t="shared" si="293"/>
        <v>1330</v>
      </c>
      <c r="AK468" s="2">
        <f t="shared" si="293"/>
        <v>1330</v>
      </c>
      <c r="AL468" s="2">
        <f t="shared" si="293"/>
        <v>1330</v>
      </c>
      <c r="AM468" s="2">
        <f t="shared" si="293"/>
        <v>1330</v>
      </c>
      <c r="AN468" s="2">
        <f t="shared" si="293"/>
        <v>1330</v>
      </c>
      <c r="AO468" s="2">
        <f t="shared" si="293"/>
        <v>1330</v>
      </c>
      <c r="AP468" s="2">
        <f t="shared" si="293"/>
        <v>1210</v>
      </c>
      <c r="AQ468" s="2">
        <v>1000</v>
      </c>
      <c r="AR468" s="2">
        <v>0</v>
      </c>
      <c r="AS468" s="2">
        <v>10</v>
      </c>
      <c r="AT468" s="2">
        <v>0</v>
      </c>
      <c r="AU468" s="2">
        <v>0</v>
      </c>
      <c r="AV468" s="2">
        <v>0</v>
      </c>
      <c r="AW468" s="2">
        <v>0</v>
      </c>
      <c r="AX468" s="2">
        <v>0</v>
      </c>
      <c r="AY468" s="2">
        <v>0</v>
      </c>
      <c r="AZ468" s="2">
        <v>1029</v>
      </c>
      <c r="BA468" s="2">
        <v>1005</v>
      </c>
      <c r="BB468" s="2">
        <v>936</v>
      </c>
      <c r="BC468" s="2">
        <v>-2000</v>
      </c>
      <c r="BD468" s="2">
        <v>-7500</v>
      </c>
      <c r="BE468" s="2">
        <v>5000</v>
      </c>
      <c r="BF468" s="2">
        <v>5000</v>
      </c>
      <c r="BG468" s="2">
        <v>5000</v>
      </c>
      <c r="BH468" s="2">
        <v>2500</v>
      </c>
      <c r="BI468" s="2">
        <v>3000</v>
      </c>
      <c r="BJ468" s="2">
        <v>-2000</v>
      </c>
      <c r="BK468" s="2">
        <v>1000</v>
      </c>
      <c r="BL468" s="2">
        <v>1000</v>
      </c>
      <c r="BO468" s="2">
        <f t="shared" si="294"/>
        <v>0</v>
      </c>
      <c r="BP468" s="2">
        <f t="shared" si="301"/>
        <v>0</v>
      </c>
      <c r="BQ468" s="2">
        <f t="shared" si="302"/>
        <v>0</v>
      </c>
      <c r="BR468" s="2">
        <f t="shared" si="303"/>
        <v>0</v>
      </c>
      <c r="BS468" s="2">
        <f t="shared" si="304"/>
        <v>0</v>
      </c>
      <c r="BT468" s="2">
        <f t="shared" si="305"/>
        <v>0</v>
      </c>
      <c r="BU468" s="2">
        <f t="shared" si="306"/>
        <v>0</v>
      </c>
      <c r="BV468" s="2">
        <f t="shared" si="307"/>
        <v>0</v>
      </c>
      <c r="BW468" s="2">
        <f t="shared" si="308"/>
        <v>0</v>
      </c>
      <c r="BX468" s="2">
        <f t="shared" si="309"/>
        <v>0</v>
      </c>
      <c r="BY468" s="2">
        <f t="shared" si="310"/>
        <v>0</v>
      </c>
      <c r="BZ468" s="2">
        <f t="shared" si="311"/>
        <v>0</v>
      </c>
      <c r="CA468" s="2">
        <f t="shared" si="312"/>
        <v>0</v>
      </c>
      <c r="CB468" s="2">
        <f t="shared" si="313"/>
        <v>0</v>
      </c>
      <c r="CC468" s="2">
        <f t="shared" si="314"/>
        <v>0</v>
      </c>
      <c r="CD468" s="2">
        <f t="shared" si="315"/>
        <v>0</v>
      </c>
      <c r="CE468" s="2">
        <f t="shared" si="316"/>
        <v>0</v>
      </c>
      <c r="CF468" s="2">
        <f t="shared" si="317"/>
        <v>-2758.7200000000003</v>
      </c>
      <c r="CG468" s="2">
        <f t="shared" si="318"/>
        <v>-5796.96</v>
      </c>
      <c r="CH468" s="2">
        <f t="shared" si="319"/>
        <v>-1243.8399999999999</v>
      </c>
      <c r="CI468" s="2">
        <f t="shared" si="320"/>
        <v>0</v>
      </c>
      <c r="CJ468" s="2">
        <f t="shared" si="321"/>
        <v>0</v>
      </c>
      <c r="CK468" s="2">
        <f t="shared" si="322"/>
        <v>0</v>
      </c>
      <c r="CL468" s="2">
        <f t="shared" si="323"/>
        <v>0</v>
      </c>
      <c r="CM468" s="2">
        <f t="shared" si="295"/>
        <v>0</v>
      </c>
      <c r="CN468" s="2">
        <f t="shared" si="296"/>
        <v>0</v>
      </c>
      <c r="CO468" s="2">
        <f t="shared" si="297"/>
        <v>0</v>
      </c>
      <c r="CP468" s="2">
        <f t="shared" si="298"/>
        <v>0</v>
      </c>
      <c r="CQ468" s="2">
        <f t="shared" si="299"/>
        <v>0</v>
      </c>
      <c r="CR468" s="2">
        <f t="shared" si="300"/>
        <v>0</v>
      </c>
      <c r="CV468" t="s">
        <v>64</v>
      </c>
      <c r="CW468" t="s">
        <v>541</v>
      </c>
      <c r="CX468" t="s">
        <v>18</v>
      </c>
      <c r="CY468" s="4">
        <v>42956</v>
      </c>
      <c r="CZ468" t="s">
        <v>67</v>
      </c>
      <c r="DA468" t="s">
        <v>68</v>
      </c>
      <c r="DB468">
        <v>14</v>
      </c>
      <c r="DC468">
        <v>59.69</v>
      </c>
      <c r="DD468" t="s">
        <v>69</v>
      </c>
      <c r="DE468" t="s">
        <v>70</v>
      </c>
      <c r="DF468">
        <v>835.66</v>
      </c>
    </row>
    <row r="469" spans="1:110" x14ac:dyDescent="0.25">
      <c r="A469" s="1">
        <v>43412</v>
      </c>
      <c r="B469">
        <v>207.6</v>
      </c>
      <c r="C469">
        <v>108.06</v>
      </c>
      <c r="D469">
        <v>368.92</v>
      </c>
      <c r="E469">
        <v>130.55000000000001</v>
      </c>
      <c r="F469">
        <v>48.07</v>
      </c>
      <c r="G469">
        <v>117.03</v>
      </c>
      <c r="H469">
        <v>115.11</v>
      </c>
      <c r="I469">
        <v>59.05</v>
      </c>
      <c r="J469">
        <v>230.72</v>
      </c>
      <c r="K469">
        <v>186.88</v>
      </c>
      <c r="L469">
        <v>121.96</v>
      </c>
      <c r="M469">
        <v>48.68</v>
      </c>
      <c r="N469">
        <v>144.38</v>
      </c>
      <c r="O469">
        <v>111.47</v>
      </c>
      <c r="P469">
        <v>48.94</v>
      </c>
      <c r="Q469">
        <v>184.34</v>
      </c>
      <c r="R469">
        <v>201.29</v>
      </c>
      <c r="S469">
        <v>74.95</v>
      </c>
      <c r="T469">
        <v>111.27</v>
      </c>
      <c r="U469">
        <v>77.55</v>
      </c>
      <c r="V469">
        <v>43.47</v>
      </c>
      <c r="W469">
        <v>90.64</v>
      </c>
      <c r="X469">
        <v>130.19</v>
      </c>
      <c r="Y469">
        <v>275.77</v>
      </c>
      <c r="Z469">
        <v>129.82</v>
      </c>
      <c r="AA469">
        <v>144.72</v>
      </c>
      <c r="AB469">
        <v>57.67</v>
      </c>
      <c r="AC469">
        <v>81.94</v>
      </c>
      <c r="AD469">
        <v>104.31</v>
      </c>
      <c r="AE469">
        <v>80</v>
      </c>
      <c r="AI469" s="2">
        <v>5000</v>
      </c>
      <c r="AJ469" s="2">
        <f t="shared" si="293"/>
        <v>1330</v>
      </c>
      <c r="AK469" s="2">
        <f t="shared" si="293"/>
        <v>1330</v>
      </c>
      <c r="AL469" s="2">
        <f t="shared" si="293"/>
        <v>1330</v>
      </c>
      <c r="AM469" s="2">
        <f t="shared" si="293"/>
        <v>1330</v>
      </c>
      <c r="AN469" s="2">
        <f t="shared" si="293"/>
        <v>1330</v>
      </c>
      <c r="AO469" s="2">
        <f t="shared" si="293"/>
        <v>1330</v>
      </c>
      <c r="AP469" s="2">
        <f t="shared" si="293"/>
        <v>1210</v>
      </c>
      <c r="AQ469" s="2">
        <v>1000</v>
      </c>
      <c r="AR469" s="2">
        <v>0</v>
      </c>
      <c r="AS469" s="2">
        <v>10</v>
      </c>
      <c r="AT469" s="2">
        <v>0</v>
      </c>
      <c r="AU469" s="2">
        <v>0</v>
      </c>
      <c r="AV469" s="2">
        <v>0</v>
      </c>
      <c r="AW469" s="2">
        <v>0</v>
      </c>
      <c r="AX469" s="2">
        <v>0</v>
      </c>
      <c r="AY469" s="2">
        <v>0</v>
      </c>
      <c r="AZ469" s="2">
        <v>997</v>
      </c>
      <c r="BA469" s="2">
        <v>935</v>
      </c>
      <c r="BB469" s="2">
        <v>1091</v>
      </c>
      <c r="BC469" s="2">
        <v>-2000</v>
      </c>
      <c r="BD469" s="2">
        <v>-7500</v>
      </c>
      <c r="BE469" s="2">
        <v>5000</v>
      </c>
      <c r="BF469" s="2">
        <v>5000</v>
      </c>
      <c r="BG469" s="2">
        <v>5000</v>
      </c>
      <c r="BH469" s="2">
        <v>2500</v>
      </c>
      <c r="BI469" s="2">
        <v>3000</v>
      </c>
      <c r="BJ469" s="2">
        <v>-2000</v>
      </c>
      <c r="BK469" s="2">
        <v>1000</v>
      </c>
      <c r="BL469" s="2">
        <v>1000</v>
      </c>
      <c r="BO469" s="2">
        <f t="shared" si="294"/>
        <v>0</v>
      </c>
      <c r="BP469" s="2">
        <f t="shared" si="301"/>
        <v>0</v>
      </c>
      <c r="BQ469" s="2">
        <f t="shared" si="302"/>
        <v>0</v>
      </c>
      <c r="BR469" s="2">
        <f t="shared" si="303"/>
        <v>0</v>
      </c>
      <c r="BS469" s="2">
        <f t="shared" si="304"/>
        <v>0</v>
      </c>
      <c r="BT469" s="2">
        <f t="shared" si="305"/>
        <v>0</v>
      </c>
      <c r="BU469" s="2">
        <f t="shared" si="306"/>
        <v>0</v>
      </c>
      <c r="BV469" s="2">
        <f t="shared" si="307"/>
        <v>0</v>
      </c>
      <c r="BW469" s="2">
        <f t="shared" si="308"/>
        <v>0</v>
      </c>
      <c r="BX469" s="2">
        <f t="shared" si="309"/>
        <v>0</v>
      </c>
      <c r="BY469" s="2">
        <f t="shared" si="310"/>
        <v>0</v>
      </c>
      <c r="BZ469" s="2">
        <f t="shared" si="311"/>
        <v>0</v>
      </c>
      <c r="CA469" s="2">
        <f t="shared" si="312"/>
        <v>0</v>
      </c>
      <c r="CB469" s="2">
        <f t="shared" si="313"/>
        <v>0</v>
      </c>
      <c r="CC469" s="2">
        <f t="shared" si="314"/>
        <v>0</v>
      </c>
      <c r="CD469" s="2">
        <f t="shared" si="315"/>
        <v>0</v>
      </c>
      <c r="CE469" s="2">
        <f t="shared" si="316"/>
        <v>0</v>
      </c>
      <c r="CF469" s="2">
        <f t="shared" si="317"/>
        <v>2398.4</v>
      </c>
      <c r="CG469" s="2">
        <f t="shared" si="318"/>
        <v>7788.9</v>
      </c>
      <c r="CH469" s="2">
        <f t="shared" si="319"/>
        <v>-12020.25</v>
      </c>
      <c r="CI469" s="2">
        <f t="shared" si="320"/>
        <v>0</v>
      </c>
      <c r="CJ469" s="2">
        <f t="shared" si="321"/>
        <v>0</v>
      </c>
      <c r="CK469" s="2">
        <f t="shared" si="322"/>
        <v>0</v>
      </c>
      <c r="CL469" s="2">
        <f t="shared" si="323"/>
        <v>0</v>
      </c>
      <c r="CM469" s="2">
        <f t="shared" si="295"/>
        <v>0</v>
      </c>
      <c r="CN469" s="2">
        <f t="shared" si="296"/>
        <v>0</v>
      </c>
      <c r="CO469" s="2">
        <f t="shared" si="297"/>
        <v>0</v>
      </c>
      <c r="CP469" s="2">
        <f t="shared" si="298"/>
        <v>0</v>
      </c>
      <c r="CQ469" s="2">
        <f t="shared" si="299"/>
        <v>0</v>
      </c>
      <c r="CR469" s="2">
        <f t="shared" si="300"/>
        <v>0</v>
      </c>
      <c r="CV469" t="s">
        <v>64</v>
      </c>
      <c r="CW469" t="s">
        <v>542</v>
      </c>
      <c r="CX469" t="s">
        <v>18</v>
      </c>
      <c r="CY469" s="4">
        <v>42957</v>
      </c>
      <c r="CZ469" t="s">
        <v>65</v>
      </c>
      <c r="DA469" t="s">
        <v>66</v>
      </c>
      <c r="DB469">
        <v>9</v>
      </c>
      <c r="DC469">
        <v>59.39</v>
      </c>
      <c r="DD469" t="s">
        <v>69</v>
      </c>
      <c r="DE469" t="s">
        <v>70</v>
      </c>
      <c r="DF469">
        <v>534.51</v>
      </c>
    </row>
    <row r="470" spans="1:110" x14ac:dyDescent="0.25">
      <c r="A470" s="1">
        <v>43413</v>
      </c>
      <c r="B470">
        <v>203.6</v>
      </c>
      <c r="C470">
        <v>107.84</v>
      </c>
      <c r="D470">
        <v>367.49</v>
      </c>
      <c r="E470">
        <v>126.1</v>
      </c>
      <c r="F470">
        <v>46.75</v>
      </c>
      <c r="G470">
        <v>117.18</v>
      </c>
      <c r="H470">
        <v>117.09</v>
      </c>
      <c r="I470">
        <v>58.29</v>
      </c>
      <c r="J470">
        <v>221.75</v>
      </c>
      <c r="K470">
        <v>184.88</v>
      </c>
      <c r="L470">
        <v>122.12</v>
      </c>
      <c r="M470">
        <v>47.81</v>
      </c>
      <c r="N470">
        <v>144.41999999999999</v>
      </c>
      <c r="O470">
        <v>110.39</v>
      </c>
      <c r="P470">
        <v>49.29</v>
      </c>
      <c r="Q470">
        <v>184.8</v>
      </c>
      <c r="R470">
        <v>198.36</v>
      </c>
      <c r="S470">
        <v>74.34</v>
      </c>
      <c r="T470">
        <v>109.1</v>
      </c>
      <c r="U470">
        <v>76.13</v>
      </c>
      <c r="V470">
        <v>43.9</v>
      </c>
      <c r="W470">
        <v>91.68</v>
      </c>
      <c r="X470">
        <v>130.22999999999999</v>
      </c>
      <c r="Y470">
        <v>275.67</v>
      </c>
      <c r="Z470">
        <v>129.19999999999999</v>
      </c>
      <c r="AA470">
        <v>143.41999999999999</v>
      </c>
      <c r="AB470">
        <v>57.86</v>
      </c>
      <c r="AC470">
        <v>81.89</v>
      </c>
      <c r="AD470">
        <v>104.99</v>
      </c>
      <c r="AE470">
        <v>79.98</v>
      </c>
      <c r="AI470" s="2">
        <v>5000</v>
      </c>
      <c r="AJ470" s="2">
        <f t="shared" si="293"/>
        <v>1330</v>
      </c>
      <c r="AK470" s="2">
        <f t="shared" si="293"/>
        <v>1330</v>
      </c>
      <c r="AL470" s="2">
        <f t="shared" si="293"/>
        <v>1330</v>
      </c>
      <c r="AM470" s="2">
        <f t="shared" si="293"/>
        <v>1330</v>
      </c>
      <c r="AN470" s="2">
        <f t="shared" si="293"/>
        <v>1330</v>
      </c>
      <c r="AO470" s="2">
        <f t="shared" si="293"/>
        <v>1330</v>
      </c>
      <c r="AP470" s="2">
        <f t="shared" si="293"/>
        <v>1210</v>
      </c>
      <c r="AQ470" s="2">
        <v>1000</v>
      </c>
      <c r="AR470" s="2">
        <v>0</v>
      </c>
      <c r="AS470" s="2">
        <v>10</v>
      </c>
      <c r="AT470" s="2">
        <v>0</v>
      </c>
      <c r="AU470" s="2">
        <v>0</v>
      </c>
      <c r="AV470" s="2">
        <v>0</v>
      </c>
      <c r="AW470" s="2">
        <v>0</v>
      </c>
      <c r="AX470" s="2">
        <v>0</v>
      </c>
      <c r="AY470" s="2">
        <v>0</v>
      </c>
      <c r="AZ470" s="2">
        <v>978</v>
      </c>
      <c r="BA470" s="2">
        <v>1019</v>
      </c>
      <c r="BB470" s="2">
        <v>970</v>
      </c>
      <c r="BC470" s="2">
        <v>-2000</v>
      </c>
      <c r="BD470" s="2">
        <v>-7500</v>
      </c>
      <c r="BE470" s="2">
        <v>5000</v>
      </c>
      <c r="BF470" s="2">
        <v>5000</v>
      </c>
      <c r="BG470" s="2">
        <v>5000</v>
      </c>
      <c r="BH470" s="2">
        <v>2500</v>
      </c>
      <c r="BI470" s="2">
        <v>3000</v>
      </c>
      <c r="BJ470" s="2">
        <v>-2000</v>
      </c>
      <c r="BK470" s="2">
        <v>1000</v>
      </c>
      <c r="BL470" s="2">
        <v>1000</v>
      </c>
      <c r="BO470" s="2">
        <f t="shared" si="294"/>
        <v>0</v>
      </c>
      <c r="BP470" s="2">
        <f t="shared" si="301"/>
        <v>0</v>
      </c>
      <c r="BQ470" s="2">
        <f t="shared" si="302"/>
        <v>0</v>
      </c>
      <c r="BR470" s="2">
        <f t="shared" si="303"/>
        <v>0</v>
      </c>
      <c r="BS470" s="2">
        <f t="shared" si="304"/>
        <v>0</v>
      </c>
      <c r="BT470" s="2">
        <f t="shared" si="305"/>
        <v>0</v>
      </c>
      <c r="BU470" s="2">
        <f t="shared" si="306"/>
        <v>0</v>
      </c>
      <c r="BV470" s="2">
        <f t="shared" si="307"/>
        <v>0</v>
      </c>
      <c r="BW470" s="2">
        <f t="shared" si="308"/>
        <v>0</v>
      </c>
      <c r="BX470" s="2">
        <f t="shared" si="309"/>
        <v>0</v>
      </c>
      <c r="BY470" s="2">
        <f t="shared" si="310"/>
        <v>0</v>
      </c>
      <c r="BZ470" s="2">
        <f t="shared" si="311"/>
        <v>0</v>
      </c>
      <c r="CA470" s="2">
        <f t="shared" si="312"/>
        <v>0</v>
      </c>
      <c r="CB470" s="2">
        <f t="shared" si="313"/>
        <v>0</v>
      </c>
      <c r="CC470" s="2">
        <f t="shared" si="314"/>
        <v>0</v>
      </c>
      <c r="CD470" s="2">
        <f t="shared" si="315"/>
        <v>0</v>
      </c>
      <c r="CE470" s="2">
        <f t="shared" si="316"/>
        <v>0</v>
      </c>
      <c r="CF470" s="2">
        <f t="shared" si="317"/>
        <v>1412.46</v>
      </c>
      <c r="CG470" s="2">
        <f t="shared" si="318"/>
        <v>-9164.4</v>
      </c>
      <c r="CH470" s="2">
        <f t="shared" si="319"/>
        <v>9211.73</v>
      </c>
      <c r="CI470" s="2">
        <f t="shared" si="320"/>
        <v>0</v>
      </c>
      <c r="CJ470" s="2">
        <f t="shared" si="321"/>
        <v>0</v>
      </c>
      <c r="CK470" s="2">
        <f t="shared" si="322"/>
        <v>0</v>
      </c>
      <c r="CL470" s="2">
        <f t="shared" si="323"/>
        <v>0</v>
      </c>
      <c r="CM470" s="2">
        <f t="shared" si="295"/>
        <v>0</v>
      </c>
      <c r="CN470" s="2">
        <f t="shared" si="296"/>
        <v>0</v>
      </c>
      <c r="CO470" s="2">
        <f t="shared" si="297"/>
        <v>0</v>
      </c>
      <c r="CP470" s="2">
        <f t="shared" si="298"/>
        <v>0</v>
      </c>
      <c r="CQ470" s="2">
        <f t="shared" si="299"/>
        <v>0</v>
      </c>
      <c r="CR470" s="2">
        <f t="shared" si="300"/>
        <v>0</v>
      </c>
      <c r="CV470" t="s">
        <v>64</v>
      </c>
      <c r="CW470" t="s">
        <v>543</v>
      </c>
      <c r="CX470" t="s">
        <v>18</v>
      </c>
      <c r="CY470" s="4">
        <v>42958</v>
      </c>
      <c r="CZ470" t="s">
        <v>65</v>
      </c>
      <c r="DA470" t="s">
        <v>66</v>
      </c>
      <c r="DB470">
        <v>23</v>
      </c>
      <c r="DC470">
        <v>59.58</v>
      </c>
      <c r="DD470" t="s">
        <v>69</v>
      </c>
      <c r="DE470" t="s">
        <v>70</v>
      </c>
      <c r="DF470">
        <v>1370.34</v>
      </c>
    </row>
    <row r="471" spans="1:110" x14ac:dyDescent="0.25">
      <c r="A471" s="1">
        <v>43416</v>
      </c>
      <c r="B471">
        <v>193.34</v>
      </c>
      <c r="C471">
        <v>106.06</v>
      </c>
      <c r="D471">
        <v>355.25</v>
      </c>
      <c r="E471">
        <v>124.2</v>
      </c>
      <c r="F471">
        <v>45.27</v>
      </c>
      <c r="G471">
        <v>115.1</v>
      </c>
      <c r="H471">
        <v>115.8</v>
      </c>
      <c r="I471">
        <v>57.32</v>
      </c>
      <c r="J471">
        <v>205.22</v>
      </c>
      <c r="K471">
        <v>178.36</v>
      </c>
      <c r="L471">
        <v>119.51</v>
      </c>
      <c r="M471">
        <v>46.36</v>
      </c>
      <c r="N471">
        <v>144.69999999999999</v>
      </c>
      <c r="O471">
        <v>108.07</v>
      </c>
      <c r="P471">
        <v>49.48</v>
      </c>
      <c r="Q471">
        <v>183.24</v>
      </c>
      <c r="R471">
        <v>194.36</v>
      </c>
      <c r="S471">
        <v>74.17</v>
      </c>
      <c r="T471">
        <v>106.41</v>
      </c>
      <c r="U471">
        <v>74.88</v>
      </c>
      <c r="V471">
        <v>43.73</v>
      </c>
      <c r="W471">
        <v>91.97</v>
      </c>
      <c r="X471">
        <v>126.26</v>
      </c>
      <c r="Y471">
        <v>271.51</v>
      </c>
      <c r="Z471">
        <v>126.81</v>
      </c>
      <c r="AA471">
        <v>139.22999999999999</v>
      </c>
      <c r="AB471">
        <v>58.11</v>
      </c>
      <c r="AC471">
        <v>81.31</v>
      </c>
      <c r="AD471">
        <v>103.31</v>
      </c>
      <c r="AE471">
        <v>78.95</v>
      </c>
      <c r="AI471" s="2">
        <v>2500</v>
      </c>
      <c r="AJ471" s="2">
        <f t="shared" si="293"/>
        <v>1330</v>
      </c>
      <c r="AK471" s="2">
        <f t="shared" si="293"/>
        <v>1330</v>
      </c>
      <c r="AL471" s="2">
        <f t="shared" si="293"/>
        <v>1330</v>
      </c>
      <c r="AM471" s="2">
        <f t="shared" si="293"/>
        <v>1330</v>
      </c>
      <c r="AN471" s="2">
        <f t="shared" si="293"/>
        <v>1330</v>
      </c>
      <c r="AO471" s="2">
        <f t="shared" si="293"/>
        <v>1330</v>
      </c>
      <c r="AP471" s="2">
        <f t="shared" si="293"/>
        <v>1210</v>
      </c>
      <c r="AQ471" s="2">
        <v>1000</v>
      </c>
      <c r="AR471" s="2">
        <v>0</v>
      </c>
      <c r="AS471" s="2">
        <v>10</v>
      </c>
      <c r="AT471" s="2">
        <v>0</v>
      </c>
      <c r="AU471" s="2">
        <v>0</v>
      </c>
      <c r="AV471" s="2">
        <v>0</v>
      </c>
      <c r="AW471" s="2">
        <v>0</v>
      </c>
      <c r="AX471" s="2">
        <v>0</v>
      </c>
      <c r="AY471" s="2">
        <v>0</v>
      </c>
      <c r="AZ471" s="2">
        <v>993</v>
      </c>
      <c r="BA471" s="2">
        <v>936</v>
      </c>
      <c r="BB471" s="2">
        <v>1095</v>
      </c>
      <c r="BC471" s="2">
        <v>-2000</v>
      </c>
      <c r="BD471" s="2">
        <v>-7500</v>
      </c>
      <c r="BE471" s="2">
        <v>5000</v>
      </c>
      <c r="BF471" s="2">
        <v>5000</v>
      </c>
      <c r="BG471" s="2">
        <v>5000</v>
      </c>
      <c r="BH471" s="2">
        <v>2500</v>
      </c>
      <c r="BI471" s="2">
        <v>3000</v>
      </c>
      <c r="BJ471" s="2">
        <v>-2000</v>
      </c>
      <c r="BK471" s="2">
        <v>1000</v>
      </c>
      <c r="BL471" s="2">
        <v>1000</v>
      </c>
      <c r="BO471" s="2">
        <f t="shared" si="294"/>
        <v>483350</v>
      </c>
      <c r="BP471" s="2">
        <f t="shared" si="301"/>
        <v>0</v>
      </c>
      <c r="BQ471" s="2">
        <f t="shared" si="302"/>
        <v>0</v>
      </c>
      <c r="BR471" s="2">
        <f t="shared" si="303"/>
        <v>0</v>
      </c>
      <c r="BS471" s="2">
        <f t="shared" si="304"/>
        <v>0</v>
      </c>
      <c r="BT471" s="2">
        <f t="shared" si="305"/>
        <v>0</v>
      </c>
      <c r="BU471" s="2">
        <f t="shared" si="306"/>
        <v>0</v>
      </c>
      <c r="BV471" s="2">
        <f t="shared" si="307"/>
        <v>0</v>
      </c>
      <c r="BW471" s="2">
        <f t="shared" si="308"/>
        <v>0</v>
      </c>
      <c r="BX471" s="2">
        <f t="shared" si="309"/>
        <v>0</v>
      </c>
      <c r="BY471" s="2">
        <f t="shared" si="310"/>
        <v>0</v>
      </c>
      <c r="BZ471" s="2">
        <f t="shared" si="311"/>
        <v>0</v>
      </c>
      <c r="CA471" s="2">
        <f t="shared" si="312"/>
        <v>0</v>
      </c>
      <c r="CB471" s="2">
        <f t="shared" si="313"/>
        <v>0</v>
      </c>
      <c r="CC471" s="2">
        <f t="shared" si="314"/>
        <v>0</v>
      </c>
      <c r="CD471" s="2">
        <f t="shared" si="315"/>
        <v>0</v>
      </c>
      <c r="CE471" s="2">
        <f t="shared" si="316"/>
        <v>0</v>
      </c>
      <c r="CF471" s="2">
        <f t="shared" si="317"/>
        <v>-1112.55</v>
      </c>
      <c r="CG471" s="2">
        <f t="shared" si="318"/>
        <v>8832.0299999999988</v>
      </c>
      <c r="CH471" s="2">
        <f t="shared" si="319"/>
        <v>-9360</v>
      </c>
      <c r="CI471" s="2">
        <f t="shared" si="320"/>
        <v>0</v>
      </c>
      <c r="CJ471" s="2">
        <f t="shared" si="321"/>
        <v>0</v>
      </c>
      <c r="CK471" s="2">
        <f t="shared" si="322"/>
        <v>0</v>
      </c>
      <c r="CL471" s="2">
        <f t="shared" si="323"/>
        <v>0</v>
      </c>
      <c r="CM471" s="2">
        <f t="shared" si="295"/>
        <v>0</v>
      </c>
      <c r="CN471" s="2">
        <f t="shared" si="296"/>
        <v>0</v>
      </c>
      <c r="CO471" s="2">
        <f t="shared" si="297"/>
        <v>0</v>
      </c>
      <c r="CP471" s="2">
        <f t="shared" si="298"/>
        <v>0</v>
      </c>
      <c r="CQ471" s="2">
        <f t="shared" si="299"/>
        <v>0</v>
      </c>
      <c r="CR471" s="2">
        <f t="shared" si="300"/>
        <v>0</v>
      </c>
      <c r="CV471" t="s">
        <v>64</v>
      </c>
      <c r="CW471" t="s">
        <v>544</v>
      </c>
      <c r="CX471" t="s">
        <v>18</v>
      </c>
      <c r="CY471" s="4">
        <v>42961</v>
      </c>
      <c r="CZ471" t="s">
        <v>65</v>
      </c>
      <c r="DA471" t="s">
        <v>66</v>
      </c>
      <c r="DB471">
        <v>33</v>
      </c>
      <c r="DC471">
        <v>59.86</v>
      </c>
      <c r="DD471" t="s">
        <v>69</v>
      </c>
      <c r="DE471" t="s">
        <v>70</v>
      </c>
      <c r="DF471">
        <v>1975.3799999999999</v>
      </c>
    </row>
    <row r="472" spans="1:110" x14ac:dyDescent="0.25">
      <c r="A472" s="1">
        <v>43417</v>
      </c>
      <c r="B472">
        <v>191.41</v>
      </c>
      <c r="C472">
        <v>107.42</v>
      </c>
      <c r="D472">
        <v>347.76</v>
      </c>
      <c r="E472">
        <v>125.15</v>
      </c>
      <c r="F472">
        <v>44.77</v>
      </c>
      <c r="G472">
        <v>113.1</v>
      </c>
      <c r="H472">
        <v>115.95</v>
      </c>
      <c r="I472">
        <v>57.09</v>
      </c>
      <c r="J472">
        <v>204.22</v>
      </c>
      <c r="K472">
        <v>177.94</v>
      </c>
      <c r="L472">
        <v>119.45</v>
      </c>
      <c r="M472">
        <v>47.09</v>
      </c>
      <c r="N472">
        <v>143.76</v>
      </c>
      <c r="O472">
        <v>108.71</v>
      </c>
      <c r="P472">
        <v>49.47</v>
      </c>
      <c r="Q472">
        <v>182.88</v>
      </c>
      <c r="R472">
        <v>195.67</v>
      </c>
      <c r="S472">
        <v>74.09</v>
      </c>
      <c r="T472">
        <v>106.48</v>
      </c>
      <c r="U472">
        <v>74.98</v>
      </c>
      <c r="V472">
        <v>43.14</v>
      </c>
      <c r="W472">
        <v>92.74</v>
      </c>
      <c r="X472">
        <v>126.03</v>
      </c>
      <c r="Y472">
        <v>268.36</v>
      </c>
      <c r="Z472">
        <v>127.63</v>
      </c>
      <c r="AA472">
        <v>139.22999999999999</v>
      </c>
      <c r="AB472">
        <v>58.05</v>
      </c>
      <c r="AC472">
        <v>81.42</v>
      </c>
      <c r="AD472">
        <v>102.38</v>
      </c>
      <c r="AE472">
        <v>77.14</v>
      </c>
      <c r="AI472" s="2">
        <v>0</v>
      </c>
      <c r="AJ472" s="2">
        <f t="shared" si="293"/>
        <v>1330</v>
      </c>
      <c r="AK472" s="2">
        <f t="shared" si="293"/>
        <v>1330</v>
      </c>
      <c r="AL472" s="2">
        <f t="shared" si="293"/>
        <v>1330</v>
      </c>
      <c r="AM472" s="2">
        <f t="shared" si="293"/>
        <v>1330</v>
      </c>
      <c r="AN472" s="2">
        <f t="shared" si="293"/>
        <v>1330</v>
      </c>
      <c r="AO472" s="2">
        <f t="shared" si="293"/>
        <v>1330</v>
      </c>
      <c r="AP472" s="2">
        <f t="shared" si="293"/>
        <v>1210</v>
      </c>
      <c r="AQ472" s="2">
        <v>1000</v>
      </c>
      <c r="AR472" s="2">
        <v>0</v>
      </c>
      <c r="AS472" s="2">
        <v>10</v>
      </c>
      <c r="AT472" s="2">
        <v>0</v>
      </c>
      <c r="AU472" s="2">
        <v>0</v>
      </c>
      <c r="AV472" s="2">
        <v>0</v>
      </c>
      <c r="AW472" s="2">
        <v>0</v>
      </c>
      <c r="AX472" s="2">
        <v>0</v>
      </c>
      <c r="AY472" s="2">
        <v>0</v>
      </c>
      <c r="AZ472" s="2">
        <v>1037</v>
      </c>
      <c r="BA472" s="2">
        <v>1019</v>
      </c>
      <c r="BB472" s="2">
        <v>1009</v>
      </c>
      <c r="BC472" s="2">
        <v>-2000</v>
      </c>
      <c r="BD472" s="2">
        <v>-7500</v>
      </c>
      <c r="BE472" s="2">
        <v>5000</v>
      </c>
      <c r="BF472" s="2">
        <v>5000</v>
      </c>
      <c r="BG472" s="2">
        <v>5000</v>
      </c>
      <c r="BH472" s="2">
        <v>2500</v>
      </c>
      <c r="BI472" s="2">
        <v>3000</v>
      </c>
      <c r="BJ472" s="2">
        <v>-2000</v>
      </c>
      <c r="BK472" s="2">
        <v>1000</v>
      </c>
      <c r="BL472" s="2">
        <v>1000</v>
      </c>
      <c r="BO472" s="2">
        <f t="shared" si="294"/>
        <v>478525</v>
      </c>
      <c r="BP472" s="2">
        <f t="shared" si="301"/>
        <v>0</v>
      </c>
      <c r="BQ472" s="2">
        <f t="shared" si="302"/>
        <v>0</v>
      </c>
      <c r="BR472" s="2">
        <f t="shared" si="303"/>
        <v>0</v>
      </c>
      <c r="BS472" s="2">
        <f t="shared" si="304"/>
        <v>0</v>
      </c>
      <c r="BT472" s="2">
        <f t="shared" si="305"/>
        <v>0</v>
      </c>
      <c r="BU472" s="2">
        <f t="shared" si="306"/>
        <v>0</v>
      </c>
      <c r="BV472" s="2">
        <f t="shared" si="307"/>
        <v>0</v>
      </c>
      <c r="BW472" s="2">
        <f t="shared" si="308"/>
        <v>0</v>
      </c>
      <c r="BX472" s="2">
        <f t="shared" si="309"/>
        <v>0</v>
      </c>
      <c r="BY472" s="2">
        <f t="shared" si="310"/>
        <v>0</v>
      </c>
      <c r="BZ472" s="2">
        <f t="shared" si="311"/>
        <v>0</v>
      </c>
      <c r="CA472" s="2">
        <f t="shared" si="312"/>
        <v>0</v>
      </c>
      <c r="CB472" s="2">
        <f t="shared" si="313"/>
        <v>0</v>
      </c>
      <c r="CC472" s="2">
        <f t="shared" si="314"/>
        <v>0</v>
      </c>
      <c r="CD472" s="2">
        <f t="shared" si="315"/>
        <v>0</v>
      </c>
      <c r="CE472" s="2">
        <f t="shared" si="316"/>
        <v>0</v>
      </c>
      <c r="CF472" s="2">
        <f t="shared" si="317"/>
        <v>-3259.96</v>
      </c>
      <c r="CG472" s="2">
        <f t="shared" si="318"/>
        <v>-8837.84</v>
      </c>
      <c r="CH472" s="2">
        <f t="shared" si="319"/>
        <v>6448.2800000000007</v>
      </c>
      <c r="CI472" s="2">
        <f t="shared" si="320"/>
        <v>0</v>
      </c>
      <c r="CJ472" s="2">
        <f t="shared" si="321"/>
        <v>0</v>
      </c>
      <c r="CK472" s="2">
        <f t="shared" si="322"/>
        <v>0</v>
      </c>
      <c r="CL472" s="2">
        <f t="shared" si="323"/>
        <v>0</v>
      </c>
      <c r="CM472" s="2">
        <f t="shared" si="295"/>
        <v>0</v>
      </c>
      <c r="CN472" s="2">
        <f t="shared" si="296"/>
        <v>0</v>
      </c>
      <c r="CO472" s="2">
        <f t="shared" si="297"/>
        <v>0</v>
      </c>
      <c r="CP472" s="2">
        <f t="shared" si="298"/>
        <v>0</v>
      </c>
      <c r="CQ472" s="2">
        <f t="shared" si="299"/>
        <v>0</v>
      </c>
      <c r="CR472" s="2">
        <f t="shared" si="300"/>
        <v>0</v>
      </c>
      <c r="CV472" t="s">
        <v>64</v>
      </c>
      <c r="CW472" t="s">
        <v>545</v>
      </c>
      <c r="CX472" t="s">
        <v>18</v>
      </c>
      <c r="CY472" s="4">
        <v>42962</v>
      </c>
      <c r="CZ472" t="s">
        <v>67</v>
      </c>
      <c r="DA472" t="s">
        <v>68</v>
      </c>
      <c r="DB472">
        <v>34</v>
      </c>
      <c r="DC472">
        <v>59.7</v>
      </c>
      <c r="DD472" t="s">
        <v>69</v>
      </c>
      <c r="DE472" t="s">
        <v>70</v>
      </c>
      <c r="DF472">
        <v>2029.8000000000002</v>
      </c>
    </row>
    <row r="473" spans="1:110" x14ac:dyDescent="0.25">
      <c r="A473" s="1">
        <v>43418</v>
      </c>
      <c r="B473">
        <v>186</v>
      </c>
      <c r="C473">
        <v>107.33</v>
      </c>
      <c r="D473">
        <v>343</v>
      </c>
      <c r="E473">
        <v>124.3</v>
      </c>
      <c r="F473">
        <v>43.99</v>
      </c>
      <c r="G473">
        <v>113.46</v>
      </c>
      <c r="H473">
        <v>116.22</v>
      </c>
      <c r="I473">
        <v>57.6</v>
      </c>
      <c r="J473">
        <v>201.67</v>
      </c>
      <c r="K473">
        <v>178.83</v>
      </c>
      <c r="L473">
        <v>118.82</v>
      </c>
      <c r="M473">
        <v>46.79</v>
      </c>
      <c r="N473">
        <v>143.34</v>
      </c>
      <c r="O473">
        <v>106.47</v>
      </c>
      <c r="P473">
        <v>49.37</v>
      </c>
      <c r="Q473">
        <v>182.72</v>
      </c>
      <c r="R473">
        <v>195.37</v>
      </c>
      <c r="S473">
        <v>73.569999999999993</v>
      </c>
      <c r="T473">
        <v>104.97</v>
      </c>
      <c r="U473">
        <v>74.98</v>
      </c>
      <c r="V473">
        <v>42.54</v>
      </c>
      <c r="W473">
        <v>92.76</v>
      </c>
      <c r="X473">
        <v>122.28</v>
      </c>
      <c r="Y473">
        <v>264.12</v>
      </c>
      <c r="Z473">
        <v>127.4</v>
      </c>
      <c r="AA473">
        <v>139</v>
      </c>
      <c r="AB473">
        <v>58.33</v>
      </c>
      <c r="AC473">
        <v>81.02</v>
      </c>
      <c r="AD473">
        <v>100.98</v>
      </c>
      <c r="AE473">
        <v>76.540000000000006</v>
      </c>
      <c r="AI473" s="2">
        <v>-5000</v>
      </c>
      <c r="AJ473" s="2">
        <f t="shared" si="293"/>
        <v>1330</v>
      </c>
      <c r="AK473" s="2">
        <f t="shared" si="293"/>
        <v>1330</v>
      </c>
      <c r="AL473" s="2">
        <f t="shared" si="293"/>
        <v>1330</v>
      </c>
      <c r="AM473" s="2">
        <f t="shared" si="293"/>
        <v>1330</v>
      </c>
      <c r="AN473" s="2">
        <f t="shared" si="293"/>
        <v>1330</v>
      </c>
      <c r="AO473" s="2">
        <f t="shared" si="293"/>
        <v>1330</v>
      </c>
      <c r="AP473" s="2">
        <f t="shared" si="293"/>
        <v>1210</v>
      </c>
      <c r="AQ473" s="2">
        <v>1000</v>
      </c>
      <c r="AR473" s="2">
        <v>0</v>
      </c>
      <c r="AS473" s="2">
        <v>10</v>
      </c>
      <c r="AT473" s="2">
        <v>0</v>
      </c>
      <c r="AU473" s="2">
        <v>0</v>
      </c>
      <c r="AV473" s="2">
        <v>0</v>
      </c>
      <c r="AW473" s="2">
        <v>0</v>
      </c>
      <c r="AX473" s="2">
        <v>0</v>
      </c>
      <c r="AY473" s="2">
        <v>0</v>
      </c>
      <c r="AZ473" s="2">
        <v>982</v>
      </c>
      <c r="BA473" s="2">
        <v>1012</v>
      </c>
      <c r="BB473" s="2">
        <v>998</v>
      </c>
      <c r="BC473" s="2">
        <v>-2000</v>
      </c>
      <c r="BD473" s="2">
        <v>-7500</v>
      </c>
      <c r="BE473" s="2">
        <v>5000</v>
      </c>
      <c r="BF473" s="2">
        <v>5000</v>
      </c>
      <c r="BG473" s="2">
        <v>5000</v>
      </c>
      <c r="BH473" s="2">
        <v>2500</v>
      </c>
      <c r="BI473" s="2">
        <v>3000</v>
      </c>
      <c r="BJ473" s="2">
        <v>-2000</v>
      </c>
      <c r="BK473" s="2">
        <v>1000</v>
      </c>
      <c r="BL473" s="2">
        <v>1000</v>
      </c>
      <c r="BO473" s="2">
        <f t="shared" si="294"/>
        <v>930000</v>
      </c>
      <c r="BP473" s="2">
        <f t="shared" si="301"/>
        <v>0</v>
      </c>
      <c r="BQ473" s="2">
        <f t="shared" si="302"/>
        <v>0</v>
      </c>
      <c r="BR473" s="2">
        <f t="shared" si="303"/>
        <v>0</v>
      </c>
      <c r="BS473" s="2">
        <f t="shared" si="304"/>
        <v>0</v>
      </c>
      <c r="BT473" s="2">
        <f t="shared" si="305"/>
        <v>0</v>
      </c>
      <c r="BU473" s="2">
        <f t="shared" si="306"/>
        <v>0</v>
      </c>
      <c r="BV473" s="2">
        <f t="shared" si="307"/>
        <v>0</v>
      </c>
      <c r="BW473" s="2">
        <f t="shared" si="308"/>
        <v>0</v>
      </c>
      <c r="BX473" s="2">
        <f t="shared" si="309"/>
        <v>0</v>
      </c>
      <c r="BY473" s="2">
        <f t="shared" si="310"/>
        <v>0</v>
      </c>
      <c r="BZ473" s="2">
        <f t="shared" si="311"/>
        <v>0</v>
      </c>
      <c r="CA473" s="2">
        <f t="shared" si="312"/>
        <v>0</v>
      </c>
      <c r="CB473" s="2">
        <f t="shared" si="313"/>
        <v>0</v>
      </c>
      <c r="CC473" s="2">
        <f t="shared" si="314"/>
        <v>0</v>
      </c>
      <c r="CD473" s="2">
        <f t="shared" si="315"/>
        <v>0</v>
      </c>
      <c r="CE473" s="2">
        <f t="shared" si="316"/>
        <v>0</v>
      </c>
      <c r="CF473" s="2">
        <f t="shared" si="317"/>
        <v>4046.3499999999995</v>
      </c>
      <c r="CG473" s="2">
        <f t="shared" si="318"/>
        <v>734.79</v>
      </c>
      <c r="CH473" s="2">
        <f t="shared" si="319"/>
        <v>824.78000000000009</v>
      </c>
      <c r="CI473" s="2">
        <f t="shared" si="320"/>
        <v>0</v>
      </c>
      <c r="CJ473" s="2">
        <f t="shared" si="321"/>
        <v>0</v>
      </c>
      <c r="CK473" s="2">
        <f t="shared" si="322"/>
        <v>0</v>
      </c>
      <c r="CL473" s="2">
        <f t="shared" si="323"/>
        <v>0</v>
      </c>
      <c r="CM473" s="2">
        <f t="shared" si="295"/>
        <v>0</v>
      </c>
      <c r="CN473" s="2">
        <f t="shared" si="296"/>
        <v>0</v>
      </c>
      <c r="CO473" s="2">
        <f t="shared" si="297"/>
        <v>0</v>
      </c>
      <c r="CP473" s="2">
        <f t="shared" si="298"/>
        <v>0</v>
      </c>
      <c r="CQ473" s="2">
        <f t="shared" si="299"/>
        <v>0</v>
      </c>
      <c r="CR473" s="2">
        <f t="shared" si="300"/>
        <v>0</v>
      </c>
      <c r="CV473" t="s">
        <v>64</v>
      </c>
      <c r="CW473" t="s">
        <v>546</v>
      </c>
      <c r="CX473" t="s">
        <v>18</v>
      </c>
      <c r="CY473" s="4">
        <v>42963</v>
      </c>
      <c r="CZ473" t="s">
        <v>67</v>
      </c>
      <c r="DA473" t="s">
        <v>68</v>
      </c>
      <c r="DB473">
        <v>20</v>
      </c>
      <c r="DC473">
        <v>59.89</v>
      </c>
      <c r="DD473" t="s">
        <v>69</v>
      </c>
      <c r="DE473" t="s">
        <v>70</v>
      </c>
      <c r="DF473">
        <v>1197.8</v>
      </c>
    </row>
    <row r="474" spans="1:110" x14ac:dyDescent="0.25">
      <c r="A474" s="1">
        <v>43419</v>
      </c>
      <c r="B474">
        <v>190.59</v>
      </c>
      <c r="C474">
        <v>109.15</v>
      </c>
      <c r="D474">
        <v>339.86</v>
      </c>
      <c r="E474">
        <v>128.59</v>
      </c>
      <c r="F474">
        <v>46.41</v>
      </c>
      <c r="G474">
        <v>115.79</v>
      </c>
      <c r="H474">
        <v>116.21</v>
      </c>
      <c r="I474">
        <v>58.34</v>
      </c>
      <c r="J474">
        <v>202.92</v>
      </c>
      <c r="K474">
        <v>176.31</v>
      </c>
      <c r="L474">
        <v>120.04</v>
      </c>
      <c r="M474">
        <v>47.81</v>
      </c>
      <c r="N474">
        <v>143.59</v>
      </c>
      <c r="O474">
        <v>109.18</v>
      </c>
      <c r="P474">
        <v>49.35</v>
      </c>
      <c r="Q474">
        <v>182.43</v>
      </c>
      <c r="R474">
        <v>202.12</v>
      </c>
      <c r="S474">
        <v>74.319999999999993</v>
      </c>
      <c r="T474">
        <v>107.28</v>
      </c>
      <c r="U474">
        <v>74.11</v>
      </c>
      <c r="V474">
        <v>42.84</v>
      </c>
      <c r="W474">
        <v>93.09</v>
      </c>
      <c r="X474">
        <v>124.82</v>
      </c>
      <c r="Y474">
        <v>264.10000000000002</v>
      </c>
      <c r="Z474">
        <v>128.96</v>
      </c>
      <c r="AA474">
        <v>141.59</v>
      </c>
      <c r="AB474">
        <v>58.47</v>
      </c>
      <c r="AC474">
        <v>81.790000000000006</v>
      </c>
      <c r="AD474">
        <v>99</v>
      </c>
      <c r="AE474">
        <v>77.33</v>
      </c>
      <c r="AI474" s="2">
        <v>-5000</v>
      </c>
      <c r="AJ474" s="2">
        <f t="shared" si="293"/>
        <v>1330</v>
      </c>
      <c r="AK474" s="2">
        <f t="shared" si="293"/>
        <v>1330</v>
      </c>
      <c r="AL474" s="2">
        <f t="shared" si="293"/>
        <v>1330</v>
      </c>
      <c r="AM474" s="2">
        <f t="shared" si="293"/>
        <v>1330</v>
      </c>
      <c r="AN474" s="2">
        <f t="shared" si="293"/>
        <v>1330</v>
      </c>
      <c r="AO474" s="2">
        <f t="shared" si="293"/>
        <v>1330</v>
      </c>
      <c r="AP474" s="2">
        <f t="shared" si="293"/>
        <v>1210</v>
      </c>
      <c r="AQ474" s="2">
        <v>1000</v>
      </c>
      <c r="AR474" s="2">
        <v>0</v>
      </c>
      <c r="AS474" s="2">
        <v>10</v>
      </c>
      <c r="AT474" s="2">
        <v>0</v>
      </c>
      <c r="AU474" s="2">
        <v>0</v>
      </c>
      <c r="AV474" s="2">
        <v>0</v>
      </c>
      <c r="AW474" s="2">
        <v>0</v>
      </c>
      <c r="AX474" s="2">
        <v>0</v>
      </c>
      <c r="AY474" s="2">
        <v>0</v>
      </c>
      <c r="AZ474" s="2">
        <v>1029</v>
      </c>
      <c r="BA474" s="2">
        <v>1009</v>
      </c>
      <c r="BB474" s="2">
        <v>1050</v>
      </c>
      <c r="BC474" s="2">
        <v>-2000</v>
      </c>
      <c r="BD474" s="2">
        <v>-7500</v>
      </c>
      <c r="BE474" s="2">
        <v>5000</v>
      </c>
      <c r="BF474" s="2">
        <v>5000</v>
      </c>
      <c r="BG474" s="2">
        <v>5000</v>
      </c>
      <c r="BH474" s="2">
        <v>2500</v>
      </c>
      <c r="BI474" s="2">
        <v>3000</v>
      </c>
      <c r="BJ474" s="2">
        <v>-2000</v>
      </c>
      <c r="BK474" s="2">
        <v>1000</v>
      </c>
      <c r="BL474" s="2">
        <v>1000</v>
      </c>
      <c r="BO474" s="2">
        <f t="shared" si="294"/>
        <v>0</v>
      </c>
      <c r="BP474" s="2">
        <f t="shared" si="301"/>
        <v>0</v>
      </c>
      <c r="BQ474" s="2">
        <f t="shared" si="302"/>
        <v>0</v>
      </c>
      <c r="BR474" s="2">
        <f t="shared" si="303"/>
        <v>0</v>
      </c>
      <c r="BS474" s="2">
        <f t="shared" si="304"/>
        <v>0</v>
      </c>
      <c r="BT474" s="2">
        <f t="shared" si="305"/>
        <v>0</v>
      </c>
      <c r="BU474" s="2">
        <f t="shared" si="306"/>
        <v>0</v>
      </c>
      <c r="BV474" s="2">
        <f t="shared" si="307"/>
        <v>0</v>
      </c>
      <c r="BW474" s="2">
        <f t="shared" si="308"/>
        <v>0</v>
      </c>
      <c r="BX474" s="2">
        <f t="shared" si="309"/>
        <v>0</v>
      </c>
      <c r="BY474" s="2">
        <f t="shared" si="310"/>
        <v>0</v>
      </c>
      <c r="BZ474" s="2">
        <f t="shared" si="311"/>
        <v>0</v>
      </c>
      <c r="CA474" s="2">
        <f t="shared" si="312"/>
        <v>0</v>
      </c>
      <c r="CB474" s="2">
        <f t="shared" si="313"/>
        <v>0</v>
      </c>
      <c r="CC474" s="2">
        <f t="shared" si="314"/>
        <v>0</v>
      </c>
      <c r="CD474" s="2">
        <f t="shared" si="315"/>
        <v>0</v>
      </c>
      <c r="CE474" s="2">
        <f t="shared" si="316"/>
        <v>0</v>
      </c>
      <c r="CF474" s="2">
        <f t="shared" si="317"/>
        <v>-3493.0399999999995</v>
      </c>
      <c r="CG474" s="2">
        <f t="shared" si="318"/>
        <v>321.84000000000003</v>
      </c>
      <c r="CH474" s="2">
        <f t="shared" si="319"/>
        <v>-3853.72</v>
      </c>
      <c r="CI474" s="2">
        <f t="shared" si="320"/>
        <v>0</v>
      </c>
      <c r="CJ474" s="2">
        <f t="shared" si="321"/>
        <v>0</v>
      </c>
      <c r="CK474" s="2">
        <f t="shared" si="322"/>
        <v>0</v>
      </c>
      <c r="CL474" s="2">
        <f t="shared" si="323"/>
        <v>0</v>
      </c>
      <c r="CM474" s="2">
        <f t="shared" si="295"/>
        <v>0</v>
      </c>
      <c r="CN474" s="2">
        <f t="shared" si="296"/>
        <v>0</v>
      </c>
      <c r="CO474" s="2">
        <f t="shared" si="297"/>
        <v>0</v>
      </c>
      <c r="CP474" s="2">
        <f t="shared" si="298"/>
        <v>0</v>
      </c>
      <c r="CQ474" s="2">
        <f t="shared" si="299"/>
        <v>0</v>
      </c>
      <c r="CR474" s="2">
        <f t="shared" si="300"/>
        <v>0</v>
      </c>
      <c r="CV474" t="s">
        <v>64</v>
      </c>
      <c r="CW474" t="s">
        <v>547</v>
      </c>
      <c r="CX474" t="s">
        <v>18</v>
      </c>
      <c r="CY474" s="4">
        <v>42964</v>
      </c>
      <c r="CZ474" t="s">
        <v>65</v>
      </c>
      <c r="DA474" t="s">
        <v>66</v>
      </c>
      <c r="DB474">
        <v>60</v>
      </c>
      <c r="DC474">
        <v>59.07</v>
      </c>
      <c r="DD474" t="s">
        <v>69</v>
      </c>
      <c r="DE474" t="s">
        <v>70</v>
      </c>
      <c r="DF474">
        <v>3544.2</v>
      </c>
    </row>
    <row r="475" spans="1:110" x14ac:dyDescent="0.25">
      <c r="A475" s="1">
        <v>43420</v>
      </c>
      <c r="B475">
        <v>192.7</v>
      </c>
      <c r="C475">
        <v>109.01</v>
      </c>
      <c r="D475">
        <v>334.27</v>
      </c>
      <c r="E475">
        <v>129.13</v>
      </c>
      <c r="F475">
        <v>45.99</v>
      </c>
      <c r="G475">
        <v>117.88</v>
      </c>
      <c r="H475">
        <v>115.3</v>
      </c>
      <c r="I475">
        <v>58.8</v>
      </c>
      <c r="J475">
        <v>201.3</v>
      </c>
      <c r="K475">
        <v>175.97</v>
      </c>
      <c r="L475">
        <v>120.17</v>
      </c>
      <c r="M475">
        <v>48.52</v>
      </c>
      <c r="N475">
        <v>145.07</v>
      </c>
      <c r="O475">
        <v>109.1</v>
      </c>
      <c r="P475">
        <v>49.78</v>
      </c>
      <c r="Q475">
        <v>186.44</v>
      </c>
      <c r="R475">
        <v>206.16</v>
      </c>
      <c r="S475">
        <v>75.53</v>
      </c>
      <c r="T475">
        <v>108.29</v>
      </c>
      <c r="U475">
        <v>74.52</v>
      </c>
      <c r="V475">
        <v>43.13</v>
      </c>
      <c r="W475">
        <v>93.08</v>
      </c>
      <c r="X475">
        <v>127.98</v>
      </c>
      <c r="Y475">
        <v>270.25</v>
      </c>
      <c r="Z475">
        <v>129.36000000000001</v>
      </c>
      <c r="AA475">
        <v>139.94</v>
      </c>
      <c r="AB475">
        <v>59.59</v>
      </c>
      <c r="AC475">
        <v>82.02</v>
      </c>
      <c r="AD475">
        <v>97.16</v>
      </c>
      <c r="AE475">
        <v>78.09</v>
      </c>
      <c r="AI475" s="2">
        <v>-5000</v>
      </c>
      <c r="AJ475" s="2">
        <f t="shared" si="293"/>
        <v>1330</v>
      </c>
      <c r="AK475" s="2">
        <f t="shared" si="293"/>
        <v>1330</v>
      </c>
      <c r="AL475" s="2">
        <f t="shared" si="293"/>
        <v>1330</v>
      </c>
      <c r="AM475" s="2">
        <f t="shared" si="293"/>
        <v>1330</v>
      </c>
      <c r="AN475" s="2">
        <f t="shared" si="293"/>
        <v>1330</v>
      </c>
      <c r="AO475" s="2">
        <f t="shared" si="293"/>
        <v>1330</v>
      </c>
      <c r="AP475" s="2">
        <f t="shared" si="293"/>
        <v>1210</v>
      </c>
      <c r="AQ475" s="2">
        <v>1000</v>
      </c>
      <c r="AR475" s="2">
        <v>0</v>
      </c>
      <c r="AS475" s="2">
        <v>10</v>
      </c>
      <c r="AT475" s="2">
        <v>0</v>
      </c>
      <c r="AU475" s="2">
        <v>0</v>
      </c>
      <c r="AV475" s="2">
        <v>0</v>
      </c>
      <c r="AW475" s="2">
        <v>0</v>
      </c>
      <c r="AX475" s="2">
        <v>0</v>
      </c>
      <c r="AY475" s="2">
        <v>0</v>
      </c>
      <c r="AZ475" s="2">
        <v>1003</v>
      </c>
      <c r="BA475" s="2">
        <v>998</v>
      </c>
      <c r="BB475" s="2">
        <v>961</v>
      </c>
      <c r="BC475" s="2">
        <v>-2000</v>
      </c>
      <c r="BD475" s="2">
        <v>-7500</v>
      </c>
      <c r="BE475" s="2">
        <v>5000</v>
      </c>
      <c r="BF475" s="2">
        <v>5000</v>
      </c>
      <c r="BG475" s="2">
        <v>5000</v>
      </c>
      <c r="BH475" s="2">
        <v>2500</v>
      </c>
      <c r="BI475" s="2">
        <v>3000</v>
      </c>
      <c r="BJ475" s="2">
        <v>-2000</v>
      </c>
      <c r="BK475" s="2">
        <v>1000</v>
      </c>
      <c r="BL475" s="2">
        <v>1000</v>
      </c>
      <c r="BO475" s="2">
        <f t="shared" si="294"/>
        <v>0</v>
      </c>
      <c r="BP475" s="2">
        <f t="shared" si="301"/>
        <v>0</v>
      </c>
      <c r="BQ475" s="2">
        <f t="shared" si="302"/>
        <v>0</v>
      </c>
      <c r="BR475" s="2">
        <f t="shared" si="303"/>
        <v>0</v>
      </c>
      <c r="BS475" s="2">
        <f t="shared" si="304"/>
        <v>0</v>
      </c>
      <c r="BT475" s="2">
        <f t="shared" si="305"/>
        <v>0</v>
      </c>
      <c r="BU475" s="2">
        <f t="shared" si="306"/>
        <v>0</v>
      </c>
      <c r="BV475" s="2">
        <f t="shared" si="307"/>
        <v>0</v>
      </c>
      <c r="BW475" s="2">
        <f t="shared" si="308"/>
        <v>0</v>
      </c>
      <c r="BX475" s="2">
        <f t="shared" si="309"/>
        <v>0</v>
      </c>
      <c r="BY475" s="2">
        <f t="shared" si="310"/>
        <v>0</v>
      </c>
      <c r="BZ475" s="2">
        <f t="shared" si="311"/>
        <v>0</v>
      </c>
      <c r="CA475" s="2">
        <f t="shared" si="312"/>
        <v>0</v>
      </c>
      <c r="CB475" s="2">
        <f t="shared" si="313"/>
        <v>0</v>
      </c>
      <c r="CC475" s="2">
        <f t="shared" si="314"/>
        <v>0</v>
      </c>
      <c r="CD475" s="2">
        <f t="shared" si="315"/>
        <v>0</v>
      </c>
      <c r="CE475" s="2">
        <f t="shared" si="316"/>
        <v>0</v>
      </c>
      <c r="CF475" s="2">
        <f t="shared" si="317"/>
        <v>1963.78</v>
      </c>
      <c r="CG475" s="2">
        <f t="shared" si="318"/>
        <v>1191.19</v>
      </c>
      <c r="CH475" s="2">
        <f t="shared" si="319"/>
        <v>6632.28</v>
      </c>
      <c r="CI475" s="2">
        <f t="shared" si="320"/>
        <v>0</v>
      </c>
      <c r="CJ475" s="2">
        <f t="shared" si="321"/>
        <v>0</v>
      </c>
      <c r="CK475" s="2">
        <f t="shared" si="322"/>
        <v>0</v>
      </c>
      <c r="CL475" s="2">
        <f t="shared" si="323"/>
        <v>0</v>
      </c>
      <c r="CM475" s="2">
        <f t="shared" si="295"/>
        <v>0</v>
      </c>
      <c r="CN475" s="2">
        <f t="shared" si="296"/>
        <v>0</v>
      </c>
      <c r="CO475" s="2">
        <f t="shared" si="297"/>
        <v>0</v>
      </c>
      <c r="CP475" s="2">
        <f t="shared" si="298"/>
        <v>0</v>
      </c>
      <c r="CQ475" s="2">
        <f t="shared" si="299"/>
        <v>0</v>
      </c>
      <c r="CR475" s="2">
        <f t="shared" si="300"/>
        <v>0</v>
      </c>
      <c r="CV475" t="s">
        <v>64</v>
      </c>
      <c r="CW475" t="s">
        <v>548</v>
      </c>
      <c r="CX475" t="s">
        <v>18</v>
      </c>
      <c r="CY475" s="4">
        <v>42965</v>
      </c>
      <c r="CZ475" t="s">
        <v>67</v>
      </c>
      <c r="DA475" t="s">
        <v>68</v>
      </c>
      <c r="DB475">
        <v>53</v>
      </c>
      <c r="DC475">
        <v>58.73</v>
      </c>
      <c r="DD475" t="s">
        <v>69</v>
      </c>
      <c r="DE475" t="s">
        <v>70</v>
      </c>
      <c r="DF475">
        <v>3112.69</v>
      </c>
    </row>
    <row r="476" spans="1:110" x14ac:dyDescent="0.25">
      <c r="A476" s="1">
        <v>43423</v>
      </c>
      <c r="B476">
        <v>185.07</v>
      </c>
      <c r="C476">
        <v>107.81</v>
      </c>
      <c r="D476">
        <v>319.33999999999997</v>
      </c>
      <c r="E476">
        <v>125.17</v>
      </c>
      <c r="F476">
        <v>45.4</v>
      </c>
      <c r="G476">
        <v>118.23</v>
      </c>
      <c r="H476">
        <v>114.53</v>
      </c>
      <c r="I476">
        <v>57.42</v>
      </c>
      <c r="J476">
        <v>197.42</v>
      </c>
      <c r="K476">
        <v>172.56</v>
      </c>
      <c r="L476">
        <v>118.92</v>
      </c>
      <c r="M476">
        <v>47.7</v>
      </c>
      <c r="N476">
        <v>146.80000000000001</v>
      </c>
      <c r="O476">
        <v>109.94</v>
      </c>
      <c r="P476">
        <v>50.11</v>
      </c>
      <c r="Q476">
        <v>185.58</v>
      </c>
      <c r="R476">
        <v>202.78</v>
      </c>
      <c r="S476">
        <v>75.819999999999993</v>
      </c>
      <c r="T476">
        <v>104.62</v>
      </c>
      <c r="U476">
        <v>72.31</v>
      </c>
      <c r="V476">
        <v>43.8</v>
      </c>
      <c r="W476">
        <v>92.56</v>
      </c>
      <c r="X476">
        <v>129.72</v>
      </c>
      <c r="Y476">
        <v>265.2</v>
      </c>
      <c r="Z476">
        <v>127.09</v>
      </c>
      <c r="AA476">
        <v>134.53</v>
      </c>
      <c r="AB476">
        <v>59.99</v>
      </c>
      <c r="AC476">
        <v>81.42</v>
      </c>
      <c r="AD476">
        <v>96.25</v>
      </c>
      <c r="AE476">
        <v>78.349999999999994</v>
      </c>
      <c r="AI476" s="2">
        <v>0</v>
      </c>
      <c r="AJ476" s="2">
        <f t="shared" si="293"/>
        <v>1330</v>
      </c>
      <c r="AK476" s="2">
        <f t="shared" si="293"/>
        <v>1330</v>
      </c>
      <c r="AL476" s="2">
        <f t="shared" si="293"/>
        <v>1330</v>
      </c>
      <c r="AM476" s="2">
        <f t="shared" si="293"/>
        <v>1330</v>
      </c>
      <c r="AN476" s="2">
        <f t="shared" si="293"/>
        <v>1330</v>
      </c>
      <c r="AO476" s="2">
        <f t="shared" si="293"/>
        <v>1330</v>
      </c>
      <c r="AP476" s="2">
        <f t="shared" si="293"/>
        <v>1210</v>
      </c>
      <c r="AQ476" s="2">
        <v>1000</v>
      </c>
      <c r="AR476" s="2">
        <v>0</v>
      </c>
      <c r="AS476" s="2">
        <v>10</v>
      </c>
      <c r="AT476" s="2">
        <v>0</v>
      </c>
      <c r="AU476" s="2">
        <v>0</v>
      </c>
      <c r="AV476" s="2">
        <v>0</v>
      </c>
      <c r="AW476" s="2">
        <v>0</v>
      </c>
      <c r="AX476" s="2">
        <v>0</v>
      </c>
      <c r="AY476" s="2">
        <v>0</v>
      </c>
      <c r="AZ476" s="2">
        <v>1022</v>
      </c>
      <c r="BA476" s="2">
        <v>906</v>
      </c>
      <c r="BB476" s="2">
        <v>919</v>
      </c>
      <c r="BC476" s="2">
        <v>-2000</v>
      </c>
      <c r="BD476" s="2">
        <v>-7500</v>
      </c>
      <c r="BE476" s="2">
        <v>5000</v>
      </c>
      <c r="BF476" s="2">
        <v>5000</v>
      </c>
      <c r="BG476" s="2">
        <v>5000</v>
      </c>
      <c r="BH476" s="2">
        <v>2500</v>
      </c>
      <c r="BI476" s="2">
        <v>3000</v>
      </c>
      <c r="BJ476" s="2">
        <v>-2000</v>
      </c>
      <c r="BK476" s="2">
        <v>1000</v>
      </c>
      <c r="BL476" s="2">
        <v>1000</v>
      </c>
      <c r="BO476" s="2">
        <f t="shared" si="294"/>
        <v>-925350</v>
      </c>
      <c r="BP476" s="2">
        <f t="shared" si="301"/>
        <v>0</v>
      </c>
      <c r="BQ476" s="2">
        <f t="shared" si="302"/>
        <v>0</v>
      </c>
      <c r="BR476" s="2">
        <f t="shared" si="303"/>
        <v>0</v>
      </c>
      <c r="BS476" s="2">
        <f t="shared" si="304"/>
        <v>0</v>
      </c>
      <c r="BT476" s="2">
        <f t="shared" si="305"/>
        <v>0</v>
      </c>
      <c r="BU476" s="2">
        <f t="shared" si="306"/>
        <v>0</v>
      </c>
      <c r="BV476" s="2">
        <f t="shared" si="307"/>
        <v>0</v>
      </c>
      <c r="BW476" s="2">
        <f t="shared" si="308"/>
        <v>0</v>
      </c>
      <c r="BX476" s="2">
        <f t="shared" si="309"/>
        <v>0</v>
      </c>
      <c r="BY476" s="2">
        <f t="shared" si="310"/>
        <v>0</v>
      </c>
      <c r="BZ476" s="2">
        <f t="shared" si="311"/>
        <v>0</v>
      </c>
      <c r="CA476" s="2">
        <f t="shared" si="312"/>
        <v>0</v>
      </c>
      <c r="CB476" s="2">
        <f t="shared" si="313"/>
        <v>0</v>
      </c>
      <c r="CC476" s="2">
        <f t="shared" si="314"/>
        <v>0</v>
      </c>
      <c r="CD476" s="2">
        <f t="shared" si="315"/>
        <v>0</v>
      </c>
      <c r="CE476" s="2">
        <f t="shared" si="316"/>
        <v>0</v>
      </c>
      <c r="CF476" s="2">
        <f t="shared" si="317"/>
        <v>-1440.58</v>
      </c>
      <c r="CG476" s="2">
        <f t="shared" si="318"/>
        <v>9625.0400000000009</v>
      </c>
      <c r="CH476" s="2">
        <f t="shared" si="319"/>
        <v>3037.02</v>
      </c>
      <c r="CI476" s="2">
        <f t="shared" si="320"/>
        <v>0</v>
      </c>
      <c r="CJ476" s="2">
        <f t="shared" si="321"/>
        <v>0</v>
      </c>
      <c r="CK476" s="2">
        <f t="shared" si="322"/>
        <v>0</v>
      </c>
      <c r="CL476" s="2">
        <f t="shared" si="323"/>
        <v>0</v>
      </c>
      <c r="CM476" s="2">
        <f t="shared" si="295"/>
        <v>0</v>
      </c>
      <c r="CN476" s="2">
        <f t="shared" si="296"/>
        <v>0</v>
      </c>
      <c r="CO476" s="2">
        <f t="shared" si="297"/>
        <v>0</v>
      </c>
      <c r="CP476" s="2">
        <f t="shared" si="298"/>
        <v>0</v>
      </c>
      <c r="CQ476" s="2">
        <f t="shared" si="299"/>
        <v>0</v>
      </c>
      <c r="CR476" s="2">
        <f t="shared" si="300"/>
        <v>0</v>
      </c>
      <c r="CV476" t="s">
        <v>64</v>
      </c>
      <c r="CW476" t="s">
        <v>549</v>
      </c>
      <c r="CX476" t="s">
        <v>18</v>
      </c>
      <c r="CY476" s="4">
        <v>42968</v>
      </c>
      <c r="CZ476" t="s">
        <v>67</v>
      </c>
      <c r="DA476" t="s">
        <v>68</v>
      </c>
      <c r="DB476">
        <v>5</v>
      </c>
      <c r="DC476">
        <v>59.19</v>
      </c>
      <c r="DD476" t="s">
        <v>69</v>
      </c>
      <c r="DE476" t="s">
        <v>70</v>
      </c>
      <c r="DF476">
        <v>295.95</v>
      </c>
    </row>
    <row r="477" spans="1:110" x14ac:dyDescent="0.25">
      <c r="A477" s="1">
        <v>43424</v>
      </c>
      <c r="B477">
        <v>176.22</v>
      </c>
      <c r="C477">
        <v>105.66</v>
      </c>
      <c r="D477">
        <v>316.11</v>
      </c>
      <c r="E477">
        <v>121.49</v>
      </c>
      <c r="F477">
        <v>44.15</v>
      </c>
      <c r="G477">
        <v>114.94</v>
      </c>
      <c r="H477">
        <v>111.01</v>
      </c>
      <c r="I477">
        <v>56</v>
      </c>
      <c r="J477">
        <v>190.57</v>
      </c>
      <c r="K477">
        <v>168.04</v>
      </c>
      <c r="L477">
        <v>115.85</v>
      </c>
      <c r="M477">
        <v>47.09</v>
      </c>
      <c r="N477">
        <v>145.52000000000001</v>
      </c>
      <c r="O477">
        <v>107.58</v>
      </c>
      <c r="P477">
        <v>48.99</v>
      </c>
      <c r="Q477">
        <v>182.58</v>
      </c>
      <c r="R477">
        <v>197.78</v>
      </c>
      <c r="S477">
        <v>74.260000000000005</v>
      </c>
      <c r="T477">
        <v>101.71</v>
      </c>
      <c r="U477">
        <v>70.91</v>
      </c>
      <c r="V477">
        <v>43.15</v>
      </c>
      <c r="W477">
        <v>91.38</v>
      </c>
      <c r="X477">
        <v>127.58</v>
      </c>
      <c r="Y477">
        <v>260.67</v>
      </c>
      <c r="Z477">
        <v>125.26</v>
      </c>
      <c r="AA477">
        <v>133.13999999999999</v>
      </c>
      <c r="AB477">
        <v>58.85</v>
      </c>
      <c r="AC477">
        <v>79.31</v>
      </c>
      <c r="AD477">
        <v>93.65</v>
      </c>
      <c r="AE477">
        <v>76.12</v>
      </c>
      <c r="AI477" s="2">
        <v>0</v>
      </c>
      <c r="AJ477" s="2">
        <f t="shared" si="293"/>
        <v>1330</v>
      </c>
      <c r="AK477" s="2">
        <f t="shared" si="293"/>
        <v>1330</v>
      </c>
      <c r="AL477" s="2">
        <f t="shared" si="293"/>
        <v>1330</v>
      </c>
      <c r="AM477" s="2">
        <f t="shared" si="293"/>
        <v>1330</v>
      </c>
      <c r="AN477" s="2">
        <f t="shared" si="293"/>
        <v>1330</v>
      </c>
      <c r="AO477" s="2">
        <f t="shared" si="293"/>
        <v>1330</v>
      </c>
      <c r="AP477" s="2">
        <f t="shared" si="293"/>
        <v>1210</v>
      </c>
      <c r="AQ477" s="2">
        <v>1000</v>
      </c>
      <c r="AR477" s="2">
        <v>0</v>
      </c>
      <c r="AS477" s="2">
        <v>10</v>
      </c>
      <c r="AT477" s="2">
        <v>0</v>
      </c>
      <c r="AU477" s="2">
        <v>0</v>
      </c>
      <c r="AV477" s="2">
        <v>0</v>
      </c>
      <c r="AW477" s="2">
        <v>0</v>
      </c>
      <c r="AX477" s="2">
        <v>0</v>
      </c>
      <c r="AY477" s="2">
        <v>0</v>
      </c>
      <c r="AZ477" s="2">
        <v>972</v>
      </c>
      <c r="BA477" s="2">
        <v>1029</v>
      </c>
      <c r="BB477" s="2">
        <v>1032</v>
      </c>
      <c r="BC477" s="2">
        <v>-3000</v>
      </c>
      <c r="BD477" s="2">
        <v>-7500</v>
      </c>
      <c r="BE477" s="2">
        <v>5000</v>
      </c>
      <c r="BF477" s="2">
        <v>5000</v>
      </c>
      <c r="BG477" s="2">
        <v>5000</v>
      </c>
      <c r="BH477" s="2">
        <v>2500</v>
      </c>
      <c r="BI477" s="2">
        <v>3000</v>
      </c>
      <c r="BJ477" s="2">
        <v>-2000</v>
      </c>
      <c r="BK477" s="2">
        <v>1000</v>
      </c>
      <c r="BL477" s="2">
        <v>1000</v>
      </c>
      <c r="BO477" s="2">
        <f t="shared" si="294"/>
        <v>0</v>
      </c>
      <c r="BP477" s="2">
        <f t="shared" si="301"/>
        <v>0</v>
      </c>
      <c r="BQ477" s="2">
        <f t="shared" si="302"/>
        <v>0</v>
      </c>
      <c r="BR477" s="2">
        <f t="shared" si="303"/>
        <v>0</v>
      </c>
      <c r="BS477" s="2">
        <f t="shared" si="304"/>
        <v>0</v>
      </c>
      <c r="BT477" s="2">
        <f t="shared" si="305"/>
        <v>0</v>
      </c>
      <c r="BU477" s="2">
        <f t="shared" si="306"/>
        <v>0</v>
      </c>
      <c r="BV477" s="2">
        <f t="shared" si="307"/>
        <v>0</v>
      </c>
      <c r="BW477" s="2">
        <f t="shared" si="308"/>
        <v>0</v>
      </c>
      <c r="BX477" s="2">
        <f t="shared" si="309"/>
        <v>0</v>
      </c>
      <c r="BY477" s="2">
        <f t="shared" si="310"/>
        <v>0</v>
      </c>
      <c r="BZ477" s="2">
        <f t="shared" si="311"/>
        <v>0</v>
      </c>
      <c r="CA477" s="2">
        <f t="shared" si="312"/>
        <v>0</v>
      </c>
      <c r="CB477" s="2">
        <f t="shared" si="313"/>
        <v>0</v>
      </c>
      <c r="CC477" s="2">
        <f t="shared" si="314"/>
        <v>0</v>
      </c>
      <c r="CD477" s="2">
        <f t="shared" si="315"/>
        <v>0</v>
      </c>
      <c r="CE477" s="2">
        <f t="shared" si="316"/>
        <v>0</v>
      </c>
      <c r="CF477" s="2">
        <f t="shared" si="317"/>
        <v>3713.0000000000005</v>
      </c>
      <c r="CG477" s="2">
        <f t="shared" si="318"/>
        <v>-12510.33</v>
      </c>
      <c r="CH477" s="2">
        <f t="shared" si="319"/>
        <v>-8012.83</v>
      </c>
      <c r="CI477" s="2">
        <f t="shared" si="320"/>
        <v>43150</v>
      </c>
      <c r="CJ477" s="2">
        <f t="shared" si="321"/>
        <v>0</v>
      </c>
      <c r="CK477" s="2">
        <f t="shared" si="322"/>
        <v>0</v>
      </c>
      <c r="CL477" s="2">
        <f t="shared" si="323"/>
        <v>0</v>
      </c>
      <c r="CM477" s="2">
        <f t="shared" si="295"/>
        <v>0</v>
      </c>
      <c r="CN477" s="2">
        <f t="shared" si="296"/>
        <v>0</v>
      </c>
      <c r="CO477" s="2">
        <f t="shared" si="297"/>
        <v>0</v>
      </c>
      <c r="CP477" s="2">
        <f t="shared" si="298"/>
        <v>0</v>
      </c>
      <c r="CQ477" s="2">
        <f t="shared" si="299"/>
        <v>0</v>
      </c>
      <c r="CR477" s="2">
        <f t="shared" si="300"/>
        <v>0</v>
      </c>
      <c r="CV477" t="s">
        <v>64</v>
      </c>
      <c r="CW477" t="s">
        <v>550</v>
      </c>
      <c r="CX477" t="s">
        <v>18</v>
      </c>
      <c r="CY477" s="4">
        <v>42969</v>
      </c>
      <c r="CZ477" t="s">
        <v>65</v>
      </c>
      <c r="DA477" t="s">
        <v>66</v>
      </c>
      <c r="DB477">
        <v>30</v>
      </c>
      <c r="DC477">
        <v>59.62</v>
      </c>
      <c r="DD477" t="s">
        <v>69</v>
      </c>
      <c r="DE477" t="s">
        <v>70</v>
      </c>
      <c r="DF477">
        <v>1788.6</v>
      </c>
    </row>
    <row r="478" spans="1:110" x14ac:dyDescent="0.25">
      <c r="A478" s="1">
        <v>43425</v>
      </c>
      <c r="B478">
        <v>176.03</v>
      </c>
      <c r="C478">
        <v>106.07</v>
      </c>
      <c r="D478">
        <v>315.73</v>
      </c>
      <c r="E478">
        <v>123.08</v>
      </c>
      <c r="F478">
        <v>44.55</v>
      </c>
      <c r="G478">
        <v>116.4</v>
      </c>
      <c r="H478">
        <v>112.16</v>
      </c>
      <c r="I478">
        <v>56.59</v>
      </c>
      <c r="J478">
        <v>191.82</v>
      </c>
      <c r="K478">
        <v>168.29</v>
      </c>
      <c r="L478">
        <v>117.2</v>
      </c>
      <c r="M478">
        <v>46.73</v>
      </c>
      <c r="N478">
        <v>141.09</v>
      </c>
      <c r="O478">
        <v>106.77</v>
      </c>
      <c r="P478">
        <v>48.35</v>
      </c>
      <c r="Q478">
        <v>181.6</v>
      </c>
      <c r="R478">
        <v>197.33</v>
      </c>
      <c r="S478">
        <v>74.27</v>
      </c>
      <c r="T478">
        <v>103.11</v>
      </c>
      <c r="U478">
        <v>72.16</v>
      </c>
      <c r="V478">
        <v>42.73</v>
      </c>
      <c r="W478">
        <v>90.69</v>
      </c>
      <c r="X478">
        <v>126.98</v>
      </c>
      <c r="Y478">
        <v>259.72000000000003</v>
      </c>
      <c r="Z478">
        <v>124.97</v>
      </c>
      <c r="AA478">
        <v>134.19</v>
      </c>
      <c r="AB478">
        <v>58.55</v>
      </c>
      <c r="AC478">
        <v>79.28</v>
      </c>
      <c r="AD478">
        <v>93.66</v>
      </c>
      <c r="AE478">
        <v>76.709999999999994</v>
      </c>
      <c r="AI478" s="2">
        <v>0</v>
      </c>
      <c r="AJ478" s="2">
        <f t="shared" ref="AJ478:AP478" si="326">AJ477+10</f>
        <v>1340</v>
      </c>
      <c r="AK478" s="2">
        <f t="shared" si="326"/>
        <v>1340</v>
      </c>
      <c r="AL478" s="2">
        <f t="shared" si="326"/>
        <v>1340</v>
      </c>
      <c r="AM478" s="2">
        <f t="shared" si="326"/>
        <v>1340</v>
      </c>
      <c r="AN478" s="2">
        <f t="shared" si="326"/>
        <v>1340</v>
      </c>
      <c r="AO478" s="2">
        <f t="shared" si="326"/>
        <v>1340</v>
      </c>
      <c r="AP478" s="2">
        <f t="shared" si="326"/>
        <v>1220</v>
      </c>
      <c r="AQ478" s="2">
        <v>1000</v>
      </c>
      <c r="AR478" s="2">
        <v>0</v>
      </c>
      <c r="AS478" s="2">
        <v>10</v>
      </c>
      <c r="AT478" s="2">
        <v>0</v>
      </c>
      <c r="AU478" s="2">
        <v>0</v>
      </c>
      <c r="AV478" s="2">
        <v>0</v>
      </c>
      <c r="AW478" s="2">
        <v>0</v>
      </c>
      <c r="AX478" s="2">
        <v>0</v>
      </c>
      <c r="AY478" s="2">
        <v>0</v>
      </c>
      <c r="AZ478" s="2">
        <v>1002</v>
      </c>
      <c r="BA478" s="2">
        <v>949</v>
      </c>
      <c r="BB478" s="2">
        <v>990</v>
      </c>
      <c r="BC478" s="2">
        <v>-3000</v>
      </c>
      <c r="BD478" s="2">
        <v>-7500</v>
      </c>
      <c r="BE478" s="2">
        <v>5000</v>
      </c>
      <c r="BF478" s="2">
        <v>5000</v>
      </c>
      <c r="BG478" s="2">
        <v>5000</v>
      </c>
      <c r="BH478" s="2">
        <v>2500</v>
      </c>
      <c r="BI478" s="2">
        <v>3000</v>
      </c>
      <c r="BJ478" s="2">
        <v>-2000</v>
      </c>
      <c r="BK478" s="2">
        <v>1000</v>
      </c>
      <c r="BL478" s="2">
        <v>1000</v>
      </c>
      <c r="BO478" s="2">
        <f t="shared" si="294"/>
        <v>0</v>
      </c>
      <c r="BP478" s="2">
        <f t="shared" si="301"/>
        <v>-1060.6999999999998</v>
      </c>
      <c r="BQ478" s="2">
        <f t="shared" si="302"/>
        <v>-3157.3</v>
      </c>
      <c r="BR478" s="2">
        <f t="shared" si="303"/>
        <v>-1230.8</v>
      </c>
      <c r="BS478" s="2">
        <f t="shared" si="304"/>
        <v>-445.5</v>
      </c>
      <c r="BT478" s="2">
        <f t="shared" si="305"/>
        <v>-1164</v>
      </c>
      <c r="BU478" s="2">
        <f t="shared" si="306"/>
        <v>-1121.5999999999999</v>
      </c>
      <c r="BV478" s="2">
        <f t="shared" si="307"/>
        <v>-565.90000000000009</v>
      </c>
      <c r="BW478" s="2">
        <f t="shared" si="308"/>
        <v>0</v>
      </c>
      <c r="BX478" s="2">
        <f t="shared" si="309"/>
        <v>0</v>
      </c>
      <c r="BY478" s="2">
        <f t="shared" si="310"/>
        <v>0</v>
      </c>
      <c r="BZ478" s="2">
        <f t="shared" si="311"/>
        <v>0</v>
      </c>
      <c r="CA478" s="2">
        <f t="shared" si="312"/>
        <v>0</v>
      </c>
      <c r="CB478" s="2">
        <f t="shared" si="313"/>
        <v>0</v>
      </c>
      <c r="CC478" s="2">
        <f t="shared" si="314"/>
        <v>0</v>
      </c>
      <c r="CD478" s="2">
        <f t="shared" si="315"/>
        <v>0</v>
      </c>
      <c r="CE478" s="2">
        <f t="shared" si="316"/>
        <v>0</v>
      </c>
      <c r="CF478" s="2">
        <f t="shared" si="317"/>
        <v>-2228.1</v>
      </c>
      <c r="CG478" s="2">
        <f t="shared" si="318"/>
        <v>8248.7999999999993</v>
      </c>
      <c r="CH478" s="2">
        <f t="shared" si="319"/>
        <v>3030.72</v>
      </c>
      <c r="CI478" s="2">
        <f t="shared" si="320"/>
        <v>0</v>
      </c>
      <c r="CJ478" s="2">
        <f t="shared" si="321"/>
        <v>0</v>
      </c>
      <c r="CK478" s="2">
        <f t="shared" si="322"/>
        <v>0</v>
      </c>
      <c r="CL478" s="2">
        <f t="shared" si="323"/>
        <v>0</v>
      </c>
      <c r="CM478" s="2">
        <f t="shared" si="295"/>
        <v>0</v>
      </c>
      <c r="CN478" s="2">
        <f t="shared" si="296"/>
        <v>0</v>
      </c>
      <c r="CO478" s="2">
        <f t="shared" si="297"/>
        <v>0</v>
      </c>
      <c r="CP478" s="2">
        <f t="shared" si="298"/>
        <v>0</v>
      </c>
      <c r="CQ478" s="2">
        <f t="shared" si="299"/>
        <v>0</v>
      </c>
      <c r="CR478" s="2">
        <f t="shared" si="300"/>
        <v>0</v>
      </c>
      <c r="CV478" t="s">
        <v>64</v>
      </c>
      <c r="CW478" t="s">
        <v>551</v>
      </c>
      <c r="CX478" t="s">
        <v>18</v>
      </c>
      <c r="CY478" s="4">
        <v>42970</v>
      </c>
      <c r="CZ478" t="s">
        <v>67</v>
      </c>
      <c r="DA478" t="s">
        <v>68</v>
      </c>
      <c r="DB478">
        <v>67</v>
      </c>
      <c r="DC478">
        <v>59.36</v>
      </c>
      <c r="DD478" t="s">
        <v>69</v>
      </c>
      <c r="DE478" t="s">
        <v>70</v>
      </c>
      <c r="DF478">
        <v>3977.12</v>
      </c>
    </row>
    <row r="479" spans="1:110" x14ac:dyDescent="0.25">
      <c r="A479" s="1">
        <v>43427</v>
      </c>
      <c r="B479">
        <v>171.55</v>
      </c>
      <c r="C479">
        <v>105.31</v>
      </c>
      <c r="D479">
        <v>310.76</v>
      </c>
      <c r="E479">
        <v>121.54</v>
      </c>
      <c r="F479">
        <v>44.2</v>
      </c>
      <c r="G479">
        <v>112.47</v>
      </c>
      <c r="H479">
        <v>111.22</v>
      </c>
      <c r="I479">
        <v>56.06</v>
      </c>
      <c r="J479">
        <v>188.34</v>
      </c>
      <c r="K479">
        <v>167.85</v>
      </c>
      <c r="L479">
        <v>115.84</v>
      </c>
      <c r="M479">
        <v>46.25</v>
      </c>
      <c r="N479">
        <v>141.33000000000001</v>
      </c>
      <c r="O479">
        <v>105.79</v>
      </c>
      <c r="P479">
        <v>48.64</v>
      </c>
      <c r="Q479">
        <v>180.81</v>
      </c>
      <c r="R479">
        <v>195.45</v>
      </c>
      <c r="S479">
        <v>74.150000000000006</v>
      </c>
      <c r="T479">
        <v>103.07</v>
      </c>
      <c r="U479">
        <v>71.28</v>
      </c>
      <c r="V479">
        <v>42.77</v>
      </c>
      <c r="W479">
        <v>90.82</v>
      </c>
      <c r="X479">
        <v>125.82</v>
      </c>
      <c r="Y479">
        <v>260.79000000000002</v>
      </c>
      <c r="Z479">
        <v>128.28</v>
      </c>
      <c r="AA479">
        <v>132.63999999999999</v>
      </c>
      <c r="AB479">
        <v>58.03</v>
      </c>
      <c r="AC479">
        <v>80.319999999999993</v>
      </c>
      <c r="AD479">
        <v>94.58</v>
      </c>
      <c r="AE479">
        <v>74.66</v>
      </c>
      <c r="AI479" s="2">
        <v>0</v>
      </c>
      <c r="AJ479" s="2">
        <f t="shared" ref="AJ479:AP479" si="327">AJ478</f>
        <v>1340</v>
      </c>
      <c r="AK479" s="2">
        <f t="shared" si="327"/>
        <v>1340</v>
      </c>
      <c r="AL479" s="2">
        <f t="shared" si="327"/>
        <v>1340</v>
      </c>
      <c r="AM479" s="2">
        <f t="shared" si="327"/>
        <v>1340</v>
      </c>
      <c r="AN479" s="2">
        <f t="shared" si="327"/>
        <v>1340</v>
      </c>
      <c r="AO479" s="2">
        <f t="shared" si="327"/>
        <v>1340</v>
      </c>
      <c r="AP479" s="2">
        <f t="shared" si="327"/>
        <v>1220</v>
      </c>
      <c r="AQ479" s="2">
        <v>1000</v>
      </c>
      <c r="AR479" s="2">
        <v>0</v>
      </c>
      <c r="AS479" s="2">
        <v>10</v>
      </c>
      <c r="AT479" s="2">
        <v>0</v>
      </c>
      <c r="AU479" s="2">
        <v>0</v>
      </c>
      <c r="AV479" s="2">
        <v>0</v>
      </c>
      <c r="AW479" s="2">
        <v>0</v>
      </c>
      <c r="AX479" s="2">
        <v>0</v>
      </c>
      <c r="AY479" s="2">
        <v>0</v>
      </c>
      <c r="AZ479" s="2">
        <v>986</v>
      </c>
      <c r="BA479" s="2">
        <v>985</v>
      </c>
      <c r="BB479" s="2">
        <v>1009</v>
      </c>
      <c r="BC479" s="2">
        <v>-3000</v>
      </c>
      <c r="BD479" s="2">
        <v>-7500</v>
      </c>
      <c r="BE479" s="2">
        <v>5000</v>
      </c>
      <c r="BF479" s="2">
        <v>5000</v>
      </c>
      <c r="BG479" s="2">
        <v>5000</v>
      </c>
      <c r="BH479" s="2">
        <v>2500</v>
      </c>
      <c r="BI479" s="2">
        <v>3000</v>
      </c>
      <c r="BJ479" s="2">
        <v>-2000</v>
      </c>
      <c r="BK479" s="2">
        <v>1000</v>
      </c>
      <c r="BL479" s="2">
        <v>1000</v>
      </c>
      <c r="BO479" s="2">
        <f t="shared" si="294"/>
        <v>0</v>
      </c>
      <c r="BP479" s="2">
        <f t="shared" si="301"/>
        <v>0</v>
      </c>
      <c r="BQ479" s="2">
        <f t="shared" si="302"/>
        <v>0</v>
      </c>
      <c r="BR479" s="2">
        <f t="shared" si="303"/>
        <v>0</v>
      </c>
      <c r="BS479" s="2">
        <f t="shared" si="304"/>
        <v>0</v>
      </c>
      <c r="BT479" s="2">
        <f t="shared" si="305"/>
        <v>0</v>
      </c>
      <c r="BU479" s="2">
        <f t="shared" si="306"/>
        <v>0</v>
      </c>
      <c r="BV479" s="2">
        <f t="shared" si="307"/>
        <v>0</v>
      </c>
      <c r="BW479" s="2">
        <f t="shared" si="308"/>
        <v>0</v>
      </c>
      <c r="BX479" s="2">
        <f t="shared" si="309"/>
        <v>0</v>
      </c>
      <c r="BY479" s="2">
        <f t="shared" si="310"/>
        <v>0</v>
      </c>
      <c r="BZ479" s="2">
        <f t="shared" si="311"/>
        <v>0</v>
      </c>
      <c r="CA479" s="2">
        <f t="shared" si="312"/>
        <v>0</v>
      </c>
      <c r="CB479" s="2">
        <f t="shared" si="313"/>
        <v>0</v>
      </c>
      <c r="CC479" s="2">
        <f t="shared" si="314"/>
        <v>0</v>
      </c>
      <c r="CD479" s="2">
        <f t="shared" si="315"/>
        <v>0</v>
      </c>
      <c r="CE479" s="2">
        <f t="shared" si="316"/>
        <v>0</v>
      </c>
      <c r="CF479" s="2">
        <f t="shared" si="317"/>
        <v>1186.4000000000001</v>
      </c>
      <c r="CG479" s="2">
        <f t="shared" si="318"/>
        <v>-3710.5199999999995</v>
      </c>
      <c r="CH479" s="2">
        <f t="shared" si="319"/>
        <v>-1354.32</v>
      </c>
      <c r="CI479" s="2">
        <f t="shared" si="320"/>
        <v>0</v>
      </c>
      <c r="CJ479" s="2">
        <f t="shared" si="321"/>
        <v>0</v>
      </c>
      <c r="CK479" s="2">
        <f t="shared" si="322"/>
        <v>0</v>
      </c>
      <c r="CL479" s="2">
        <f t="shared" si="323"/>
        <v>0</v>
      </c>
      <c r="CM479" s="2">
        <f t="shared" si="295"/>
        <v>0</v>
      </c>
      <c r="CN479" s="2">
        <f t="shared" si="296"/>
        <v>0</v>
      </c>
      <c r="CO479" s="2">
        <f t="shared" si="297"/>
        <v>0</v>
      </c>
      <c r="CP479" s="2">
        <f t="shared" si="298"/>
        <v>0</v>
      </c>
      <c r="CQ479" s="2">
        <f t="shared" si="299"/>
        <v>0</v>
      </c>
      <c r="CR479" s="2">
        <f t="shared" si="300"/>
        <v>0</v>
      </c>
      <c r="CV479" t="s">
        <v>64</v>
      </c>
      <c r="CW479" t="s">
        <v>552</v>
      </c>
      <c r="CX479" t="s">
        <v>18</v>
      </c>
      <c r="CY479" s="4">
        <v>42971</v>
      </c>
      <c r="CZ479" t="s">
        <v>65</v>
      </c>
      <c r="DA479" t="s">
        <v>66</v>
      </c>
      <c r="DB479">
        <v>85</v>
      </c>
      <c r="DC479">
        <v>59.9</v>
      </c>
      <c r="DD479" t="s">
        <v>69</v>
      </c>
      <c r="DE479" t="s">
        <v>70</v>
      </c>
      <c r="DF479">
        <v>5091.5</v>
      </c>
    </row>
    <row r="480" spans="1:110" x14ac:dyDescent="0.25">
      <c r="A480" s="1">
        <v>43430</v>
      </c>
      <c r="B480">
        <v>173.87</v>
      </c>
      <c r="C480">
        <v>109.23</v>
      </c>
      <c r="D480">
        <v>314.77999999999997</v>
      </c>
      <c r="E480">
        <v>124</v>
      </c>
      <c r="F480">
        <v>45.22</v>
      </c>
      <c r="G480">
        <v>113.84</v>
      </c>
      <c r="H480">
        <v>111.68</v>
      </c>
      <c r="I480">
        <v>57.28</v>
      </c>
      <c r="J480">
        <v>193.56</v>
      </c>
      <c r="K480">
        <v>168.81</v>
      </c>
      <c r="L480">
        <v>118.18</v>
      </c>
      <c r="M480">
        <v>47.15</v>
      </c>
      <c r="N480">
        <v>141.37</v>
      </c>
      <c r="O480">
        <v>108.38</v>
      </c>
      <c r="P480">
        <v>48.49</v>
      </c>
      <c r="Q480">
        <v>182.76</v>
      </c>
      <c r="R480">
        <v>198.49</v>
      </c>
      <c r="S480">
        <v>74.91</v>
      </c>
      <c r="T480">
        <v>106.47</v>
      </c>
      <c r="U480">
        <v>72.489999999999995</v>
      </c>
      <c r="V480">
        <v>42.96</v>
      </c>
      <c r="W480">
        <v>91.22</v>
      </c>
      <c r="X480">
        <v>129.54</v>
      </c>
      <c r="Y480">
        <v>265.31</v>
      </c>
      <c r="Z480">
        <v>127.22</v>
      </c>
      <c r="AA480">
        <v>135.69999999999999</v>
      </c>
      <c r="AB480">
        <v>58.56</v>
      </c>
      <c r="AC480">
        <v>81.2</v>
      </c>
      <c r="AD480">
        <v>94.63</v>
      </c>
      <c r="AE480">
        <v>76.13</v>
      </c>
      <c r="AI480" s="2">
        <v>-2500</v>
      </c>
      <c r="AJ480" s="2">
        <f t="shared" ref="AJ480:AP503" si="328">AJ479</f>
        <v>1340</v>
      </c>
      <c r="AK480" s="2">
        <f t="shared" si="328"/>
        <v>1340</v>
      </c>
      <c r="AL480" s="2">
        <f t="shared" si="328"/>
        <v>1340</v>
      </c>
      <c r="AM480" s="2">
        <f t="shared" si="328"/>
        <v>1340</v>
      </c>
      <c r="AN480" s="2">
        <f t="shared" si="328"/>
        <v>1340</v>
      </c>
      <c r="AO480" s="2">
        <f t="shared" si="328"/>
        <v>1340</v>
      </c>
      <c r="AP480" s="2">
        <f t="shared" si="328"/>
        <v>1220</v>
      </c>
      <c r="AQ480" s="2">
        <v>1000</v>
      </c>
      <c r="AR480" s="2">
        <v>0</v>
      </c>
      <c r="AS480" s="2">
        <v>10</v>
      </c>
      <c r="AT480" s="2">
        <v>0</v>
      </c>
      <c r="AU480" s="2">
        <v>0</v>
      </c>
      <c r="AV480" s="2">
        <v>0</v>
      </c>
      <c r="AW480" s="2">
        <v>0</v>
      </c>
      <c r="AX480" s="2">
        <v>0</v>
      </c>
      <c r="AY480" s="2">
        <v>0</v>
      </c>
      <c r="AZ480" s="2">
        <v>1023</v>
      </c>
      <c r="BA480" s="2">
        <v>1029</v>
      </c>
      <c r="BB480" s="2">
        <v>955</v>
      </c>
      <c r="BC480" s="2">
        <v>-3000</v>
      </c>
      <c r="BD480" s="2">
        <v>-7500</v>
      </c>
      <c r="BE480" s="2">
        <v>5000</v>
      </c>
      <c r="BF480" s="2">
        <v>5000</v>
      </c>
      <c r="BG480" s="2">
        <v>5000</v>
      </c>
      <c r="BH480" s="2">
        <v>2500</v>
      </c>
      <c r="BI480" s="2">
        <v>3000</v>
      </c>
      <c r="BJ480" s="2">
        <v>-2000</v>
      </c>
      <c r="BK480" s="2">
        <v>1000</v>
      </c>
      <c r="BL480" s="2">
        <v>1000</v>
      </c>
      <c r="BO480" s="2">
        <f t="shared" si="294"/>
        <v>434675</v>
      </c>
      <c r="BP480" s="2">
        <f t="shared" si="301"/>
        <v>0</v>
      </c>
      <c r="BQ480" s="2">
        <f t="shared" si="302"/>
        <v>0</v>
      </c>
      <c r="BR480" s="2">
        <f t="shared" si="303"/>
        <v>0</v>
      </c>
      <c r="BS480" s="2">
        <f t="shared" si="304"/>
        <v>0</v>
      </c>
      <c r="BT480" s="2">
        <f t="shared" si="305"/>
        <v>0</v>
      </c>
      <c r="BU480" s="2">
        <f t="shared" si="306"/>
        <v>0</v>
      </c>
      <c r="BV480" s="2">
        <f t="shared" si="307"/>
        <v>0</v>
      </c>
      <c r="BW480" s="2">
        <f t="shared" si="308"/>
        <v>0</v>
      </c>
      <c r="BX480" s="2">
        <f t="shared" si="309"/>
        <v>0</v>
      </c>
      <c r="BY480" s="2">
        <f t="shared" si="310"/>
        <v>0</v>
      </c>
      <c r="BZ480" s="2">
        <f t="shared" si="311"/>
        <v>0</v>
      </c>
      <c r="CA480" s="2">
        <f t="shared" si="312"/>
        <v>0</v>
      </c>
      <c r="CB480" s="2">
        <f t="shared" si="313"/>
        <v>0</v>
      </c>
      <c r="CC480" s="2">
        <f t="shared" si="314"/>
        <v>0</v>
      </c>
      <c r="CD480" s="2">
        <f t="shared" si="315"/>
        <v>0</v>
      </c>
      <c r="CE480" s="2">
        <f t="shared" si="316"/>
        <v>0</v>
      </c>
      <c r="CF480" s="2">
        <f t="shared" si="317"/>
        <v>-2771.67</v>
      </c>
      <c r="CG480" s="2">
        <f t="shared" si="318"/>
        <v>-4684.68</v>
      </c>
      <c r="CH480" s="2">
        <f t="shared" si="319"/>
        <v>3914.4599999999996</v>
      </c>
      <c r="CI480" s="2">
        <f t="shared" si="320"/>
        <v>0</v>
      </c>
      <c r="CJ480" s="2">
        <f t="shared" si="321"/>
        <v>0</v>
      </c>
      <c r="CK480" s="2">
        <f t="shared" si="322"/>
        <v>0</v>
      </c>
      <c r="CL480" s="2">
        <f t="shared" si="323"/>
        <v>0</v>
      </c>
      <c r="CM480" s="2">
        <f t="shared" si="295"/>
        <v>0</v>
      </c>
      <c r="CN480" s="2">
        <f t="shared" si="296"/>
        <v>0</v>
      </c>
      <c r="CO480" s="2">
        <f t="shared" si="297"/>
        <v>0</v>
      </c>
      <c r="CP480" s="2">
        <f t="shared" si="298"/>
        <v>0</v>
      </c>
      <c r="CQ480" s="2">
        <f t="shared" si="299"/>
        <v>0</v>
      </c>
      <c r="CR480" s="2">
        <f t="shared" si="300"/>
        <v>0</v>
      </c>
      <c r="CV480" t="s">
        <v>64</v>
      </c>
      <c r="CW480" t="s">
        <v>553</v>
      </c>
      <c r="CX480" t="s">
        <v>18</v>
      </c>
      <c r="CY480" s="4">
        <v>42972</v>
      </c>
      <c r="CZ480" t="s">
        <v>67</v>
      </c>
      <c r="DA480" t="s">
        <v>68</v>
      </c>
      <c r="DB480">
        <v>45</v>
      </c>
      <c r="DC480">
        <v>60.12</v>
      </c>
      <c r="DD480" t="s">
        <v>69</v>
      </c>
      <c r="DE480" t="s">
        <v>70</v>
      </c>
      <c r="DF480">
        <v>2705.4</v>
      </c>
    </row>
    <row r="481" spans="1:110" x14ac:dyDescent="0.25">
      <c r="A481" s="1">
        <v>43431</v>
      </c>
      <c r="B481">
        <v>173.5</v>
      </c>
      <c r="C481">
        <v>109.66</v>
      </c>
      <c r="D481">
        <v>316.44</v>
      </c>
      <c r="E481">
        <v>123.8</v>
      </c>
      <c r="F481">
        <v>45.77</v>
      </c>
      <c r="G481">
        <v>114.06</v>
      </c>
      <c r="H481">
        <v>113.02</v>
      </c>
      <c r="I481">
        <v>56.8</v>
      </c>
      <c r="J481">
        <v>192.87</v>
      </c>
      <c r="K481">
        <v>172.19</v>
      </c>
      <c r="L481">
        <v>118.65</v>
      </c>
      <c r="M481">
        <v>47.77</v>
      </c>
      <c r="N481">
        <v>143.22</v>
      </c>
      <c r="O481">
        <v>108.84</v>
      </c>
      <c r="P481">
        <v>48.98</v>
      </c>
      <c r="Q481">
        <v>183.5</v>
      </c>
      <c r="R481">
        <v>199.31</v>
      </c>
      <c r="S481">
        <v>75.81</v>
      </c>
      <c r="T481">
        <v>107.14</v>
      </c>
      <c r="U481">
        <v>71.88</v>
      </c>
      <c r="V481">
        <v>43.69</v>
      </c>
      <c r="W481">
        <v>91.99</v>
      </c>
      <c r="X481">
        <v>128.81</v>
      </c>
      <c r="Y481">
        <v>270.29000000000002</v>
      </c>
      <c r="Z481">
        <v>121.96</v>
      </c>
      <c r="AA481">
        <v>135.66999999999999</v>
      </c>
      <c r="AB481">
        <v>60.02</v>
      </c>
      <c r="AC481">
        <v>83.01</v>
      </c>
      <c r="AD481">
        <v>94.52</v>
      </c>
      <c r="AE481">
        <v>76.2</v>
      </c>
      <c r="AI481" s="2">
        <v>-2500</v>
      </c>
      <c r="AJ481" s="2">
        <f t="shared" si="328"/>
        <v>1340</v>
      </c>
      <c r="AK481" s="2">
        <f t="shared" si="328"/>
        <v>1340</v>
      </c>
      <c r="AL481" s="2">
        <f t="shared" si="328"/>
        <v>1340</v>
      </c>
      <c r="AM481" s="2">
        <f t="shared" si="328"/>
        <v>1340</v>
      </c>
      <c r="AN481" s="2">
        <f t="shared" si="328"/>
        <v>1340</v>
      </c>
      <c r="AO481" s="2">
        <f t="shared" si="328"/>
        <v>1340</v>
      </c>
      <c r="AP481" s="2">
        <f t="shared" si="328"/>
        <v>1220</v>
      </c>
      <c r="AQ481" s="2">
        <v>1000</v>
      </c>
      <c r="AR481" s="2">
        <v>0</v>
      </c>
      <c r="AS481" s="2">
        <v>10</v>
      </c>
      <c r="AT481" s="2">
        <v>0</v>
      </c>
      <c r="AU481" s="2">
        <v>0</v>
      </c>
      <c r="AV481" s="2">
        <v>0</v>
      </c>
      <c r="AW481" s="2">
        <v>0</v>
      </c>
      <c r="AX481" s="2">
        <v>0</v>
      </c>
      <c r="AY481" s="2">
        <v>0</v>
      </c>
      <c r="AZ481" s="2">
        <v>1038</v>
      </c>
      <c r="BA481" s="2">
        <v>1063</v>
      </c>
      <c r="BB481" s="2">
        <v>901</v>
      </c>
      <c r="BC481" s="2">
        <v>-3000</v>
      </c>
      <c r="BD481" s="2">
        <v>-7500</v>
      </c>
      <c r="BE481" s="2">
        <v>5000</v>
      </c>
      <c r="BF481" s="2">
        <v>5000</v>
      </c>
      <c r="BG481" s="2">
        <v>5000</v>
      </c>
      <c r="BH481" s="2">
        <v>2500</v>
      </c>
      <c r="BI481" s="2">
        <v>3000</v>
      </c>
      <c r="BJ481" s="2">
        <v>-2000</v>
      </c>
      <c r="BK481" s="2">
        <v>1000</v>
      </c>
      <c r="BL481" s="2">
        <v>1000</v>
      </c>
      <c r="BO481" s="2">
        <f t="shared" si="294"/>
        <v>0</v>
      </c>
      <c r="BP481" s="2">
        <f t="shared" si="301"/>
        <v>0</v>
      </c>
      <c r="BQ481" s="2">
        <f t="shared" si="302"/>
        <v>0</v>
      </c>
      <c r="BR481" s="2">
        <f t="shared" si="303"/>
        <v>0</v>
      </c>
      <c r="BS481" s="2">
        <f t="shared" si="304"/>
        <v>0</v>
      </c>
      <c r="BT481" s="2">
        <f t="shared" si="305"/>
        <v>0</v>
      </c>
      <c r="BU481" s="2">
        <f t="shared" si="306"/>
        <v>0</v>
      </c>
      <c r="BV481" s="2">
        <f t="shared" si="307"/>
        <v>0</v>
      </c>
      <c r="BW481" s="2">
        <f t="shared" si="308"/>
        <v>0</v>
      </c>
      <c r="BX481" s="2">
        <f t="shared" si="309"/>
        <v>0</v>
      </c>
      <c r="BY481" s="2">
        <f t="shared" si="310"/>
        <v>0</v>
      </c>
      <c r="BZ481" s="2">
        <f t="shared" si="311"/>
        <v>0</v>
      </c>
      <c r="CA481" s="2">
        <f t="shared" si="312"/>
        <v>0</v>
      </c>
      <c r="CB481" s="2">
        <f t="shared" si="313"/>
        <v>0</v>
      </c>
      <c r="CC481" s="2">
        <f t="shared" si="314"/>
        <v>0</v>
      </c>
      <c r="CD481" s="2">
        <f t="shared" si="315"/>
        <v>0</v>
      </c>
      <c r="CE481" s="2">
        <f t="shared" si="316"/>
        <v>0</v>
      </c>
      <c r="CF481" s="2">
        <f t="shared" si="317"/>
        <v>-1137.1500000000001</v>
      </c>
      <c r="CG481" s="2">
        <f t="shared" si="318"/>
        <v>-3642.76</v>
      </c>
      <c r="CH481" s="2">
        <f t="shared" si="319"/>
        <v>3881.5199999999995</v>
      </c>
      <c r="CI481" s="2">
        <f t="shared" si="320"/>
        <v>0</v>
      </c>
      <c r="CJ481" s="2">
        <f t="shared" si="321"/>
        <v>0</v>
      </c>
      <c r="CK481" s="2">
        <f t="shared" si="322"/>
        <v>0</v>
      </c>
      <c r="CL481" s="2">
        <f t="shared" si="323"/>
        <v>0</v>
      </c>
      <c r="CM481" s="2">
        <f t="shared" si="295"/>
        <v>0</v>
      </c>
      <c r="CN481" s="2">
        <f t="shared" si="296"/>
        <v>0</v>
      </c>
      <c r="CO481" s="2">
        <f t="shared" si="297"/>
        <v>0</v>
      </c>
      <c r="CP481" s="2">
        <f t="shared" si="298"/>
        <v>0</v>
      </c>
      <c r="CQ481" s="2">
        <f t="shared" si="299"/>
        <v>0</v>
      </c>
      <c r="CR481" s="2">
        <f t="shared" si="300"/>
        <v>0</v>
      </c>
      <c r="CV481" t="s">
        <v>64</v>
      </c>
      <c r="CW481" t="s">
        <v>554</v>
      </c>
      <c r="CX481" t="s">
        <v>18</v>
      </c>
      <c r="CY481" s="4">
        <v>42975</v>
      </c>
      <c r="CZ481" t="s">
        <v>67</v>
      </c>
      <c r="DA481" t="s">
        <v>68</v>
      </c>
      <c r="DB481">
        <v>8</v>
      </c>
      <c r="DC481">
        <v>60.48</v>
      </c>
      <c r="DD481" t="s">
        <v>69</v>
      </c>
      <c r="DE481" t="s">
        <v>70</v>
      </c>
      <c r="DF481">
        <v>483.84</v>
      </c>
    </row>
    <row r="482" spans="1:110" x14ac:dyDescent="0.25">
      <c r="A482" s="1">
        <v>43432</v>
      </c>
      <c r="B482">
        <v>180.17</v>
      </c>
      <c r="C482">
        <v>112.43</v>
      </c>
      <c r="D482">
        <v>331.83</v>
      </c>
      <c r="E482">
        <v>129.93</v>
      </c>
      <c r="F482">
        <v>46.93</v>
      </c>
      <c r="G482">
        <v>116.96</v>
      </c>
      <c r="H482">
        <v>115.21</v>
      </c>
      <c r="I482">
        <v>56.84</v>
      </c>
      <c r="J482">
        <v>197.55</v>
      </c>
      <c r="K482">
        <v>177.43</v>
      </c>
      <c r="L482">
        <v>121.58</v>
      </c>
      <c r="M482">
        <v>48.55</v>
      </c>
      <c r="N482">
        <v>146.44</v>
      </c>
      <c r="O482">
        <v>110.05</v>
      </c>
      <c r="P482">
        <v>49.32</v>
      </c>
      <c r="Q482">
        <v>186.7</v>
      </c>
      <c r="R482">
        <v>202.94</v>
      </c>
      <c r="S482">
        <v>76.69</v>
      </c>
      <c r="T482">
        <v>111.12</v>
      </c>
      <c r="U482">
        <v>74.44</v>
      </c>
      <c r="V482">
        <v>44.51</v>
      </c>
      <c r="W482">
        <v>92.28</v>
      </c>
      <c r="X482">
        <v>129.9</v>
      </c>
      <c r="Y482">
        <v>280.06</v>
      </c>
      <c r="Z482">
        <v>122.01</v>
      </c>
      <c r="AA482">
        <v>141.13</v>
      </c>
      <c r="AB482">
        <v>59.44</v>
      </c>
      <c r="AC482">
        <v>84.13</v>
      </c>
      <c r="AD482">
        <v>96.93</v>
      </c>
      <c r="AE482">
        <v>77.59</v>
      </c>
      <c r="AI482" s="2">
        <v>2500</v>
      </c>
      <c r="AJ482" s="2">
        <f t="shared" si="328"/>
        <v>1340</v>
      </c>
      <c r="AK482" s="2">
        <f t="shared" si="328"/>
        <v>1340</v>
      </c>
      <c r="AL482" s="2">
        <f t="shared" si="328"/>
        <v>1340</v>
      </c>
      <c r="AM482" s="2">
        <f t="shared" si="328"/>
        <v>1340</v>
      </c>
      <c r="AN482" s="2">
        <f t="shared" si="328"/>
        <v>1340</v>
      </c>
      <c r="AO482" s="2">
        <f t="shared" si="328"/>
        <v>1340</v>
      </c>
      <c r="AP482" s="2">
        <f t="shared" si="328"/>
        <v>1220</v>
      </c>
      <c r="AQ482" s="2">
        <v>1000</v>
      </c>
      <c r="AR482" s="2">
        <v>0</v>
      </c>
      <c r="AS482" s="2">
        <v>10</v>
      </c>
      <c r="AT482" s="2">
        <v>0</v>
      </c>
      <c r="AU482" s="2">
        <v>0</v>
      </c>
      <c r="AV482" s="2">
        <v>0</v>
      </c>
      <c r="AW482" s="2">
        <v>0</v>
      </c>
      <c r="AX482" s="2">
        <v>0</v>
      </c>
      <c r="AY482" s="2">
        <v>0</v>
      </c>
      <c r="AZ482" s="2">
        <v>991</v>
      </c>
      <c r="BA482" s="2">
        <v>968</v>
      </c>
      <c r="BB482" s="2">
        <v>1053</v>
      </c>
      <c r="BC482" s="2">
        <v>-3000</v>
      </c>
      <c r="BD482" s="2">
        <v>-7500</v>
      </c>
      <c r="BE482" s="2">
        <v>5000</v>
      </c>
      <c r="BF482" s="2">
        <v>5000</v>
      </c>
      <c r="BG482" s="2">
        <v>5000</v>
      </c>
      <c r="BH482" s="2">
        <v>2500</v>
      </c>
      <c r="BI482" s="2">
        <v>3000</v>
      </c>
      <c r="BJ482" s="2">
        <v>-2000</v>
      </c>
      <c r="BK482" s="2">
        <v>1000</v>
      </c>
      <c r="BL482" s="2">
        <v>1000</v>
      </c>
      <c r="BO482" s="2">
        <f t="shared" si="294"/>
        <v>-900849.99999999988</v>
      </c>
      <c r="BP482" s="2">
        <f t="shared" si="301"/>
        <v>0</v>
      </c>
      <c r="BQ482" s="2">
        <f t="shared" si="302"/>
        <v>0</v>
      </c>
      <c r="BR482" s="2">
        <f t="shared" si="303"/>
        <v>0</v>
      </c>
      <c r="BS482" s="2">
        <f t="shared" si="304"/>
        <v>0</v>
      </c>
      <c r="BT482" s="2">
        <f t="shared" si="305"/>
        <v>0</v>
      </c>
      <c r="BU482" s="2">
        <f t="shared" si="306"/>
        <v>0</v>
      </c>
      <c r="BV482" s="2">
        <f t="shared" si="307"/>
        <v>0</v>
      </c>
      <c r="BW482" s="2">
        <f t="shared" si="308"/>
        <v>0</v>
      </c>
      <c r="BX482" s="2">
        <f t="shared" si="309"/>
        <v>0</v>
      </c>
      <c r="BY482" s="2">
        <f t="shared" si="310"/>
        <v>0</v>
      </c>
      <c r="BZ482" s="2">
        <f t="shared" si="311"/>
        <v>0</v>
      </c>
      <c r="CA482" s="2">
        <f t="shared" si="312"/>
        <v>0</v>
      </c>
      <c r="CB482" s="2">
        <f t="shared" si="313"/>
        <v>0</v>
      </c>
      <c r="CC482" s="2">
        <f t="shared" si="314"/>
        <v>0</v>
      </c>
      <c r="CD482" s="2">
        <f t="shared" si="315"/>
        <v>0</v>
      </c>
      <c r="CE482" s="2">
        <f t="shared" si="316"/>
        <v>0</v>
      </c>
      <c r="CF482" s="2">
        <f t="shared" si="317"/>
        <v>3604.43</v>
      </c>
      <c r="CG482" s="2">
        <f t="shared" si="318"/>
        <v>10556.4</v>
      </c>
      <c r="CH482" s="2">
        <f t="shared" si="319"/>
        <v>-11314.88</v>
      </c>
      <c r="CI482" s="2">
        <f t="shared" si="320"/>
        <v>0</v>
      </c>
      <c r="CJ482" s="2">
        <f t="shared" si="321"/>
        <v>0</v>
      </c>
      <c r="CK482" s="2">
        <f t="shared" si="322"/>
        <v>0</v>
      </c>
      <c r="CL482" s="2">
        <f t="shared" si="323"/>
        <v>0</v>
      </c>
      <c r="CM482" s="2">
        <f t="shared" si="295"/>
        <v>0</v>
      </c>
      <c r="CN482" s="2">
        <f t="shared" si="296"/>
        <v>0</v>
      </c>
      <c r="CO482" s="2">
        <f t="shared" si="297"/>
        <v>0</v>
      </c>
      <c r="CP482" s="2">
        <f t="shared" si="298"/>
        <v>0</v>
      </c>
      <c r="CQ482" s="2">
        <f t="shared" si="299"/>
        <v>0</v>
      </c>
      <c r="CR482" s="2">
        <f t="shared" si="300"/>
        <v>0</v>
      </c>
      <c r="CV482" t="s">
        <v>64</v>
      </c>
      <c r="CW482" t="s">
        <v>555</v>
      </c>
      <c r="CX482" t="s">
        <v>18</v>
      </c>
      <c r="CY482" s="4">
        <v>42976</v>
      </c>
      <c r="CZ482" t="s">
        <v>65</v>
      </c>
      <c r="DA482" t="s">
        <v>66</v>
      </c>
      <c r="DB482">
        <v>45</v>
      </c>
      <c r="DC482">
        <v>60.29</v>
      </c>
      <c r="DD482" t="s">
        <v>69</v>
      </c>
      <c r="DE482" t="s">
        <v>70</v>
      </c>
      <c r="DF482">
        <v>2713.05</v>
      </c>
    </row>
    <row r="483" spans="1:110" x14ac:dyDescent="0.25">
      <c r="A483" s="1">
        <v>43433</v>
      </c>
      <c r="B483">
        <v>178.78</v>
      </c>
      <c r="C483">
        <v>110.86</v>
      </c>
      <c r="D483">
        <v>340.85</v>
      </c>
      <c r="E483">
        <v>129.4</v>
      </c>
      <c r="F483">
        <v>46.98</v>
      </c>
      <c r="G483">
        <v>117.67</v>
      </c>
      <c r="H483">
        <v>115.71</v>
      </c>
      <c r="I483">
        <v>57.24</v>
      </c>
      <c r="J483">
        <v>194.85</v>
      </c>
      <c r="K483">
        <v>175.66</v>
      </c>
      <c r="L483">
        <v>120.08</v>
      </c>
      <c r="M483">
        <v>47.4</v>
      </c>
      <c r="N483">
        <v>145.85</v>
      </c>
      <c r="O483">
        <v>109.17</v>
      </c>
      <c r="P483">
        <v>48.98</v>
      </c>
      <c r="Q483">
        <v>188.1</v>
      </c>
      <c r="R483">
        <v>203.16</v>
      </c>
      <c r="S483">
        <v>77.37</v>
      </c>
      <c r="T483">
        <v>110.19</v>
      </c>
      <c r="U483">
        <v>74.12</v>
      </c>
      <c r="V483">
        <v>45.12</v>
      </c>
      <c r="W483">
        <v>92.09</v>
      </c>
      <c r="X483">
        <v>129.83000000000001</v>
      </c>
      <c r="Y483">
        <v>281.64999999999998</v>
      </c>
      <c r="Z483">
        <v>120.48</v>
      </c>
      <c r="AA483">
        <v>138.86000000000001</v>
      </c>
      <c r="AB483">
        <v>58.84</v>
      </c>
      <c r="AC483">
        <v>84.33</v>
      </c>
      <c r="AD483">
        <v>96.76</v>
      </c>
      <c r="AE483">
        <v>78.19</v>
      </c>
      <c r="AI483" s="2">
        <v>5000</v>
      </c>
      <c r="AJ483" s="2">
        <f t="shared" si="328"/>
        <v>1340</v>
      </c>
      <c r="AK483" s="2">
        <f t="shared" si="328"/>
        <v>1340</v>
      </c>
      <c r="AL483" s="2">
        <f t="shared" si="328"/>
        <v>1340</v>
      </c>
      <c r="AM483" s="2">
        <f t="shared" si="328"/>
        <v>1340</v>
      </c>
      <c r="AN483" s="2">
        <f t="shared" si="328"/>
        <v>1340</v>
      </c>
      <c r="AO483" s="2">
        <f t="shared" si="328"/>
        <v>1340</v>
      </c>
      <c r="AP483" s="2">
        <f t="shared" si="328"/>
        <v>1220</v>
      </c>
      <c r="AQ483" s="2">
        <v>1000</v>
      </c>
      <c r="AR483" s="2">
        <v>0</v>
      </c>
      <c r="AS483" s="2">
        <v>10</v>
      </c>
      <c r="AT483" s="2">
        <v>0</v>
      </c>
      <c r="AU483" s="2">
        <v>0</v>
      </c>
      <c r="AV483" s="2">
        <v>0</v>
      </c>
      <c r="AW483" s="2">
        <v>0</v>
      </c>
      <c r="AX483" s="2">
        <v>0</v>
      </c>
      <c r="AY483" s="2">
        <v>0</v>
      </c>
      <c r="AZ483" s="2">
        <v>967</v>
      </c>
      <c r="BA483" s="2">
        <v>900</v>
      </c>
      <c r="BB483" s="2">
        <v>972</v>
      </c>
      <c r="BC483" s="2">
        <v>-3000</v>
      </c>
      <c r="BD483" s="2">
        <v>-7500</v>
      </c>
      <c r="BE483" s="2">
        <v>5000</v>
      </c>
      <c r="BF483" s="2">
        <v>5000</v>
      </c>
      <c r="BG483" s="2">
        <v>5000</v>
      </c>
      <c r="BH483" s="2">
        <v>2500</v>
      </c>
      <c r="BI483" s="2">
        <v>3000</v>
      </c>
      <c r="BJ483" s="2">
        <v>-2000</v>
      </c>
      <c r="BK483" s="2">
        <v>1000</v>
      </c>
      <c r="BL483" s="2">
        <v>1000</v>
      </c>
      <c r="BO483" s="2">
        <f t="shared" si="294"/>
        <v>-446950</v>
      </c>
      <c r="BP483" s="2">
        <f t="shared" si="301"/>
        <v>0</v>
      </c>
      <c r="BQ483" s="2">
        <f t="shared" si="302"/>
        <v>0</v>
      </c>
      <c r="BR483" s="2">
        <f t="shared" si="303"/>
        <v>0</v>
      </c>
      <c r="BS483" s="2">
        <f t="shared" si="304"/>
        <v>0</v>
      </c>
      <c r="BT483" s="2">
        <f t="shared" si="305"/>
        <v>0</v>
      </c>
      <c r="BU483" s="2">
        <f t="shared" si="306"/>
        <v>0</v>
      </c>
      <c r="BV483" s="2">
        <f t="shared" si="307"/>
        <v>0</v>
      </c>
      <c r="BW483" s="2">
        <f t="shared" si="308"/>
        <v>0</v>
      </c>
      <c r="BX483" s="2">
        <f t="shared" si="309"/>
        <v>0</v>
      </c>
      <c r="BY483" s="2">
        <f t="shared" si="310"/>
        <v>0</v>
      </c>
      <c r="BZ483" s="2">
        <f t="shared" si="311"/>
        <v>0</v>
      </c>
      <c r="CA483" s="2">
        <f t="shared" si="312"/>
        <v>0</v>
      </c>
      <c r="CB483" s="2">
        <f t="shared" si="313"/>
        <v>0</v>
      </c>
      <c r="CC483" s="2">
        <f t="shared" si="314"/>
        <v>0</v>
      </c>
      <c r="CD483" s="2">
        <f t="shared" si="315"/>
        <v>0</v>
      </c>
      <c r="CE483" s="2">
        <f t="shared" si="316"/>
        <v>0</v>
      </c>
      <c r="CF483" s="2">
        <f t="shared" si="317"/>
        <v>1856.88</v>
      </c>
      <c r="CG483" s="2">
        <f t="shared" si="318"/>
        <v>7492.92</v>
      </c>
      <c r="CH483" s="2">
        <f t="shared" si="319"/>
        <v>6003.72</v>
      </c>
      <c r="CI483" s="2">
        <f t="shared" si="320"/>
        <v>0</v>
      </c>
      <c r="CJ483" s="2">
        <f t="shared" si="321"/>
        <v>0</v>
      </c>
      <c r="CK483" s="2">
        <f t="shared" si="322"/>
        <v>0</v>
      </c>
      <c r="CL483" s="2">
        <f t="shared" si="323"/>
        <v>0</v>
      </c>
      <c r="CM483" s="2">
        <f t="shared" si="295"/>
        <v>0</v>
      </c>
      <c r="CN483" s="2">
        <f t="shared" si="296"/>
        <v>0</v>
      </c>
      <c r="CO483" s="2">
        <f t="shared" si="297"/>
        <v>0</v>
      </c>
      <c r="CP483" s="2">
        <f t="shared" si="298"/>
        <v>0</v>
      </c>
      <c r="CQ483" s="2">
        <f t="shared" si="299"/>
        <v>0</v>
      </c>
      <c r="CR483" s="2">
        <f t="shared" si="300"/>
        <v>0</v>
      </c>
      <c r="CV483" t="s">
        <v>64</v>
      </c>
      <c r="CW483" t="s">
        <v>556</v>
      </c>
      <c r="CX483" t="s">
        <v>18</v>
      </c>
      <c r="CY483" s="4">
        <v>42977</v>
      </c>
      <c r="CZ483" t="s">
        <v>67</v>
      </c>
      <c r="DA483" t="s">
        <v>68</v>
      </c>
      <c r="DB483">
        <v>73</v>
      </c>
      <c r="DC483">
        <v>60.29</v>
      </c>
      <c r="DD483" t="s">
        <v>69</v>
      </c>
      <c r="DE483" t="s">
        <v>70</v>
      </c>
      <c r="DF483">
        <v>4401.17</v>
      </c>
    </row>
    <row r="484" spans="1:110" x14ac:dyDescent="0.25">
      <c r="A484" s="1">
        <v>43434</v>
      </c>
      <c r="B484">
        <v>177.82</v>
      </c>
      <c r="C484">
        <v>111.81</v>
      </c>
      <c r="D484">
        <v>345.03</v>
      </c>
      <c r="E484">
        <v>134.80000000000001</v>
      </c>
      <c r="F484">
        <v>47.5</v>
      </c>
      <c r="G484">
        <v>117.76</v>
      </c>
      <c r="H484">
        <v>114.6</v>
      </c>
      <c r="I484">
        <v>57.85</v>
      </c>
      <c r="J484">
        <v>190.69</v>
      </c>
      <c r="K484">
        <v>180.32</v>
      </c>
      <c r="L484">
        <v>122.84</v>
      </c>
      <c r="M484">
        <v>49</v>
      </c>
      <c r="N484">
        <v>146.9</v>
      </c>
      <c r="O484">
        <v>110.29</v>
      </c>
      <c r="P484">
        <v>50.4</v>
      </c>
      <c r="Q484">
        <v>188.51</v>
      </c>
      <c r="R484">
        <v>206.49</v>
      </c>
      <c r="S484">
        <v>78.790000000000006</v>
      </c>
      <c r="T484">
        <v>110.89</v>
      </c>
      <c r="U484">
        <v>75.12</v>
      </c>
      <c r="V484">
        <v>45.83</v>
      </c>
      <c r="W484">
        <v>93.77</v>
      </c>
      <c r="X484">
        <v>129.57</v>
      </c>
      <c r="Y484">
        <v>281.36</v>
      </c>
      <c r="Z484">
        <v>121.12</v>
      </c>
      <c r="AA484">
        <v>141.46</v>
      </c>
      <c r="AB484">
        <v>59.68</v>
      </c>
      <c r="AC484">
        <v>84.16</v>
      </c>
      <c r="AD484">
        <v>97.12</v>
      </c>
      <c r="AE484">
        <v>78.63</v>
      </c>
      <c r="AI484" s="2">
        <v>5000</v>
      </c>
      <c r="AJ484" s="2">
        <f t="shared" si="328"/>
        <v>1340</v>
      </c>
      <c r="AK484" s="2">
        <f t="shared" si="328"/>
        <v>1340</v>
      </c>
      <c r="AL484" s="2">
        <f t="shared" si="328"/>
        <v>1340</v>
      </c>
      <c r="AM484" s="2">
        <f t="shared" si="328"/>
        <v>1340</v>
      </c>
      <c r="AN484" s="2">
        <f t="shared" si="328"/>
        <v>1340</v>
      </c>
      <c r="AO484" s="2">
        <f t="shared" si="328"/>
        <v>1340</v>
      </c>
      <c r="AP484" s="2">
        <f t="shared" si="328"/>
        <v>1220</v>
      </c>
      <c r="AQ484" s="2">
        <v>1000</v>
      </c>
      <c r="AR484" s="2">
        <v>0</v>
      </c>
      <c r="AS484" s="2">
        <v>10</v>
      </c>
      <c r="AT484" s="2">
        <v>0</v>
      </c>
      <c r="AU484" s="2">
        <v>0</v>
      </c>
      <c r="AV484" s="2">
        <v>0</v>
      </c>
      <c r="AW484" s="2">
        <v>0</v>
      </c>
      <c r="AX484" s="2">
        <v>0</v>
      </c>
      <c r="AY484" s="2">
        <v>0</v>
      </c>
      <c r="AZ484" s="2">
        <v>1018</v>
      </c>
      <c r="BA484" s="2">
        <v>1074</v>
      </c>
      <c r="BB484" s="2">
        <v>1069</v>
      </c>
      <c r="BC484" s="2">
        <v>-3000</v>
      </c>
      <c r="BD484" s="2">
        <v>-7500</v>
      </c>
      <c r="BE484" s="2">
        <v>5000</v>
      </c>
      <c r="BF484" s="2">
        <v>5000</v>
      </c>
      <c r="BG484" s="2">
        <v>5000</v>
      </c>
      <c r="BH484" s="2">
        <v>2500</v>
      </c>
      <c r="BI484" s="2">
        <v>3000</v>
      </c>
      <c r="BJ484" s="2">
        <v>-2000</v>
      </c>
      <c r="BK484" s="2">
        <v>1000</v>
      </c>
      <c r="BL484" s="2">
        <v>1000</v>
      </c>
      <c r="BO484" s="2">
        <f t="shared" si="294"/>
        <v>0</v>
      </c>
      <c r="BP484" s="2">
        <f t="shared" si="301"/>
        <v>0</v>
      </c>
      <c r="BQ484" s="2">
        <f t="shared" si="302"/>
        <v>0</v>
      </c>
      <c r="BR484" s="2">
        <f t="shared" si="303"/>
        <v>0</v>
      </c>
      <c r="BS484" s="2">
        <f t="shared" si="304"/>
        <v>0</v>
      </c>
      <c r="BT484" s="2">
        <f t="shared" si="305"/>
        <v>0</v>
      </c>
      <c r="BU484" s="2">
        <f t="shared" si="306"/>
        <v>0</v>
      </c>
      <c r="BV484" s="2">
        <f t="shared" si="307"/>
        <v>0</v>
      </c>
      <c r="BW484" s="2">
        <f t="shared" si="308"/>
        <v>0</v>
      </c>
      <c r="BX484" s="2">
        <f t="shared" si="309"/>
        <v>0</v>
      </c>
      <c r="BY484" s="2">
        <f t="shared" si="310"/>
        <v>0</v>
      </c>
      <c r="BZ484" s="2">
        <f t="shared" si="311"/>
        <v>0</v>
      </c>
      <c r="CA484" s="2">
        <f t="shared" si="312"/>
        <v>0</v>
      </c>
      <c r="CB484" s="2">
        <f t="shared" si="313"/>
        <v>0</v>
      </c>
      <c r="CC484" s="2">
        <f t="shared" si="314"/>
        <v>0</v>
      </c>
      <c r="CD484" s="2">
        <f t="shared" si="315"/>
        <v>0</v>
      </c>
      <c r="CE484" s="2">
        <f t="shared" si="316"/>
        <v>0</v>
      </c>
      <c r="CF484" s="2">
        <f t="shared" si="317"/>
        <v>-4018.2900000000004</v>
      </c>
      <c r="CG484" s="2">
        <f t="shared" si="318"/>
        <v>-19294.86</v>
      </c>
      <c r="CH484" s="2">
        <f t="shared" si="319"/>
        <v>-7286.64</v>
      </c>
      <c r="CI484" s="2">
        <f t="shared" si="320"/>
        <v>0</v>
      </c>
      <c r="CJ484" s="2">
        <f t="shared" si="321"/>
        <v>0</v>
      </c>
      <c r="CK484" s="2">
        <f t="shared" si="322"/>
        <v>0</v>
      </c>
      <c r="CL484" s="2">
        <f t="shared" si="323"/>
        <v>0</v>
      </c>
      <c r="CM484" s="2">
        <f t="shared" si="295"/>
        <v>0</v>
      </c>
      <c r="CN484" s="2">
        <f t="shared" si="296"/>
        <v>0</v>
      </c>
      <c r="CO484" s="2">
        <f t="shared" si="297"/>
        <v>0</v>
      </c>
      <c r="CP484" s="2">
        <f t="shared" si="298"/>
        <v>0</v>
      </c>
      <c r="CQ484" s="2">
        <f t="shared" si="299"/>
        <v>0</v>
      </c>
      <c r="CR484" s="2">
        <f t="shared" si="300"/>
        <v>0</v>
      </c>
      <c r="CV484" t="s">
        <v>64</v>
      </c>
      <c r="CW484" t="s">
        <v>557</v>
      </c>
      <c r="CX484" t="s">
        <v>18</v>
      </c>
      <c r="CY484" s="4">
        <v>42978</v>
      </c>
      <c r="CZ484" t="s">
        <v>65</v>
      </c>
      <c r="DA484" t="s">
        <v>66</v>
      </c>
      <c r="DB484">
        <v>12</v>
      </c>
      <c r="DC484">
        <v>61</v>
      </c>
      <c r="DD484" t="s">
        <v>69</v>
      </c>
      <c r="DE484" t="s">
        <v>70</v>
      </c>
      <c r="DF484">
        <v>732</v>
      </c>
    </row>
    <row r="485" spans="1:110" x14ac:dyDescent="0.25">
      <c r="A485" s="1">
        <v>43437</v>
      </c>
      <c r="B485">
        <v>184.03</v>
      </c>
      <c r="C485">
        <v>111.9</v>
      </c>
      <c r="D485">
        <v>358.16</v>
      </c>
      <c r="E485">
        <v>138.06</v>
      </c>
      <c r="F485">
        <v>48.37</v>
      </c>
      <c r="G485">
        <v>119.47</v>
      </c>
      <c r="H485">
        <v>114.85</v>
      </c>
      <c r="I485">
        <v>59.16</v>
      </c>
      <c r="J485">
        <v>191.63</v>
      </c>
      <c r="K485">
        <v>181.74</v>
      </c>
      <c r="L485">
        <v>123.87</v>
      </c>
      <c r="M485">
        <v>49.81</v>
      </c>
      <c r="N485">
        <v>146.21</v>
      </c>
      <c r="O485">
        <v>111.34</v>
      </c>
      <c r="P485">
        <v>49.69</v>
      </c>
      <c r="Q485">
        <v>185.37</v>
      </c>
      <c r="R485">
        <v>207.33</v>
      </c>
      <c r="S485">
        <v>78.67</v>
      </c>
      <c r="T485">
        <v>112.09</v>
      </c>
      <c r="U485">
        <v>77.94</v>
      </c>
      <c r="V485">
        <v>45.59</v>
      </c>
      <c r="W485">
        <v>92.59</v>
      </c>
      <c r="X485">
        <v>129.31</v>
      </c>
      <c r="Y485">
        <v>286.33</v>
      </c>
      <c r="Z485">
        <v>122.87</v>
      </c>
      <c r="AA485">
        <v>144.75</v>
      </c>
      <c r="AB485">
        <v>57.56</v>
      </c>
      <c r="AC485">
        <v>85.17</v>
      </c>
      <c r="AD485">
        <v>98.21</v>
      </c>
      <c r="AE485">
        <v>80.33</v>
      </c>
      <c r="AI485" s="2">
        <v>5000</v>
      </c>
      <c r="AJ485" s="2">
        <f t="shared" si="328"/>
        <v>1340</v>
      </c>
      <c r="AK485" s="2">
        <f t="shared" si="328"/>
        <v>1340</v>
      </c>
      <c r="AL485" s="2">
        <f t="shared" si="328"/>
        <v>1340</v>
      </c>
      <c r="AM485" s="2">
        <f t="shared" si="328"/>
        <v>1340</v>
      </c>
      <c r="AN485" s="2">
        <f t="shared" si="328"/>
        <v>1340</v>
      </c>
      <c r="AO485" s="2">
        <f t="shared" si="328"/>
        <v>1340</v>
      </c>
      <c r="AP485" s="2">
        <f t="shared" si="328"/>
        <v>1220</v>
      </c>
      <c r="AQ485" s="2">
        <v>1000</v>
      </c>
      <c r="AR485" s="2">
        <v>0</v>
      </c>
      <c r="AS485" s="2">
        <v>10</v>
      </c>
      <c r="AT485" s="2">
        <v>0</v>
      </c>
      <c r="AU485" s="2">
        <v>0</v>
      </c>
      <c r="AV485" s="2">
        <v>0</v>
      </c>
      <c r="AW485" s="2">
        <v>0</v>
      </c>
      <c r="AX485" s="2">
        <v>0</v>
      </c>
      <c r="AY485" s="2">
        <v>0</v>
      </c>
      <c r="AZ485" s="2">
        <v>953</v>
      </c>
      <c r="BA485" s="2">
        <v>1001</v>
      </c>
      <c r="BB485" s="2">
        <v>1095</v>
      </c>
      <c r="BC485" s="2">
        <v>-3000</v>
      </c>
      <c r="BD485" s="2">
        <v>-7500</v>
      </c>
      <c r="BE485" s="2">
        <v>5000</v>
      </c>
      <c r="BF485" s="2">
        <v>5000</v>
      </c>
      <c r="BG485" s="2">
        <v>5000</v>
      </c>
      <c r="BH485" s="2">
        <v>2500</v>
      </c>
      <c r="BI485" s="2">
        <v>3000</v>
      </c>
      <c r="BJ485" s="2">
        <v>-2000</v>
      </c>
      <c r="BK485" s="2">
        <v>1000</v>
      </c>
      <c r="BL485" s="2">
        <v>1000</v>
      </c>
      <c r="BO485" s="2">
        <f t="shared" si="294"/>
        <v>0</v>
      </c>
      <c r="BP485" s="2">
        <f t="shared" si="301"/>
        <v>0</v>
      </c>
      <c r="BQ485" s="2">
        <f t="shared" si="302"/>
        <v>0</v>
      </c>
      <c r="BR485" s="2">
        <f t="shared" si="303"/>
        <v>0</v>
      </c>
      <c r="BS485" s="2">
        <f t="shared" si="304"/>
        <v>0</v>
      </c>
      <c r="BT485" s="2">
        <f t="shared" si="305"/>
        <v>0</v>
      </c>
      <c r="BU485" s="2">
        <f t="shared" si="306"/>
        <v>0</v>
      </c>
      <c r="BV485" s="2">
        <f t="shared" si="307"/>
        <v>0</v>
      </c>
      <c r="BW485" s="2">
        <f t="shared" si="308"/>
        <v>0</v>
      </c>
      <c r="BX485" s="2">
        <f t="shared" si="309"/>
        <v>0</v>
      </c>
      <c r="BY485" s="2">
        <f t="shared" si="310"/>
        <v>0</v>
      </c>
      <c r="BZ485" s="2">
        <f t="shared" si="311"/>
        <v>0</v>
      </c>
      <c r="CA485" s="2">
        <f t="shared" si="312"/>
        <v>0</v>
      </c>
      <c r="CB485" s="2">
        <f t="shared" si="313"/>
        <v>0</v>
      </c>
      <c r="CC485" s="2">
        <f t="shared" si="314"/>
        <v>0</v>
      </c>
      <c r="CD485" s="2">
        <f t="shared" si="315"/>
        <v>0</v>
      </c>
      <c r="CE485" s="2">
        <f t="shared" si="316"/>
        <v>0</v>
      </c>
      <c r="CF485" s="2">
        <f t="shared" si="317"/>
        <v>5113.55</v>
      </c>
      <c r="CG485" s="2">
        <f t="shared" si="318"/>
        <v>8182.5700000000006</v>
      </c>
      <c r="CH485" s="2">
        <f t="shared" si="319"/>
        <v>-2026.44</v>
      </c>
      <c r="CI485" s="2">
        <f t="shared" si="320"/>
        <v>0</v>
      </c>
      <c r="CJ485" s="2">
        <f t="shared" si="321"/>
        <v>0</v>
      </c>
      <c r="CK485" s="2">
        <f t="shared" si="322"/>
        <v>0</v>
      </c>
      <c r="CL485" s="2">
        <f t="shared" si="323"/>
        <v>0</v>
      </c>
      <c r="CM485" s="2">
        <f t="shared" si="295"/>
        <v>0</v>
      </c>
      <c r="CN485" s="2">
        <f t="shared" si="296"/>
        <v>0</v>
      </c>
      <c r="CO485" s="2">
        <f t="shared" si="297"/>
        <v>0</v>
      </c>
      <c r="CP485" s="2">
        <f t="shared" si="298"/>
        <v>0</v>
      </c>
      <c r="CQ485" s="2">
        <f t="shared" si="299"/>
        <v>0</v>
      </c>
      <c r="CR485" s="2">
        <f t="shared" si="300"/>
        <v>0</v>
      </c>
      <c r="CV485" t="s">
        <v>64</v>
      </c>
      <c r="CW485" t="s">
        <v>558</v>
      </c>
      <c r="CX485" t="s">
        <v>18</v>
      </c>
      <c r="CY485" s="4">
        <v>42979</v>
      </c>
      <c r="CZ485" t="s">
        <v>67</v>
      </c>
      <c r="DA485" t="s">
        <v>68</v>
      </c>
      <c r="DB485">
        <v>2</v>
      </c>
      <c r="DC485">
        <v>60.97</v>
      </c>
      <c r="DD485" t="s">
        <v>69</v>
      </c>
      <c r="DE485" t="s">
        <v>70</v>
      </c>
      <c r="DF485">
        <v>121.94</v>
      </c>
    </row>
    <row r="486" spans="1:110" x14ac:dyDescent="0.25">
      <c r="A486" s="1">
        <v>43438</v>
      </c>
      <c r="B486">
        <v>175.94</v>
      </c>
      <c r="C486">
        <v>107.2</v>
      </c>
      <c r="D486">
        <v>340.79</v>
      </c>
      <c r="E486">
        <v>128.49</v>
      </c>
      <c r="F486">
        <v>46.99</v>
      </c>
      <c r="G486">
        <v>116.07</v>
      </c>
      <c r="H486">
        <v>112</v>
      </c>
      <c r="I486">
        <v>56.49</v>
      </c>
      <c r="J486">
        <v>184.31</v>
      </c>
      <c r="K486">
        <v>175.3</v>
      </c>
      <c r="L486">
        <v>120.2</v>
      </c>
      <c r="M486">
        <v>47.45</v>
      </c>
      <c r="N486">
        <v>146.03</v>
      </c>
      <c r="O486">
        <v>106.37</v>
      </c>
      <c r="P486">
        <v>49.58</v>
      </c>
      <c r="Q486">
        <v>185.04</v>
      </c>
      <c r="R486">
        <v>200.81</v>
      </c>
      <c r="S486">
        <v>77.67</v>
      </c>
      <c r="T486">
        <v>108.52</v>
      </c>
      <c r="U486">
        <v>75.790000000000006</v>
      </c>
      <c r="V486">
        <v>44.75</v>
      </c>
      <c r="W486">
        <v>92.58</v>
      </c>
      <c r="X486">
        <v>125.91</v>
      </c>
      <c r="Y486">
        <v>278.55</v>
      </c>
      <c r="Z486">
        <v>120.16</v>
      </c>
      <c r="AA486">
        <v>138.4</v>
      </c>
      <c r="AB486">
        <v>57.49</v>
      </c>
      <c r="AC486">
        <v>82.32</v>
      </c>
      <c r="AD486">
        <v>95.29</v>
      </c>
      <c r="AE486">
        <v>78.56</v>
      </c>
      <c r="AI486" s="2">
        <v>5000</v>
      </c>
      <c r="AJ486" s="2">
        <f t="shared" si="328"/>
        <v>1340</v>
      </c>
      <c r="AK486" s="2">
        <f t="shared" si="328"/>
        <v>1340</v>
      </c>
      <c r="AL486" s="2">
        <f t="shared" si="328"/>
        <v>1340</v>
      </c>
      <c r="AM486" s="2">
        <f t="shared" si="328"/>
        <v>1340</v>
      </c>
      <c r="AN486" s="2">
        <f t="shared" si="328"/>
        <v>1340</v>
      </c>
      <c r="AO486" s="2">
        <f t="shared" si="328"/>
        <v>1340</v>
      </c>
      <c r="AP486" s="2">
        <f t="shared" si="328"/>
        <v>1220</v>
      </c>
      <c r="AQ486" s="2">
        <v>1000</v>
      </c>
      <c r="AR486" s="2">
        <v>0</v>
      </c>
      <c r="AS486" s="2">
        <v>10</v>
      </c>
      <c r="AT486" s="2">
        <v>0</v>
      </c>
      <c r="AU486" s="2">
        <v>0</v>
      </c>
      <c r="AV486" s="2">
        <v>0</v>
      </c>
      <c r="AW486" s="2">
        <v>0</v>
      </c>
      <c r="AX486" s="2">
        <v>0</v>
      </c>
      <c r="AY486" s="2">
        <v>0</v>
      </c>
      <c r="AZ486" s="2">
        <v>1015</v>
      </c>
      <c r="BA486" s="2">
        <v>1023</v>
      </c>
      <c r="BB486" s="2">
        <v>1086</v>
      </c>
      <c r="BC486" s="2">
        <v>-3000</v>
      </c>
      <c r="BD486" s="2">
        <v>-7500</v>
      </c>
      <c r="BE486" s="2">
        <v>5000</v>
      </c>
      <c r="BF486" s="2">
        <v>5000</v>
      </c>
      <c r="BG486" s="2">
        <v>5000</v>
      </c>
      <c r="BH486" s="2">
        <v>2500</v>
      </c>
      <c r="BI486" s="2">
        <v>3000</v>
      </c>
      <c r="BJ486" s="2">
        <v>-2000</v>
      </c>
      <c r="BK486" s="2">
        <v>1000</v>
      </c>
      <c r="BL486" s="2">
        <v>1000</v>
      </c>
      <c r="BO486" s="2">
        <f t="shared" si="294"/>
        <v>0</v>
      </c>
      <c r="BP486" s="2">
        <f t="shared" si="301"/>
        <v>0</v>
      </c>
      <c r="BQ486" s="2">
        <f t="shared" si="302"/>
        <v>0</v>
      </c>
      <c r="BR486" s="2">
        <f t="shared" si="303"/>
        <v>0</v>
      </c>
      <c r="BS486" s="2">
        <f t="shared" si="304"/>
        <v>0</v>
      </c>
      <c r="BT486" s="2">
        <f t="shared" si="305"/>
        <v>0</v>
      </c>
      <c r="BU486" s="2">
        <f t="shared" si="306"/>
        <v>0</v>
      </c>
      <c r="BV486" s="2">
        <f t="shared" si="307"/>
        <v>0</v>
      </c>
      <c r="BW486" s="2">
        <f t="shared" si="308"/>
        <v>0</v>
      </c>
      <c r="BX486" s="2">
        <f t="shared" si="309"/>
        <v>0</v>
      </c>
      <c r="BY486" s="2">
        <f t="shared" si="310"/>
        <v>0</v>
      </c>
      <c r="BZ486" s="2">
        <f t="shared" si="311"/>
        <v>0</v>
      </c>
      <c r="CA486" s="2">
        <f t="shared" si="312"/>
        <v>0</v>
      </c>
      <c r="CB486" s="2">
        <f t="shared" si="313"/>
        <v>0</v>
      </c>
      <c r="CC486" s="2">
        <f t="shared" si="314"/>
        <v>0</v>
      </c>
      <c r="CD486" s="2">
        <f t="shared" si="315"/>
        <v>0</v>
      </c>
      <c r="CE486" s="2">
        <f t="shared" si="316"/>
        <v>0</v>
      </c>
      <c r="CF486" s="2">
        <f t="shared" si="317"/>
        <v>-4815.54</v>
      </c>
      <c r="CG486" s="2">
        <f t="shared" si="318"/>
        <v>-2387.44</v>
      </c>
      <c r="CH486" s="2">
        <f t="shared" si="319"/>
        <v>682.11</v>
      </c>
      <c r="CI486" s="2">
        <f t="shared" si="320"/>
        <v>0</v>
      </c>
      <c r="CJ486" s="2">
        <f t="shared" si="321"/>
        <v>0</v>
      </c>
      <c r="CK486" s="2">
        <f t="shared" si="322"/>
        <v>0</v>
      </c>
      <c r="CL486" s="2">
        <f t="shared" si="323"/>
        <v>0</v>
      </c>
      <c r="CM486" s="2">
        <f t="shared" si="295"/>
        <v>0</v>
      </c>
      <c r="CN486" s="2">
        <f t="shared" si="296"/>
        <v>0</v>
      </c>
      <c r="CO486" s="2">
        <f t="shared" si="297"/>
        <v>0</v>
      </c>
      <c r="CP486" s="2">
        <f t="shared" si="298"/>
        <v>0</v>
      </c>
      <c r="CQ486" s="2">
        <f t="shared" si="299"/>
        <v>0</v>
      </c>
      <c r="CR486" s="2">
        <f t="shared" si="300"/>
        <v>0</v>
      </c>
      <c r="CV486" t="s">
        <v>64</v>
      </c>
      <c r="CW486" t="s">
        <v>559</v>
      </c>
      <c r="CX486" t="s">
        <v>18</v>
      </c>
      <c r="CY486" s="4">
        <v>42983</v>
      </c>
      <c r="CZ486" t="s">
        <v>65</v>
      </c>
      <c r="DA486" t="s">
        <v>66</v>
      </c>
      <c r="DB486">
        <v>13</v>
      </c>
      <c r="DC486">
        <v>60.77</v>
      </c>
      <c r="DD486" t="s">
        <v>69</v>
      </c>
      <c r="DE486" t="s">
        <v>70</v>
      </c>
      <c r="DF486">
        <v>790.01</v>
      </c>
    </row>
    <row r="487" spans="1:110" x14ac:dyDescent="0.25">
      <c r="A487" s="1">
        <v>43440</v>
      </c>
      <c r="B487">
        <v>173.97</v>
      </c>
      <c r="C487">
        <v>107.81</v>
      </c>
      <c r="D487">
        <v>330.24</v>
      </c>
      <c r="E487">
        <v>127.55</v>
      </c>
      <c r="F487">
        <v>48.02</v>
      </c>
      <c r="G487">
        <v>114.76</v>
      </c>
      <c r="H487">
        <v>113.45</v>
      </c>
      <c r="I487">
        <v>55.92</v>
      </c>
      <c r="J487">
        <v>184.09</v>
      </c>
      <c r="K487">
        <v>175.96</v>
      </c>
      <c r="L487">
        <v>122.48</v>
      </c>
      <c r="M487">
        <v>48.07</v>
      </c>
      <c r="N487">
        <v>145.91</v>
      </c>
      <c r="O487">
        <v>104.34</v>
      </c>
      <c r="P487">
        <v>49.38</v>
      </c>
      <c r="Q487">
        <v>185.45</v>
      </c>
      <c r="R487">
        <v>201.29</v>
      </c>
      <c r="S487">
        <v>77.819999999999993</v>
      </c>
      <c r="T487">
        <v>109.19</v>
      </c>
      <c r="U487">
        <v>75.540000000000006</v>
      </c>
      <c r="V487">
        <v>44.59</v>
      </c>
      <c r="W487">
        <v>92.82</v>
      </c>
      <c r="X487">
        <v>124.64</v>
      </c>
      <c r="Y487">
        <v>276.85000000000002</v>
      </c>
      <c r="Z487">
        <v>120.73</v>
      </c>
      <c r="AA487">
        <v>140.80000000000001</v>
      </c>
      <c r="AB487">
        <v>57.48</v>
      </c>
      <c r="AC487">
        <v>82.44</v>
      </c>
      <c r="AD487">
        <v>94.77</v>
      </c>
      <c r="AE487">
        <v>77.53</v>
      </c>
      <c r="AI487" s="2">
        <v>5000</v>
      </c>
      <c r="AJ487" s="2">
        <f t="shared" si="328"/>
        <v>1340</v>
      </c>
      <c r="AK487" s="2">
        <f t="shared" si="328"/>
        <v>1340</v>
      </c>
      <c r="AL487" s="2">
        <f t="shared" si="328"/>
        <v>1340</v>
      </c>
      <c r="AM487" s="2">
        <f t="shared" si="328"/>
        <v>1340</v>
      </c>
      <c r="AN487" s="2">
        <f t="shared" si="328"/>
        <v>1340</v>
      </c>
      <c r="AO487" s="2">
        <f t="shared" si="328"/>
        <v>1340</v>
      </c>
      <c r="AP487" s="2">
        <f t="shared" si="328"/>
        <v>1220</v>
      </c>
      <c r="AQ487" s="2">
        <v>1000</v>
      </c>
      <c r="AR487" s="2">
        <v>0</v>
      </c>
      <c r="AS487" s="2">
        <v>10</v>
      </c>
      <c r="AT487" s="2">
        <v>0</v>
      </c>
      <c r="AU487" s="2">
        <v>0</v>
      </c>
      <c r="AV487" s="2">
        <v>0</v>
      </c>
      <c r="AW487" s="2">
        <v>0</v>
      </c>
      <c r="AX487" s="2">
        <v>0</v>
      </c>
      <c r="AY487" s="2">
        <v>0</v>
      </c>
      <c r="AZ487" s="2">
        <v>1004</v>
      </c>
      <c r="BA487" s="2">
        <v>978</v>
      </c>
      <c r="BB487" s="2">
        <v>1070</v>
      </c>
      <c r="BC487" s="2">
        <v>-3000</v>
      </c>
      <c r="BD487" s="2">
        <v>-7500</v>
      </c>
      <c r="BE487" s="2">
        <v>5000</v>
      </c>
      <c r="BF487" s="2">
        <v>5000</v>
      </c>
      <c r="BG487" s="2">
        <v>5000</v>
      </c>
      <c r="BH487" s="2">
        <v>2500</v>
      </c>
      <c r="BI487" s="2">
        <v>3000</v>
      </c>
      <c r="BJ487" s="2">
        <v>-2000</v>
      </c>
      <c r="BK487" s="2">
        <v>1000</v>
      </c>
      <c r="BL487" s="2">
        <v>1000</v>
      </c>
      <c r="BO487" s="2">
        <f t="shared" si="294"/>
        <v>0</v>
      </c>
      <c r="BP487" s="2">
        <f t="shared" si="301"/>
        <v>0</v>
      </c>
      <c r="BQ487" s="2">
        <f t="shared" si="302"/>
        <v>0</v>
      </c>
      <c r="BR487" s="2">
        <f t="shared" si="303"/>
        <v>0</v>
      </c>
      <c r="BS487" s="2">
        <f t="shared" si="304"/>
        <v>0</v>
      </c>
      <c r="BT487" s="2">
        <f t="shared" si="305"/>
        <v>0</v>
      </c>
      <c r="BU487" s="2">
        <f t="shared" si="306"/>
        <v>0</v>
      </c>
      <c r="BV487" s="2">
        <f t="shared" si="307"/>
        <v>0</v>
      </c>
      <c r="BW487" s="2">
        <f t="shared" si="308"/>
        <v>0</v>
      </c>
      <c r="BX487" s="2">
        <f t="shared" si="309"/>
        <v>0</v>
      </c>
      <c r="BY487" s="2">
        <f t="shared" si="310"/>
        <v>0</v>
      </c>
      <c r="BZ487" s="2">
        <f t="shared" si="311"/>
        <v>0</v>
      </c>
      <c r="CA487" s="2">
        <f t="shared" si="312"/>
        <v>0</v>
      </c>
      <c r="CB487" s="2">
        <f t="shared" si="313"/>
        <v>0</v>
      </c>
      <c r="CC487" s="2">
        <f t="shared" si="314"/>
        <v>0</v>
      </c>
      <c r="CD487" s="2">
        <f t="shared" si="315"/>
        <v>0</v>
      </c>
      <c r="CE487" s="2">
        <f t="shared" si="316"/>
        <v>0</v>
      </c>
      <c r="CF487" s="2">
        <f t="shared" si="317"/>
        <v>856.02</v>
      </c>
      <c r="CG487" s="2">
        <f t="shared" si="318"/>
        <v>4913.55</v>
      </c>
      <c r="CH487" s="2">
        <f t="shared" si="319"/>
        <v>1208.6400000000001</v>
      </c>
      <c r="CI487" s="2">
        <f t="shared" si="320"/>
        <v>0</v>
      </c>
      <c r="CJ487" s="2">
        <f t="shared" si="321"/>
        <v>0</v>
      </c>
      <c r="CK487" s="2">
        <f t="shared" si="322"/>
        <v>0</v>
      </c>
      <c r="CL487" s="2">
        <f t="shared" si="323"/>
        <v>0</v>
      </c>
      <c r="CM487" s="2">
        <f t="shared" si="295"/>
        <v>0</v>
      </c>
      <c r="CN487" s="2">
        <f t="shared" si="296"/>
        <v>0</v>
      </c>
      <c r="CO487" s="2">
        <f t="shared" si="297"/>
        <v>0</v>
      </c>
      <c r="CP487" s="2">
        <f t="shared" si="298"/>
        <v>0</v>
      </c>
      <c r="CQ487" s="2">
        <f t="shared" si="299"/>
        <v>0</v>
      </c>
      <c r="CR487" s="2">
        <f t="shared" si="300"/>
        <v>0</v>
      </c>
      <c r="CV487" t="s">
        <v>64</v>
      </c>
      <c r="CW487" t="s">
        <v>560</v>
      </c>
      <c r="CX487" t="s">
        <v>18</v>
      </c>
      <c r="CY487" s="4">
        <v>42984</v>
      </c>
      <c r="CZ487" t="s">
        <v>65</v>
      </c>
      <c r="DA487" t="s">
        <v>66</v>
      </c>
      <c r="DB487">
        <v>2</v>
      </c>
      <c r="DC487">
        <v>61.13</v>
      </c>
      <c r="DD487" t="s">
        <v>69</v>
      </c>
      <c r="DE487" t="s">
        <v>70</v>
      </c>
      <c r="DF487">
        <v>122.26</v>
      </c>
    </row>
    <row r="488" spans="1:110" x14ac:dyDescent="0.25">
      <c r="A488" s="1">
        <v>43441</v>
      </c>
      <c r="B488">
        <v>167.77</v>
      </c>
      <c r="C488">
        <v>106.25</v>
      </c>
      <c r="D488">
        <v>321.60000000000002</v>
      </c>
      <c r="E488">
        <v>122.76</v>
      </c>
      <c r="F488">
        <v>46.08</v>
      </c>
      <c r="G488">
        <v>114.34</v>
      </c>
      <c r="H488">
        <v>111.98</v>
      </c>
      <c r="I488">
        <v>53.75</v>
      </c>
      <c r="J488">
        <v>179.67</v>
      </c>
      <c r="K488">
        <v>172.79</v>
      </c>
      <c r="L488">
        <v>117.97</v>
      </c>
      <c r="M488">
        <v>45.95</v>
      </c>
      <c r="N488">
        <v>145.43</v>
      </c>
      <c r="O488">
        <v>102.46</v>
      </c>
      <c r="P488">
        <v>49.09</v>
      </c>
      <c r="Q488">
        <v>182.96</v>
      </c>
      <c r="R488">
        <v>196.88</v>
      </c>
      <c r="S488">
        <v>76.19</v>
      </c>
      <c r="T488">
        <v>104.82</v>
      </c>
      <c r="U488">
        <v>73.34</v>
      </c>
      <c r="V488">
        <v>43.54</v>
      </c>
      <c r="W488">
        <v>91.72</v>
      </c>
      <c r="X488">
        <v>123.56</v>
      </c>
      <c r="Y488">
        <v>269.18</v>
      </c>
      <c r="Z488">
        <v>118.74</v>
      </c>
      <c r="AA488">
        <v>136.87</v>
      </c>
      <c r="AB488">
        <v>57.08</v>
      </c>
      <c r="AC488">
        <v>80.7</v>
      </c>
      <c r="AD488">
        <v>93.19</v>
      </c>
      <c r="AE488">
        <v>76.790000000000006</v>
      </c>
      <c r="AI488" s="2">
        <v>5000</v>
      </c>
      <c r="AJ488" s="2">
        <f t="shared" si="328"/>
        <v>1340</v>
      </c>
      <c r="AK488" s="2">
        <f t="shared" si="328"/>
        <v>1340</v>
      </c>
      <c r="AL488" s="2">
        <f t="shared" si="328"/>
        <v>1340</v>
      </c>
      <c r="AM488" s="2">
        <f t="shared" si="328"/>
        <v>1340</v>
      </c>
      <c r="AN488" s="2">
        <f t="shared" si="328"/>
        <v>1340</v>
      </c>
      <c r="AO488" s="2">
        <f t="shared" si="328"/>
        <v>1340</v>
      </c>
      <c r="AP488" s="2">
        <f t="shared" si="328"/>
        <v>1220</v>
      </c>
      <c r="AQ488" s="2">
        <v>1000</v>
      </c>
      <c r="AR488" s="2">
        <v>0</v>
      </c>
      <c r="AS488" s="2">
        <v>10</v>
      </c>
      <c r="AT488" s="2">
        <v>0</v>
      </c>
      <c r="AU488" s="2">
        <v>0</v>
      </c>
      <c r="AV488" s="2">
        <v>0</v>
      </c>
      <c r="AW488" s="2">
        <v>0</v>
      </c>
      <c r="AX488" s="2">
        <v>0</v>
      </c>
      <c r="AY488" s="2">
        <v>0</v>
      </c>
      <c r="AZ488" s="2">
        <v>976</v>
      </c>
      <c r="BA488" s="2">
        <v>983</v>
      </c>
      <c r="BB488" s="2">
        <v>996</v>
      </c>
      <c r="BC488" s="2">
        <v>-3000</v>
      </c>
      <c r="BD488" s="2">
        <v>-7500</v>
      </c>
      <c r="BE488" s="2">
        <v>5000</v>
      </c>
      <c r="BF488" s="2">
        <v>5000</v>
      </c>
      <c r="BG488" s="2">
        <v>5000</v>
      </c>
      <c r="BH488" s="2">
        <v>2500</v>
      </c>
      <c r="BI488" s="2">
        <v>3000</v>
      </c>
      <c r="BJ488" s="2">
        <v>-2000</v>
      </c>
      <c r="BK488" s="2">
        <v>1000</v>
      </c>
      <c r="BL488" s="2">
        <v>1000</v>
      </c>
      <c r="BO488" s="2">
        <f t="shared" si="294"/>
        <v>0</v>
      </c>
      <c r="BP488" s="2">
        <f t="shared" si="301"/>
        <v>0</v>
      </c>
      <c r="BQ488" s="2">
        <f t="shared" si="302"/>
        <v>0</v>
      </c>
      <c r="BR488" s="2">
        <f t="shared" si="303"/>
        <v>0</v>
      </c>
      <c r="BS488" s="2">
        <f t="shared" si="304"/>
        <v>0</v>
      </c>
      <c r="BT488" s="2">
        <f t="shared" si="305"/>
        <v>0</v>
      </c>
      <c r="BU488" s="2">
        <f t="shared" si="306"/>
        <v>0</v>
      </c>
      <c r="BV488" s="2">
        <f t="shared" si="307"/>
        <v>0</v>
      </c>
      <c r="BW488" s="2">
        <f t="shared" si="308"/>
        <v>0</v>
      </c>
      <c r="BX488" s="2">
        <f t="shared" si="309"/>
        <v>0</v>
      </c>
      <c r="BY488" s="2">
        <f t="shared" si="310"/>
        <v>0</v>
      </c>
      <c r="BZ488" s="2">
        <f t="shared" si="311"/>
        <v>0</v>
      </c>
      <c r="CA488" s="2">
        <f t="shared" si="312"/>
        <v>0</v>
      </c>
      <c r="CB488" s="2">
        <f t="shared" si="313"/>
        <v>0</v>
      </c>
      <c r="CC488" s="2">
        <f t="shared" si="314"/>
        <v>0</v>
      </c>
      <c r="CD488" s="2">
        <f t="shared" si="315"/>
        <v>0</v>
      </c>
      <c r="CE488" s="2">
        <f t="shared" si="316"/>
        <v>0</v>
      </c>
      <c r="CF488" s="2">
        <f t="shared" si="317"/>
        <v>2133.3199999999997</v>
      </c>
      <c r="CG488" s="2">
        <f t="shared" si="318"/>
        <v>-524.09999999999991</v>
      </c>
      <c r="CH488" s="2">
        <f t="shared" si="319"/>
        <v>5427.16</v>
      </c>
      <c r="CI488" s="2">
        <f t="shared" si="320"/>
        <v>0</v>
      </c>
      <c r="CJ488" s="2">
        <f t="shared" si="321"/>
        <v>0</v>
      </c>
      <c r="CK488" s="2">
        <f t="shared" si="322"/>
        <v>0</v>
      </c>
      <c r="CL488" s="2">
        <f t="shared" si="323"/>
        <v>0</v>
      </c>
      <c r="CM488" s="2">
        <f t="shared" si="295"/>
        <v>0</v>
      </c>
      <c r="CN488" s="2">
        <f t="shared" si="296"/>
        <v>0</v>
      </c>
      <c r="CO488" s="2">
        <f t="shared" si="297"/>
        <v>0</v>
      </c>
      <c r="CP488" s="2">
        <f t="shared" si="298"/>
        <v>0</v>
      </c>
      <c r="CQ488" s="2">
        <f t="shared" si="299"/>
        <v>0</v>
      </c>
      <c r="CR488" s="2">
        <f t="shared" si="300"/>
        <v>0</v>
      </c>
      <c r="CV488" t="s">
        <v>64</v>
      </c>
      <c r="CW488" t="s">
        <v>561</v>
      </c>
      <c r="CX488" t="s">
        <v>18</v>
      </c>
      <c r="CY488" s="4">
        <v>42985</v>
      </c>
      <c r="CZ488" t="s">
        <v>65</v>
      </c>
      <c r="DA488" t="s">
        <v>66</v>
      </c>
      <c r="DB488">
        <v>56</v>
      </c>
      <c r="DC488">
        <v>61.44</v>
      </c>
      <c r="DD488" t="s">
        <v>69</v>
      </c>
      <c r="DE488" t="s">
        <v>70</v>
      </c>
      <c r="DF488">
        <v>3440.64</v>
      </c>
    </row>
    <row r="489" spans="1:110" x14ac:dyDescent="0.25">
      <c r="A489" s="1">
        <v>43444</v>
      </c>
      <c r="B489">
        <v>168.88</v>
      </c>
      <c r="C489">
        <v>105.36</v>
      </c>
      <c r="D489">
        <v>324.72000000000003</v>
      </c>
      <c r="E489">
        <v>122.6</v>
      </c>
      <c r="F489">
        <v>46.5</v>
      </c>
      <c r="G489">
        <v>113.8</v>
      </c>
      <c r="H489">
        <v>111.86</v>
      </c>
      <c r="I489">
        <v>53.8</v>
      </c>
      <c r="J489">
        <v>178.83</v>
      </c>
      <c r="K489">
        <v>171.69</v>
      </c>
      <c r="L489">
        <v>119.73</v>
      </c>
      <c r="M489">
        <v>46.91</v>
      </c>
      <c r="N489">
        <v>145.26</v>
      </c>
      <c r="O489">
        <v>100.54</v>
      </c>
      <c r="P489">
        <v>49.24</v>
      </c>
      <c r="Q489">
        <v>184.65</v>
      </c>
      <c r="R489">
        <v>196.96</v>
      </c>
      <c r="S489">
        <v>76.88</v>
      </c>
      <c r="T489">
        <v>107.59</v>
      </c>
      <c r="U489">
        <v>72.510000000000005</v>
      </c>
      <c r="V489">
        <v>44.02</v>
      </c>
      <c r="W489">
        <v>92.3</v>
      </c>
      <c r="X489">
        <v>123</v>
      </c>
      <c r="Y489">
        <v>266.52999999999997</v>
      </c>
      <c r="Z489">
        <v>118.7</v>
      </c>
      <c r="AA489">
        <v>137.63999999999999</v>
      </c>
      <c r="AB489">
        <v>57.67</v>
      </c>
      <c r="AC489">
        <v>80.67</v>
      </c>
      <c r="AD489">
        <v>93.94</v>
      </c>
      <c r="AE489">
        <v>75.7</v>
      </c>
      <c r="AI489" s="2">
        <v>5000</v>
      </c>
      <c r="AJ489" s="2">
        <f t="shared" si="328"/>
        <v>1340</v>
      </c>
      <c r="AK489" s="2">
        <f t="shared" si="328"/>
        <v>1340</v>
      </c>
      <c r="AL489" s="2">
        <f t="shared" si="328"/>
        <v>1340</v>
      </c>
      <c r="AM489" s="2">
        <f t="shared" si="328"/>
        <v>1340</v>
      </c>
      <c r="AN489" s="2">
        <f t="shared" si="328"/>
        <v>1340</v>
      </c>
      <c r="AO489" s="2">
        <f t="shared" si="328"/>
        <v>1340</v>
      </c>
      <c r="AP489" s="2">
        <f t="shared" si="328"/>
        <v>1220</v>
      </c>
      <c r="AQ489" s="2">
        <v>1000</v>
      </c>
      <c r="AR489" s="2">
        <v>0</v>
      </c>
      <c r="AS489" s="2">
        <v>10</v>
      </c>
      <c r="AT489" s="2">
        <v>0</v>
      </c>
      <c r="AU489" s="2">
        <v>0</v>
      </c>
      <c r="AV489" s="2">
        <v>0</v>
      </c>
      <c r="AW489" s="2">
        <v>0</v>
      </c>
      <c r="AX489" s="2">
        <v>0</v>
      </c>
      <c r="AY489" s="2">
        <v>0</v>
      </c>
      <c r="AZ489" s="2">
        <v>1028</v>
      </c>
      <c r="BA489" s="2">
        <v>987</v>
      </c>
      <c r="BB489" s="2">
        <v>1076</v>
      </c>
      <c r="BC489" s="2">
        <v>-3000</v>
      </c>
      <c r="BD489" s="2">
        <v>-7500</v>
      </c>
      <c r="BE489" s="2">
        <v>5000</v>
      </c>
      <c r="BF489" s="2">
        <v>5000</v>
      </c>
      <c r="BG489" s="2">
        <v>5000</v>
      </c>
      <c r="BH489" s="2">
        <v>2500</v>
      </c>
      <c r="BI489" s="2">
        <v>3000</v>
      </c>
      <c r="BJ489" s="2">
        <v>-2000</v>
      </c>
      <c r="BK489" s="2">
        <v>1000</v>
      </c>
      <c r="BL489" s="2">
        <v>1000</v>
      </c>
      <c r="BO489" s="2">
        <f t="shared" si="294"/>
        <v>0</v>
      </c>
      <c r="BP489" s="2">
        <f t="shared" si="301"/>
        <v>0</v>
      </c>
      <c r="BQ489" s="2">
        <f t="shared" si="302"/>
        <v>0</v>
      </c>
      <c r="BR489" s="2">
        <f t="shared" si="303"/>
        <v>0</v>
      </c>
      <c r="BS489" s="2">
        <f t="shared" si="304"/>
        <v>0</v>
      </c>
      <c r="BT489" s="2">
        <f t="shared" si="305"/>
        <v>0</v>
      </c>
      <c r="BU489" s="2">
        <f t="shared" si="306"/>
        <v>0</v>
      </c>
      <c r="BV489" s="2">
        <f t="shared" si="307"/>
        <v>0</v>
      </c>
      <c r="BW489" s="2">
        <f t="shared" si="308"/>
        <v>0</v>
      </c>
      <c r="BX489" s="2">
        <f t="shared" si="309"/>
        <v>0</v>
      </c>
      <c r="BY489" s="2">
        <f t="shared" si="310"/>
        <v>0</v>
      </c>
      <c r="BZ489" s="2">
        <f t="shared" si="311"/>
        <v>0</v>
      </c>
      <c r="CA489" s="2">
        <f t="shared" si="312"/>
        <v>0</v>
      </c>
      <c r="CB489" s="2">
        <f t="shared" si="313"/>
        <v>0</v>
      </c>
      <c r="CC489" s="2">
        <f t="shared" si="314"/>
        <v>0</v>
      </c>
      <c r="CD489" s="2">
        <f t="shared" si="315"/>
        <v>0</v>
      </c>
      <c r="CE489" s="2">
        <f t="shared" si="316"/>
        <v>0</v>
      </c>
      <c r="CF489" s="2">
        <f t="shared" si="317"/>
        <v>-3997.7599999999998</v>
      </c>
      <c r="CG489" s="2">
        <f t="shared" si="318"/>
        <v>-430.36</v>
      </c>
      <c r="CH489" s="2">
        <f t="shared" si="319"/>
        <v>-5800.8</v>
      </c>
      <c r="CI489" s="2">
        <f t="shared" si="320"/>
        <v>0</v>
      </c>
      <c r="CJ489" s="2">
        <f t="shared" si="321"/>
        <v>0</v>
      </c>
      <c r="CK489" s="2">
        <f t="shared" si="322"/>
        <v>0</v>
      </c>
      <c r="CL489" s="2">
        <f t="shared" si="323"/>
        <v>0</v>
      </c>
      <c r="CM489" s="2">
        <f t="shared" si="295"/>
        <v>0</v>
      </c>
      <c r="CN489" s="2">
        <f t="shared" si="296"/>
        <v>0</v>
      </c>
      <c r="CO489" s="2">
        <f t="shared" si="297"/>
        <v>0</v>
      </c>
      <c r="CP489" s="2">
        <f t="shared" si="298"/>
        <v>0</v>
      </c>
      <c r="CQ489" s="2">
        <f t="shared" si="299"/>
        <v>0</v>
      </c>
      <c r="CR489" s="2">
        <f t="shared" si="300"/>
        <v>0</v>
      </c>
      <c r="CV489" t="s">
        <v>64</v>
      </c>
      <c r="CW489" t="s">
        <v>562</v>
      </c>
      <c r="CX489" t="s">
        <v>18</v>
      </c>
      <c r="CY489" s="4">
        <v>42986</v>
      </c>
      <c r="CZ489" t="s">
        <v>67</v>
      </c>
      <c r="DA489" t="s">
        <v>68</v>
      </c>
      <c r="DB489">
        <v>38</v>
      </c>
      <c r="DC489">
        <v>61.39</v>
      </c>
      <c r="DD489" t="s">
        <v>69</v>
      </c>
      <c r="DE489" t="s">
        <v>70</v>
      </c>
      <c r="DF489">
        <v>2332.8200000000002</v>
      </c>
    </row>
    <row r="490" spans="1:110" x14ac:dyDescent="0.25">
      <c r="A490" s="1">
        <v>43445</v>
      </c>
      <c r="B490">
        <v>167.91</v>
      </c>
      <c r="C490">
        <v>104.97</v>
      </c>
      <c r="D490">
        <v>320.42</v>
      </c>
      <c r="E490">
        <v>122.45</v>
      </c>
      <c r="F490">
        <v>46.73</v>
      </c>
      <c r="G490">
        <v>114.32</v>
      </c>
      <c r="H490">
        <v>111.97</v>
      </c>
      <c r="I490">
        <v>53.26</v>
      </c>
      <c r="J490">
        <v>176.8</v>
      </c>
      <c r="K490">
        <v>172.21</v>
      </c>
      <c r="L490">
        <v>119.5</v>
      </c>
      <c r="M490">
        <v>47.08</v>
      </c>
      <c r="N490">
        <v>146.5</v>
      </c>
      <c r="O490">
        <v>99.56</v>
      </c>
      <c r="P490">
        <v>49.54</v>
      </c>
      <c r="Q490">
        <v>183.59</v>
      </c>
      <c r="R490">
        <v>196.1</v>
      </c>
      <c r="S490">
        <v>76.569999999999993</v>
      </c>
      <c r="T490">
        <v>108.59</v>
      </c>
      <c r="U490">
        <v>73.569999999999993</v>
      </c>
      <c r="V490">
        <v>43.63</v>
      </c>
      <c r="W490">
        <v>93.17</v>
      </c>
      <c r="X490">
        <v>120.97</v>
      </c>
      <c r="Y490">
        <v>267.22000000000003</v>
      </c>
      <c r="Z490">
        <v>118.23</v>
      </c>
      <c r="AA490">
        <v>136.57</v>
      </c>
      <c r="AB490">
        <v>58.24</v>
      </c>
      <c r="AC490">
        <v>81.31</v>
      </c>
      <c r="AD490">
        <v>93.85</v>
      </c>
      <c r="AE490">
        <v>75.84</v>
      </c>
      <c r="AI490" s="2">
        <v>5000</v>
      </c>
      <c r="AJ490" s="2">
        <f t="shared" si="328"/>
        <v>1340</v>
      </c>
      <c r="AK490" s="2">
        <f t="shared" si="328"/>
        <v>1340</v>
      </c>
      <c r="AL490" s="2">
        <f t="shared" si="328"/>
        <v>1340</v>
      </c>
      <c r="AM490" s="2">
        <f t="shared" si="328"/>
        <v>1340</v>
      </c>
      <c r="AN490" s="2">
        <f t="shared" si="328"/>
        <v>1340</v>
      </c>
      <c r="AO490" s="2">
        <f t="shared" si="328"/>
        <v>1340</v>
      </c>
      <c r="AP490" s="2">
        <f t="shared" si="328"/>
        <v>1220</v>
      </c>
      <c r="AQ490" s="2">
        <v>1000</v>
      </c>
      <c r="AR490" s="2">
        <v>0</v>
      </c>
      <c r="AS490" s="2">
        <v>10</v>
      </c>
      <c r="AT490" s="2">
        <v>0</v>
      </c>
      <c r="AU490" s="2">
        <v>0</v>
      </c>
      <c r="AV490" s="2">
        <v>0</v>
      </c>
      <c r="AW490" s="2">
        <v>0</v>
      </c>
      <c r="AX490" s="2">
        <v>0</v>
      </c>
      <c r="AY490" s="2">
        <v>0</v>
      </c>
      <c r="AZ490" s="2">
        <v>953</v>
      </c>
      <c r="BA490" s="2">
        <v>1004</v>
      </c>
      <c r="BB490" s="2">
        <v>1090</v>
      </c>
      <c r="BC490" s="2">
        <v>-3000</v>
      </c>
      <c r="BD490" s="2">
        <v>-7500</v>
      </c>
      <c r="BE490" s="2">
        <v>5000</v>
      </c>
      <c r="BF490" s="2">
        <v>5000</v>
      </c>
      <c r="BG490" s="2">
        <v>5000</v>
      </c>
      <c r="BH490" s="2">
        <v>2500</v>
      </c>
      <c r="BI490" s="2">
        <v>3000</v>
      </c>
      <c r="BJ490" s="2">
        <v>-2000</v>
      </c>
      <c r="BK490" s="2">
        <v>1000</v>
      </c>
      <c r="BL490" s="2">
        <v>1000</v>
      </c>
      <c r="BO490" s="2">
        <f t="shared" si="294"/>
        <v>0</v>
      </c>
      <c r="BP490" s="2">
        <f t="shared" si="301"/>
        <v>0</v>
      </c>
      <c r="BQ490" s="2">
        <f t="shared" si="302"/>
        <v>0</v>
      </c>
      <c r="BR490" s="2">
        <f t="shared" si="303"/>
        <v>0</v>
      </c>
      <c r="BS490" s="2">
        <f t="shared" si="304"/>
        <v>0</v>
      </c>
      <c r="BT490" s="2">
        <f t="shared" si="305"/>
        <v>0</v>
      </c>
      <c r="BU490" s="2">
        <f t="shared" si="306"/>
        <v>0</v>
      </c>
      <c r="BV490" s="2">
        <f t="shared" si="307"/>
        <v>0</v>
      </c>
      <c r="BW490" s="2">
        <f t="shared" si="308"/>
        <v>0</v>
      </c>
      <c r="BX490" s="2">
        <f t="shared" si="309"/>
        <v>0</v>
      </c>
      <c r="BY490" s="2">
        <f t="shared" si="310"/>
        <v>0</v>
      </c>
      <c r="BZ490" s="2">
        <f t="shared" si="311"/>
        <v>0</v>
      </c>
      <c r="CA490" s="2">
        <f t="shared" si="312"/>
        <v>0</v>
      </c>
      <c r="CB490" s="2">
        <f t="shared" si="313"/>
        <v>0</v>
      </c>
      <c r="CC490" s="2">
        <f t="shared" si="314"/>
        <v>0</v>
      </c>
      <c r="CD490" s="2">
        <f t="shared" si="315"/>
        <v>0</v>
      </c>
      <c r="CE490" s="2">
        <f t="shared" si="316"/>
        <v>0</v>
      </c>
      <c r="CF490" s="2">
        <f t="shared" si="317"/>
        <v>5742.7499999999991</v>
      </c>
      <c r="CG490" s="2">
        <f t="shared" si="318"/>
        <v>-1846.03</v>
      </c>
      <c r="CH490" s="2">
        <f t="shared" si="319"/>
        <v>-1029.98</v>
      </c>
      <c r="CI490" s="2">
        <f t="shared" si="320"/>
        <v>0</v>
      </c>
      <c r="CJ490" s="2">
        <f t="shared" si="321"/>
        <v>0</v>
      </c>
      <c r="CK490" s="2">
        <f t="shared" si="322"/>
        <v>0</v>
      </c>
      <c r="CL490" s="2">
        <f t="shared" si="323"/>
        <v>0</v>
      </c>
      <c r="CM490" s="2">
        <f t="shared" si="295"/>
        <v>0</v>
      </c>
      <c r="CN490" s="2">
        <f t="shared" si="296"/>
        <v>0</v>
      </c>
      <c r="CO490" s="2">
        <f t="shared" si="297"/>
        <v>0</v>
      </c>
      <c r="CP490" s="2">
        <f t="shared" si="298"/>
        <v>0</v>
      </c>
      <c r="CQ490" s="2">
        <f t="shared" si="299"/>
        <v>0</v>
      </c>
      <c r="CR490" s="2">
        <f t="shared" si="300"/>
        <v>0</v>
      </c>
      <c r="CV490" t="s">
        <v>64</v>
      </c>
      <c r="CW490" t="s">
        <v>563</v>
      </c>
      <c r="CX490" t="s">
        <v>18</v>
      </c>
      <c r="CY490" s="4">
        <v>42989</v>
      </c>
      <c r="CZ490" t="s">
        <v>67</v>
      </c>
      <c r="DA490" t="s">
        <v>68</v>
      </c>
      <c r="DB490">
        <v>1</v>
      </c>
      <c r="DC490">
        <v>62.21</v>
      </c>
      <c r="DD490" t="s">
        <v>69</v>
      </c>
      <c r="DE490" t="s">
        <v>70</v>
      </c>
      <c r="DF490">
        <v>62.21</v>
      </c>
    </row>
    <row r="491" spans="1:110" x14ac:dyDescent="0.25">
      <c r="A491" s="1">
        <v>43446</v>
      </c>
      <c r="B491">
        <v>168.38</v>
      </c>
      <c r="C491">
        <v>107.04</v>
      </c>
      <c r="D491">
        <v>325.06</v>
      </c>
      <c r="E491">
        <v>124.57</v>
      </c>
      <c r="F491">
        <v>47.06</v>
      </c>
      <c r="G491">
        <v>114.47</v>
      </c>
      <c r="H491">
        <v>112.21</v>
      </c>
      <c r="I491">
        <v>54.35</v>
      </c>
      <c r="J491">
        <v>176.7</v>
      </c>
      <c r="K491">
        <v>174.21</v>
      </c>
      <c r="L491">
        <v>119.76</v>
      </c>
      <c r="M491">
        <v>47.53</v>
      </c>
      <c r="N491">
        <v>147.1</v>
      </c>
      <c r="O491">
        <v>100.21</v>
      </c>
      <c r="P491">
        <v>49.22</v>
      </c>
      <c r="Q491">
        <v>183.48</v>
      </c>
      <c r="R491">
        <v>198.44</v>
      </c>
      <c r="S491">
        <v>77.47</v>
      </c>
      <c r="T491">
        <v>109.08</v>
      </c>
      <c r="U491">
        <v>74.319999999999993</v>
      </c>
      <c r="V491">
        <v>43.78</v>
      </c>
      <c r="W491">
        <v>93.29</v>
      </c>
      <c r="X491">
        <v>122.01</v>
      </c>
      <c r="Y491">
        <v>270.64</v>
      </c>
      <c r="Z491">
        <v>118.95</v>
      </c>
      <c r="AA491">
        <v>137.56</v>
      </c>
      <c r="AB491">
        <v>56.66</v>
      </c>
      <c r="AC491">
        <v>81.94</v>
      </c>
      <c r="AD491">
        <v>93.11</v>
      </c>
      <c r="AE491">
        <v>75.19</v>
      </c>
      <c r="AI491" s="2">
        <v>5000</v>
      </c>
      <c r="AJ491" s="2">
        <f t="shared" si="328"/>
        <v>1340</v>
      </c>
      <c r="AK491" s="2">
        <f t="shared" si="328"/>
        <v>1340</v>
      </c>
      <c r="AL491" s="2">
        <f t="shared" si="328"/>
        <v>1340</v>
      </c>
      <c r="AM491" s="2">
        <f t="shared" si="328"/>
        <v>1340</v>
      </c>
      <c r="AN491" s="2">
        <f t="shared" si="328"/>
        <v>1340</v>
      </c>
      <c r="AO491" s="2">
        <f t="shared" si="328"/>
        <v>1340</v>
      </c>
      <c r="AP491" s="2">
        <f t="shared" si="328"/>
        <v>1220</v>
      </c>
      <c r="AQ491" s="2">
        <v>1000</v>
      </c>
      <c r="AR491" s="2">
        <v>0</v>
      </c>
      <c r="AS491" s="2">
        <v>10</v>
      </c>
      <c r="AT491" s="2">
        <v>0</v>
      </c>
      <c r="AU491" s="2">
        <v>0</v>
      </c>
      <c r="AV491" s="2">
        <v>0</v>
      </c>
      <c r="AW491" s="2">
        <v>0</v>
      </c>
      <c r="AX491" s="2">
        <v>0</v>
      </c>
      <c r="AY491" s="2">
        <v>0</v>
      </c>
      <c r="AZ491" s="2">
        <v>1016</v>
      </c>
      <c r="BA491" s="2">
        <v>1084</v>
      </c>
      <c r="BB491" s="2">
        <v>922</v>
      </c>
      <c r="BC491" s="2">
        <v>-3000</v>
      </c>
      <c r="BD491" s="2">
        <v>-7500</v>
      </c>
      <c r="BE491" s="2">
        <v>5000</v>
      </c>
      <c r="BF491" s="2">
        <v>5000</v>
      </c>
      <c r="BG491" s="2">
        <v>5000</v>
      </c>
      <c r="BH491" s="2">
        <v>2500</v>
      </c>
      <c r="BI491" s="2">
        <v>3000</v>
      </c>
      <c r="BJ491" s="2">
        <v>-2000</v>
      </c>
      <c r="BK491" s="2">
        <v>1000</v>
      </c>
      <c r="BL491" s="2">
        <v>1000</v>
      </c>
      <c r="BO491" s="2">
        <f t="shared" si="294"/>
        <v>0</v>
      </c>
      <c r="BP491" s="2">
        <f t="shared" si="301"/>
        <v>0</v>
      </c>
      <c r="BQ491" s="2">
        <f t="shared" si="302"/>
        <v>0</v>
      </c>
      <c r="BR491" s="2">
        <f t="shared" si="303"/>
        <v>0</v>
      </c>
      <c r="BS491" s="2">
        <f t="shared" si="304"/>
        <v>0</v>
      </c>
      <c r="BT491" s="2">
        <f t="shared" si="305"/>
        <v>0</v>
      </c>
      <c r="BU491" s="2">
        <f t="shared" si="306"/>
        <v>0</v>
      </c>
      <c r="BV491" s="2">
        <f t="shared" si="307"/>
        <v>0</v>
      </c>
      <c r="BW491" s="2">
        <f t="shared" si="308"/>
        <v>0</v>
      </c>
      <c r="BX491" s="2">
        <f t="shared" si="309"/>
        <v>0</v>
      </c>
      <c r="BY491" s="2">
        <f t="shared" si="310"/>
        <v>0</v>
      </c>
      <c r="BZ491" s="2">
        <f t="shared" si="311"/>
        <v>0</v>
      </c>
      <c r="CA491" s="2">
        <f t="shared" si="312"/>
        <v>0</v>
      </c>
      <c r="CB491" s="2">
        <f t="shared" si="313"/>
        <v>0</v>
      </c>
      <c r="CC491" s="2">
        <f t="shared" si="314"/>
        <v>0</v>
      </c>
      <c r="CD491" s="2">
        <f t="shared" si="315"/>
        <v>0</v>
      </c>
      <c r="CE491" s="2">
        <f t="shared" si="316"/>
        <v>0</v>
      </c>
      <c r="CF491" s="2">
        <f t="shared" si="317"/>
        <v>-4880.6099999999997</v>
      </c>
      <c r="CG491" s="2">
        <f t="shared" si="318"/>
        <v>-8726.4</v>
      </c>
      <c r="CH491" s="2">
        <f t="shared" si="319"/>
        <v>12485.759999999998</v>
      </c>
      <c r="CI491" s="2">
        <f t="shared" si="320"/>
        <v>0</v>
      </c>
      <c r="CJ491" s="2">
        <f t="shared" si="321"/>
        <v>0</v>
      </c>
      <c r="CK491" s="2">
        <f t="shared" si="322"/>
        <v>0</v>
      </c>
      <c r="CL491" s="2">
        <f t="shared" si="323"/>
        <v>0</v>
      </c>
      <c r="CM491" s="2">
        <f t="shared" si="295"/>
        <v>0</v>
      </c>
      <c r="CN491" s="2">
        <f t="shared" si="296"/>
        <v>0</v>
      </c>
      <c r="CO491" s="2">
        <f t="shared" si="297"/>
        <v>0</v>
      </c>
      <c r="CP491" s="2">
        <f t="shared" si="298"/>
        <v>0</v>
      </c>
      <c r="CQ491" s="2">
        <f t="shared" si="299"/>
        <v>0</v>
      </c>
      <c r="CR491" s="2">
        <f t="shared" si="300"/>
        <v>0</v>
      </c>
      <c r="CV491" t="s">
        <v>64</v>
      </c>
      <c r="CW491" t="s">
        <v>564</v>
      </c>
      <c r="CX491" t="s">
        <v>18</v>
      </c>
      <c r="CY491" s="4">
        <v>42990</v>
      </c>
      <c r="CZ491" t="s">
        <v>65</v>
      </c>
      <c r="DA491" t="s">
        <v>66</v>
      </c>
      <c r="DB491">
        <v>3</v>
      </c>
      <c r="DC491">
        <v>62.53</v>
      </c>
      <c r="DD491" t="s">
        <v>69</v>
      </c>
      <c r="DE491" t="s">
        <v>70</v>
      </c>
      <c r="DF491">
        <v>187.59</v>
      </c>
    </row>
    <row r="492" spans="1:110" x14ac:dyDescent="0.25">
      <c r="A492" s="1">
        <v>43447</v>
      </c>
      <c r="B492">
        <v>170.22</v>
      </c>
      <c r="C492">
        <v>106.27</v>
      </c>
      <c r="D492">
        <v>323.83999999999997</v>
      </c>
      <c r="E492">
        <v>125.1</v>
      </c>
      <c r="F492">
        <v>47.11</v>
      </c>
      <c r="G492">
        <v>114.79</v>
      </c>
      <c r="H492">
        <v>113.39</v>
      </c>
      <c r="I492">
        <v>53.78</v>
      </c>
      <c r="J492">
        <v>175.92</v>
      </c>
      <c r="K492">
        <v>173.87</v>
      </c>
      <c r="L492">
        <v>119.34</v>
      </c>
      <c r="M492">
        <v>47.99</v>
      </c>
      <c r="N492">
        <v>147.84</v>
      </c>
      <c r="O492">
        <v>100.31</v>
      </c>
      <c r="P492">
        <v>49.47</v>
      </c>
      <c r="Q492">
        <v>186.43</v>
      </c>
      <c r="R492">
        <v>200.74</v>
      </c>
      <c r="S492">
        <v>78.459999999999994</v>
      </c>
      <c r="T492">
        <v>109.45</v>
      </c>
      <c r="U492">
        <v>72.930000000000007</v>
      </c>
      <c r="V492">
        <v>44.18</v>
      </c>
      <c r="W492">
        <v>95.73</v>
      </c>
      <c r="X492">
        <v>121.5</v>
      </c>
      <c r="Y492">
        <v>272.14999999999998</v>
      </c>
      <c r="Z492">
        <v>118.55</v>
      </c>
      <c r="AA492">
        <v>137.30000000000001</v>
      </c>
      <c r="AB492">
        <v>56.5</v>
      </c>
      <c r="AC492">
        <v>81.819999999999993</v>
      </c>
      <c r="AD492">
        <v>92.96</v>
      </c>
      <c r="AE492">
        <v>76.13</v>
      </c>
      <c r="AI492" s="2">
        <v>5000</v>
      </c>
      <c r="AJ492" s="2">
        <f t="shared" ref="AJ492:AP492" si="329">AJ491+10</f>
        <v>1350</v>
      </c>
      <c r="AK492" s="2">
        <f t="shared" si="329"/>
        <v>1350</v>
      </c>
      <c r="AL492" s="2">
        <f t="shared" si="329"/>
        <v>1350</v>
      </c>
      <c r="AM492" s="2">
        <f t="shared" si="329"/>
        <v>1350</v>
      </c>
      <c r="AN492" s="2">
        <f t="shared" si="329"/>
        <v>1350</v>
      </c>
      <c r="AO492" s="2">
        <f t="shared" si="329"/>
        <v>1350</v>
      </c>
      <c r="AP492" s="2">
        <f t="shared" si="329"/>
        <v>1230</v>
      </c>
      <c r="AQ492" s="2">
        <v>1000</v>
      </c>
      <c r="AR492" s="2">
        <v>0</v>
      </c>
      <c r="AS492" s="2">
        <v>10</v>
      </c>
      <c r="AT492" s="2">
        <v>0</v>
      </c>
      <c r="AU492" s="2">
        <v>0</v>
      </c>
      <c r="AV492" s="2">
        <v>0</v>
      </c>
      <c r="AW492" s="2">
        <v>0</v>
      </c>
      <c r="AX492" s="2">
        <v>0</v>
      </c>
      <c r="AY492" s="2">
        <v>0</v>
      </c>
      <c r="AZ492" s="2">
        <v>953</v>
      </c>
      <c r="BA492" s="2">
        <v>1039</v>
      </c>
      <c r="BB492" s="2">
        <v>1062</v>
      </c>
      <c r="BC492" s="2">
        <v>-3000</v>
      </c>
      <c r="BD492" s="2">
        <v>-7500</v>
      </c>
      <c r="BE492" s="2">
        <v>5000</v>
      </c>
      <c r="BF492" s="2">
        <v>5000</v>
      </c>
      <c r="BG492" s="2">
        <v>5000</v>
      </c>
      <c r="BH492" s="2">
        <v>2500</v>
      </c>
      <c r="BI492" s="2">
        <v>3000</v>
      </c>
      <c r="BJ492" s="2">
        <v>-2000</v>
      </c>
      <c r="BK492" s="2">
        <v>1000</v>
      </c>
      <c r="BL492" s="2">
        <v>1000</v>
      </c>
      <c r="BO492" s="2">
        <f t="shared" si="294"/>
        <v>0</v>
      </c>
      <c r="BP492" s="2">
        <f t="shared" si="301"/>
        <v>-1062.7</v>
      </c>
      <c r="BQ492" s="2">
        <f t="shared" si="302"/>
        <v>-3238.3999999999996</v>
      </c>
      <c r="BR492" s="2">
        <f t="shared" si="303"/>
        <v>-1251</v>
      </c>
      <c r="BS492" s="2">
        <f t="shared" si="304"/>
        <v>-471.1</v>
      </c>
      <c r="BT492" s="2">
        <f t="shared" si="305"/>
        <v>-1147.9000000000001</v>
      </c>
      <c r="BU492" s="2">
        <f t="shared" si="306"/>
        <v>-1133.9000000000001</v>
      </c>
      <c r="BV492" s="2">
        <f t="shared" si="307"/>
        <v>-537.79999999999995</v>
      </c>
      <c r="BW492" s="2">
        <f t="shared" si="308"/>
        <v>0</v>
      </c>
      <c r="BX492" s="2">
        <f t="shared" si="309"/>
        <v>0</v>
      </c>
      <c r="BY492" s="2">
        <f t="shared" si="310"/>
        <v>0</v>
      </c>
      <c r="BZ492" s="2">
        <f t="shared" si="311"/>
        <v>0</v>
      </c>
      <c r="CA492" s="2">
        <f t="shared" si="312"/>
        <v>0</v>
      </c>
      <c r="CB492" s="2">
        <f t="shared" si="313"/>
        <v>0</v>
      </c>
      <c r="CC492" s="2">
        <f t="shared" si="314"/>
        <v>0</v>
      </c>
      <c r="CD492" s="2">
        <f t="shared" si="315"/>
        <v>0</v>
      </c>
      <c r="CE492" s="2">
        <f t="shared" si="316"/>
        <v>0</v>
      </c>
      <c r="CF492" s="2">
        <f t="shared" si="317"/>
        <v>4942.9799999999996</v>
      </c>
      <c r="CG492" s="2">
        <f t="shared" si="318"/>
        <v>4925.25</v>
      </c>
      <c r="CH492" s="2">
        <f t="shared" si="319"/>
        <v>-10210.200000000001</v>
      </c>
      <c r="CI492" s="2">
        <f t="shared" si="320"/>
        <v>0</v>
      </c>
      <c r="CJ492" s="2">
        <f t="shared" si="321"/>
        <v>0</v>
      </c>
      <c r="CK492" s="2">
        <f t="shared" si="322"/>
        <v>0</v>
      </c>
      <c r="CL492" s="2">
        <f t="shared" si="323"/>
        <v>0</v>
      </c>
      <c r="CM492" s="2">
        <f t="shared" si="295"/>
        <v>0</v>
      </c>
      <c r="CN492" s="2">
        <f t="shared" si="296"/>
        <v>0</v>
      </c>
      <c r="CO492" s="2">
        <f t="shared" si="297"/>
        <v>0</v>
      </c>
      <c r="CP492" s="2">
        <f t="shared" si="298"/>
        <v>0</v>
      </c>
      <c r="CQ492" s="2">
        <f t="shared" si="299"/>
        <v>0</v>
      </c>
      <c r="CR492" s="2">
        <f t="shared" si="300"/>
        <v>0</v>
      </c>
      <c r="CV492" t="s">
        <v>64</v>
      </c>
      <c r="CW492" t="s">
        <v>565</v>
      </c>
      <c r="CX492" t="s">
        <v>18</v>
      </c>
      <c r="CY492" s="4">
        <v>42991</v>
      </c>
      <c r="CZ492" t="s">
        <v>65</v>
      </c>
      <c r="DA492" t="s">
        <v>66</v>
      </c>
      <c r="DB492">
        <v>40</v>
      </c>
      <c r="DC492">
        <v>62.52</v>
      </c>
      <c r="DD492" t="s">
        <v>69</v>
      </c>
      <c r="DE492" t="s">
        <v>70</v>
      </c>
      <c r="DF492">
        <v>2500.8000000000002</v>
      </c>
    </row>
    <row r="493" spans="1:110" x14ac:dyDescent="0.25">
      <c r="A493" s="1">
        <v>43448</v>
      </c>
      <c r="B493">
        <v>164.77</v>
      </c>
      <c r="C493">
        <v>105.27</v>
      </c>
      <c r="D493">
        <v>317.16000000000003</v>
      </c>
      <c r="E493">
        <v>125.96</v>
      </c>
      <c r="F493">
        <v>45.47</v>
      </c>
      <c r="G493">
        <v>112.7</v>
      </c>
      <c r="H493">
        <v>112.2</v>
      </c>
      <c r="I493">
        <v>52.78</v>
      </c>
      <c r="J493">
        <v>172.77</v>
      </c>
      <c r="K493">
        <v>172.29</v>
      </c>
      <c r="L493">
        <v>118.52</v>
      </c>
      <c r="M493">
        <v>47.56</v>
      </c>
      <c r="N493">
        <v>133</v>
      </c>
      <c r="O493">
        <v>99.48</v>
      </c>
      <c r="P493">
        <v>49.34</v>
      </c>
      <c r="Q493">
        <v>183.29</v>
      </c>
      <c r="R493">
        <v>194.75</v>
      </c>
      <c r="S493">
        <v>76.48</v>
      </c>
      <c r="T493">
        <v>106.03</v>
      </c>
      <c r="U493">
        <v>72.53</v>
      </c>
      <c r="V493">
        <v>43.42</v>
      </c>
      <c r="W493">
        <v>95.88</v>
      </c>
      <c r="X493">
        <v>120.55</v>
      </c>
      <c r="Y493">
        <v>265.02</v>
      </c>
      <c r="Z493">
        <v>118.1</v>
      </c>
      <c r="AA493">
        <v>134.85</v>
      </c>
      <c r="AB493">
        <v>56.49</v>
      </c>
      <c r="AC493">
        <v>78.260000000000005</v>
      </c>
      <c r="AD493">
        <v>91.85</v>
      </c>
      <c r="AE493">
        <v>74.75</v>
      </c>
      <c r="AI493" s="2">
        <v>5000</v>
      </c>
      <c r="AJ493" s="2">
        <f t="shared" ref="AJ493:AP493" si="330">AJ492</f>
        <v>1350</v>
      </c>
      <c r="AK493" s="2">
        <f t="shared" si="330"/>
        <v>1350</v>
      </c>
      <c r="AL493" s="2">
        <f t="shared" si="330"/>
        <v>1350</v>
      </c>
      <c r="AM493" s="2">
        <f t="shared" si="330"/>
        <v>1350</v>
      </c>
      <c r="AN493" s="2">
        <f t="shared" si="330"/>
        <v>1350</v>
      </c>
      <c r="AO493" s="2">
        <f t="shared" si="330"/>
        <v>1350</v>
      </c>
      <c r="AP493" s="2">
        <f t="shared" si="330"/>
        <v>1230</v>
      </c>
      <c r="AQ493" s="2">
        <v>1000</v>
      </c>
      <c r="AR493" s="2">
        <v>0</v>
      </c>
      <c r="AS493" s="2">
        <v>10</v>
      </c>
      <c r="AT493" s="2">
        <v>0</v>
      </c>
      <c r="AU493" s="2">
        <v>0</v>
      </c>
      <c r="AV493" s="2">
        <v>0</v>
      </c>
      <c r="AW493" s="2">
        <v>0</v>
      </c>
      <c r="AX493" s="2">
        <v>0</v>
      </c>
      <c r="AY493" s="2">
        <v>0</v>
      </c>
      <c r="AZ493" s="2">
        <v>955</v>
      </c>
      <c r="BA493" s="2">
        <v>950</v>
      </c>
      <c r="BB493" s="2">
        <v>1017</v>
      </c>
      <c r="BC493" s="2">
        <v>-3000</v>
      </c>
      <c r="BD493" s="2">
        <v>-7500</v>
      </c>
      <c r="BE493" s="2">
        <v>5000</v>
      </c>
      <c r="BF493" s="2">
        <v>5000</v>
      </c>
      <c r="BG493" s="2">
        <v>5000</v>
      </c>
      <c r="BH493" s="2">
        <v>2500</v>
      </c>
      <c r="BI493" s="2">
        <v>3000</v>
      </c>
      <c r="BJ493" s="2">
        <v>-2000</v>
      </c>
      <c r="BK493" s="2">
        <v>1000</v>
      </c>
      <c r="BL493" s="2">
        <v>1000</v>
      </c>
      <c r="BO493" s="2">
        <f t="shared" si="294"/>
        <v>0</v>
      </c>
      <c r="BP493" s="2">
        <f t="shared" si="301"/>
        <v>0</v>
      </c>
      <c r="BQ493" s="2">
        <f t="shared" si="302"/>
        <v>0</v>
      </c>
      <c r="BR493" s="2">
        <f t="shared" si="303"/>
        <v>0</v>
      </c>
      <c r="BS493" s="2">
        <f t="shared" si="304"/>
        <v>0</v>
      </c>
      <c r="BT493" s="2">
        <f t="shared" si="305"/>
        <v>0</v>
      </c>
      <c r="BU493" s="2">
        <f t="shared" si="306"/>
        <v>0</v>
      </c>
      <c r="BV493" s="2">
        <f t="shared" si="307"/>
        <v>0</v>
      </c>
      <c r="BW493" s="2">
        <f t="shared" si="308"/>
        <v>0</v>
      </c>
      <c r="BX493" s="2">
        <f t="shared" si="309"/>
        <v>0</v>
      </c>
      <c r="BY493" s="2">
        <f t="shared" si="310"/>
        <v>0</v>
      </c>
      <c r="BZ493" s="2">
        <f t="shared" si="311"/>
        <v>0</v>
      </c>
      <c r="CA493" s="2">
        <f t="shared" si="312"/>
        <v>0</v>
      </c>
      <c r="CB493" s="2">
        <f t="shared" si="313"/>
        <v>0</v>
      </c>
      <c r="CC493" s="2">
        <f t="shared" si="314"/>
        <v>0</v>
      </c>
      <c r="CD493" s="2">
        <f t="shared" si="315"/>
        <v>0</v>
      </c>
      <c r="CE493" s="2">
        <f t="shared" si="316"/>
        <v>0</v>
      </c>
      <c r="CF493" s="2">
        <f t="shared" si="317"/>
        <v>-152.96</v>
      </c>
      <c r="CG493" s="2">
        <f t="shared" si="318"/>
        <v>9436.67</v>
      </c>
      <c r="CH493" s="2">
        <f t="shared" si="319"/>
        <v>3263.85</v>
      </c>
      <c r="CI493" s="2">
        <f t="shared" si="320"/>
        <v>0</v>
      </c>
      <c r="CJ493" s="2">
        <f t="shared" si="321"/>
        <v>0</v>
      </c>
      <c r="CK493" s="2">
        <f t="shared" si="322"/>
        <v>0</v>
      </c>
      <c r="CL493" s="2">
        <f t="shared" si="323"/>
        <v>0</v>
      </c>
      <c r="CM493" s="2">
        <f t="shared" si="295"/>
        <v>0</v>
      </c>
      <c r="CN493" s="2">
        <f t="shared" si="296"/>
        <v>0</v>
      </c>
      <c r="CO493" s="2">
        <f t="shared" si="297"/>
        <v>0</v>
      </c>
      <c r="CP493" s="2">
        <f t="shared" si="298"/>
        <v>0</v>
      </c>
      <c r="CQ493" s="2">
        <f t="shared" si="299"/>
        <v>0</v>
      </c>
      <c r="CR493" s="2">
        <f t="shared" si="300"/>
        <v>0</v>
      </c>
      <c r="CV493" t="s">
        <v>64</v>
      </c>
      <c r="CW493" t="s">
        <v>566</v>
      </c>
      <c r="CX493" t="s">
        <v>18</v>
      </c>
      <c r="CY493" s="4">
        <v>42992</v>
      </c>
      <c r="CZ493" t="s">
        <v>67</v>
      </c>
      <c r="DA493" t="s">
        <v>68</v>
      </c>
      <c r="DB493">
        <v>58</v>
      </c>
      <c r="DC493">
        <v>63.61</v>
      </c>
      <c r="DD493" t="s">
        <v>69</v>
      </c>
      <c r="DE493" t="s">
        <v>70</v>
      </c>
      <c r="DF493">
        <v>3689.38</v>
      </c>
    </row>
    <row r="494" spans="1:110" x14ac:dyDescent="0.25">
      <c r="A494" s="1">
        <v>43451</v>
      </c>
      <c r="B494">
        <v>163.24</v>
      </c>
      <c r="C494">
        <v>100.77</v>
      </c>
      <c r="D494">
        <v>314.55</v>
      </c>
      <c r="E494">
        <v>123.67</v>
      </c>
      <c r="F494">
        <v>43.86</v>
      </c>
      <c r="G494">
        <v>111.33</v>
      </c>
      <c r="H494">
        <v>110.62</v>
      </c>
      <c r="I494">
        <v>51.68</v>
      </c>
      <c r="J494">
        <v>168.01</v>
      </c>
      <c r="K494">
        <v>167.97</v>
      </c>
      <c r="L494">
        <v>114.76</v>
      </c>
      <c r="M494">
        <v>46.78</v>
      </c>
      <c r="N494">
        <v>129.13999999999999</v>
      </c>
      <c r="O494">
        <v>98.21</v>
      </c>
      <c r="P494">
        <v>48.33</v>
      </c>
      <c r="Q494">
        <v>180.79</v>
      </c>
      <c r="R494">
        <v>191.5</v>
      </c>
      <c r="S494">
        <v>75.23</v>
      </c>
      <c r="T494">
        <v>102.89</v>
      </c>
      <c r="U494">
        <v>69.900000000000006</v>
      </c>
      <c r="V494">
        <v>42.74</v>
      </c>
      <c r="W494">
        <v>92.04</v>
      </c>
      <c r="X494">
        <v>119.93</v>
      </c>
      <c r="Y494">
        <v>258.07</v>
      </c>
      <c r="Z494">
        <v>114.63</v>
      </c>
      <c r="AA494">
        <v>131.16999999999999</v>
      </c>
      <c r="AB494">
        <v>55.37</v>
      </c>
      <c r="AC494">
        <v>75.760000000000005</v>
      </c>
      <c r="AD494">
        <v>90.77</v>
      </c>
      <c r="AE494">
        <v>73.23</v>
      </c>
      <c r="AI494" s="2">
        <v>5000</v>
      </c>
      <c r="AJ494" s="2">
        <f t="shared" si="328"/>
        <v>1350</v>
      </c>
      <c r="AK494" s="2">
        <f t="shared" si="328"/>
        <v>1350</v>
      </c>
      <c r="AL494" s="2">
        <f t="shared" si="328"/>
        <v>1350</v>
      </c>
      <c r="AM494" s="2">
        <f t="shared" si="328"/>
        <v>1350</v>
      </c>
      <c r="AN494" s="2">
        <f t="shared" si="328"/>
        <v>1350</v>
      </c>
      <c r="AO494" s="2">
        <f t="shared" si="328"/>
        <v>1350</v>
      </c>
      <c r="AP494" s="2">
        <f t="shared" si="328"/>
        <v>1230</v>
      </c>
      <c r="AQ494" s="2">
        <v>1000</v>
      </c>
      <c r="AR494" s="2">
        <v>0</v>
      </c>
      <c r="AS494" s="2">
        <v>10</v>
      </c>
      <c r="AT494" s="2">
        <v>0</v>
      </c>
      <c r="AU494" s="2">
        <v>0</v>
      </c>
      <c r="AV494" s="2">
        <v>0</v>
      </c>
      <c r="AW494" s="2">
        <v>0</v>
      </c>
      <c r="AX494" s="2">
        <v>0</v>
      </c>
      <c r="AY494" s="2">
        <v>0</v>
      </c>
      <c r="AZ494" s="2">
        <v>950</v>
      </c>
      <c r="BA494" s="2">
        <v>1081</v>
      </c>
      <c r="BB494" s="2">
        <v>1027</v>
      </c>
      <c r="BC494" s="2">
        <v>-3000</v>
      </c>
      <c r="BD494" s="2">
        <v>-7500</v>
      </c>
      <c r="BE494" s="2">
        <v>5000</v>
      </c>
      <c r="BF494" s="2">
        <v>5000</v>
      </c>
      <c r="BG494" s="2">
        <v>5000</v>
      </c>
      <c r="BH494" s="2">
        <v>2500</v>
      </c>
      <c r="BI494" s="2">
        <v>3000</v>
      </c>
      <c r="BJ494" s="2">
        <v>-2000</v>
      </c>
      <c r="BK494" s="2">
        <v>1000</v>
      </c>
      <c r="BL494" s="2">
        <v>1000</v>
      </c>
      <c r="BO494" s="2">
        <f t="shared" si="294"/>
        <v>0</v>
      </c>
      <c r="BP494" s="2">
        <f t="shared" si="301"/>
        <v>0</v>
      </c>
      <c r="BQ494" s="2">
        <f t="shared" si="302"/>
        <v>0</v>
      </c>
      <c r="BR494" s="2">
        <f t="shared" si="303"/>
        <v>0</v>
      </c>
      <c r="BS494" s="2">
        <f t="shared" si="304"/>
        <v>0</v>
      </c>
      <c r="BT494" s="2">
        <f t="shared" si="305"/>
        <v>0</v>
      </c>
      <c r="BU494" s="2">
        <f t="shared" si="306"/>
        <v>0</v>
      </c>
      <c r="BV494" s="2">
        <f t="shared" si="307"/>
        <v>0</v>
      </c>
      <c r="BW494" s="2">
        <f t="shared" si="308"/>
        <v>0</v>
      </c>
      <c r="BX494" s="2">
        <f t="shared" si="309"/>
        <v>0</v>
      </c>
      <c r="BY494" s="2">
        <f t="shared" si="310"/>
        <v>0</v>
      </c>
      <c r="BZ494" s="2">
        <f t="shared" si="311"/>
        <v>0</v>
      </c>
      <c r="CA494" s="2">
        <f t="shared" si="312"/>
        <v>0</v>
      </c>
      <c r="CB494" s="2">
        <f t="shared" si="313"/>
        <v>0</v>
      </c>
      <c r="CC494" s="2">
        <f t="shared" si="314"/>
        <v>0</v>
      </c>
      <c r="CD494" s="2">
        <f t="shared" si="315"/>
        <v>0</v>
      </c>
      <c r="CE494" s="2">
        <f t="shared" si="316"/>
        <v>0</v>
      </c>
      <c r="CF494" s="2">
        <f t="shared" si="317"/>
        <v>376.15000000000003</v>
      </c>
      <c r="CG494" s="2">
        <f t="shared" si="318"/>
        <v>-13478.59</v>
      </c>
      <c r="CH494" s="2">
        <f t="shared" si="319"/>
        <v>-699</v>
      </c>
      <c r="CI494" s="2">
        <f t="shared" si="320"/>
        <v>0</v>
      </c>
      <c r="CJ494" s="2">
        <f t="shared" si="321"/>
        <v>0</v>
      </c>
      <c r="CK494" s="2">
        <f t="shared" si="322"/>
        <v>0</v>
      </c>
      <c r="CL494" s="2">
        <f t="shared" si="323"/>
        <v>0</v>
      </c>
      <c r="CM494" s="2">
        <f t="shared" si="295"/>
        <v>0</v>
      </c>
      <c r="CN494" s="2">
        <f t="shared" si="296"/>
        <v>0</v>
      </c>
      <c r="CO494" s="2">
        <f t="shared" si="297"/>
        <v>0</v>
      </c>
      <c r="CP494" s="2">
        <f t="shared" si="298"/>
        <v>0</v>
      </c>
      <c r="CQ494" s="2">
        <f t="shared" si="299"/>
        <v>0</v>
      </c>
      <c r="CR494" s="2">
        <f t="shared" si="300"/>
        <v>0</v>
      </c>
      <c r="CV494" t="s">
        <v>64</v>
      </c>
      <c r="CW494" t="s">
        <v>567</v>
      </c>
      <c r="CX494" t="s">
        <v>18</v>
      </c>
      <c r="CY494" s="4">
        <v>42993</v>
      </c>
      <c r="CZ494" t="s">
        <v>67</v>
      </c>
      <c r="DA494" t="s">
        <v>68</v>
      </c>
      <c r="DB494">
        <v>14</v>
      </c>
      <c r="DC494">
        <v>63.65</v>
      </c>
      <c r="DD494" t="s">
        <v>69</v>
      </c>
      <c r="DE494" t="s">
        <v>70</v>
      </c>
      <c r="DF494">
        <v>891.1</v>
      </c>
    </row>
    <row r="495" spans="1:110" x14ac:dyDescent="0.25">
      <c r="A495" s="1">
        <v>43452</v>
      </c>
      <c r="B495">
        <v>165.36</v>
      </c>
      <c r="C495">
        <v>100.61</v>
      </c>
      <c r="D495">
        <v>326.42</v>
      </c>
      <c r="E495">
        <v>123.48</v>
      </c>
      <c r="F495">
        <v>43.72</v>
      </c>
      <c r="G495">
        <v>108.65</v>
      </c>
      <c r="H495">
        <v>109.45</v>
      </c>
      <c r="I495">
        <v>52.29</v>
      </c>
      <c r="J495">
        <v>171.5</v>
      </c>
      <c r="K495">
        <v>170.04</v>
      </c>
      <c r="L495">
        <v>115.31</v>
      </c>
      <c r="M495">
        <v>47.44</v>
      </c>
      <c r="N495">
        <v>130.41999999999999</v>
      </c>
      <c r="O495">
        <v>97.75</v>
      </c>
      <c r="P495">
        <v>48.32</v>
      </c>
      <c r="Q495">
        <v>179.71</v>
      </c>
      <c r="R495">
        <v>193.22</v>
      </c>
      <c r="S495">
        <v>74.33</v>
      </c>
      <c r="T495">
        <v>103.97</v>
      </c>
      <c r="U495">
        <v>71.150000000000006</v>
      </c>
      <c r="V495">
        <v>42.03</v>
      </c>
      <c r="W495">
        <v>91.76</v>
      </c>
      <c r="X495">
        <v>119.3</v>
      </c>
      <c r="Y495">
        <v>252.97</v>
      </c>
      <c r="Z495">
        <v>115.1</v>
      </c>
      <c r="AA495">
        <v>132.43</v>
      </c>
      <c r="AB495">
        <v>55.08</v>
      </c>
      <c r="AC495">
        <v>75.02</v>
      </c>
      <c r="AD495">
        <v>91.08</v>
      </c>
      <c r="AE495">
        <v>71.209999999999994</v>
      </c>
      <c r="AI495" s="2">
        <v>5000</v>
      </c>
      <c r="AJ495" s="2">
        <f t="shared" si="328"/>
        <v>1350</v>
      </c>
      <c r="AK495" s="2">
        <f t="shared" si="328"/>
        <v>1350</v>
      </c>
      <c r="AL495" s="2">
        <f t="shared" si="328"/>
        <v>1350</v>
      </c>
      <c r="AM495" s="2">
        <f t="shared" si="328"/>
        <v>1350</v>
      </c>
      <c r="AN495" s="2">
        <f t="shared" si="328"/>
        <v>1350</v>
      </c>
      <c r="AO495" s="2">
        <f t="shared" si="328"/>
        <v>1350</v>
      </c>
      <c r="AP495" s="2">
        <f t="shared" si="328"/>
        <v>1230</v>
      </c>
      <c r="AQ495" s="2">
        <v>1000</v>
      </c>
      <c r="AR495" s="2">
        <v>0</v>
      </c>
      <c r="AS495" s="2">
        <v>10</v>
      </c>
      <c r="AT495" s="2">
        <v>0</v>
      </c>
      <c r="AU495" s="2">
        <v>0</v>
      </c>
      <c r="AV495" s="2">
        <v>0</v>
      </c>
      <c r="AW495" s="2">
        <v>0</v>
      </c>
      <c r="AX495" s="2">
        <v>0</v>
      </c>
      <c r="AY495" s="2">
        <v>0</v>
      </c>
      <c r="AZ495" s="2">
        <v>985</v>
      </c>
      <c r="BA495" s="2">
        <v>1073</v>
      </c>
      <c r="BB495" s="2">
        <v>926</v>
      </c>
      <c r="BC495" s="2">
        <v>-3000</v>
      </c>
      <c r="BD495" s="2">
        <v>-7500</v>
      </c>
      <c r="BE495" s="2">
        <v>5000</v>
      </c>
      <c r="BF495" s="2">
        <v>5000</v>
      </c>
      <c r="BG495" s="2">
        <v>5000</v>
      </c>
      <c r="BH495" s="2">
        <v>2500</v>
      </c>
      <c r="BI495" s="2">
        <v>3000</v>
      </c>
      <c r="BJ495" s="2">
        <v>-2000</v>
      </c>
      <c r="BK495" s="2">
        <v>1000</v>
      </c>
      <c r="BL495" s="2">
        <v>1000</v>
      </c>
      <c r="BO495" s="2">
        <f t="shared" si="294"/>
        <v>0</v>
      </c>
      <c r="BP495" s="2">
        <f t="shared" si="301"/>
        <v>0</v>
      </c>
      <c r="BQ495" s="2">
        <f t="shared" si="302"/>
        <v>0</v>
      </c>
      <c r="BR495" s="2">
        <f t="shared" si="303"/>
        <v>0</v>
      </c>
      <c r="BS495" s="2">
        <f t="shared" si="304"/>
        <v>0</v>
      </c>
      <c r="BT495" s="2">
        <f t="shared" si="305"/>
        <v>0</v>
      </c>
      <c r="BU495" s="2">
        <f t="shared" si="306"/>
        <v>0</v>
      </c>
      <c r="BV495" s="2">
        <f t="shared" si="307"/>
        <v>0</v>
      </c>
      <c r="BW495" s="2">
        <f t="shared" si="308"/>
        <v>0</v>
      </c>
      <c r="BX495" s="2">
        <f t="shared" si="309"/>
        <v>0</v>
      </c>
      <c r="BY495" s="2">
        <f t="shared" si="310"/>
        <v>0</v>
      </c>
      <c r="BZ495" s="2">
        <f t="shared" si="311"/>
        <v>0</v>
      </c>
      <c r="CA495" s="2">
        <f t="shared" si="312"/>
        <v>0</v>
      </c>
      <c r="CB495" s="2">
        <f t="shared" si="313"/>
        <v>0</v>
      </c>
      <c r="CC495" s="2">
        <f t="shared" si="314"/>
        <v>0</v>
      </c>
      <c r="CD495" s="2">
        <f t="shared" si="315"/>
        <v>0</v>
      </c>
      <c r="CE495" s="2">
        <f t="shared" si="316"/>
        <v>0</v>
      </c>
      <c r="CF495" s="2">
        <f t="shared" si="317"/>
        <v>-2601.5499999999997</v>
      </c>
      <c r="CG495" s="2">
        <f t="shared" si="318"/>
        <v>831.76</v>
      </c>
      <c r="CH495" s="2">
        <f t="shared" si="319"/>
        <v>7186.1500000000005</v>
      </c>
      <c r="CI495" s="2">
        <f t="shared" si="320"/>
        <v>0</v>
      </c>
      <c r="CJ495" s="2">
        <f t="shared" si="321"/>
        <v>0</v>
      </c>
      <c r="CK495" s="2">
        <f t="shared" si="322"/>
        <v>0</v>
      </c>
      <c r="CL495" s="2">
        <f t="shared" si="323"/>
        <v>0</v>
      </c>
      <c r="CM495" s="2">
        <f t="shared" si="295"/>
        <v>0</v>
      </c>
      <c r="CN495" s="2">
        <f t="shared" si="296"/>
        <v>0</v>
      </c>
      <c r="CO495" s="2">
        <f t="shared" si="297"/>
        <v>0</v>
      </c>
      <c r="CP495" s="2">
        <f t="shared" si="298"/>
        <v>0</v>
      </c>
      <c r="CQ495" s="2">
        <f t="shared" si="299"/>
        <v>0</v>
      </c>
      <c r="CR495" s="2">
        <f t="shared" si="300"/>
        <v>0</v>
      </c>
      <c r="CV495" t="s">
        <v>64</v>
      </c>
      <c r="CW495" t="s">
        <v>568</v>
      </c>
      <c r="CX495" t="s">
        <v>18</v>
      </c>
      <c r="CY495" s="4">
        <v>42996</v>
      </c>
      <c r="CZ495" t="s">
        <v>65</v>
      </c>
      <c r="DA495" t="s">
        <v>66</v>
      </c>
      <c r="DB495">
        <v>17</v>
      </c>
      <c r="DC495">
        <v>63.49</v>
      </c>
      <c r="DD495" t="s">
        <v>69</v>
      </c>
      <c r="DE495" t="s">
        <v>70</v>
      </c>
      <c r="DF495">
        <v>1079.33</v>
      </c>
    </row>
    <row r="496" spans="1:110" x14ac:dyDescent="0.25">
      <c r="A496" s="1">
        <v>43453</v>
      </c>
      <c r="B496">
        <v>160.19999999999999</v>
      </c>
      <c r="C496">
        <v>98.37</v>
      </c>
      <c r="D496">
        <v>317.95</v>
      </c>
      <c r="E496">
        <v>121.55</v>
      </c>
      <c r="F496">
        <v>42.81</v>
      </c>
      <c r="G496">
        <v>106.76</v>
      </c>
      <c r="H496">
        <v>109.22</v>
      </c>
      <c r="I496">
        <v>52.16</v>
      </c>
      <c r="J496">
        <v>169.25</v>
      </c>
      <c r="K496">
        <v>167.56</v>
      </c>
      <c r="L496">
        <v>115.09</v>
      </c>
      <c r="M496">
        <v>45.28</v>
      </c>
      <c r="N496">
        <v>127.61</v>
      </c>
      <c r="O496">
        <v>96.51</v>
      </c>
      <c r="P496">
        <v>47.9</v>
      </c>
      <c r="Q496">
        <v>179.16</v>
      </c>
      <c r="R496">
        <v>188.66</v>
      </c>
      <c r="S496">
        <v>73.77</v>
      </c>
      <c r="T496">
        <v>103.69</v>
      </c>
      <c r="U496">
        <v>68.97</v>
      </c>
      <c r="V496">
        <v>41.61</v>
      </c>
      <c r="W496">
        <v>91.04</v>
      </c>
      <c r="X496">
        <v>119.16</v>
      </c>
      <c r="Y496">
        <v>250.31</v>
      </c>
      <c r="Z496">
        <v>113.13</v>
      </c>
      <c r="AA496">
        <v>131.03</v>
      </c>
      <c r="AB496">
        <v>55.28</v>
      </c>
      <c r="AC496">
        <v>72.84</v>
      </c>
      <c r="AD496">
        <v>90.55</v>
      </c>
      <c r="AE496">
        <v>70</v>
      </c>
      <c r="AI496" s="2">
        <v>5000</v>
      </c>
      <c r="AJ496" s="2">
        <f t="shared" si="328"/>
        <v>1350</v>
      </c>
      <c r="AK496" s="2">
        <f t="shared" si="328"/>
        <v>1350</v>
      </c>
      <c r="AL496" s="2">
        <f t="shared" si="328"/>
        <v>1350</v>
      </c>
      <c r="AM496" s="2">
        <f t="shared" si="328"/>
        <v>1350</v>
      </c>
      <c r="AN496" s="2">
        <f t="shared" si="328"/>
        <v>1350</v>
      </c>
      <c r="AO496" s="2">
        <f t="shared" si="328"/>
        <v>1350</v>
      </c>
      <c r="AP496" s="2">
        <f t="shared" si="328"/>
        <v>1230</v>
      </c>
      <c r="AQ496" s="2">
        <v>1000</v>
      </c>
      <c r="AR496" s="2">
        <v>0</v>
      </c>
      <c r="AS496" s="2">
        <v>10</v>
      </c>
      <c r="AT496" s="2">
        <v>0</v>
      </c>
      <c r="AU496" s="2">
        <v>0</v>
      </c>
      <c r="AV496" s="2">
        <v>0</v>
      </c>
      <c r="AW496" s="2">
        <v>0</v>
      </c>
      <c r="AX496" s="2">
        <v>0</v>
      </c>
      <c r="AY496" s="2">
        <v>0</v>
      </c>
      <c r="AZ496" s="2">
        <v>1013</v>
      </c>
      <c r="BA496" s="2">
        <v>919</v>
      </c>
      <c r="BB496" s="2">
        <v>936</v>
      </c>
      <c r="BC496" s="2">
        <v>-3000</v>
      </c>
      <c r="BD496" s="2">
        <v>-7500</v>
      </c>
      <c r="BE496" s="2">
        <v>5000</v>
      </c>
      <c r="BF496" s="2">
        <v>5000</v>
      </c>
      <c r="BG496" s="2">
        <v>5000</v>
      </c>
      <c r="BH496" s="2">
        <v>2500</v>
      </c>
      <c r="BI496" s="2">
        <v>3000</v>
      </c>
      <c r="BJ496" s="2">
        <v>-2000</v>
      </c>
      <c r="BK496" s="2">
        <v>1000</v>
      </c>
      <c r="BL496" s="2">
        <v>1000</v>
      </c>
      <c r="BO496" s="2">
        <f t="shared" si="294"/>
        <v>0</v>
      </c>
      <c r="BP496" s="2">
        <f t="shared" si="301"/>
        <v>0</v>
      </c>
      <c r="BQ496" s="2">
        <f t="shared" si="302"/>
        <v>0</v>
      </c>
      <c r="BR496" s="2">
        <f t="shared" si="303"/>
        <v>0</v>
      </c>
      <c r="BS496" s="2">
        <f t="shared" si="304"/>
        <v>0</v>
      </c>
      <c r="BT496" s="2">
        <f t="shared" si="305"/>
        <v>0</v>
      </c>
      <c r="BU496" s="2">
        <f t="shared" si="306"/>
        <v>0</v>
      </c>
      <c r="BV496" s="2">
        <f t="shared" si="307"/>
        <v>0</v>
      </c>
      <c r="BW496" s="2">
        <f t="shared" si="308"/>
        <v>0</v>
      </c>
      <c r="BX496" s="2">
        <f t="shared" si="309"/>
        <v>0</v>
      </c>
      <c r="BY496" s="2">
        <f t="shared" si="310"/>
        <v>0</v>
      </c>
      <c r="BZ496" s="2">
        <f t="shared" si="311"/>
        <v>0</v>
      </c>
      <c r="CA496" s="2">
        <f t="shared" si="312"/>
        <v>0</v>
      </c>
      <c r="CB496" s="2">
        <f t="shared" si="313"/>
        <v>0</v>
      </c>
      <c r="CC496" s="2">
        <f t="shared" si="314"/>
        <v>0</v>
      </c>
      <c r="CD496" s="2">
        <f t="shared" si="315"/>
        <v>0</v>
      </c>
      <c r="CE496" s="2">
        <f t="shared" si="316"/>
        <v>0</v>
      </c>
      <c r="CF496" s="2">
        <f t="shared" si="317"/>
        <v>-2065.56</v>
      </c>
      <c r="CG496" s="2">
        <f t="shared" si="318"/>
        <v>15968.26</v>
      </c>
      <c r="CH496" s="2">
        <f t="shared" si="319"/>
        <v>-689.7</v>
      </c>
      <c r="CI496" s="2">
        <f t="shared" si="320"/>
        <v>0</v>
      </c>
      <c r="CJ496" s="2">
        <f t="shared" si="321"/>
        <v>0</v>
      </c>
      <c r="CK496" s="2">
        <f t="shared" si="322"/>
        <v>0</v>
      </c>
      <c r="CL496" s="2">
        <f t="shared" si="323"/>
        <v>0</v>
      </c>
      <c r="CM496" s="2">
        <f t="shared" si="295"/>
        <v>0</v>
      </c>
      <c r="CN496" s="2">
        <f t="shared" si="296"/>
        <v>0</v>
      </c>
      <c r="CO496" s="2">
        <f t="shared" si="297"/>
        <v>0</v>
      </c>
      <c r="CP496" s="2">
        <f t="shared" si="298"/>
        <v>0</v>
      </c>
      <c r="CQ496" s="2">
        <f t="shared" si="299"/>
        <v>0</v>
      </c>
      <c r="CR496" s="2">
        <f t="shared" si="300"/>
        <v>0</v>
      </c>
      <c r="CV496" t="s">
        <v>64</v>
      </c>
      <c r="CW496" t="s">
        <v>569</v>
      </c>
      <c r="CX496" t="s">
        <v>18</v>
      </c>
      <c r="CY496" s="4">
        <v>42997</v>
      </c>
      <c r="CZ496" t="s">
        <v>65</v>
      </c>
      <c r="DA496" t="s">
        <v>66</v>
      </c>
      <c r="DB496">
        <v>21</v>
      </c>
      <c r="DC496">
        <v>63.45</v>
      </c>
      <c r="DD496" t="s">
        <v>69</v>
      </c>
      <c r="DE496" t="s">
        <v>70</v>
      </c>
      <c r="DF496">
        <v>1332.45</v>
      </c>
    </row>
    <row r="497" spans="1:110" x14ac:dyDescent="0.25">
      <c r="A497" s="1">
        <v>43454</v>
      </c>
      <c r="B497">
        <v>156.16</v>
      </c>
      <c r="C497">
        <v>95.38</v>
      </c>
      <c r="D497">
        <v>311.49</v>
      </c>
      <c r="E497">
        <v>120.77</v>
      </c>
      <c r="F497">
        <v>42.16</v>
      </c>
      <c r="G497">
        <v>103.94</v>
      </c>
      <c r="H497">
        <v>107</v>
      </c>
      <c r="I497">
        <v>51.04</v>
      </c>
      <c r="J497">
        <v>168.41</v>
      </c>
      <c r="K497">
        <v>164.16</v>
      </c>
      <c r="L497">
        <v>111.72</v>
      </c>
      <c r="M497">
        <v>45.25</v>
      </c>
      <c r="N497">
        <v>128.27000000000001</v>
      </c>
      <c r="O497">
        <v>95.67</v>
      </c>
      <c r="P497">
        <v>47.54</v>
      </c>
      <c r="Q497">
        <v>173.68</v>
      </c>
      <c r="R497">
        <v>186.09</v>
      </c>
      <c r="S497">
        <v>73.489999999999995</v>
      </c>
      <c r="T497">
        <v>101.51</v>
      </c>
      <c r="U497">
        <v>67.53</v>
      </c>
      <c r="V497">
        <v>41.59</v>
      </c>
      <c r="W497">
        <v>90.27</v>
      </c>
      <c r="X497">
        <v>117.32</v>
      </c>
      <c r="Y497">
        <v>242.44</v>
      </c>
      <c r="Z497">
        <v>108.97</v>
      </c>
      <c r="AA497">
        <v>128.54</v>
      </c>
      <c r="AB497">
        <v>54.5</v>
      </c>
      <c r="AC497">
        <v>69.19</v>
      </c>
      <c r="AD497">
        <v>87.28</v>
      </c>
      <c r="AE497">
        <v>67.88</v>
      </c>
      <c r="AI497" s="2">
        <v>5000</v>
      </c>
      <c r="AJ497" s="2">
        <f t="shared" si="328"/>
        <v>1350</v>
      </c>
      <c r="AK497" s="2">
        <f t="shared" si="328"/>
        <v>1350</v>
      </c>
      <c r="AL497" s="2">
        <f t="shared" si="328"/>
        <v>1350</v>
      </c>
      <c r="AM497" s="2">
        <f t="shared" si="328"/>
        <v>1350</v>
      </c>
      <c r="AN497" s="2">
        <f t="shared" si="328"/>
        <v>1350</v>
      </c>
      <c r="AO497" s="2">
        <f t="shared" si="328"/>
        <v>1350</v>
      </c>
      <c r="AP497" s="2">
        <f t="shared" si="328"/>
        <v>1230</v>
      </c>
      <c r="AQ497" s="2">
        <v>1000</v>
      </c>
      <c r="AR497" s="2">
        <v>0</v>
      </c>
      <c r="AS497" s="2">
        <v>10</v>
      </c>
      <c r="AT497" s="2">
        <v>0</v>
      </c>
      <c r="AU497" s="2">
        <v>0</v>
      </c>
      <c r="AV497" s="2">
        <v>0</v>
      </c>
      <c r="AW497" s="2">
        <v>0</v>
      </c>
      <c r="AX497" s="2">
        <v>0</v>
      </c>
      <c r="AY497" s="2">
        <v>0</v>
      </c>
      <c r="AZ497" s="2">
        <v>979</v>
      </c>
      <c r="BA497" s="2">
        <v>923</v>
      </c>
      <c r="BB497" s="2">
        <v>1087</v>
      </c>
      <c r="BC497" s="2">
        <v>-3000</v>
      </c>
      <c r="BD497" s="2">
        <v>-7500</v>
      </c>
      <c r="BE497" s="2">
        <v>5000</v>
      </c>
      <c r="BF497" s="2">
        <v>5000</v>
      </c>
      <c r="BG497" s="2">
        <v>5000</v>
      </c>
      <c r="BH497" s="2">
        <v>2500</v>
      </c>
      <c r="BI497" s="2">
        <v>3000</v>
      </c>
      <c r="BJ497" s="2">
        <v>-2000</v>
      </c>
      <c r="BK497" s="2">
        <v>1000</v>
      </c>
      <c r="BL497" s="2">
        <v>1000</v>
      </c>
      <c r="BO497" s="2">
        <f t="shared" si="294"/>
        <v>0</v>
      </c>
      <c r="BP497" s="2">
        <f t="shared" si="301"/>
        <v>0</v>
      </c>
      <c r="BQ497" s="2">
        <f t="shared" si="302"/>
        <v>0</v>
      </c>
      <c r="BR497" s="2">
        <f t="shared" si="303"/>
        <v>0</v>
      </c>
      <c r="BS497" s="2">
        <f t="shared" si="304"/>
        <v>0</v>
      </c>
      <c r="BT497" s="2">
        <f t="shared" si="305"/>
        <v>0</v>
      </c>
      <c r="BU497" s="2">
        <f t="shared" si="306"/>
        <v>0</v>
      </c>
      <c r="BV497" s="2">
        <f t="shared" si="307"/>
        <v>0</v>
      </c>
      <c r="BW497" s="2">
        <f t="shared" si="308"/>
        <v>0</v>
      </c>
      <c r="BX497" s="2">
        <f t="shared" si="309"/>
        <v>0</v>
      </c>
      <c r="BY497" s="2">
        <f t="shared" si="310"/>
        <v>0</v>
      </c>
      <c r="BZ497" s="2">
        <f t="shared" si="311"/>
        <v>0</v>
      </c>
      <c r="CA497" s="2">
        <f t="shared" si="312"/>
        <v>0</v>
      </c>
      <c r="CB497" s="2">
        <f t="shared" si="313"/>
        <v>0</v>
      </c>
      <c r="CC497" s="2">
        <f t="shared" si="314"/>
        <v>0</v>
      </c>
      <c r="CD497" s="2">
        <f t="shared" si="315"/>
        <v>0</v>
      </c>
      <c r="CE497" s="2">
        <f t="shared" si="316"/>
        <v>0</v>
      </c>
      <c r="CF497" s="2">
        <f t="shared" si="317"/>
        <v>2498.66</v>
      </c>
      <c r="CG497" s="2">
        <f t="shared" si="318"/>
        <v>-406.04</v>
      </c>
      <c r="CH497" s="2">
        <f t="shared" si="319"/>
        <v>-10197.030000000001</v>
      </c>
      <c r="CI497" s="2">
        <f t="shared" si="320"/>
        <v>0</v>
      </c>
      <c r="CJ497" s="2">
        <f t="shared" si="321"/>
        <v>0</v>
      </c>
      <c r="CK497" s="2">
        <f t="shared" si="322"/>
        <v>0</v>
      </c>
      <c r="CL497" s="2">
        <f t="shared" si="323"/>
        <v>0</v>
      </c>
      <c r="CM497" s="2">
        <f t="shared" si="295"/>
        <v>0</v>
      </c>
      <c r="CN497" s="2">
        <f t="shared" si="296"/>
        <v>0</v>
      </c>
      <c r="CO497" s="2">
        <f t="shared" si="297"/>
        <v>0</v>
      </c>
      <c r="CP497" s="2">
        <f t="shared" si="298"/>
        <v>0</v>
      </c>
      <c r="CQ497" s="2">
        <f t="shared" si="299"/>
        <v>0</v>
      </c>
      <c r="CR497" s="2">
        <f t="shared" si="300"/>
        <v>0</v>
      </c>
      <c r="CV497" t="s">
        <v>64</v>
      </c>
      <c r="CW497" t="s">
        <v>570</v>
      </c>
      <c r="CX497" t="s">
        <v>18</v>
      </c>
      <c r="CY497" s="4">
        <v>42998</v>
      </c>
      <c r="CZ497" t="s">
        <v>65</v>
      </c>
      <c r="DA497" t="s">
        <v>66</v>
      </c>
      <c r="DB497">
        <v>6</v>
      </c>
      <c r="DC497">
        <v>63.3</v>
      </c>
      <c r="DD497" t="s">
        <v>69</v>
      </c>
      <c r="DE497" t="s">
        <v>70</v>
      </c>
      <c r="DF497">
        <v>379.79999999999995</v>
      </c>
    </row>
    <row r="498" spans="1:110" x14ac:dyDescent="0.25">
      <c r="A498" s="1">
        <v>43455</v>
      </c>
      <c r="B498">
        <v>150.09</v>
      </c>
      <c r="C498">
        <v>90.96</v>
      </c>
      <c r="D498">
        <v>303.02999999999997</v>
      </c>
      <c r="E498">
        <v>119.3</v>
      </c>
      <c r="F498">
        <v>41.53</v>
      </c>
      <c r="G498">
        <v>103.17</v>
      </c>
      <c r="H498">
        <v>104.22</v>
      </c>
      <c r="I498">
        <v>50.59</v>
      </c>
      <c r="J498">
        <v>160.05000000000001</v>
      </c>
      <c r="K498">
        <v>160.47999999999999</v>
      </c>
      <c r="L498">
        <v>109.66</v>
      </c>
      <c r="M498">
        <v>44.56</v>
      </c>
      <c r="N498">
        <v>128.09</v>
      </c>
      <c r="O498">
        <v>93.41</v>
      </c>
      <c r="P498">
        <v>47.57</v>
      </c>
      <c r="Q498">
        <v>174.15</v>
      </c>
      <c r="R498">
        <v>182.49</v>
      </c>
      <c r="S498">
        <v>72.900000000000006</v>
      </c>
      <c r="T498">
        <v>98.23</v>
      </c>
      <c r="U498">
        <v>72.37</v>
      </c>
      <c r="V498">
        <v>41.57</v>
      </c>
      <c r="W498">
        <v>90.26</v>
      </c>
      <c r="X498">
        <v>116.06</v>
      </c>
      <c r="Y498">
        <v>238.34</v>
      </c>
      <c r="Z498">
        <v>105.55</v>
      </c>
      <c r="AA498">
        <v>124.04</v>
      </c>
      <c r="AB498">
        <v>54.35</v>
      </c>
      <c r="AC498">
        <v>66.849999999999994</v>
      </c>
      <c r="AD498">
        <v>87.13</v>
      </c>
      <c r="AE498">
        <v>67.37</v>
      </c>
      <c r="AI498" s="2">
        <v>5000</v>
      </c>
      <c r="AJ498" s="2">
        <f t="shared" si="328"/>
        <v>1350</v>
      </c>
      <c r="AK498" s="2">
        <f t="shared" si="328"/>
        <v>1350</v>
      </c>
      <c r="AL498" s="2">
        <f t="shared" si="328"/>
        <v>1350</v>
      </c>
      <c r="AM498" s="2">
        <f t="shared" si="328"/>
        <v>1350</v>
      </c>
      <c r="AN498" s="2">
        <f t="shared" si="328"/>
        <v>1350</v>
      </c>
      <c r="AO498" s="2">
        <f t="shared" si="328"/>
        <v>1350</v>
      </c>
      <c r="AP498" s="2">
        <f t="shared" si="328"/>
        <v>1230</v>
      </c>
      <c r="AQ498" s="2">
        <v>1000</v>
      </c>
      <c r="AR498" s="2">
        <v>0</v>
      </c>
      <c r="AS498" s="2">
        <v>10</v>
      </c>
      <c r="AT498" s="2">
        <v>0</v>
      </c>
      <c r="AU498" s="2">
        <v>0</v>
      </c>
      <c r="AV498" s="2">
        <v>0</v>
      </c>
      <c r="AW498" s="2">
        <v>0</v>
      </c>
      <c r="AX498" s="2">
        <v>0</v>
      </c>
      <c r="AY498" s="2">
        <v>0</v>
      </c>
      <c r="AZ498" s="2">
        <v>1028</v>
      </c>
      <c r="BA498" s="2">
        <v>914</v>
      </c>
      <c r="BB498" s="2">
        <v>1049</v>
      </c>
      <c r="BC498" s="2">
        <v>-3000</v>
      </c>
      <c r="BD498" s="2">
        <v>-7500</v>
      </c>
      <c r="BE498" s="2">
        <v>5000</v>
      </c>
      <c r="BF498" s="2">
        <v>5000</v>
      </c>
      <c r="BG498" s="2">
        <v>5000</v>
      </c>
      <c r="BH498" s="2">
        <v>2500</v>
      </c>
      <c r="BI498" s="2">
        <v>3000</v>
      </c>
      <c r="BJ498" s="2">
        <v>-2000</v>
      </c>
      <c r="BK498" s="2">
        <v>1000</v>
      </c>
      <c r="BL498" s="2">
        <v>1000</v>
      </c>
      <c r="BO498" s="2">
        <f t="shared" si="294"/>
        <v>0</v>
      </c>
      <c r="BP498" s="2">
        <f t="shared" si="301"/>
        <v>0</v>
      </c>
      <c r="BQ498" s="2">
        <f t="shared" si="302"/>
        <v>0</v>
      </c>
      <c r="BR498" s="2">
        <f t="shared" si="303"/>
        <v>0</v>
      </c>
      <c r="BS498" s="2">
        <f t="shared" si="304"/>
        <v>0</v>
      </c>
      <c r="BT498" s="2">
        <f t="shared" si="305"/>
        <v>0</v>
      </c>
      <c r="BU498" s="2">
        <f t="shared" si="306"/>
        <v>0</v>
      </c>
      <c r="BV498" s="2">
        <f t="shared" si="307"/>
        <v>0</v>
      </c>
      <c r="BW498" s="2">
        <f t="shared" si="308"/>
        <v>0</v>
      </c>
      <c r="BX498" s="2">
        <f t="shared" si="309"/>
        <v>0</v>
      </c>
      <c r="BY498" s="2">
        <f t="shared" si="310"/>
        <v>0</v>
      </c>
      <c r="BZ498" s="2">
        <f t="shared" si="311"/>
        <v>0</v>
      </c>
      <c r="CA498" s="2">
        <f t="shared" si="312"/>
        <v>0</v>
      </c>
      <c r="CB498" s="2">
        <f t="shared" si="313"/>
        <v>0</v>
      </c>
      <c r="CC498" s="2">
        <f t="shared" si="314"/>
        <v>0</v>
      </c>
      <c r="CD498" s="2">
        <f t="shared" si="315"/>
        <v>0</v>
      </c>
      <c r="CE498" s="2">
        <f t="shared" si="316"/>
        <v>0</v>
      </c>
      <c r="CF498" s="2">
        <f t="shared" si="317"/>
        <v>-3572.1000000000004</v>
      </c>
      <c r="CG498" s="2">
        <f t="shared" si="318"/>
        <v>884.07</v>
      </c>
      <c r="CH498" s="2">
        <f t="shared" si="319"/>
        <v>2750.0600000000004</v>
      </c>
      <c r="CI498" s="2">
        <f t="shared" si="320"/>
        <v>0</v>
      </c>
      <c r="CJ498" s="2">
        <f t="shared" si="321"/>
        <v>0</v>
      </c>
      <c r="CK498" s="2">
        <f t="shared" si="322"/>
        <v>0</v>
      </c>
      <c r="CL498" s="2">
        <f t="shared" si="323"/>
        <v>0</v>
      </c>
      <c r="CM498" s="2">
        <f t="shared" si="295"/>
        <v>0</v>
      </c>
      <c r="CN498" s="2">
        <f t="shared" si="296"/>
        <v>0</v>
      </c>
      <c r="CO498" s="2">
        <f t="shared" si="297"/>
        <v>0</v>
      </c>
      <c r="CP498" s="2">
        <f t="shared" si="298"/>
        <v>0</v>
      </c>
      <c r="CQ498" s="2">
        <f t="shared" si="299"/>
        <v>0</v>
      </c>
      <c r="CR498" s="2">
        <f t="shared" si="300"/>
        <v>0</v>
      </c>
      <c r="CV498" t="s">
        <v>64</v>
      </c>
      <c r="CW498" t="s">
        <v>571</v>
      </c>
      <c r="CX498" t="s">
        <v>18</v>
      </c>
      <c r="CY498" s="4">
        <v>42999</v>
      </c>
      <c r="CZ498" t="s">
        <v>65</v>
      </c>
      <c r="DA498" t="s">
        <v>66</v>
      </c>
      <c r="DB498">
        <v>12</v>
      </c>
      <c r="DC498">
        <v>63.11</v>
      </c>
      <c r="DD498" t="s">
        <v>69</v>
      </c>
      <c r="DE498" t="s">
        <v>70</v>
      </c>
      <c r="DF498">
        <v>757.31999999999994</v>
      </c>
    </row>
    <row r="499" spans="1:110" x14ac:dyDescent="0.25">
      <c r="A499" s="1">
        <v>43458</v>
      </c>
      <c r="B499">
        <v>146.19999999999999</v>
      </c>
      <c r="C499">
        <v>89.14</v>
      </c>
      <c r="D499">
        <v>292.69</v>
      </c>
      <c r="E499">
        <v>116.2</v>
      </c>
      <c r="F499">
        <v>39.97</v>
      </c>
      <c r="G499">
        <v>99.98</v>
      </c>
      <c r="H499">
        <v>100.35</v>
      </c>
      <c r="I499">
        <v>49.09</v>
      </c>
      <c r="J499">
        <v>156.35</v>
      </c>
      <c r="K499">
        <v>158.13999999999999</v>
      </c>
      <c r="L499">
        <v>106.33</v>
      </c>
      <c r="M499">
        <v>43.32</v>
      </c>
      <c r="N499">
        <v>122.84</v>
      </c>
      <c r="O499">
        <v>91.4</v>
      </c>
      <c r="P499">
        <v>45.96</v>
      </c>
      <c r="Q499">
        <v>170.28</v>
      </c>
      <c r="R499">
        <v>177.39</v>
      </c>
      <c r="S499">
        <v>71.150000000000006</v>
      </c>
      <c r="T499">
        <v>94.13</v>
      </c>
      <c r="U499">
        <v>68.099999999999994</v>
      </c>
      <c r="V499">
        <v>40.200000000000003</v>
      </c>
      <c r="W499">
        <v>86.67</v>
      </c>
      <c r="X499">
        <v>112.63</v>
      </c>
      <c r="Y499">
        <v>232.94</v>
      </c>
      <c r="Z499">
        <v>101.46</v>
      </c>
      <c r="AA499">
        <v>121.52</v>
      </c>
      <c r="AB499">
        <v>52.5</v>
      </c>
      <c r="AC499">
        <v>64.86</v>
      </c>
      <c r="AD499">
        <v>85.82</v>
      </c>
      <c r="AE499">
        <v>64.790000000000006</v>
      </c>
      <c r="AI499" s="2">
        <v>5000</v>
      </c>
      <c r="AJ499" s="2">
        <f t="shared" si="328"/>
        <v>1350</v>
      </c>
      <c r="AK499" s="2">
        <f t="shared" si="328"/>
        <v>1350</v>
      </c>
      <c r="AL499" s="2">
        <f t="shared" si="328"/>
        <v>1350</v>
      </c>
      <c r="AM499" s="2">
        <f t="shared" si="328"/>
        <v>1350</v>
      </c>
      <c r="AN499" s="2">
        <f t="shared" si="328"/>
        <v>1350</v>
      </c>
      <c r="AO499" s="2">
        <f t="shared" si="328"/>
        <v>1350</v>
      </c>
      <c r="AP499" s="2">
        <f t="shared" si="328"/>
        <v>1230</v>
      </c>
      <c r="AQ499" s="2">
        <v>1000</v>
      </c>
      <c r="AR499" s="2">
        <v>0</v>
      </c>
      <c r="AS499" s="2">
        <v>10</v>
      </c>
      <c r="AT499" s="2">
        <v>0</v>
      </c>
      <c r="AU499" s="2">
        <v>0</v>
      </c>
      <c r="AV499" s="2">
        <v>0</v>
      </c>
      <c r="AW499" s="2">
        <v>0</v>
      </c>
      <c r="AX499" s="2">
        <v>0</v>
      </c>
      <c r="AY499" s="2">
        <v>0</v>
      </c>
      <c r="AZ499" s="2">
        <v>984</v>
      </c>
      <c r="BA499" s="2">
        <v>1015</v>
      </c>
      <c r="BB499" s="2">
        <v>969</v>
      </c>
      <c r="BC499" s="2">
        <v>-3000</v>
      </c>
      <c r="BD499" s="2">
        <v>-7500</v>
      </c>
      <c r="BE499" s="2">
        <v>5000</v>
      </c>
      <c r="BF499" s="2">
        <v>5000</v>
      </c>
      <c r="BG499" s="2">
        <v>5000</v>
      </c>
      <c r="BH499" s="2">
        <v>2500</v>
      </c>
      <c r="BI499" s="2">
        <v>3000</v>
      </c>
      <c r="BJ499" s="2">
        <v>-2000</v>
      </c>
      <c r="BK499" s="2">
        <v>1000</v>
      </c>
      <c r="BL499" s="2">
        <v>1000</v>
      </c>
      <c r="BO499" s="2">
        <f t="shared" si="294"/>
        <v>0</v>
      </c>
      <c r="BP499" s="2">
        <f t="shared" si="301"/>
        <v>0</v>
      </c>
      <c r="BQ499" s="2">
        <f t="shared" si="302"/>
        <v>0</v>
      </c>
      <c r="BR499" s="2">
        <f t="shared" si="303"/>
        <v>0</v>
      </c>
      <c r="BS499" s="2">
        <f t="shared" si="304"/>
        <v>0</v>
      </c>
      <c r="BT499" s="2">
        <f t="shared" si="305"/>
        <v>0</v>
      </c>
      <c r="BU499" s="2">
        <f t="shared" si="306"/>
        <v>0</v>
      </c>
      <c r="BV499" s="2">
        <f t="shared" si="307"/>
        <v>0</v>
      </c>
      <c r="BW499" s="2">
        <f t="shared" si="308"/>
        <v>0</v>
      </c>
      <c r="BX499" s="2">
        <f t="shared" si="309"/>
        <v>0</v>
      </c>
      <c r="BY499" s="2">
        <f t="shared" si="310"/>
        <v>0</v>
      </c>
      <c r="BZ499" s="2">
        <f t="shared" si="311"/>
        <v>0</v>
      </c>
      <c r="CA499" s="2">
        <f t="shared" si="312"/>
        <v>0</v>
      </c>
      <c r="CB499" s="2">
        <f t="shared" si="313"/>
        <v>0</v>
      </c>
      <c r="CC499" s="2">
        <f t="shared" si="314"/>
        <v>0</v>
      </c>
      <c r="CD499" s="2">
        <f t="shared" si="315"/>
        <v>0</v>
      </c>
      <c r="CE499" s="2">
        <f t="shared" si="316"/>
        <v>0</v>
      </c>
      <c r="CF499" s="2">
        <f t="shared" si="317"/>
        <v>3130.6000000000004</v>
      </c>
      <c r="CG499" s="2">
        <f t="shared" si="318"/>
        <v>-9507.1299999999992</v>
      </c>
      <c r="CH499" s="2">
        <f t="shared" si="319"/>
        <v>5448</v>
      </c>
      <c r="CI499" s="2">
        <f t="shared" si="320"/>
        <v>0</v>
      </c>
      <c r="CJ499" s="2">
        <f t="shared" si="321"/>
        <v>0</v>
      </c>
      <c r="CK499" s="2">
        <f t="shared" si="322"/>
        <v>0</v>
      </c>
      <c r="CL499" s="2">
        <f t="shared" si="323"/>
        <v>0</v>
      </c>
      <c r="CM499" s="2">
        <f t="shared" si="295"/>
        <v>0</v>
      </c>
      <c r="CN499" s="2">
        <f t="shared" si="296"/>
        <v>0</v>
      </c>
      <c r="CO499" s="2">
        <f t="shared" si="297"/>
        <v>0</v>
      </c>
      <c r="CP499" s="2">
        <f t="shared" si="298"/>
        <v>0</v>
      </c>
      <c r="CQ499" s="2">
        <f t="shared" si="299"/>
        <v>0</v>
      </c>
      <c r="CR499" s="2">
        <f t="shared" si="300"/>
        <v>0</v>
      </c>
      <c r="CV499" t="s">
        <v>64</v>
      </c>
      <c r="CW499" t="s">
        <v>572</v>
      </c>
      <c r="CX499" t="s">
        <v>18</v>
      </c>
      <c r="CY499" s="4">
        <v>43000</v>
      </c>
      <c r="CZ499" t="s">
        <v>65</v>
      </c>
      <c r="DA499" t="s">
        <v>66</v>
      </c>
      <c r="DB499">
        <v>23</v>
      </c>
      <c r="DC499">
        <v>62.66</v>
      </c>
      <c r="DD499" t="s">
        <v>69</v>
      </c>
      <c r="DE499" t="s">
        <v>70</v>
      </c>
      <c r="DF499">
        <v>1441.1799999999998</v>
      </c>
    </row>
    <row r="500" spans="1:110" x14ac:dyDescent="0.25">
      <c r="A500" s="1">
        <v>43460</v>
      </c>
      <c r="B500">
        <v>156.5</v>
      </c>
      <c r="C500">
        <v>93.46</v>
      </c>
      <c r="D500">
        <v>312.36</v>
      </c>
      <c r="E500">
        <v>123.96</v>
      </c>
      <c r="F500">
        <v>42.14</v>
      </c>
      <c r="G500">
        <v>106.32</v>
      </c>
      <c r="H500">
        <v>105.83</v>
      </c>
      <c r="I500">
        <v>52.23</v>
      </c>
      <c r="J500">
        <v>162.93</v>
      </c>
      <c r="K500">
        <v>168.28</v>
      </c>
      <c r="L500">
        <v>110.11</v>
      </c>
      <c r="M500">
        <v>45.9</v>
      </c>
      <c r="N500">
        <v>126.71</v>
      </c>
      <c r="O500">
        <v>95.19</v>
      </c>
      <c r="P500">
        <v>46.94</v>
      </c>
      <c r="Q500">
        <v>174.03</v>
      </c>
      <c r="R500">
        <v>184.98</v>
      </c>
      <c r="S500">
        <v>74</v>
      </c>
      <c r="T500">
        <v>100.56</v>
      </c>
      <c r="U500">
        <v>73.010000000000005</v>
      </c>
      <c r="V500">
        <v>41.82</v>
      </c>
      <c r="W500">
        <v>89.38</v>
      </c>
      <c r="X500">
        <v>117.17</v>
      </c>
      <c r="Y500">
        <v>243.35</v>
      </c>
      <c r="Z500">
        <v>105.38</v>
      </c>
      <c r="AA500">
        <v>130</v>
      </c>
      <c r="AB500">
        <v>53.88</v>
      </c>
      <c r="AC500">
        <v>67.31</v>
      </c>
      <c r="AD500">
        <v>90.41</v>
      </c>
      <c r="AE500">
        <v>67.89</v>
      </c>
      <c r="AI500" s="2">
        <v>5000</v>
      </c>
      <c r="AJ500" s="2">
        <f t="shared" si="328"/>
        <v>1350</v>
      </c>
      <c r="AK500" s="2">
        <f t="shared" si="328"/>
        <v>1350</v>
      </c>
      <c r="AL500" s="2">
        <f t="shared" si="328"/>
        <v>1350</v>
      </c>
      <c r="AM500" s="2">
        <f t="shared" si="328"/>
        <v>1350</v>
      </c>
      <c r="AN500" s="2">
        <f t="shared" si="328"/>
        <v>1350</v>
      </c>
      <c r="AO500" s="2">
        <f t="shared" si="328"/>
        <v>1350</v>
      </c>
      <c r="AP500" s="2">
        <f t="shared" si="328"/>
        <v>1230</v>
      </c>
      <c r="AQ500" s="2">
        <v>1000</v>
      </c>
      <c r="AR500" s="2">
        <v>0</v>
      </c>
      <c r="AS500" s="2">
        <v>10</v>
      </c>
      <c r="AT500" s="2">
        <v>0</v>
      </c>
      <c r="AU500" s="2">
        <v>0</v>
      </c>
      <c r="AV500" s="2">
        <v>0</v>
      </c>
      <c r="AW500" s="2">
        <v>0</v>
      </c>
      <c r="AX500" s="2">
        <v>0</v>
      </c>
      <c r="AY500" s="2">
        <v>0</v>
      </c>
      <c r="AZ500" s="2">
        <v>1039</v>
      </c>
      <c r="BA500" s="2">
        <v>1049</v>
      </c>
      <c r="BB500" s="2">
        <v>1087</v>
      </c>
      <c r="BC500" s="2">
        <v>-3000</v>
      </c>
      <c r="BD500" s="2">
        <v>-7500</v>
      </c>
      <c r="BE500" s="2">
        <v>5000</v>
      </c>
      <c r="BF500" s="2">
        <v>5000</v>
      </c>
      <c r="BG500" s="2">
        <v>5000</v>
      </c>
      <c r="BH500" s="2">
        <v>2500</v>
      </c>
      <c r="BI500" s="2">
        <v>3000</v>
      </c>
      <c r="BJ500" s="2">
        <v>-2000</v>
      </c>
      <c r="BK500" s="2">
        <v>1000</v>
      </c>
      <c r="BL500" s="2">
        <v>1000</v>
      </c>
      <c r="BO500" s="2">
        <f t="shared" si="294"/>
        <v>0</v>
      </c>
      <c r="BP500" s="2">
        <f t="shared" si="301"/>
        <v>0</v>
      </c>
      <c r="BQ500" s="2">
        <f t="shared" si="302"/>
        <v>0</v>
      </c>
      <c r="BR500" s="2">
        <f t="shared" si="303"/>
        <v>0</v>
      </c>
      <c r="BS500" s="2">
        <f t="shared" si="304"/>
        <v>0</v>
      </c>
      <c r="BT500" s="2">
        <f t="shared" si="305"/>
        <v>0</v>
      </c>
      <c r="BU500" s="2">
        <f t="shared" si="306"/>
        <v>0</v>
      </c>
      <c r="BV500" s="2">
        <f t="shared" si="307"/>
        <v>0</v>
      </c>
      <c r="BW500" s="2">
        <f t="shared" si="308"/>
        <v>0</v>
      </c>
      <c r="BX500" s="2">
        <f t="shared" si="309"/>
        <v>0</v>
      </c>
      <c r="BY500" s="2">
        <f t="shared" si="310"/>
        <v>0</v>
      </c>
      <c r="BZ500" s="2">
        <f t="shared" si="311"/>
        <v>0</v>
      </c>
      <c r="CA500" s="2">
        <f t="shared" si="312"/>
        <v>0</v>
      </c>
      <c r="CB500" s="2">
        <f t="shared" si="313"/>
        <v>0</v>
      </c>
      <c r="CC500" s="2">
        <f t="shared" si="314"/>
        <v>0</v>
      </c>
      <c r="CD500" s="2">
        <f t="shared" si="315"/>
        <v>0</v>
      </c>
      <c r="CE500" s="2">
        <f t="shared" si="316"/>
        <v>0</v>
      </c>
      <c r="CF500" s="2">
        <f t="shared" si="317"/>
        <v>-4070</v>
      </c>
      <c r="CG500" s="2">
        <f t="shared" si="318"/>
        <v>-3419.04</v>
      </c>
      <c r="CH500" s="2">
        <f t="shared" si="319"/>
        <v>-8615.18</v>
      </c>
      <c r="CI500" s="2">
        <f t="shared" si="320"/>
        <v>0</v>
      </c>
      <c r="CJ500" s="2">
        <f t="shared" si="321"/>
        <v>0</v>
      </c>
      <c r="CK500" s="2">
        <f t="shared" si="322"/>
        <v>0</v>
      </c>
      <c r="CL500" s="2">
        <f t="shared" si="323"/>
        <v>0</v>
      </c>
      <c r="CM500" s="2">
        <f t="shared" si="295"/>
        <v>0</v>
      </c>
      <c r="CN500" s="2">
        <f t="shared" si="296"/>
        <v>0</v>
      </c>
      <c r="CO500" s="2">
        <f t="shared" si="297"/>
        <v>0</v>
      </c>
      <c r="CP500" s="2">
        <f t="shared" si="298"/>
        <v>0</v>
      </c>
      <c r="CQ500" s="2">
        <f t="shared" si="299"/>
        <v>0</v>
      </c>
      <c r="CR500" s="2">
        <f t="shared" si="300"/>
        <v>0</v>
      </c>
      <c r="CV500" t="s">
        <v>64</v>
      </c>
      <c r="CW500" t="s">
        <v>573</v>
      </c>
      <c r="CX500" t="s">
        <v>18</v>
      </c>
      <c r="CY500" s="4">
        <v>43003</v>
      </c>
      <c r="CZ500" t="s">
        <v>67</v>
      </c>
      <c r="DA500" t="s">
        <v>68</v>
      </c>
      <c r="DB500">
        <v>70</v>
      </c>
      <c r="DC500">
        <v>62.71</v>
      </c>
      <c r="DD500" t="s">
        <v>69</v>
      </c>
      <c r="DE500" t="s">
        <v>70</v>
      </c>
      <c r="DF500">
        <v>4389.7</v>
      </c>
    </row>
    <row r="501" spans="1:110" x14ac:dyDescent="0.25">
      <c r="A501" s="1">
        <v>43461</v>
      </c>
      <c r="B501">
        <v>155.47999999999999</v>
      </c>
      <c r="C501">
        <v>94.29</v>
      </c>
      <c r="D501">
        <v>315.55</v>
      </c>
      <c r="E501">
        <v>125.86</v>
      </c>
      <c r="F501">
        <v>42.58</v>
      </c>
      <c r="G501">
        <v>108.23</v>
      </c>
      <c r="H501">
        <v>106.52</v>
      </c>
      <c r="I501">
        <v>53.33</v>
      </c>
      <c r="J501">
        <v>165.41</v>
      </c>
      <c r="K501">
        <v>170.32</v>
      </c>
      <c r="L501">
        <v>112.47</v>
      </c>
      <c r="M501">
        <v>46.07</v>
      </c>
      <c r="N501">
        <v>127.41</v>
      </c>
      <c r="O501">
        <v>96.26</v>
      </c>
      <c r="P501">
        <v>47.53</v>
      </c>
      <c r="Q501">
        <v>175.71</v>
      </c>
      <c r="R501">
        <v>189.39</v>
      </c>
      <c r="S501">
        <v>75.38</v>
      </c>
      <c r="T501">
        <v>101.18</v>
      </c>
      <c r="U501">
        <v>73.67</v>
      </c>
      <c r="V501">
        <v>42.48</v>
      </c>
      <c r="W501">
        <v>91.3</v>
      </c>
      <c r="X501">
        <v>118.67</v>
      </c>
      <c r="Y501">
        <v>245.97</v>
      </c>
      <c r="Z501">
        <v>105.14</v>
      </c>
      <c r="AA501">
        <v>131.78</v>
      </c>
      <c r="AB501">
        <v>54.58</v>
      </c>
      <c r="AC501">
        <v>67.94</v>
      </c>
      <c r="AD501">
        <v>91.59</v>
      </c>
      <c r="AE501">
        <v>68.180000000000007</v>
      </c>
      <c r="AI501" s="2">
        <v>5000</v>
      </c>
      <c r="AJ501" s="2">
        <f t="shared" si="328"/>
        <v>1350</v>
      </c>
      <c r="AK501" s="2">
        <f t="shared" si="328"/>
        <v>1350</v>
      </c>
      <c r="AL501" s="2">
        <f t="shared" si="328"/>
        <v>1350</v>
      </c>
      <c r="AM501" s="2">
        <f t="shared" si="328"/>
        <v>1350</v>
      </c>
      <c r="AN501" s="2">
        <f t="shared" si="328"/>
        <v>1350</v>
      </c>
      <c r="AO501" s="2">
        <f t="shared" si="328"/>
        <v>1350</v>
      </c>
      <c r="AP501" s="2">
        <f t="shared" si="328"/>
        <v>1230</v>
      </c>
      <c r="AQ501" s="2">
        <v>1000</v>
      </c>
      <c r="AR501" s="2">
        <v>0</v>
      </c>
      <c r="AS501" s="2">
        <v>10</v>
      </c>
      <c r="AT501" s="2">
        <v>0</v>
      </c>
      <c r="AU501" s="2">
        <v>0</v>
      </c>
      <c r="AV501" s="2">
        <v>0</v>
      </c>
      <c r="AW501" s="2">
        <v>0</v>
      </c>
      <c r="AX501" s="2">
        <v>0</v>
      </c>
      <c r="AY501" s="2">
        <v>0</v>
      </c>
      <c r="AZ501" s="2">
        <v>1029</v>
      </c>
      <c r="BA501" s="2">
        <v>904</v>
      </c>
      <c r="BB501" s="2">
        <v>1066</v>
      </c>
      <c r="BC501" s="2">
        <v>-3000</v>
      </c>
      <c r="BD501" s="2">
        <v>-7500</v>
      </c>
      <c r="BE501" s="2">
        <v>5000</v>
      </c>
      <c r="BF501" s="2">
        <v>5000</v>
      </c>
      <c r="BG501" s="2">
        <v>5000</v>
      </c>
      <c r="BH501" s="2">
        <v>2500</v>
      </c>
      <c r="BI501" s="2">
        <v>3000</v>
      </c>
      <c r="BJ501" s="2">
        <v>-2000</v>
      </c>
      <c r="BK501" s="2">
        <v>1000</v>
      </c>
      <c r="BL501" s="2">
        <v>1000</v>
      </c>
      <c r="BO501" s="2">
        <f t="shared" si="294"/>
        <v>0</v>
      </c>
      <c r="BP501" s="2">
        <f t="shared" si="301"/>
        <v>0</v>
      </c>
      <c r="BQ501" s="2">
        <f t="shared" si="302"/>
        <v>0</v>
      </c>
      <c r="BR501" s="2">
        <f t="shared" si="303"/>
        <v>0</v>
      </c>
      <c r="BS501" s="2">
        <f t="shared" si="304"/>
        <v>0</v>
      </c>
      <c r="BT501" s="2">
        <f t="shared" si="305"/>
        <v>0</v>
      </c>
      <c r="BU501" s="2">
        <f t="shared" si="306"/>
        <v>0</v>
      </c>
      <c r="BV501" s="2">
        <f t="shared" si="307"/>
        <v>0</v>
      </c>
      <c r="BW501" s="2">
        <f t="shared" si="308"/>
        <v>0</v>
      </c>
      <c r="BX501" s="2">
        <f t="shared" si="309"/>
        <v>0</v>
      </c>
      <c r="BY501" s="2">
        <f t="shared" si="310"/>
        <v>0</v>
      </c>
      <c r="BZ501" s="2">
        <f t="shared" si="311"/>
        <v>0</v>
      </c>
      <c r="CA501" s="2">
        <f t="shared" si="312"/>
        <v>0</v>
      </c>
      <c r="CB501" s="2">
        <f t="shared" si="313"/>
        <v>0</v>
      </c>
      <c r="CC501" s="2">
        <f t="shared" si="314"/>
        <v>0</v>
      </c>
      <c r="CD501" s="2">
        <f t="shared" si="315"/>
        <v>0</v>
      </c>
      <c r="CE501" s="2">
        <f t="shared" si="316"/>
        <v>0</v>
      </c>
      <c r="CF501" s="2">
        <f t="shared" si="317"/>
        <v>753.8</v>
      </c>
      <c r="CG501" s="2">
        <f t="shared" si="318"/>
        <v>14671.1</v>
      </c>
      <c r="CH501" s="2">
        <f t="shared" si="319"/>
        <v>1547.07</v>
      </c>
      <c r="CI501" s="2">
        <f t="shared" si="320"/>
        <v>0</v>
      </c>
      <c r="CJ501" s="2">
        <f t="shared" si="321"/>
        <v>0</v>
      </c>
      <c r="CK501" s="2">
        <f t="shared" si="322"/>
        <v>0</v>
      </c>
      <c r="CL501" s="2">
        <f t="shared" si="323"/>
        <v>0</v>
      </c>
      <c r="CM501" s="2">
        <f t="shared" si="295"/>
        <v>0</v>
      </c>
      <c r="CN501" s="2">
        <f t="shared" si="296"/>
        <v>0</v>
      </c>
      <c r="CO501" s="2">
        <f t="shared" si="297"/>
        <v>0</v>
      </c>
      <c r="CP501" s="2">
        <f t="shared" si="298"/>
        <v>0</v>
      </c>
      <c r="CQ501" s="2">
        <f t="shared" si="299"/>
        <v>0</v>
      </c>
      <c r="CR501" s="2">
        <f t="shared" si="300"/>
        <v>0</v>
      </c>
      <c r="CV501" t="s">
        <v>64</v>
      </c>
      <c r="CW501" t="s">
        <v>574</v>
      </c>
      <c r="CX501" t="s">
        <v>18</v>
      </c>
      <c r="CY501" s="4">
        <v>43004</v>
      </c>
      <c r="CZ501" t="s">
        <v>65</v>
      </c>
      <c r="DA501" t="s">
        <v>66</v>
      </c>
      <c r="DB501">
        <v>62</v>
      </c>
      <c r="DC501">
        <v>62.3</v>
      </c>
      <c r="DD501" t="s">
        <v>69</v>
      </c>
      <c r="DE501" t="s">
        <v>70</v>
      </c>
      <c r="DF501">
        <v>3862.6</v>
      </c>
    </row>
    <row r="502" spans="1:110" x14ac:dyDescent="0.25">
      <c r="A502" s="1">
        <v>43462</v>
      </c>
      <c r="B502">
        <v>155.56</v>
      </c>
      <c r="C502">
        <v>94.04</v>
      </c>
      <c r="D502">
        <v>314.8</v>
      </c>
      <c r="E502">
        <v>124.81</v>
      </c>
      <c r="F502">
        <v>42.44</v>
      </c>
      <c r="G502">
        <v>107.57</v>
      </c>
      <c r="H502">
        <v>107.3</v>
      </c>
      <c r="I502">
        <v>53.02</v>
      </c>
      <c r="J502">
        <v>163.03</v>
      </c>
      <c r="K502">
        <v>170.22</v>
      </c>
      <c r="L502">
        <v>111.73</v>
      </c>
      <c r="M502">
        <v>46.46</v>
      </c>
      <c r="N502">
        <v>127.27</v>
      </c>
      <c r="O502">
        <v>96.05</v>
      </c>
      <c r="P502">
        <v>47.2</v>
      </c>
      <c r="Q502">
        <v>175.56</v>
      </c>
      <c r="R502">
        <v>188.07</v>
      </c>
      <c r="S502">
        <v>75.37</v>
      </c>
      <c r="T502">
        <v>100.39</v>
      </c>
      <c r="U502">
        <v>73.34</v>
      </c>
      <c r="V502">
        <v>42.59</v>
      </c>
      <c r="W502">
        <v>90.46</v>
      </c>
      <c r="X502">
        <v>118.24</v>
      </c>
      <c r="Y502">
        <v>246.24</v>
      </c>
      <c r="Z502">
        <v>104.72</v>
      </c>
      <c r="AA502">
        <v>130.71</v>
      </c>
      <c r="AB502">
        <v>54.7</v>
      </c>
      <c r="AC502">
        <v>67.64</v>
      </c>
      <c r="AD502">
        <v>92.13</v>
      </c>
      <c r="AE502">
        <v>67.42</v>
      </c>
      <c r="AI502" s="2">
        <v>5000</v>
      </c>
      <c r="AJ502" s="2">
        <f t="shared" si="328"/>
        <v>1350</v>
      </c>
      <c r="AK502" s="2">
        <f t="shared" si="328"/>
        <v>1350</v>
      </c>
      <c r="AL502" s="2">
        <f t="shared" si="328"/>
        <v>1350</v>
      </c>
      <c r="AM502" s="2">
        <f t="shared" si="328"/>
        <v>1350</v>
      </c>
      <c r="AN502" s="2">
        <f t="shared" si="328"/>
        <v>1350</v>
      </c>
      <c r="AO502" s="2">
        <f t="shared" si="328"/>
        <v>1350</v>
      </c>
      <c r="AP502" s="2">
        <f t="shared" si="328"/>
        <v>1230</v>
      </c>
      <c r="AQ502" s="2">
        <v>1000</v>
      </c>
      <c r="AR502" s="2">
        <v>0</v>
      </c>
      <c r="AS502" s="2">
        <v>10</v>
      </c>
      <c r="AT502" s="2">
        <v>0</v>
      </c>
      <c r="AU502" s="2">
        <v>0</v>
      </c>
      <c r="AV502" s="2">
        <v>0</v>
      </c>
      <c r="AW502" s="2">
        <v>0</v>
      </c>
      <c r="AX502" s="2">
        <v>0</v>
      </c>
      <c r="AY502" s="2">
        <v>0</v>
      </c>
      <c r="AZ502" s="2">
        <v>1025</v>
      </c>
      <c r="BA502" s="2">
        <v>918</v>
      </c>
      <c r="BB502" s="2">
        <v>963</v>
      </c>
      <c r="BC502" s="2">
        <v>-3000</v>
      </c>
      <c r="BD502" s="2">
        <v>-7500</v>
      </c>
      <c r="BE502" s="2">
        <v>5000</v>
      </c>
      <c r="BF502" s="2">
        <v>5000</v>
      </c>
      <c r="BG502" s="2">
        <v>5000</v>
      </c>
      <c r="BH502" s="2">
        <v>2500</v>
      </c>
      <c r="BI502" s="2">
        <v>3000</v>
      </c>
      <c r="BJ502" s="2">
        <v>-2000</v>
      </c>
      <c r="BK502" s="2">
        <v>1000</v>
      </c>
      <c r="BL502" s="2">
        <v>1000</v>
      </c>
      <c r="BO502" s="2">
        <f t="shared" si="294"/>
        <v>0</v>
      </c>
      <c r="BP502" s="2">
        <f t="shared" si="301"/>
        <v>0</v>
      </c>
      <c r="BQ502" s="2">
        <f t="shared" si="302"/>
        <v>0</v>
      </c>
      <c r="BR502" s="2">
        <f t="shared" si="303"/>
        <v>0</v>
      </c>
      <c r="BS502" s="2">
        <f t="shared" si="304"/>
        <v>0</v>
      </c>
      <c r="BT502" s="2">
        <f t="shared" si="305"/>
        <v>0</v>
      </c>
      <c r="BU502" s="2">
        <f t="shared" si="306"/>
        <v>0</v>
      </c>
      <c r="BV502" s="2">
        <f t="shared" si="307"/>
        <v>0</v>
      </c>
      <c r="BW502" s="2">
        <f t="shared" si="308"/>
        <v>0</v>
      </c>
      <c r="BX502" s="2">
        <f t="shared" si="309"/>
        <v>0</v>
      </c>
      <c r="BY502" s="2">
        <f t="shared" si="310"/>
        <v>0</v>
      </c>
      <c r="BZ502" s="2">
        <f t="shared" si="311"/>
        <v>0</v>
      </c>
      <c r="CA502" s="2">
        <f t="shared" si="312"/>
        <v>0</v>
      </c>
      <c r="CB502" s="2">
        <f t="shared" si="313"/>
        <v>0</v>
      </c>
      <c r="CC502" s="2">
        <f t="shared" si="314"/>
        <v>0</v>
      </c>
      <c r="CD502" s="2">
        <f t="shared" si="315"/>
        <v>0</v>
      </c>
      <c r="CE502" s="2">
        <f t="shared" si="316"/>
        <v>0</v>
      </c>
      <c r="CF502" s="2">
        <f t="shared" si="317"/>
        <v>301.48</v>
      </c>
      <c r="CG502" s="2">
        <f t="shared" si="318"/>
        <v>-1405.46</v>
      </c>
      <c r="CH502" s="2">
        <f t="shared" si="319"/>
        <v>7554.02</v>
      </c>
      <c r="CI502" s="2">
        <f t="shared" si="320"/>
        <v>0</v>
      </c>
      <c r="CJ502" s="2">
        <f t="shared" si="321"/>
        <v>0</v>
      </c>
      <c r="CK502" s="2">
        <f t="shared" si="322"/>
        <v>0</v>
      </c>
      <c r="CL502" s="2">
        <f t="shared" si="323"/>
        <v>0</v>
      </c>
      <c r="CM502" s="2">
        <f t="shared" si="295"/>
        <v>0</v>
      </c>
      <c r="CN502" s="2">
        <f t="shared" si="296"/>
        <v>0</v>
      </c>
      <c r="CO502" s="2">
        <f t="shared" si="297"/>
        <v>0</v>
      </c>
      <c r="CP502" s="2">
        <f t="shared" si="298"/>
        <v>0</v>
      </c>
      <c r="CQ502" s="2">
        <f t="shared" si="299"/>
        <v>0</v>
      </c>
      <c r="CR502" s="2">
        <f t="shared" si="300"/>
        <v>0</v>
      </c>
      <c r="CV502" t="s">
        <v>64</v>
      </c>
      <c r="CW502" t="s">
        <v>575</v>
      </c>
      <c r="CX502" t="s">
        <v>18</v>
      </c>
      <c r="CY502" s="4">
        <v>43005</v>
      </c>
      <c r="CZ502" t="s">
        <v>65</v>
      </c>
      <c r="DA502" t="s">
        <v>66</v>
      </c>
      <c r="DB502">
        <v>8</v>
      </c>
      <c r="DC502">
        <v>62.12</v>
      </c>
      <c r="DD502" t="s">
        <v>69</v>
      </c>
      <c r="DE502" t="s">
        <v>70</v>
      </c>
      <c r="DF502">
        <v>496.96</v>
      </c>
    </row>
    <row r="503" spans="1:110" x14ac:dyDescent="0.25">
      <c r="A503" s="1">
        <v>43465</v>
      </c>
      <c r="B503">
        <v>157.07</v>
      </c>
      <c r="C503">
        <v>94.93</v>
      </c>
      <c r="D503">
        <v>320.89</v>
      </c>
      <c r="E503">
        <v>126.26</v>
      </c>
      <c r="F503">
        <v>43</v>
      </c>
      <c r="G503">
        <v>107.71</v>
      </c>
      <c r="H503">
        <v>109.65</v>
      </c>
      <c r="I503">
        <v>53.48</v>
      </c>
      <c r="J503">
        <v>167.05</v>
      </c>
      <c r="K503">
        <v>171.82</v>
      </c>
      <c r="L503">
        <v>112.36</v>
      </c>
      <c r="M503">
        <v>46.63</v>
      </c>
      <c r="N503">
        <v>129.05000000000001</v>
      </c>
      <c r="O503">
        <v>96.83</v>
      </c>
      <c r="P503">
        <v>47.35</v>
      </c>
      <c r="Q503">
        <v>177.57</v>
      </c>
      <c r="R503">
        <v>189.23</v>
      </c>
      <c r="S503">
        <v>76.41</v>
      </c>
      <c r="T503">
        <v>101.57</v>
      </c>
      <c r="U503">
        <v>74.14</v>
      </c>
      <c r="V503">
        <v>43.27</v>
      </c>
      <c r="W503">
        <v>91.2</v>
      </c>
      <c r="X503">
        <v>119.75</v>
      </c>
      <c r="Y503">
        <v>249.12</v>
      </c>
      <c r="Z503">
        <v>105.85</v>
      </c>
      <c r="AA503">
        <v>131.71</v>
      </c>
      <c r="AB503">
        <v>55.64</v>
      </c>
      <c r="AC503">
        <v>67.91</v>
      </c>
      <c r="AD503">
        <v>93.15</v>
      </c>
      <c r="AE503">
        <v>67.44</v>
      </c>
      <c r="AI503" s="2">
        <v>5000</v>
      </c>
      <c r="AJ503" s="2">
        <f t="shared" si="328"/>
        <v>1350</v>
      </c>
      <c r="AK503" s="2">
        <f t="shared" si="328"/>
        <v>1350</v>
      </c>
      <c r="AL503" s="2">
        <f t="shared" si="328"/>
        <v>1350</v>
      </c>
      <c r="AM503" s="2">
        <f t="shared" si="328"/>
        <v>1350</v>
      </c>
      <c r="AN503" s="2">
        <f t="shared" si="328"/>
        <v>1350</v>
      </c>
      <c r="AO503" s="2">
        <f t="shared" si="328"/>
        <v>1350</v>
      </c>
      <c r="AP503" s="2">
        <f t="shared" si="328"/>
        <v>1230</v>
      </c>
      <c r="AQ503" s="2">
        <v>1000</v>
      </c>
      <c r="AR503" s="2">
        <v>0</v>
      </c>
      <c r="AS503" s="2">
        <v>10</v>
      </c>
      <c r="AT503" s="2">
        <v>0</v>
      </c>
      <c r="AU503" s="2">
        <v>0</v>
      </c>
      <c r="AV503" s="2">
        <v>0</v>
      </c>
      <c r="AW503" s="2">
        <v>0</v>
      </c>
      <c r="AX503" s="2">
        <v>0</v>
      </c>
      <c r="AY503" s="2">
        <v>0</v>
      </c>
      <c r="AZ503" s="2">
        <v>1011</v>
      </c>
      <c r="BA503" s="2">
        <v>910</v>
      </c>
      <c r="BB503" s="2">
        <v>1091</v>
      </c>
      <c r="BC503" s="2">
        <v>-3000</v>
      </c>
      <c r="BD503" s="2">
        <v>-7500</v>
      </c>
      <c r="BE503" s="2">
        <v>5000</v>
      </c>
      <c r="BF503" s="2">
        <v>5000</v>
      </c>
      <c r="BG503" s="2">
        <v>5000</v>
      </c>
      <c r="BH503" s="2">
        <v>2500</v>
      </c>
      <c r="BI503" s="2">
        <v>3000</v>
      </c>
      <c r="BJ503" s="2">
        <v>-2000</v>
      </c>
      <c r="BK503" s="2">
        <v>1000</v>
      </c>
      <c r="BL503" s="2">
        <v>1000</v>
      </c>
      <c r="BO503" s="2">
        <f t="shared" si="294"/>
        <v>0</v>
      </c>
      <c r="BP503" s="2">
        <f t="shared" si="301"/>
        <v>0</v>
      </c>
      <c r="BQ503" s="2">
        <f t="shared" si="302"/>
        <v>0</v>
      </c>
      <c r="BR503" s="2">
        <f t="shared" si="303"/>
        <v>0</v>
      </c>
      <c r="BS503" s="2">
        <f t="shared" si="304"/>
        <v>0</v>
      </c>
      <c r="BT503" s="2">
        <f t="shared" si="305"/>
        <v>0</v>
      </c>
      <c r="BU503" s="2">
        <f t="shared" si="306"/>
        <v>0</v>
      </c>
      <c r="BV503" s="2">
        <f t="shared" si="307"/>
        <v>0</v>
      </c>
      <c r="BW503" s="2">
        <f t="shared" si="308"/>
        <v>0</v>
      </c>
      <c r="BX503" s="2">
        <f t="shared" si="309"/>
        <v>0</v>
      </c>
      <c r="BY503" s="2">
        <f t="shared" si="310"/>
        <v>0</v>
      </c>
      <c r="BZ503" s="2">
        <f t="shared" si="311"/>
        <v>0</v>
      </c>
      <c r="CA503" s="2">
        <f t="shared" si="312"/>
        <v>0</v>
      </c>
      <c r="CB503" s="2">
        <f t="shared" si="313"/>
        <v>0</v>
      </c>
      <c r="CC503" s="2">
        <f t="shared" si="314"/>
        <v>0</v>
      </c>
      <c r="CD503" s="2">
        <f t="shared" si="315"/>
        <v>0</v>
      </c>
      <c r="CE503" s="2">
        <f t="shared" si="316"/>
        <v>0</v>
      </c>
      <c r="CF503" s="2">
        <f t="shared" si="317"/>
        <v>1069.74</v>
      </c>
      <c r="CG503" s="2">
        <f t="shared" si="318"/>
        <v>812.56</v>
      </c>
      <c r="CH503" s="2">
        <f t="shared" si="319"/>
        <v>-9489.92</v>
      </c>
      <c r="CI503" s="2">
        <f t="shared" si="320"/>
        <v>0</v>
      </c>
      <c r="CJ503" s="2">
        <f t="shared" si="321"/>
        <v>0</v>
      </c>
      <c r="CK503" s="2">
        <f t="shared" si="322"/>
        <v>0</v>
      </c>
      <c r="CL503" s="2">
        <f t="shared" si="323"/>
        <v>0</v>
      </c>
      <c r="CM503" s="2">
        <f t="shared" si="295"/>
        <v>0</v>
      </c>
      <c r="CN503" s="2">
        <f t="shared" si="296"/>
        <v>0</v>
      </c>
      <c r="CO503" s="2">
        <f t="shared" si="297"/>
        <v>0</v>
      </c>
      <c r="CP503" s="2">
        <f t="shared" si="298"/>
        <v>0</v>
      </c>
      <c r="CQ503" s="2">
        <f t="shared" si="299"/>
        <v>0</v>
      </c>
      <c r="CR503" s="2">
        <f t="shared" si="300"/>
        <v>0</v>
      </c>
      <c r="CV503" t="s">
        <v>64</v>
      </c>
      <c r="CW503" t="s">
        <v>576</v>
      </c>
      <c r="CX503" t="s">
        <v>18</v>
      </c>
      <c r="CY503" s="4">
        <v>43006</v>
      </c>
      <c r="CZ503" t="s">
        <v>67</v>
      </c>
      <c r="DA503" t="s">
        <v>68</v>
      </c>
      <c r="DB503">
        <v>47</v>
      </c>
      <c r="DC503">
        <v>61.85</v>
      </c>
      <c r="DD503" t="s">
        <v>69</v>
      </c>
      <c r="DE503" t="s">
        <v>70</v>
      </c>
      <c r="DF503">
        <v>2906.9500000000003</v>
      </c>
    </row>
    <row r="504" spans="1:110" x14ac:dyDescent="0.25">
      <c r="AJ504" s="2"/>
      <c r="CV504" t="s">
        <v>64</v>
      </c>
      <c r="CW504" t="s">
        <v>577</v>
      </c>
      <c r="CX504" t="s">
        <v>18</v>
      </c>
      <c r="CY504" s="4">
        <v>43007</v>
      </c>
      <c r="CZ504" t="s">
        <v>67</v>
      </c>
      <c r="DA504" t="s">
        <v>68</v>
      </c>
      <c r="DB504">
        <v>17</v>
      </c>
      <c r="DC504">
        <v>61.6</v>
      </c>
      <c r="DD504" t="s">
        <v>69</v>
      </c>
      <c r="DE504" t="s">
        <v>70</v>
      </c>
      <c r="DF504">
        <v>1047.2</v>
      </c>
    </row>
    <row r="505" spans="1:110" x14ac:dyDescent="0.25">
      <c r="AI505" t="s">
        <v>45</v>
      </c>
      <c r="AJ505" s="2" t="s">
        <v>35</v>
      </c>
      <c r="AK505" s="2" t="s">
        <v>35</v>
      </c>
      <c r="AL505" s="2" t="s">
        <v>35</v>
      </c>
      <c r="AM505" s="2" t="s">
        <v>35</v>
      </c>
      <c r="AN505" s="2" t="s">
        <v>35</v>
      </c>
      <c r="AO505" s="2" t="s">
        <v>35</v>
      </c>
      <c r="AP505" s="2" t="s">
        <v>35</v>
      </c>
      <c r="AQ505" s="2" t="s">
        <v>37</v>
      </c>
      <c r="AR505" s="2" t="s">
        <v>38</v>
      </c>
      <c r="AS505" s="2" t="s">
        <v>38</v>
      </c>
      <c r="AT505" s="2" t="s">
        <v>38</v>
      </c>
      <c r="AU505" s="2" t="s">
        <v>38</v>
      </c>
      <c r="AV505" s="2" t="s">
        <v>38</v>
      </c>
      <c r="AW505" s="2" t="s">
        <v>38</v>
      </c>
      <c r="AX505" s="2" t="s">
        <v>38</v>
      </c>
      <c r="AY505" s="2" t="s">
        <v>38</v>
      </c>
      <c r="AZ505" s="2" t="s">
        <v>42</v>
      </c>
      <c r="BA505" s="2" t="s">
        <v>42</v>
      </c>
      <c r="BB505" s="2" t="s">
        <v>42</v>
      </c>
      <c r="BC505" s="2" t="s">
        <v>44</v>
      </c>
      <c r="BD505" s="2" t="s">
        <v>45</v>
      </c>
      <c r="BE505" s="2" t="s">
        <v>44</v>
      </c>
      <c r="BF505" s="2" t="s">
        <v>45</v>
      </c>
      <c r="BG505" t="s">
        <v>45</v>
      </c>
      <c r="BH505" t="s">
        <v>45</v>
      </c>
      <c r="BI505" s="2" t="s">
        <v>45</v>
      </c>
      <c r="BJ505" s="2" t="s">
        <v>45</v>
      </c>
      <c r="BK505" s="2" t="s">
        <v>37</v>
      </c>
      <c r="BL505" s="2" t="s">
        <v>37</v>
      </c>
      <c r="BO505" s="2" t="s">
        <v>50</v>
      </c>
      <c r="CV505" t="s">
        <v>64</v>
      </c>
      <c r="CW505" t="s">
        <v>578</v>
      </c>
      <c r="CX505" t="s">
        <v>18</v>
      </c>
      <c r="CY505" s="4">
        <v>43010</v>
      </c>
      <c r="CZ505" t="s">
        <v>65</v>
      </c>
      <c r="DA505" t="s">
        <v>66</v>
      </c>
      <c r="DB505">
        <v>31</v>
      </c>
      <c r="DC505">
        <v>62.1</v>
      </c>
      <c r="DD505" t="s">
        <v>69</v>
      </c>
      <c r="DE505" t="s">
        <v>70</v>
      </c>
      <c r="DF505">
        <v>1925.1000000000001</v>
      </c>
    </row>
    <row r="506" spans="1:110" x14ac:dyDescent="0.25">
      <c r="G506" t="s">
        <v>74</v>
      </c>
      <c r="I506" t="s">
        <v>8</v>
      </c>
      <c r="J506" t="s">
        <v>69</v>
      </c>
      <c r="K506" t="s">
        <v>73</v>
      </c>
      <c r="AI506" t="s">
        <v>46</v>
      </c>
      <c r="AJ506" s="2" t="s">
        <v>36</v>
      </c>
      <c r="AK506" s="2" t="s">
        <v>36</v>
      </c>
      <c r="AL506" s="2" t="s">
        <v>36</v>
      </c>
      <c r="AM506" s="2" t="s">
        <v>36</v>
      </c>
      <c r="AN506" s="2" t="s">
        <v>36</v>
      </c>
      <c r="AO506" s="2" t="s">
        <v>36</v>
      </c>
      <c r="AP506" s="2" t="s">
        <v>36</v>
      </c>
      <c r="AR506" s="2" t="s">
        <v>39</v>
      </c>
      <c r="AS506" s="2" t="s">
        <v>39</v>
      </c>
      <c r="AT506" s="2" t="s">
        <v>39</v>
      </c>
      <c r="AU506" s="2" t="s">
        <v>39</v>
      </c>
      <c r="AV506" s="2" t="s">
        <v>39</v>
      </c>
      <c r="AW506" s="2" t="s">
        <v>39</v>
      </c>
      <c r="AX506" s="2" t="s">
        <v>39</v>
      </c>
      <c r="AY506" s="2" t="s">
        <v>39</v>
      </c>
      <c r="AZ506" s="2" t="s">
        <v>41</v>
      </c>
      <c r="BA506" s="2" t="s">
        <v>41</v>
      </c>
      <c r="BB506" s="2" t="s">
        <v>41</v>
      </c>
      <c r="BC506" s="2" t="s">
        <v>43</v>
      </c>
      <c r="BD506" s="2" t="s">
        <v>43</v>
      </c>
      <c r="BE506" s="2" t="s">
        <v>46</v>
      </c>
      <c r="BF506" s="2" t="s">
        <v>46</v>
      </c>
      <c r="BG506" t="s">
        <v>46</v>
      </c>
      <c r="BH506" t="s">
        <v>46</v>
      </c>
      <c r="BI506" s="2" t="s">
        <v>46</v>
      </c>
      <c r="BJ506" s="2" t="s">
        <v>43</v>
      </c>
      <c r="BN506" t="s">
        <v>41</v>
      </c>
      <c r="BO506" s="2">
        <f>SUM(BO2:BO503)</f>
        <v>-818560.00000000012</v>
      </c>
      <c r="BP506" s="6">
        <f t="shared" ref="BP506:CR506" si="331">SUM(BP2:BP503)</f>
        <v>-105183.4</v>
      </c>
      <c r="BQ506" s="6">
        <f t="shared" si="331"/>
        <v>-244865.90000000008</v>
      </c>
      <c r="BR506" s="6">
        <f t="shared" si="331"/>
        <v>-132718.30000000005</v>
      </c>
      <c r="BS506" s="6">
        <f t="shared" si="331"/>
        <v>-41583.299999999981</v>
      </c>
      <c r="BT506" s="6">
        <f t="shared" si="331"/>
        <v>-146837.60000000003</v>
      </c>
      <c r="BU506" s="6">
        <f t="shared" si="331"/>
        <v>-139633.79999999999</v>
      </c>
      <c r="BV506" s="6">
        <f t="shared" si="331"/>
        <v>-80492.500000000029</v>
      </c>
      <c r="BW506" s="6">
        <f t="shared" si="331"/>
        <v>-235320</v>
      </c>
      <c r="BX506" s="2">
        <f t="shared" si="331"/>
        <v>13940</v>
      </c>
      <c r="BY506" s="2">
        <f t="shared" si="331"/>
        <v>-6759.2000000000116</v>
      </c>
      <c r="BZ506" s="2">
        <f t="shared" si="331"/>
        <v>740</v>
      </c>
      <c r="CA506" s="2">
        <f t="shared" si="331"/>
        <v>12660</v>
      </c>
      <c r="CB506" s="2">
        <f t="shared" si="331"/>
        <v>26740</v>
      </c>
      <c r="CC506" s="2">
        <f t="shared" si="331"/>
        <v>-20</v>
      </c>
      <c r="CD506" s="2">
        <f t="shared" si="331"/>
        <v>14050</v>
      </c>
      <c r="CE506" s="2">
        <f t="shared" si="331"/>
        <v>27020</v>
      </c>
      <c r="CF506" s="2">
        <f t="shared" si="331"/>
        <v>-57058.86000000003</v>
      </c>
      <c r="CG506" s="2">
        <f t="shared" si="331"/>
        <v>-50811.619999999974</v>
      </c>
      <c r="CH506" s="2">
        <f t="shared" si="331"/>
        <v>-58226.129999999976</v>
      </c>
      <c r="CI506" s="2">
        <f t="shared" si="331"/>
        <v>113190</v>
      </c>
      <c r="CJ506" s="2">
        <f t="shared" si="331"/>
        <v>611990</v>
      </c>
      <c r="CK506" s="6">
        <f t="shared" si="331"/>
        <v>-574820</v>
      </c>
      <c r="CL506" s="6">
        <f t="shared" si="331"/>
        <v>-992730</v>
      </c>
      <c r="CM506" s="2">
        <f t="shared" si="331"/>
        <v>-487350</v>
      </c>
      <c r="CN506" s="2">
        <f t="shared" si="331"/>
        <v>-169817.5</v>
      </c>
      <c r="CO506" s="6">
        <f t="shared" si="331"/>
        <v>-147440</v>
      </c>
      <c r="CP506" s="2">
        <f t="shared" si="331"/>
        <v>148015</v>
      </c>
      <c r="CQ506" s="6">
        <f t="shared" si="331"/>
        <v>-65379.999999999993</v>
      </c>
      <c r="CR506" s="6">
        <f t="shared" si="331"/>
        <v>-83150</v>
      </c>
      <c r="CV506" t="s">
        <v>64</v>
      </c>
      <c r="CW506" t="s">
        <v>579</v>
      </c>
      <c r="CX506" t="s">
        <v>18</v>
      </c>
      <c r="CY506" s="4">
        <v>43011</v>
      </c>
      <c r="CZ506" t="s">
        <v>67</v>
      </c>
      <c r="DA506" t="s">
        <v>68</v>
      </c>
      <c r="DB506">
        <v>20</v>
      </c>
      <c r="DC506">
        <v>61.93</v>
      </c>
      <c r="DD506" t="s">
        <v>69</v>
      </c>
      <c r="DE506" t="s">
        <v>70</v>
      </c>
      <c r="DF506">
        <v>1238.5999999999999</v>
      </c>
    </row>
    <row r="507" spans="1:110" x14ac:dyDescent="0.25">
      <c r="AI507" t="s">
        <v>33</v>
      </c>
      <c r="AJ507" s="2"/>
      <c r="AR507" t="s">
        <v>40</v>
      </c>
      <c r="AS507" t="s">
        <v>40</v>
      </c>
      <c r="AT507" t="s">
        <v>40</v>
      </c>
      <c r="AU507" t="s">
        <v>40</v>
      </c>
      <c r="AV507" t="s">
        <v>40</v>
      </c>
      <c r="AW507" t="s">
        <v>40</v>
      </c>
      <c r="AX507" t="s">
        <v>40</v>
      </c>
      <c r="AY507" t="s">
        <v>40</v>
      </c>
      <c r="BG507" t="s">
        <v>33</v>
      </c>
      <c r="BH507" t="s">
        <v>47</v>
      </c>
      <c r="BN507" s="3" t="s">
        <v>51</v>
      </c>
      <c r="BO507" s="8">
        <f>AI503*B503</f>
        <v>785350</v>
      </c>
      <c r="BP507" s="6">
        <f t="shared" ref="BP507:CR507" si="332">AJ503*C503</f>
        <v>128155.50000000001</v>
      </c>
      <c r="BQ507" s="6">
        <f t="shared" si="332"/>
        <v>433201.5</v>
      </c>
      <c r="BR507" s="6">
        <f t="shared" si="332"/>
        <v>170451</v>
      </c>
      <c r="BS507" s="6">
        <f t="shared" si="332"/>
        <v>58050</v>
      </c>
      <c r="BT507" s="6">
        <f t="shared" si="332"/>
        <v>145408.5</v>
      </c>
      <c r="BU507" s="6">
        <f t="shared" si="332"/>
        <v>148027.5</v>
      </c>
      <c r="BV507" s="6">
        <f t="shared" si="332"/>
        <v>65780.399999999994</v>
      </c>
      <c r="BW507" s="6">
        <f t="shared" si="332"/>
        <v>167050</v>
      </c>
      <c r="BX507" s="2">
        <f t="shared" si="332"/>
        <v>0</v>
      </c>
      <c r="BY507" s="2">
        <f t="shared" si="332"/>
        <v>1123.5999999999999</v>
      </c>
      <c r="BZ507" s="2">
        <f t="shared" si="332"/>
        <v>0</v>
      </c>
      <c r="CA507" s="2">
        <f t="shared" si="332"/>
        <v>0</v>
      </c>
      <c r="CB507" s="2">
        <f t="shared" si="332"/>
        <v>0</v>
      </c>
      <c r="CC507" s="2">
        <f t="shared" si="332"/>
        <v>0</v>
      </c>
      <c r="CD507" s="2">
        <f t="shared" si="332"/>
        <v>0</v>
      </c>
      <c r="CE507" s="2">
        <f t="shared" si="332"/>
        <v>0</v>
      </c>
      <c r="CF507" s="6">
        <f t="shared" si="332"/>
        <v>77250.509999999995</v>
      </c>
      <c r="CG507" s="6">
        <f t="shared" si="332"/>
        <v>92428.7</v>
      </c>
      <c r="CH507" s="6">
        <f t="shared" si="332"/>
        <v>80886.740000000005</v>
      </c>
      <c r="CI507" s="6">
        <f t="shared" si="332"/>
        <v>-129810.00000000001</v>
      </c>
      <c r="CJ507" s="6">
        <f t="shared" si="332"/>
        <v>-684000</v>
      </c>
      <c r="CK507" s="6">
        <f t="shared" si="332"/>
        <v>598750</v>
      </c>
      <c r="CL507" s="6">
        <f t="shared" si="332"/>
        <v>1245600</v>
      </c>
      <c r="CM507" s="6">
        <f t="shared" si="332"/>
        <v>529250</v>
      </c>
      <c r="CN507" s="2">
        <f t="shared" si="332"/>
        <v>329275</v>
      </c>
      <c r="CO507" s="6">
        <f t="shared" si="332"/>
        <v>166920</v>
      </c>
      <c r="CP507" s="6">
        <f t="shared" si="332"/>
        <v>-135820</v>
      </c>
      <c r="CQ507" s="6">
        <f t="shared" si="332"/>
        <v>93150</v>
      </c>
      <c r="CR507" s="6">
        <f t="shared" si="332"/>
        <v>67440</v>
      </c>
      <c r="CV507" t="s">
        <v>64</v>
      </c>
      <c r="CW507" t="s">
        <v>580</v>
      </c>
      <c r="CX507" t="s">
        <v>18</v>
      </c>
      <c r="CY507" s="4">
        <v>43012</v>
      </c>
      <c r="CZ507" t="s">
        <v>67</v>
      </c>
      <c r="DA507" t="s">
        <v>68</v>
      </c>
      <c r="DB507">
        <v>17</v>
      </c>
      <c r="DC507">
        <v>62.15</v>
      </c>
      <c r="DD507" t="s">
        <v>69</v>
      </c>
      <c r="DE507" t="s">
        <v>70</v>
      </c>
      <c r="DF507">
        <v>1056.55</v>
      </c>
    </row>
    <row r="508" spans="1:110" x14ac:dyDescent="0.25">
      <c r="AI508" t="s">
        <v>48</v>
      </c>
      <c r="AJ508" s="2"/>
      <c r="BG508" t="s">
        <v>48</v>
      </c>
      <c r="BH508" t="s">
        <v>48</v>
      </c>
      <c r="BN508" t="s">
        <v>52</v>
      </c>
      <c r="BO508" s="2">
        <f>SUM(BO506:BO507)</f>
        <v>-33210.000000000116</v>
      </c>
      <c r="BP508" s="6">
        <f t="shared" ref="BP508:CR508" si="333">SUM(BP506:BP507)</f>
        <v>22972.10000000002</v>
      </c>
      <c r="BQ508" s="6">
        <f t="shared" si="333"/>
        <v>188335.59999999992</v>
      </c>
      <c r="BR508" s="6">
        <f t="shared" si="333"/>
        <v>37732.699999999953</v>
      </c>
      <c r="BS508" s="6">
        <f t="shared" si="333"/>
        <v>16466.700000000019</v>
      </c>
      <c r="BT508" s="6">
        <f t="shared" si="333"/>
        <v>-1429.1000000000349</v>
      </c>
      <c r="BU508" s="6">
        <f t="shared" si="333"/>
        <v>8393.7000000000116</v>
      </c>
      <c r="BV508" s="6">
        <f t="shared" si="333"/>
        <v>-14712.100000000035</v>
      </c>
      <c r="BW508" s="6">
        <f t="shared" si="333"/>
        <v>-68270</v>
      </c>
      <c r="BX508" s="2">
        <f t="shared" si="333"/>
        <v>13940</v>
      </c>
      <c r="BY508" s="2">
        <f t="shared" si="333"/>
        <v>-5635.6000000000113</v>
      </c>
      <c r="BZ508" s="2">
        <f t="shared" si="333"/>
        <v>740</v>
      </c>
      <c r="CA508" s="2">
        <f t="shared" si="333"/>
        <v>12660</v>
      </c>
      <c r="CB508" s="2">
        <f t="shared" si="333"/>
        <v>26740</v>
      </c>
      <c r="CC508" s="2">
        <f t="shared" si="333"/>
        <v>-20</v>
      </c>
      <c r="CD508" s="2">
        <f t="shared" si="333"/>
        <v>14050</v>
      </c>
      <c r="CE508" s="2">
        <f t="shared" si="333"/>
        <v>27020</v>
      </c>
      <c r="CF508" s="2">
        <f t="shared" si="333"/>
        <v>20191.649999999965</v>
      </c>
      <c r="CG508" s="2">
        <f t="shared" si="333"/>
        <v>41617.080000000024</v>
      </c>
      <c r="CH508" s="2">
        <f t="shared" si="333"/>
        <v>22660.61000000003</v>
      </c>
      <c r="CI508" s="2">
        <f t="shared" si="333"/>
        <v>-16620.000000000015</v>
      </c>
      <c r="CJ508" s="2">
        <f t="shared" si="333"/>
        <v>-72010</v>
      </c>
      <c r="CK508" s="6">
        <f t="shared" si="333"/>
        <v>23930</v>
      </c>
      <c r="CL508" s="6">
        <f t="shared" si="333"/>
        <v>252870</v>
      </c>
      <c r="CM508" s="2">
        <f t="shared" si="333"/>
        <v>41900</v>
      </c>
      <c r="CN508" s="2">
        <f t="shared" si="333"/>
        <v>159457.5</v>
      </c>
      <c r="CO508" s="6">
        <f t="shared" si="333"/>
        <v>19480</v>
      </c>
      <c r="CP508" s="2">
        <f t="shared" si="333"/>
        <v>12195</v>
      </c>
      <c r="CQ508" s="6">
        <f t="shared" si="333"/>
        <v>27770.000000000007</v>
      </c>
      <c r="CR508" s="6">
        <f t="shared" si="333"/>
        <v>-15710</v>
      </c>
      <c r="CV508" t="s">
        <v>64</v>
      </c>
      <c r="CW508" t="s">
        <v>581</v>
      </c>
      <c r="CX508" t="s">
        <v>18</v>
      </c>
      <c r="CY508" s="4">
        <v>43013</v>
      </c>
      <c r="CZ508" t="s">
        <v>67</v>
      </c>
      <c r="DA508" t="s">
        <v>68</v>
      </c>
      <c r="DB508">
        <v>9</v>
      </c>
      <c r="DC508">
        <v>62.15</v>
      </c>
      <c r="DD508" t="s">
        <v>69</v>
      </c>
      <c r="DE508" t="s">
        <v>70</v>
      </c>
      <c r="DF508">
        <v>559.35</v>
      </c>
    </row>
    <row r="509" spans="1:110" x14ac:dyDescent="0.25">
      <c r="AI509" t="s">
        <v>34</v>
      </c>
      <c r="AJ509" s="2"/>
      <c r="BG509" t="s">
        <v>34</v>
      </c>
      <c r="BH509" t="s">
        <v>49</v>
      </c>
      <c r="BP509" s="7">
        <f>ABS(BP507/BP506)-1</f>
        <v>0.21840043200733206</v>
      </c>
      <c r="BQ509" s="7">
        <f t="shared" ref="BQ509:CL509" si="334">ABS(BQ507/BQ506)-1</f>
        <v>0.76913771987034485</v>
      </c>
      <c r="BR509" s="7">
        <f t="shared" si="334"/>
        <v>0.28430668566429751</v>
      </c>
      <c r="BS509" s="7">
        <f t="shared" si="334"/>
        <v>0.39599310300048396</v>
      </c>
      <c r="BT509" s="7">
        <f t="shared" si="334"/>
        <v>-9.7325208257288409E-3</v>
      </c>
      <c r="BU509" s="7">
        <f t="shared" si="334"/>
        <v>6.0112236435590827E-2</v>
      </c>
      <c r="BV509" s="7">
        <f t="shared" si="334"/>
        <v>-0.18277603503432038</v>
      </c>
      <c r="BW509" s="7">
        <f t="shared" si="334"/>
        <v>-0.29011558728539866</v>
      </c>
      <c r="BX509" s="5">
        <f t="shared" si="334"/>
        <v>-1</v>
      </c>
      <c r="BY509" s="5">
        <f t="shared" si="334"/>
        <v>-0.83376730974079805</v>
      </c>
      <c r="BZ509" s="5">
        <f t="shared" si="334"/>
        <v>-1</v>
      </c>
      <c r="CA509" s="5">
        <f t="shared" si="334"/>
        <v>-1</v>
      </c>
      <c r="CB509" s="5">
        <f t="shared" si="334"/>
        <v>-1</v>
      </c>
      <c r="CC509" s="5">
        <f t="shared" si="334"/>
        <v>-1</v>
      </c>
      <c r="CD509" s="5">
        <f t="shared" si="334"/>
        <v>-1</v>
      </c>
      <c r="CE509" s="5">
        <f t="shared" si="334"/>
        <v>-1</v>
      </c>
      <c r="CF509" s="5">
        <f t="shared" si="334"/>
        <v>0.35387405216297618</v>
      </c>
      <c r="CG509" s="5">
        <f t="shared" si="334"/>
        <v>0.81904650944016444</v>
      </c>
      <c r="CH509" s="5">
        <f t="shared" si="334"/>
        <v>0.38918282908378155</v>
      </c>
      <c r="CI509" s="5">
        <f t="shared" si="334"/>
        <v>0.14683275907765725</v>
      </c>
      <c r="CJ509" s="5">
        <f t="shared" si="334"/>
        <v>0.11766532132877994</v>
      </c>
      <c r="CK509" s="5">
        <f t="shared" si="334"/>
        <v>4.1630423436902042E-2</v>
      </c>
      <c r="CL509" s="5">
        <f t="shared" si="334"/>
        <v>0.25472182768728668</v>
      </c>
      <c r="CQ509" s="8"/>
      <c r="CV509" t="s">
        <v>64</v>
      </c>
      <c r="CW509" t="s">
        <v>582</v>
      </c>
      <c r="CX509" t="s">
        <v>18</v>
      </c>
      <c r="CY509" s="4">
        <v>43014</v>
      </c>
      <c r="CZ509" t="s">
        <v>65</v>
      </c>
      <c r="DA509" t="s">
        <v>66</v>
      </c>
      <c r="DB509">
        <v>26</v>
      </c>
      <c r="DC509">
        <v>62.1</v>
      </c>
      <c r="DD509" t="s">
        <v>69</v>
      </c>
      <c r="DE509" t="s">
        <v>70</v>
      </c>
      <c r="DF509">
        <v>1614.6000000000001</v>
      </c>
    </row>
    <row r="510" spans="1:110" x14ac:dyDescent="0.25">
      <c r="AJ510" s="2"/>
      <c r="CV510" t="s">
        <v>64</v>
      </c>
      <c r="CW510" t="s">
        <v>583</v>
      </c>
      <c r="CX510" t="s">
        <v>18</v>
      </c>
      <c r="CY510" s="4">
        <v>43017</v>
      </c>
      <c r="CZ510" t="s">
        <v>67</v>
      </c>
      <c r="DA510" t="s">
        <v>68</v>
      </c>
      <c r="DB510">
        <v>13</v>
      </c>
      <c r="DC510">
        <v>61.89</v>
      </c>
      <c r="DD510" t="s">
        <v>69</v>
      </c>
      <c r="DE510" t="s">
        <v>70</v>
      </c>
      <c r="DF510">
        <v>804.57</v>
      </c>
    </row>
    <row r="511" spans="1:110" x14ac:dyDescent="0.25">
      <c r="AJ511" s="2"/>
      <c r="CV511" t="s">
        <v>64</v>
      </c>
      <c r="CW511" t="s">
        <v>584</v>
      </c>
      <c r="CX511" t="s">
        <v>18</v>
      </c>
      <c r="CY511" s="4">
        <v>43018</v>
      </c>
      <c r="CZ511" t="s">
        <v>67</v>
      </c>
      <c r="DA511" t="s">
        <v>68</v>
      </c>
      <c r="DB511">
        <v>7</v>
      </c>
      <c r="DC511">
        <v>62.02</v>
      </c>
      <c r="DD511" t="s">
        <v>69</v>
      </c>
      <c r="DE511" t="s">
        <v>70</v>
      </c>
      <c r="DF511">
        <v>434.14000000000004</v>
      </c>
    </row>
    <row r="512" spans="1:110" x14ac:dyDescent="0.25">
      <c r="AJ512" s="2"/>
      <c r="BN512" t="s">
        <v>72</v>
      </c>
      <c r="BO512" s="2">
        <f>SUM(BO$2:BO2)+AI2*B2</f>
        <v>0</v>
      </c>
      <c r="BP512" s="2">
        <f>SUM(BP$2:BP2)+AJ2*C2</f>
        <v>0</v>
      </c>
      <c r="BQ512" s="2">
        <f>SUM(BQ$2:BQ2)+AK2*D2</f>
        <v>0</v>
      </c>
      <c r="BR512" s="2">
        <f>SUM(BR$2:BR2)+AL2*E2</f>
        <v>0</v>
      </c>
      <c r="BS512" s="2">
        <f>SUM(BS$2:BS2)+AM2*F2</f>
        <v>0</v>
      </c>
      <c r="BT512" s="2">
        <f>SUM(BT$2:BT2)+AN2*G2</f>
        <v>0</v>
      </c>
      <c r="BU512" s="2">
        <f>SUM(BU$2:BU2)+AO2*H2</f>
        <v>0</v>
      </c>
      <c r="BV512" s="2">
        <f>SUM(BV$2:BV2)+AP2*I2</f>
        <v>0</v>
      </c>
      <c r="BW512" s="2">
        <f>SUM(BW$2:BW2)+AQ2*J2</f>
        <v>0</v>
      </c>
      <c r="BX512" s="2">
        <f>SUM(BX$2:BX2)+AR2*K2</f>
        <v>0</v>
      </c>
      <c r="BY512" s="2">
        <f>SUM(BY$2:BY2)+AS2*L2</f>
        <v>0</v>
      </c>
      <c r="BZ512" s="2">
        <f>SUM(BZ$2:BZ2)+AT2*M2</f>
        <v>0</v>
      </c>
      <c r="CA512" s="2">
        <f>SUM(CA$2:CA2)+AU2*N2</f>
        <v>0</v>
      </c>
      <c r="CB512" s="2">
        <f>SUM(CB$2:CB2)+AV2*O2</f>
        <v>0</v>
      </c>
      <c r="CC512" s="2">
        <f>SUM(CC$2:CC2)+AW2*P2</f>
        <v>0</v>
      </c>
      <c r="CD512" s="2">
        <f>SUM(CD$2:CD2)+AX2*Q2</f>
        <v>0</v>
      </c>
      <c r="CE512" s="2">
        <f>SUM(CE$2:CE2)+AY2*R2</f>
        <v>0</v>
      </c>
      <c r="CF512" s="2">
        <f>SUM(CF$2:CF2)+AZ2*S2</f>
        <v>0</v>
      </c>
      <c r="CG512" s="2">
        <f>SUM(CG$2:CG2)+BA2*T2</f>
        <v>0</v>
      </c>
      <c r="CH512" s="2">
        <f>SUM(CH$2:CH2)+BB2*U2</f>
        <v>0</v>
      </c>
      <c r="CI512" s="2">
        <f>SUM(CI$2:CI2)+BC2*V2</f>
        <v>0</v>
      </c>
      <c r="CJ512" s="2">
        <f>SUM(CJ$2:CJ2)+BD2*W2</f>
        <v>0</v>
      </c>
      <c r="CK512" s="2">
        <f>SUM(CK$2:CK2)+BE2*X2</f>
        <v>0</v>
      </c>
      <c r="CL512" s="2">
        <f>SUM(CL$2:CL2)+BF2*Y2</f>
        <v>0</v>
      </c>
      <c r="CM512" s="2">
        <f>SUM(CM$2:CM2)+BG2*Z2</f>
        <v>0</v>
      </c>
      <c r="CN512" s="2">
        <f>SUM(CN$2:CN2)+BH2*AA2</f>
        <v>0</v>
      </c>
      <c r="CO512" s="2">
        <f>SUM(CO$2:CO2)+BI2*AB2</f>
        <v>0</v>
      </c>
      <c r="CP512" s="2">
        <f>SUM(CP$2:CP2)+BJ2*AC2</f>
        <v>0</v>
      </c>
      <c r="CQ512" s="2">
        <f>SUM(CQ$2:CQ2)+BK2*AD2</f>
        <v>0</v>
      </c>
      <c r="CR512" s="2">
        <f>SUM(CR$2:CR2)+BL2*AE2</f>
        <v>0</v>
      </c>
      <c r="CV512" t="s">
        <v>64</v>
      </c>
      <c r="CW512" t="s">
        <v>585</v>
      </c>
      <c r="CX512" t="s">
        <v>18</v>
      </c>
      <c r="CY512" s="4">
        <v>43019</v>
      </c>
      <c r="CZ512" t="s">
        <v>65</v>
      </c>
      <c r="DA512" t="s">
        <v>66</v>
      </c>
      <c r="DB512">
        <v>19</v>
      </c>
      <c r="DC512">
        <v>61.36</v>
      </c>
      <c r="DD512" t="s">
        <v>69</v>
      </c>
      <c r="DE512" t="s">
        <v>70</v>
      </c>
      <c r="DF512">
        <v>1165.8399999999999</v>
      </c>
    </row>
    <row r="513" spans="36:110" x14ac:dyDescent="0.25">
      <c r="AJ513" s="2"/>
      <c r="BN513" s="1">
        <f>A3</f>
        <v>42739</v>
      </c>
      <c r="BO513" s="2">
        <f>SUM(BO$2:BO3)+AI3*B3</f>
        <v>-130</v>
      </c>
      <c r="BP513" s="2">
        <f>SUM(BP$2:BP3)+AJ3*C3</f>
        <v>1190</v>
      </c>
      <c r="BQ513" s="2">
        <f>SUM(BQ$2:BQ3)+AK3*D3</f>
        <v>1570</v>
      </c>
      <c r="BR513" s="2">
        <f>SUM(BR$2:BR3)+AL3*E3</f>
        <v>-400</v>
      </c>
      <c r="BS513" s="2">
        <f>SUM(BS$2:BS3)+AM3*F3</f>
        <v>-170</v>
      </c>
      <c r="BT513" s="2">
        <f>SUM(BT$2:BT3)+AN3*G3</f>
        <v>-30</v>
      </c>
      <c r="BU513" s="2">
        <f>SUM(BU$2:BU3)+AO3*H3</f>
        <v>1310</v>
      </c>
      <c r="BV513" s="2">
        <f>SUM(BV$2:BV3)+AP3*I3</f>
        <v>0</v>
      </c>
      <c r="BW513" s="2">
        <f>SUM(BW$2:BW3)+AQ3*J3</f>
        <v>1520</v>
      </c>
      <c r="BX513" s="2">
        <f>SUM(BX$2:BX3)+AR3*K3</f>
        <v>1140.0000000000146</v>
      </c>
      <c r="BY513" s="2">
        <f>SUM(BY$2:BY3)+AS3*L3</f>
        <v>1880</v>
      </c>
      <c r="BZ513" s="2">
        <f>SUM(BZ$2:BZ3)+AT3*M3</f>
        <v>-180</v>
      </c>
      <c r="CA513" s="2">
        <f>SUM(CA$2:CA3)+AU3*N3</f>
        <v>-180</v>
      </c>
      <c r="CB513" s="2">
        <f>SUM(CB$2:CB3)+AV3*O3</f>
        <v>150</v>
      </c>
      <c r="CC513" s="2">
        <f>SUM(CC$2:CC3)+AW3*P3</f>
        <v>-140</v>
      </c>
      <c r="CD513" s="2">
        <f>SUM(CD$2:CD3)+AX3*Q3</f>
        <v>-130</v>
      </c>
      <c r="CE513" s="2">
        <f>SUM(CE$2:CE3)+AY3*R3</f>
        <v>250</v>
      </c>
      <c r="CF513" s="2">
        <f>SUM(CF$2:CF3)+AZ3*S3</f>
        <v>-20</v>
      </c>
      <c r="CG513" s="2">
        <f>SUM(CG$2:CG3)+BA3*T3</f>
        <v>-270</v>
      </c>
      <c r="CH513" s="2">
        <f>SUM(CH$2:CH3)+BB3*U3</f>
        <v>1070</v>
      </c>
      <c r="CI513" s="2">
        <f>SUM(CI$2:CI3)+BC3*V3</f>
        <v>270</v>
      </c>
      <c r="CJ513" s="2">
        <f>SUM(CJ$2:CJ3)+BD3*W3</f>
        <v>280</v>
      </c>
      <c r="CK513" s="2">
        <f>SUM(CK$2:CK3)+BE3*X3</f>
        <v>-620</v>
      </c>
      <c r="CL513" s="2">
        <f>SUM(CL$2:CL3)+BF3*Y3</f>
        <v>450</v>
      </c>
      <c r="CM513" s="2">
        <f>SUM(CM$2:CM3)+BG3*Z3</f>
        <v>70</v>
      </c>
      <c r="CN513" s="2">
        <f>SUM(CN$2:CN3)+BH3*AA3</f>
        <v>640</v>
      </c>
      <c r="CO513" s="2">
        <f>SUM(CO$2:CO3)+BI3*AB3</f>
        <v>-50</v>
      </c>
      <c r="CP513" s="2">
        <f>SUM(CP$2:CP3)+BJ3*AC3</f>
        <v>20</v>
      </c>
      <c r="CQ513" s="2">
        <f>SUM(CQ$2:CQ3)+BK3*AD3</f>
        <v>380.00000000000728</v>
      </c>
      <c r="CR513" s="2">
        <f>SUM(CR$2:CR3)+BL3*AE3</f>
        <v>-920</v>
      </c>
      <c r="CV513" t="s">
        <v>64</v>
      </c>
      <c r="CW513" t="s">
        <v>586</v>
      </c>
      <c r="CX513" t="s">
        <v>18</v>
      </c>
      <c r="CY513" s="4">
        <v>43020</v>
      </c>
      <c r="CZ513" t="s">
        <v>65</v>
      </c>
      <c r="DA513" t="s">
        <v>66</v>
      </c>
      <c r="DB513">
        <v>27</v>
      </c>
      <c r="DC513">
        <v>61.41</v>
      </c>
      <c r="DD513" t="s">
        <v>69</v>
      </c>
      <c r="DE513" t="s">
        <v>70</v>
      </c>
      <c r="DF513">
        <v>1658.07</v>
      </c>
    </row>
    <row r="514" spans="36:110" x14ac:dyDescent="0.25">
      <c r="AJ514" s="2"/>
      <c r="BN514" s="1">
        <f t="shared" ref="BN514:BN577" si="335">A4</f>
        <v>42740</v>
      </c>
      <c r="BO514" s="2">
        <f>SUM(BO$2:BO4)+AI4*B4</f>
        <v>2720</v>
      </c>
      <c r="BP514" s="2">
        <f>SUM(BP$2:BP4)+AJ4*C4</f>
        <v>280</v>
      </c>
      <c r="BQ514" s="2">
        <f>SUM(BQ$2:BQ4)+AK4*D4</f>
        <v>1660</v>
      </c>
      <c r="BR514" s="2">
        <f>SUM(BR$2:BR4)+AL4*E4</f>
        <v>-940</v>
      </c>
      <c r="BS514" s="2">
        <f>SUM(BS$2:BS4)+AM4*F4</f>
        <v>-110</v>
      </c>
      <c r="BT514" s="2">
        <f>SUM(BT$2:BT4)+AN4*G4</f>
        <v>-500</v>
      </c>
      <c r="BU514" s="2">
        <f>SUM(BU$2:BU4)+AO4*H4</f>
        <v>1260</v>
      </c>
      <c r="BV514" s="2">
        <f>SUM(BV$2:BV4)+AP4*I4</f>
        <v>0</v>
      </c>
      <c r="BW514" s="2">
        <f>SUM(BW$2:BW4)+AQ4*J4</f>
        <v>-240</v>
      </c>
      <c r="BX514" s="2">
        <f>SUM(BX$2:BX4)+AR4*K4</f>
        <v>-390</v>
      </c>
      <c r="BY514" s="2">
        <f>SUM(BY$2:BY4)+AS4*L4</f>
        <v>1370</v>
      </c>
      <c r="BZ514" s="2">
        <f>SUM(BZ$2:BZ4)+AT4*M4</f>
        <v>-230</v>
      </c>
      <c r="CA514" s="2">
        <f>SUM(CA$2:CA4)+AU4*N4</f>
        <v>970</v>
      </c>
      <c r="CB514" s="2">
        <f>SUM(CB$2:CB4)+AV4*O4</f>
        <v>-610</v>
      </c>
      <c r="CC514" s="2">
        <f>SUM(CC$2:CC4)+AW4*P4</f>
        <v>-50</v>
      </c>
      <c r="CD514" s="2">
        <f>SUM(CD$2:CD4)+AX4*Q4</f>
        <v>80</v>
      </c>
      <c r="CE514" s="2">
        <f>SUM(CE$2:CE4)+AY4*R4</f>
        <v>-330</v>
      </c>
      <c r="CF514" s="2">
        <f>SUM(CF$2:CF4)+AZ4*S4</f>
        <v>-39.159999999988941</v>
      </c>
      <c r="CG514" s="2">
        <f>SUM(CG$2:CG4)+BA4*T4</f>
        <v>-270</v>
      </c>
      <c r="CH514" s="2">
        <f>SUM(CH$2:CH4)+BB4*U4</f>
        <v>1059.7500000000073</v>
      </c>
      <c r="CI514" s="2">
        <f>SUM(CI$2:CI4)+BC4*V4</f>
        <v>560</v>
      </c>
      <c r="CJ514" s="2">
        <f>SUM(CJ$2:CJ4)+BD4*W4</f>
        <v>800</v>
      </c>
      <c r="CK514" s="2">
        <f>SUM(CK$2:CK4)+BE4*X4</f>
        <v>-9770</v>
      </c>
      <c r="CL514" s="2">
        <f>SUM(CL$2:CL4)+BF4*Y4</f>
        <v>1229.9999999999418</v>
      </c>
      <c r="CM514" s="2">
        <f>SUM(CM$2:CM4)+BG4*Z4</f>
        <v>930</v>
      </c>
      <c r="CN514" s="2">
        <f>SUM(CN$2:CN4)+BH4*AA4</f>
        <v>2965</v>
      </c>
      <c r="CO514" s="2">
        <f>SUM(CO$2:CO4)+BI4*AB4</f>
        <v>280</v>
      </c>
      <c r="CP514" s="2">
        <f>SUM(CP$2:CP4)+BJ4*AC4</f>
        <v>60</v>
      </c>
      <c r="CQ514" s="2">
        <f>SUM(CQ$2:CQ4)+BK4*AD4</f>
        <v>520.00000000000728</v>
      </c>
      <c r="CR514" s="2">
        <f>SUM(CR$2:CR4)+BL4*AE4</f>
        <v>-2140</v>
      </c>
      <c r="CV514" t="s">
        <v>64</v>
      </c>
      <c r="CW514" t="s">
        <v>587</v>
      </c>
      <c r="CX514" t="s">
        <v>18</v>
      </c>
      <c r="CY514" s="4">
        <v>43021</v>
      </c>
      <c r="CZ514" t="s">
        <v>67</v>
      </c>
      <c r="DA514" t="s">
        <v>68</v>
      </c>
      <c r="DB514">
        <v>33</v>
      </c>
      <c r="DC514">
        <v>60.99</v>
      </c>
      <c r="DD514" t="s">
        <v>69</v>
      </c>
      <c r="DE514" t="s">
        <v>70</v>
      </c>
      <c r="DF514">
        <v>2012.67</v>
      </c>
    </row>
    <row r="515" spans="36:110" x14ac:dyDescent="0.25">
      <c r="AJ515" s="2"/>
      <c r="BN515" s="1">
        <f t="shared" si="335"/>
        <v>42741</v>
      </c>
      <c r="BO515" s="2">
        <f>SUM(BO$2:BO5)+AI5*B5</f>
        <v>9020</v>
      </c>
      <c r="BP515" s="2">
        <f>SUM(BP$2:BP5)+AJ5*C5</f>
        <v>420</v>
      </c>
      <c r="BQ515" s="2">
        <f>SUM(BQ$2:BQ5)+AK5*D5</f>
        <v>2030</v>
      </c>
      <c r="BR515" s="2">
        <f>SUM(BR$2:BR5)+AL5*E5</f>
        <v>-900</v>
      </c>
      <c r="BS515" s="2">
        <f>SUM(BS$2:BS5)+AM5*F5</f>
        <v>-50</v>
      </c>
      <c r="BT515" s="2">
        <f>SUM(BT$2:BT5)+AN5*G5</f>
        <v>-930</v>
      </c>
      <c r="BU515" s="2">
        <f>SUM(BU$2:BU5)+AO5*H5</f>
        <v>2810</v>
      </c>
      <c r="BV515" s="2">
        <f>SUM(BV$2:BV5)+AP5*I5</f>
        <v>0</v>
      </c>
      <c r="BW515" s="2">
        <f>SUM(BW$2:BW5)+AQ5*J5</f>
        <v>3250</v>
      </c>
      <c r="BX515" s="2">
        <f>SUM(BX$2:BX5)+AR5*K5</f>
        <v>-740</v>
      </c>
      <c r="BY515" s="2">
        <f>SUM(BY$2:BY5)+AS5*L5</f>
        <v>2130</v>
      </c>
      <c r="BZ515" s="2">
        <f>SUM(BZ$2:BZ5)+AT5*M5</f>
        <v>-110</v>
      </c>
      <c r="CA515" s="2">
        <f>SUM(CA$2:CA5)+AU5*N5</f>
        <v>440</v>
      </c>
      <c r="CB515" s="2">
        <f>SUM(CB$2:CB5)+AV5*O5</f>
        <v>-600</v>
      </c>
      <c r="CC515" s="2">
        <f>SUM(CC$2:CC5)+AW5*P5</f>
        <v>-60</v>
      </c>
      <c r="CD515" s="2">
        <f>SUM(CD$2:CD5)+AX5*Q5</f>
        <v>1090</v>
      </c>
      <c r="CE515" s="2">
        <f>SUM(CE$2:CE5)+AY5*R5</f>
        <v>170</v>
      </c>
      <c r="CF515" s="2">
        <f>SUM(CF$2:CF5)+AZ5*S5</f>
        <v>105.89000000000669</v>
      </c>
      <c r="CG515" s="2">
        <f>SUM(CG$2:CG5)+BA5*T5</f>
        <v>234.40000000000146</v>
      </c>
      <c r="CH515" s="2">
        <f>SUM(CH$2:CH5)+BB5*U5</f>
        <v>1938.7200000000012</v>
      </c>
      <c r="CI515" s="2">
        <f>SUM(CI$2:CI5)+BC5*V5</f>
        <v>440</v>
      </c>
      <c r="CJ515" s="2">
        <f>SUM(CJ$2:CJ5)+BD5*W5</f>
        <v>770</v>
      </c>
      <c r="CK515" s="2">
        <f>SUM(CK$2:CK5)+BE5*X5</f>
        <v>-10070</v>
      </c>
      <c r="CL515" s="2">
        <f>SUM(CL$2:CL5)+BF5*Y5</f>
        <v>1890.0000000000582</v>
      </c>
      <c r="CM515" s="2">
        <f>SUM(CM$2:CM5)+BG5*Z5</f>
        <v>3210</v>
      </c>
      <c r="CN515" s="2">
        <f>SUM(CN$2:CN5)+BH5*AA5</f>
        <v>5715</v>
      </c>
      <c r="CO515" s="2">
        <f>SUM(CO$2:CO5)+BI5*AB5</f>
        <v>-1940</v>
      </c>
      <c r="CP515" s="2">
        <f>SUM(CP$2:CP5)+BJ5*AC5</f>
        <v>130</v>
      </c>
      <c r="CQ515" s="2">
        <f>SUM(CQ$2:CQ5)+BK5*AD5</f>
        <v>-379.99999999999272</v>
      </c>
      <c r="CR515" s="2">
        <f>SUM(CR$2:CR5)+BL5*AE5</f>
        <v>-2190</v>
      </c>
      <c r="CV515" t="s">
        <v>64</v>
      </c>
      <c r="CW515" t="s">
        <v>588</v>
      </c>
      <c r="CX515" t="s">
        <v>18</v>
      </c>
      <c r="CY515" s="4">
        <v>43024</v>
      </c>
      <c r="CZ515" t="s">
        <v>65</v>
      </c>
      <c r="DA515" t="s">
        <v>66</v>
      </c>
      <c r="DB515">
        <v>4</v>
      </c>
      <c r="DC515">
        <v>60.94</v>
      </c>
      <c r="DD515" t="s">
        <v>69</v>
      </c>
      <c r="DE515" t="s">
        <v>70</v>
      </c>
      <c r="DF515">
        <v>243.76</v>
      </c>
    </row>
    <row r="516" spans="36:110" x14ac:dyDescent="0.25">
      <c r="AJ516" s="2"/>
      <c r="BN516" s="1">
        <f t="shared" si="335"/>
        <v>42744</v>
      </c>
      <c r="BO516" s="2">
        <f>SUM(BO$2:BO6)+AI6*B6</f>
        <v>11620</v>
      </c>
      <c r="BP516" s="2">
        <f>SUM(BP$2:BP6)+AJ6*C6</f>
        <v>800</v>
      </c>
      <c r="BQ516" s="2">
        <f>SUM(BQ$2:BQ6)+AK6*D6</f>
        <v>1290</v>
      </c>
      <c r="BR516" s="2">
        <f>SUM(BR$2:BR6)+AL6*E6</f>
        <v>-1530</v>
      </c>
      <c r="BS516" s="2">
        <f>SUM(BS$2:BS6)+AM6*F6</f>
        <v>-100</v>
      </c>
      <c r="BT516" s="2">
        <f>SUM(BT$2:BT6)+AN6*G6</f>
        <v>-1840</v>
      </c>
      <c r="BU516" s="2">
        <f>SUM(BU$2:BU6)+AO6*H6</f>
        <v>2210</v>
      </c>
      <c r="BV516" s="2">
        <f>SUM(BV$2:BV6)+AP6*I6</f>
        <v>0</v>
      </c>
      <c r="BW516" s="2">
        <f>SUM(BW$2:BW6)+AQ6*J6</f>
        <v>1290</v>
      </c>
      <c r="BX516" s="2">
        <f>SUM(BX$2:BX6)+AR6*K6</f>
        <v>0</v>
      </c>
      <c r="BY516" s="2">
        <f>SUM(BY$2:BY6)+AS6*L6</f>
        <v>420</v>
      </c>
      <c r="BZ516" s="2">
        <f>SUM(BZ$2:BZ6)+AT6*M6</f>
        <v>10</v>
      </c>
      <c r="CA516" s="2">
        <f>SUM(CA$2:CA6)+AU6*N6</f>
        <v>420</v>
      </c>
      <c r="CB516" s="2">
        <f>SUM(CB$2:CB6)+AV6*O6</f>
        <v>-540</v>
      </c>
      <c r="CC516" s="2">
        <f>SUM(CC$2:CC6)+AW6*P6</f>
        <v>-450</v>
      </c>
      <c r="CD516" s="2">
        <f>SUM(CD$2:CD6)+AX6*Q6</f>
        <v>770</v>
      </c>
      <c r="CE516" s="2">
        <f>SUM(CE$2:CE6)+AY6*R6</f>
        <v>-740</v>
      </c>
      <c r="CF516" s="2">
        <f>SUM(CF$2:CF6)+AZ6*S6</f>
        <v>866.39000000000669</v>
      </c>
      <c r="CG516" s="2">
        <f>SUM(CG$2:CG6)+BA6*T6</f>
        <v>59.789999999993597</v>
      </c>
      <c r="CH516" s="2">
        <f>SUM(CH$2:CH6)+BB6*U6</f>
        <v>1381.2800000000061</v>
      </c>
      <c r="CI516" s="2">
        <f>SUM(CI$2:CI6)+BC6*V6</f>
        <v>430</v>
      </c>
      <c r="CJ516" s="2">
        <f>SUM(CJ$2:CJ6)+BD6*W6</f>
        <v>180</v>
      </c>
      <c r="CK516" s="2">
        <f>SUM(CK$2:CK6)+BE6*X6</f>
        <v>-14620</v>
      </c>
      <c r="CL516" s="2">
        <f>SUM(CL$2:CL6)+BF6*Y6</f>
        <v>569.99999999994179</v>
      </c>
      <c r="CM516" s="2">
        <f>SUM(CM$2:CM6)+BG6*Z6</f>
        <v>1210</v>
      </c>
      <c r="CN516" s="2">
        <f>SUM(CN$2:CN6)+BH6*AA6</f>
        <v>4590</v>
      </c>
      <c r="CO516" s="2">
        <f>SUM(CO$2:CO6)+BI6*AB6</f>
        <v>-3500</v>
      </c>
      <c r="CP516" s="2">
        <f>SUM(CP$2:CP6)+BJ6*AC6</f>
        <v>-390</v>
      </c>
      <c r="CQ516" s="2">
        <f>SUM(CQ$2:CQ6)+BK6*AD6</f>
        <v>50.000000000014552</v>
      </c>
      <c r="CR516" s="2">
        <f>SUM(CR$2:CR6)+BL6*AE6</f>
        <v>-3520</v>
      </c>
      <c r="CV516" t="s">
        <v>64</v>
      </c>
      <c r="CW516" t="s">
        <v>589</v>
      </c>
      <c r="CX516" t="s">
        <v>18</v>
      </c>
      <c r="CY516" s="4">
        <v>43025</v>
      </c>
      <c r="CZ516" t="s">
        <v>67</v>
      </c>
      <c r="DA516" t="s">
        <v>68</v>
      </c>
      <c r="DB516">
        <v>34</v>
      </c>
      <c r="DC516">
        <v>60.82</v>
      </c>
      <c r="DD516" t="s">
        <v>69</v>
      </c>
      <c r="DE516" t="s">
        <v>70</v>
      </c>
      <c r="DF516">
        <v>2067.88</v>
      </c>
    </row>
    <row r="517" spans="36:110" x14ac:dyDescent="0.25">
      <c r="AJ517" s="2"/>
      <c r="BN517" s="1">
        <f t="shared" si="335"/>
        <v>42745</v>
      </c>
      <c r="BO517" s="2">
        <f>SUM(BO$2:BO7)+AI7*B7</f>
        <v>11800</v>
      </c>
      <c r="BP517" s="2">
        <f>SUM(BP$2:BP7)+AJ7*C7</f>
        <v>1570</v>
      </c>
      <c r="BQ517" s="2">
        <f>SUM(BQ$2:BQ7)+AK7*D7</f>
        <v>2000</v>
      </c>
      <c r="BR517" s="2">
        <f>SUM(BR$2:BR7)+AL7*E7</f>
        <v>-160</v>
      </c>
      <c r="BS517" s="2">
        <f>SUM(BS$2:BS7)+AM7*F7</f>
        <v>90</v>
      </c>
      <c r="BT517" s="2">
        <f>SUM(BT$2:BT7)+AN7*G7</f>
        <v>-2650</v>
      </c>
      <c r="BU517" s="2">
        <f>SUM(BU$2:BU7)+AO7*H7</f>
        <v>2230</v>
      </c>
      <c r="BV517" s="2">
        <f>SUM(BV$2:BV7)+AP7*I7</f>
        <v>0</v>
      </c>
      <c r="BW517" s="2">
        <f>SUM(BW$2:BW7)+AQ7*J7</f>
        <v>980</v>
      </c>
      <c r="BX517" s="2">
        <f>SUM(BX$2:BX7)+AR7*K7</f>
        <v>1710</v>
      </c>
      <c r="BY517" s="2">
        <f>SUM(BY$2:BY7)+AS7*L7</f>
        <v>-1520</v>
      </c>
      <c r="BZ517" s="2">
        <f>SUM(BZ$2:BZ7)+AT7*M7</f>
        <v>-60</v>
      </c>
      <c r="CA517" s="2">
        <f>SUM(CA$2:CA7)+AU7*N7</f>
        <v>310</v>
      </c>
      <c r="CB517" s="2">
        <f>SUM(CB$2:CB7)+AV7*O7</f>
        <v>-300</v>
      </c>
      <c r="CC517" s="2">
        <f>SUM(CC$2:CC7)+AW7*P7</f>
        <v>-710</v>
      </c>
      <c r="CD517" s="2">
        <f>SUM(CD$2:CD7)+AX7*Q7</f>
        <v>600</v>
      </c>
      <c r="CE517" s="2">
        <f>SUM(CE$2:CE7)+AY7*R7</f>
        <v>-1390</v>
      </c>
      <c r="CF517" s="2">
        <f>SUM(CF$2:CF7)+AZ7*S7</f>
        <v>-198.09999999999854</v>
      </c>
      <c r="CG517" s="2">
        <f>SUM(CG$2:CG7)+BA7*T7</f>
        <v>39.489999999997963</v>
      </c>
      <c r="CH517" s="2">
        <f>SUM(CH$2:CH7)+BB7*U7</f>
        <v>1118.1600000000035</v>
      </c>
      <c r="CI517" s="2">
        <f>SUM(CI$2:CI7)+BC7*V7</f>
        <v>410</v>
      </c>
      <c r="CJ517" s="2">
        <f>SUM(CJ$2:CJ7)+BD7*W7</f>
        <v>-660</v>
      </c>
      <c r="CK517" s="2">
        <f>SUM(CK$2:CK7)+BE7*X7</f>
        <v>-15270</v>
      </c>
      <c r="CL517" s="2">
        <f>SUM(CL$2:CL7)+BF7*Y7</f>
        <v>-510</v>
      </c>
      <c r="CM517" s="2">
        <f>SUM(CM$2:CM7)+BG7*Z7</f>
        <v>750</v>
      </c>
      <c r="CN517" s="2">
        <f>SUM(CN$2:CN7)+BH7*AA7</f>
        <v>3490</v>
      </c>
      <c r="CO517" s="2">
        <f>SUM(CO$2:CO7)+BI7*AB7</f>
        <v>-3290</v>
      </c>
      <c r="CP517" s="2">
        <f>SUM(CP$2:CP7)+BJ7*AC7</f>
        <v>-280</v>
      </c>
      <c r="CQ517" s="2">
        <f>SUM(CQ$2:CQ7)+BK7*AD7</f>
        <v>-409.99999999999272</v>
      </c>
      <c r="CR517" s="2">
        <f>SUM(CR$2:CR7)+BL7*AE7</f>
        <v>-4540</v>
      </c>
      <c r="CV517" t="s">
        <v>64</v>
      </c>
      <c r="CW517" t="s">
        <v>590</v>
      </c>
      <c r="CX517" t="s">
        <v>18</v>
      </c>
      <c r="CY517" s="4">
        <v>43026</v>
      </c>
      <c r="CZ517" t="s">
        <v>65</v>
      </c>
      <c r="DA517" t="s">
        <v>66</v>
      </c>
      <c r="DB517">
        <v>41</v>
      </c>
      <c r="DC517">
        <v>61.1</v>
      </c>
      <c r="DD517" t="s">
        <v>69</v>
      </c>
      <c r="DE517" t="s">
        <v>70</v>
      </c>
      <c r="DF517">
        <v>2505.1</v>
      </c>
    </row>
    <row r="518" spans="36:110" x14ac:dyDescent="0.25">
      <c r="AJ518" s="2"/>
      <c r="BM518" s="1"/>
      <c r="BN518" s="1">
        <f t="shared" si="335"/>
        <v>42746</v>
      </c>
      <c r="BO518" s="2">
        <f>SUM(BO$2:BO8)+AI8*B8</f>
        <v>12730</v>
      </c>
      <c r="BP518" s="2">
        <f>SUM(BP$2:BP8)+AJ8*C8</f>
        <v>1830</v>
      </c>
      <c r="BQ518" s="2">
        <f>SUM(BQ$2:BQ8)+AK8*D8</f>
        <v>2310</v>
      </c>
      <c r="BR518" s="2">
        <f>SUM(BR$2:BR8)+AL8*E8</f>
        <v>620</v>
      </c>
      <c r="BS518" s="2">
        <f>SUM(BS$2:BS8)+AM8*F8</f>
        <v>-130</v>
      </c>
      <c r="BT518" s="2">
        <f>SUM(BT$2:BT8)+AN8*G8</f>
        <v>-1760</v>
      </c>
      <c r="BU518" s="2">
        <f>SUM(BU$2:BU8)+AO8*H8</f>
        <v>3250</v>
      </c>
      <c r="BV518" s="2">
        <f>SUM(BV$2:BV8)+AP8*I8</f>
        <v>0</v>
      </c>
      <c r="BW518" s="2">
        <f>SUM(BW$2:BW8)+AQ8*J8</f>
        <v>4080</v>
      </c>
      <c r="BX518" s="2">
        <f>SUM(BX$2:BX8)+AR8*K8</f>
        <v>1330.0000000000146</v>
      </c>
      <c r="BY518" s="2">
        <f>SUM(BY$2:BY8)+AS8*L8</f>
        <v>510</v>
      </c>
      <c r="BZ518" s="2">
        <f>SUM(BZ$2:BZ8)+AT8*M8</f>
        <v>330</v>
      </c>
      <c r="CA518" s="2">
        <f>SUM(CA$2:CA8)+AU8*N8</f>
        <v>-1050</v>
      </c>
      <c r="CB518" s="2">
        <f>SUM(CB$2:CB8)+AV8*O8</f>
        <v>320</v>
      </c>
      <c r="CC518" s="2">
        <f>SUM(CC$2:CC8)+AW8*P8</f>
        <v>-700</v>
      </c>
      <c r="CD518" s="2">
        <f>SUM(CD$2:CD8)+AX8*Q8</f>
        <v>1200</v>
      </c>
      <c r="CE518" s="2">
        <f>SUM(CE$2:CE8)+AY8*R8</f>
        <v>-160</v>
      </c>
      <c r="CF518" s="2">
        <f>SUM(CF$2:CF8)+AZ8*S8</f>
        <v>1485.9600000000137</v>
      </c>
      <c r="CG518" s="2">
        <f>SUM(CG$2:CG8)+BA8*T8</f>
        <v>588.38999999999214</v>
      </c>
      <c r="CH518" s="2">
        <f>SUM(CH$2:CH8)+BB8*U8</f>
        <v>727.43000000000757</v>
      </c>
      <c r="CI518" s="2">
        <f>SUM(CI$2:CI8)+BC8*V8</f>
        <v>-160</v>
      </c>
      <c r="CJ518" s="2">
        <f>SUM(CJ$2:CJ8)+BD8*W8</f>
        <v>-420</v>
      </c>
      <c r="CK518" s="2">
        <f>SUM(CK$2:CK8)+BE8*X8</f>
        <v>-13020</v>
      </c>
      <c r="CL518" s="2">
        <f>SUM(CL$2:CL8)+BF8*Y8</f>
        <v>390.00000000005821</v>
      </c>
      <c r="CM518" s="2">
        <f>SUM(CM$2:CM8)+BG8*Z8</f>
        <v>250</v>
      </c>
      <c r="CN518" s="2">
        <f>SUM(CN$2:CN8)+BH8*AA8</f>
        <v>4715</v>
      </c>
      <c r="CO518" s="2">
        <f>SUM(CO$2:CO8)+BI8*AB8</f>
        <v>-4100</v>
      </c>
      <c r="CP518" s="2">
        <f>SUM(CP$2:CP8)+BJ8*AC8</f>
        <v>1400</v>
      </c>
      <c r="CQ518" s="2">
        <f>SUM(CQ$2:CQ8)+BK8*AD8</f>
        <v>-129.99999999999272</v>
      </c>
      <c r="CR518" s="2">
        <f>SUM(CR$2:CR8)+BL8*AE8</f>
        <v>-3730</v>
      </c>
      <c r="CV518" t="s">
        <v>64</v>
      </c>
      <c r="CW518" t="s">
        <v>591</v>
      </c>
      <c r="CX518" t="s">
        <v>18</v>
      </c>
      <c r="CY518" s="4">
        <v>43027</v>
      </c>
      <c r="CZ518" t="s">
        <v>67</v>
      </c>
      <c r="DA518" t="s">
        <v>68</v>
      </c>
      <c r="DB518">
        <v>27</v>
      </c>
      <c r="DC518">
        <v>61.33</v>
      </c>
      <c r="DD518" t="s">
        <v>69</v>
      </c>
      <c r="DE518" t="s">
        <v>70</v>
      </c>
      <c r="DF518">
        <v>1655.9099999999999</v>
      </c>
    </row>
    <row r="519" spans="36:110" x14ac:dyDescent="0.25">
      <c r="AJ519" s="2"/>
      <c r="BN519" s="1">
        <f t="shared" si="335"/>
        <v>42747</v>
      </c>
      <c r="BO519" s="2">
        <f>SUM(BO$2:BO9)+AI9*B9</f>
        <v>11995</v>
      </c>
      <c r="BP519" s="2">
        <f>SUM(BP$2:BP9)+AJ9*C9</f>
        <v>1800</v>
      </c>
      <c r="BQ519" s="2">
        <f>SUM(BQ$2:BQ9)+AK9*D9</f>
        <v>1260</v>
      </c>
      <c r="BR519" s="2">
        <f>SUM(BR$2:BR9)+AL9*E9</f>
        <v>0</v>
      </c>
      <c r="BS519" s="2">
        <f>SUM(BS$2:BS9)+AM9*F9</f>
        <v>-230</v>
      </c>
      <c r="BT519" s="2">
        <f>SUM(BT$2:BT9)+AN9*G9</f>
        <v>-1550</v>
      </c>
      <c r="BU519" s="2">
        <f>SUM(BU$2:BU9)+AO9*H9</f>
        <v>1400</v>
      </c>
      <c r="BV519" s="2">
        <f>SUM(BV$2:BV9)+AP9*I9</f>
        <v>0</v>
      </c>
      <c r="BW519" s="2">
        <f>SUM(BW$2:BW9)+AQ9*J9</f>
        <v>2210</v>
      </c>
      <c r="BX519" s="2">
        <f>SUM(BX$2:BX9)+AR9*K9</f>
        <v>730.00000000001455</v>
      </c>
      <c r="BY519" s="2">
        <f>SUM(BY$2:BY9)+AS9*L9</f>
        <v>690</v>
      </c>
      <c r="BZ519" s="2">
        <f>SUM(BZ$2:BZ9)+AT9*M9</f>
        <v>110</v>
      </c>
      <c r="CA519" s="2">
        <f>SUM(CA$2:CA9)+AU9*N9</f>
        <v>-1150</v>
      </c>
      <c r="CB519" s="2">
        <f>SUM(CB$2:CB9)+AV9*O9</f>
        <v>-480</v>
      </c>
      <c r="CC519" s="2">
        <f>SUM(CC$2:CC9)+AW9*P9</f>
        <v>-800</v>
      </c>
      <c r="CD519" s="2">
        <f>SUM(CD$2:CD9)+AX9*Q9</f>
        <v>2360</v>
      </c>
      <c r="CE519" s="2">
        <f>SUM(CE$2:CE9)+AY9*R9</f>
        <v>-580</v>
      </c>
      <c r="CF519" s="2">
        <f>SUM(CF$2:CF9)+AZ9*S9</f>
        <v>2008.1400000000067</v>
      </c>
      <c r="CG519" s="2">
        <f>SUM(CG$2:CG9)+BA9*T9</f>
        <v>-12.489999999997963</v>
      </c>
      <c r="CH519" s="2">
        <f>SUM(CH$2:CH9)+BB9*U9</f>
        <v>463.82000000001426</v>
      </c>
      <c r="CI519" s="2">
        <f>SUM(CI$2:CI9)+BC9*V9</f>
        <v>-370</v>
      </c>
      <c r="CJ519" s="2">
        <f>SUM(CJ$2:CJ9)+BD9*W9</f>
        <v>-340</v>
      </c>
      <c r="CK519" s="2">
        <f>SUM(CK$2:CK9)+BE9*X9</f>
        <v>-17320</v>
      </c>
      <c r="CL519" s="2">
        <f>SUM(CL$2:CL9)+BF9*Y9</f>
        <v>1740</v>
      </c>
      <c r="CM519" s="2">
        <f>SUM(CM$2:CM9)+BG9*Z9</f>
        <v>-90</v>
      </c>
      <c r="CN519" s="2">
        <f>SUM(CN$2:CN9)+BH9*AA9</f>
        <v>3640</v>
      </c>
      <c r="CO519" s="2">
        <f>SUM(CO$2:CO9)+BI9*AB9</f>
        <v>-3500</v>
      </c>
      <c r="CP519" s="2">
        <f>SUM(CP$2:CP9)+BJ9*AC9</f>
        <v>910</v>
      </c>
      <c r="CQ519" s="2">
        <f>SUM(CQ$2:CQ9)+BK9*AD9</f>
        <v>-659.99999999999272</v>
      </c>
      <c r="CR519" s="2">
        <f>SUM(CR$2:CR9)+BL9*AE9</f>
        <v>-4160</v>
      </c>
      <c r="CV519" t="s">
        <v>64</v>
      </c>
      <c r="CW519" t="s">
        <v>592</v>
      </c>
      <c r="CX519" t="s">
        <v>18</v>
      </c>
      <c r="CY519" s="4">
        <v>43028</v>
      </c>
      <c r="CZ519" t="s">
        <v>65</v>
      </c>
      <c r="DA519" t="s">
        <v>66</v>
      </c>
      <c r="DB519">
        <v>28</v>
      </c>
      <c r="DC519">
        <v>61.46</v>
      </c>
      <c r="DD519" t="s">
        <v>69</v>
      </c>
      <c r="DE519" t="s">
        <v>70</v>
      </c>
      <c r="DF519">
        <v>1720.88</v>
      </c>
    </row>
    <row r="520" spans="36:110" x14ac:dyDescent="0.25">
      <c r="AJ520" s="2"/>
      <c r="BN520" s="1">
        <f t="shared" si="335"/>
        <v>42748</v>
      </c>
      <c r="BO520" s="2">
        <f>SUM(BO$2:BO10)+AI10*B10</f>
        <v>11895</v>
      </c>
      <c r="BP520" s="2">
        <f>SUM(BP$2:BP10)+AJ10*C10</f>
        <v>1540</v>
      </c>
      <c r="BQ520" s="2">
        <f>SUM(BQ$2:BQ10)+AK10*D10</f>
        <v>1770</v>
      </c>
      <c r="BR520" s="2">
        <f>SUM(BR$2:BR10)+AL10*E10</f>
        <v>460</v>
      </c>
      <c r="BS520" s="2">
        <f>SUM(BS$2:BS10)+AM10*F10</f>
        <v>-200</v>
      </c>
      <c r="BT520" s="2">
        <f>SUM(BT$2:BT10)+AN10*G10</f>
        <v>-1350</v>
      </c>
      <c r="BU520" s="2">
        <f>SUM(BU$2:BU10)+AO10*H10</f>
        <v>1920</v>
      </c>
      <c r="BV520" s="2">
        <f>SUM(BV$2:BV10)+AP10*I10</f>
        <v>0</v>
      </c>
      <c r="BW520" s="2">
        <f>SUM(BW$2:BW10)+AQ10*J10</f>
        <v>2660</v>
      </c>
      <c r="BX520" s="2">
        <f>SUM(BX$2:BX10)+AR10*K10</f>
        <v>700.00000000001455</v>
      </c>
      <c r="BY520" s="2">
        <f>SUM(BY$2:BY10)+AS10*L10</f>
        <v>140</v>
      </c>
      <c r="BZ520" s="2">
        <f>SUM(BZ$2:BZ10)+AT10*M10</f>
        <v>180</v>
      </c>
      <c r="CA520" s="2">
        <f>SUM(CA$2:CA10)+AU10*N10</f>
        <v>-1170</v>
      </c>
      <c r="CB520" s="2">
        <f>SUM(CB$2:CB10)+AV10*O10</f>
        <v>-50</v>
      </c>
      <c r="CC520" s="2">
        <f>SUM(CC$2:CC10)+AW10*P10</f>
        <v>-860</v>
      </c>
      <c r="CD520" s="2">
        <f>SUM(CD$2:CD10)+AX10*Q10</f>
        <v>1790</v>
      </c>
      <c r="CE520" s="2">
        <f>SUM(CE$2:CE10)+AY10*R10</f>
        <v>-630</v>
      </c>
      <c r="CF520" s="2">
        <f>SUM(CF$2:CF10)+AZ10*S10</f>
        <v>2139.8300000000017</v>
      </c>
      <c r="CG520" s="2">
        <f>SUM(CG$2:CG10)+BA10*T10</f>
        <v>75.799999999995634</v>
      </c>
      <c r="CH520" s="2">
        <f>SUM(CH$2:CH10)+BB10*U10</f>
        <v>1015.1300000000047</v>
      </c>
      <c r="CI520" s="2">
        <f>SUM(CI$2:CI10)+BC10*V10</f>
        <v>-440</v>
      </c>
      <c r="CJ520" s="2">
        <f>SUM(CJ$2:CJ10)+BD10*W10</f>
        <v>-180</v>
      </c>
      <c r="CK520" s="2">
        <f>SUM(CK$2:CK10)+BE10*X10</f>
        <v>-15870</v>
      </c>
      <c r="CL520" s="2">
        <f>SUM(CL$2:CL10)+BF10*Y10</f>
        <v>120.00000000005821</v>
      </c>
      <c r="CM520" s="2">
        <f>SUM(CM$2:CM10)+BG10*Z10</f>
        <v>-1230</v>
      </c>
      <c r="CN520" s="2">
        <f>SUM(CN$2:CN10)+BH10*AA10</f>
        <v>3165.0000000000291</v>
      </c>
      <c r="CO520" s="2">
        <f>SUM(CO$2:CO10)+BI10*AB10</f>
        <v>-3860</v>
      </c>
      <c r="CP520" s="2">
        <f>SUM(CP$2:CP10)+BJ10*AC10</f>
        <v>820</v>
      </c>
      <c r="CQ520" s="2">
        <f>SUM(CQ$2:CQ10)+BK10*AD10</f>
        <v>-1459.9999999999927</v>
      </c>
      <c r="CR520" s="2">
        <f>SUM(CR$2:CR10)+BL10*AE10</f>
        <v>-4150</v>
      </c>
      <c r="CV520" t="s">
        <v>64</v>
      </c>
      <c r="CW520" t="s">
        <v>593</v>
      </c>
      <c r="CX520" t="s">
        <v>18</v>
      </c>
      <c r="CY520" s="4">
        <v>43031</v>
      </c>
      <c r="CZ520" t="s">
        <v>65</v>
      </c>
      <c r="DA520" t="s">
        <v>66</v>
      </c>
      <c r="DB520">
        <v>45</v>
      </c>
      <c r="DC520">
        <v>61</v>
      </c>
      <c r="DD520" t="s">
        <v>69</v>
      </c>
      <c r="DE520" t="s">
        <v>70</v>
      </c>
      <c r="DF520">
        <v>2745</v>
      </c>
    </row>
    <row r="521" spans="36:110" x14ac:dyDescent="0.25">
      <c r="AJ521" s="2"/>
      <c r="BN521" s="1">
        <f t="shared" si="335"/>
        <v>42752</v>
      </c>
      <c r="BO521" s="2">
        <f>SUM(BO$2:BO11)+AI11*B11</f>
        <v>12360</v>
      </c>
      <c r="BP521" s="2">
        <f>SUM(BP$2:BP11)+AJ11*C11</f>
        <v>1530</v>
      </c>
      <c r="BQ521" s="2">
        <f>SUM(BQ$2:BQ11)+AK11*D11</f>
        <v>670</v>
      </c>
      <c r="BR521" s="2">
        <f>SUM(BR$2:BR11)+AL11*E11</f>
        <v>-400</v>
      </c>
      <c r="BS521" s="2">
        <f>SUM(BS$2:BS11)+AM11*F11</f>
        <v>-280</v>
      </c>
      <c r="BT521" s="2">
        <f>SUM(BT$2:BT11)+AN11*G11</f>
        <v>-1440</v>
      </c>
      <c r="BU521" s="2">
        <f>SUM(BU$2:BU11)+AO11*H11</f>
        <v>1830</v>
      </c>
      <c r="BV521" s="2">
        <f>SUM(BV$2:BV11)+AP11*I11</f>
        <v>0</v>
      </c>
      <c r="BW521" s="2">
        <f>SUM(BW$2:BW11)+AQ11*J11</f>
        <v>-5680</v>
      </c>
      <c r="BX521" s="2">
        <f>SUM(BX$2:BX11)+AR11*K11</f>
        <v>1550</v>
      </c>
      <c r="BY521" s="2">
        <f>SUM(BY$2:BY11)+AS11*L11</f>
        <v>640</v>
      </c>
      <c r="BZ521" s="2">
        <f>SUM(BZ$2:BZ11)+AT11*M11</f>
        <v>190</v>
      </c>
      <c r="CA521" s="2">
        <f>SUM(CA$2:CA11)+AU11*N11</f>
        <v>-920</v>
      </c>
      <c r="CB521" s="2">
        <f>SUM(CB$2:CB11)+AV11*O11</f>
        <v>-3050</v>
      </c>
      <c r="CC521" s="2">
        <f>SUM(CC$2:CC11)+AW11*P11</f>
        <v>-540</v>
      </c>
      <c r="CD521" s="2">
        <f>SUM(CD$2:CD11)+AX11*Q11</f>
        <v>2980</v>
      </c>
      <c r="CE521" s="2">
        <f>SUM(CE$2:CE11)+AY11*R11</f>
        <v>-750</v>
      </c>
      <c r="CF521" s="2">
        <f>SUM(CF$2:CF11)+AZ11*S11</f>
        <v>1325.7800000000134</v>
      </c>
      <c r="CG521" s="2">
        <f>SUM(CG$2:CG11)+BA11*T11</f>
        <v>-90.80000000000291</v>
      </c>
      <c r="CH521" s="2">
        <f>SUM(CH$2:CH11)+BB11*U11</f>
        <v>1726.5500000000102</v>
      </c>
      <c r="CI521" s="2">
        <f>SUM(CI$2:CI11)+BC11*V11</f>
        <v>-870</v>
      </c>
      <c r="CJ521" s="2">
        <f>SUM(CJ$2:CJ11)+BD11*W11</f>
        <v>940</v>
      </c>
      <c r="CK521" s="2">
        <f>SUM(CK$2:CK11)+BE11*X11</f>
        <v>-13920</v>
      </c>
      <c r="CL521" s="2">
        <f>SUM(CL$2:CL11)+BF11*Y11</f>
        <v>-3210</v>
      </c>
      <c r="CM521" s="2">
        <f>SUM(CM$2:CM11)+BG11*Z11</f>
        <v>-1710</v>
      </c>
      <c r="CN521" s="2">
        <f>SUM(CN$2:CN11)+BH11*AA11</f>
        <v>3390</v>
      </c>
      <c r="CO521" s="2">
        <f>SUM(CO$2:CO11)+BI11*AB11</f>
        <v>-3350</v>
      </c>
      <c r="CP521" s="2">
        <f>SUM(CP$2:CP11)+BJ11*AC11</f>
        <v>820</v>
      </c>
      <c r="CQ521" s="2">
        <f>SUM(CQ$2:CQ11)+BK11*AD11</f>
        <v>-229.99999999998545</v>
      </c>
      <c r="CR521" s="2">
        <f>SUM(CR$2:CR11)+BL11*AE11</f>
        <v>-3230</v>
      </c>
      <c r="CV521" t="s">
        <v>64</v>
      </c>
      <c r="CW521" t="s">
        <v>594</v>
      </c>
      <c r="CX521" t="s">
        <v>18</v>
      </c>
      <c r="CY521" s="4">
        <v>43032</v>
      </c>
      <c r="CZ521" t="s">
        <v>67</v>
      </c>
      <c r="DA521" t="s">
        <v>68</v>
      </c>
      <c r="DB521">
        <v>73</v>
      </c>
      <c r="DC521">
        <v>60.72</v>
      </c>
      <c r="DD521" t="s">
        <v>69</v>
      </c>
      <c r="DE521" t="s">
        <v>70</v>
      </c>
      <c r="DF521">
        <v>4432.5599999999995</v>
      </c>
    </row>
    <row r="522" spans="36:110" x14ac:dyDescent="0.25">
      <c r="AJ522" s="2"/>
      <c r="BK522" s="1"/>
      <c r="BN522" s="1">
        <f t="shared" si="335"/>
        <v>42753</v>
      </c>
      <c r="BO522" s="2">
        <f>SUM(BO$2:BO12)+AI12*B12</f>
        <v>12360</v>
      </c>
      <c r="BP522" s="2">
        <f>SUM(BP$2:BP12)+AJ12*C12</f>
        <v>2390</v>
      </c>
      <c r="BQ522" s="2">
        <f>SUM(BQ$2:BQ12)+AK12*D12</f>
        <v>1290</v>
      </c>
      <c r="BR522" s="2">
        <f>SUM(BR$2:BR12)+AL12*E12</f>
        <v>100</v>
      </c>
      <c r="BS522" s="2">
        <f>SUM(BS$2:BS12)+AM12*F12</f>
        <v>-240</v>
      </c>
      <c r="BT522" s="2">
        <f>SUM(BT$2:BT12)+AN12*G12</f>
        <v>-1750</v>
      </c>
      <c r="BU522" s="2">
        <f>SUM(BU$2:BU12)+AO12*H12</f>
        <v>2010</v>
      </c>
      <c r="BV522" s="2">
        <f>SUM(BV$2:BV12)+AP12*I12</f>
        <v>0</v>
      </c>
      <c r="BW522" s="2">
        <f>SUM(BW$2:BW12)+AQ12*J12</f>
        <v>-7090</v>
      </c>
      <c r="BX522" s="2">
        <f>SUM(BX$2:BX12)+AR12*K12</f>
        <v>1770</v>
      </c>
      <c r="BY522" s="2">
        <f>SUM(BY$2:BY12)+AS12*L12</f>
        <v>-360</v>
      </c>
      <c r="BZ522" s="2">
        <f>SUM(BZ$2:BZ12)+AT12*M12</f>
        <v>150</v>
      </c>
      <c r="CA522" s="2">
        <f>SUM(CA$2:CA12)+AU12*N12</f>
        <v>-1080</v>
      </c>
      <c r="CB522" s="2">
        <f>SUM(CB$2:CB12)+AV12*O12</f>
        <v>-2680</v>
      </c>
      <c r="CC522" s="2">
        <f>SUM(CC$2:CC12)+AW12*P12</f>
        <v>-480</v>
      </c>
      <c r="CD522" s="2">
        <f>SUM(CD$2:CD12)+AX12*Q12</f>
        <v>2940</v>
      </c>
      <c r="CE522" s="2">
        <f>SUM(CE$2:CE12)+AY12*R12</f>
        <v>410</v>
      </c>
      <c r="CF522" s="2">
        <f>SUM(CF$2:CF12)+AZ12*S12</f>
        <v>1044.4800000000105</v>
      </c>
      <c r="CG522" s="2">
        <f>SUM(CG$2:CG12)+BA12*T12</f>
        <v>-119.86999999999534</v>
      </c>
      <c r="CH522" s="2">
        <f>SUM(CH$2:CH12)+BB12*U12</f>
        <v>1336.570000000007</v>
      </c>
      <c r="CI522" s="2">
        <f>SUM(CI$2:CI12)+BC12*V12</f>
        <v>-890</v>
      </c>
      <c r="CJ522" s="2">
        <f>SUM(CJ$2:CJ12)+BD12*W12</f>
        <v>1300</v>
      </c>
      <c r="CK522" s="2">
        <f>SUM(CK$2:CK12)+BE12*X12</f>
        <v>-8770</v>
      </c>
      <c r="CL522" s="2">
        <f>SUM(CL$2:CL12)+BF12*Y12</f>
        <v>-11730</v>
      </c>
      <c r="CM522" s="2">
        <f>SUM(CM$2:CM12)+BG12*Z12</f>
        <v>-850</v>
      </c>
      <c r="CN522" s="2">
        <f>SUM(CN$2:CN12)+BH12*AA12</f>
        <v>4190</v>
      </c>
      <c r="CO522" s="2">
        <f>SUM(CO$2:CO12)+BI12*AB12</f>
        <v>-4700</v>
      </c>
      <c r="CP522" s="2">
        <f>SUM(CP$2:CP12)+BJ12*AC12</f>
        <v>820</v>
      </c>
      <c r="CQ522" s="2">
        <f>SUM(CQ$2:CQ12)+BK12*AD12</f>
        <v>-530</v>
      </c>
      <c r="CR522" s="2">
        <f>SUM(CR$2:CR12)+BL12*AE12</f>
        <v>-4220</v>
      </c>
      <c r="CV522" t="s">
        <v>64</v>
      </c>
      <c r="CW522" t="s">
        <v>595</v>
      </c>
      <c r="CX522" t="s">
        <v>18</v>
      </c>
      <c r="CY522" s="4">
        <v>43033</v>
      </c>
      <c r="CZ522" t="s">
        <v>65</v>
      </c>
      <c r="DA522" t="s">
        <v>66</v>
      </c>
      <c r="DB522">
        <v>19</v>
      </c>
      <c r="DC522">
        <v>60.08</v>
      </c>
      <c r="DD522" t="s">
        <v>69</v>
      </c>
      <c r="DE522" t="s">
        <v>70</v>
      </c>
      <c r="DF522">
        <v>1141.52</v>
      </c>
    </row>
    <row r="523" spans="36:110" x14ac:dyDescent="0.25">
      <c r="AJ523" s="2"/>
      <c r="BM523" s="1"/>
      <c r="BN523" s="1">
        <f t="shared" si="335"/>
        <v>42754</v>
      </c>
      <c r="BO523" s="2">
        <f>SUM(BO$2:BO13)+AI13*B13</f>
        <v>12360</v>
      </c>
      <c r="BP523" s="2">
        <f>SUM(BP$2:BP13)+AJ13*C13</f>
        <v>1610</v>
      </c>
      <c r="BQ523" s="2">
        <f>SUM(BQ$2:BQ13)+AK13*D13</f>
        <v>1930</v>
      </c>
      <c r="BR523" s="2">
        <f>SUM(BR$2:BR13)+AL13*E13</f>
        <v>150</v>
      </c>
      <c r="BS523" s="2">
        <f>SUM(BS$2:BS13)+AM13*F13</f>
        <v>-290</v>
      </c>
      <c r="BT523" s="2">
        <f>SUM(BT$2:BT13)+AN13*G13</f>
        <v>-2080</v>
      </c>
      <c r="BU523" s="2">
        <f>SUM(BU$2:BU13)+AO13*H13</f>
        <v>1160</v>
      </c>
      <c r="BV523" s="2">
        <f>SUM(BV$2:BV13)+AP13*I13</f>
        <v>0</v>
      </c>
      <c r="BW523" s="2">
        <f>SUM(BW$2:BW13)+AQ13*J13</f>
        <v>-9890</v>
      </c>
      <c r="BX523" s="2">
        <f>SUM(BX$2:BX13)+AR13*K13</f>
        <v>1039.9999999999854</v>
      </c>
      <c r="BY523" s="2">
        <f>SUM(BY$2:BY13)+AS13*L13</f>
        <v>-350</v>
      </c>
      <c r="BZ523" s="2">
        <f>SUM(BZ$2:BZ13)+AT13*M13</f>
        <v>-30</v>
      </c>
      <c r="CA523" s="2">
        <f>SUM(CA$2:CA13)+AU13*N13</f>
        <v>-1550</v>
      </c>
      <c r="CB523" s="2">
        <f>SUM(CB$2:CB13)+AV13*O13</f>
        <v>-3290</v>
      </c>
      <c r="CC523" s="2">
        <f>SUM(CC$2:CC13)+AW13*P13</f>
        <v>-620</v>
      </c>
      <c r="CD523" s="2">
        <f>SUM(CD$2:CD13)+AX13*Q13</f>
        <v>2440</v>
      </c>
      <c r="CE523" s="2">
        <f>SUM(CE$2:CE13)+AY13*R13</f>
        <v>590</v>
      </c>
      <c r="CF523" s="2">
        <f>SUM(CF$2:CF13)+AZ13*S13</f>
        <v>230.08000000000175</v>
      </c>
      <c r="CG523" s="2">
        <f>SUM(CG$2:CG13)+BA13*T13</f>
        <v>-312.72000000000116</v>
      </c>
      <c r="CH523" s="2">
        <f>SUM(CH$2:CH13)+BB13*U13</f>
        <v>1024.0600000000049</v>
      </c>
      <c r="CI523" s="2">
        <f>SUM(CI$2:CI13)+BC13*V13</f>
        <v>-1200</v>
      </c>
      <c r="CJ523" s="2">
        <f>SUM(CJ$2:CJ13)+BD13*W13</f>
        <v>1090</v>
      </c>
      <c r="CK523" s="2">
        <f>SUM(CK$2:CK13)+BE13*X13</f>
        <v>-11420</v>
      </c>
      <c r="CL523" s="2">
        <f>SUM(CL$2:CL13)+BF13*Y13</f>
        <v>-8910</v>
      </c>
      <c r="CM523" s="2">
        <f>SUM(CM$2:CM13)+BG13*Z13</f>
        <v>-250</v>
      </c>
      <c r="CN523" s="2">
        <f>SUM(CN$2:CN13)+BH13*AA13</f>
        <v>4540</v>
      </c>
      <c r="CO523" s="2">
        <f>SUM(CO$2:CO13)+BI13*AB13</f>
        <v>-4400</v>
      </c>
      <c r="CP523" s="2">
        <f>SUM(CP$2:CP13)+BJ13*AC13</f>
        <v>820</v>
      </c>
      <c r="CQ523" s="2">
        <f>SUM(CQ$2:CQ13)+BK13*AD13</f>
        <v>-989.99999999999272</v>
      </c>
      <c r="CR523" s="2">
        <f>SUM(CR$2:CR13)+BL13*AE13</f>
        <v>-5640</v>
      </c>
      <c r="CV523" t="s">
        <v>64</v>
      </c>
      <c r="CW523" t="s">
        <v>596</v>
      </c>
      <c r="CX523" t="s">
        <v>18</v>
      </c>
      <c r="CY523" s="4">
        <v>43034</v>
      </c>
      <c r="CZ523" t="s">
        <v>65</v>
      </c>
      <c r="DA523" t="s">
        <v>66</v>
      </c>
      <c r="DB523">
        <v>56</v>
      </c>
      <c r="DC523">
        <v>59.64</v>
      </c>
      <c r="DD523" t="s">
        <v>69</v>
      </c>
      <c r="DE523" t="s">
        <v>70</v>
      </c>
      <c r="DF523">
        <v>3339.84</v>
      </c>
    </row>
    <row r="524" spans="36:110" x14ac:dyDescent="0.25">
      <c r="AJ524" s="2"/>
      <c r="BL524" s="9"/>
      <c r="BM524" s="1"/>
      <c r="BN524" s="1">
        <f t="shared" si="335"/>
        <v>42755</v>
      </c>
      <c r="BO524" s="2">
        <f>SUM(BO$2:BO14)+AI14*B14</f>
        <v>12305</v>
      </c>
      <c r="BP524" s="2">
        <f>SUM(BP$2:BP14)+AJ14*C14</f>
        <v>1140</v>
      </c>
      <c r="BQ524" s="2">
        <f>SUM(BQ$2:BQ14)+AK14*D14</f>
        <v>2430</v>
      </c>
      <c r="BR524" s="2">
        <f>SUM(BR$2:BR14)+AL14*E14</f>
        <v>1290</v>
      </c>
      <c r="BS524" s="2">
        <f>SUM(BS$2:BS14)+AM14*F14</f>
        <v>-170</v>
      </c>
      <c r="BT524" s="2">
        <f>SUM(BT$2:BT14)+AN14*G14</f>
        <v>-2060</v>
      </c>
      <c r="BU524" s="2">
        <f>SUM(BU$2:BU14)+AO14*H14</f>
        <v>1530</v>
      </c>
      <c r="BV524" s="2">
        <f>SUM(BV$2:BV14)+AP14*I14</f>
        <v>0</v>
      </c>
      <c r="BW524" s="2">
        <f>SUM(BW$2:BW14)+AQ14*J14</f>
        <v>-9120</v>
      </c>
      <c r="BX524" s="2">
        <f>SUM(BX$2:BX14)+AR14*K14</f>
        <v>1240</v>
      </c>
      <c r="BY524" s="2">
        <f>SUM(BY$2:BY14)+AS14*L14</f>
        <v>3060</v>
      </c>
      <c r="BZ524" s="2">
        <f>SUM(BZ$2:BZ14)+AT14*M14</f>
        <v>320</v>
      </c>
      <c r="CA524" s="2">
        <f>SUM(CA$2:CA14)+AU14*N14</f>
        <v>-1600</v>
      </c>
      <c r="CB524" s="2">
        <f>SUM(CB$2:CB14)+AV14*O14</f>
        <v>-2930</v>
      </c>
      <c r="CC524" s="2">
        <f>SUM(CC$2:CC14)+AW14*P14</f>
        <v>-450</v>
      </c>
      <c r="CD524" s="2">
        <f>SUM(CD$2:CD14)+AX14*Q14</f>
        <v>2510</v>
      </c>
      <c r="CE524" s="2">
        <f>SUM(CE$2:CE14)+AY14*R14</f>
        <v>410</v>
      </c>
      <c r="CF524" s="2">
        <f>SUM(CF$2:CF14)+AZ14*S14</f>
        <v>2403.6800000000003</v>
      </c>
      <c r="CG524" s="2">
        <f>SUM(CG$2:CG14)+BA14*T14</f>
        <v>119.42999999999302</v>
      </c>
      <c r="CH524" s="2">
        <f>SUM(CH$2:CH14)+BB14*U14</f>
        <v>1261.4400000000023</v>
      </c>
      <c r="CI524" s="2">
        <f>SUM(CI$2:CI14)+BC14*V14</f>
        <v>-1130</v>
      </c>
      <c r="CJ524" s="2">
        <f>SUM(CJ$2:CJ14)+BD14*W14</f>
        <v>3660</v>
      </c>
      <c r="CK524" s="2">
        <f>SUM(CK$2:CK14)+BE14*X14</f>
        <v>-11270</v>
      </c>
      <c r="CL524" s="2">
        <f>SUM(CL$2:CL14)+BF14*Y14</f>
        <v>-9030</v>
      </c>
      <c r="CM524" s="2">
        <f>SUM(CM$2:CM14)+BG14*Z14</f>
        <v>-150</v>
      </c>
      <c r="CN524" s="2">
        <f>SUM(CN$2:CN14)+BH14*AA14</f>
        <v>4815</v>
      </c>
      <c r="CO524" s="2">
        <f>SUM(CO$2:CO14)+BI14*AB14</f>
        <v>-3410</v>
      </c>
      <c r="CP524" s="2">
        <f>SUM(CP$2:CP14)+BJ14*AC14</f>
        <v>820</v>
      </c>
      <c r="CQ524" s="2">
        <f>SUM(CQ$2:CQ14)+BK14*AD14</f>
        <v>-1409.9999999999927</v>
      </c>
      <c r="CR524" s="2">
        <f>SUM(CR$2:CR14)+BL14*AE14</f>
        <v>-4570</v>
      </c>
      <c r="CV524" t="s">
        <v>64</v>
      </c>
      <c r="CW524" t="s">
        <v>597</v>
      </c>
      <c r="CX524" t="s">
        <v>18</v>
      </c>
      <c r="CY524" s="4">
        <v>43035</v>
      </c>
      <c r="CZ524" t="s">
        <v>67</v>
      </c>
      <c r="DA524" t="s">
        <v>68</v>
      </c>
      <c r="DB524">
        <v>41</v>
      </c>
      <c r="DC524">
        <v>56.03</v>
      </c>
      <c r="DD524" t="s">
        <v>69</v>
      </c>
      <c r="DE524" t="s">
        <v>70</v>
      </c>
      <c r="DF524">
        <v>2297.23</v>
      </c>
    </row>
    <row r="525" spans="36:110" x14ac:dyDescent="0.25">
      <c r="AJ525" s="2"/>
      <c r="BL525" s="10"/>
      <c r="BM525" s="1"/>
      <c r="BN525" s="1">
        <f t="shared" si="335"/>
        <v>42758</v>
      </c>
      <c r="BO525" s="2">
        <f>SUM(BO$2:BO15)+AI15*B15</f>
        <v>12270</v>
      </c>
      <c r="BP525" s="2">
        <f>SUM(BP$2:BP15)+AJ15*C15</f>
        <v>910</v>
      </c>
      <c r="BQ525" s="2">
        <f>SUM(BQ$2:BQ15)+AK15*D15</f>
        <v>830</v>
      </c>
      <c r="BR525" s="2">
        <f>SUM(BR$2:BR15)+AL15*E15</f>
        <v>1180</v>
      </c>
      <c r="BS525" s="2">
        <f>SUM(BS$2:BS15)+AM15*F15</f>
        <v>-10</v>
      </c>
      <c r="BT525" s="2">
        <f>SUM(BT$2:BT15)+AN15*G15</f>
        <v>-2260</v>
      </c>
      <c r="BU525" s="2">
        <f>SUM(BU$2:BU15)+AO15*H15</f>
        <v>1000</v>
      </c>
      <c r="BV525" s="2">
        <f>SUM(BV$2:BV15)+AP15*I15</f>
        <v>0</v>
      </c>
      <c r="BW525" s="2">
        <f>SUM(BW$2:BW15)+AQ15*J15</f>
        <v>-8670</v>
      </c>
      <c r="BX525" s="2">
        <f>SUM(BX$2:BX15)+AR15*K15</f>
        <v>3600</v>
      </c>
      <c r="BY525" s="2">
        <f>SUM(BY$2:BY15)+AS15*L15</f>
        <v>3500</v>
      </c>
      <c r="BZ525" s="2">
        <f>SUM(BZ$2:BZ15)+AT15*M15</f>
        <v>160</v>
      </c>
      <c r="CA525" s="2">
        <f>SUM(CA$2:CA15)+AU15*N15</f>
        <v>-1830</v>
      </c>
      <c r="CB525" s="2">
        <f>SUM(CB$2:CB15)+AV15*O15</f>
        <v>-2900</v>
      </c>
      <c r="CC525" s="2">
        <f>SUM(CC$2:CC15)+AW15*P15</f>
        <v>-350</v>
      </c>
      <c r="CD525" s="2">
        <f>SUM(CD$2:CD15)+AX15*Q15</f>
        <v>1680</v>
      </c>
      <c r="CE525" s="2">
        <f>SUM(CE$2:CE15)+AY15*R15</f>
        <v>430</v>
      </c>
      <c r="CF525" s="2">
        <f>SUM(CF$2:CF15)+AZ15*S15</f>
        <v>1714.8400000000038</v>
      </c>
      <c r="CG525" s="2">
        <f>SUM(CG$2:CG15)+BA15*T15</f>
        <v>325.64999999999418</v>
      </c>
      <c r="CH525" s="2">
        <f>SUM(CH$2:CH15)+BB15*U15</f>
        <v>1304.8800000000047</v>
      </c>
      <c r="CI525" s="2">
        <f>SUM(CI$2:CI15)+BC15*V15</f>
        <v>-1420</v>
      </c>
      <c r="CJ525" s="2">
        <f>SUM(CJ$2:CJ15)+BD15*W15</f>
        <v>3200</v>
      </c>
      <c r="CK525" s="2">
        <f>SUM(CK$2:CK15)+BE15*X15</f>
        <v>-11170</v>
      </c>
      <c r="CL525" s="2">
        <f>SUM(CL$2:CL15)+BF15*Y15</f>
        <v>-7830</v>
      </c>
      <c r="CM525" s="2">
        <f>SUM(CM$2:CM15)+BG15*Z15</f>
        <v>-990</v>
      </c>
      <c r="CN525" s="2">
        <f>SUM(CN$2:CN15)+BH15*AA15</f>
        <v>5565</v>
      </c>
      <c r="CO525" s="2">
        <f>SUM(CO$2:CO15)+BI15*AB15</f>
        <v>-4250</v>
      </c>
      <c r="CP525" s="2">
        <f>SUM(CP$2:CP15)+BJ15*AC15</f>
        <v>820</v>
      </c>
      <c r="CQ525" s="2">
        <f>SUM(CQ$2:CQ15)+BK15*AD15</f>
        <v>-1919.9999999999927</v>
      </c>
      <c r="CR525" s="2">
        <f>SUM(CR$2:CR15)+BL15*AE15</f>
        <v>-5420</v>
      </c>
      <c r="CV525" t="s">
        <v>64</v>
      </c>
      <c r="CW525" t="s">
        <v>598</v>
      </c>
      <c r="CX525" t="s">
        <v>18</v>
      </c>
      <c r="CY525" s="4">
        <v>43038</v>
      </c>
      <c r="CZ525" t="s">
        <v>67</v>
      </c>
      <c r="DA525" t="s">
        <v>68</v>
      </c>
      <c r="DB525">
        <v>44</v>
      </c>
      <c r="DC525">
        <v>52.64</v>
      </c>
      <c r="DD525" t="s">
        <v>69</v>
      </c>
      <c r="DE525" t="s">
        <v>70</v>
      </c>
      <c r="DF525">
        <v>2316.16</v>
      </c>
    </row>
    <row r="526" spans="36:110" x14ac:dyDescent="0.25">
      <c r="AJ526" s="2"/>
      <c r="BN526" s="1">
        <f t="shared" si="335"/>
        <v>42759</v>
      </c>
      <c r="BO526" s="2">
        <f>SUM(BO$2:BO16)+AI16*B16</f>
        <v>12320</v>
      </c>
      <c r="BP526" s="2">
        <f>SUM(BP$2:BP16)+AJ16*C16</f>
        <v>2330</v>
      </c>
      <c r="BQ526" s="2">
        <f>SUM(BQ$2:BQ16)+AK16*D16</f>
        <v>3399.9999999999709</v>
      </c>
      <c r="BR526" s="2">
        <f>SUM(BR$2:BR16)+AL16*E16</f>
        <v>2870</v>
      </c>
      <c r="BS526" s="2">
        <f>SUM(BS$2:BS16)+AM16*F16</f>
        <v>300</v>
      </c>
      <c r="BT526" s="2">
        <f>SUM(BT$2:BT16)+AN16*G16</f>
        <v>-1360</v>
      </c>
      <c r="BU526" s="2">
        <f>SUM(BU$2:BU16)+AO16*H16</f>
        <v>1760.0000000000146</v>
      </c>
      <c r="BV526" s="2">
        <f>SUM(BV$2:BV16)+AP16*I16</f>
        <v>0</v>
      </c>
      <c r="BW526" s="2">
        <f>SUM(BW$2:BW16)+AQ16*J16</f>
        <v>-7680</v>
      </c>
      <c r="BX526" s="2">
        <f>SUM(BX$2:BX16)+AR16*K16</f>
        <v>3590</v>
      </c>
      <c r="BY526" s="2">
        <f>SUM(BY$2:BY16)+AS16*L16</f>
        <v>7930</v>
      </c>
      <c r="BZ526" s="2">
        <f>SUM(BZ$2:BZ16)+AT16*M16</f>
        <v>960</v>
      </c>
      <c r="CA526" s="2">
        <f>SUM(CA$2:CA16)+AU16*N16</f>
        <v>-3870</v>
      </c>
      <c r="CB526" s="2">
        <f>SUM(CB$2:CB16)+AV16*O16</f>
        <v>-1930</v>
      </c>
      <c r="CC526" s="2">
        <f>SUM(CC$2:CC16)+AW16*P16</f>
        <v>90</v>
      </c>
      <c r="CD526" s="2">
        <f>SUM(CD$2:CD16)+AX16*Q16</f>
        <v>1360</v>
      </c>
      <c r="CE526" s="2">
        <f>SUM(CE$2:CE16)+AY16*R16</f>
        <v>-1970</v>
      </c>
      <c r="CF526" s="2">
        <f>SUM(CF$2:CF16)+AZ16*S16</f>
        <v>1131.1600000000035</v>
      </c>
      <c r="CG526" s="2">
        <f>SUM(CG$2:CG16)+BA16*T16</f>
        <v>835.40999999998894</v>
      </c>
      <c r="CH526" s="2">
        <f>SUM(CH$2:CH16)+BB16*U16</f>
        <v>1493.8799999999974</v>
      </c>
      <c r="CI526" s="2">
        <f>SUM(CI$2:CI16)+BC16*V16</f>
        <v>-1700</v>
      </c>
      <c r="CJ526" s="2">
        <f>SUM(CJ$2:CJ16)+BD16*W16</f>
        <v>4050</v>
      </c>
      <c r="CK526" s="2">
        <f>SUM(CK$2:CK16)+BE16*X16</f>
        <v>-16870</v>
      </c>
      <c r="CL526" s="2">
        <f>SUM(CL$2:CL16)+BF16*Y16</f>
        <v>-3870</v>
      </c>
      <c r="CM526" s="2">
        <f>SUM(CM$2:CM16)+BG16*Z16</f>
        <v>1410</v>
      </c>
      <c r="CN526" s="2">
        <f>SUM(CN$2:CN16)+BH16*AA16</f>
        <v>8215</v>
      </c>
      <c r="CO526" s="2">
        <f>SUM(CO$2:CO16)+BI16*AB16</f>
        <v>-10520</v>
      </c>
      <c r="CP526" s="2">
        <f>SUM(CP$2:CP16)+BJ16*AC16</f>
        <v>820</v>
      </c>
      <c r="CQ526" s="2">
        <f>SUM(CQ$2:CQ16)+BK16*AD16</f>
        <v>-1199.9999999999854</v>
      </c>
      <c r="CR526" s="2">
        <f>SUM(CR$2:CR16)+BL16*AE16</f>
        <v>-5310</v>
      </c>
      <c r="CV526" t="s">
        <v>64</v>
      </c>
      <c r="CW526" t="s">
        <v>599</v>
      </c>
      <c r="CX526" t="s">
        <v>18</v>
      </c>
      <c r="CY526" s="4">
        <v>43039</v>
      </c>
      <c r="CZ526" t="s">
        <v>65</v>
      </c>
      <c r="DA526" t="s">
        <v>66</v>
      </c>
      <c r="DB526">
        <v>86</v>
      </c>
      <c r="DC526">
        <v>53</v>
      </c>
      <c r="DD526" t="s">
        <v>69</v>
      </c>
      <c r="DE526" t="s">
        <v>70</v>
      </c>
      <c r="DF526">
        <v>4558</v>
      </c>
    </row>
    <row r="527" spans="36:110" x14ac:dyDescent="0.25">
      <c r="AJ527" s="2"/>
      <c r="BN527" s="1">
        <f t="shared" si="335"/>
        <v>42760</v>
      </c>
      <c r="BO527" s="2">
        <f>SUM(BO$2:BO17)+AI17*B17</f>
        <v>11400</v>
      </c>
      <c r="BP527" s="2">
        <f>SUM(BP$2:BP17)+AJ17*C17</f>
        <v>1804.8000000000175</v>
      </c>
      <c r="BQ527" s="2">
        <f>SUM(BQ$2:BQ17)+AK17*D17</f>
        <v>9934.6999999999825</v>
      </c>
      <c r="BR527" s="2">
        <f>SUM(BR$2:BR17)+AL17*E17</f>
        <v>4708.2000000000116</v>
      </c>
      <c r="BS527" s="2">
        <f>SUM(BS$2:BS17)+AM17*F17</f>
        <v>390.89999999999782</v>
      </c>
      <c r="BT527" s="2">
        <f>SUM(BT$2:BT17)+AN17*G17</f>
        <v>-552</v>
      </c>
      <c r="BU527" s="2">
        <f>SUM(BU$2:BU17)+AO17*H17</f>
        <v>1901.4000000000087</v>
      </c>
      <c r="BV527" s="2">
        <f>SUM(BV$2:BV17)+AP17*I17</f>
        <v>0</v>
      </c>
      <c r="BW527" s="2">
        <f>SUM(BW$2:BW17)+AQ17*J17</f>
        <v>-4200</v>
      </c>
      <c r="BX527" s="2">
        <f>SUM(BX$2:BX17)+AR17*K17</f>
        <v>3030</v>
      </c>
      <c r="BY527" s="2">
        <f>SUM(BY$2:BY17)+AS17*L17</f>
        <v>10100</v>
      </c>
      <c r="BZ527" s="2">
        <f>SUM(BZ$2:BZ17)+AT17*M17</f>
        <v>1130</v>
      </c>
      <c r="CA527" s="2">
        <f>SUM(CA$2:CA17)+AU17*N17</f>
        <v>-2880</v>
      </c>
      <c r="CB527" s="2">
        <f>SUM(CB$2:CB17)+AV17*O17</f>
        <v>-680</v>
      </c>
      <c r="CC527" s="2">
        <f>SUM(CC$2:CC17)+AW17*P17</f>
        <v>300</v>
      </c>
      <c r="CD527" s="2">
        <f>SUM(CD$2:CD17)+AX17*Q17</f>
        <v>2070</v>
      </c>
      <c r="CE527" s="2">
        <f>SUM(CE$2:CE17)+AY17*R17</f>
        <v>-1250</v>
      </c>
      <c r="CF527" s="2">
        <f>SUM(CF$2:CF17)+AZ17*S17</f>
        <v>1008.1600000000035</v>
      </c>
      <c r="CG527" s="2">
        <f>SUM(CG$2:CG17)+BA17*T17</f>
        <v>974.45999999999185</v>
      </c>
      <c r="CH527" s="2">
        <f>SUM(CH$2:CH17)+BB17*U17</f>
        <v>1906.6800000000076</v>
      </c>
      <c r="CI527" s="2">
        <f>SUM(CI$2:CI17)+BC17*V17</f>
        <v>-1570</v>
      </c>
      <c r="CJ527" s="2">
        <f>SUM(CJ$2:CJ17)+BD17*W17</f>
        <v>3390</v>
      </c>
      <c r="CK527" s="2">
        <f>SUM(CK$2:CK17)+BE17*X17</f>
        <v>-12920</v>
      </c>
      <c r="CL527" s="2">
        <f>SUM(CL$2:CL17)+BF17*Y17</f>
        <v>-1500.0000000000582</v>
      </c>
      <c r="CM527" s="2">
        <f>SUM(CM$2:CM17)+BG17*Z17</f>
        <v>190</v>
      </c>
      <c r="CN527" s="2">
        <f>SUM(CN$2:CN17)+BH17*AA17</f>
        <v>9865</v>
      </c>
      <c r="CO527" s="2">
        <f>SUM(CO$2:CO17)+BI17*AB17</f>
        <v>-11450</v>
      </c>
      <c r="CP527" s="2">
        <f>SUM(CP$2:CP17)+BJ17*AC17</f>
        <v>820</v>
      </c>
      <c r="CQ527" s="2">
        <f>SUM(CQ$2:CQ17)+BK17*AD17</f>
        <v>-1689.9999999999927</v>
      </c>
      <c r="CR527" s="2">
        <f>SUM(CR$2:CR17)+BL17*AE17</f>
        <v>-5080</v>
      </c>
      <c r="CV527" t="s">
        <v>64</v>
      </c>
      <c r="CW527" t="s">
        <v>600</v>
      </c>
      <c r="CX527" t="s">
        <v>18</v>
      </c>
      <c r="CY527" s="4">
        <v>43040</v>
      </c>
      <c r="CZ527" t="s">
        <v>67</v>
      </c>
      <c r="DA527" t="s">
        <v>68</v>
      </c>
      <c r="DB527">
        <v>48</v>
      </c>
      <c r="DC527">
        <v>53.24</v>
      </c>
      <c r="DD527" t="s">
        <v>69</v>
      </c>
      <c r="DE527" t="s">
        <v>70</v>
      </c>
      <c r="DF527">
        <v>2555.52</v>
      </c>
    </row>
    <row r="528" spans="36:110" x14ac:dyDescent="0.25">
      <c r="AJ528" s="2"/>
      <c r="BN528" s="1">
        <f t="shared" si="335"/>
        <v>42761</v>
      </c>
      <c r="BO528" s="2">
        <f>SUM(BO$2:BO18)+AI18*B18</f>
        <v>11550</v>
      </c>
      <c r="BP528" s="2">
        <f>SUM(BP$2:BP18)+AJ18*C18</f>
        <v>1845.1999999999971</v>
      </c>
      <c r="BQ528" s="2">
        <f>SUM(BQ$2:BQ18)+AK18*D18</f>
        <v>11621.399999999994</v>
      </c>
      <c r="BR528" s="2">
        <f>SUM(BR$2:BR18)+AL18*E18</f>
        <v>3809.3000000000029</v>
      </c>
      <c r="BS528" s="2">
        <f>SUM(BS$2:BS18)+AM18*F18</f>
        <v>431.29999999999927</v>
      </c>
      <c r="BT528" s="2">
        <f>SUM(BT$2:BT18)+AN18*G18</f>
        <v>-1188.2999999999884</v>
      </c>
      <c r="BU528" s="2">
        <f>SUM(BU$2:BU18)+AO18*H18</f>
        <v>1921.6000000000058</v>
      </c>
      <c r="BV528" s="2">
        <f>SUM(BV$2:BV18)+AP18*I18</f>
        <v>0</v>
      </c>
      <c r="BW528" s="2">
        <f>SUM(BW$2:BW18)+AQ18*J18</f>
        <v>-1940</v>
      </c>
      <c r="BX528" s="2">
        <f>SUM(BX$2:BX18)+AR18*K18</f>
        <v>3970</v>
      </c>
      <c r="BY528" s="2">
        <f>SUM(BY$2:BY18)+AS18*L18</f>
        <v>10440</v>
      </c>
      <c r="BZ528" s="2">
        <f>SUM(BZ$2:BZ18)+AT18*M18</f>
        <v>910</v>
      </c>
      <c r="CA528" s="2">
        <f>SUM(CA$2:CA18)+AU18*N18</f>
        <v>-3790</v>
      </c>
      <c r="CB528" s="2">
        <f>SUM(CB$2:CB18)+AV18*O18</f>
        <v>0</v>
      </c>
      <c r="CC528" s="2">
        <f>SUM(CC$2:CC18)+AW18*P18</f>
        <v>10</v>
      </c>
      <c r="CD528" s="2">
        <f>SUM(CD$2:CD18)+AX18*Q18</f>
        <v>2150</v>
      </c>
      <c r="CE528" s="2">
        <f>SUM(CE$2:CE18)+AY18*R18</f>
        <v>-1170</v>
      </c>
      <c r="CF528" s="2">
        <f>SUM(CF$2:CF18)+AZ18*S18</f>
        <v>1120.9100000000035</v>
      </c>
      <c r="CG528" s="2">
        <f>SUM(CG$2:CG18)+BA18*T18</f>
        <v>1497.7199999999866</v>
      </c>
      <c r="CH528" s="2">
        <f>SUM(CH$2:CH18)+BB18*U18</f>
        <v>1690.3800000000047</v>
      </c>
      <c r="CI528" s="2">
        <f>SUM(CI$2:CI18)+BC18*V18</f>
        <v>-1580</v>
      </c>
      <c r="CJ528" s="2">
        <f>SUM(CJ$2:CJ18)+BD18*W18</f>
        <v>2870</v>
      </c>
      <c r="CK528" s="2">
        <f>SUM(CK$2:CK18)+BE18*X18</f>
        <v>-10720</v>
      </c>
      <c r="CL528" s="2">
        <f>SUM(CL$2:CL18)+BF18*Y18</f>
        <v>2880</v>
      </c>
      <c r="CM528" s="2">
        <f>SUM(CM$2:CM18)+BG18*Z18</f>
        <v>-950</v>
      </c>
      <c r="CN528" s="2">
        <f>SUM(CN$2:CN18)+BH18*AA18</f>
        <v>8239.9999999999709</v>
      </c>
      <c r="CO528" s="2">
        <f>SUM(CO$2:CO18)+BI18*AB18</f>
        <v>-13250</v>
      </c>
      <c r="CP528" s="2">
        <f>SUM(CP$2:CP18)+BJ18*AC18</f>
        <v>820</v>
      </c>
      <c r="CQ528" s="2">
        <f>SUM(CQ$2:CQ18)+BK18*AD18</f>
        <v>-1839.9999999999927</v>
      </c>
      <c r="CR528" s="2">
        <f>SUM(CR$2:CR18)+BL18*AE18</f>
        <v>-4840</v>
      </c>
      <c r="CV528" t="s">
        <v>64</v>
      </c>
      <c r="CW528" t="s">
        <v>601</v>
      </c>
      <c r="CX528" t="s">
        <v>18</v>
      </c>
      <c r="CY528" s="4">
        <v>43041</v>
      </c>
      <c r="CZ528" t="s">
        <v>67</v>
      </c>
      <c r="DA528" t="s">
        <v>68</v>
      </c>
      <c r="DB528">
        <v>28</v>
      </c>
      <c r="DC528">
        <v>53.27</v>
      </c>
      <c r="DD528" t="s">
        <v>69</v>
      </c>
      <c r="DE528" t="s">
        <v>70</v>
      </c>
      <c r="DF528">
        <v>1491.5600000000002</v>
      </c>
    </row>
    <row r="529" spans="36:110" x14ac:dyDescent="0.25">
      <c r="AJ529" s="2"/>
      <c r="BN529" s="1">
        <f t="shared" si="335"/>
        <v>42762</v>
      </c>
      <c r="BO529" s="2">
        <f>SUM(BO$2:BO19)+AI19*B19</f>
        <v>11587.5</v>
      </c>
      <c r="BP529" s="2">
        <f>SUM(BP$2:BP19)+AJ19*C19</f>
        <v>1764.4000000000087</v>
      </c>
      <c r="BQ529" s="2">
        <f>SUM(BQ$2:BQ19)+AK19*D19</f>
        <v>10257.899999999994</v>
      </c>
      <c r="BR529" s="2">
        <f>SUM(BR$2:BR19)+AL19*E19</f>
        <v>5516.1999999999971</v>
      </c>
      <c r="BS529" s="2">
        <f>SUM(BS$2:BS19)+AM19*F19</f>
        <v>653.5</v>
      </c>
      <c r="BT529" s="2">
        <f>SUM(BT$2:BT19)+AN19*G19</f>
        <v>-3743.5999999999913</v>
      </c>
      <c r="BU529" s="2">
        <f>SUM(BU$2:BU19)+AO19*H19</f>
        <v>3133.6000000000058</v>
      </c>
      <c r="BV529" s="2">
        <f>SUM(BV$2:BV19)+AP19*I19</f>
        <v>0</v>
      </c>
      <c r="BW529" s="2">
        <f>SUM(BW$2:BW19)+AQ19*J19</f>
        <v>-4500</v>
      </c>
      <c r="BX529" s="2">
        <f>SUM(BX$2:BX19)+AR19*K19</f>
        <v>3850</v>
      </c>
      <c r="BY529" s="2">
        <f>SUM(BY$2:BY19)+AS19*L19</f>
        <v>9200</v>
      </c>
      <c r="BZ529" s="2">
        <f>SUM(BZ$2:BZ19)+AT19*M19</f>
        <v>1300</v>
      </c>
      <c r="CA529" s="2">
        <f>SUM(CA$2:CA19)+AU19*N19</f>
        <v>-2330</v>
      </c>
      <c r="CB529" s="2">
        <f>SUM(CB$2:CB19)+AV19*O19</f>
        <v>170</v>
      </c>
      <c r="CC529" s="2">
        <f>SUM(CC$2:CC19)+AW19*P19</f>
        <v>-330</v>
      </c>
      <c r="CD529" s="2">
        <f>SUM(CD$2:CD19)+AX19*Q19</f>
        <v>3090</v>
      </c>
      <c r="CE529" s="2">
        <f>SUM(CE$2:CE19)+AY19*R19</f>
        <v>-540</v>
      </c>
      <c r="CF529" s="2">
        <f>SUM(CF$2:CF19)+AZ19*S19</f>
        <v>1627.3900000000067</v>
      </c>
      <c r="CG529" s="2">
        <f>SUM(CG$2:CG19)+BA19*T19</f>
        <v>2924.5199999999895</v>
      </c>
      <c r="CH529" s="2">
        <f>SUM(CH$2:CH19)+BB19*U19</f>
        <v>1265.5800000000017</v>
      </c>
      <c r="CI529" s="2">
        <f>SUM(CI$2:CI19)+BC19*V19</f>
        <v>-1450</v>
      </c>
      <c r="CJ529" s="2">
        <f>SUM(CJ$2:CJ19)+BD19*W19</f>
        <v>2980</v>
      </c>
      <c r="CK529" s="2">
        <f>SUM(CK$2:CK19)+BE19*X19</f>
        <v>-10870</v>
      </c>
      <c r="CL529" s="2">
        <f>SUM(CL$2:CL19)+BF19*Y19</f>
        <v>3600</v>
      </c>
      <c r="CM529" s="2">
        <f>SUM(CM$2:CM19)+BG19*Z19</f>
        <v>-2210</v>
      </c>
      <c r="CN529" s="2">
        <f>SUM(CN$2:CN19)+BH19*AA19</f>
        <v>9565</v>
      </c>
      <c r="CO529" s="2">
        <f>SUM(CO$2:CO19)+BI19*AB19</f>
        <v>-11930</v>
      </c>
      <c r="CP529" s="2">
        <f>SUM(CP$2:CP19)+BJ19*AC19</f>
        <v>820</v>
      </c>
      <c r="CQ529" s="2">
        <f>SUM(CQ$2:CQ19)+BK19*AD19</f>
        <v>-2859.9999999999927</v>
      </c>
      <c r="CR529" s="2">
        <f>SUM(CR$2:CR19)+BL19*AE19</f>
        <v>-4920</v>
      </c>
      <c r="CV529" t="s">
        <v>64</v>
      </c>
      <c r="CW529" t="s">
        <v>602</v>
      </c>
      <c r="CX529" t="s">
        <v>18</v>
      </c>
      <c r="CY529" s="4">
        <v>43042</v>
      </c>
      <c r="CZ529" t="s">
        <v>65</v>
      </c>
      <c r="DA529" t="s">
        <v>66</v>
      </c>
      <c r="DB529">
        <v>69</v>
      </c>
      <c r="DC529">
        <v>53.93</v>
      </c>
      <c r="DD529" t="s">
        <v>69</v>
      </c>
      <c r="DE529" t="s">
        <v>70</v>
      </c>
      <c r="DF529">
        <v>3721.17</v>
      </c>
    </row>
    <row r="530" spans="36:110" x14ac:dyDescent="0.25">
      <c r="AJ530" s="2"/>
      <c r="BN530" s="1">
        <f t="shared" si="335"/>
        <v>42765</v>
      </c>
      <c r="BO530" s="2">
        <f>SUM(BO$2:BO20)+AI20*B20</f>
        <v>10425</v>
      </c>
      <c r="BP530" s="2">
        <f>SUM(BP$2:BP20)+AJ20*C20</f>
        <v>2188.6000000000058</v>
      </c>
      <c r="BQ530" s="2">
        <f>SUM(BQ$2:BQ20)+AK20*D20</f>
        <v>8217.6999999999825</v>
      </c>
      <c r="BR530" s="2">
        <f>SUM(BR$2:BR20)+AL20*E20</f>
        <v>3395.1999999999971</v>
      </c>
      <c r="BS530" s="2">
        <f>SUM(BS$2:BS20)+AM20*F20</f>
        <v>512.09999999999854</v>
      </c>
      <c r="BT530" s="2">
        <f>SUM(BT$2:BT20)+AN20*G20</f>
        <v>-5571.6999999999971</v>
      </c>
      <c r="BU530" s="2">
        <f>SUM(BU$2:BU20)+AO20*H20</f>
        <v>4739.5000000000146</v>
      </c>
      <c r="BV530" s="2">
        <f>SUM(BV$2:BV20)+AP20*I20</f>
        <v>0</v>
      </c>
      <c r="BW530" s="2">
        <f>SUM(BW$2:BW20)+AQ20*J20</f>
        <v>-7470</v>
      </c>
      <c r="BX530" s="2">
        <f>SUM(BX$2:BX20)+AR20*K20</f>
        <v>3980</v>
      </c>
      <c r="BY530" s="2">
        <f>SUM(BY$2:BY20)+AS20*L20</f>
        <v>7840</v>
      </c>
      <c r="BZ530" s="2">
        <f>SUM(BZ$2:BZ20)+AT20*M20</f>
        <v>770</v>
      </c>
      <c r="CA530" s="2">
        <f>SUM(CA$2:CA20)+AU20*N20</f>
        <v>-2570</v>
      </c>
      <c r="CB530" s="2">
        <f>SUM(CB$2:CB20)+AV20*O20</f>
        <v>-680</v>
      </c>
      <c r="CC530" s="2">
        <f>SUM(CC$2:CC20)+AW20*P20</f>
        <v>-390</v>
      </c>
      <c r="CD530" s="2">
        <f>SUM(CD$2:CD20)+AX20*Q20</f>
        <v>3240</v>
      </c>
      <c r="CE530" s="2">
        <f>SUM(CE$2:CE20)+AY20*R20</f>
        <v>-2490</v>
      </c>
      <c r="CF530" s="2">
        <f>SUM(CF$2:CF20)+AZ20*S20</f>
        <v>1323.7900000000009</v>
      </c>
      <c r="CG530" s="2">
        <f>SUM(CG$2:CG20)+BA20*T20</f>
        <v>2311.5299999999843</v>
      </c>
      <c r="CH530" s="2">
        <f>SUM(CH$2:CH20)+BB20*U20</f>
        <v>1158.1800000000003</v>
      </c>
      <c r="CI530" s="2">
        <f>SUM(CI$2:CI20)+BC20*V20</f>
        <v>-1560</v>
      </c>
      <c r="CJ530" s="2">
        <f>SUM(CJ$2:CJ20)+BD20*W20</f>
        <v>3010</v>
      </c>
      <c r="CK530" s="2">
        <f>SUM(CK$2:CK20)+BE20*X20</f>
        <v>-13670</v>
      </c>
      <c r="CL530" s="2">
        <f>SUM(CL$2:CL20)+BF20*Y20</f>
        <v>960.00000000005821</v>
      </c>
      <c r="CM530" s="2">
        <f>SUM(CM$2:CM20)+BG20*Z20</f>
        <v>-3210</v>
      </c>
      <c r="CN530" s="2">
        <f>SUM(CN$2:CN20)+BH20*AA20</f>
        <v>9215</v>
      </c>
      <c r="CO530" s="2">
        <f>SUM(CO$2:CO20)+BI20*AB20</f>
        <v>-12560</v>
      </c>
      <c r="CP530" s="2">
        <f>SUM(CP$2:CP20)+BJ20*AC20</f>
        <v>820</v>
      </c>
      <c r="CQ530" s="2">
        <f>SUM(CQ$2:CQ20)+BK20*AD20</f>
        <v>-2129.9999999999927</v>
      </c>
      <c r="CR530" s="2">
        <f>SUM(CR$2:CR20)+BL20*AE20</f>
        <v>-5520</v>
      </c>
      <c r="CV530" t="s">
        <v>64</v>
      </c>
      <c r="CW530" t="s">
        <v>603</v>
      </c>
      <c r="CX530" t="s">
        <v>18</v>
      </c>
      <c r="CY530" s="4">
        <v>43045</v>
      </c>
      <c r="CZ530" t="s">
        <v>67</v>
      </c>
      <c r="DA530" t="s">
        <v>68</v>
      </c>
      <c r="DB530">
        <v>3</v>
      </c>
      <c r="DC530">
        <v>53.76</v>
      </c>
      <c r="DD530" t="s">
        <v>69</v>
      </c>
      <c r="DE530" t="s">
        <v>70</v>
      </c>
      <c r="DF530">
        <v>161.28</v>
      </c>
    </row>
    <row r="531" spans="36:110" x14ac:dyDescent="0.25">
      <c r="AJ531" s="2"/>
      <c r="BN531" s="1">
        <f t="shared" si="335"/>
        <v>42766</v>
      </c>
      <c r="BO531" s="2">
        <f>SUM(BO$2:BO21)+AI21*B21</f>
        <v>9210</v>
      </c>
      <c r="BP531" s="2">
        <f>SUM(BP$2:BP21)+AJ21*C21</f>
        <v>1299.8000000000175</v>
      </c>
      <c r="BQ531" s="2">
        <f>SUM(BQ$2:BQ21)+AK21*D21</f>
        <v>6157.2999999999884</v>
      </c>
      <c r="BR531" s="2">
        <f>SUM(BR$2:BR21)+AL21*E21</f>
        <v>2314.5</v>
      </c>
      <c r="BS531" s="2">
        <f>SUM(BS$2:BS21)+AM21*F21</f>
        <v>411.09999999999854</v>
      </c>
      <c r="BT531" s="2">
        <f>SUM(BT$2:BT21)+AN21*G21</f>
        <v>-6005.9999999999854</v>
      </c>
      <c r="BU531" s="2">
        <f>SUM(BU$2:BU21)+AO21*H21</f>
        <v>4456.7000000000116</v>
      </c>
      <c r="BV531" s="2">
        <f>SUM(BV$2:BV21)+AP21*I21</f>
        <v>0</v>
      </c>
      <c r="BW531" s="2">
        <f>SUM(BW$2:BW21)+AQ21*J21</f>
        <v>-11930</v>
      </c>
      <c r="BX531" s="2">
        <f>SUM(BX$2:BX21)+AR21*K21</f>
        <v>3130</v>
      </c>
      <c r="BY531" s="2">
        <f>SUM(BY$2:BY21)+AS21*L21</f>
        <v>6670</v>
      </c>
      <c r="BZ531" s="2">
        <f>SUM(BZ$2:BZ21)+AT21*M21</f>
        <v>210</v>
      </c>
      <c r="CA531" s="2">
        <f>SUM(CA$2:CA21)+AU21*N21</f>
        <v>-2450</v>
      </c>
      <c r="CB531" s="2">
        <f>SUM(CB$2:CB21)+AV21*O21</f>
        <v>-2020</v>
      </c>
      <c r="CC531" s="2">
        <f>SUM(CC$2:CC21)+AW21*P21</f>
        <v>-220</v>
      </c>
      <c r="CD531" s="2">
        <f>SUM(CD$2:CD21)+AX21*Q21</f>
        <v>2810</v>
      </c>
      <c r="CE531" s="2">
        <f>SUM(CE$2:CE21)+AY21*R21</f>
        <v>-3060</v>
      </c>
      <c r="CF531" s="2">
        <f>SUM(CF$2:CF21)+AZ21*S21</f>
        <v>1853.260000000002</v>
      </c>
      <c r="CG531" s="2">
        <f>SUM(CG$2:CG21)+BA21*T21</f>
        <v>1881.4299999999857</v>
      </c>
      <c r="CH531" s="2">
        <f>SUM(CH$2:CH21)+BB21*U21</f>
        <v>986.27999999999884</v>
      </c>
      <c r="CI531" s="2">
        <f>SUM(CI$2:CI21)+BC21*V21</f>
        <v>-1170</v>
      </c>
      <c r="CJ531" s="2">
        <f>SUM(CJ$2:CJ21)+BD21*W21</f>
        <v>3800</v>
      </c>
      <c r="CK531" s="2">
        <f>SUM(CK$2:CK21)+BE21*X21</f>
        <v>-12420</v>
      </c>
      <c r="CL531" s="2">
        <f>SUM(CL$2:CL21)+BF21*Y21</f>
        <v>990</v>
      </c>
      <c r="CM531" s="2">
        <f>SUM(CM$2:CM21)+BG21*Z21</f>
        <v>-2270</v>
      </c>
      <c r="CN531" s="2">
        <f>SUM(CN$2:CN21)+BH21*AA21</f>
        <v>4315</v>
      </c>
      <c r="CO531" s="2">
        <f>SUM(CO$2:CO21)+BI21*AB21</f>
        <v>-13550</v>
      </c>
      <c r="CP531" s="2">
        <f>SUM(CP$2:CP21)+BJ21*AC21</f>
        <v>820</v>
      </c>
      <c r="CQ531" s="2">
        <f>SUM(CQ$2:CQ21)+BK21*AD21</f>
        <v>-1829.9999999999927</v>
      </c>
      <c r="CR531" s="2">
        <f>SUM(CR$2:CR21)+BL21*AE21</f>
        <v>-6400</v>
      </c>
      <c r="CV531" t="s">
        <v>64</v>
      </c>
      <c r="CW531" t="s">
        <v>604</v>
      </c>
      <c r="CX531" t="s">
        <v>18</v>
      </c>
      <c r="CY531" s="4">
        <v>43046</v>
      </c>
      <c r="CZ531" t="s">
        <v>67</v>
      </c>
      <c r="DA531" t="s">
        <v>68</v>
      </c>
      <c r="DB531">
        <v>65</v>
      </c>
      <c r="DC531">
        <v>53.48</v>
      </c>
      <c r="DD531" t="s">
        <v>69</v>
      </c>
      <c r="DE531" t="s">
        <v>70</v>
      </c>
      <c r="DF531">
        <v>3476.2</v>
      </c>
    </row>
    <row r="532" spans="36:110" x14ac:dyDescent="0.25">
      <c r="AJ532" s="2"/>
      <c r="BN532" s="1">
        <f t="shared" si="335"/>
        <v>42767</v>
      </c>
      <c r="BO532" s="2">
        <f>SUM(BO$2:BO22)+AI22*B22</f>
        <v>44960</v>
      </c>
      <c r="BP532" s="2">
        <f>SUM(BP$2:BP22)+AJ22*C22</f>
        <v>1673.5</v>
      </c>
      <c r="BQ532" s="2">
        <f>SUM(BQ$2:BQ22)+AK22*D22</f>
        <v>6682.4999999999709</v>
      </c>
      <c r="BR532" s="2">
        <f>SUM(BR$2:BR22)+AL22*E22</f>
        <v>1789.3000000000029</v>
      </c>
      <c r="BS532" s="2">
        <f>SUM(BS$2:BS22)+AM22*F22</f>
        <v>199</v>
      </c>
      <c r="BT532" s="2">
        <f>SUM(BT$2:BT22)+AN22*G22</f>
        <v>-6329.1999999999971</v>
      </c>
      <c r="BU532" s="2">
        <f>SUM(BU$2:BU22)+AO22*H22</f>
        <v>5093</v>
      </c>
      <c r="BV532" s="2">
        <f>SUM(BV$2:BV22)+AP22*I22</f>
        <v>0</v>
      </c>
      <c r="BW532" s="2">
        <f>SUM(BW$2:BW22)+AQ22*J22</f>
        <v>-10610</v>
      </c>
      <c r="BX532" s="2">
        <f>SUM(BX$2:BX22)+AR22*K22</f>
        <v>3000</v>
      </c>
      <c r="BY532" s="2">
        <f>SUM(BY$2:BY22)+AS22*L22</f>
        <v>6460</v>
      </c>
      <c r="BZ532" s="2">
        <f>SUM(BZ$2:BZ22)+AT22*M22</f>
        <v>-70</v>
      </c>
      <c r="CA532" s="2">
        <f>SUM(CA$2:CA22)+AU22*N22</f>
        <v>-2470</v>
      </c>
      <c r="CB532" s="2">
        <f>SUM(CB$2:CB22)+AV22*O22</f>
        <v>-1710</v>
      </c>
      <c r="CC532" s="2">
        <f>SUM(CC$2:CC22)+AW22*P22</f>
        <v>-510</v>
      </c>
      <c r="CD532" s="2">
        <f>SUM(CD$2:CD22)+AX22*Q22</f>
        <v>2670</v>
      </c>
      <c r="CE532" s="2">
        <f>SUM(CE$2:CE22)+AY22*R22</f>
        <v>-2730</v>
      </c>
      <c r="CF532" s="2">
        <f>SUM(CF$2:CF22)+AZ22*S22</f>
        <v>1950.3600000000079</v>
      </c>
      <c r="CG532" s="2">
        <f>SUM(CG$2:CG22)+BA22*T22</f>
        <v>884.38999999999214</v>
      </c>
      <c r="CH532" s="2">
        <f>SUM(CH$2:CH22)+BB22*U22</f>
        <v>1115.8799999999974</v>
      </c>
      <c r="CI532" s="2">
        <f>SUM(CI$2:CI22)+BC22*V22</f>
        <v>-930</v>
      </c>
      <c r="CJ532" s="2">
        <f>SUM(CJ$2:CJ22)+BD22*W22</f>
        <v>3550</v>
      </c>
      <c r="CK532" s="2">
        <f>SUM(CK$2:CK22)+BE22*X22</f>
        <v>-18320</v>
      </c>
      <c r="CL532" s="2">
        <f>SUM(CL$2:CL22)+BF22*Y22</f>
        <v>2760</v>
      </c>
      <c r="CM532" s="2">
        <f>SUM(CM$2:CM22)+BG22*Z22</f>
        <v>-5110</v>
      </c>
      <c r="CN532" s="2">
        <f>SUM(CN$2:CN22)+BH22*AA22</f>
        <v>3015.0000000000582</v>
      </c>
      <c r="CO532" s="2">
        <f>SUM(CO$2:CO22)+BI22*AB22</f>
        <v>-15230</v>
      </c>
      <c r="CP532" s="2">
        <f>SUM(CP$2:CP22)+BJ22*AC22</f>
        <v>820</v>
      </c>
      <c r="CQ532" s="2">
        <f>SUM(CQ$2:CQ22)+BK22*AD22</f>
        <v>-2319.9999999999927</v>
      </c>
      <c r="CR532" s="2">
        <f>SUM(CR$2:CR22)+BL22*AE22</f>
        <v>-7270</v>
      </c>
      <c r="CV532" t="s">
        <v>64</v>
      </c>
      <c r="CW532" t="s">
        <v>605</v>
      </c>
      <c r="CX532" t="s">
        <v>18</v>
      </c>
      <c r="CY532" s="4">
        <v>43047</v>
      </c>
      <c r="CZ532" t="s">
        <v>65</v>
      </c>
      <c r="DA532" t="s">
        <v>66</v>
      </c>
      <c r="DB532">
        <v>28</v>
      </c>
      <c r="DC532">
        <v>54.43</v>
      </c>
      <c r="DD532" t="s">
        <v>69</v>
      </c>
      <c r="DE532" t="s">
        <v>70</v>
      </c>
      <c r="DF532">
        <v>1524.04</v>
      </c>
    </row>
    <row r="533" spans="36:110" x14ac:dyDescent="0.25">
      <c r="AJ533" s="2"/>
      <c r="BN533" s="1">
        <f t="shared" si="335"/>
        <v>42768</v>
      </c>
      <c r="BO533" s="2">
        <f>SUM(BO$2:BO23)+AI23*B23</f>
        <v>43860</v>
      </c>
      <c r="BP533" s="2">
        <f>SUM(BP$2:BP23)+AJ23*C23</f>
        <v>1431.1000000000058</v>
      </c>
      <c r="BQ533" s="2">
        <f>SUM(BQ$2:BQ23)+AK23*D23</f>
        <v>5046.2999999999884</v>
      </c>
      <c r="BR533" s="2">
        <f>SUM(BR$2:BR23)+AL23*E23</f>
        <v>496.5</v>
      </c>
      <c r="BS533" s="2">
        <f>SUM(BS$2:BS23)+AM23*F23</f>
        <v>845.39999999999782</v>
      </c>
      <c r="BT533" s="2">
        <f>SUM(BT$2:BT23)+AN23*G23</f>
        <v>-5208.1000000000058</v>
      </c>
      <c r="BU533" s="2">
        <f>SUM(BU$2:BU23)+AO23*H23</f>
        <v>4416.3000000000029</v>
      </c>
      <c r="BV533" s="2">
        <f>SUM(BV$2:BV23)+AP23*I23</f>
        <v>0</v>
      </c>
      <c r="BW533" s="2">
        <f>SUM(BW$2:BW23)+AQ23*J23</f>
        <v>-10870</v>
      </c>
      <c r="BX533" s="2">
        <f>SUM(BX$2:BX23)+AR23*K23</f>
        <v>2530</v>
      </c>
      <c r="BY533" s="2">
        <f>SUM(BY$2:BY23)+AS23*L23</f>
        <v>6730</v>
      </c>
      <c r="BZ533" s="2">
        <f>SUM(BZ$2:BZ23)+AT23*M23</f>
        <v>80</v>
      </c>
      <c r="CA533" s="2">
        <f>SUM(CA$2:CA23)+AU23*N23</f>
        <v>-2150</v>
      </c>
      <c r="CB533" s="2">
        <f>SUM(CB$2:CB23)+AV23*O23</f>
        <v>-2060</v>
      </c>
      <c r="CC533" s="2">
        <f>SUM(CC$2:CC23)+AW23*P23</f>
        <v>-380</v>
      </c>
      <c r="CD533" s="2">
        <f>SUM(CD$2:CD23)+AX23*Q23</f>
        <v>3430</v>
      </c>
      <c r="CE533" s="2">
        <f>SUM(CE$2:CE23)+AY23*R23</f>
        <v>-3660</v>
      </c>
      <c r="CF533" s="2">
        <f>SUM(CF$2:CF23)+AZ23*S23</f>
        <v>3892.7200000000084</v>
      </c>
      <c r="CG533" s="2">
        <f>SUM(CG$2:CG23)+BA23*T23</f>
        <v>509.20999999999185</v>
      </c>
      <c r="CH533" s="2">
        <f>SUM(CH$2:CH23)+BB23*U23</f>
        <v>875.42000000000553</v>
      </c>
      <c r="CI533" s="2">
        <f>SUM(CI$2:CI23)+BC23*V23</f>
        <v>-870</v>
      </c>
      <c r="CJ533" s="2">
        <f>SUM(CJ$2:CJ23)+BD23*W23</f>
        <v>3950</v>
      </c>
      <c r="CK533" s="2">
        <f>SUM(CK$2:CK23)+BE23*X23</f>
        <v>-13120</v>
      </c>
      <c r="CL533" s="2">
        <f>SUM(CL$2:CL23)+BF23*Y23</f>
        <v>-2910</v>
      </c>
      <c r="CM533" s="2">
        <f>SUM(CM$2:CM23)+BG23*Z23</f>
        <v>-4750</v>
      </c>
      <c r="CN533" s="2">
        <f>SUM(CN$2:CN23)+BH23*AA23</f>
        <v>2315.0000000000582</v>
      </c>
      <c r="CO533" s="2">
        <f>SUM(CO$2:CO23)+BI23*AB23</f>
        <v>-15530</v>
      </c>
      <c r="CP533" s="2">
        <f>SUM(CP$2:CP23)+BJ23*AC23</f>
        <v>820</v>
      </c>
      <c r="CQ533" s="2">
        <f>SUM(CQ$2:CQ23)+BK23*AD23</f>
        <v>-1869.9999999999927</v>
      </c>
      <c r="CR533" s="2">
        <f>SUM(CR$2:CR23)+BL23*AE23</f>
        <v>-6810</v>
      </c>
      <c r="CV533" t="s">
        <v>64</v>
      </c>
      <c r="CW533" t="s">
        <v>606</v>
      </c>
      <c r="CX533" t="s">
        <v>18</v>
      </c>
      <c r="CY533" s="4">
        <v>43048</v>
      </c>
      <c r="CZ533" t="s">
        <v>65</v>
      </c>
      <c r="DA533" t="s">
        <v>66</v>
      </c>
      <c r="DB533">
        <v>2</v>
      </c>
      <c r="DC533">
        <v>54.08</v>
      </c>
      <c r="DD533" t="s">
        <v>69</v>
      </c>
      <c r="DE533" t="s">
        <v>70</v>
      </c>
      <c r="DF533">
        <v>108.16</v>
      </c>
    </row>
    <row r="534" spans="36:110" x14ac:dyDescent="0.25">
      <c r="AJ534" s="2"/>
      <c r="BN534" s="1">
        <f t="shared" si="335"/>
        <v>42769</v>
      </c>
      <c r="BO534" s="2">
        <f>SUM(BO$2:BO24)+AI24*B24</f>
        <v>46510</v>
      </c>
      <c r="BP534" s="2">
        <f>SUM(BP$2:BP24)+AJ24*C24</f>
        <v>2936</v>
      </c>
      <c r="BQ534" s="2">
        <f>SUM(BQ$2:BQ24)+AK24*D24</f>
        <v>5177.6000000000058</v>
      </c>
      <c r="BR534" s="2">
        <f>SUM(BR$2:BR24)+AL24*E24</f>
        <v>31.899999999994179</v>
      </c>
      <c r="BS534" s="2">
        <f>SUM(BS$2:BS24)+AM24*F24</f>
        <v>976.70000000000073</v>
      </c>
      <c r="BT534" s="2">
        <f>SUM(BT$2:BT24)+AN24*G24</f>
        <v>-3945.6000000000058</v>
      </c>
      <c r="BU534" s="2">
        <f>SUM(BU$2:BU24)+AO24*H24</f>
        <v>4113.3000000000029</v>
      </c>
      <c r="BV534" s="2">
        <f>SUM(BV$2:BV24)+AP24*I24</f>
        <v>0</v>
      </c>
      <c r="BW534" s="2">
        <f>SUM(BW$2:BW24)+AQ24*J24</f>
        <v>-600</v>
      </c>
      <c r="BX534" s="2">
        <f>SUM(BX$2:BX24)+AR24*K24</f>
        <v>3510</v>
      </c>
      <c r="BY534" s="2">
        <f>SUM(BY$2:BY24)+AS24*L24</f>
        <v>7860</v>
      </c>
      <c r="BZ534" s="2">
        <f>SUM(BZ$2:BZ24)+AT24*M24</f>
        <v>170</v>
      </c>
      <c r="CA534" s="2">
        <f>SUM(CA$2:CA24)+AU24*N24</f>
        <v>-2080</v>
      </c>
      <c r="CB534" s="2">
        <f>SUM(CB$2:CB24)+AV24*O24</f>
        <v>410</v>
      </c>
      <c r="CC534" s="2">
        <f>SUM(CC$2:CC24)+AW24*P24</f>
        <v>-240</v>
      </c>
      <c r="CD534" s="2">
        <f>SUM(CD$2:CD24)+AX24*Q24</f>
        <v>4400</v>
      </c>
      <c r="CE534" s="2">
        <f>SUM(CE$2:CE24)+AY24*R24</f>
        <v>-2850</v>
      </c>
      <c r="CF534" s="2">
        <f>SUM(CF$2:CF24)+AZ24*S24</f>
        <v>3994.0200000000114</v>
      </c>
      <c r="CG534" s="2">
        <f>SUM(CG$2:CG24)+BA24*T24</f>
        <v>1047.2299999999814</v>
      </c>
      <c r="CH534" s="2">
        <f>SUM(CH$2:CH24)+BB24*U24</f>
        <v>415.75000000000728</v>
      </c>
      <c r="CI534" s="2">
        <f>SUM(CI$2:CI24)+BC24*V24</f>
        <v>-1200</v>
      </c>
      <c r="CJ534" s="2">
        <f>SUM(CJ$2:CJ24)+BD24*W24</f>
        <v>3630</v>
      </c>
      <c r="CK534" s="2">
        <f>SUM(CK$2:CK24)+BE24*X24</f>
        <v>-12420</v>
      </c>
      <c r="CL534" s="2">
        <f>SUM(CL$2:CL24)+BF24*Y24</f>
        <v>330</v>
      </c>
      <c r="CM534" s="2">
        <f>SUM(CM$2:CM24)+BG24*Z24</f>
        <v>-2310</v>
      </c>
      <c r="CN534" s="2">
        <f>SUM(CN$2:CN24)+BH24*AA24</f>
        <v>20915</v>
      </c>
      <c r="CO534" s="2">
        <f>SUM(CO$2:CO24)+BI24*AB24</f>
        <v>-14720</v>
      </c>
      <c r="CP534" s="2">
        <f>SUM(CP$2:CP24)+BJ24*AC24</f>
        <v>820</v>
      </c>
      <c r="CQ534" s="2">
        <f>SUM(CQ$2:CQ24)+BK24*AD24</f>
        <v>-2059.9999999999927</v>
      </c>
      <c r="CR534" s="2">
        <f>SUM(CR$2:CR24)+BL24*AE24</f>
        <v>-6720</v>
      </c>
      <c r="CV534" t="s">
        <v>64</v>
      </c>
      <c r="CW534" t="s">
        <v>607</v>
      </c>
      <c r="CX534" t="s">
        <v>18</v>
      </c>
      <c r="CY534" s="4">
        <v>43049</v>
      </c>
      <c r="CZ534" t="s">
        <v>67</v>
      </c>
      <c r="DA534" t="s">
        <v>68</v>
      </c>
      <c r="DB534">
        <v>46</v>
      </c>
      <c r="DC534">
        <v>53.38</v>
      </c>
      <c r="DD534" t="s">
        <v>69</v>
      </c>
      <c r="DE534" t="s">
        <v>70</v>
      </c>
      <c r="DF534">
        <v>2455.48</v>
      </c>
    </row>
    <row r="535" spans="36:110" x14ac:dyDescent="0.25">
      <c r="AJ535" s="2"/>
      <c r="BN535" s="1">
        <f t="shared" si="335"/>
        <v>42772</v>
      </c>
      <c r="BO535" s="2">
        <f>SUM(BO$2:BO25)+AI25*B25</f>
        <v>52360</v>
      </c>
      <c r="BP535" s="2">
        <f>SUM(BP$2:BP25)+AJ25*C25</f>
        <v>2713.8000000000029</v>
      </c>
      <c r="BQ535" s="2">
        <f>SUM(BQ$2:BQ25)+AK25*D25</f>
        <v>6692.6000000000058</v>
      </c>
      <c r="BR535" s="2">
        <f>SUM(BR$2:BR25)+AL25*E25</f>
        <v>-362</v>
      </c>
      <c r="BS535" s="2">
        <f>SUM(BS$2:BS25)+AM25*F25</f>
        <v>956.5</v>
      </c>
      <c r="BT535" s="2">
        <f>SUM(BT$2:BT25)+AN25*G25</f>
        <v>-4501.0999999999913</v>
      </c>
      <c r="BU535" s="2">
        <f>SUM(BU$2:BU25)+AO25*H25</f>
        <v>3396.1999999999971</v>
      </c>
      <c r="BV535" s="2">
        <f>SUM(BV$2:BV25)+AP25*I25</f>
        <v>0</v>
      </c>
      <c r="BW535" s="2">
        <f>SUM(BW$2:BW25)+AQ25*J25</f>
        <v>-1550</v>
      </c>
      <c r="BX535" s="2">
        <f>SUM(BX$2:BX25)+AR25*K25</f>
        <v>2090</v>
      </c>
      <c r="BY535" s="2">
        <f>SUM(BY$2:BY25)+AS25*L25</f>
        <v>7890</v>
      </c>
      <c r="BZ535" s="2">
        <f>SUM(BZ$2:BZ25)+AT25*M25</f>
        <v>-70</v>
      </c>
      <c r="CA535" s="2">
        <f>SUM(CA$2:CA25)+AU25*N25</f>
        <v>-2310</v>
      </c>
      <c r="CB535" s="2">
        <f>SUM(CB$2:CB25)+AV25*O25</f>
        <v>20</v>
      </c>
      <c r="CC535" s="2">
        <f>SUM(CC$2:CC25)+AW25*P25</f>
        <v>-230</v>
      </c>
      <c r="CD535" s="2">
        <f>SUM(CD$2:CD25)+AX25*Q25</f>
        <v>4600</v>
      </c>
      <c r="CE535" s="2">
        <f>SUM(CE$2:CE25)+AY25*R25</f>
        <v>-2790</v>
      </c>
      <c r="CF535" s="2">
        <f>SUM(CF$2:CF25)+AZ25*S25</f>
        <v>4611.3400000000111</v>
      </c>
      <c r="CG535" s="2">
        <f>SUM(CG$2:CG25)+BA25*T25</f>
        <v>1010.5499999999811</v>
      </c>
      <c r="CH535" s="2">
        <f>SUM(CH$2:CH25)+BB25*U25</f>
        <v>876.28000000000611</v>
      </c>
      <c r="CI535" s="2">
        <f>SUM(CI$2:CI25)+BC25*V25</f>
        <v>-1330</v>
      </c>
      <c r="CJ535" s="2">
        <f>SUM(CJ$2:CJ25)+BD25*W25</f>
        <v>3620</v>
      </c>
      <c r="CK535" s="2">
        <f>SUM(CK$2:CK25)+BE25*X25</f>
        <v>-12920</v>
      </c>
      <c r="CL535" s="2">
        <f>SUM(CL$2:CL25)+BF25*Y25</f>
        <v>-3629.9999999999418</v>
      </c>
      <c r="CM535" s="2">
        <f>SUM(CM$2:CM25)+BG25*Z25</f>
        <v>-350</v>
      </c>
      <c r="CN535" s="2">
        <f>SUM(CN$2:CN25)+BH25*AA25</f>
        <v>21515</v>
      </c>
      <c r="CO535" s="2">
        <f>SUM(CO$2:CO25)+BI25*AB25</f>
        <v>-16220</v>
      </c>
      <c r="CP535" s="2">
        <f>SUM(CP$2:CP25)+BJ25*AC25</f>
        <v>820</v>
      </c>
      <c r="CQ535" s="2">
        <f>SUM(CQ$2:CQ25)+BK25*AD25</f>
        <v>-2149.9999999999927</v>
      </c>
      <c r="CR535" s="2">
        <f>SUM(CR$2:CR25)+BL25*AE25</f>
        <v>-6930</v>
      </c>
      <c r="CV535" t="s">
        <v>64</v>
      </c>
      <c r="CW535" t="s">
        <v>608</v>
      </c>
      <c r="CX535" t="s">
        <v>18</v>
      </c>
      <c r="CY535" s="4">
        <v>43052</v>
      </c>
      <c r="CZ535" t="s">
        <v>65</v>
      </c>
      <c r="DA535" t="s">
        <v>66</v>
      </c>
      <c r="DB535">
        <v>78</v>
      </c>
      <c r="DC535">
        <v>53.01</v>
      </c>
      <c r="DD535" t="s">
        <v>69</v>
      </c>
      <c r="DE535" t="s">
        <v>70</v>
      </c>
      <c r="DF535">
        <v>4134.78</v>
      </c>
    </row>
    <row r="536" spans="36:110" x14ac:dyDescent="0.25">
      <c r="AJ536" s="2"/>
      <c r="BN536" s="1">
        <f t="shared" si="335"/>
        <v>42773</v>
      </c>
      <c r="BO536" s="2">
        <f>SUM(BO$2:BO26)+AI26*B26</f>
        <v>58360</v>
      </c>
      <c r="BP536" s="2">
        <f>SUM(BP$2:BP26)+AJ26*C26</f>
        <v>2622.9000000000087</v>
      </c>
      <c r="BQ536" s="2">
        <f>SUM(BQ$2:BQ26)+AK26*D26</f>
        <v>9106.4999999999709</v>
      </c>
      <c r="BR536" s="2">
        <f>SUM(BR$2:BR26)+AL26*E26</f>
        <v>52.100000000005821</v>
      </c>
      <c r="BS536" s="2">
        <f>SUM(BS$2:BS26)+AM26*F26</f>
        <v>1097.8999999999978</v>
      </c>
      <c r="BT536" s="2">
        <f>SUM(BT$2:BT26)+AN26*G26</f>
        <v>-5965.6000000000058</v>
      </c>
      <c r="BU536" s="2">
        <f>SUM(BU$2:BU26)+AO26*H26</f>
        <v>2840.6999999999971</v>
      </c>
      <c r="BV536" s="2">
        <f>SUM(BV$2:BV26)+AP26*I26</f>
        <v>0</v>
      </c>
      <c r="BW536" s="2">
        <f>SUM(BW$2:BW26)+AQ26*J26</f>
        <v>-1900</v>
      </c>
      <c r="BX536" s="2">
        <f>SUM(BX$2:BX26)+AR26*K26</f>
        <v>2240</v>
      </c>
      <c r="BY536" s="2">
        <f>SUM(BY$2:BY26)+AS26*L26</f>
        <v>10260</v>
      </c>
      <c r="BZ536" s="2">
        <f>SUM(BZ$2:BZ26)+AT26*M26</f>
        <v>10</v>
      </c>
      <c r="CA536" s="2">
        <f>SUM(CA$2:CA26)+AU26*N26</f>
        <v>-2230</v>
      </c>
      <c r="CB536" s="2">
        <f>SUM(CB$2:CB26)+AV26*O26</f>
        <v>-30</v>
      </c>
      <c r="CC536" s="2">
        <f>SUM(CC$2:CC26)+AW26*P26</f>
        <v>90</v>
      </c>
      <c r="CD536" s="2">
        <f>SUM(CD$2:CD26)+AX26*Q26</f>
        <v>4730</v>
      </c>
      <c r="CE536" s="2">
        <f>SUM(CE$2:CE26)+AY26*R26</f>
        <v>-2170</v>
      </c>
      <c r="CF536" s="2">
        <f>SUM(CF$2:CF26)+AZ26*S26</f>
        <v>3910.9900000000052</v>
      </c>
      <c r="CG536" s="2">
        <f>SUM(CG$2:CG26)+BA26*T26</f>
        <v>813.54999999998836</v>
      </c>
      <c r="CH536" s="2">
        <f>SUM(CH$2:CH26)+BB26*U26</f>
        <v>885.83000000000175</v>
      </c>
      <c r="CI536" s="2">
        <f>SUM(CI$2:CI26)+BC26*V26</f>
        <v>-1190</v>
      </c>
      <c r="CJ536" s="2">
        <f>SUM(CJ$2:CJ26)+BD26*W26</f>
        <v>4190</v>
      </c>
      <c r="CK536" s="2">
        <f>SUM(CK$2:CK26)+BE26*X26</f>
        <v>-12520</v>
      </c>
      <c r="CL536" s="2">
        <f>SUM(CL$2:CL26)+BF26*Y26</f>
        <v>-3570</v>
      </c>
      <c r="CM536" s="2">
        <f>SUM(CM$2:CM26)+BG26*Z26</f>
        <v>730</v>
      </c>
      <c r="CN536" s="2">
        <f>SUM(CN$2:CN26)+BH26*AA26</f>
        <v>21640</v>
      </c>
      <c r="CO536" s="2">
        <f>SUM(CO$2:CO26)+BI26*AB26</f>
        <v>-16190</v>
      </c>
      <c r="CP536" s="2">
        <f>SUM(CP$2:CP26)+BJ26*AC26</f>
        <v>820</v>
      </c>
      <c r="CQ536" s="2">
        <f>SUM(CQ$2:CQ26)+BK26*AD26</f>
        <v>-1689.9999999999927</v>
      </c>
      <c r="CR536" s="2">
        <f>SUM(CR$2:CR26)+BL26*AE26</f>
        <v>-7430</v>
      </c>
      <c r="CV536" t="s">
        <v>64</v>
      </c>
      <c r="CW536" t="s">
        <v>609</v>
      </c>
      <c r="CX536" t="s">
        <v>18</v>
      </c>
      <c r="CY536" s="4">
        <v>43053</v>
      </c>
      <c r="CZ536" t="s">
        <v>65</v>
      </c>
      <c r="DA536" t="s">
        <v>66</v>
      </c>
      <c r="DB536">
        <v>11</v>
      </c>
      <c r="DC536">
        <v>52.9</v>
      </c>
      <c r="DD536" t="s">
        <v>69</v>
      </c>
      <c r="DE536" t="s">
        <v>70</v>
      </c>
      <c r="DF536">
        <v>581.9</v>
      </c>
    </row>
    <row r="537" spans="36:110" x14ac:dyDescent="0.25">
      <c r="AJ537" s="2"/>
      <c r="BN537" s="1">
        <f t="shared" si="335"/>
        <v>42774</v>
      </c>
      <c r="BO537" s="2">
        <f>SUM(BO$2:BO27)+AI27*B27</f>
        <v>60810</v>
      </c>
      <c r="BP537" s="2">
        <f>SUM(BP$2:BP27)+AJ27*C27</f>
        <v>2693.6000000000058</v>
      </c>
      <c r="BQ537" s="2">
        <f>SUM(BQ$2:BQ27)+AK27*D27</f>
        <v>7884.3999999999942</v>
      </c>
      <c r="BR537" s="2">
        <f>SUM(BR$2:BR27)+AL27*E27</f>
        <v>-331.70000000001164</v>
      </c>
      <c r="BS537" s="2">
        <f>SUM(BS$2:BS27)+AM27*F27</f>
        <v>926.20000000000073</v>
      </c>
      <c r="BT537" s="2">
        <f>SUM(BT$2:BT27)+AN27*G27</f>
        <v>-5793.8999999999942</v>
      </c>
      <c r="BU537" s="2">
        <f>SUM(BU$2:BU27)+AO27*H27</f>
        <v>2840.6999999999971</v>
      </c>
      <c r="BV537" s="2">
        <f>SUM(BV$2:BV27)+AP27*I27</f>
        <v>0</v>
      </c>
      <c r="BW537" s="2">
        <f>SUM(BW$2:BW27)+AQ27*J27</f>
        <v>-3740</v>
      </c>
      <c r="BX537" s="2">
        <f>SUM(BX$2:BX27)+AR27*K27</f>
        <v>3420</v>
      </c>
      <c r="BY537" s="2">
        <f>SUM(BY$2:BY27)+AS27*L27</f>
        <v>9440</v>
      </c>
      <c r="BZ537" s="2">
        <f>SUM(BZ$2:BZ27)+AT27*M27</f>
        <v>40</v>
      </c>
      <c r="CA537" s="2">
        <f>SUM(CA$2:CA27)+AU27*N27</f>
        <v>-2310</v>
      </c>
      <c r="CB537" s="2">
        <f>SUM(CB$2:CB27)+AV27*O27</f>
        <v>-750</v>
      </c>
      <c r="CC537" s="2">
        <f>SUM(CC$2:CC27)+AW27*P27</f>
        <v>200</v>
      </c>
      <c r="CD537" s="2">
        <f>SUM(CD$2:CD27)+AX27*Q27</f>
        <v>4810</v>
      </c>
      <c r="CE537" s="2">
        <f>SUM(CE$2:CE27)+AY27*R27</f>
        <v>-930</v>
      </c>
      <c r="CF537" s="2">
        <f>SUM(CF$2:CF27)+AZ27*S27</f>
        <v>4017.5800000000017</v>
      </c>
      <c r="CG537" s="2">
        <f>SUM(CG$2:CG27)+BA27*T27</f>
        <v>722.28999999998632</v>
      </c>
      <c r="CH537" s="2">
        <f>SUM(CH$2:CH27)+BB27*U27</f>
        <v>1873.8799999999974</v>
      </c>
      <c r="CI537" s="2">
        <f>SUM(CI$2:CI27)+BC27*V27</f>
        <v>-1250</v>
      </c>
      <c r="CJ537" s="2">
        <f>SUM(CJ$2:CJ27)+BD27*W27</f>
        <v>4490</v>
      </c>
      <c r="CK537" s="2">
        <f>SUM(CK$2:CK27)+BE27*X27</f>
        <v>-12270</v>
      </c>
      <c r="CL537" s="2">
        <f>SUM(CL$2:CL27)+BF27*Y27</f>
        <v>-4230</v>
      </c>
      <c r="CM537" s="2">
        <f>SUM(CM$2:CM27)+BG27*Z27</f>
        <v>-3320</v>
      </c>
      <c r="CN537" s="2">
        <f>SUM(CN$2:CN27)+BH27*AA27</f>
        <v>23339.999999999971</v>
      </c>
      <c r="CO537" s="2">
        <f>SUM(CO$2:CO27)+BI27*AB27</f>
        <v>-15290</v>
      </c>
      <c r="CP537" s="2">
        <f>SUM(CP$2:CP27)+BJ27*AC27</f>
        <v>820</v>
      </c>
      <c r="CQ537" s="2">
        <f>SUM(CQ$2:CQ27)+BK27*AD27</f>
        <v>-810</v>
      </c>
      <c r="CR537" s="2">
        <f>SUM(CR$2:CR27)+BL27*AE27</f>
        <v>-7930</v>
      </c>
      <c r="CV537" t="s">
        <v>64</v>
      </c>
      <c r="CW537" t="s">
        <v>610</v>
      </c>
      <c r="CX537" t="s">
        <v>18</v>
      </c>
      <c r="CY537" s="4">
        <v>43054</v>
      </c>
      <c r="CZ537" t="s">
        <v>67</v>
      </c>
      <c r="DA537" t="s">
        <v>68</v>
      </c>
      <c r="DB537">
        <v>95</v>
      </c>
      <c r="DC537">
        <v>52.72</v>
      </c>
      <c r="DD537" t="s">
        <v>69</v>
      </c>
      <c r="DE537" t="s">
        <v>70</v>
      </c>
      <c r="DF537">
        <v>5008.3999999999996</v>
      </c>
    </row>
    <row r="538" spans="36:110" x14ac:dyDescent="0.25">
      <c r="AJ538" s="2"/>
      <c r="BN538" s="1">
        <f t="shared" si="335"/>
        <v>42775</v>
      </c>
      <c r="BO538" s="2">
        <f>SUM(BO$2:BO28)+AI28*B28</f>
        <v>65410</v>
      </c>
      <c r="BP538" s="2">
        <f>SUM(BP$2:BP28)+AJ28*C28</f>
        <v>3067.3000000000175</v>
      </c>
      <c r="BQ538" s="2">
        <f>SUM(BQ$2:BQ28)+AK28*D28</f>
        <v>8338.8999999999942</v>
      </c>
      <c r="BR538" s="2">
        <f>SUM(BR$2:BR28)+AL28*E28</f>
        <v>678.29999999998836</v>
      </c>
      <c r="BS538" s="2">
        <f>SUM(BS$2:BS28)+AM28*F28</f>
        <v>1148.3999999999978</v>
      </c>
      <c r="BT538" s="2">
        <f>SUM(BT$2:BT28)+AN28*G28</f>
        <v>-5167.6999999999971</v>
      </c>
      <c r="BU538" s="2">
        <f>SUM(BU$2:BU28)+AO28*H28</f>
        <v>3315.3999999999942</v>
      </c>
      <c r="BV538" s="2">
        <f>SUM(BV$2:BV28)+AP28*I28</f>
        <v>0</v>
      </c>
      <c r="BW538" s="2">
        <f>SUM(BW$2:BW28)+AQ28*J28</f>
        <v>-20</v>
      </c>
      <c r="BX538" s="2">
        <f>SUM(BX$2:BX28)+AR28*K28</f>
        <v>4210</v>
      </c>
      <c r="BY538" s="2">
        <f>SUM(BY$2:BY28)+AS28*L28</f>
        <v>10400</v>
      </c>
      <c r="BZ538" s="2">
        <f>SUM(BZ$2:BZ28)+AT28*M28</f>
        <v>-830</v>
      </c>
      <c r="CA538" s="2">
        <f>SUM(CA$2:CA28)+AU28*N28</f>
        <v>-1670</v>
      </c>
      <c r="CB538" s="2">
        <f>SUM(CB$2:CB28)+AV28*O28</f>
        <v>430</v>
      </c>
      <c r="CC538" s="2">
        <f>SUM(CC$2:CC28)+AW28*P28</f>
        <v>-520</v>
      </c>
      <c r="CD538" s="2">
        <f>SUM(CD$2:CD28)+AX28*Q28</f>
        <v>4630</v>
      </c>
      <c r="CE538" s="2">
        <f>SUM(CE$2:CE28)+AY28*R28</f>
        <v>120</v>
      </c>
      <c r="CF538" s="2">
        <f>SUM(CF$2:CF28)+AZ28*S28</f>
        <v>4085.4099999999962</v>
      </c>
      <c r="CG538" s="2">
        <f>SUM(CG$2:CG28)+BA28*T28</f>
        <v>1386.0699999999924</v>
      </c>
      <c r="CH538" s="2">
        <f>SUM(CH$2:CH28)+BB28*U28</f>
        <v>3219.4000000000015</v>
      </c>
      <c r="CI538" s="2">
        <f>SUM(CI$2:CI28)+BC28*V28</f>
        <v>-1470</v>
      </c>
      <c r="CJ538" s="2">
        <f>SUM(CJ$2:CJ28)+BD28*W28</f>
        <v>4810</v>
      </c>
      <c r="CK538" s="2">
        <f>SUM(CK$2:CK28)+BE28*X28</f>
        <v>-7620</v>
      </c>
      <c r="CL538" s="2">
        <f>SUM(CL$2:CL28)+BF28*Y28</f>
        <v>-3840.0000000000582</v>
      </c>
      <c r="CM538" s="2">
        <f>SUM(CM$2:CM28)+BG28*Z28</f>
        <v>-4770</v>
      </c>
      <c r="CN538" s="2">
        <f>SUM(CN$2:CN28)+BH28*AA28</f>
        <v>22140</v>
      </c>
      <c r="CO538" s="2">
        <f>SUM(CO$2:CO28)+BI28*AB28</f>
        <v>-14090</v>
      </c>
      <c r="CP538" s="2">
        <f>SUM(CP$2:CP28)+BJ28*AC28</f>
        <v>820</v>
      </c>
      <c r="CQ538" s="2">
        <f>SUM(CQ$2:CQ28)+BK28*AD28</f>
        <v>400.00000000000728</v>
      </c>
      <c r="CR538" s="2">
        <f>SUM(CR$2:CR28)+BL28*AE28</f>
        <v>-7590</v>
      </c>
      <c r="CV538" t="s">
        <v>64</v>
      </c>
      <c r="CW538" t="s">
        <v>611</v>
      </c>
      <c r="CX538" t="s">
        <v>18</v>
      </c>
      <c r="CY538" s="4">
        <v>43055</v>
      </c>
      <c r="CZ538" t="s">
        <v>65</v>
      </c>
      <c r="DA538" t="s">
        <v>66</v>
      </c>
      <c r="DB538">
        <v>21</v>
      </c>
      <c r="DC538">
        <v>53.08</v>
      </c>
      <c r="DD538" t="s">
        <v>69</v>
      </c>
      <c r="DE538" t="s">
        <v>70</v>
      </c>
      <c r="DF538">
        <v>1114.68</v>
      </c>
    </row>
    <row r="539" spans="36:110" x14ac:dyDescent="0.25">
      <c r="AJ539" s="2"/>
      <c r="BN539" s="1">
        <f t="shared" si="335"/>
        <v>42776</v>
      </c>
      <c r="BO539" s="2">
        <f>SUM(BO$2:BO29)+AI29*B29</f>
        <v>63960.000000000116</v>
      </c>
      <c r="BP539" s="2">
        <f>SUM(BP$2:BP29)+AJ29*C29</f>
        <v>3370.3000000000029</v>
      </c>
      <c r="BQ539" s="2">
        <f>SUM(BQ$2:BQ29)+AK29*D29</f>
        <v>10217.499999999971</v>
      </c>
      <c r="BR539" s="2">
        <f>SUM(BR$2:BR29)+AL29*E29</f>
        <v>2940.7000000000116</v>
      </c>
      <c r="BS539" s="2">
        <f>SUM(BS$2:BS29)+AM29*F29</f>
        <v>1158.5</v>
      </c>
      <c r="BT539" s="2">
        <f>SUM(BT$2:BT29)+AN29*G29</f>
        <v>-4430.3999999999942</v>
      </c>
      <c r="BU539" s="2">
        <f>SUM(BU$2:BU29)+AO29*H29</f>
        <v>3093.1999999999971</v>
      </c>
      <c r="BV539" s="2">
        <f>SUM(BV$2:BV29)+AP29*I29</f>
        <v>0</v>
      </c>
      <c r="BW539" s="2">
        <f>SUM(BW$2:BW29)+AQ29*J29</f>
        <v>1120</v>
      </c>
      <c r="BX539" s="2">
        <f>SUM(BX$2:BX29)+AR29*K29</f>
        <v>5300</v>
      </c>
      <c r="BY539" s="2">
        <f>SUM(BY$2:BY29)+AS29*L29</f>
        <v>11750</v>
      </c>
      <c r="BZ539" s="2">
        <f>SUM(BZ$2:BZ29)+AT29*M29</f>
        <v>-950</v>
      </c>
      <c r="CA539" s="2">
        <f>SUM(CA$2:CA29)+AU29*N29</f>
        <v>-560</v>
      </c>
      <c r="CB539" s="2">
        <f>SUM(CB$2:CB29)+AV29*O29</f>
        <v>240</v>
      </c>
      <c r="CC539" s="2">
        <f>SUM(CC$2:CC29)+AW29*P29</f>
        <v>-1140</v>
      </c>
      <c r="CD539" s="2">
        <f>SUM(CD$2:CD29)+AX29*Q29</f>
        <v>5900</v>
      </c>
      <c r="CE539" s="2">
        <f>SUM(CE$2:CE29)+AY29*R29</f>
        <v>890</v>
      </c>
      <c r="CF539" s="2">
        <f>SUM(CF$2:CF29)+AZ29*S29</f>
        <v>3862.3100000000049</v>
      </c>
      <c r="CG539" s="2">
        <f>SUM(CG$2:CG29)+BA29*T29</f>
        <v>1333.1199999999881</v>
      </c>
      <c r="CH539" s="2">
        <f>SUM(CH$2:CH29)+BB29*U29</f>
        <v>4198.4000000000015</v>
      </c>
      <c r="CI539" s="2">
        <f>SUM(CI$2:CI29)+BC29*V29</f>
        <v>-1450</v>
      </c>
      <c r="CJ539" s="2">
        <f>SUM(CJ$2:CJ29)+BD29*W29</f>
        <v>4150</v>
      </c>
      <c r="CK539" s="2">
        <f>SUM(CK$2:CK29)+BE29*X29</f>
        <v>-3070</v>
      </c>
      <c r="CL539" s="2">
        <f>SUM(CL$2:CL29)+BF29*Y29</f>
        <v>-2940</v>
      </c>
      <c r="CM539" s="2">
        <f>SUM(CM$2:CM29)+BG29*Z29</f>
        <v>-220</v>
      </c>
      <c r="CN539" s="2">
        <f>SUM(CN$2:CN29)+BH29*AA29</f>
        <v>21365</v>
      </c>
      <c r="CO539" s="2">
        <f>SUM(CO$2:CO29)+BI29*AB29</f>
        <v>-13610</v>
      </c>
      <c r="CP539" s="2">
        <f>SUM(CP$2:CP29)+BJ29*AC29</f>
        <v>820</v>
      </c>
      <c r="CQ539" s="2">
        <f>SUM(CQ$2:CQ29)+BK29*AD29</f>
        <v>-610</v>
      </c>
      <c r="CR539" s="2">
        <f>SUM(CR$2:CR29)+BL29*AE29</f>
        <v>-6970</v>
      </c>
      <c r="CV539" t="s">
        <v>64</v>
      </c>
      <c r="CW539" t="s">
        <v>612</v>
      </c>
      <c r="CX539" t="s">
        <v>18</v>
      </c>
      <c r="CY539" s="4">
        <v>43056</v>
      </c>
      <c r="CZ539" t="s">
        <v>65</v>
      </c>
      <c r="DA539" t="s">
        <v>66</v>
      </c>
      <c r="DB539">
        <v>77</v>
      </c>
      <c r="DC539">
        <v>53.11</v>
      </c>
      <c r="DD539" t="s">
        <v>69</v>
      </c>
      <c r="DE539" t="s">
        <v>70</v>
      </c>
      <c r="DF539">
        <v>4089.47</v>
      </c>
    </row>
    <row r="540" spans="36:110" x14ac:dyDescent="0.25">
      <c r="AJ540" s="2"/>
      <c r="BN540" s="1">
        <f t="shared" si="335"/>
        <v>42779</v>
      </c>
      <c r="BO540" s="2">
        <f>SUM(BO$2:BO30)+AI30*B30</f>
        <v>69660</v>
      </c>
      <c r="BP540" s="2">
        <f>SUM(BP$2:BP30)+AJ30*C30</f>
        <v>3784.3999999999942</v>
      </c>
      <c r="BQ540" s="2">
        <f>SUM(BQ$2:BQ30)+AK30*D30</f>
        <v>11964.799999999988</v>
      </c>
      <c r="BR540" s="2">
        <f>SUM(BR$2:BR30)+AL30*E30</f>
        <v>5041.5</v>
      </c>
      <c r="BS540" s="2">
        <f>SUM(BS$2:BS30)+AM30*F30</f>
        <v>1592.8000000000029</v>
      </c>
      <c r="BT540" s="2">
        <f>SUM(BT$2:BT30)+AN30*G30</f>
        <v>-3632.4999999999854</v>
      </c>
      <c r="BU540" s="2">
        <f>SUM(BU$2:BU30)+AO30*H30</f>
        <v>3477.0000000000146</v>
      </c>
      <c r="BV540" s="2">
        <f>SUM(BV$2:BV30)+AP30*I30</f>
        <v>0</v>
      </c>
      <c r="BW540" s="2">
        <f>SUM(BW$2:BW30)+AQ30*J30</f>
        <v>4580</v>
      </c>
      <c r="BX540" s="2">
        <f>SUM(BX$2:BX30)+AR30*K30</f>
        <v>5320</v>
      </c>
      <c r="BY540" s="2">
        <f>SUM(BY$2:BY30)+AS30*L30</f>
        <v>12370</v>
      </c>
      <c r="BZ540" s="2">
        <f>SUM(BZ$2:BZ30)+AT30*M30</f>
        <v>-510</v>
      </c>
      <c r="CA540" s="2">
        <f>SUM(CA$2:CA30)+AU30*N30</f>
        <v>40</v>
      </c>
      <c r="CB540" s="2">
        <f>SUM(CB$2:CB30)+AV30*O30</f>
        <v>1340</v>
      </c>
      <c r="CC540" s="2">
        <f>SUM(CC$2:CC30)+AW30*P30</f>
        <v>-1110</v>
      </c>
      <c r="CD540" s="2">
        <f>SUM(CD$2:CD30)+AX30*Q30</f>
        <v>5630</v>
      </c>
      <c r="CE540" s="2">
        <f>SUM(CE$2:CE30)+AY30*R30</f>
        <v>2800</v>
      </c>
      <c r="CF540" s="2">
        <f>SUM(CF$2:CF30)+AZ30*S30</f>
        <v>4448.6900000000023</v>
      </c>
      <c r="CG540" s="2">
        <f>SUM(CG$2:CG30)+BA30*T30</f>
        <v>2022.4299999999857</v>
      </c>
      <c r="CH540" s="2">
        <f>SUM(CH$2:CH30)+BB30*U30</f>
        <v>4069.4399999999951</v>
      </c>
      <c r="CI540" s="2">
        <f>SUM(CI$2:CI30)+BC30*V30</f>
        <v>-1690</v>
      </c>
      <c r="CJ540" s="2">
        <f>SUM(CJ$2:CJ30)+BD30*W30</f>
        <v>4470</v>
      </c>
      <c r="CK540" s="2">
        <f>SUM(CK$2:CK30)+BE30*X30</f>
        <v>-3170</v>
      </c>
      <c r="CL540" s="2">
        <f>SUM(CL$2:CL30)+BF30*Y30</f>
        <v>659.99999999994179</v>
      </c>
      <c r="CM540" s="2">
        <f>SUM(CM$2:CM30)+BG30*Z30</f>
        <v>4380</v>
      </c>
      <c r="CN540" s="2">
        <f>SUM(CN$2:CN30)+BH30*AA30</f>
        <v>20690</v>
      </c>
      <c r="CO540" s="2">
        <f>SUM(CO$2:CO30)+BI30*AB30</f>
        <v>-14810</v>
      </c>
      <c r="CP540" s="2">
        <f>SUM(CP$2:CP30)+BJ30*AC30</f>
        <v>820</v>
      </c>
      <c r="CQ540" s="2">
        <f>SUM(CQ$2:CQ30)+BK30*AD30</f>
        <v>-849.99999999999272</v>
      </c>
      <c r="CR540" s="2">
        <f>SUM(CR$2:CR30)+BL30*AE30</f>
        <v>-6520</v>
      </c>
      <c r="CV540" t="s">
        <v>64</v>
      </c>
      <c r="CW540" t="s">
        <v>613</v>
      </c>
      <c r="CX540" t="s">
        <v>18</v>
      </c>
      <c r="CY540" s="4">
        <v>43059</v>
      </c>
      <c r="CZ540" t="s">
        <v>67</v>
      </c>
      <c r="DA540" t="s">
        <v>68</v>
      </c>
      <c r="DB540">
        <v>43</v>
      </c>
      <c r="DC540">
        <v>52.05</v>
      </c>
      <c r="DD540" t="s">
        <v>69</v>
      </c>
      <c r="DE540" t="s">
        <v>70</v>
      </c>
      <c r="DF540">
        <v>2238.15</v>
      </c>
    </row>
    <row r="541" spans="36:110" x14ac:dyDescent="0.25">
      <c r="AJ541" s="2"/>
      <c r="BN541" s="1">
        <f t="shared" si="335"/>
        <v>42780</v>
      </c>
      <c r="BO541" s="2">
        <f>SUM(BO$2:BO31)+AI31*B31</f>
        <v>78009.999999999884</v>
      </c>
      <c r="BP541" s="2">
        <f>SUM(BP$2:BP31)+AJ31*C31</f>
        <v>4284.1999999999971</v>
      </c>
      <c r="BQ541" s="2">
        <f>SUM(BQ$2:BQ31)+AK31*D31</f>
        <v>12423.799999999988</v>
      </c>
      <c r="BR541" s="2">
        <f>SUM(BR$2:BR31)+AL31*E31</f>
        <v>4643.6999999999971</v>
      </c>
      <c r="BS541" s="2">
        <f>SUM(BS$2:BS31)+AM31*F31</f>
        <v>1919.2000000000007</v>
      </c>
      <c r="BT541" s="2">
        <f>SUM(BT$2:BT31)+AN31*G31</f>
        <v>-3928.2999999999884</v>
      </c>
      <c r="BU541" s="2">
        <f>SUM(BU$2:BU31)+AO31*H31</f>
        <v>4150.2000000000116</v>
      </c>
      <c r="BV541" s="2">
        <f>SUM(BV$2:BV31)+AP31*I31</f>
        <v>0</v>
      </c>
      <c r="BW541" s="2">
        <f>SUM(BW$2:BW31)+AQ31*J31</f>
        <v>7690</v>
      </c>
      <c r="BX541" s="2">
        <f>SUM(BX$2:BX31)+AR31*K31</f>
        <v>6740</v>
      </c>
      <c r="BY541" s="2">
        <f>SUM(BY$2:BY31)+AS31*L31</f>
        <v>13080</v>
      </c>
      <c r="BZ541" s="2">
        <f>SUM(BZ$2:BZ31)+AT31*M31</f>
        <v>-390</v>
      </c>
      <c r="CA541" s="2">
        <f>SUM(CA$2:CA31)+AU31*N31</f>
        <v>500</v>
      </c>
      <c r="CB541" s="2">
        <f>SUM(CB$2:CB31)+AV31*O31</f>
        <v>2680</v>
      </c>
      <c r="CC541" s="2">
        <f>SUM(CC$2:CC31)+AW31*P31</f>
        <v>-1190</v>
      </c>
      <c r="CD541" s="2">
        <f>SUM(CD$2:CD31)+AX31*Q31</f>
        <v>5890</v>
      </c>
      <c r="CE541" s="2">
        <f>SUM(CE$2:CE31)+AY31*R31</f>
        <v>3350</v>
      </c>
      <c r="CF541" s="2">
        <f>SUM(CF$2:CF31)+AZ31*S31</f>
        <v>5315.57</v>
      </c>
      <c r="CG541" s="2">
        <f>SUM(CG$2:CG31)+BA31*T31</f>
        <v>2250.8199999999852</v>
      </c>
      <c r="CH541" s="2">
        <f>SUM(CH$2:CH31)+BB31*U31</f>
        <v>4418.3899999999921</v>
      </c>
      <c r="CI541" s="2">
        <f>SUM(CI$2:CI31)+BC31*V31</f>
        <v>-1820</v>
      </c>
      <c r="CJ541" s="2">
        <f>SUM(CJ$2:CJ31)+BD31*W31</f>
        <v>4050</v>
      </c>
      <c r="CK541" s="2">
        <f>SUM(CK$2:CK31)+BE31*X31</f>
        <v>-670</v>
      </c>
      <c r="CL541" s="2">
        <f>SUM(CL$2:CL31)+BF31*Y31</f>
        <v>3990</v>
      </c>
      <c r="CM541" s="2">
        <f>SUM(CM$2:CM31)+BG31*Z31</f>
        <v>2230</v>
      </c>
      <c r="CN541" s="2">
        <f>SUM(CN$2:CN31)+BH31*AA31</f>
        <v>20690</v>
      </c>
      <c r="CO541" s="2">
        <f>SUM(CO$2:CO31)+BI31*AB31</f>
        <v>-15560</v>
      </c>
      <c r="CP541" s="2">
        <f>SUM(CP$2:CP31)+BJ31*AC31</f>
        <v>820</v>
      </c>
      <c r="CQ541" s="2">
        <f>SUM(CQ$2:CQ31)+BK31*AD31</f>
        <v>0</v>
      </c>
      <c r="CR541" s="2">
        <f>SUM(CR$2:CR31)+BL31*AE31</f>
        <v>-6690</v>
      </c>
      <c r="CV541" t="s">
        <v>64</v>
      </c>
      <c r="CW541" t="s">
        <v>614</v>
      </c>
      <c r="CX541" t="s">
        <v>18</v>
      </c>
      <c r="CY541" s="4">
        <v>43060</v>
      </c>
      <c r="CZ541" t="s">
        <v>65</v>
      </c>
      <c r="DA541" t="s">
        <v>66</v>
      </c>
      <c r="DB541">
        <v>2</v>
      </c>
      <c r="DC541">
        <v>52.21</v>
      </c>
      <c r="DD541" t="s">
        <v>69</v>
      </c>
      <c r="DE541" t="s">
        <v>70</v>
      </c>
      <c r="DF541">
        <v>104.42</v>
      </c>
    </row>
    <row r="542" spans="36:110" x14ac:dyDescent="0.25">
      <c r="AJ542" s="2"/>
      <c r="BN542" s="1">
        <f t="shared" si="335"/>
        <v>42781</v>
      </c>
      <c r="BO542" s="2">
        <f>SUM(BO$2:BO32)+AI32*B32</f>
        <v>80410</v>
      </c>
      <c r="BP542" s="2">
        <f>SUM(BP$2:BP32)+AJ32*C32</f>
        <v>4478.0000000000146</v>
      </c>
      <c r="BQ542" s="2">
        <f>SUM(BQ$2:BQ32)+AK32*D32</f>
        <v>13199</v>
      </c>
      <c r="BR542" s="2">
        <f>SUM(BR$2:BR32)+AL32*E32</f>
        <v>5551.5</v>
      </c>
      <c r="BS542" s="2">
        <f>SUM(BS$2:BS32)+AM32*F32</f>
        <v>2408.8000000000029</v>
      </c>
      <c r="BT542" s="2">
        <f>SUM(BT$2:BT32)+AN32*G32</f>
        <v>-3877.2999999999884</v>
      </c>
      <c r="BU542" s="2">
        <f>SUM(BU$2:BU32)+AO32*H32</f>
        <v>3997.2000000000116</v>
      </c>
      <c r="BV542" s="2">
        <f>SUM(BV$2:BV32)+AP32*I32</f>
        <v>0</v>
      </c>
      <c r="BW542" s="2">
        <f>SUM(BW$2:BW32)+AQ32*J32</f>
        <v>8740</v>
      </c>
      <c r="BX542" s="2">
        <f>SUM(BX$2:BX32)+AR32*K32</f>
        <v>7540</v>
      </c>
      <c r="BY542" s="2">
        <f>SUM(BY$2:BY32)+AS32*L32</f>
        <v>14500</v>
      </c>
      <c r="BZ542" s="2">
        <f>SUM(BZ$2:BZ32)+AT32*M32</f>
        <v>-270</v>
      </c>
      <c r="CA542" s="2">
        <f>SUM(CA$2:CA32)+AU32*N32</f>
        <v>1300</v>
      </c>
      <c r="CB542" s="2">
        <f>SUM(CB$2:CB32)+AV32*O32</f>
        <v>3660</v>
      </c>
      <c r="CC542" s="2">
        <f>SUM(CC$2:CC32)+AW32*P32</f>
        <v>-1270</v>
      </c>
      <c r="CD542" s="2">
        <f>SUM(CD$2:CD32)+AX32*Q32</f>
        <v>6530</v>
      </c>
      <c r="CE542" s="2">
        <f>SUM(CE$2:CE32)+AY32*R32</f>
        <v>4560</v>
      </c>
      <c r="CF542" s="2">
        <f>SUM(CF$2:CF32)+AZ32*S32</f>
        <v>4862.0200000000041</v>
      </c>
      <c r="CG542" s="2">
        <f>SUM(CG$2:CG32)+BA32*T32</f>
        <v>2213.6999999999825</v>
      </c>
      <c r="CH542" s="2">
        <f>SUM(CH$2:CH32)+BB32*U32</f>
        <v>4608.1999999999971</v>
      </c>
      <c r="CI542" s="2">
        <f>SUM(CI$2:CI32)+BC32*V32</f>
        <v>-2520</v>
      </c>
      <c r="CJ542" s="2">
        <f>SUM(CJ$2:CJ32)+BD32*W32</f>
        <v>7100</v>
      </c>
      <c r="CK542" s="2">
        <f>SUM(CK$2:CK32)+BE32*X32</f>
        <v>2880</v>
      </c>
      <c r="CL542" s="2">
        <f>SUM(CL$2:CL32)+BF32*Y32</f>
        <v>7380</v>
      </c>
      <c r="CM542" s="2">
        <f>SUM(CM$2:CM32)+BG32*Z32</f>
        <v>7030</v>
      </c>
      <c r="CN542" s="2">
        <f>SUM(CN$2:CN32)+BH32*AA32</f>
        <v>22790</v>
      </c>
      <c r="CO542" s="2">
        <f>SUM(CO$2:CO32)+BI32*AB32</f>
        <v>-16070</v>
      </c>
      <c r="CP542" s="2">
        <f>SUM(CP$2:CP32)+BJ32*AC32</f>
        <v>820</v>
      </c>
      <c r="CQ542" s="2">
        <f>SUM(CQ$2:CQ32)+BK32*AD32</f>
        <v>30.000000000007276</v>
      </c>
      <c r="CR542" s="2">
        <f>SUM(CR$2:CR32)+BL32*AE32</f>
        <v>-6380</v>
      </c>
      <c r="CV542" t="s">
        <v>64</v>
      </c>
      <c r="CW542" t="s">
        <v>615</v>
      </c>
      <c r="CX542" t="s">
        <v>18</v>
      </c>
      <c r="CY542" s="4">
        <v>43061</v>
      </c>
      <c r="CZ542" t="s">
        <v>67</v>
      </c>
      <c r="DA542" t="s">
        <v>68</v>
      </c>
      <c r="DB542">
        <v>15</v>
      </c>
      <c r="DC542">
        <v>52.31</v>
      </c>
      <c r="DD542" t="s">
        <v>69</v>
      </c>
      <c r="DE542" t="s">
        <v>70</v>
      </c>
      <c r="DF542">
        <v>784.65000000000009</v>
      </c>
    </row>
    <row r="543" spans="36:110" x14ac:dyDescent="0.25">
      <c r="AJ543" s="2"/>
      <c r="BN543" s="1">
        <f t="shared" si="335"/>
        <v>42782</v>
      </c>
      <c r="BO543" s="2">
        <f>SUM(BO$2:BO33)+AI33*B33</f>
        <v>79610</v>
      </c>
      <c r="BP543" s="2">
        <f>SUM(BP$2:BP33)+AJ33*C33</f>
        <v>4386.2000000000116</v>
      </c>
      <c r="BQ543" s="2">
        <f>SUM(BQ$2:BQ33)+AK33*D33</f>
        <v>14678</v>
      </c>
      <c r="BR543" s="2">
        <f>SUM(BR$2:BR33)+AL33*E33</f>
        <v>4806.8999999999942</v>
      </c>
      <c r="BS543" s="2">
        <f>SUM(BS$2:BS33)+AM33*F33</f>
        <v>3153.4000000000015</v>
      </c>
      <c r="BT543" s="2">
        <f>SUM(BT$2:BT33)+AN33*G33</f>
        <v>-5662.2999999999884</v>
      </c>
      <c r="BU543" s="2">
        <f>SUM(BU$2:BU33)+AO33*H33</f>
        <v>4517.4000000000087</v>
      </c>
      <c r="BV543" s="2">
        <f>SUM(BV$2:BV33)+AP33*I33</f>
        <v>0</v>
      </c>
      <c r="BW543" s="2">
        <f>SUM(BW$2:BW33)+AQ33*J33</f>
        <v>7670</v>
      </c>
      <c r="BX543" s="2">
        <f>SUM(BX$2:BX33)+AR33*K33</f>
        <v>6910</v>
      </c>
      <c r="BY543" s="2">
        <f>SUM(BY$2:BY33)+AS33*L33</f>
        <v>14270</v>
      </c>
      <c r="BZ543" s="2">
        <f>SUM(BZ$2:BZ33)+AT33*M33</f>
        <v>70</v>
      </c>
      <c r="CA543" s="2">
        <f>SUM(CA$2:CA33)+AU33*N33</f>
        <v>2130</v>
      </c>
      <c r="CB543" s="2">
        <f>SUM(CB$2:CB33)+AV33*O33</f>
        <v>3610</v>
      </c>
      <c r="CC543" s="2">
        <f>SUM(CC$2:CC33)+AW33*P33</f>
        <v>-560</v>
      </c>
      <c r="CD543" s="2">
        <f>SUM(CD$2:CD33)+AX33*Q33</f>
        <v>6740</v>
      </c>
      <c r="CE543" s="2">
        <f>SUM(CE$2:CE33)+AY33*R33</f>
        <v>6190</v>
      </c>
      <c r="CF543" s="2">
        <f>SUM(CF$2:CF33)+AZ33*S33</f>
        <v>4958.32</v>
      </c>
      <c r="CG543" s="2">
        <f>SUM(CG$2:CG33)+BA33*T33</f>
        <v>2203.0099999999875</v>
      </c>
      <c r="CH543" s="2">
        <f>SUM(CH$2:CH33)+BB33*U33</f>
        <v>4298.4599999999991</v>
      </c>
      <c r="CI543" s="2">
        <f>SUM(CI$2:CI33)+BC33*V33</f>
        <v>-2630</v>
      </c>
      <c r="CJ543" s="2">
        <f>SUM(CJ$2:CJ33)+BD33*W33</f>
        <v>6790</v>
      </c>
      <c r="CK543" s="2">
        <f>SUM(CK$2:CK33)+BE33*X33</f>
        <v>6730</v>
      </c>
      <c r="CL543" s="2">
        <f>SUM(CL$2:CL33)+BF33*Y33</f>
        <v>5520</v>
      </c>
      <c r="CM543" s="2">
        <f>SUM(CM$2:CM33)+BG33*Z33</f>
        <v>7780</v>
      </c>
      <c r="CN543" s="2">
        <f>SUM(CN$2:CN33)+BH33*AA33</f>
        <v>22140</v>
      </c>
      <c r="CO543" s="2">
        <f>SUM(CO$2:CO33)+BI33*AB33</f>
        <v>-15050</v>
      </c>
      <c r="CP543" s="2">
        <f>SUM(CP$2:CP33)+BJ33*AC33</f>
        <v>820</v>
      </c>
      <c r="CQ543" s="2">
        <f>SUM(CQ$2:CQ33)+BK33*AD33</f>
        <v>200.00000000000728</v>
      </c>
      <c r="CR543" s="2">
        <f>SUM(CR$2:CR33)+BL33*AE33</f>
        <v>-7170</v>
      </c>
      <c r="CV543" t="s">
        <v>64</v>
      </c>
      <c r="CW543" t="s">
        <v>616</v>
      </c>
      <c r="CX543" t="s">
        <v>18</v>
      </c>
      <c r="CY543" s="4">
        <v>43063</v>
      </c>
      <c r="CZ543" t="s">
        <v>67</v>
      </c>
      <c r="DA543" t="s">
        <v>68</v>
      </c>
      <c r="DB543">
        <v>3</v>
      </c>
      <c r="DC543">
        <v>52.29</v>
      </c>
      <c r="DD543" t="s">
        <v>69</v>
      </c>
      <c r="DE543" t="s">
        <v>70</v>
      </c>
      <c r="DF543">
        <v>156.87</v>
      </c>
    </row>
    <row r="544" spans="36:110" x14ac:dyDescent="0.25">
      <c r="AJ544" s="2"/>
      <c r="BN544" s="1">
        <f t="shared" si="335"/>
        <v>42783</v>
      </c>
      <c r="BO544" s="2">
        <f>SUM(BO$2:BO34)+AI34*B34</f>
        <v>81410</v>
      </c>
      <c r="BP544" s="2">
        <f>SUM(BP$2:BP34)+AJ34*C34</f>
        <v>4580</v>
      </c>
      <c r="BQ544" s="2">
        <f>SUM(BQ$2:BQ34)+AK34*D34</f>
        <v>16534.399999999994</v>
      </c>
      <c r="BR544" s="2">
        <f>SUM(BR$2:BR34)+AL34*E34</f>
        <v>5378.1000000000058</v>
      </c>
      <c r="BS544" s="2">
        <f>SUM(BS$2:BS34)+AM34*F34</f>
        <v>3286</v>
      </c>
      <c r="BT544" s="2">
        <f>SUM(BT$2:BT34)+AN34*G34</f>
        <v>-5998.8999999999796</v>
      </c>
      <c r="BU544" s="2">
        <f>SUM(BU$2:BU34)+AO34*H34</f>
        <v>3874.8000000000175</v>
      </c>
      <c r="BV544" s="2">
        <f>SUM(BV$2:BV34)+AP34*I34</f>
        <v>0</v>
      </c>
      <c r="BW544" s="2">
        <f>SUM(BW$2:BW34)+AQ34*J34</f>
        <v>8590</v>
      </c>
      <c r="BX544" s="2">
        <f>SUM(BX$2:BX34)+AR34*K34</f>
        <v>8310</v>
      </c>
      <c r="BY544" s="2">
        <f>SUM(BY$2:BY34)+AS34*L34</f>
        <v>13570</v>
      </c>
      <c r="BZ544" s="2">
        <f>SUM(BZ$2:BZ34)+AT34*M34</f>
        <v>130</v>
      </c>
      <c r="CA544" s="2">
        <f>SUM(CA$2:CA34)+AU34*N34</f>
        <v>2870</v>
      </c>
      <c r="CB544" s="2">
        <f>SUM(CB$2:CB34)+AV34*O34</f>
        <v>3320</v>
      </c>
      <c r="CC544" s="2">
        <f>SUM(CC$2:CC34)+AW34*P34</f>
        <v>-530</v>
      </c>
      <c r="CD544" s="2">
        <f>SUM(CD$2:CD34)+AX34*Q34</f>
        <v>7780</v>
      </c>
      <c r="CE544" s="2">
        <f>SUM(CE$2:CE34)+AY34*R34</f>
        <v>5750</v>
      </c>
      <c r="CF544" s="2">
        <f>SUM(CF$2:CF34)+AZ34*S34</f>
        <v>5074.239999999998</v>
      </c>
      <c r="CG544" s="2">
        <f>SUM(CG$2:CG34)+BA34*T34</f>
        <v>2298.0099999999875</v>
      </c>
      <c r="CH544" s="2">
        <f>SUM(CH$2:CH34)+BB34*U34</f>
        <v>4729.5599999999977</v>
      </c>
      <c r="CI544" s="2">
        <f>SUM(CI$2:CI34)+BC34*V34</f>
        <v>-2630</v>
      </c>
      <c r="CJ544" s="2">
        <f>SUM(CJ$2:CJ34)+BD34*W34</f>
        <v>7070</v>
      </c>
      <c r="CK544" s="2">
        <f>SUM(CK$2:CK34)+BE34*X34</f>
        <v>7530</v>
      </c>
      <c r="CL544" s="2">
        <f>SUM(CL$2:CL34)+BF34*Y34</f>
        <v>-12060</v>
      </c>
      <c r="CM544" s="2">
        <f>SUM(CM$2:CM34)+BG34*Z34</f>
        <v>8180</v>
      </c>
      <c r="CN544" s="2">
        <f>SUM(CN$2:CN34)+BH34*AA34</f>
        <v>22390</v>
      </c>
      <c r="CO544" s="2">
        <f>SUM(CO$2:CO34)+BI34*AB34</f>
        <v>-13040</v>
      </c>
      <c r="CP544" s="2">
        <f>SUM(CP$2:CP34)+BJ34*AC34</f>
        <v>820</v>
      </c>
      <c r="CQ544" s="2">
        <f>SUM(CQ$2:CQ34)+BK34*AD34</f>
        <v>670.00000000000728</v>
      </c>
      <c r="CR544" s="2">
        <f>SUM(CR$2:CR34)+BL34*AE34</f>
        <v>-7670</v>
      </c>
      <c r="CV544" t="s">
        <v>64</v>
      </c>
      <c r="CW544" t="s">
        <v>617</v>
      </c>
      <c r="CX544" t="s">
        <v>18</v>
      </c>
      <c r="CY544" s="4">
        <v>43066</v>
      </c>
      <c r="CZ544" t="s">
        <v>67</v>
      </c>
      <c r="DA544" t="s">
        <v>68</v>
      </c>
      <c r="DB544">
        <v>32</v>
      </c>
      <c r="DC544">
        <v>52.48</v>
      </c>
      <c r="DD544" t="s">
        <v>69</v>
      </c>
      <c r="DE544" t="s">
        <v>70</v>
      </c>
      <c r="DF544">
        <v>1679.36</v>
      </c>
    </row>
    <row r="545" spans="36:110" x14ac:dyDescent="0.25">
      <c r="AJ545" s="2"/>
      <c r="BN545" s="1">
        <f t="shared" si="335"/>
        <v>42787</v>
      </c>
      <c r="BO545" s="2">
        <f>SUM(BO$2:BO35)+AI35*B35</f>
        <v>86160</v>
      </c>
      <c r="BP545" s="2">
        <f>SUM(BP$2:BP35)+AJ35*C35</f>
        <v>4845.2000000000116</v>
      </c>
      <c r="BQ545" s="2">
        <f>SUM(BQ$2:BQ35)+AK35*D35</f>
        <v>19319</v>
      </c>
      <c r="BR545" s="2">
        <f>SUM(BR$2:BR35)+AL35*E35</f>
        <v>4653.8999999999942</v>
      </c>
      <c r="BS545" s="2">
        <f>SUM(BS$2:BS35)+AM35*F35</f>
        <v>3663.3999999999978</v>
      </c>
      <c r="BT545" s="2">
        <f>SUM(BT$2:BT35)+AN35*G35</f>
        <v>-4683.0999999999913</v>
      </c>
      <c r="BU545" s="2">
        <f>SUM(BU$2:BU35)+AO35*H35</f>
        <v>3834.0000000000146</v>
      </c>
      <c r="BV545" s="2">
        <f>SUM(BV$2:BV35)+AP35*I35</f>
        <v>0</v>
      </c>
      <c r="BW545" s="2">
        <f>SUM(BW$2:BW35)+AQ35*J35</f>
        <v>9930</v>
      </c>
      <c r="BX545" s="2">
        <f>SUM(BX$2:BX35)+AR35*K35</f>
        <v>10240</v>
      </c>
      <c r="BY545" s="2">
        <f>SUM(BY$2:BY35)+AS35*L35</f>
        <v>13200</v>
      </c>
      <c r="BZ545" s="2">
        <f>SUM(BZ$2:BZ35)+AT35*M35</f>
        <v>170</v>
      </c>
      <c r="CA545" s="2">
        <f>SUM(CA$2:CA35)+AU35*N35</f>
        <v>3630</v>
      </c>
      <c r="CB545" s="2">
        <f>SUM(CB$2:CB35)+AV35*O35</f>
        <v>4060</v>
      </c>
      <c r="CC545" s="2">
        <f>SUM(CC$2:CC35)+AW35*P35</f>
        <v>-320</v>
      </c>
      <c r="CD545" s="2">
        <f>SUM(CD$2:CD35)+AX35*Q35</f>
        <v>8010</v>
      </c>
      <c r="CE545" s="2">
        <f>SUM(CE$2:CE35)+AY35*R35</f>
        <v>6150</v>
      </c>
      <c r="CF545" s="2">
        <f>SUM(CF$2:CF35)+AZ35*S35</f>
        <v>5152.4799999999959</v>
      </c>
      <c r="CG545" s="2">
        <f>SUM(CG$2:CG35)+BA35*T35</f>
        <v>2176.9799999999959</v>
      </c>
      <c r="CH545" s="2">
        <f>SUM(CH$2:CH35)+BB35*U35</f>
        <v>5377.9699999999939</v>
      </c>
      <c r="CI545" s="2">
        <f>SUM(CI$2:CI35)+BC35*V35</f>
        <v>-2630</v>
      </c>
      <c r="CJ545" s="2">
        <f>SUM(CJ$2:CJ35)+BD35*W35</f>
        <v>7620</v>
      </c>
      <c r="CK545" s="2">
        <f>SUM(CK$2:CK35)+BE35*X35</f>
        <v>5580</v>
      </c>
      <c r="CL545" s="2">
        <f>SUM(CL$2:CL35)+BF35*Y35</f>
        <v>-3480</v>
      </c>
      <c r="CM545" s="2">
        <f>SUM(CM$2:CM35)+BG35*Z35</f>
        <v>9830</v>
      </c>
      <c r="CN545" s="2">
        <f>SUM(CN$2:CN35)+BH35*AA35</f>
        <v>24690</v>
      </c>
      <c r="CO545" s="2">
        <f>SUM(CO$2:CO35)+BI35*AB35</f>
        <v>-12380</v>
      </c>
      <c r="CP545" s="2">
        <f>SUM(CP$2:CP35)+BJ35*AC35</f>
        <v>820</v>
      </c>
      <c r="CQ545" s="2">
        <f>SUM(CQ$2:CQ35)+BK35*AD35</f>
        <v>2650.0000000000073</v>
      </c>
      <c r="CR545" s="2">
        <f>SUM(CR$2:CR35)+BL35*AE35</f>
        <v>-7550</v>
      </c>
      <c r="CV545" t="s">
        <v>64</v>
      </c>
      <c r="CW545" t="s">
        <v>618</v>
      </c>
      <c r="CX545" t="s">
        <v>18</v>
      </c>
      <c r="CY545" s="4">
        <v>43067</v>
      </c>
      <c r="CZ545" t="s">
        <v>65</v>
      </c>
      <c r="DA545" t="s">
        <v>66</v>
      </c>
      <c r="DB545">
        <v>57</v>
      </c>
      <c r="DC545">
        <v>52.85</v>
      </c>
      <c r="DD545" t="s">
        <v>69</v>
      </c>
      <c r="DE545" t="s">
        <v>70</v>
      </c>
      <c r="DF545">
        <v>3012.4500000000003</v>
      </c>
    </row>
    <row r="546" spans="36:110" x14ac:dyDescent="0.25">
      <c r="AJ546" s="2"/>
      <c r="BN546" s="1">
        <f t="shared" si="335"/>
        <v>42788</v>
      </c>
      <c r="BO546" s="2">
        <f>SUM(BO$2:BO36)+AI36*B36</f>
        <v>88160</v>
      </c>
      <c r="BP546" s="2">
        <f>SUM(BP$2:BP36)+AJ36*C36</f>
        <v>4733.0000000000146</v>
      </c>
      <c r="BQ546" s="2">
        <f>SUM(BQ$2:BQ36)+AK36*D36</f>
        <v>19125.199999999983</v>
      </c>
      <c r="BR546" s="2">
        <f>SUM(BR$2:BR36)+AL36*E36</f>
        <v>4755.9000000000087</v>
      </c>
      <c r="BS546" s="2">
        <f>SUM(BS$2:BS36)+AM36*F36</f>
        <v>3622.5999999999985</v>
      </c>
      <c r="BT546" s="2">
        <f>SUM(BT$2:BT36)+AN36*G36</f>
        <v>-5947.8999999999796</v>
      </c>
      <c r="BU546" s="2">
        <f>SUM(BU$2:BU36)+AO36*H36</f>
        <v>3936</v>
      </c>
      <c r="BV546" s="2">
        <f>SUM(BV$2:BV36)+AP36*I36</f>
        <v>0</v>
      </c>
      <c r="BW546" s="2">
        <f>SUM(BW$2:BW36)+AQ36*J36</f>
        <v>9900</v>
      </c>
      <c r="BX546" s="2">
        <f>SUM(BX$2:BX36)+AR36*K36</f>
        <v>10460</v>
      </c>
      <c r="BY546" s="2">
        <f>SUM(BY$2:BY36)+AS36*L36</f>
        <v>14010</v>
      </c>
      <c r="BZ546" s="2">
        <f>SUM(BZ$2:BZ36)+AT36*M36</f>
        <v>-260</v>
      </c>
      <c r="CA546" s="2">
        <f>SUM(CA$2:CA36)+AU36*N36</f>
        <v>3500</v>
      </c>
      <c r="CB546" s="2">
        <f>SUM(CB$2:CB36)+AV36*O36</f>
        <v>4110</v>
      </c>
      <c r="CC546" s="2">
        <f>SUM(CC$2:CC36)+AW36*P36</f>
        <v>-190</v>
      </c>
      <c r="CD546" s="2">
        <f>SUM(CD$2:CD36)+AX36*Q36</f>
        <v>7830</v>
      </c>
      <c r="CE546" s="2">
        <f>SUM(CE$2:CE36)+AY36*R36</f>
        <v>8690</v>
      </c>
      <c r="CF546" s="2">
        <f>SUM(CF$2:CF36)+AZ36*S36</f>
        <v>4973.9199999999983</v>
      </c>
      <c r="CG546" s="2">
        <f>SUM(CG$2:CG36)+BA36*T36</f>
        <v>2059.4999999999927</v>
      </c>
      <c r="CH546" s="2">
        <f>SUM(CH$2:CH36)+BB36*U36</f>
        <v>6184.6499999999942</v>
      </c>
      <c r="CI546" s="2">
        <f>SUM(CI$2:CI36)+BC36*V36</f>
        <v>-2600</v>
      </c>
      <c r="CJ546" s="2">
        <f>SUM(CJ$2:CJ36)+BD36*W36</f>
        <v>7400</v>
      </c>
      <c r="CK546" s="2">
        <f>SUM(CK$2:CK36)+BE36*X36</f>
        <v>7280</v>
      </c>
      <c r="CL546" s="2">
        <f>SUM(CL$2:CL36)+BF36*Y36</f>
        <v>-3480</v>
      </c>
      <c r="CM546" s="2">
        <f>SUM(CM$2:CM36)+BG36*Z36</f>
        <v>10630</v>
      </c>
      <c r="CN546" s="2">
        <f>SUM(CN$2:CN36)+BH36*AA36</f>
        <v>24090</v>
      </c>
      <c r="CO546" s="2">
        <f>SUM(CO$2:CO36)+BI36*AB36</f>
        <v>-11750</v>
      </c>
      <c r="CP546" s="2">
        <f>SUM(CP$2:CP36)+BJ36*AC36</f>
        <v>820</v>
      </c>
      <c r="CQ546" s="2">
        <f>SUM(CQ$2:CQ36)+BK36*AD36</f>
        <v>2900.0000000000073</v>
      </c>
      <c r="CR546" s="2">
        <f>SUM(CR$2:CR36)+BL36*AE36</f>
        <v>-8440</v>
      </c>
      <c r="CV546" t="s">
        <v>64</v>
      </c>
      <c r="CW546" t="s">
        <v>619</v>
      </c>
      <c r="CX546" t="s">
        <v>18</v>
      </c>
      <c r="CY546" s="4">
        <v>43068</v>
      </c>
      <c r="CZ546" t="s">
        <v>65</v>
      </c>
      <c r="DA546" t="s">
        <v>66</v>
      </c>
      <c r="DB546">
        <v>4</v>
      </c>
      <c r="DC546">
        <v>53.26</v>
      </c>
      <c r="DD546" t="s">
        <v>69</v>
      </c>
      <c r="DE546" t="s">
        <v>70</v>
      </c>
      <c r="DF546">
        <v>213.04</v>
      </c>
    </row>
    <row r="547" spans="36:110" x14ac:dyDescent="0.25">
      <c r="AJ547" s="2"/>
      <c r="BN547" s="1">
        <f t="shared" si="335"/>
        <v>42789</v>
      </c>
      <c r="BO547" s="2">
        <f>SUM(BO$2:BO37)+AI37*B37</f>
        <v>85359.999999999884</v>
      </c>
      <c r="BP547" s="2">
        <f>SUM(BP$2:BP37)+AJ37*C37</f>
        <v>4916.6000000000058</v>
      </c>
      <c r="BQ547" s="2">
        <f>SUM(BQ$2:BQ37)+AK37*D37</f>
        <v>20583.799999999988</v>
      </c>
      <c r="BR547" s="2">
        <f>SUM(BR$2:BR37)+AL37*E37</f>
        <v>2185.5</v>
      </c>
      <c r="BS547" s="2">
        <f>SUM(BS$2:BS37)+AM37*F37</f>
        <v>3571.6000000000022</v>
      </c>
      <c r="BT547" s="2">
        <f>SUM(BT$2:BT37)+AN37*G37</f>
        <v>-5346.0999999999767</v>
      </c>
      <c r="BU547" s="2">
        <f>SUM(BU$2:BU37)+AO37*H37</f>
        <v>3548.4000000000087</v>
      </c>
      <c r="BV547" s="2">
        <f>SUM(BV$2:BV37)+AP37*I37</f>
        <v>0</v>
      </c>
      <c r="BW547" s="2">
        <f>SUM(BW$2:BW37)+AQ37*J37</f>
        <v>9370</v>
      </c>
      <c r="BX547" s="2">
        <f>SUM(BX$2:BX37)+AR37*K37</f>
        <v>9950</v>
      </c>
      <c r="BY547" s="2">
        <f>SUM(BY$2:BY37)+AS37*L37</f>
        <v>14470</v>
      </c>
      <c r="BZ547" s="2">
        <f>SUM(BZ$2:BZ37)+AT37*M37</f>
        <v>-150</v>
      </c>
      <c r="CA547" s="2">
        <f>SUM(CA$2:CA37)+AU37*N37</f>
        <v>5570</v>
      </c>
      <c r="CB547" s="2">
        <f>SUM(CB$2:CB37)+AV37*O37</f>
        <v>4180</v>
      </c>
      <c r="CC547" s="2">
        <f>SUM(CC$2:CC37)+AW37*P37</f>
        <v>-130</v>
      </c>
      <c r="CD547" s="2">
        <f>SUM(CD$2:CD37)+AX37*Q37</f>
        <v>8230</v>
      </c>
      <c r="CE547" s="2">
        <f>SUM(CE$2:CE37)+AY37*R37</f>
        <v>9790</v>
      </c>
      <c r="CF547" s="2">
        <f>SUM(CF$2:CF37)+AZ37*S37</f>
        <v>5487.4900000000052</v>
      </c>
      <c r="CG547" s="2">
        <f>SUM(CG$2:CG37)+BA37*T37</f>
        <v>2290.4999999999927</v>
      </c>
      <c r="CH547" s="2">
        <f>SUM(CH$2:CH37)+BB37*U37</f>
        <v>5299.0399999999936</v>
      </c>
      <c r="CI547" s="2">
        <f>SUM(CI$2:CI37)+BC37*V37</f>
        <v>-3040</v>
      </c>
      <c r="CJ547" s="2">
        <f>SUM(CJ$2:CJ37)+BD37*W37</f>
        <v>7110</v>
      </c>
      <c r="CK547" s="2">
        <f>SUM(CK$2:CK37)+BE37*X37</f>
        <v>9480</v>
      </c>
      <c r="CL547" s="2">
        <f>SUM(CL$2:CL37)+BF37*Y37</f>
        <v>2460.0000000000582</v>
      </c>
      <c r="CM547" s="2">
        <f>SUM(CM$2:CM37)+BG37*Z37</f>
        <v>7880</v>
      </c>
      <c r="CN547" s="2">
        <f>SUM(CN$2:CN37)+BH37*AA37</f>
        <v>25755</v>
      </c>
      <c r="CO547" s="2">
        <f>SUM(CO$2:CO37)+BI37*AB37</f>
        <v>-9980</v>
      </c>
      <c r="CP547" s="2">
        <f>SUM(CP$2:CP37)+BJ37*AC37</f>
        <v>820</v>
      </c>
      <c r="CQ547" s="2">
        <f>SUM(CQ$2:CQ37)+BK37*AD37</f>
        <v>2520.0000000000073</v>
      </c>
      <c r="CR547" s="2">
        <f>SUM(CR$2:CR37)+BL37*AE37</f>
        <v>-7650</v>
      </c>
      <c r="CV547" t="s">
        <v>64</v>
      </c>
      <c r="CW547" t="s">
        <v>620</v>
      </c>
      <c r="CX547" t="s">
        <v>18</v>
      </c>
      <c r="CY547" s="4">
        <v>43069</v>
      </c>
      <c r="CZ547" t="s">
        <v>67</v>
      </c>
      <c r="DA547" t="s">
        <v>68</v>
      </c>
      <c r="DB547">
        <v>48</v>
      </c>
      <c r="DC547">
        <v>53.17</v>
      </c>
      <c r="DD547" t="s">
        <v>69</v>
      </c>
      <c r="DE547" t="s">
        <v>70</v>
      </c>
      <c r="DF547">
        <v>2552.16</v>
      </c>
    </row>
    <row r="548" spans="36:110" x14ac:dyDescent="0.25">
      <c r="AJ548" s="2"/>
      <c r="BN548" s="1">
        <f t="shared" si="335"/>
        <v>42790</v>
      </c>
      <c r="BO548" s="2">
        <f>SUM(BO$2:BO38)+AI38*B38</f>
        <v>85960</v>
      </c>
      <c r="BP548" s="2">
        <f>SUM(BP$2:BP38)+AJ38*C38</f>
        <v>4631</v>
      </c>
      <c r="BQ548" s="2">
        <f>SUM(BQ$2:BQ38)+AK38*D38</f>
        <v>21154.999999999971</v>
      </c>
      <c r="BR548" s="2">
        <f>SUM(BR$2:BR38)+AL38*E38</f>
        <v>2114.0999999999913</v>
      </c>
      <c r="BS548" s="2">
        <f>SUM(BS$2:BS38)+AM38*F38</f>
        <v>3836.7999999999993</v>
      </c>
      <c r="BT548" s="2">
        <f>SUM(BT$2:BT38)+AN38*G38</f>
        <v>-6192.6999999999825</v>
      </c>
      <c r="BU548" s="2">
        <f>SUM(BU$2:BU38)+AO38*H38</f>
        <v>4140.0000000000146</v>
      </c>
      <c r="BV548" s="2">
        <f>SUM(BV$2:BV38)+AP38*I38</f>
        <v>0</v>
      </c>
      <c r="BW548" s="2">
        <f>SUM(BW$2:BW38)+AQ38*J38</f>
        <v>5630</v>
      </c>
      <c r="BX548" s="2">
        <f>SUM(BX$2:BX38)+AR38*K38</f>
        <v>11130</v>
      </c>
      <c r="BY548" s="2">
        <f>SUM(BY$2:BY38)+AS38*L38</f>
        <v>14200</v>
      </c>
      <c r="BZ548" s="2">
        <f>SUM(BZ$2:BZ38)+AT38*M38</f>
        <v>180</v>
      </c>
      <c r="CA548" s="2">
        <f>SUM(CA$2:CA38)+AU38*N38</f>
        <v>7310</v>
      </c>
      <c r="CB548" s="2">
        <f>SUM(CB$2:CB38)+AV38*O38</f>
        <v>3420</v>
      </c>
      <c r="CC548" s="2">
        <f>SUM(CC$2:CC38)+AW38*P38</f>
        <v>-20</v>
      </c>
      <c r="CD548" s="2">
        <f>SUM(CD$2:CD38)+AX38*Q38</f>
        <v>8590</v>
      </c>
      <c r="CE548" s="2">
        <f>SUM(CE$2:CE38)+AY38*R38</f>
        <v>10000</v>
      </c>
      <c r="CF548" s="2">
        <f>SUM(CF$2:CF38)+AZ38*S38</f>
        <v>5789.3800000000047</v>
      </c>
      <c r="CG548" s="2">
        <f>SUM(CG$2:CG38)+BA38*T38</f>
        <v>2290.4999999999927</v>
      </c>
      <c r="CH548" s="2">
        <f>SUM(CH$2:CH38)+BB38*U38</f>
        <v>5749.8399999999965</v>
      </c>
      <c r="CI548" s="2">
        <f>SUM(CI$2:CI38)+BC38*V38</f>
        <v>-3220</v>
      </c>
      <c r="CJ548" s="2">
        <f>SUM(CJ$2:CJ38)+BD38*W38</f>
        <v>7030</v>
      </c>
      <c r="CK548" s="2">
        <f>SUM(CK$2:CK38)+BE38*X38</f>
        <v>9030</v>
      </c>
      <c r="CL548" s="2">
        <f>SUM(CL$2:CL38)+BF38*Y38</f>
        <v>3780</v>
      </c>
      <c r="CM548" s="2">
        <f>SUM(CM$2:CM38)+BG38*Z38</f>
        <v>9680</v>
      </c>
      <c r="CN548" s="2">
        <f>SUM(CN$2:CN38)+BH38*AA38</f>
        <v>26755</v>
      </c>
      <c r="CO548" s="2">
        <f>SUM(CO$2:CO38)+BI38*AB38</f>
        <v>-9200</v>
      </c>
      <c r="CP548" s="2">
        <f>SUM(CP$2:CP38)+BJ38*AC38</f>
        <v>820</v>
      </c>
      <c r="CQ548" s="2">
        <f>SUM(CQ$2:CQ38)+BK38*AD38</f>
        <v>3550.0000000000073</v>
      </c>
      <c r="CR548" s="2">
        <f>SUM(CR$2:CR38)+BL38*AE38</f>
        <v>-8300</v>
      </c>
      <c r="CV548" t="s">
        <v>64</v>
      </c>
      <c r="CW548" t="s">
        <v>621</v>
      </c>
      <c r="CX548" t="s">
        <v>18</v>
      </c>
      <c r="CY548" s="4">
        <v>43070</v>
      </c>
      <c r="CZ548" t="s">
        <v>65</v>
      </c>
      <c r="DA548" t="s">
        <v>66</v>
      </c>
      <c r="DB548">
        <v>32</v>
      </c>
      <c r="DC548">
        <v>53.75</v>
      </c>
      <c r="DD548" t="s">
        <v>69</v>
      </c>
      <c r="DE548" t="s">
        <v>70</v>
      </c>
      <c r="DF548">
        <v>1720</v>
      </c>
    </row>
    <row r="549" spans="36:110" x14ac:dyDescent="0.25">
      <c r="AJ549" s="2"/>
      <c r="BN549" s="1">
        <f t="shared" si="335"/>
        <v>42793</v>
      </c>
      <c r="BO549" s="2">
        <f>SUM(BO$2:BO39)+AI39*B39</f>
        <v>87310</v>
      </c>
      <c r="BP549" s="2">
        <f>SUM(BP$2:BP39)+AJ39*C39</f>
        <v>5039</v>
      </c>
      <c r="BQ549" s="2">
        <f>SUM(BQ$2:BQ39)+AK39*D39</f>
        <v>23093</v>
      </c>
      <c r="BR549" s="2">
        <f>SUM(BR$2:BR39)+AL39*E39</f>
        <v>4011.3000000000029</v>
      </c>
      <c r="BS549" s="2">
        <f>SUM(BS$2:BS39)+AM39*F39</f>
        <v>3785.8000000000065</v>
      </c>
      <c r="BT549" s="2">
        <f>SUM(BT$2:BT39)+AN39*G39</f>
        <v>-4652.4999999999854</v>
      </c>
      <c r="BU549" s="2">
        <f>SUM(BU$2:BU39)+AO39*H39</f>
        <v>4048.2000000000116</v>
      </c>
      <c r="BV549" s="2">
        <f>SUM(BV$2:BV39)+AP39*I39</f>
        <v>0</v>
      </c>
      <c r="BW549" s="2">
        <f>SUM(BW$2:BW39)+AQ39*J39</f>
        <v>7560</v>
      </c>
      <c r="BX549" s="2">
        <f>SUM(BX$2:BX39)+AR39*K39</f>
        <v>10510</v>
      </c>
      <c r="BY549" s="2">
        <f>SUM(BY$2:BY39)+AS39*L39</f>
        <v>12410</v>
      </c>
      <c r="BZ549" s="2">
        <f>SUM(BZ$2:BZ39)+AT39*M39</f>
        <v>160</v>
      </c>
      <c r="CA549" s="2">
        <f>SUM(CA$2:CA39)+AU39*N39</f>
        <v>7000</v>
      </c>
      <c r="CB549" s="2">
        <f>SUM(CB$2:CB39)+AV39*O39</f>
        <v>3510</v>
      </c>
      <c r="CC549" s="2">
        <f>SUM(CC$2:CC39)+AW39*P39</f>
        <v>-20</v>
      </c>
      <c r="CD549" s="2">
        <f>SUM(CD$2:CD39)+AX39*Q39</f>
        <v>7900</v>
      </c>
      <c r="CE549" s="2">
        <f>SUM(CE$2:CE39)+AY39*R39</f>
        <v>9520</v>
      </c>
      <c r="CF549" s="2">
        <f>SUM(CF$2:CF39)+AZ39*S39</f>
        <v>5505.1800000000076</v>
      </c>
      <c r="CG549" s="2">
        <f>SUM(CG$2:CG39)+BA39*T39</f>
        <v>1904.0400000000009</v>
      </c>
      <c r="CH549" s="2">
        <f>SUM(CH$2:CH39)+BB39*U39</f>
        <v>5567.9399999999951</v>
      </c>
      <c r="CI549" s="2">
        <f>SUM(CI$2:CI39)+BC39*V39</f>
        <v>-3240</v>
      </c>
      <c r="CJ549" s="2">
        <f>SUM(CJ$2:CJ39)+BD39*W39</f>
        <v>6880</v>
      </c>
      <c r="CK549" s="2">
        <f>SUM(CK$2:CK39)+BE39*X39</f>
        <v>7930</v>
      </c>
      <c r="CL549" s="2">
        <f>SUM(CL$2:CL39)+BF39*Y39</f>
        <v>10560</v>
      </c>
      <c r="CM549" s="2">
        <f>SUM(CM$2:CM39)+BG39*Z39</f>
        <v>11330</v>
      </c>
      <c r="CN549" s="2">
        <f>SUM(CN$2:CN39)+BH39*AA39</f>
        <v>25075</v>
      </c>
      <c r="CO549" s="2">
        <f>SUM(CO$2:CO39)+BI39*AB39</f>
        <v>-11000</v>
      </c>
      <c r="CP549" s="2">
        <f>SUM(CP$2:CP39)+BJ39*AC39</f>
        <v>820</v>
      </c>
      <c r="CQ549" s="2">
        <f>SUM(CQ$2:CQ39)+BK39*AD39</f>
        <v>2930.0000000000073</v>
      </c>
      <c r="CR549" s="2">
        <f>SUM(CR$2:CR39)+BL39*AE39</f>
        <v>-7870</v>
      </c>
      <c r="CV549" t="s">
        <v>64</v>
      </c>
      <c r="CW549" t="s">
        <v>622</v>
      </c>
      <c r="CX549" t="s">
        <v>18</v>
      </c>
      <c r="CY549" s="4">
        <v>43073</v>
      </c>
      <c r="CZ549" t="s">
        <v>65</v>
      </c>
      <c r="DA549" t="s">
        <v>66</v>
      </c>
      <c r="DB549">
        <v>5</v>
      </c>
      <c r="DC549">
        <v>54.09</v>
      </c>
      <c r="DD549" t="s">
        <v>69</v>
      </c>
      <c r="DE549" t="s">
        <v>70</v>
      </c>
      <c r="DF549">
        <v>270.45000000000005</v>
      </c>
    </row>
    <row r="550" spans="36:110" x14ac:dyDescent="0.25">
      <c r="AJ550" s="2"/>
      <c r="BN550" s="1">
        <f t="shared" si="335"/>
        <v>42794</v>
      </c>
      <c r="BO550" s="2">
        <f>SUM(BO$2:BO40)+AI40*B40</f>
        <v>87560.000000000116</v>
      </c>
      <c r="BP550" s="2">
        <f>SUM(BP$2:BP40)+AJ40*C40</f>
        <v>4926.8000000000029</v>
      </c>
      <c r="BQ550" s="2">
        <f>SUM(BQ$2:BQ40)+AK40*D40</f>
        <v>23878.399999999994</v>
      </c>
      <c r="BR550" s="2">
        <f>SUM(BR$2:BR40)+AL40*E40</f>
        <v>3256.5</v>
      </c>
      <c r="BS550" s="2">
        <f>SUM(BS$2:BS40)+AM40*F40</f>
        <v>3704.1999999999971</v>
      </c>
      <c r="BT550" s="2">
        <f>SUM(BT$2:BT40)+AN40*G40</f>
        <v>-3948.6999999999971</v>
      </c>
      <c r="BU550" s="2">
        <f>SUM(BU$2:BU40)+AO40*H40</f>
        <v>3905.4000000000087</v>
      </c>
      <c r="BV550" s="2">
        <f>SUM(BV$2:BV40)+AP40*I40</f>
        <v>0</v>
      </c>
      <c r="BW550" s="2">
        <f>SUM(BW$2:BW40)+AQ40*J40</f>
        <v>6960</v>
      </c>
      <c r="BX550" s="2">
        <f>SUM(BX$2:BX40)+AR40*K40</f>
        <v>10140</v>
      </c>
      <c r="BY550" s="2">
        <f>SUM(BY$2:BY40)+AS40*L40</f>
        <v>12790</v>
      </c>
      <c r="BZ550" s="2">
        <f>SUM(BZ$2:BZ40)+AT40*M40</f>
        <v>-130</v>
      </c>
      <c r="CA550" s="2">
        <f>SUM(CA$2:CA40)+AU40*N40</f>
        <v>6820</v>
      </c>
      <c r="CB550" s="2">
        <f>SUM(CB$2:CB40)+AV40*O40</f>
        <v>3690</v>
      </c>
      <c r="CC550" s="2">
        <f>SUM(CC$2:CC40)+AW40*P40</f>
        <v>-20</v>
      </c>
      <c r="CD550" s="2">
        <f>SUM(CD$2:CD40)+AX40*Q40</f>
        <v>8530</v>
      </c>
      <c r="CE550" s="2">
        <f>SUM(CE$2:CE40)+AY40*R40</f>
        <v>8990</v>
      </c>
      <c r="CF550" s="2">
        <f>SUM(CF$2:CF40)+AZ40*S40</f>
        <v>5524.7400000000052</v>
      </c>
      <c r="CG550" s="2">
        <f>SUM(CG$2:CG40)+BA40*T40</f>
        <v>1665.2399999999907</v>
      </c>
      <c r="CH550" s="2">
        <f>SUM(CH$2:CH40)+BB40*U40</f>
        <v>5069.1599999999889</v>
      </c>
      <c r="CI550" s="2">
        <f>SUM(CI$2:CI40)+BC40*V40</f>
        <v>-3090</v>
      </c>
      <c r="CJ550" s="2">
        <f>SUM(CJ$2:CJ40)+BD40*W40</f>
        <v>7050</v>
      </c>
      <c r="CK550" s="2">
        <f>SUM(CK$2:CK40)+BE40*X40</f>
        <v>8880</v>
      </c>
      <c r="CL550" s="2">
        <f>SUM(CL$2:CL40)+BF40*Y40</f>
        <v>10560</v>
      </c>
      <c r="CM550" s="2">
        <f>SUM(CM$2:CM40)+BG40*Z40</f>
        <v>10080</v>
      </c>
      <c r="CN550" s="2">
        <f>SUM(CN$2:CN40)+BH40*AA40</f>
        <v>24835</v>
      </c>
      <c r="CO550" s="2">
        <f>SUM(CO$2:CO40)+BI40*AB40</f>
        <v>-11840</v>
      </c>
      <c r="CP550" s="2">
        <f>SUM(CP$2:CP40)+BJ40*AC40</f>
        <v>820</v>
      </c>
      <c r="CQ550" s="2">
        <f>SUM(CQ$2:CQ40)+BK40*AD40</f>
        <v>2160.0000000000073</v>
      </c>
      <c r="CR550" s="2">
        <f>SUM(CR$2:CR40)+BL40*AE40</f>
        <v>-8070</v>
      </c>
      <c r="CV550" t="s">
        <v>64</v>
      </c>
      <c r="CW550" t="s">
        <v>623</v>
      </c>
      <c r="CX550" t="s">
        <v>18</v>
      </c>
      <c r="CY550" s="4">
        <v>43074</v>
      </c>
      <c r="CZ550" t="s">
        <v>67</v>
      </c>
      <c r="DA550" t="s">
        <v>68</v>
      </c>
      <c r="DB550">
        <v>40</v>
      </c>
      <c r="DC550">
        <v>53.66</v>
      </c>
      <c r="DD550" t="s">
        <v>69</v>
      </c>
      <c r="DE550" t="s">
        <v>70</v>
      </c>
      <c r="DF550">
        <v>2146.3999999999996</v>
      </c>
    </row>
    <row r="551" spans="36:110" x14ac:dyDescent="0.25">
      <c r="AJ551" s="2"/>
      <c r="BN551" s="1">
        <f t="shared" si="335"/>
        <v>42795</v>
      </c>
      <c r="BO551" s="2">
        <f>SUM(BO$2:BO41)+AI41*B41</f>
        <v>101160</v>
      </c>
      <c r="BP551" s="2">
        <f>SUM(BP$2:BP41)+AJ41*C41</f>
        <v>6783.1999999999971</v>
      </c>
      <c r="BQ551" s="2">
        <f>SUM(BQ$2:BQ41)+AK41*D41</f>
        <v>27468.799999999988</v>
      </c>
      <c r="BR551" s="2">
        <f>SUM(BR$2:BR41)+AL41*E41</f>
        <v>5123.1000000000058</v>
      </c>
      <c r="BS551" s="2">
        <f>SUM(BS$2:BS41)+AM41*F41</f>
        <v>3959.2000000000007</v>
      </c>
      <c r="BT551" s="2">
        <f>SUM(BT$2:BT41)+AN41*G41</f>
        <v>-2643.0999999999913</v>
      </c>
      <c r="BU551" s="2">
        <f>SUM(BU$2:BU41)+AO41*H41</f>
        <v>4843.8000000000029</v>
      </c>
      <c r="BV551" s="2">
        <f>SUM(BV$2:BV41)+AP41*I41</f>
        <v>0</v>
      </c>
      <c r="BW551" s="2">
        <f>SUM(BW$2:BW41)+AQ41*J41</f>
        <v>11500</v>
      </c>
      <c r="BX551" s="2">
        <f>SUM(BX$2:BX41)+AR41*K41</f>
        <v>11830</v>
      </c>
      <c r="BY551" s="2">
        <f>SUM(BY$2:BY41)+AS41*L41</f>
        <v>14750</v>
      </c>
      <c r="BZ551" s="2">
        <f>SUM(BZ$2:BZ41)+AT41*M41</f>
        <v>-390</v>
      </c>
      <c r="CA551" s="2">
        <f>SUM(CA$2:CA41)+AU41*N41</f>
        <v>8390</v>
      </c>
      <c r="CB551" s="2">
        <f>SUM(CB$2:CB41)+AV41*O41</f>
        <v>6530</v>
      </c>
      <c r="CC551" s="2">
        <f>SUM(CC$2:CC41)+AW41*P41</f>
        <v>-20</v>
      </c>
      <c r="CD551" s="2">
        <f>SUM(CD$2:CD41)+AX41*Q41</f>
        <v>9870</v>
      </c>
      <c r="CE551" s="2">
        <f>SUM(CE$2:CE41)+AY41*R41</f>
        <v>12330</v>
      </c>
      <c r="CF551" s="2">
        <f>SUM(CF$2:CF41)+AZ41*S41</f>
        <v>5856.580000000009</v>
      </c>
      <c r="CG551" s="2">
        <f>SUM(CG$2:CG41)+BA41*T41</f>
        <v>2504.0999999999913</v>
      </c>
      <c r="CH551" s="2">
        <f>SUM(CH$2:CH41)+BB41*U41</f>
        <v>5863.7999999999884</v>
      </c>
      <c r="CI551" s="2">
        <f>SUM(CI$2:CI41)+BC41*V41</f>
        <v>-3370.0000000000036</v>
      </c>
      <c r="CJ551" s="2">
        <f>SUM(CJ$2:CJ41)+BD41*W41</f>
        <v>7610</v>
      </c>
      <c r="CK551" s="2">
        <f>SUM(CK$2:CK41)+BE41*X41</f>
        <v>22030</v>
      </c>
      <c r="CL551" s="2">
        <f>SUM(CL$2:CL41)+BF41*Y41</f>
        <v>18030</v>
      </c>
      <c r="CM551" s="2">
        <f>SUM(CM$2:CM41)+BG41*Z41</f>
        <v>15480</v>
      </c>
      <c r="CN551" s="2">
        <f>SUM(CN$2:CN41)+BH41*AA41</f>
        <v>28955</v>
      </c>
      <c r="CO551" s="2">
        <f>SUM(CO$2:CO41)+BI41*AB41</f>
        <v>-11360</v>
      </c>
      <c r="CP551" s="2">
        <f>SUM(CP$2:CP41)+BJ41*AC41</f>
        <v>820</v>
      </c>
      <c r="CQ551" s="2">
        <f>SUM(CQ$2:CQ41)+BK41*AD41</f>
        <v>1700.0000000000073</v>
      </c>
      <c r="CR551" s="2">
        <f>SUM(CR$2:CR41)+BL41*AE41</f>
        <v>-6510</v>
      </c>
      <c r="CV551" t="s">
        <v>64</v>
      </c>
      <c r="CW551" t="s">
        <v>624</v>
      </c>
      <c r="CX551" t="s">
        <v>18</v>
      </c>
      <c r="CY551" s="4">
        <v>43075</v>
      </c>
      <c r="CZ551" t="s">
        <v>65</v>
      </c>
      <c r="DA551" t="s">
        <v>66</v>
      </c>
      <c r="DB551">
        <v>36</v>
      </c>
      <c r="DC551">
        <v>52.29</v>
      </c>
      <c r="DD551" t="s">
        <v>69</v>
      </c>
      <c r="DE551" t="s">
        <v>70</v>
      </c>
      <c r="DF551">
        <v>1882.44</v>
      </c>
    </row>
    <row r="552" spans="36:110" x14ac:dyDescent="0.25">
      <c r="AJ552" s="2"/>
      <c r="BN552" s="1">
        <f t="shared" si="335"/>
        <v>42796</v>
      </c>
      <c r="BO552" s="2">
        <f>SUM(BO$2:BO42)+AI42*B42</f>
        <v>97110</v>
      </c>
      <c r="BP552" s="2">
        <f>SUM(BP$2:BP42)+AJ42*C42</f>
        <v>4967.5999999999913</v>
      </c>
      <c r="BQ552" s="2">
        <f>SUM(BQ$2:BQ42)+AK42*D42</f>
        <v>26571.199999999983</v>
      </c>
      <c r="BR552" s="2">
        <f>SUM(BR$2:BR42)+AL42*E42</f>
        <v>1022.7000000000116</v>
      </c>
      <c r="BS552" s="2">
        <f>SUM(BS$2:BS42)+AM42*F42</f>
        <v>3908.2000000000007</v>
      </c>
      <c r="BT552" s="2">
        <f>SUM(BT$2:BT42)+AN42*G42</f>
        <v>-3132.6999999999825</v>
      </c>
      <c r="BU552" s="2">
        <f>SUM(BU$2:BU42)+AO42*H42</f>
        <v>4405.2000000000116</v>
      </c>
      <c r="BV552" s="2">
        <f>SUM(BV$2:BV42)+AP42*I42</f>
        <v>0</v>
      </c>
      <c r="BW552" s="2">
        <f>SUM(BW$2:BW42)+AQ42*J42</f>
        <v>9890</v>
      </c>
      <c r="BX552" s="2">
        <f>SUM(BX$2:BX42)+AR42*K42</f>
        <v>13040</v>
      </c>
      <c r="BY552" s="2">
        <f>SUM(BY$2:BY42)+AS42*L42</f>
        <v>13440</v>
      </c>
      <c r="BZ552" s="2">
        <f>SUM(BZ$2:BZ42)+AT42*M42</f>
        <v>-410</v>
      </c>
      <c r="CA552" s="2">
        <f>SUM(CA$2:CA42)+AU42*N42</f>
        <v>8170</v>
      </c>
      <c r="CB552" s="2">
        <f>SUM(CB$2:CB42)+AV42*O42</f>
        <v>5140</v>
      </c>
      <c r="CC552" s="2">
        <f>SUM(CC$2:CC42)+AW42*P42</f>
        <v>-20</v>
      </c>
      <c r="CD552" s="2">
        <f>SUM(CD$2:CD42)+AX42*Q42</f>
        <v>9090</v>
      </c>
      <c r="CE552" s="2">
        <f>SUM(CE$2:CE42)+AY42*R42</f>
        <v>12360</v>
      </c>
      <c r="CF552" s="2">
        <f>SUM(CF$2:CF42)+AZ42*S42</f>
        <v>5735.2600000000093</v>
      </c>
      <c r="CG552" s="2">
        <f>SUM(CG$2:CG42)+BA42*T42</f>
        <v>1597.7999999999956</v>
      </c>
      <c r="CH552" s="2">
        <f>SUM(CH$2:CH42)+BB42*U42</f>
        <v>5893.9199999999837</v>
      </c>
      <c r="CI552" s="2">
        <f>SUM(CI$2:CI42)+BC42*V42</f>
        <v>-3450</v>
      </c>
      <c r="CJ552" s="2">
        <f>SUM(CJ$2:CJ42)+BD42*W42</f>
        <v>6900</v>
      </c>
      <c r="CK552" s="2">
        <f>SUM(CK$2:CK42)+BE42*X42</f>
        <v>19780</v>
      </c>
      <c r="CL552" s="2">
        <f>SUM(CL$2:CL42)+BF42*Y42</f>
        <v>16200</v>
      </c>
      <c r="CM552" s="2">
        <f>SUM(CM$2:CM42)+BG42*Z42</f>
        <v>10780</v>
      </c>
      <c r="CN552" s="2">
        <f>SUM(CN$2:CN42)+BH42*AA42</f>
        <v>27155</v>
      </c>
      <c r="CO552" s="2">
        <f>SUM(CO$2:CO42)+BI42*AB42</f>
        <v>-10880</v>
      </c>
      <c r="CP552" s="2">
        <f>SUM(CP$2:CP42)+BJ42*AC42</f>
        <v>820</v>
      </c>
      <c r="CQ552" s="2">
        <f>SUM(CQ$2:CQ42)+BK42*AD42</f>
        <v>2000.0000000000073</v>
      </c>
      <c r="CR552" s="2">
        <f>SUM(CR$2:CR42)+BL42*AE42</f>
        <v>-6250</v>
      </c>
      <c r="CV552" t="s">
        <v>64</v>
      </c>
      <c r="CW552" t="s">
        <v>625</v>
      </c>
      <c r="CX552" t="s">
        <v>18</v>
      </c>
      <c r="CY552" s="4">
        <v>43076</v>
      </c>
      <c r="CZ552" t="s">
        <v>65</v>
      </c>
      <c r="DA552" t="s">
        <v>66</v>
      </c>
      <c r="DB552">
        <v>21</v>
      </c>
      <c r="DC552">
        <v>52.69</v>
      </c>
      <c r="DD552" t="s">
        <v>69</v>
      </c>
      <c r="DE552" t="s">
        <v>70</v>
      </c>
      <c r="DF552">
        <v>1106.49</v>
      </c>
    </row>
    <row r="553" spans="36:110" x14ac:dyDescent="0.25">
      <c r="AJ553" s="2"/>
      <c r="BN553" s="1">
        <f t="shared" si="335"/>
        <v>42797</v>
      </c>
      <c r="BO553" s="2">
        <f>SUM(BO$2:BO43)+AI43*B43</f>
        <v>101110</v>
      </c>
      <c r="BP553" s="2">
        <f>SUM(BP$2:BP43)+AJ43*C43</f>
        <v>4753.4000000000087</v>
      </c>
      <c r="BQ553" s="2">
        <f>SUM(BQ$2:BQ43)+AK43*D43</f>
        <v>25785.799999999988</v>
      </c>
      <c r="BR553" s="2">
        <f>SUM(BR$2:BR43)+AL43*E43</f>
        <v>1767.2999999999884</v>
      </c>
      <c r="BS553" s="2">
        <f>SUM(BS$2:BS43)+AM43*F43</f>
        <v>3816.3999999999978</v>
      </c>
      <c r="BT553" s="2">
        <f>SUM(BT$2:BT43)+AN43*G43</f>
        <v>-2959.2999999999884</v>
      </c>
      <c r="BU553" s="2">
        <f>SUM(BU$2:BU43)+AO43*H43</f>
        <v>5047.8000000000029</v>
      </c>
      <c r="BV553" s="2">
        <f>SUM(BV$2:BV43)+AP43*I43</f>
        <v>0</v>
      </c>
      <c r="BW553" s="2">
        <f>SUM(BW$2:BW43)+AQ43*J43</f>
        <v>11670</v>
      </c>
      <c r="BX553" s="2">
        <f>SUM(BX$2:BX43)+AR43*K43</f>
        <v>12910</v>
      </c>
      <c r="BY553" s="2">
        <f>SUM(BY$2:BY43)+AS43*L43</f>
        <v>13000</v>
      </c>
      <c r="BZ553" s="2">
        <f>SUM(BZ$2:BZ43)+AT43*M43</f>
        <v>-420</v>
      </c>
      <c r="CA553" s="2">
        <f>SUM(CA$2:CA43)+AU43*N43</f>
        <v>8330</v>
      </c>
      <c r="CB553" s="2">
        <f>SUM(CB$2:CB43)+AV43*O43</f>
        <v>5770</v>
      </c>
      <c r="CC553" s="2">
        <f>SUM(CC$2:CC43)+AW43*P43</f>
        <v>-20</v>
      </c>
      <c r="CD553" s="2">
        <f>SUM(CD$2:CD43)+AX43*Q43</f>
        <v>8770</v>
      </c>
      <c r="CE553" s="2">
        <f>SUM(CE$2:CE43)+AY43*R43</f>
        <v>11800</v>
      </c>
      <c r="CF553" s="2">
        <f>SUM(CF$2:CF43)+AZ43*S43</f>
        <v>6201.0300000000061</v>
      </c>
      <c r="CG553" s="2">
        <f>SUM(CG$2:CG43)+BA43*T43</f>
        <v>1817.2199999999939</v>
      </c>
      <c r="CH553" s="2">
        <f>SUM(CH$2:CH43)+BB43*U43</f>
        <v>4906.7999999999884</v>
      </c>
      <c r="CI553" s="2">
        <f>SUM(CI$2:CI43)+BC43*V43</f>
        <v>-3460</v>
      </c>
      <c r="CJ553" s="2">
        <f>SUM(CJ$2:CJ43)+BD43*W43</f>
        <v>6520</v>
      </c>
      <c r="CK553" s="2">
        <f>SUM(CK$2:CK43)+BE43*X43</f>
        <v>17930</v>
      </c>
      <c r="CL553" s="2">
        <f>SUM(CL$2:CL43)+BF43*Y43</f>
        <v>18780</v>
      </c>
      <c r="CM553" s="2">
        <f>SUM(CM$2:CM43)+BG43*Z43</f>
        <v>9080</v>
      </c>
      <c r="CN553" s="2">
        <f>SUM(CN$2:CN43)+BH43*AA43</f>
        <v>28195</v>
      </c>
      <c r="CO553" s="2">
        <f>SUM(CO$2:CO43)+BI43*AB43</f>
        <v>-10580</v>
      </c>
      <c r="CP553" s="2">
        <f>SUM(CP$2:CP43)+BJ43*AC43</f>
        <v>820</v>
      </c>
      <c r="CQ553" s="2">
        <f>SUM(CQ$2:CQ43)+BK43*AD43</f>
        <v>1300.0000000000073</v>
      </c>
      <c r="CR553" s="2">
        <f>SUM(CR$2:CR43)+BL43*AE43</f>
        <v>-7020</v>
      </c>
      <c r="CV553" t="s">
        <v>64</v>
      </c>
      <c r="CW553" t="s">
        <v>626</v>
      </c>
      <c r="CX553" t="s">
        <v>18</v>
      </c>
      <c r="CY553" s="4">
        <v>43077</v>
      </c>
      <c r="CZ553" t="s">
        <v>65</v>
      </c>
      <c r="DA553" t="s">
        <v>66</v>
      </c>
      <c r="DB553">
        <v>6</v>
      </c>
      <c r="DC553">
        <v>53.46</v>
      </c>
      <c r="DD553" t="s">
        <v>69</v>
      </c>
      <c r="DE553" t="s">
        <v>70</v>
      </c>
      <c r="DF553">
        <v>320.76</v>
      </c>
    </row>
    <row r="554" spans="36:110" x14ac:dyDescent="0.25">
      <c r="AJ554" s="2"/>
      <c r="BN554" s="1">
        <f t="shared" si="335"/>
        <v>42800</v>
      </c>
      <c r="BO554" s="2">
        <f>SUM(BO$2:BO44)+AI44*B44</f>
        <v>98960.000000000116</v>
      </c>
      <c r="BP554" s="2">
        <f>SUM(BP$2:BP44)+AJ44*C44</f>
        <v>4376</v>
      </c>
      <c r="BQ554" s="2">
        <f>SUM(BQ$2:BQ44)+AK44*D44</f>
        <v>24561.799999999988</v>
      </c>
      <c r="BR554" s="2">
        <f>SUM(BR$2:BR44)+AL44*E44</f>
        <v>2287.5</v>
      </c>
      <c r="BS554" s="2">
        <f>SUM(BS$2:BS44)+AM44*F44</f>
        <v>3714.4000000000051</v>
      </c>
      <c r="BT554" s="2">
        <f>SUM(BT$2:BT44)+AN44*G44</f>
        <v>-3316.2999999999884</v>
      </c>
      <c r="BU554" s="2">
        <f>SUM(BU$2:BU44)+AO44*H44</f>
        <v>4486.8000000000029</v>
      </c>
      <c r="BV554" s="2">
        <f>SUM(BV$2:BV44)+AP44*I44</f>
        <v>0</v>
      </c>
      <c r="BW554" s="2">
        <f>SUM(BW$2:BW44)+AQ44*J44</f>
        <v>10820</v>
      </c>
      <c r="BX554" s="2">
        <f>SUM(BX$2:BX44)+AR44*K44</f>
        <v>12260</v>
      </c>
      <c r="BY554" s="2">
        <f>SUM(BY$2:BY44)+AS44*L44</f>
        <v>13390</v>
      </c>
      <c r="BZ554" s="2">
        <f>SUM(BZ$2:BZ44)+AT44*M44</f>
        <v>-730</v>
      </c>
      <c r="CA554" s="2">
        <f>SUM(CA$2:CA44)+AU44*N44</f>
        <v>8250</v>
      </c>
      <c r="CB554" s="2">
        <f>SUM(CB$2:CB44)+AV44*O44</f>
        <v>4930</v>
      </c>
      <c r="CC554" s="2">
        <f>SUM(CC$2:CC44)+AW44*P44</f>
        <v>-20</v>
      </c>
      <c r="CD554" s="2">
        <f>SUM(CD$2:CD44)+AX44*Q44</f>
        <v>8900</v>
      </c>
      <c r="CE554" s="2">
        <f>SUM(CE$2:CE44)+AY44*R44</f>
        <v>11410</v>
      </c>
      <c r="CF554" s="2">
        <f>SUM(CF$2:CF44)+AZ44*S44</f>
        <v>6101.9300000000076</v>
      </c>
      <c r="CG554" s="2">
        <f>SUM(CG$2:CG44)+BA44*T44</f>
        <v>1835.5999999999985</v>
      </c>
      <c r="CH554" s="2">
        <f>SUM(CH$2:CH44)+BB44*U44</f>
        <v>4970.4999999999854</v>
      </c>
      <c r="CI554" s="2">
        <f>SUM(CI$2:CI44)+BC44*V44</f>
        <v>-3310</v>
      </c>
      <c r="CJ554" s="2">
        <f>SUM(CJ$2:CJ44)+BD44*W44</f>
        <v>6400</v>
      </c>
      <c r="CK554" s="2">
        <f>SUM(CK$2:CK44)+BE44*X44</f>
        <v>9280</v>
      </c>
      <c r="CL554" s="2">
        <f>SUM(CL$2:CL44)+BF44*Y44</f>
        <v>20249.999999999942</v>
      </c>
      <c r="CM554" s="2">
        <f>SUM(CM$2:CM44)+BG44*Z44</f>
        <v>5830</v>
      </c>
      <c r="CN554" s="2">
        <f>SUM(CN$2:CN44)+BH44*AA44</f>
        <v>28755</v>
      </c>
      <c r="CO554" s="2">
        <f>SUM(CO$2:CO44)+BI44*AB44</f>
        <v>-10760</v>
      </c>
      <c r="CP554" s="2">
        <f>SUM(CP$2:CP44)+BJ44*AC44</f>
        <v>820</v>
      </c>
      <c r="CQ554" s="2">
        <f>SUM(CQ$2:CQ44)+BK44*AD44</f>
        <v>1160.0000000000073</v>
      </c>
      <c r="CR554" s="2">
        <f>SUM(CR$2:CR44)+BL44*AE44</f>
        <v>-6680</v>
      </c>
      <c r="CV554" t="s">
        <v>64</v>
      </c>
      <c r="CW554" t="s">
        <v>627</v>
      </c>
      <c r="CX554" t="s">
        <v>18</v>
      </c>
      <c r="CY554" s="4">
        <v>43080</v>
      </c>
      <c r="CZ554" t="s">
        <v>67</v>
      </c>
      <c r="DA554" t="s">
        <v>68</v>
      </c>
      <c r="DB554">
        <v>79</v>
      </c>
      <c r="DC554">
        <v>54.2</v>
      </c>
      <c r="DD554" t="s">
        <v>69</v>
      </c>
      <c r="DE554" t="s">
        <v>70</v>
      </c>
      <c r="DF554">
        <v>4281.8</v>
      </c>
    </row>
    <row r="555" spans="36:110" x14ac:dyDescent="0.25">
      <c r="AJ555" s="2"/>
      <c r="BN555" s="1">
        <f t="shared" si="335"/>
        <v>42801</v>
      </c>
      <c r="BO555" s="2">
        <f>SUM(BO$2:BO45)+AI45*B45</f>
        <v>99860</v>
      </c>
      <c r="BP555" s="2">
        <f>SUM(BP$2:BP45)+AJ45*C45</f>
        <v>4458.3999999999942</v>
      </c>
      <c r="BQ555" s="2">
        <f>SUM(BQ$2:BQ45)+AK45*D45</f>
        <v>25632.999999999971</v>
      </c>
      <c r="BR555" s="2">
        <f>SUM(BR$2:BR45)+AL45*E45</f>
        <v>2555.3000000000029</v>
      </c>
      <c r="BS555" s="2">
        <f>SUM(BS$2:BS45)+AM45*F45</f>
        <v>3724.7000000000007</v>
      </c>
      <c r="BT555" s="2">
        <f>SUM(BT$2:BT45)+AN45*G45</f>
        <v>-4614.0999999999913</v>
      </c>
      <c r="BU555" s="2">
        <f>SUM(BU$2:BU45)+AO45*H45</f>
        <v>4672.1999999999971</v>
      </c>
      <c r="BV555" s="2">
        <f>SUM(BV$2:BV45)+AP45*I45</f>
        <v>0</v>
      </c>
      <c r="BW555" s="2">
        <f>SUM(BW$2:BW45)+AQ45*J45</f>
        <v>9730</v>
      </c>
      <c r="BX555" s="2">
        <f>SUM(BX$2:BX45)+AR45*K45</f>
        <v>12050</v>
      </c>
      <c r="BY555" s="2">
        <f>SUM(BY$2:BY45)+AS45*L45</f>
        <v>13310</v>
      </c>
      <c r="BZ555" s="2">
        <f>SUM(BZ$2:BZ45)+AT45*M45</f>
        <v>-510</v>
      </c>
      <c r="CA555" s="2">
        <f>SUM(CA$2:CA45)+AU45*N45</f>
        <v>8360</v>
      </c>
      <c r="CB555" s="2">
        <f>SUM(CB$2:CB45)+AV45*O45</f>
        <v>4440</v>
      </c>
      <c r="CC555" s="2">
        <f>SUM(CC$2:CC45)+AW45*P45</f>
        <v>-20</v>
      </c>
      <c r="CD555" s="2">
        <f>SUM(CD$2:CD45)+AX45*Q45</f>
        <v>8940</v>
      </c>
      <c r="CE555" s="2">
        <f>SUM(CE$2:CE45)+AY45*R45</f>
        <v>11600</v>
      </c>
      <c r="CF555" s="2">
        <f>SUM(CF$2:CF45)+AZ45*S45</f>
        <v>5635.4500000000189</v>
      </c>
      <c r="CG555" s="2">
        <f>SUM(CG$2:CG45)+BA45*T45</f>
        <v>1953.6399999999994</v>
      </c>
      <c r="CH555" s="2">
        <f>SUM(CH$2:CH45)+BB45*U45</f>
        <v>4772.4999999999854</v>
      </c>
      <c r="CI555" s="2">
        <f>SUM(CI$2:CI45)+BC45*V45</f>
        <v>-2970</v>
      </c>
      <c r="CJ555" s="2">
        <f>SUM(CJ$2:CJ45)+BD45*W45</f>
        <v>6320</v>
      </c>
      <c r="CK555" s="2">
        <f>SUM(CK$2:CK45)+BE45*X45</f>
        <v>8430</v>
      </c>
      <c r="CL555" s="2">
        <f>SUM(CL$2:CL45)+BF45*Y45</f>
        <v>19080</v>
      </c>
      <c r="CM555" s="2">
        <f>SUM(CM$2:CM45)+BG45*Z45</f>
        <v>8780</v>
      </c>
      <c r="CN555" s="2">
        <f>SUM(CN$2:CN45)+BH45*AA45</f>
        <v>29235</v>
      </c>
      <c r="CO555" s="2">
        <f>SUM(CO$2:CO45)+BI45*AB45</f>
        <v>-12350</v>
      </c>
      <c r="CP555" s="2">
        <f>SUM(CP$2:CP45)+BJ45*AC45</f>
        <v>820</v>
      </c>
      <c r="CQ555" s="2">
        <f>SUM(CQ$2:CQ45)+BK45*AD45</f>
        <v>1150.0000000000073</v>
      </c>
      <c r="CR555" s="2">
        <f>SUM(CR$2:CR45)+BL45*AE45</f>
        <v>-6970</v>
      </c>
      <c r="CV555" t="s">
        <v>64</v>
      </c>
      <c r="CW555" t="s">
        <v>628</v>
      </c>
      <c r="CX555" t="s">
        <v>18</v>
      </c>
      <c r="CY555" s="4">
        <v>43081</v>
      </c>
      <c r="CZ555" t="s">
        <v>65</v>
      </c>
      <c r="DA555" t="s">
        <v>66</v>
      </c>
      <c r="DB555">
        <v>47</v>
      </c>
      <c r="DC555">
        <v>54.91</v>
      </c>
      <c r="DD555" t="s">
        <v>69</v>
      </c>
      <c r="DE555" t="s">
        <v>70</v>
      </c>
      <c r="DF555">
        <v>2580.77</v>
      </c>
    </row>
    <row r="556" spans="36:110" x14ac:dyDescent="0.25">
      <c r="AJ556" s="2"/>
      <c r="BN556" s="1">
        <f t="shared" si="335"/>
        <v>42802</v>
      </c>
      <c r="BO556" s="2">
        <f>SUM(BO$2:BO46)+AI46*B46</f>
        <v>97310</v>
      </c>
      <c r="BP556" s="2">
        <f>SUM(BP$2:BP46)+AJ46*C46</f>
        <v>3912.4999999999854</v>
      </c>
      <c r="BQ556" s="2">
        <f>SUM(BQ$2:BQ46)+AK46*D46</f>
        <v>25354.899999999994</v>
      </c>
      <c r="BR556" s="2">
        <f>SUM(BR$2:BR46)+AL46*E46</f>
        <v>-91.80000000000291</v>
      </c>
      <c r="BS556" s="2">
        <f>SUM(BS$2:BS46)+AM46*F46</f>
        <v>3549.6000000000022</v>
      </c>
      <c r="BT556" s="2">
        <f>SUM(BT$2:BT46)+AN46*G46</f>
        <v>-6705</v>
      </c>
      <c r="BU556" s="2">
        <f>SUM(BU$2:BU46)+AO46*H46</f>
        <v>4651.6000000000058</v>
      </c>
      <c r="BV556" s="2">
        <f>SUM(BV$2:BV46)+AP46*I46</f>
        <v>0</v>
      </c>
      <c r="BW556" s="2">
        <f>SUM(BW$2:BW46)+AQ46*J46</f>
        <v>9090</v>
      </c>
      <c r="BX556" s="2">
        <f>SUM(BX$2:BX46)+AR46*K46</f>
        <v>12910</v>
      </c>
      <c r="BY556" s="2">
        <f>SUM(BY$2:BY46)+AS46*L46</f>
        <v>12450</v>
      </c>
      <c r="BZ556" s="2">
        <f>SUM(BZ$2:BZ46)+AT46*M46</f>
        <v>-680</v>
      </c>
      <c r="CA556" s="2">
        <f>SUM(CA$2:CA46)+AU46*N46</f>
        <v>8620</v>
      </c>
      <c r="CB556" s="2">
        <f>SUM(CB$2:CB46)+AV46*O46</f>
        <v>4250</v>
      </c>
      <c r="CC556" s="2">
        <f>SUM(CC$2:CC46)+AW46*P46</f>
        <v>-20</v>
      </c>
      <c r="CD556" s="2">
        <f>SUM(CD$2:CD46)+AX46*Q46</f>
        <v>8950</v>
      </c>
      <c r="CE556" s="2">
        <f>SUM(CE$2:CE46)+AY46*R46</f>
        <v>11990</v>
      </c>
      <c r="CF556" s="2">
        <f>SUM(CF$2:CF46)+AZ46*S46</f>
        <v>5488.4500000000116</v>
      </c>
      <c r="CG556" s="2">
        <f>SUM(CG$2:CG46)+BA46*T46</f>
        <v>2550.4300000000003</v>
      </c>
      <c r="CH556" s="2">
        <f>SUM(CH$2:CH46)+BB46*U46</f>
        <v>4731.6599999999889</v>
      </c>
      <c r="CI556" s="2">
        <f>SUM(CI$2:CI46)+BC46*V46</f>
        <v>-2900</v>
      </c>
      <c r="CJ556" s="2">
        <f>SUM(CJ$2:CJ46)+BD46*W46</f>
        <v>6180</v>
      </c>
      <c r="CK556" s="2">
        <f>SUM(CK$2:CK46)+BE46*X46</f>
        <v>7330</v>
      </c>
      <c r="CL556" s="2">
        <f>SUM(CL$2:CL46)+BF46*Y46</f>
        <v>19770</v>
      </c>
      <c r="CM556" s="2">
        <f>SUM(CM$2:CM46)+BG46*Z46</f>
        <v>6280</v>
      </c>
      <c r="CN556" s="2">
        <f>SUM(CN$2:CN46)+BH46*AA46</f>
        <v>28735</v>
      </c>
      <c r="CO556" s="2">
        <f>SUM(CO$2:CO46)+BI46*AB46</f>
        <v>-13130</v>
      </c>
      <c r="CP556" s="2">
        <f>SUM(CP$2:CP46)+BJ46*AC46</f>
        <v>820</v>
      </c>
      <c r="CQ556" s="2">
        <f>SUM(CQ$2:CQ46)+BK46*AD46</f>
        <v>1570.0000000000073</v>
      </c>
      <c r="CR556" s="2">
        <f>SUM(CR$2:CR46)+BL46*AE46</f>
        <v>-8340</v>
      </c>
      <c r="CV556" t="s">
        <v>64</v>
      </c>
      <c r="CW556" t="s">
        <v>629</v>
      </c>
      <c r="CX556" t="s">
        <v>18</v>
      </c>
      <c r="CY556" s="4">
        <v>43082</v>
      </c>
      <c r="CZ556" t="s">
        <v>67</v>
      </c>
      <c r="DA556" t="s">
        <v>68</v>
      </c>
      <c r="DB556">
        <v>31</v>
      </c>
      <c r="DC556">
        <v>54.75</v>
      </c>
      <c r="DD556" t="s">
        <v>69</v>
      </c>
      <c r="DE556" t="s">
        <v>70</v>
      </c>
      <c r="DF556">
        <v>1697.25</v>
      </c>
    </row>
    <row r="557" spans="36:110" x14ac:dyDescent="0.25">
      <c r="AJ557" s="2"/>
      <c r="BN557" s="1">
        <f t="shared" si="335"/>
        <v>42803</v>
      </c>
      <c r="BO557" s="2">
        <f>SUM(BO$2:BO47)+AI47*B47</f>
        <v>95760</v>
      </c>
      <c r="BP557" s="2">
        <f>SUM(BP$2:BP47)+AJ47*C47</f>
        <v>4169.9999999999854</v>
      </c>
      <c r="BQ557" s="2">
        <f>SUM(BQ$2:BQ47)+AK47*D47</f>
        <v>24201.299999999988</v>
      </c>
      <c r="BR557" s="2">
        <f>SUM(BR$2:BR47)+AL47*E47</f>
        <v>-1894.3000000000029</v>
      </c>
      <c r="BS557" s="2">
        <f>SUM(BS$2:BS47)+AM47*F47</f>
        <v>3601.1000000000022</v>
      </c>
      <c r="BT557" s="2">
        <f>SUM(BT$2:BT47)+AN47*G47</f>
        <v>-6292.9999999999854</v>
      </c>
      <c r="BU557" s="2">
        <f>SUM(BU$2:BU47)+AO47*H47</f>
        <v>4837.0000000000146</v>
      </c>
      <c r="BV557" s="2">
        <f>SUM(BV$2:BV47)+AP47*I47</f>
        <v>0</v>
      </c>
      <c r="BW557" s="2">
        <f>SUM(BW$2:BW47)+AQ47*J47</f>
        <v>9030</v>
      </c>
      <c r="BX557" s="2">
        <f>SUM(BX$2:BX47)+AR47*K47</f>
        <v>12620</v>
      </c>
      <c r="BY557" s="2">
        <f>SUM(BY$2:BY47)+AS47*L47</f>
        <v>10370</v>
      </c>
      <c r="BZ557" s="2">
        <f>SUM(BZ$2:BZ47)+AT47*M47</f>
        <v>-490</v>
      </c>
      <c r="CA557" s="2">
        <f>SUM(CA$2:CA47)+AU47*N47</f>
        <v>10390</v>
      </c>
      <c r="CB557" s="2">
        <f>SUM(CB$2:CB47)+AV47*O47</f>
        <v>4600</v>
      </c>
      <c r="CC557" s="2">
        <f>SUM(CC$2:CC47)+AW47*P47</f>
        <v>-20</v>
      </c>
      <c r="CD557" s="2">
        <f>SUM(CD$2:CD47)+AX47*Q47</f>
        <v>9000</v>
      </c>
      <c r="CE557" s="2">
        <f>SUM(CE$2:CE47)+AY47*R47</f>
        <v>12370</v>
      </c>
      <c r="CF557" s="2">
        <f>SUM(CF$2:CF47)+AZ47*S47</f>
        <v>5582.5900000000111</v>
      </c>
      <c r="CG557" s="2">
        <f>SUM(CG$2:CG47)+BA47*T47</f>
        <v>2294.4300000000003</v>
      </c>
      <c r="CH557" s="2">
        <f>SUM(CH$2:CH47)+BB47*U47</f>
        <v>4582.2799999999916</v>
      </c>
      <c r="CI557" s="2">
        <f>SUM(CI$2:CI47)+BC47*V47</f>
        <v>-3030</v>
      </c>
      <c r="CJ557" s="2">
        <f>SUM(CJ$2:CJ47)+BD47*W47</f>
        <v>6370</v>
      </c>
      <c r="CK557" s="2">
        <f>SUM(CK$2:CK47)+BE47*X47</f>
        <v>10480</v>
      </c>
      <c r="CL557" s="2">
        <f>SUM(CL$2:CL47)+BF47*Y47</f>
        <v>20069.999999999942</v>
      </c>
      <c r="CM557" s="2">
        <f>SUM(CM$2:CM47)+BG47*Z47</f>
        <v>7130</v>
      </c>
      <c r="CN557" s="2">
        <f>SUM(CN$2:CN47)+BH47*AA47</f>
        <v>29485</v>
      </c>
      <c r="CO557" s="2">
        <f>SUM(CO$2:CO47)+BI47*AB47</f>
        <v>-12800</v>
      </c>
      <c r="CP557" s="2">
        <f>SUM(CP$2:CP47)+BJ47*AC47</f>
        <v>820</v>
      </c>
      <c r="CQ557" s="2">
        <f>SUM(CQ$2:CQ47)+BK47*AD47</f>
        <v>1630.0000000000073</v>
      </c>
      <c r="CR557" s="2">
        <f>SUM(CR$2:CR47)+BL47*AE47</f>
        <v>-7750</v>
      </c>
      <c r="CV557" t="s">
        <v>64</v>
      </c>
      <c r="CW557" t="s">
        <v>630</v>
      </c>
      <c r="CX557" t="s">
        <v>18</v>
      </c>
      <c r="CY557" s="4">
        <v>43083</v>
      </c>
      <c r="CZ557" t="s">
        <v>65</v>
      </c>
      <c r="DA557" t="s">
        <v>66</v>
      </c>
      <c r="DB557">
        <v>6</v>
      </c>
      <c r="DC557">
        <v>54.34</v>
      </c>
      <c r="DD557" t="s">
        <v>69</v>
      </c>
      <c r="DE557" t="s">
        <v>70</v>
      </c>
      <c r="DF557">
        <v>326.04000000000002</v>
      </c>
    </row>
    <row r="558" spans="36:110" x14ac:dyDescent="0.25">
      <c r="AJ558" s="2"/>
      <c r="BN558" s="1">
        <f t="shared" si="335"/>
        <v>42804</v>
      </c>
      <c r="BO558" s="2">
        <f>SUM(BO$2:BO48)+AI48*B48</f>
        <v>98009.999999999884</v>
      </c>
      <c r="BP558" s="2">
        <f>SUM(BP$2:BP48)+AJ48*C48</f>
        <v>4252.4000000000087</v>
      </c>
      <c r="BQ558" s="2">
        <f>SUM(BQ$2:BQ48)+AK48*D48</f>
        <v>22357.600000000006</v>
      </c>
      <c r="BR558" s="2">
        <f>SUM(BR$2:BR48)+AL48*E48</f>
        <v>-998.19999999999709</v>
      </c>
      <c r="BS558" s="2">
        <f>SUM(BS$2:BS48)+AM48*F48</f>
        <v>3786.5000000000036</v>
      </c>
      <c r="BT558" s="2">
        <f>SUM(BT$2:BT48)+AN48*G48</f>
        <v>-5757.3999999999942</v>
      </c>
      <c r="BU558" s="2">
        <f>SUM(BU$2:BU48)+AO48*H48</f>
        <v>4734</v>
      </c>
      <c r="BV558" s="2">
        <f>SUM(BV$2:BV48)+AP48*I48</f>
        <v>0</v>
      </c>
      <c r="BW558" s="2">
        <f>SUM(BW$2:BW48)+AQ48*J48</f>
        <v>7270</v>
      </c>
      <c r="BX558" s="2">
        <f>SUM(BX$2:BX48)+AR48*K48</f>
        <v>12840</v>
      </c>
      <c r="BY558" s="2">
        <f>SUM(BY$2:BY48)+AS48*L48</f>
        <v>10970</v>
      </c>
      <c r="BZ558" s="2">
        <f>SUM(BZ$2:BZ48)+AT48*M48</f>
        <v>-410</v>
      </c>
      <c r="CA558" s="2">
        <f>SUM(CA$2:CA48)+AU48*N48</f>
        <v>10640</v>
      </c>
      <c r="CB558" s="2">
        <f>SUM(CB$2:CB48)+AV48*O48</f>
        <v>4320</v>
      </c>
      <c r="CC558" s="2">
        <f>SUM(CC$2:CC48)+AW48*P48</f>
        <v>-20</v>
      </c>
      <c r="CD558" s="2">
        <f>SUM(CD$2:CD48)+AX48*Q48</f>
        <v>8850</v>
      </c>
      <c r="CE558" s="2">
        <f>SUM(CE$2:CE48)+AY48*R48</f>
        <v>13610</v>
      </c>
      <c r="CF558" s="2">
        <f>SUM(CF$2:CF48)+AZ48*S48</f>
        <v>5319.3400000000038</v>
      </c>
      <c r="CG558" s="2">
        <f>SUM(CG$2:CG48)+BA48*T48</f>
        <v>2476.4499999999971</v>
      </c>
      <c r="CH558" s="2">
        <f>SUM(CH$2:CH48)+BB48*U48</f>
        <v>4646.2599999999875</v>
      </c>
      <c r="CI558" s="2">
        <f>SUM(CI$2:CI48)+BC48*V48</f>
        <v>-3080</v>
      </c>
      <c r="CJ558" s="2">
        <f>SUM(CJ$2:CJ48)+BD48*W48</f>
        <v>7050</v>
      </c>
      <c r="CK558" s="2">
        <f>SUM(CK$2:CK48)+BE48*X48</f>
        <v>14930</v>
      </c>
      <c r="CL558" s="2">
        <f>SUM(CL$2:CL48)+BF48*Y48</f>
        <v>25830</v>
      </c>
      <c r="CM558" s="2">
        <f>SUM(CM$2:CM48)+BG48*Z48</f>
        <v>8130</v>
      </c>
      <c r="CN558" s="2">
        <f>SUM(CN$2:CN48)+BH48*AA48</f>
        <v>32535</v>
      </c>
      <c r="CO558" s="2">
        <f>SUM(CO$2:CO48)+BI48*AB48</f>
        <v>-12620</v>
      </c>
      <c r="CP558" s="2">
        <f>SUM(CP$2:CP48)+BJ48*AC48</f>
        <v>820</v>
      </c>
      <c r="CQ558" s="2">
        <f>SUM(CQ$2:CQ48)+BK48*AD48</f>
        <v>1860.0000000000073</v>
      </c>
      <c r="CR558" s="2">
        <f>SUM(CR$2:CR48)+BL48*AE48</f>
        <v>-7810</v>
      </c>
      <c r="CV558" t="s">
        <v>64</v>
      </c>
      <c r="CW558" t="s">
        <v>631</v>
      </c>
      <c r="CX558" t="s">
        <v>18</v>
      </c>
      <c r="CY558" s="4">
        <v>43084</v>
      </c>
      <c r="CZ558" t="s">
        <v>65</v>
      </c>
      <c r="DA558" t="s">
        <v>66</v>
      </c>
      <c r="DB558">
        <v>2</v>
      </c>
      <c r="DC558">
        <v>54.57</v>
      </c>
      <c r="DD558" t="s">
        <v>69</v>
      </c>
      <c r="DE558" t="s">
        <v>70</v>
      </c>
      <c r="DF558">
        <v>109.14</v>
      </c>
    </row>
    <row r="559" spans="36:110" x14ac:dyDescent="0.25">
      <c r="AJ559" s="2"/>
      <c r="BN559" s="1">
        <f t="shared" si="335"/>
        <v>42807</v>
      </c>
      <c r="BO559" s="2">
        <f>SUM(BO$2:BO49)+AI49*B49</f>
        <v>98310</v>
      </c>
      <c r="BP559" s="2">
        <f>SUM(BP$2:BP49)+AJ49*C49</f>
        <v>4087.5999999999913</v>
      </c>
      <c r="BQ559" s="2">
        <f>SUM(BQ$2:BQ49)+AK49*D49</f>
        <v>22707.799999999988</v>
      </c>
      <c r="BR559" s="2">
        <f>SUM(BR$2:BR49)+AL49*E49</f>
        <v>-668.60000000000582</v>
      </c>
      <c r="BS559" s="2">
        <f>SUM(BS$2:BS49)+AM49*F49</f>
        <v>3632.0000000000036</v>
      </c>
      <c r="BT559" s="2">
        <f>SUM(BT$2:BT49)+AN49*G49</f>
        <v>-6952.1999999999825</v>
      </c>
      <c r="BU559" s="2">
        <f>SUM(BU$2:BU49)+AO49*H49</f>
        <v>5331.4000000000087</v>
      </c>
      <c r="BV559" s="2">
        <f>SUM(BV$2:BV49)+AP49*I49</f>
        <v>0</v>
      </c>
      <c r="BW559" s="2">
        <f>SUM(BW$2:BW49)+AQ49*J49</f>
        <v>7050</v>
      </c>
      <c r="BX559" s="2">
        <f>SUM(BX$2:BX49)+AR49*K49</f>
        <v>13400</v>
      </c>
      <c r="BY559" s="2">
        <f>SUM(BY$2:BY49)+AS49*L49</f>
        <v>9710</v>
      </c>
      <c r="BZ559" s="2">
        <f>SUM(BZ$2:BZ49)+AT49*M49</f>
        <v>-1120</v>
      </c>
      <c r="CA559" s="2">
        <f>SUM(CA$2:CA49)+AU49*N49</f>
        <v>11090</v>
      </c>
      <c r="CB559" s="2">
        <f>SUM(CB$2:CB49)+AV49*O49</f>
        <v>4400</v>
      </c>
      <c r="CC559" s="2">
        <f>SUM(CC$2:CC49)+AW49*P49</f>
        <v>-20</v>
      </c>
      <c r="CD559" s="2">
        <f>SUM(CD$2:CD49)+AX49*Q49</f>
        <v>8490</v>
      </c>
      <c r="CE559" s="2">
        <f>SUM(CE$2:CE49)+AY49*R49</f>
        <v>13910</v>
      </c>
      <c r="CF559" s="2">
        <f>SUM(CF$2:CF49)+AZ49*S49</f>
        <v>4418.1700000000055</v>
      </c>
      <c r="CG559" s="2">
        <f>SUM(CG$2:CG49)+BA49*T49</f>
        <v>2245.6599999999962</v>
      </c>
      <c r="CH559" s="2">
        <f>SUM(CH$2:CH49)+BB49*U49</f>
        <v>4885.919999999991</v>
      </c>
      <c r="CI559" s="2">
        <f>SUM(CI$2:CI49)+BC49*V49</f>
        <v>-3080</v>
      </c>
      <c r="CJ559" s="2">
        <f>SUM(CJ$2:CJ49)+BD49*W49</f>
        <v>7280</v>
      </c>
      <c r="CK559" s="2">
        <f>SUM(CK$2:CK49)+BE49*X49</f>
        <v>11680</v>
      </c>
      <c r="CL559" s="2">
        <f>SUM(CL$2:CL49)+BF49*Y49</f>
        <v>26490</v>
      </c>
      <c r="CM559" s="2">
        <f>SUM(CM$2:CM49)+BG49*Z49</f>
        <v>8930</v>
      </c>
      <c r="CN559" s="2">
        <f>SUM(CN$2:CN49)+BH49*AA49</f>
        <v>33865</v>
      </c>
      <c r="CO559" s="2">
        <f>SUM(CO$2:CO49)+BI49*AB49</f>
        <v>-12290</v>
      </c>
      <c r="CP559" s="2">
        <f>SUM(CP$2:CP49)+BJ49*AC49</f>
        <v>820</v>
      </c>
      <c r="CQ559" s="2">
        <f>SUM(CQ$2:CQ49)+BK49*AD49</f>
        <v>1720.0000000000073</v>
      </c>
      <c r="CR559" s="2">
        <f>SUM(CR$2:CR49)+BL49*AE49</f>
        <v>-7980</v>
      </c>
      <c r="CV559" t="s">
        <v>64</v>
      </c>
      <c r="CW559" t="s">
        <v>632</v>
      </c>
      <c r="CX559" t="s">
        <v>18</v>
      </c>
      <c r="CY559" s="4">
        <v>43087</v>
      </c>
      <c r="CZ559" t="s">
        <v>65</v>
      </c>
      <c r="DA559" t="s">
        <v>66</v>
      </c>
      <c r="DB559">
        <v>66</v>
      </c>
      <c r="DC559">
        <v>54.55</v>
      </c>
      <c r="DD559" t="s">
        <v>69</v>
      </c>
      <c r="DE559" t="s">
        <v>70</v>
      </c>
      <c r="DF559">
        <v>3600.2999999999997</v>
      </c>
    </row>
    <row r="560" spans="36:110" x14ac:dyDescent="0.25">
      <c r="AJ560" s="2"/>
      <c r="BN560" s="1">
        <f t="shared" si="335"/>
        <v>42808</v>
      </c>
      <c r="BO560" s="2">
        <f>SUM(BO$2:BO50)+AI50*B50</f>
        <v>97260</v>
      </c>
      <c r="BP560" s="2">
        <f>SUM(BP$2:BP50)+AJ50*C50</f>
        <v>4561.3999999999942</v>
      </c>
      <c r="BQ560" s="2">
        <f>SUM(BQ$2:BQ50)+AK50*D50</f>
        <v>22388.499999999971</v>
      </c>
      <c r="BR560" s="2">
        <f>SUM(BR$2:BR50)+AL50*E50</f>
        <v>-1441.1000000000058</v>
      </c>
      <c r="BS560" s="2">
        <f>SUM(BS$2:BS50)+AM50*F50</f>
        <v>3652.6000000000022</v>
      </c>
      <c r="BT560" s="2">
        <f>SUM(BT$2:BT50)+AN50*G50</f>
        <v>-8857.6999999999825</v>
      </c>
      <c r="BU560" s="2">
        <f>SUM(BU$2:BU50)+AO50*H50</f>
        <v>6114.2000000000116</v>
      </c>
      <c r="BV560" s="2">
        <f>SUM(BV$2:BV50)+AP50*I50</f>
        <v>0</v>
      </c>
      <c r="BW560" s="2">
        <f>SUM(BW$2:BW50)+AQ50*J50</f>
        <v>6630</v>
      </c>
      <c r="BX560" s="2">
        <f>SUM(BX$2:BX50)+AR50*K50</f>
        <v>13140</v>
      </c>
      <c r="BY560" s="2">
        <f>SUM(BY$2:BY50)+AS50*L50</f>
        <v>9030</v>
      </c>
      <c r="BZ560" s="2">
        <f>SUM(BZ$2:BZ50)+AT50*M50</f>
        <v>-1100</v>
      </c>
      <c r="CA560" s="2">
        <f>SUM(CA$2:CA50)+AU50*N50</f>
        <v>11440</v>
      </c>
      <c r="CB560" s="2">
        <f>SUM(CB$2:CB50)+AV50*O50</f>
        <v>4540</v>
      </c>
      <c r="CC560" s="2">
        <f>SUM(CC$2:CC50)+AW50*P50</f>
        <v>-20</v>
      </c>
      <c r="CD560" s="2">
        <f>SUM(CD$2:CD50)+AX50*Q50</f>
        <v>8680</v>
      </c>
      <c r="CE560" s="2">
        <f>SUM(CE$2:CE50)+AY50*R50</f>
        <v>12770</v>
      </c>
      <c r="CF560" s="2">
        <f>SUM(CF$2:CF50)+AZ50*S50</f>
        <v>4456.2500000000073</v>
      </c>
      <c r="CG560" s="2">
        <f>SUM(CG$2:CG50)+BA50*T50</f>
        <v>1972.7699999999968</v>
      </c>
      <c r="CH560" s="2">
        <f>SUM(CH$2:CH50)+BB50*U50</f>
        <v>5527.919999999991</v>
      </c>
      <c r="CI560" s="2">
        <f>SUM(CI$2:CI50)+BC50*V50</f>
        <v>-3180</v>
      </c>
      <c r="CJ560" s="2">
        <f>SUM(CJ$2:CJ50)+BD50*W50</f>
        <v>6990</v>
      </c>
      <c r="CK560" s="2">
        <f>SUM(CK$2:CK50)+BE50*X50</f>
        <v>13930</v>
      </c>
      <c r="CL560" s="2">
        <f>SUM(CL$2:CL50)+BF50*Y50</f>
        <v>23130</v>
      </c>
      <c r="CM560" s="2">
        <f>SUM(CM$2:CM50)+BG50*Z50</f>
        <v>6630</v>
      </c>
      <c r="CN560" s="2">
        <f>SUM(CN$2:CN50)+BH50*AA50</f>
        <v>33315</v>
      </c>
      <c r="CO560" s="2">
        <f>SUM(CO$2:CO50)+BI50*AB50</f>
        <v>-12590</v>
      </c>
      <c r="CP560" s="2">
        <f>SUM(CP$2:CP50)+BJ50*AC50</f>
        <v>820</v>
      </c>
      <c r="CQ560" s="2">
        <f>SUM(CQ$2:CQ50)+BK50*AD50</f>
        <v>2450.0000000000073</v>
      </c>
      <c r="CR560" s="2">
        <f>SUM(CR$2:CR50)+BL50*AE50</f>
        <v>-8380</v>
      </c>
      <c r="CV560" t="s">
        <v>64</v>
      </c>
      <c r="CW560" t="s">
        <v>633</v>
      </c>
      <c r="CX560" t="s">
        <v>18</v>
      </c>
      <c r="CY560" s="4">
        <v>43088</v>
      </c>
      <c r="CZ560" t="s">
        <v>67</v>
      </c>
      <c r="DA560" t="s">
        <v>68</v>
      </c>
      <c r="DB560">
        <v>22</v>
      </c>
      <c r="DC560">
        <v>54.56</v>
      </c>
      <c r="DD560" t="s">
        <v>69</v>
      </c>
      <c r="DE560" t="s">
        <v>70</v>
      </c>
      <c r="DF560">
        <v>1200.3200000000002</v>
      </c>
    </row>
    <row r="561" spans="36:110" x14ac:dyDescent="0.25">
      <c r="AJ561" s="2"/>
      <c r="BN561" s="1">
        <f t="shared" si="335"/>
        <v>42809</v>
      </c>
      <c r="BO561" s="2">
        <f>SUM(BO$2:BO51)+AI51*B51</f>
        <v>104410</v>
      </c>
      <c r="BP561" s="2">
        <f>SUM(BP$2:BP51)+AJ51*C51</f>
        <v>4108.1999999999971</v>
      </c>
      <c r="BQ561" s="2">
        <f>SUM(BQ$2:BQ51)+AK51*D51</f>
        <v>22367.899999999994</v>
      </c>
      <c r="BR561" s="2">
        <f>SUM(BR$2:BR51)+AL51*E51</f>
        <v>31.80000000000291</v>
      </c>
      <c r="BS561" s="2">
        <f>SUM(BS$2:BS51)+AM51*F51</f>
        <v>3765.9000000000051</v>
      </c>
      <c r="BT561" s="2">
        <f>SUM(BT$2:BT51)+AN51*G51</f>
        <v>-7405.3999999999942</v>
      </c>
      <c r="BU561" s="2">
        <f>SUM(BU$2:BU51)+AO51*H51</f>
        <v>5681.6000000000058</v>
      </c>
      <c r="BV561" s="2">
        <f>SUM(BV$2:BV51)+AP51*I51</f>
        <v>0</v>
      </c>
      <c r="BW561" s="2">
        <f>SUM(BW$2:BW51)+AQ51*J51</f>
        <v>5710</v>
      </c>
      <c r="BX561" s="2">
        <f>SUM(BX$2:BX51)+AR51*K51</f>
        <v>13900</v>
      </c>
      <c r="BY561" s="2">
        <f>SUM(BY$2:BY51)+AS51*L51</f>
        <v>9110</v>
      </c>
      <c r="BZ561" s="2">
        <f>SUM(BZ$2:BZ51)+AT51*M51</f>
        <v>-1180</v>
      </c>
      <c r="CA561" s="2">
        <f>SUM(CA$2:CA51)+AU51*N51</f>
        <v>13260</v>
      </c>
      <c r="CB561" s="2">
        <f>SUM(CB$2:CB51)+AV51*O51</f>
        <v>4750</v>
      </c>
      <c r="CC561" s="2">
        <f>SUM(CC$2:CC51)+AW51*P51</f>
        <v>-20</v>
      </c>
      <c r="CD561" s="2">
        <f>SUM(CD$2:CD51)+AX51*Q51</f>
        <v>8750</v>
      </c>
      <c r="CE561" s="2">
        <f>SUM(CE$2:CE51)+AY51*R51</f>
        <v>13600</v>
      </c>
      <c r="CF561" s="2">
        <f>SUM(CF$2:CF51)+AZ51*S51</f>
        <v>4935.7700000000114</v>
      </c>
      <c r="CG561" s="2">
        <f>SUM(CG$2:CG51)+BA51*T51</f>
        <v>2275.7099999999919</v>
      </c>
      <c r="CH561" s="2">
        <f>SUM(CH$2:CH51)+BB51*U51</f>
        <v>5899.3999999999869</v>
      </c>
      <c r="CI561" s="2">
        <f>SUM(CI$2:CI51)+BC51*V51</f>
        <v>-3570</v>
      </c>
      <c r="CJ561" s="2">
        <f>SUM(CJ$2:CJ51)+BD51*W51</f>
        <v>7360</v>
      </c>
      <c r="CK561" s="2">
        <f>SUM(CK$2:CK51)+BE51*X51</f>
        <v>15730</v>
      </c>
      <c r="CL561" s="2">
        <f>SUM(CL$2:CL51)+BF51*Y51</f>
        <v>31080</v>
      </c>
      <c r="CM561" s="2">
        <f>SUM(CM$2:CM51)+BG51*Z51</f>
        <v>12630</v>
      </c>
      <c r="CN561" s="2">
        <f>SUM(CN$2:CN51)+BH51*AA51</f>
        <v>33315</v>
      </c>
      <c r="CO561" s="2">
        <f>SUM(CO$2:CO51)+BI51*AB51</f>
        <v>-10460</v>
      </c>
      <c r="CP561" s="2">
        <f>SUM(CP$2:CP51)+BJ51*AC51</f>
        <v>820</v>
      </c>
      <c r="CQ561" s="2">
        <f>SUM(CQ$2:CQ51)+BK51*AD51</f>
        <v>2320.0000000000073</v>
      </c>
      <c r="CR561" s="2">
        <f>SUM(CR$2:CR51)+BL51*AE51</f>
        <v>-7450</v>
      </c>
      <c r="CV561" t="s">
        <v>64</v>
      </c>
      <c r="CW561" t="s">
        <v>634</v>
      </c>
      <c r="CX561" t="s">
        <v>18</v>
      </c>
      <c r="CY561" s="4">
        <v>43089</v>
      </c>
      <c r="CZ561" t="s">
        <v>65</v>
      </c>
      <c r="DA561" t="s">
        <v>66</v>
      </c>
      <c r="DB561">
        <v>7</v>
      </c>
      <c r="DC561">
        <v>54.44</v>
      </c>
      <c r="DD561" t="s">
        <v>69</v>
      </c>
      <c r="DE561" t="s">
        <v>70</v>
      </c>
      <c r="DF561">
        <v>381.08</v>
      </c>
    </row>
    <row r="562" spans="36:110" x14ac:dyDescent="0.25">
      <c r="AJ562" s="2"/>
      <c r="BN562" s="1">
        <f t="shared" si="335"/>
        <v>42810</v>
      </c>
      <c r="BO562" s="2">
        <f>SUM(BO$2:BO52)+AI52*B52</f>
        <v>105509.99999999988</v>
      </c>
      <c r="BP562" s="2">
        <f>SUM(BP$2:BP52)+AJ52*C52</f>
        <v>4643.8000000000029</v>
      </c>
      <c r="BQ562" s="2">
        <f>SUM(BQ$2:BQ52)+AK52*D52</f>
        <v>21863.199999999983</v>
      </c>
      <c r="BR562" s="2">
        <f>SUM(BR$2:BR52)+AL52*E52</f>
        <v>-462.60000000000582</v>
      </c>
      <c r="BS562" s="2">
        <f>SUM(BS$2:BS52)+AM52*F52</f>
        <v>3755.6000000000022</v>
      </c>
      <c r="BT562" s="2">
        <f>SUM(BT$2:BT52)+AN52*G52</f>
        <v>-8373.5999999999913</v>
      </c>
      <c r="BU562" s="2">
        <f>SUM(BU$2:BU52)+AO52*H52</f>
        <v>5516.8000000000029</v>
      </c>
      <c r="BV562" s="2">
        <f>SUM(BV$2:BV52)+AP52*I52</f>
        <v>0</v>
      </c>
      <c r="BW562" s="2">
        <f>SUM(BW$2:BW52)+AQ52*J52</f>
        <v>7110</v>
      </c>
      <c r="BX562" s="2">
        <f>SUM(BX$2:BX52)+AR52*K52</f>
        <v>14650</v>
      </c>
      <c r="BY562" s="2">
        <f>SUM(BY$2:BY52)+AS52*L52</f>
        <v>10420</v>
      </c>
      <c r="BZ562" s="2">
        <f>SUM(BZ$2:BZ52)+AT52*M52</f>
        <v>-1140</v>
      </c>
      <c r="CA562" s="2">
        <f>SUM(CA$2:CA52)+AU52*N52</f>
        <v>12790</v>
      </c>
      <c r="CB562" s="2">
        <f>SUM(CB$2:CB52)+AV52*O52</f>
        <v>4660</v>
      </c>
      <c r="CC562" s="2">
        <f>SUM(CC$2:CC52)+AW52*P52</f>
        <v>-20</v>
      </c>
      <c r="CD562" s="2">
        <f>SUM(CD$2:CD52)+AX52*Q52</f>
        <v>8850</v>
      </c>
      <c r="CE562" s="2">
        <f>SUM(CE$2:CE52)+AY52*R52</f>
        <v>12760</v>
      </c>
      <c r="CF562" s="2">
        <f>SUM(CF$2:CF52)+AZ52*S52</f>
        <v>4444.3000000000029</v>
      </c>
      <c r="CG562" s="2">
        <f>SUM(CG$2:CG52)+BA52*T52</f>
        <v>2156.25</v>
      </c>
      <c r="CH562" s="2">
        <f>SUM(CH$2:CH52)+BB52*U52</f>
        <v>5840.7799999999916</v>
      </c>
      <c r="CI562" s="2">
        <f>SUM(CI$2:CI52)+BC52*V52</f>
        <v>-3380</v>
      </c>
      <c r="CJ562" s="2">
        <f>SUM(CJ$2:CJ52)+BD52*W52</f>
        <v>7400</v>
      </c>
      <c r="CK562" s="2">
        <f>SUM(CK$2:CK52)+BE52*X52</f>
        <v>14530</v>
      </c>
      <c r="CL562" s="2">
        <f>SUM(CL$2:CL52)+BF52*Y52</f>
        <v>29670</v>
      </c>
      <c r="CM562" s="2">
        <f>SUM(CM$2:CM52)+BG52*Z52</f>
        <v>9080</v>
      </c>
      <c r="CN562" s="2">
        <f>SUM(CN$2:CN52)+BH52*AA52</f>
        <v>33315</v>
      </c>
      <c r="CO562" s="2">
        <f>SUM(CO$2:CO52)+BI52*AB52</f>
        <v>-10730</v>
      </c>
      <c r="CP562" s="2">
        <f>SUM(CP$2:CP52)+BJ52*AC52</f>
        <v>820</v>
      </c>
      <c r="CQ562" s="2">
        <f>SUM(CQ$2:CQ52)+BK52*AD52</f>
        <v>2190.0000000000073</v>
      </c>
      <c r="CR562" s="2">
        <f>SUM(CR$2:CR52)+BL52*AE52</f>
        <v>-7380</v>
      </c>
      <c r="CV562" t="s">
        <v>64</v>
      </c>
      <c r="CW562" t="s">
        <v>635</v>
      </c>
      <c r="CX562" t="s">
        <v>18</v>
      </c>
      <c r="CY562" s="4">
        <v>43090</v>
      </c>
      <c r="CZ562" t="s">
        <v>65</v>
      </c>
      <c r="DA562" t="s">
        <v>66</v>
      </c>
      <c r="DB562">
        <v>20</v>
      </c>
      <c r="DC562">
        <v>54.92</v>
      </c>
      <c r="DD562" t="s">
        <v>69</v>
      </c>
      <c r="DE562" t="s">
        <v>70</v>
      </c>
      <c r="DF562">
        <v>1098.4000000000001</v>
      </c>
    </row>
    <row r="563" spans="36:110" x14ac:dyDescent="0.25">
      <c r="BN563" s="1">
        <f t="shared" si="335"/>
        <v>42811</v>
      </c>
      <c r="BO563" s="2">
        <f>SUM(BO$2:BO53)+AI53*B53</f>
        <v>102110</v>
      </c>
      <c r="BP563" s="2">
        <f>SUM(BP$2:BP53)+AJ53*C53</f>
        <v>4128.8000000000029</v>
      </c>
      <c r="BQ563" s="2">
        <f>SUM(BQ$2:BQ53)+AK53*D53</f>
        <v>23737.799999999988</v>
      </c>
      <c r="BR563" s="2">
        <f>SUM(BR$2:BR53)+AL53*E53</f>
        <v>-411.10000000000582</v>
      </c>
      <c r="BS563" s="2">
        <f>SUM(BS$2:BS53)+AM53*F53</f>
        <v>3755.6000000000022</v>
      </c>
      <c r="BT563" s="2">
        <f>SUM(BT$2:BT53)+AN53*G53</f>
        <v>-8548.6999999999825</v>
      </c>
      <c r="BU563" s="2">
        <f>SUM(BU$2:BU53)+AO53*H53</f>
        <v>5568.3000000000029</v>
      </c>
      <c r="BV563" s="2">
        <f>SUM(BV$2:BV53)+AP53*I53</f>
        <v>0</v>
      </c>
      <c r="BW563" s="2">
        <f>SUM(BW$2:BW53)+AQ53*J53</f>
        <v>2930</v>
      </c>
      <c r="BX563" s="2">
        <f>SUM(BX$2:BX53)+AR53*K53</f>
        <v>15490</v>
      </c>
      <c r="BY563" s="2">
        <f>SUM(BY$2:BY53)+AS53*L53</f>
        <v>8970</v>
      </c>
      <c r="BZ563" s="2">
        <f>SUM(BZ$2:BZ53)+AT53*M53</f>
        <v>-1010</v>
      </c>
      <c r="CA563" s="2">
        <f>SUM(CA$2:CA53)+AU53*N53</f>
        <v>12400</v>
      </c>
      <c r="CB563" s="2">
        <f>SUM(CB$2:CB53)+AV53*O53</f>
        <v>3750</v>
      </c>
      <c r="CC563" s="2">
        <f>SUM(CC$2:CC53)+AW53*P53</f>
        <v>-20</v>
      </c>
      <c r="CD563" s="2">
        <f>SUM(CD$2:CD53)+AX53*Q53</f>
        <v>9480</v>
      </c>
      <c r="CE563" s="2">
        <f>SUM(CE$2:CE53)+AY53*R53</f>
        <v>14710</v>
      </c>
      <c r="CF563" s="2">
        <f>SUM(CF$2:CF53)+AZ53*S53</f>
        <v>4185.640000000014</v>
      </c>
      <c r="CG563" s="2">
        <f>SUM(CG$2:CG53)+BA53*T53</f>
        <v>2385.9300000000003</v>
      </c>
      <c r="CH563" s="2">
        <f>SUM(CH$2:CH53)+BB53*U53</f>
        <v>6022.7799999999843</v>
      </c>
      <c r="CI563" s="2">
        <f>SUM(CI$2:CI53)+BC53*V53</f>
        <v>-3280</v>
      </c>
      <c r="CJ563" s="2">
        <f>SUM(CJ$2:CJ53)+BD53*W53</f>
        <v>6990</v>
      </c>
      <c r="CK563" s="2">
        <f>SUM(CK$2:CK53)+BE53*X53</f>
        <v>16430</v>
      </c>
      <c r="CL563" s="2">
        <f>SUM(CL$2:CL53)+BF53*Y53</f>
        <v>24990</v>
      </c>
      <c r="CM563" s="2">
        <f>SUM(CM$2:CM53)+BG53*Z53</f>
        <v>14380</v>
      </c>
      <c r="CN563" s="2">
        <f>SUM(CN$2:CN53)+BH53*AA53</f>
        <v>33315</v>
      </c>
      <c r="CO563" s="2">
        <f>SUM(CO$2:CO53)+BI53*AB53</f>
        <v>-9770</v>
      </c>
      <c r="CP563" s="2">
        <f>SUM(CP$2:CP53)+BJ53*AC53</f>
        <v>820</v>
      </c>
      <c r="CQ563" s="2">
        <f>SUM(CQ$2:CQ53)+BK53*AD53</f>
        <v>1660.0000000000073</v>
      </c>
      <c r="CR563" s="2">
        <f>SUM(CR$2:CR53)+BL53*AE53</f>
        <v>-7450</v>
      </c>
      <c r="CV563" t="s">
        <v>64</v>
      </c>
      <c r="CW563" t="s">
        <v>636</v>
      </c>
      <c r="CX563" t="s">
        <v>18</v>
      </c>
      <c r="CY563" s="4">
        <v>43091</v>
      </c>
      <c r="CZ563" t="s">
        <v>67</v>
      </c>
      <c r="DA563" t="s">
        <v>68</v>
      </c>
      <c r="DB563">
        <v>54</v>
      </c>
      <c r="DC563">
        <v>54.68</v>
      </c>
      <c r="DD563" t="s">
        <v>69</v>
      </c>
      <c r="DE563" t="s">
        <v>70</v>
      </c>
      <c r="DF563">
        <v>2952.72</v>
      </c>
    </row>
    <row r="564" spans="36:110" x14ac:dyDescent="0.25">
      <c r="BN564" s="1">
        <f t="shared" si="335"/>
        <v>42814</v>
      </c>
      <c r="BO564" s="2">
        <f>SUM(BO$2:BO54)+AI54*B54</f>
        <v>109259.99999999988</v>
      </c>
      <c r="BP564" s="2">
        <f>SUM(BP$2:BP54)+AJ54*C54</f>
        <v>3727.0999999999913</v>
      </c>
      <c r="BQ564" s="2">
        <f>SUM(BQ$2:BQ54)+AK54*D54</f>
        <v>23037.399999999994</v>
      </c>
      <c r="BR564" s="2">
        <f>SUM(BR$2:BR54)+AL54*E54</f>
        <v>2030</v>
      </c>
      <c r="BS564" s="2">
        <f>SUM(BS$2:BS54)+AM54*F54</f>
        <v>3807.1000000000022</v>
      </c>
      <c r="BT564" s="2">
        <f>SUM(BT$2:BT54)+AN54*G54</f>
        <v>-8569.2999999999884</v>
      </c>
      <c r="BU564" s="2">
        <f>SUM(BU$2:BU54)+AO54*H54</f>
        <v>6515.9000000000087</v>
      </c>
      <c r="BV564" s="2">
        <f>SUM(BV$2:BV54)+AP54*I54</f>
        <v>0</v>
      </c>
      <c r="BW564" s="2">
        <f>SUM(BW$2:BW54)+AQ54*J54</f>
        <v>1180</v>
      </c>
      <c r="BX564" s="2">
        <f>SUM(BX$2:BX54)+AR54*K54</f>
        <v>13760</v>
      </c>
      <c r="BY564" s="2">
        <f>SUM(BY$2:BY54)+AS54*L54</f>
        <v>9010</v>
      </c>
      <c r="BZ564" s="2">
        <f>SUM(BZ$2:BZ54)+AT54*M54</f>
        <v>-860</v>
      </c>
      <c r="CA564" s="2">
        <f>SUM(CA$2:CA54)+AU54*N54</f>
        <v>12410</v>
      </c>
      <c r="CB564" s="2">
        <f>SUM(CB$2:CB54)+AV54*O54</f>
        <v>3130</v>
      </c>
      <c r="CC564" s="2">
        <f>SUM(CC$2:CC54)+AW54*P54</f>
        <v>-20</v>
      </c>
      <c r="CD564" s="2">
        <f>SUM(CD$2:CD54)+AX54*Q54</f>
        <v>9620</v>
      </c>
      <c r="CE564" s="2">
        <f>SUM(CE$2:CE54)+AY54*R54</f>
        <v>15320</v>
      </c>
      <c r="CF564" s="2">
        <f>SUM(CF$2:CF54)+AZ54*S54</f>
        <v>4389.8400000000038</v>
      </c>
      <c r="CG564" s="2">
        <f>SUM(CG$2:CG54)+BA54*T54</f>
        <v>2446.1100000000079</v>
      </c>
      <c r="CH564" s="2">
        <f>SUM(CH$2:CH54)+BB54*U54</f>
        <v>6919.7599999999875</v>
      </c>
      <c r="CI564" s="2">
        <f>SUM(CI$2:CI54)+BC54*V54</f>
        <v>-3330</v>
      </c>
      <c r="CJ564" s="2">
        <f>SUM(CJ$2:CJ54)+BD54*W54</f>
        <v>7190</v>
      </c>
      <c r="CK564" s="2">
        <f>SUM(CK$2:CK54)+BE54*X54</f>
        <v>12680</v>
      </c>
      <c r="CL564" s="2">
        <f>SUM(CL$2:CL54)+BF54*Y54</f>
        <v>20040</v>
      </c>
      <c r="CM564" s="2">
        <f>SUM(CM$2:CM54)+BG54*Z54</f>
        <v>14680</v>
      </c>
      <c r="CN564" s="2">
        <f>SUM(CN$2:CN54)+BH54*AA54</f>
        <v>33315</v>
      </c>
      <c r="CO564" s="2">
        <f>SUM(CO$2:CO54)+BI54*AB54</f>
        <v>-10190</v>
      </c>
      <c r="CP564" s="2">
        <f>SUM(CP$2:CP54)+BJ54*AC54</f>
        <v>820</v>
      </c>
      <c r="CQ564" s="2">
        <f>SUM(CQ$2:CQ54)+BK54*AD54</f>
        <v>1740.0000000000073</v>
      </c>
      <c r="CR564" s="2">
        <f>SUM(CR$2:CR54)+BL54*AE54</f>
        <v>-7450</v>
      </c>
      <c r="CV564" t="s">
        <v>64</v>
      </c>
      <c r="CW564" t="s">
        <v>637</v>
      </c>
      <c r="CX564" t="s">
        <v>18</v>
      </c>
      <c r="CY564" s="4">
        <v>43095</v>
      </c>
      <c r="CZ564" t="s">
        <v>67</v>
      </c>
      <c r="DA564" t="s">
        <v>68</v>
      </c>
      <c r="DB564">
        <v>29</v>
      </c>
      <c r="DC564">
        <v>54.66</v>
      </c>
      <c r="DD564" t="s">
        <v>69</v>
      </c>
      <c r="DE564" t="s">
        <v>70</v>
      </c>
      <c r="DF564">
        <v>1585.1399999999999</v>
      </c>
    </row>
    <row r="565" spans="36:110" x14ac:dyDescent="0.25">
      <c r="BN565" s="1">
        <f t="shared" si="335"/>
        <v>42815</v>
      </c>
      <c r="BO565" s="2">
        <f>SUM(BO$2:BO55)+AI55*B55</f>
        <v>101410</v>
      </c>
      <c r="BP565" s="2">
        <f>SUM(BP$2:BP55)+AJ55*C55</f>
        <v>2398.3999999999942</v>
      </c>
      <c r="BQ565" s="2">
        <f>SUM(BQ$2:BQ55)+AK55*D55</f>
        <v>19659</v>
      </c>
      <c r="BR565" s="2">
        <f>SUM(BR$2:BR55)+AL55*E55</f>
        <v>-874.59999999999127</v>
      </c>
      <c r="BS565" s="2">
        <f>SUM(BS$2:BS55)+AM55*F55</f>
        <v>3415.7000000000007</v>
      </c>
      <c r="BT565" s="2">
        <f>SUM(BT$2:BT55)+AN55*G55</f>
        <v>-8208.7999999999884</v>
      </c>
      <c r="BU565" s="2">
        <f>SUM(BU$2:BU55)+AO55*H55</f>
        <v>5558</v>
      </c>
      <c r="BV565" s="2">
        <f>SUM(BV$2:BV55)+AP55*I55</f>
        <v>0</v>
      </c>
      <c r="BW565" s="2">
        <f>SUM(BW$2:BW55)+AQ55*J55</f>
        <v>-7750</v>
      </c>
      <c r="BX565" s="2">
        <f>SUM(BX$2:BX55)+AR55*K55</f>
        <v>12610</v>
      </c>
      <c r="BY565" s="2">
        <f>SUM(BY$2:BY55)+AS55*L55</f>
        <v>7340</v>
      </c>
      <c r="BZ565" s="2">
        <f>SUM(BZ$2:BZ55)+AT55*M55</f>
        <v>-1230</v>
      </c>
      <c r="CA565" s="2">
        <f>SUM(CA$2:CA55)+AU55*N55</f>
        <v>11630</v>
      </c>
      <c r="CB565" s="2">
        <f>SUM(CB$2:CB55)+AV55*O55</f>
        <v>610</v>
      </c>
      <c r="CC565" s="2">
        <f>SUM(CC$2:CC55)+AW55*P55</f>
        <v>-20</v>
      </c>
      <c r="CD565" s="2">
        <f>SUM(CD$2:CD55)+AX55*Q55</f>
        <v>9370</v>
      </c>
      <c r="CE565" s="2">
        <f>SUM(CE$2:CE55)+AY55*R55</f>
        <v>14490</v>
      </c>
      <c r="CF565" s="2">
        <f>SUM(CF$2:CF55)+AZ55*S55</f>
        <v>4200.6000000000058</v>
      </c>
      <c r="CG565" s="2">
        <f>SUM(CG$2:CG55)+BA55*T55</f>
        <v>1725.8100000000122</v>
      </c>
      <c r="CH565" s="2">
        <f>SUM(CH$2:CH55)+BB55*U55</f>
        <v>6325.7599999999875</v>
      </c>
      <c r="CI565" s="2">
        <f>SUM(CI$2:CI55)+BC55*V55</f>
        <v>-3210</v>
      </c>
      <c r="CJ565" s="2">
        <f>SUM(CJ$2:CJ55)+BD55*W55</f>
        <v>7170</v>
      </c>
      <c r="CK565" s="2">
        <f>SUM(CK$2:CK55)+BE55*X55</f>
        <v>9480</v>
      </c>
      <c r="CL565" s="2">
        <f>SUM(CL$2:CL55)+BF55*Y55</f>
        <v>19140.000000000058</v>
      </c>
      <c r="CM565" s="2">
        <f>SUM(CM$2:CM55)+BG55*Z55</f>
        <v>8230</v>
      </c>
      <c r="CN565" s="2">
        <f>SUM(CN$2:CN55)+BH55*AA55</f>
        <v>33315</v>
      </c>
      <c r="CO565" s="2">
        <f>SUM(CO$2:CO55)+BI55*AB55</f>
        <v>-10400</v>
      </c>
      <c r="CP565" s="2">
        <f>SUM(CP$2:CP55)+BJ55*AC55</f>
        <v>820</v>
      </c>
      <c r="CQ565" s="2">
        <f>SUM(CQ$2:CQ55)+BK55*AD55</f>
        <v>1670.0000000000073</v>
      </c>
      <c r="CR565" s="2">
        <f>SUM(CR$2:CR55)+BL55*AE55</f>
        <v>-7600</v>
      </c>
      <c r="CV565" t="s">
        <v>64</v>
      </c>
      <c r="CW565" t="s">
        <v>638</v>
      </c>
      <c r="CX565" t="s">
        <v>18</v>
      </c>
      <c r="CY565" s="4">
        <v>43096</v>
      </c>
      <c r="CZ565" t="s">
        <v>65</v>
      </c>
      <c r="DA565" t="s">
        <v>66</v>
      </c>
      <c r="DB565">
        <v>29</v>
      </c>
      <c r="DC565">
        <v>54.66</v>
      </c>
      <c r="DD565" t="s">
        <v>69</v>
      </c>
      <c r="DE565" t="s">
        <v>70</v>
      </c>
      <c r="DF565">
        <v>1585.1399999999999</v>
      </c>
    </row>
    <row r="566" spans="36:110" x14ac:dyDescent="0.25">
      <c r="BN566" s="1">
        <f t="shared" si="335"/>
        <v>42816</v>
      </c>
      <c r="BO566" s="2">
        <f>SUM(BO$2:BO56)+AI56*B56</f>
        <v>109060</v>
      </c>
      <c r="BP566" s="2">
        <f>SUM(BP$2:BP56)+AJ56*C56</f>
        <v>2542.5999999999913</v>
      </c>
      <c r="BQ566" s="2">
        <f>SUM(BQ$2:BQ56)+AK56*D56</f>
        <v>20668.399999999994</v>
      </c>
      <c r="BR566" s="2">
        <f>SUM(BR$2:BR56)+AL56*E56</f>
        <v>-874.59999999999127</v>
      </c>
      <c r="BS566" s="2">
        <f>SUM(BS$2:BS56)+AM56*F56</f>
        <v>3632.0000000000036</v>
      </c>
      <c r="BT566" s="2">
        <f>SUM(BT$2:BT56)+AN56*G56</f>
        <v>-7868.8999999999942</v>
      </c>
      <c r="BU566" s="2">
        <f>SUM(BU$2:BU56)+AO56*H56</f>
        <v>5887.6000000000058</v>
      </c>
      <c r="BV566" s="2">
        <f>SUM(BV$2:BV56)+AP56*I56</f>
        <v>0</v>
      </c>
      <c r="BW566" s="2">
        <f>SUM(BW$2:BW56)+AQ56*J56</f>
        <v>-9640</v>
      </c>
      <c r="BX566" s="2">
        <f>SUM(BX$2:BX56)+AR56*K56</f>
        <v>13340</v>
      </c>
      <c r="BY566" s="2">
        <f>SUM(BY$2:BY56)+AS56*L56</f>
        <v>8170</v>
      </c>
      <c r="BZ566" s="2">
        <f>SUM(BZ$2:BZ56)+AT56*M56</f>
        <v>-920</v>
      </c>
      <c r="CA566" s="2">
        <f>SUM(CA$2:CA56)+AU56*N56</f>
        <v>10690</v>
      </c>
      <c r="CB566" s="2">
        <f>SUM(CB$2:CB56)+AV56*O56</f>
        <v>750</v>
      </c>
      <c r="CC566" s="2">
        <f>SUM(CC$2:CC56)+AW56*P56</f>
        <v>-20</v>
      </c>
      <c r="CD566" s="2">
        <f>SUM(CD$2:CD56)+AX56*Q56</f>
        <v>9920</v>
      </c>
      <c r="CE566" s="2">
        <f>SUM(CE$2:CE56)+AY56*R56</f>
        <v>14570</v>
      </c>
      <c r="CF566" s="2">
        <f>SUM(CF$2:CF56)+AZ56*S56</f>
        <v>3818.4000000000087</v>
      </c>
      <c r="CG566" s="2">
        <f>SUM(CG$2:CG56)+BA56*T56</f>
        <v>2592.2100000000064</v>
      </c>
      <c r="CH566" s="2">
        <f>SUM(CH$2:CH56)+BB56*U56</f>
        <v>2345.7599999999948</v>
      </c>
      <c r="CI566" s="2">
        <f>SUM(CI$2:CI56)+BC56*V56</f>
        <v>-3420</v>
      </c>
      <c r="CJ566" s="2">
        <f>SUM(CJ$2:CJ56)+BD56*W56</f>
        <v>6980</v>
      </c>
      <c r="CK566" s="2">
        <f>SUM(CK$2:CK56)+BE56*X56</f>
        <v>11080</v>
      </c>
      <c r="CL566" s="2">
        <f>SUM(CL$2:CL56)+BF56*Y56</f>
        <v>17190</v>
      </c>
      <c r="CM566" s="2">
        <f>SUM(CM$2:CM56)+BG56*Z56</f>
        <v>7130</v>
      </c>
      <c r="CN566" s="2">
        <f>SUM(CN$2:CN56)+BH56*AA56</f>
        <v>33315</v>
      </c>
      <c r="CO566" s="2">
        <f>SUM(CO$2:CO56)+BI56*AB56</f>
        <v>-11630</v>
      </c>
      <c r="CP566" s="2">
        <f>SUM(CP$2:CP56)+BJ56*AC56</f>
        <v>820</v>
      </c>
      <c r="CQ566" s="2">
        <f>SUM(CQ$2:CQ56)+BK56*AD56</f>
        <v>2000.0000000000073</v>
      </c>
      <c r="CR566" s="2">
        <f>SUM(CR$2:CR56)+BL56*AE56</f>
        <v>-7670</v>
      </c>
      <c r="CV566" t="s">
        <v>64</v>
      </c>
      <c r="CW566" t="s">
        <v>639</v>
      </c>
      <c r="CX566" t="s">
        <v>18</v>
      </c>
      <c r="CY566" s="4">
        <v>43097</v>
      </c>
      <c r="CZ566" t="s">
        <v>67</v>
      </c>
      <c r="DA566" t="s">
        <v>68</v>
      </c>
      <c r="DB566">
        <v>16</v>
      </c>
      <c r="DC566">
        <v>54.92</v>
      </c>
      <c r="DD566" t="s">
        <v>69</v>
      </c>
      <c r="DE566" t="s">
        <v>70</v>
      </c>
      <c r="DF566">
        <v>878.72</v>
      </c>
    </row>
    <row r="567" spans="36:110" x14ac:dyDescent="0.25">
      <c r="BN567" s="1">
        <f t="shared" si="335"/>
        <v>42817</v>
      </c>
      <c r="BO567" s="2">
        <f>SUM(BO$2:BO57)+AI57*B57</f>
        <v>106609.99999999988</v>
      </c>
      <c r="BP567" s="2">
        <f>SUM(BP$2:BP57)+AJ57*C57</f>
        <v>2707.4000000000087</v>
      </c>
      <c r="BQ567" s="2">
        <f>SUM(BQ$2:BQ57)+AK57*D57</f>
        <v>20936.199999999983</v>
      </c>
      <c r="BR567" s="2">
        <f>SUM(BR$2:BR57)+AL57*E57</f>
        <v>-1070.3000000000029</v>
      </c>
      <c r="BS567" s="2">
        <f>SUM(BS$2:BS57)+AM57*F57</f>
        <v>3498.1000000000022</v>
      </c>
      <c r="BT567" s="2">
        <f>SUM(BT$2:BT57)+AN57*G57</f>
        <v>-8363.2999999999884</v>
      </c>
      <c r="BU567" s="2">
        <f>SUM(BU$2:BU57)+AO57*H57</f>
        <v>6052.4000000000087</v>
      </c>
      <c r="BV567" s="2">
        <f>SUM(BV$2:BV57)+AP57*I57</f>
        <v>0</v>
      </c>
      <c r="BW567" s="2">
        <f>SUM(BW$2:BW57)+AQ57*J57</f>
        <v>-8830</v>
      </c>
      <c r="BX567" s="2">
        <f>SUM(BX$2:BX57)+AR57*K57</f>
        <v>13940</v>
      </c>
      <c r="BY567" s="2">
        <f>SUM(BY$2:BY57)+AS57*L57</f>
        <v>8200</v>
      </c>
      <c r="BZ567" s="2">
        <f>SUM(BZ$2:BZ57)+AT57*M57</f>
        <v>-1010</v>
      </c>
      <c r="CA567" s="2">
        <f>SUM(CA$2:CA57)+AU57*N57</f>
        <v>10340</v>
      </c>
      <c r="CB567" s="2">
        <f>SUM(CB$2:CB57)+AV57*O57</f>
        <v>610</v>
      </c>
      <c r="CC567" s="2">
        <f>SUM(CC$2:CC57)+AW57*P57</f>
        <v>-20</v>
      </c>
      <c r="CD567" s="2">
        <f>SUM(CD$2:CD57)+AX57*Q57</f>
        <v>9830</v>
      </c>
      <c r="CE567" s="2">
        <f>SUM(CE$2:CE57)+AY57*R57</f>
        <v>14500</v>
      </c>
      <c r="CF567" s="2">
        <f>SUM(CF$2:CF57)+AZ57*S57</f>
        <v>3600.2100000000064</v>
      </c>
      <c r="CG567" s="2">
        <f>SUM(CG$2:CG57)+BA57*T57</f>
        <v>2444.3700000000099</v>
      </c>
      <c r="CH567" s="2">
        <f>SUM(CH$2:CH57)+BB57*U57</f>
        <v>3681.9799999999959</v>
      </c>
      <c r="CI567" s="2">
        <f>SUM(CI$2:CI57)+BC57*V57</f>
        <v>-3250</v>
      </c>
      <c r="CJ567" s="2">
        <f>SUM(CJ$2:CJ57)+BD57*W57</f>
        <v>6770</v>
      </c>
      <c r="CK567" s="2">
        <f>SUM(CK$2:CK57)+BE57*X57</f>
        <v>7530</v>
      </c>
      <c r="CL567" s="2">
        <f>SUM(CL$2:CL57)+BF57*Y57</f>
        <v>12090</v>
      </c>
      <c r="CM567" s="2">
        <f>SUM(CM$2:CM57)+BG57*Z57</f>
        <v>6680</v>
      </c>
      <c r="CN567" s="2">
        <f>SUM(CN$2:CN57)+BH57*AA57</f>
        <v>33315</v>
      </c>
      <c r="CO567" s="2">
        <f>SUM(CO$2:CO57)+BI57*AB57</f>
        <v>-11810</v>
      </c>
      <c r="CP567" s="2">
        <f>SUM(CP$2:CP57)+BJ57*AC57</f>
        <v>820</v>
      </c>
      <c r="CQ567" s="2">
        <f>SUM(CQ$2:CQ57)+BK57*AD57</f>
        <v>1630.0000000000073</v>
      </c>
      <c r="CR567" s="2">
        <f>SUM(CR$2:CR57)+BL57*AE57</f>
        <v>-7580</v>
      </c>
      <c r="CV567" t="s">
        <v>64</v>
      </c>
      <c r="CW567" t="s">
        <v>640</v>
      </c>
      <c r="CX567" t="s">
        <v>18</v>
      </c>
      <c r="CY567" s="4">
        <v>43098</v>
      </c>
      <c r="CZ567" t="s">
        <v>65</v>
      </c>
      <c r="DA567" t="s">
        <v>66</v>
      </c>
      <c r="DB567">
        <v>16</v>
      </c>
      <c r="DC567">
        <v>54.6</v>
      </c>
      <c r="DD567" t="s">
        <v>69</v>
      </c>
      <c r="DE567" t="s">
        <v>70</v>
      </c>
      <c r="DF567">
        <v>873.6</v>
      </c>
    </row>
    <row r="568" spans="36:110" x14ac:dyDescent="0.25">
      <c r="BN568" s="1">
        <f t="shared" si="335"/>
        <v>42818</v>
      </c>
      <c r="BO568" s="2">
        <f>SUM(BO$2:BO58)+AI58*B58</f>
        <v>105260</v>
      </c>
      <c r="BP568" s="2">
        <f>SUM(BP$2:BP58)+AJ58*C58</f>
        <v>3067.9000000000087</v>
      </c>
      <c r="BQ568" s="2">
        <f>SUM(BQ$2:BQ58)+AK58*D58</f>
        <v>19525.100000000006</v>
      </c>
      <c r="BR568" s="2">
        <f>SUM(BR$2:BR58)+AL58*E58</f>
        <v>-1152.7000000000116</v>
      </c>
      <c r="BS568" s="2">
        <f>SUM(BS$2:BS58)+AM58*F58</f>
        <v>3611.4000000000051</v>
      </c>
      <c r="BT568" s="2">
        <f>SUM(BT$2:BT58)+AN58*G58</f>
        <v>-8250</v>
      </c>
      <c r="BU568" s="2">
        <f>SUM(BU$2:BU58)+AO58*H58</f>
        <v>5949.4000000000087</v>
      </c>
      <c r="BV568" s="2">
        <f>SUM(BV$2:BV58)+AP58*I58</f>
        <v>0</v>
      </c>
      <c r="BW568" s="2">
        <f>SUM(BW$2:BW58)+AQ58*J58</f>
        <v>-12230</v>
      </c>
      <c r="BX568" s="2">
        <f>SUM(BX$2:BX58)+AR58*K58</f>
        <v>13940</v>
      </c>
      <c r="BY568" s="2">
        <f>SUM(BY$2:BY58)+AS58*L58</f>
        <v>7300</v>
      </c>
      <c r="BZ568" s="2">
        <f>SUM(BZ$2:BZ58)+AT58*M58</f>
        <v>-1120</v>
      </c>
      <c r="CA568" s="2">
        <f>SUM(CA$2:CA58)+AU58*N58</f>
        <v>9940</v>
      </c>
      <c r="CB568" s="2">
        <f>SUM(CB$2:CB58)+AV58*O58</f>
        <v>520</v>
      </c>
      <c r="CC568" s="2">
        <f>SUM(CC$2:CC58)+AW58*P58</f>
        <v>-20</v>
      </c>
      <c r="CD568" s="2">
        <f>SUM(CD$2:CD58)+AX58*Q58</f>
        <v>10150</v>
      </c>
      <c r="CE568" s="2">
        <f>SUM(CE$2:CE58)+AY58*R58</f>
        <v>13900</v>
      </c>
      <c r="CF568" s="2">
        <f>SUM(CF$2:CF58)+AZ58*S58</f>
        <v>3513.2700000000041</v>
      </c>
      <c r="CG568" s="2">
        <f>SUM(CG$2:CG58)+BA58*T58</f>
        <v>2543.3700000000099</v>
      </c>
      <c r="CH568" s="2">
        <f>SUM(CH$2:CH58)+BB58*U58</f>
        <v>4597.6599999999962</v>
      </c>
      <c r="CI568" s="2">
        <f>SUM(CI$2:CI58)+BC58*V58</f>
        <v>-2980</v>
      </c>
      <c r="CJ568" s="2">
        <f>SUM(CJ$2:CJ58)+BD58*W58</f>
        <v>6580</v>
      </c>
      <c r="CK568" s="2">
        <f>SUM(CK$2:CK58)+BE58*X58</f>
        <v>5030</v>
      </c>
      <c r="CL568" s="2">
        <f>SUM(CL$2:CL58)+BF58*Y58</f>
        <v>11249.999999999942</v>
      </c>
      <c r="CM568" s="2">
        <f>SUM(CM$2:CM58)+BG58*Z58</f>
        <v>6480</v>
      </c>
      <c r="CN568" s="2">
        <f>SUM(CN$2:CN58)+BH58*AA58</f>
        <v>33315</v>
      </c>
      <c r="CO568" s="2">
        <f>SUM(CO$2:CO58)+BI58*AB58</f>
        <v>-11720</v>
      </c>
      <c r="CP568" s="2">
        <f>SUM(CP$2:CP58)+BJ58*AC58</f>
        <v>820</v>
      </c>
      <c r="CQ568" s="2">
        <f>SUM(CQ$2:CQ58)+BK58*AD58</f>
        <v>1390.0000000000073</v>
      </c>
      <c r="CR568" s="2">
        <f>SUM(CR$2:CR58)+BL58*AE58</f>
        <v>-8160</v>
      </c>
      <c r="CV568" t="s">
        <v>64</v>
      </c>
      <c r="CW568" t="s">
        <v>641</v>
      </c>
      <c r="CX568" t="s">
        <v>18</v>
      </c>
      <c r="CY568" s="4">
        <v>43102</v>
      </c>
      <c r="CZ568" t="s">
        <v>65</v>
      </c>
      <c r="DA568" t="s">
        <v>66</v>
      </c>
      <c r="DB568">
        <v>5</v>
      </c>
      <c r="DC568">
        <v>54.55</v>
      </c>
      <c r="DD568" t="s">
        <v>69</v>
      </c>
      <c r="DE568" t="s">
        <v>70</v>
      </c>
      <c r="DF568">
        <v>272.75</v>
      </c>
    </row>
    <row r="569" spans="36:110" x14ac:dyDescent="0.25">
      <c r="BN569" s="1">
        <f t="shared" si="335"/>
        <v>42821</v>
      </c>
      <c r="BO569" s="2">
        <f>SUM(BO$2:BO59)+AI59*B59</f>
        <v>106460.00000000012</v>
      </c>
      <c r="BP569" s="2">
        <f>SUM(BP$2:BP59)+AJ59*C59</f>
        <v>2464.7000000000116</v>
      </c>
      <c r="BQ569" s="2">
        <f>SUM(BQ$2:BQ59)+AK59*D59</f>
        <v>19795.5</v>
      </c>
      <c r="BR569" s="2">
        <f>SUM(BR$2:BR59)+AL59*E59</f>
        <v>-1787.1000000000058</v>
      </c>
      <c r="BS569" s="2">
        <f>SUM(BS$2:BS59)+AM59*F59</f>
        <v>3528.2000000000007</v>
      </c>
      <c r="BT569" s="2">
        <f>SUM(BT$2:BT59)+AN59*G59</f>
        <v>-9903.5999999999913</v>
      </c>
      <c r="BU569" s="2">
        <f>SUM(BU$2:BU59)+AO59*H59</f>
        <v>6188.6000000000204</v>
      </c>
      <c r="BV569" s="2">
        <f>SUM(BV$2:BV59)+AP59*I59</f>
        <v>0</v>
      </c>
      <c r="BW569" s="2">
        <f>SUM(BW$2:BW59)+AQ59*J59</f>
        <v>-15100</v>
      </c>
      <c r="BX569" s="2">
        <f>SUM(BX$2:BX59)+AR59*K59</f>
        <v>13940</v>
      </c>
      <c r="BY569" s="2">
        <f>SUM(BY$2:BY59)+AS59*L59</f>
        <v>7240</v>
      </c>
      <c r="BZ569" s="2">
        <f>SUM(BZ$2:BZ59)+AT59*M59</f>
        <v>-900</v>
      </c>
      <c r="CA569" s="2">
        <f>SUM(CA$2:CA59)+AU59*N59</f>
        <v>10250</v>
      </c>
      <c r="CB569" s="2">
        <f>SUM(CB$2:CB59)+AV59*O59</f>
        <v>470</v>
      </c>
      <c r="CC569" s="2">
        <f>SUM(CC$2:CC59)+AW59*P59</f>
        <v>-20</v>
      </c>
      <c r="CD569" s="2">
        <f>SUM(CD$2:CD59)+AX59*Q59</f>
        <v>10300</v>
      </c>
      <c r="CE569" s="2">
        <f>SUM(CE$2:CE59)+AY59*R59</f>
        <v>12870</v>
      </c>
      <c r="CF569" s="2">
        <f>SUM(CF$2:CF59)+AZ59*S59</f>
        <v>3523.6800000000076</v>
      </c>
      <c r="CG569" s="2">
        <f>SUM(CG$2:CG59)+BA59*T59</f>
        <v>2661.5100000000093</v>
      </c>
      <c r="CH569" s="2">
        <f>SUM(CH$2:CH59)+BB59*U59</f>
        <v>4138.5999999999913</v>
      </c>
      <c r="CI569" s="2">
        <f>SUM(CI$2:CI59)+BC59*V59</f>
        <v>-3150</v>
      </c>
      <c r="CJ569" s="2">
        <f>SUM(CJ$2:CJ59)+BD59*W59</f>
        <v>6510</v>
      </c>
      <c r="CK569" s="2">
        <f>SUM(CK$2:CK59)+BE59*X59</f>
        <v>6230</v>
      </c>
      <c r="CL569" s="2">
        <f>SUM(CL$2:CL59)+BF59*Y59</f>
        <v>10080</v>
      </c>
      <c r="CM569" s="2">
        <f>SUM(CM$2:CM59)+BG59*Z59</f>
        <v>6630</v>
      </c>
      <c r="CN569" s="2">
        <f>SUM(CN$2:CN59)+BH59*AA59</f>
        <v>33315</v>
      </c>
      <c r="CO569" s="2">
        <f>SUM(CO$2:CO59)+BI59*AB59</f>
        <v>-13190</v>
      </c>
      <c r="CP569" s="2">
        <f>SUM(CP$2:CP59)+BJ59*AC59</f>
        <v>820</v>
      </c>
      <c r="CQ569" s="2">
        <f>SUM(CQ$2:CQ59)+BK59*AD59</f>
        <v>1440.0000000000073</v>
      </c>
      <c r="CR569" s="2">
        <f>SUM(CR$2:CR59)+BL59*AE59</f>
        <v>-8140</v>
      </c>
      <c r="CV569" t="s">
        <v>64</v>
      </c>
      <c r="CW569" t="s">
        <v>642</v>
      </c>
      <c r="CX569" t="s">
        <v>18</v>
      </c>
      <c r="CY569" s="4">
        <v>43103</v>
      </c>
      <c r="CZ569" t="s">
        <v>67</v>
      </c>
      <c r="DA569" t="s">
        <v>68</v>
      </c>
      <c r="DB569">
        <v>37</v>
      </c>
      <c r="DC569">
        <v>54.47</v>
      </c>
      <c r="DD569" t="s">
        <v>69</v>
      </c>
      <c r="DE569" t="s">
        <v>70</v>
      </c>
      <c r="DF569">
        <v>2015.3899999999999</v>
      </c>
    </row>
    <row r="570" spans="36:110" x14ac:dyDescent="0.25">
      <c r="BN570" s="1">
        <f t="shared" si="335"/>
        <v>42822</v>
      </c>
      <c r="BO570" s="2">
        <f>SUM(BO$2:BO60)+AI60*B60</f>
        <v>120610</v>
      </c>
      <c r="BP570" s="2">
        <f>SUM(BP$2:BP60)+AJ60*C60</f>
        <v>3515.0999999999913</v>
      </c>
      <c r="BQ570" s="2">
        <f>SUM(BQ$2:BQ60)+AK60*D60</f>
        <v>21053.899999999994</v>
      </c>
      <c r="BR570" s="2">
        <f>SUM(BR$2:BR60)+AL60*E60</f>
        <v>-362.30000000000291</v>
      </c>
      <c r="BS570" s="2">
        <f>SUM(BS$2:BS60)+AM60*F60</f>
        <v>3549.0000000000036</v>
      </c>
      <c r="BT570" s="2">
        <f>SUM(BT$2:BT60)+AN60*G60</f>
        <v>-9040.3999999999942</v>
      </c>
      <c r="BU570" s="2">
        <f>SUM(BU$2:BU60)+AO60*H60</f>
        <v>6864.6000000000058</v>
      </c>
      <c r="BV570" s="2">
        <f>SUM(BV$2:BV60)+AP60*I60</f>
        <v>0</v>
      </c>
      <c r="BW570" s="2">
        <f>SUM(BW$2:BW60)+AQ60*J60</f>
        <v>-11340</v>
      </c>
      <c r="BX570" s="2">
        <f>SUM(BX$2:BX60)+AR60*K60</f>
        <v>13940</v>
      </c>
      <c r="BY570" s="2">
        <f>SUM(BY$2:BY60)+AS60*L60</f>
        <v>7920</v>
      </c>
      <c r="BZ570" s="2">
        <f>SUM(BZ$2:BZ60)+AT60*M60</f>
        <v>-700</v>
      </c>
      <c r="CA570" s="2">
        <f>SUM(CA$2:CA60)+AU60*N60</f>
        <v>10110</v>
      </c>
      <c r="CB570" s="2">
        <f>SUM(CB$2:CB60)+AV60*O60</f>
        <v>1770</v>
      </c>
      <c r="CC570" s="2">
        <f>SUM(CC$2:CC60)+AW60*P60</f>
        <v>-20</v>
      </c>
      <c r="CD570" s="2">
        <f>SUM(CD$2:CD60)+AX60*Q60</f>
        <v>10260</v>
      </c>
      <c r="CE570" s="2">
        <f>SUM(CE$2:CE60)+AY60*R60</f>
        <v>13400</v>
      </c>
      <c r="CF570" s="2">
        <f>SUM(CF$2:CF60)+AZ60*S60</f>
        <v>3662.8400000000111</v>
      </c>
      <c r="CG570" s="2">
        <f>SUM(CG$2:CG60)+BA60*T60</f>
        <v>2854.1700000000055</v>
      </c>
      <c r="CH570" s="2">
        <f>SUM(CH$2:CH60)+BB60*U60</f>
        <v>4848.7999999999884</v>
      </c>
      <c r="CI570" s="2">
        <f>SUM(CI$2:CI60)+BC60*V60</f>
        <v>-3130</v>
      </c>
      <c r="CJ570" s="2">
        <f>SUM(CJ$2:CJ60)+BD60*W60</f>
        <v>6760</v>
      </c>
      <c r="CK570" s="2">
        <f>SUM(CK$2:CK60)+BE60*X60</f>
        <v>9980</v>
      </c>
      <c r="CL570" s="2">
        <f>SUM(CL$2:CL60)+BF60*Y60</f>
        <v>12270</v>
      </c>
      <c r="CM570" s="2">
        <f>SUM(CM$2:CM60)+BG60*Z60</f>
        <v>10980</v>
      </c>
      <c r="CN570" s="2">
        <f>SUM(CN$2:CN60)+BH60*AA60</f>
        <v>33315</v>
      </c>
      <c r="CO570" s="2">
        <f>SUM(CO$2:CO60)+BI60*AB60</f>
        <v>-12740</v>
      </c>
      <c r="CP570" s="2">
        <f>SUM(CP$2:CP60)+BJ60*AC60</f>
        <v>820</v>
      </c>
      <c r="CQ570" s="2">
        <f>SUM(CQ$2:CQ60)+BK60*AD60</f>
        <v>2070.0000000000073</v>
      </c>
      <c r="CR570" s="2">
        <f>SUM(CR$2:CR60)+BL60*AE60</f>
        <v>-7590</v>
      </c>
      <c r="CV570" t="s">
        <v>64</v>
      </c>
      <c r="CW570" t="s">
        <v>643</v>
      </c>
      <c r="CX570" t="s">
        <v>18</v>
      </c>
      <c r="CY570" s="4">
        <v>43104</v>
      </c>
      <c r="CZ570" t="s">
        <v>67</v>
      </c>
      <c r="DA570" t="s">
        <v>68</v>
      </c>
      <c r="DB570">
        <v>8</v>
      </c>
      <c r="DC570">
        <v>55.35</v>
      </c>
      <c r="DD570" t="s">
        <v>69</v>
      </c>
      <c r="DE570" t="s">
        <v>70</v>
      </c>
      <c r="DF570">
        <v>442.8</v>
      </c>
    </row>
    <row r="571" spans="36:110" x14ac:dyDescent="0.25">
      <c r="BN571" s="1">
        <f t="shared" si="335"/>
        <v>42823</v>
      </c>
      <c r="BO571" s="2">
        <f>SUM(BO$2:BO61)+AI61*B61</f>
        <v>122160</v>
      </c>
      <c r="BP571" s="2">
        <f>SUM(BP$2:BP61)+AJ61*C61</f>
        <v>3119.8999999999942</v>
      </c>
      <c r="BQ571" s="2">
        <f>SUM(BQ$2:BQ61)+AK61*D61</f>
        <v>21324.299999999988</v>
      </c>
      <c r="BR571" s="2">
        <f>SUM(BR$2:BR61)+AL61*E61</f>
        <v>-445.5</v>
      </c>
      <c r="BS571" s="2">
        <f>SUM(BS$2:BS61)+AM61*F61</f>
        <v>3278.6000000000022</v>
      </c>
      <c r="BT571" s="2">
        <f>SUM(BT$2:BT61)+AN61*G61</f>
        <v>-8177.1999999999971</v>
      </c>
      <c r="BU571" s="2">
        <f>SUM(BU$2:BU61)+AO61*H61</f>
        <v>6344.6000000000058</v>
      </c>
      <c r="BV571" s="2">
        <f>SUM(BV$2:BV61)+AP61*I61</f>
        <v>0</v>
      </c>
      <c r="BW571" s="2">
        <f>SUM(BW$2:BW61)+AQ61*J61</f>
        <v>-12200</v>
      </c>
      <c r="BX571" s="2">
        <f>SUM(BX$2:BX61)+AR61*K61</f>
        <v>13940</v>
      </c>
      <c r="BY571" s="2">
        <f>SUM(BY$2:BY61)+AS61*L61</f>
        <v>7400</v>
      </c>
      <c r="BZ571" s="2">
        <f>SUM(BZ$2:BZ61)+AT61*M61</f>
        <v>-730</v>
      </c>
      <c r="CA571" s="2">
        <f>SUM(CA$2:CA61)+AU61*N61</f>
        <v>9410</v>
      </c>
      <c r="CB571" s="2">
        <f>SUM(CB$2:CB61)+AV61*O61</f>
        <v>1450</v>
      </c>
      <c r="CC571" s="2">
        <f>SUM(CC$2:CC61)+AW61*P61</f>
        <v>-20</v>
      </c>
      <c r="CD571" s="2">
        <f>SUM(CD$2:CD61)+AX61*Q61</f>
        <v>9670</v>
      </c>
      <c r="CE571" s="2">
        <f>SUM(CE$2:CE61)+AY61*R61</f>
        <v>13110</v>
      </c>
      <c r="CF571" s="2">
        <f>SUM(CF$2:CF61)+AZ61*S61</f>
        <v>3939.7600000000093</v>
      </c>
      <c r="CG571" s="2">
        <f>SUM(CG$2:CG61)+BA61*T61</f>
        <v>3015.5000000000073</v>
      </c>
      <c r="CH571" s="2">
        <f>SUM(CH$2:CH61)+BB61*U61</f>
        <v>4904.0599999999831</v>
      </c>
      <c r="CI571" s="2">
        <f>SUM(CI$2:CI61)+BC61*V61</f>
        <v>-3290</v>
      </c>
      <c r="CJ571" s="2">
        <f>SUM(CJ$2:CJ61)+BD61*W61</f>
        <v>6610</v>
      </c>
      <c r="CK571" s="2">
        <f>SUM(CK$2:CK61)+BE61*X61</f>
        <v>3880</v>
      </c>
      <c r="CL571" s="2">
        <f>SUM(CL$2:CL61)+BF61*Y61</f>
        <v>6690</v>
      </c>
      <c r="CM571" s="2">
        <f>SUM(CM$2:CM61)+BG61*Z61</f>
        <v>7730</v>
      </c>
      <c r="CN571" s="2">
        <f>SUM(CN$2:CN61)+BH61*AA61</f>
        <v>33465</v>
      </c>
      <c r="CO571" s="2">
        <f>SUM(CO$2:CO61)+BI61*AB61</f>
        <v>-13220</v>
      </c>
      <c r="CP571" s="2">
        <f>SUM(CP$2:CP61)+BJ61*AC61</f>
        <v>820</v>
      </c>
      <c r="CQ571" s="2">
        <f>SUM(CQ$2:CQ61)+BK61*AD61</f>
        <v>2470.0000000000073</v>
      </c>
      <c r="CR571" s="2">
        <f>SUM(CR$2:CR61)+BL61*AE61</f>
        <v>-7430</v>
      </c>
      <c r="CV571" t="s">
        <v>64</v>
      </c>
      <c r="CW571" t="s">
        <v>644</v>
      </c>
      <c r="CX571" t="s">
        <v>18</v>
      </c>
      <c r="CY571" s="4">
        <v>43105</v>
      </c>
      <c r="CZ571" t="s">
        <v>65</v>
      </c>
      <c r="DA571" t="s">
        <v>66</v>
      </c>
      <c r="DB571">
        <v>25</v>
      </c>
      <c r="DC571">
        <v>55.3</v>
      </c>
      <c r="DD571" t="s">
        <v>69</v>
      </c>
      <c r="DE571" t="s">
        <v>70</v>
      </c>
      <c r="DF571">
        <v>1382.5</v>
      </c>
    </row>
    <row r="572" spans="36:110" x14ac:dyDescent="0.25">
      <c r="BN572" s="1">
        <f t="shared" si="335"/>
        <v>42824</v>
      </c>
      <c r="BO572" s="2">
        <f>SUM(BO$2:BO62)+AI62*B62</f>
        <v>121210</v>
      </c>
      <c r="BP572" s="2">
        <f>SUM(BP$2:BP62)+AJ62*C62</f>
        <v>4097.5</v>
      </c>
      <c r="BQ572" s="2">
        <f>SUM(BQ$2:BQ62)+AK62*D62</f>
        <v>21667.499999999971</v>
      </c>
      <c r="BR572" s="2">
        <f>SUM(BR$2:BR62)+AL62*E62</f>
        <v>-91.899999999994179</v>
      </c>
      <c r="BS572" s="2">
        <f>SUM(BS$2:BS62)+AM62*F62</f>
        <v>3278.6000000000022</v>
      </c>
      <c r="BT572" s="2">
        <f>SUM(BT$2:BT62)+AN62*G62</f>
        <v>-8457.9999999999854</v>
      </c>
      <c r="BU572" s="2">
        <f>SUM(BU$2:BU62)+AO62*H62</f>
        <v>6999.8000000000029</v>
      </c>
      <c r="BV572" s="2">
        <f>SUM(BV$2:BV62)+AP62*I62</f>
        <v>0</v>
      </c>
      <c r="BW572" s="2">
        <f>SUM(BW$2:BW62)+AQ62*J62</f>
        <v>-9490</v>
      </c>
      <c r="BX572" s="2">
        <f>SUM(BX$2:BX62)+AR62*K62</f>
        <v>13940</v>
      </c>
      <c r="BY572" s="2">
        <f>SUM(BY$2:BY62)+AS62*L62</f>
        <v>7320</v>
      </c>
      <c r="BZ572" s="2">
        <f>SUM(BZ$2:BZ62)+AT62*M62</f>
        <v>-560</v>
      </c>
      <c r="CA572" s="2">
        <f>SUM(CA$2:CA62)+AU62*N62</f>
        <v>9160</v>
      </c>
      <c r="CB572" s="2">
        <f>SUM(CB$2:CB62)+AV62*O62</f>
        <v>2180</v>
      </c>
      <c r="CC572" s="2">
        <f>SUM(CC$2:CC62)+AW62*P62</f>
        <v>-20</v>
      </c>
      <c r="CD572" s="2">
        <f>SUM(CD$2:CD62)+AX62*Q62</f>
        <v>10130</v>
      </c>
      <c r="CE572" s="2">
        <f>SUM(CE$2:CE62)+AY62*R62</f>
        <v>13680</v>
      </c>
      <c r="CF572" s="2">
        <f>SUM(CF$2:CF62)+AZ62*S62</f>
        <v>3756.8800000000047</v>
      </c>
      <c r="CG572" s="2">
        <f>SUM(CG$2:CG62)+BA62*T62</f>
        <v>3226.8700000000172</v>
      </c>
      <c r="CH572" s="2">
        <f>SUM(CH$2:CH62)+BB62*U62</f>
        <v>4228.6999999999898</v>
      </c>
      <c r="CI572" s="2">
        <f>SUM(CI$2:CI62)+BC62*V62</f>
        <v>-3310</v>
      </c>
      <c r="CJ572" s="2">
        <f>SUM(CJ$2:CJ62)+BD62*W62</f>
        <v>6240</v>
      </c>
      <c r="CK572" s="2">
        <f>SUM(CK$2:CK62)+BE62*X62</f>
        <v>6280</v>
      </c>
      <c r="CL572" s="2">
        <f>SUM(CL$2:CL62)+BF62*Y62</f>
        <v>11220</v>
      </c>
      <c r="CM572" s="2">
        <f>SUM(CM$2:CM62)+BG62*Z62</f>
        <v>9630</v>
      </c>
      <c r="CN572" s="2">
        <f>SUM(CN$2:CN62)+BH62*AA62</f>
        <v>33125</v>
      </c>
      <c r="CO572" s="2">
        <f>SUM(CO$2:CO62)+BI62*AB62</f>
        <v>-13400</v>
      </c>
      <c r="CP572" s="2">
        <f>SUM(CP$2:CP62)+BJ62*AC62</f>
        <v>820</v>
      </c>
      <c r="CQ572" s="2">
        <f>SUM(CQ$2:CQ62)+BK62*AD62</f>
        <v>3290.0000000000073</v>
      </c>
      <c r="CR572" s="2">
        <f>SUM(CR$2:CR62)+BL62*AE62</f>
        <v>-5880</v>
      </c>
      <c r="CV572" t="s">
        <v>64</v>
      </c>
      <c r="CW572" t="s">
        <v>645</v>
      </c>
      <c r="CX572" t="s">
        <v>18</v>
      </c>
      <c r="CY572" s="4">
        <v>43108</v>
      </c>
      <c r="CZ572" t="s">
        <v>65</v>
      </c>
      <c r="DA572" t="s">
        <v>66</v>
      </c>
      <c r="DB572">
        <v>39</v>
      </c>
      <c r="DC572">
        <v>54.98</v>
      </c>
      <c r="DD572" t="s">
        <v>69</v>
      </c>
      <c r="DE572" t="s">
        <v>70</v>
      </c>
      <c r="DF572">
        <v>2144.2199999999998</v>
      </c>
    </row>
    <row r="573" spans="36:110" x14ac:dyDescent="0.25">
      <c r="BN573" s="1">
        <f t="shared" si="335"/>
        <v>42825</v>
      </c>
      <c r="BO573" s="2">
        <f>SUM(BO$2:BO63)+AI63*B63</f>
        <v>119910</v>
      </c>
      <c r="BP573" s="2">
        <f>SUM(BP$2:BP63)+AJ63*C63</f>
        <v>3993.5</v>
      </c>
      <c r="BQ573" s="2">
        <f>SUM(BQ$2:BQ63)+AK63*D63</f>
        <v>20554.699999999983</v>
      </c>
      <c r="BR573" s="2">
        <f>SUM(BR$2:BR63)+AL63*E63</f>
        <v>-549.50000000001455</v>
      </c>
      <c r="BS573" s="2">
        <f>SUM(BS$2:BS63)+AM63*F63</f>
        <v>3341.0000000000036</v>
      </c>
      <c r="BT573" s="2">
        <f>SUM(BT$2:BT63)+AN63*G63</f>
        <v>-8853.1999999999971</v>
      </c>
      <c r="BU573" s="2">
        <f>SUM(BU$2:BU63)+AO63*H63</f>
        <v>7207.8000000000029</v>
      </c>
      <c r="BV573" s="2">
        <f>SUM(BV$2:BV63)+AP63*I63</f>
        <v>0</v>
      </c>
      <c r="BW573" s="2">
        <f>SUM(BW$2:BW63)+AQ63*J63</f>
        <v>-10960</v>
      </c>
      <c r="BX573" s="2">
        <f>SUM(BX$2:BX63)+AR63*K63</f>
        <v>13940</v>
      </c>
      <c r="BY573" s="2">
        <f>SUM(BY$2:BY63)+AS63*L63</f>
        <v>7580</v>
      </c>
      <c r="BZ573" s="2">
        <f>SUM(BZ$2:BZ63)+AT63*M63</f>
        <v>-260</v>
      </c>
      <c r="CA573" s="2">
        <f>SUM(CA$2:CA63)+AU63*N63</f>
        <v>9050</v>
      </c>
      <c r="CB573" s="2">
        <f>SUM(CB$2:CB63)+AV63*O63</f>
        <v>1040</v>
      </c>
      <c r="CC573" s="2">
        <f>SUM(CC$2:CC63)+AW63*P63</f>
        <v>-20</v>
      </c>
      <c r="CD573" s="2">
        <f>SUM(CD$2:CD63)+AX63*Q63</f>
        <v>10410</v>
      </c>
      <c r="CE573" s="2">
        <f>SUM(CE$2:CE63)+AY63*R63</f>
        <v>13730</v>
      </c>
      <c r="CF573" s="2">
        <f>SUM(CF$2:CF63)+AZ63*S63</f>
        <v>3850.3900000000067</v>
      </c>
      <c r="CG573" s="2">
        <f>SUM(CG$2:CG63)+BA63*T63</f>
        <v>3370.5700000000215</v>
      </c>
      <c r="CH573" s="2">
        <f>SUM(CH$2:CH63)+BB63*U63</f>
        <v>3926.2999999999811</v>
      </c>
      <c r="CI573" s="2">
        <f>SUM(CI$2:CI63)+BC63*V63</f>
        <v>-3180</v>
      </c>
      <c r="CJ573" s="2">
        <f>SUM(CJ$2:CJ63)+BD63*W63</f>
        <v>5910</v>
      </c>
      <c r="CK573" s="2">
        <f>SUM(CK$2:CK63)+BE63*X63</f>
        <v>3930</v>
      </c>
      <c r="CL573" s="2">
        <f>SUM(CL$2:CL63)+BF63*Y63</f>
        <v>8340</v>
      </c>
      <c r="CM573" s="2">
        <f>SUM(CM$2:CM63)+BG63*Z63</f>
        <v>8480</v>
      </c>
      <c r="CN573" s="2">
        <f>SUM(CN$2:CN63)+BH63*AA63</f>
        <v>32800</v>
      </c>
      <c r="CO573" s="2">
        <f>SUM(CO$2:CO63)+BI63*AB63</f>
        <v>-14240</v>
      </c>
      <c r="CP573" s="2">
        <f>SUM(CP$2:CP63)+BJ63*AC63</f>
        <v>820</v>
      </c>
      <c r="CQ573" s="2">
        <f>SUM(CQ$2:CQ63)+BK63*AD63</f>
        <v>3760.0000000000073</v>
      </c>
      <c r="CR573" s="2">
        <f>SUM(CR$2:CR63)+BL63*AE63</f>
        <v>-7440</v>
      </c>
      <c r="CV573" t="s">
        <v>64</v>
      </c>
      <c r="CW573" t="s">
        <v>646</v>
      </c>
      <c r="CX573" t="s">
        <v>18</v>
      </c>
      <c r="CY573" s="4">
        <v>43109</v>
      </c>
      <c r="CZ573" t="s">
        <v>67</v>
      </c>
      <c r="DA573" t="s">
        <v>68</v>
      </c>
      <c r="DB573">
        <v>27</v>
      </c>
      <c r="DC573">
        <v>55.11</v>
      </c>
      <c r="DD573" t="s">
        <v>69</v>
      </c>
      <c r="DE573" t="s">
        <v>70</v>
      </c>
      <c r="DF573">
        <v>1487.97</v>
      </c>
    </row>
    <row r="574" spans="36:110" x14ac:dyDescent="0.25">
      <c r="BN574" s="1">
        <f t="shared" si="335"/>
        <v>42828</v>
      </c>
      <c r="BO574" s="2">
        <f>SUM(BO$2:BO64)+AI64*B64</f>
        <v>120110</v>
      </c>
      <c r="BP574" s="2">
        <f>SUM(BP$2:BP64)+AJ64*C64</f>
        <v>3463.1000000000058</v>
      </c>
      <c r="BQ574" s="2">
        <f>SUM(BQ$2:BQ64)+AK64*D64</f>
        <v>20346.699999999983</v>
      </c>
      <c r="BR574" s="2">
        <f>SUM(BR$2:BR64)+AL64*E64</f>
        <v>-1027.9000000000087</v>
      </c>
      <c r="BS574" s="2">
        <f>SUM(BS$2:BS64)+AM64*F64</f>
        <v>3122.6000000000022</v>
      </c>
      <c r="BT574" s="2">
        <f>SUM(BT$2:BT64)+AN64*G64</f>
        <v>-8437.1999999999971</v>
      </c>
      <c r="BU574" s="2">
        <f>SUM(BU$2:BU64)+AO64*H64</f>
        <v>7020.6000000000058</v>
      </c>
      <c r="BV574" s="2">
        <f>SUM(BV$2:BV64)+AP64*I64</f>
        <v>0</v>
      </c>
      <c r="BW574" s="2">
        <f>SUM(BW$2:BW64)+AQ64*J64</f>
        <v>-11700</v>
      </c>
      <c r="BX574" s="2">
        <f>SUM(BX$2:BX64)+AR64*K64</f>
        <v>13940</v>
      </c>
      <c r="BY574" s="2">
        <f>SUM(BY$2:BY64)+AS64*L64</f>
        <v>7910</v>
      </c>
      <c r="BZ574" s="2">
        <f>SUM(BZ$2:BZ64)+AT64*M64</f>
        <v>-170</v>
      </c>
      <c r="CA574" s="2">
        <f>SUM(CA$2:CA64)+AU64*N64</f>
        <v>9190</v>
      </c>
      <c r="CB574" s="2">
        <f>SUM(CB$2:CB64)+AV64*O64</f>
        <v>740</v>
      </c>
      <c r="CC574" s="2">
        <f>SUM(CC$2:CC64)+AW64*P64</f>
        <v>-20</v>
      </c>
      <c r="CD574" s="2">
        <f>SUM(CD$2:CD64)+AX64*Q64</f>
        <v>10410</v>
      </c>
      <c r="CE574" s="2">
        <f>SUM(CE$2:CE64)+AY64*R64</f>
        <v>13150</v>
      </c>
      <c r="CF574" s="2">
        <f>SUM(CF$2:CF64)+AZ64*S64</f>
        <v>3781.3000000000102</v>
      </c>
      <c r="CG574" s="2">
        <f>SUM(CG$2:CG64)+BA64*T64</f>
        <v>3054.6700000000128</v>
      </c>
      <c r="CH574" s="2">
        <f>SUM(CH$2:CH64)+BB64*U64</f>
        <v>3758.3399999999892</v>
      </c>
      <c r="CI574" s="2">
        <f>SUM(CI$2:CI64)+BC64*V64</f>
        <v>-3200</v>
      </c>
      <c r="CJ574" s="2">
        <f>SUM(CJ$2:CJ64)+BD64*W64</f>
        <v>5750</v>
      </c>
      <c r="CK574" s="2">
        <f>SUM(CK$2:CK64)+BE64*X64</f>
        <v>3180</v>
      </c>
      <c r="CL574" s="2">
        <f>SUM(CL$2:CL64)+BF64*Y64</f>
        <v>12960.000000000058</v>
      </c>
      <c r="CM574" s="2">
        <f>SUM(CM$2:CM64)+BG64*Z64</f>
        <v>7130</v>
      </c>
      <c r="CN574" s="2">
        <f>SUM(CN$2:CN64)+BH64*AA64</f>
        <v>34720</v>
      </c>
      <c r="CO574" s="2">
        <f>SUM(CO$2:CO64)+BI64*AB64</f>
        <v>-13070</v>
      </c>
      <c r="CP574" s="2">
        <f>SUM(CP$2:CP64)+BJ64*AC64</f>
        <v>820</v>
      </c>
      <c r="CQ574" s="2">
        <f>SUM(CQ$2:CQ64)+BK64*AD64</f>
        <v>3520.0000000000073</v>
      </c>
      <c r="CR574" s="2">
        <f>SUM(CR$2:CR64)+BL64*AE64</f>
        <v>-7380</v>
      </c>
      <c r="CV574" t="s">
        <v>64</v>
      </c>
      <c r="CW574" t="s">
        <v>647</v>
      </c>
      <c r="CX574" t="s">
        <v>18</v>
      </c>
      <c r="CY574" s="4">
        <v>43110</v>
      </c>
      <c r="CZ574" t="s">
        <v>67</v>
      </c>
      <c r="DA574" t="s">
        <v>68</v>
      </c>
      <c r="DB574">
        <v>15</v>
      </c>
      <c r="DC574">
        <v>55.6</v>
      </c>
      <c r="DD574" t="s">
        <v>69</v>
      </c>
      <c r="DE574" t="s">
        <v>70</v>
      </c>
      <c r="DF574">
        <v>834</v>
      </c>
    </row>
    <row r="575" spans="36:110" x14ac:dyDescent="0.25">
      <c r="BN575" s="1">
        <f t="shared" si="335"/>
        <v>42829</v>
      </c>
      <c r="BO575" s="2">
        <f>SUM(BO$2:BO65)+AI65*B65</f>
        <v>125310</v>
      </c>
      <c r="BP575" s="2">
        <f>SUM(BP$2:BP65)+AJ65*C65</f>
        <v>3130.3000000000029</v>
      </c>
      <c r="BQ575" s="2">
        <f>SUM(BQ$2:BQ65)+AK65*D65</f>
        <v>22385.100000000006</v>
      </c>
      <c r="BR575" s="2">
        <f>SUM(BR$2:BR65)+AL65*E65</f>
        <v>802.5</v>
      </c>
      <c r="BS575" s="2">
        <f>SUM(BS$2:BS65)+AM65*F65</f>
        <v>3237.0000000000036</v>
      </c>
      <c r="BT575" s="2">
        <f>SUM(BT$2:BT65)+AN65*G65</f>
        <v>-7605.1999999999971</v>
      </c>
      <c r="BU575" s="2">
        <f>SUM(BU$2:BU65)+AO65*H65</f>
        <v>6854.1999999999971</v>
      </c>
      <c r="BV575" s="2">
        <f>SUM(BV$2:BV65)+AP65*I65</f>
        <v>0</v>
      </c>
      <c r="BW575" s="2">
        <f>SUM(BW$2:BW65)+AQ65*J65</f>
        <v>-11400</v>
      </c>
      <c r="BX575" s="2">
        <f>SUM(BX$2:BX65)+AR65*K65</f>
        <v>13940</v>
      </c>
      <c r="BY575" s="2">
        <f>SUM(BY$2:BY65)+AS65*L65</f>
        <v>7930</v>
      </c>
      <c r="BZ575" s="2">
        <f>SUM(BZ$2:BZ65)+AT65*M65</f>
        <v>-60</v>
      </c>
      <c r="CA575" s="2">
        <f>SUM(CA$2:CA65)+AU65*N65</f>
        <v>9180</v>
      </c>
      <c r="CB575" s="2">
        <f>SUM(CB$2:CB65)+AV65*O65</f>
        <v>1010</v>
      </c>
      <c r="CC575" s="2">
        <f>SUM(CC$2:CC65)+AW65*P65</f>
        <v>-20</v>
      </c>
      <c r="CD575" s="2">
        <f>SUM(CD$2:CD65)+AX65*Q65</f>
        <v>10100</v>
      </c>
      <c r="CE575" s="2">
        <f>SUM(CE$2:CE65)+AY65*R65</f>
        <v>12640</v>
      </c>
      <c r="CF575" s="2">
        <f>SUM(CF$2:CF65)+AZ65*S65</f>
        <v>3976.2400000000052</v>
      </c>
      <c r="CG575" s="2">
        <f>SUM(CG$2:CG65)+BA65*T65</f>
        <v>3219.910000000018</v>
      </c>
      <c r="CH575" s="2">
        <f>SUM(CH$2:CH65)+BB65*U65</f>
        <v>3245.3399999999892</v>
      </c>
      <c r="CI575" s="2">
        <f>SUM(CI$2:CI65)+BC65*V65</f>
        <v>-3300</v>
      </c>
      <c r="CJ575" s="2">
        <f>SUM(CJ$2:CJ65)+BD65*W65</f>
        <v>5970</v>
      </c>
      <c r="CK575" s="2">
        <f>SUM(CK$2:CK65)+BE65*X65</f>
        <v>4280</v>
      </c>
      <c r="CL575" s="2">
        <f>SUM(CL$2:CL65)+BF65*Y65</f>
        <v>11159.999999999942</v>
      </c>
      <c r="CM575" s="2">
        <f>SUM(CM$2:CM65)+BG65*Z65</f>
        <v>12180</v>
      </c>
      <c r="CN575" s="2">
        <f>SUM(CN$2:CN65)+BH65*AA65</f>
        <v>32440</v>
      </c>
      <c r="CO575" s="2">
        <f>SUM(CO$2:CO65)+BI65*AB65</f>
        <v>-12710</v>
      </c>
      <c r="CP575" s="2">
        <f>SUM(CP$2:CP65)+BJ65*AC65</f>
        <v>820</v>
      </c>
      <c r="CQ575" s="2">
        <f>SUM(CQ$2:CQ65)+BK65*AD65</f>
        <v>3690.0000000000073</v>
      </c>
      <c r="CR575" s="2">
        <f>SUM(CR$2:CR65)+BL65*AE65</f>
        <v>-7110</v>
      </c>
      <c r="CV575" t="s">
        <v>64</v>
      </c>
      <c r="CW575" t="s">
        <v>648</v>
      </c>
      <c r="CX575" t="s">
        <v>18</v>
      </c>
      <c r="CY575" s="4">
        <v>43111</v>
      </c>
      <c r="CZ575" t="s">
        <v>65</v>
      </c>
      <c r="DA575" t="s">
        <v>66</v>
      </c>
      <c r="DB575">
        <v>36</v>
      </c>
      <c r="DC575">
        <v>55.89</v>
      </c>
      <c r="DD575" t="s">
        <v>69</v>
      </c>
      <c r="DE575" t="s">
        <v>70</v>
      </c>
      <c r="DF575">
        <v>2012.04</v>
      </c>
    </row>
    <row r="576" spans="36:110" x14ac:dyDescent="0.25">
      <c r="BN576" s="1">
        <f t="shared" si="335"/>
        <v>42830</v>
      </c>
      <c r="BO576" s="2">
        <f>SUM(BO$2:BO66)+AI66*B66</f>
        <v>121660</v>
      </c>
      <c r="BP576" s="2">
        <f>SUM(BP$2:BP66)+AJ66*C66</f>
        <v>2953.5</v>
      </c>
      <c r="BQ576" s="2">
        <f>SUM(BQ$2:BQ66)+AK66*D66</f>
        <v>20773.099999999977</v>
      </c>
      <c r="BR576" s="2">
        <f>SUM(BR$2:BR66)+AL66*E66</f>
        <v>916.89999999999418</v>
      </c>
      <c r="BS576" s="2">
        <f>SUM(BS$2:BS66)+AM66*F66</f>
        <v>2841.8000000000029</v>
      </c>
      <c r="BT576" s="2">
        <f>SUM(BT$2:BT66)+AN66*G66</f>
        <v>-7625.9999999999854</v>
      </c>
      <c r="BU576" s="2">
        <f>SUM(BU$2:BU66)+AO66*H66</f>
        <v>6812.6000000000058</v>
      </c>
      <c r="BV576" s="2">
        <f>SUM(BV$2:BV66)+AP66*I66</f>
        <v>0</v>
      </c>
      <c r="BW576" s="2">
        <f>SUM(BW$2:BW66)+AQ66*J66</f>
        <v>-12970</v>
      </c>
      <c r="BX576" s="2">
        <f>SUM(BX$2:BX66)+AR66*K66</f>
        <v>13940</v>
      </c>
      <c r="BY576" s="2">
        <f>SUM(BY$2:BY66)+AS66*L66</f>
        <v>6420</v>
      </c>
      <c r="BZ576" s="2">
        <f>SUM(BZ$2:BZ66)+AT66*M66</f>
        <v>-110</v>
      </c>
      <c r="CA576" s="2">
        <f>SUM(CA$2:CA66)+AU66*N66</f>
        <v>9290</v>
      </c>
      <c r="CB576" s="2">
        <f>SUM(CB$2:CB66)+AV66*O66</f>
        <v>-60</v>
      </c>
      <c r="CC576" s="2">
        <f>SUM(CC$2:CC66)+AW66*P66</f>
        <v>-20</v>
      </c>
      <c r="CD576" s="2">
        <f>SUM(CD$2:CD66)+AX66*Q66</f>
        <v>11180</v>
      </c>
      <c r="CE576" s="2">
        <f>SUM(CE$2:CE66)+AY66*R66</f>
        <v>12690</v>
      </c>
      <c r="CF576" s="2">
        <f>SUM(CF$2:CF66)+AZ66*S66</f>
        <v>3885.6100000000079</v>
      </c>
      <c r="CG576" s="2">
        <f>SUM(CG$2:CG66)+BA66*T66</f>
        <v>3046.6300000000192</v>
      </c>
      <c r="CH576" s="2">
        <f>SUM(CH$2:CH66)+BB66*U66</f>
        <v>3179.9399999999878</v>
      </c>
      <c r="CI576" s="2">
        <f>SUM(CI$2:CI66)+BC66*V66</f>
        <v>-3160</v>
      </c>
      <c r="CJ576" s="2">
        <f>SUM(CJ$2:CJ66)+BD66*W66</f>
        <v>6020</v>
      </c>
      <c r="CK576" s="2">
        <f>SUM(CK$2:CK66)+BE66*X66</f>
        <v>5730</v>
      </c>
      <c r="CL576" s="2">
        <f>SUM(CL$2:CL66)+BF66*Y66</f>
        <v>12330</v>
      </c>
      <c r="CM576" s="2">
        <f>SUM(CM$2:CM66)+BG66*Z66</f>
        <v>9830</v>
      </c>
      <c r="CN576" s="2">
        <f>SUM(CN$2:CN66)+BH66*AA66</f>
        <v>33400</v>
      </c>
      <c r="CO576" s="2">
        <f>SUM(CO$2:CO66)+BI66*AB66</f>
        <v>-13520</v>
      </c>
      <c r="CP576" s="2">
        <f>SUM(CP$2:CP66)+BJ66*AC66</f>
        <v>820</v>
      </c>
      <c r="CQ576" s="2">
        <f>SUM(CQ$2:CQ66)+BK66*AD66</f>
        <v>3350.0000000000073</v>
      </c>
      <c r="CR576" s="2">
        <f>SUM(CR$2:CR66)+BL66*AE66</f>
        <v>-6960</v>
      </c>
      <c r="CV576" t="s">
        <v>64</v>
      </c>
      <c r="CW576" t="s">
        <v>649</v>
      </c>
      <c r="CX576" t="s">
        <v>18</v>
      </c>
      <c r="CY576" s="4">
        <v>43112</v>
      </c>
      <c r="CZ576" t="s">
        <v>65</v>
      </c>
      <c r="DA576" t="s">
        <v>66</v>
      </c>
      <c r="DB576">
        <v>40</v>
      </c>
      <c r="DC576">
        <v>56.92</v>
      </c>
      <c r="DD576" t="s">
        <v>69</v>
      </c>
      <c r="DE576" t="s">
        <v>70</v>
      </c>
      <c r="DF576">
        <v>2276.8000000000002</v>
      </c>
    </row>
    <row r="577" spans="66:110" x14ac:dyDescent="0.25">
      <c r="BN577" s="1">
        <f t="shared" si="335"/>
        <v>42831</v>
      </c>
      <c r="BO577" s="2">
        <f>SUM(BO$2:BO67)+AI67*B67</f>
        <v>119910</v>
      </c>
      <c r="BP577" s="2">
        <f>SUM(BP$2:BP67)+AJ67*C67</f>
        <v>3109.5000000000146</v>
      </c>
      <c r="BQ577" s="2">
        <f>SUM(BQ$2:BQ67)+AK67*D67</f>
        <v>21064.299999999988</v>
      </c>
      <c r="BR577" s="2">
        <f>SUM(BR$2:BR67)+AL67*E67</f>
        <v>2476.8999999999942</v>
      </c>
      <c r="BS577" s="2">
        <f>SUM(BS$2:BS67)+AM67*F67</f>
        <v>2914.6000000000022</v>
      </c>
      <c r="BT577" s="2">
        <f>SUM(BT$2:BT67)+AN67*G67</f>
        <v>-7002</v>
      </c>
      <c r="BU577" s="2">
        <f>SUM(BU$2:BU67)+AO67*H67</f>
        <v>6864.6000000000058</v>
      </c>
      <c r="BV577" s="2">
        <f>SUM(BV$2:BV67)+AP67*I67</f>
        <v>0</v>
      </c>
      <c r="BW577" s="2">
        <f>SUM(BW$2:BW67)+AQ67*J67</f>
        <v>-12010</v>
      </c>
      <c r="BX577" s="2">
        <f>SUM(BX$2:BX67)+AR67*K67</f>
        <v>13940</v>
      </c>
      <c r="BY577" s="2">
        <f>SUM(BY$2:BY67)+AS67*L67</f>
        <v>6030</v>
      </c>
      <c r="BZ577" s="2">
        <f>SUM(BZ$2:BZ67)+AT67*M67</f>
        <v>-290</v>
      </c>
      <c r="CA577" s="2">
        <f>SUM(CA$2:CA67)+AU67*N67</f>
        <v>9530</v>
      </c>
      <c r="CB577" s="2">
        <f>SUM(CB$2:CB67)+AV67*O67</f>
        <v>220</v>
      </c>
      <c r="CC577" s="2">
        <f>SUM(CC$2:CC67)+AW67*P67</f>
        <v>-20</v>
      </c>
      <c r="CD577" s="2">
        <f>SUM(CD$2:CD67)+AX67*Q67</f>
        <v>10930</v>
      </c>
      <c r="CE577" s="2">
        <f>SUM(CE$2:CE67)+AY67*R67</f>
        <v>12360</v>
      </c>
      <c r="CF577" s="2">
        <f>SUM(CF$2:CF67)+AZ67*S67</f>
        <v>3550.2500000000073</v>
      </c>
      <c r="CG577" s="2">
        <f>SUM(CG$2:CG67)+BA67*T67</f>
        <v>3194.4700000000157</v>
      </c>
      <c r="CH577" s="2">
        <f>SUM(CH$2:CH67)+BB67*U67</f>
        <v>3344.6399999999921</v>
      </c>
      <c r="CI577" s="2">
        <f>SUM(CI$2:CI67)+BC67*V67</f>
        <v>-3080</v>
      </c>
      <c r="CJ577" s="2">
        <f>SUM(CJ$2:CJ67)+BD67*W67</f>
        <v>5490</v>
      </c>
      <c r="CK577" s="2">
        <f>SUM(CK$2:CK67)+BE67*X67</f>
        <v>3930</v>
      </c>
      <c r="CL577" s="2">
        <f>SUM(CL$2:CL67)+BF67*Y67</f>
        <v>12240</v>
      </c>
      <c r="CM577" s="2">
        <f>SUM(CM$2:CM67)+BG67*Z67</f>
        <v>9430</v>
      </c>
      <c r="CN577" s="2">
        <f>SUM(CN$2:CN67)+BH67*AA67</f>
        <v>33700</v>
      </c>
      <c r="CO577" s="2">
        <f>SUM(CO$2:CO67)+BI67*AB67</f>
        <v>-13550</v>
      </c>
      <c r="CP577" s="2">
        <f>SUM(CP$2:CP67)+BJ67*AC67</f>
        <v>820</v>
      </c>
      <c r="CQ577" s="2">
        <f>SUM(CQ$2:CQ67)+BK67*AD67</f>
        <v>3140.0000000000073</v>
      </c>
      <c r="CR577" s="2">
        <f>SUM(CR$2:CR67)+BL67*AE67</f>
        <v>-6510</v>
      </c>
      <c r="CV577" t="s">
        <v>64</v>
      </c>
      <c r="CW577" t="s">
        <v>650</v>
      </c>
      <c r="CX577" t="s">
        <v>18</v>
      </c>
      <c r="CY577" s="4">
        <v>43116</v>
      </c>
      <c r="CZ577" t="s">
        <v>67</v>
      </c>
      <c r="DA577" t="s">
        <v>68</v>
      </c>
      <c r="DB577">
        <v>55</v>
      </c>
      <c r="DC577">
        <v>60.22</v>
      </c>
      <c r="DD577" t="s">
        <v>69</v>
      </c>
      <c r="DE577" t="s">
        <v>70</v>
      </c>
      <c r="DF577">
        <v>3312.1</v>
      </c>
    </row>
    <row r="578" spans="66:110" x14ac:dyDescent="0.25">
      <c r="BN578" s="1">
        <f t="shared" ref="BN578:BN641" si="336">A68</f>
        <v>42832</v>
      </c>
      <c r="BO578" s="2">
        <f>SUM(BO$2:BO68)+AI68*B68</f>
        <v>118360</v>
      </c>
      <c r="BP578" s="2">
        <f>SUM(BP$2:BP68)+AJ68*C68</f>
        <v>2963.9000000000087</v>
      </c>
      <c r="BQ578" s="2">
        <f>SUM(BQ$2:BQ68)+AK68*D68</f>
        <v>22541.099999999977</v>
      </c>
      <c r="BR578" s="2">
        <f>SUM(BR$2:BR68)+AL68*E68</f>
        <v>2185.6999999999971</v>
      </c>
      <c r="BS578" s="2">
        <f>SUM(BS$2:BS68)+AM68*F68</f>
        <v>2800.2000000000044</v>
      </c>
      <c r="BT578" s="2">
        <f>SUM(BT$2:BT68)+AN68*G68</f>
        <v>-7417.9999999999854</v>
      </c>
      <c r="BU578" s="2">
        <f>SUM(BU$2:BU68)+AO68*H68</f>
        <v>6396.6000000000058</v>
      </c>
      <c r="BV578" s="2">
        <f>SUM(BV$2:BV68)+AP68*I68</f>
        <v>0</v>
      </c>
      <c r="BW578" s="2">
        <f>SUM(BW$2:BW68)+AQ68*J68</f>
        <v>-12750</v>
      </c>
      <c r="BX578" s="2">
        <f>SUM(BX$2:BX68)+AR68*K68</f>
        <v>13940</v>
      </c>
      <c r="BY578" s="2">
        <f>SUM(BY$2:BY68)+AS68*L68</f>
        <v>5740</v>
      </c>
      <c r="BZ578" s="2">
        <f>SUM(BZ$2:BZ68)+AT68*M68</f>
        <v>-290</v>
      </c>
      <c r="CA578" s="2">
        <f>SUM(CA$2:CA68)+AU68*N68</f>
        <v>9410</v>
      </c>
      <c r="CB578" s="2">
        <f>SUM(CB$2:CB68)+AV68*O68</f>
        <v>-70</v>
      </c>
      <c r="CC578" s="2">
        <f>SUM(CC$2:CC68)+AW68*P68</f>
        <v>-20</v>
      </c>
      <c r="CD578" s="2">
        <f>SUM(CD$2:CD68)+AX68*Q68</f>
        <v>10750</v>
      </c>
      <c r="CE578" s="2">
        <f>SUM(CE$2:CE68)+AY68*R68</f>
        <v>12450</v>
      </c>
      <c r="CF578" s="2">
        <f>SUM(CF$2:CF68)+AZ68*S68</f>
        <v>3454.3500000000058</v>
      </c>
      <c r="CG578" s="2">
        <f>SUM(CG$2:CG68)+BA68*T68</f>
        <v>3151.910000000018</v>
      </c>
      <c r="CH578" s="2">
        <f>SUM(CH$2:CH68)+BB68*U68</f>
        <v>3312.3299999999872</v>
      </c>
      <c r="CI578" s="2">
        <f>SUM(CI$2:CI68)+BC68*V68</f>
        <v>-3070</v>
      </c>
      <c r="CJ578" s="2">
        <f>SUM(CJ$2:CJ68)+BD68*W68</f>
        <v>5330</v>
      </c>
      <c r="CK578" s="2">
        <f>SUM(CK$2:CK68)+BE68*X68</f>
        <v>2080</v>
      </c>
      <c r="CL578" s="2">
        <f>SUM(CL$2:CL68)+BF68*Y68</f>
        <v>14220</v>
      </c>
      <c r="CM578" s="2">
        <f>SUM(CM$2:CM68)+BG68*Z68</f>
        <v>12180</v>
      </c>
      <c r="CN578" s="2">
        <f>SUM(CN$2:CN68)+BH68*AA68</f>
        <v>32000</v>
      </c>
      <c r="CO578" s="2">
        <f>SUM(CO$2:CO68)+BI68*AB68</f>
        <v>-12920</v>
      </c>
      <c r="CP578" s="2">
        <f>SUM(CP$2:CP68)+BJ68*AC68</f>
        <v>820</v>
      </c>
      <c r="CQ578" s="2">
        <f>SUM(CQ$2:CQ68)+BK68*AD68</f>
        <v>4550.0000000000073</v>
      </c>
      <c r="CR578" s="2">
        <f>SUM(CR$2:CR68)+BL68*AE68</f>
        <v>-6750</v>
      </c>
      <c r="CV578" t="s">
        <v>64</v>
      </c>
      <c r="CW578" t="s">
        <v>651</v>
      </c>
      <c r="CX578" t="s">
        <v>18</v>
      </c>
      <c r="CY578" s="4">
        <v>43117</v>
      </c>
      <c r="CZ578" t="s">
        <v>67</v>
      </c>
      <c r="DA578" t="s">
        <v>68</v>
      </c>
      <c r="DB578">
        <v>12</v>
      </c>
      <c r="DC578">
        <v>60.19</v>
      </c>
      <c r="DD578" t="s">
        <v>69</v>
      </c>
      <c r="DE578" t="s">
        <v>70</v>
      </c>
      <c r="DF578">
        <v>722.28</v>
      </c>
    </row>
    <row r="579" spans="66:110" x14ac:dyDescent="0.25">
      <c r="BN579" s="1">
        <f t="shared" si="336"/>
        <v>42835</v>
      </c>
      <c r="BO579" s="2">
        <f>SUM(BO$2:BO69)+AI69*B69</f>
        <v>117560.00000000012</v>
      </c>
      <c r="BP579" s="2">
        <f>SUM(BP$2:BP69)+AJ69*C69</f>
        <v>2672.7000000000116</v>
      </c>
      <c r="BQ579" s="2">
        <f>SUM(BQ$2:BQ69)+AK69*D69</f>
        <v>21251.5</v>
      </c>
      <c r="BR579" s="2">
        <f>SUM(BR$2:BR69)+AL69*E69</f>
        <v>3787.2999999999884</v>
      </c>
      <c r="BS579" s="2">
        <f>SUM(BS$2:BS69)+AM69*F69</f>
        <v>2852.2000000000044</v>
      </c>
      <c r="BT579" s="2">
        <f>SUM(BT$2:BT69)+AN69*G69</f>
        <v>-6866.7999999999884</v>
      </c>
      <c r="BU579" s="2">
        <f>SUM(BU$2:BU69)+AO69*H69</f>
        <v>6240.6000000000058</v>
      </c>
      <c r="BV579" s="2">
        <f>SUM(BV$2:BV69)+AP69*I69</f>
        <v>0</v>
      </c>
      <c r="BW579" s="2">
        <f>SUM(BW$2:BW69)+AQ69*J69</f>
        <v>-11770</v>
      </c>
      <c r="BX579" s="2">
        <f>SUM(BX$2:BX69)+AR69*K69</f>
        <v>13940</v>
      </c>
      <c r="BY579" s="2">
        <f>SUM(BY$2:BY69)+AS69*L69</f>
        <v>4880</v>
      </c>
      <c r="BZ579" s="2">
        <f>SUM(BZ$2:BZ69)+AT69*M69</f>
        <v>-510</v>
      </c>
      <c r="CA579" s="2">
        <f>SUM(CA$2:CA69)+AU69*N69</f>
        <v>8850</v>
      </c>
      <c r="CB579" s="2">
        <f>SUM(CB$2:CB69)+AV69*O69</f>
        <v>-360</v>
      </c>
      <c r="CC579" s="2">
        <f>SUM(CC$2:CC69)+AW69*P69</f>
        <v>-20</v>
      </c>
      <c r="CD579" s="2">
        <f>SUM(CD$2:CD69)+AX69*Q69</f>
        <v>10760</v>
      </c>
      <c r="CE579" s="2">
        <f>SUM(CE$2:CE69)+AY69*R69</f>
        <v>12190</v>
      </c>
      <c r="CF579" s="2">
        <f>SUM(CF$2:CF69)+AZ69*S69</f>
        <v>2905.4500000000116</v>
      </c>
      <c r="CG579" s="2">
        <f>SUM(CG$2:CG69)+BA69*T69</f>
        <v>3006.1100000000224</v>
      </c>
      <c r="CH579" s="2">
        <f>SUM(CH$2:CH69)+BB69*U69</f>
        <v>3098.1299999999901</v>
      </c>
      <c r="CI579" s="2">
        <f>SUM(CI$2:CI69)+BC69*V69</f>
        <v>-3020</v>
      </c>
      <c r="CJ579" s="2">
        <f>SUM(CJ$2:CJ69)+BD69*W69</f>
        <v>5570</v>
      </c>
      <c r="CK579" s="2">
        <f>SUM(CK$2:CK69)+BE69*X69</f>
        <v>6680</v>
      </c>
      <c r="CL579" s="2">
        <f>SUM(CL$2:CL69)+BF69*Y69</f>
        <v>12659.999999999942</v>
      </c>
      <c r="CM579" s="2">
        <f>SUM(CM$2:CM69)+BG69*Z69</f>
        <v>11680</v>
      </c>
      <c r="CN579" s="2">
        <f>SUM(CN$2:CN69)+BH69*AA69</f>
        <v>32600</v>
      </c>
      <c r="CO579" s="2">
        <f>SUM(CO$2:CO69)+BI69*AB69</f>
        <v>-13250</v>
      </c>
      <c r="CP579" s="2">
        <f>SUM(CP$2:CP69)+BJ69*AC69</f>
        <v>820</v>
      </c>
      <c r="CQ579" s="2">
        <f>SUM(CQ$2:CQ69)+BK69*AD69</f>
        <v>4700.0000000000073</v>
      </c>
      <c r="CR579" s="2">
        <f>SUM(CR$2:CR69)+BL69*AE69</f>
        <v>-6400</v>
      </c>
      <c r="CV579" t="s">
        <v>64</v>
      </c>
      <c r="CW579" t="s">
        <v>652</v>
      </c>
      <c r="CX579" t="s">
        <v>18</v>
      </c>
      <c r="CY579" s="4">
        <v>43118</v>
      </c>
      <c r="CZ579" t="s">
        <v>67</v>
      </c>
      <c r="DA579" t="s">
        <v>68</v>
      </c>
      <c r="DB579">
        <v>14</v>
      </c>
      <c r="DC579">
        <v>59.31</v>
      </c>
      <c r="DD579" t="s">
        <v>69</v>
      </c>
      <c r="DE579" t="s">
        <v>70</v>
      </c>
      <c r="DF579">
        <v>830.34</v>
      </c>
    </row>
    <row r="580" spans="66:110" x14ac:dyDescent="0.25">
      <c r="BN580" s="1">
        <f t="shared" si="336"/>
        <v>42836</v>
      </c>
      <c r="BO580" s="2">
        <f>SUM(BO$2:BO70)+AI70*B70</f>
        <v>110060.00000000012</v>
      </c>
      <c r="BP580" s="2">
        <f>SUM(BP$2:BP70)+AJ70*C70</f>
        <v>2443.9000000000087</v>
      </c>
      <c r="BQ580" s="2">
        <f>SUM(BQ$2:BQ70)+AK70*D70</f>
        <v>22260.299999999988</v>
      </c>
      <c r="BR580" s="2">
        <f>SUM(BR$2:BR70)+AL70*E70</f>
        <v>3745.6999999999971</v>
      </c>
      <c r="BS580" s="2">
        <f>SUM(BS$2:BS70)+AM70*F70</f>
        <v>2758.6000000000058</v>
      </c>
      <c r="BT580" s="2">
        <f>SUM(BT$2:BT70)+AN70*G70</f>
        <v>-7314</v>
      </c>
      <c r="BU580" s="2">
        <f>SUM(BU$2:BU70)+AO70*H70</f>
        <v>6885.4000000000087</v>
      </c>
      <c r="BV580" s="2">
        <f>SUM(BV$2:BV70)+AP70*I70</f>
        <v>0</v>
      </c>
      <c r="BW580" s="2">
        <f>SUM(BW$2:BW70)+AQ70*J70</f>
        <v>-12890</v>
      </c>
      <c r="BX580" s="2">
        <f>SUM(BX$2:BX70)+AR70*K70</f>
        <v>13940</v>
      </c>
      <c r="BY580" s="2">
        <f>SUM(BY$2:BY70)+AS70*L70</f>
        <v>4310</v>
      </c>
      <c r="BZ580" s="2">
        <f>SUM(BZ$2:BZ70)+AT70*M70</f>
        <v>-570</v>
      </c>
      <c r="CA580" s="2">
        <f>SUM(CA$2:CA70)+AU70*N70</f>
        <v>8740</v>
      </c>
      <c r="CB580" s="2">
        <f>SUM(CB$2:CB70)+AV70*O70</f>
        <v>-500</v>
      </c>
      <c r="CC580" s="2">
        <f>SUM(CC$2:CC70)+AW70*P70</f>
        <v>-20</v>
      </c>
      <c r="CD580" s="2">
        <f>SUM(CD$2:CD70)+AX70*Q70</f>
        <v>11930</v>
      </c>
      <c r="CE580" s="2">
        <f>SUM(CE$2:CE70)+AY70*R70</f>
        <v>12530</v>
      </c>
      <c r="CF580" s="2">
        <f>SUM(CF$2:CF70)+AZ70*S70</f>
        <v>2934.0100000000093</v>
      </c>
      <c r="CG580" s="2">
        <f>SUM(CG$2:CG70)+BA70*T70</f>
        <v>2960.6100000000224</v>
      </c>
      <c r="CH580" s="2">
        <f>SUM(CH$2:CH70)+BB70*U70</f>
        <v>3119.7699999999895</v>
      </c>
      <c r="CI580" s="2">
        <f>SUM(CI$2:CI70)+BC70*V70</f>
        <v>-2920</v>
      </c>
      <c r="CJ580" s="2">
        <f>SUM(CJ$2:CJ70)+BD70*W70</f>
        <v>5860</v>
      </c>
      <c r="CK580" s="2">
        <f>SUM(CK$2:CK70)+BE70*X70</f>
        <v>7080</v>
      </c>
      <c r="CL580" s="2">
        <f>SUM(CL$2:CL70)+BF70*Y70</f>
        <v>13680</v>
      </c>
      <c r="CM580" s="2">
        <f>SUM(CM$2:CM70)+BG70*Z70</f>
        <v>12930</v>
      </c>
      <c r="CN580" s="2">
        <f>SUM(CN$2:CN70)+BH70*AA70</f>
        <v>32550</v>
      </c>
      <c r="CO580" s="2">
        <f>SUM(CO$2:CO70)+BI70*AB70</f>
        <v>-12800</v>
      </c>
      <c r="CP580" s="2">
        <f>SUM(CP$2:CP70)+BJ70*AC70</f>
        <v>820</v>
      </c>
      <c r="CQ580" s="2">
        <f>SUM(CQ$2:CQ70)+BK70*AD70</f>
        <v>5050.0000000000073</v>
      </c>
      <c r="CR580" s="2">
        <f>SUM(CR$2:CR70)+BL70*AE70</f>
        <v>-6670</v>
      </c>
      <c r="CV580" t="s">
        <v>64</v>
      </c>
      <c r="CW580" t="s">
        <v>653</v>
      </c>
      <c r="CX580" t="s">
        <v>18</v>
      </c>
      <c r="CY580" s="4">
        <v>43119</v>
      </c>
      <c r="CZ580" t="s">
        <v>65</v>
      </c>
      <c r="DA580" t="s">
        <v>66</v>
      </c>
      <c r="DB580">
        <v>80</v>
      </c>
      <c r="DC580">
        <v>59.46</v>
      </c>
      <c r="DD580" t="s">
        <v>69</v>
      </c>
      <c r="DE580" t="s">
        <v>70</v>
      </c>
      <c r="DF580">
        <v>4756.8</v>
      </c>
    </row>
    <row r="581" spans="66:110" x14ac:dyDescent="0.25">
      <c r="BN581" s="1">
        <f t="shared" si="336"/>
        <v>42837</v>
      </c>
      <c r="BO581" s="2">
        <f>SUM(BO$2:BO71)+AI71*B71</f>
        <v>110910</v>
      </c>
      <c r="BP581" s="2">
        <f>SUM(BP$2:BP71)+AJ71*C71</f>
        <v>1851.1000000000058</v>
      </c>
      <c r="BQ581" s="2">
        <f>SUM(BQ$2:BQ71)+AK71*D71</f>
        <v>19753.899999999994</v>
      </c>
      <c r="BR581" s="2">
        <f>SUM(BR$2:BR71)+AL71*E71</f>
        <v>1530.4999999999854</v>
      </c>
      <c r="BS581" s="2">
        <f>SUM(BS$2:BS71)+AM71*F71</f>
        <v>2467.4000000000015</v>
      </c>
      <c r="BT581" s="2">
        <f>SUM(BT$2:BT71)+AN71*G71</f>
        <v>-7314</v>
      </c>
      <c r="BU581" s="2">
        <f>SUM(BU$2:BU71)+AO71*H71</f>
        <v>6854.1999999999971</v>
      </c>
      <c r="BV581" s="2">
        <f>SUM(BV$2:BV71)+AP71*I71</f>
        <v>0</v>
      </c>
      <c r="BW581" s="2">
        <f>SUM(BW$2:BW71)+AQ71*J71</f>
        <v>-14830</v>
      </c>
      <c r="BX581" s="2">
        <f>SUM(BX$2:BX71)+AR71*K71</f>
        <v>13940</v>
      </c>
      <c r="BY581" s="2">
        <f>SUM(BY$2:BY71)+AS71*L71</f>
        <v>4390</v>
      </c>
      <c r="BZ581" s="2">
        <f>SUM(BZ$2:BZ71)+AT71*M71</f>
        <v>-670</v>
      </c>
      <c r="CA581" s="2">
        <f>SUM(CA$2:CA71)+AU71*N71</f>
        <v>9860</v>
      </c>
      <c r="CB581" s="2">
        <f>SUM(CB$2:CB71)+AV71*O71</f>
        <v>-820</v>
      </c>
      <c r="CC581" s="2">
        <f>SUM(CC$2:CC71)+AW71*P71</f>
        <v>-20</v>
      </c>
      <c r="CD581" s="2">
        <f>SUM(CD$2:CD71)+AX71*Q71</f>
        <v>11990</v>
      </c>
      <c r="CE581" s="2">
        <f>SUM(CE$2:CE71)+AY71*R71</f>
        <v>12180</v>
      </c>
      <c r="CF581" s="2">
        <f>SUM(CF$2:CF71)+AZ71*S71</f>
        <v>3370.9300000000076</v>
      </c>
      <c r="CG581" s="2">
        <f>SUM(CG$2:CG71)+BA71*T71</f>
        <v>2739.0900000000183</v>
      </c>
      <c r="CH581" s="2">
        <f>SUM(CH$2:CH71)+BB71*U71</f>
        <v>3716.3799999999901</v>
      </c>
      <c r="CI581" s="2">
        <f>SUM(CI$2:CI71)+BC71*V71</f>
        <v>-2910</v>
      </c>
      <c r="CJ581" s="2">
        <f>SUM(CJ$2:CJ71)+BD71*W71</f>
        <v>6340</v>
      </c>
      <c r="CK581" s="2">
        <f>SUM(CK$2:CK71)+BE71*X71</f>
        <v>8380</v>
      </c>
      <c r="CL581" s="2">
        <f>SUM(CL$2:CL71)+BF71*Y71</f>
        <v>12870.000000000058</v>
      </c>
      <c r="CM581" s="2">
        <f>SUM(CM$2:CM71)+BG71*Z71</f>
        <v>8630</v>
      </c>
      <c r="CN581" s="2">
        <f>SUM(CN$2:CN71)+BH71*AA71</f>
        <v>31700</v>
      </c>
      <c r="CO581" s="2">
        <f>SUM(CO$2:CO71)+BI71*AB71</f>
        <v>-12200</v>
      </c>
      <c r="CP581" s="2">
        <f>SUM(CP$2:CP71)+BJ71*AC71</f>
        <v>820</v>
      </c>
      <c r="CQ581" s="2">
        <f>SUM(CQ$2:CQ71)+BK71*AD71</f>
        <v>5060.0000000000073</v>
      </c>
      <c r="CR581" s="2">
        <f>SUM(CR$2:CR71)+BL71*AE71</f>
        <v>-6550</v>
      </c>
      <c r="CV581" t="s">
        <v>64</v>
      </c>
      <c r="CW581" t="s">
        <v>654</v>
      </c>
      <c r="CX581" t="s">
        <v>18</v>
      </c>
      <c r="CY581" s="4">
        <v>43122</v>
      </c>
      <c r="CZ581" t="s">
        <v>67</v>
      </c>
      <c r="DA581" t="s">
        <v>68</v>
      </c>
      <c r="DB581">
        <v>86</v>
      </c>
      <c r="DC581">
        <v>59.43</v>
      </c>
      <c r="DD581" t="s">
        <v>69</v>
      </c>
      <c r="DE581" t="s">
        <v>70</v>
      </c>
      <c r="DF581">
        <v>5110.9799999999996</v>
      </c>
    </row>
    <row r="582" spans="66:110" x14ac:dyDescent="0.25">
      <c r="BN582" s="1">
        <f t="shared" si="336"/>
        <v>42838</v>
      </c>
      <c r="BO582" s="2">
        <f>SUM(BO$2:BO72)+AI72*B72</f>
        <v>107260</v>
      </c>
      <c r="BP582" s="2">
        <f>SUM(BP$2:BP72)+AJ72*C72</f>
        <v>956.69999999999709</v>
      </c>
      <c r="BQ582" s="2">
        <f>SUM(BQ$2:BQ72)+AK72*D72</f>
        <v>19317.099999999977</v>
      </c>
      <c r="BR582" s="2">
        <f>SUM(BR$2:BR72)+AL72*E72</f>
        <v>-216.70000000001164</v>
      </c>
      <c r="BS582" s="2">
        <f>SUM(BS$2:BS72)+AM72*F72</f>
        <v>2269.8000000000029</v>
      </c>
      <c r="BT582" s="2">
        <f>SUM(BT$2:BT72)+AN72*G72</f>
        <v>-10070</v>
      </c>
      <c r="BU582" s="2">
        <f>SUM(BU$2:BU72)+AO72*H72</f>
        <v>7020.6000000000058</v>
      </c>
      <c r="BV582" s="2">
        <f>SUM(BV$2:BV72)+AP72*I72</f>
        <v>0</v>
      </c>
      <c r="BW582" s="2">
        <f>SUM(BW$2:BW72)+AQ72*J72</f>
        <v>-17210</v>
      </c>
      <c r="BX582" s="2">
        <f>SUM(BX$2:BX72)+AR72*K72</f>
        <v>13940</v>
      </c>
      <c r="BY582" s="2">
        <f>SUM(BY$2:BY72)+AS72*L72</f>
        <v>3350</v>
      </c>
      <c r="BZ582" s="2">
        <f>SUM(BZ$2:BZ72)+AT72*M72</f>
        <v>-1030</v>
      </c>
      <c r="CA582" s="2">
        <f>SUM(CA$2:CA72)+AU72*N72</f>
        <v>9470</v>
      </c>
      <c r="CB582" s="2">
        <f>SUM(CB$2:CB72)+AV72*O72</f>
        <v>-1780</v>
      </c>
      <c r="CC582" s="2">
        <f>SUM(CC$2:CC72)+AW72*P72</f>
        <v>-20</v>
      </c>
      <c r="CD582" s="2">
        <f>SUM(CD$2:CD72)+AX72*Q72</f>
        <v>11510</v>
      </c>
      <c r="CE582" s="2">
        <f>SUM(CE$2:CE72)+AY72*R72</f>
        <v>11180</v>
      </c>
      <c r="CF582" s="2">
        <f>SUM(CF$2:CF72)+AZ72*S72</f>
        <v>2950.2700000000041</v>
      </c>
      <c r="CG582" s="2">
        <f>SUM(CG$2:CG72)+BA72*T72</f>
        <v>2457.7500000000146</v>
      </c>
      <c r="CH582" s="2">
        <f>SUM(CH$2:CH72)+BB72*U72</f>
        <v>3513.7599999999875</v>
      </c>
      <c r="CI582" s="2">
        <f>SUM(CI$2:CI72)+BC72*V72</f>
        <v>-2870</v>
      </c>
      <c r="CJ582" s="2">
        <f>SUM(CJ$2:CJ72)+BD72*W72</f>
        <v>6080</v>
      </c>
      <c r="CK582" s="2">
        <f>SUM(CK$2:CK72)+BE72*X72</f>
        <v>3880</v>
      </c>
      <c r="CL582" s="2">
        <f>SUM(CL$2:CL72)+BF72*Y72</f>
        <v>11130</v>
      </c>
      <c r="CM582" s="2">
        <f>SUM(CM$2:CM72)+BG72*Z72</f>
        <v>7880</v>
      </c>
      <c r="CN582" s="2">
        <f>SUM(CN$2:CN72)+BH72*AA72</f>
        <v>32650.000000000058</v>
      </c>
      <c r="CO582" s="2">
        <f>SUM(CO$2:CO72)+BI72*AB72</f>
        <v>-13010</v>
      </c>
      <c r="CP582" s="2">
        <f>SUM(CP$2:CP72)+BJ72*AC72</f>
        <v>820</v>
      </c>
      <c r="CQ582" s="2">
        <f>SUM(CQ$2:CQ72)+BK72*AD72</f>
        <v>4790.0000000000073</v>
      </c>
      <c r="CR582" s="2">
        <f>SUM(CR$2:CR72)+BL72*AE72</f>
        <v>-7730</v>
      </c>
      <c r="CV582" t="s">
        <v>64</v>
      </c>
      <c r="CW582" t="s">
        <v>655</v>
      </c>
      <c r="CX582" t="s">
        <v>18</v>
      </c>
      <c r="CY582" s="4">
        <v>43123</v>
      </c>
      <c r="CZ582" t="s">
        <v>65</v>
      </c>
      <c r="DA582" t="s">
        <v>66</v>
      </c>
      <c r="DB582">
        <v>70</v>
      </c>
      <c r="DC582">
        <v>59.87</v>
      </c>
      <c r="DD582" t="s">
        <v>69</v>
      </c>
      <c r="DE582" t="s">
        <v>70</v>
      </c>
      <c r="DF582">
        <v>4190.8999999999996</v>
      </c>
    </row>
    <row r="583" spans="66:110" x14ac:dyDescent="0.25">
      <c r="BN583" s="1">
        <f t="shared" si="336"/>
        <v>42842</v>
      </c>
      <c r="BO583" s="2">
        <f>SUM(BO$2:BO73)+AI73*B73</f>
        <v>111060</v>
      </c>
      <c r="BP583" s="2">
        <f>SUM(BP$2:BP73)+AJ73*C73</f>
        <v>1849.1999999999971</v>
      </c>
      <c r="BQ583" s="2">
        <f>SUM(BQ$2:BQ73)+AK73*D73</f>
        <v>22740.099999999977</v>
      </c>
      <c r="BR583" s="2">
        <f>SUM(BR$2:BR73)+AL73*E73</f>
        <v>822.79999999998836</v>
      </c>
      <c r="BS583" s="2">
        <f>SUM(BS$2:BS73)+AM73*F73</f>
        <v>2458.8000000000029</v>
      </c>
      <c r="BT583" s="2">
        <f>SUM(BT$2:BT73)+AN73*G73</f>
        <v>-10007</v>
      </c>
      <c r="BU583" s="2">
        <f>SUM(BU$2:BU73)+AO73*H73</f>
        <v>7608.6000000000058</v>
      </c>
      <c r="BV583" s="2">
        <f>SUM(BV$2:BV73)+AP73*I73</f>
        <v>0</v>
      </c>
      <c r="BW583" s="2">
        <f>SUM(BW$2:BW73)+AQ73*J73</f>
        <v>-14330</v>
      </c>
      <c r="BX583" s="2">
        <f>SUM(BX$2:BX73)+AR73*K73</f>
        <v>13940</v>
      </c>
      <c r="BY583" s="2">
        <f>SUM(BY$2:BY73)+AS73*L73</f>
        <v>4790</v>
      </c>
      <c r="BZ583" s="2">
        <f>SUM(BZ$2:BZ73)+AT73*M73</f>
        <v>-820</v>
      </c>
      <c r="CA583" s="2">
        <f>SUM(CA$2:CA73)+AU73*N73</f>
        <v>10170</v>
      </c>
      <c r="CB583" s="2">
        <f>SUM(CB$2:CB73)+AV73*O73</f>
        <v>-380</v>
      </c>
      <c r="CC583" s="2">
        <f>SUM(CC$2:CC73)+AW73*P73</f>
        <v>-20</v>
      </c>
      <c r="CD583" s="2">
        <f>SUM(CD$2:CD73)+AX73*Q73</f>
        <v>12080</v>
      </c>
      <c r="CE583" s="2">
        <f>SUM(CE$2:CE73)+AY73*R73</f>
        <v>12800</v>
      </c>
      <c r="CF583" s="2">
        <f>SUM(CF$2:CF73)+AZ73*S73</f>
        <v>3138.1900000000023</v>
      </c>
      <c r="CG583" s="2">
        <f>SUM(CG$2:CG73)+BA73*T73</f>
        <v>2995.2900000000227</v>
      </c>
      <c r="CH583" s="2">
        <f>SUM(CH$2:CH73)+BB73*U73</f>
        <v>4318.9599999999846</v>
      </c>
      <c r="CI583" s="2">
        <f>SUM(CI$2:CI73)+BC73*V73</f>
        <v>-2980</v>
      </c>
      <c r="CJ583" s="2">
        <f>SUM(CJ$2:CJ73)+BD73*W73</f>
        <v>6420</v>
      </c>
      <c r="CK583" s="2">
        <f>SUM(CK$2:CK73)+BE73*X73</f>
        <v>10580</v>
      </c>
      <c r="CL583" s="2">
        <f>SUM(CL$2:CL73)+BF73*Y73</f>
        <v>17640.000000000058</v>
      </c>
      <c r="CM583" s="2">
        <f>SUM(CM$2:CM73)+BG73*Z73</f>
        <v>13530</v>
      </c>
      <c r="CN583" s="2">
        <f>SUM(CN$2:CN73)+BH73*AA73</f>
        <v>37250</v>
      </c>
      <c r="CO583" s="2">
        <f>SUM(CO$2:CO73)+BI73*AB73</f>
        <v>-12500</v>
      </c>
      <c r="CP583" s="2">
        <f>SUM(CP$2:CP73)+BJ73*AC73</f>
        <v>820</v>
      </c>
      <c r="CQ583" s="2">
        <f>SUM(CQ$2:CQ73)+BK73*AD73</f>
        <v>5110.0000000000073</v>
      </c>
      <c r="CR583" s="2">
        <f>SUM(CR$2:CR73)+BL73*AE73</f>
        <v>-7830</v>
      </c>
      <c r="CV583" t="s">
        <v>64</v>
      </c>
      <c r="CW583" t="s">
        <v>656</v>
      </c>
      <c r="CX583" t="s">
        <v>18</v>
      </c>
      <c r="CY583" s="4">
        <v>43124</v>
      </c>
      <c r="CZ583" t="s">
        <v>67</v>
      </c>
      <c r="DA583" t="s">
        <v>68</v>
      </c>
      <c r="DB583">
        <v>83</v>
      </c>
      <c r="DC583">
        <v>59.36</v>
      </c>
      <c r="DD583" t="s">
        <v>69</v>
      </c>
      <c r="DE583" t="s">
        <v>70</v>
      </c>
      <c r="DF583">
        <v>4926.88</v>
      </c>
    </row>
    <row r="584" spans="66:110" x14ac:dyDescent="0.25">
      <c r="BN584" s="1">
        <f t="shared" si="336"/>
        <v>42843</v>
      </c>
      <c r="BO584" s="2">
        <f>SUM(BO$2:BO74)+AI74*B74</f>
        <v>108009.99999999988</v>
      </c>
      <c r="BP584" s="2">
        <f>SUM(BP$2:BP74)+AJ74*C74</f>
        <v>946.19999999999709</v>
      </c>
      <c r="BQ584" s="2">
        <f>SUM(BQ$2:BQ74)+AK74*D74</f>
        <v>21564.099999999977</v>
      </c>
      <c r="BR584" s="2">
        <f>SUM(BR$2:BR74)+AL74*E74</f>
        <v>1074.7999999999884</v>
      </c>
      <c r="BS584" s="2">
        <f>SUM(BS$2:BS74)+AM74*F74</f>
        <v>2511.3000000000029</v>
      </c>
      <c r="BT584" s="2">
        <f>SUM(BT$2:BT74)+AN74*G74</f>
        <v>-10479.5</v>
      </c>
      <c r="BU584" s="2">
        <f>SUM(BU$2:BU74)+AO74*H74</f>
        <v>8028.6000000000058</v>
      </c>
      <c r="BV584" s="2">
        <f>SUM(BV$2:BV74)+AP74*I74</f>
        <v>0</v>
      </c>
      <c r="BW584" s="2">
        <f>SUM(BW$2:BW74)+AQ74*J74</f>
        <v>-24760</v>
      </c>
      <c r="BX584" s="2">
        <f>SUM(BX$2:BX74)+AR74*K74</f>
        <v>13940</v>
      </c>
      <c r="BY584" s="2">
        <f>SUM(BY$2:BY74)+AS74*L74</f>
        <v>3830</v>
      </c>
      <c r="BZ584" s="2">
        <f>SUM(BZ$2:BZ74)+AT74*M74</f>
        <v>-540</v>
      </c>
      <c r="CA584" s="2">
        <f>SUM(CA$2:CA74)+AU74*N74</f>
        <v>6440</v>
      </c>
      <c r="CB584" s="2">
        <f>SUM(CB$2:CB74)+AV74*O74</f>
        <v>-1050</v>
      </c>
      <c r="CC584" s="2">
        <f>SUM(CC$2:CC74)+AW74*P74</f>
        <v>-20</v>
      </c>
      <c r="CD584" s="2">
        <f>SUM(CD$2:CD74)+AX74*Q74</f>
        <v>12990</v>
      </c>
      <c r="CE584" s="2">
        <f>SUM(CE$2:CE74)+AY74*R74</f>
        <v>12670</v>
      </c>
      <c r="CF584" s="2">
        <f>SUM(CF$2:CF74)+AZ74*S74</f>
        <v>2624.6200000000026</v>
      </c>
      <c r="CG584" s="2">
        <f>SUM(CG$2:CG74)+BA74*T74</f>
        <v>2913.7500000000218</v>
      </c>
      <c r="CH584" s="2">
        <f>SUM(CH$2:CH74)+BB74*U74</f>
        <v>4181.0299999999916</v>
      </c>
      <c r="CI584" s="2">
        <f>SUM(CI$2:CI74)+BC74*V74</f>
        <v>-2830</v>
      </c>
      <c r="CJ584" s="2">
        <f>SUM(CJ$2:CJ74)+BD74*W74</f>
        <v>6800</v>
      </c>
      <c r="CK584" s="2">
        <f>SUM(CK$2:CK74)+BE74*X74</f>
        <v>4980</v>
      </c>
      <c r="CL584" s="2">
        <f>SUM(CL$2:CL74)+BF74*Y74</f>
        <v>21749.999999999942</v>
      </c>
      <c r="CM584" s="2">
        <f>SUM(CM$2:CM74)+BG74*Z74</f>
        <v>14930</v>
      </c>
      <c r="CN584" s="2">
        <f>SUM(CN$2:CN74)+BH74*AA74</f>
        <v>36850</v>
      </c>
      <c r="CO584" s="2">
        <f>SUM(CO$2:CO74)+BI74*AB74</f>
        <v>-11360</v>
      </c>
      <c r="CP584" s="2">
        <f>SUM(CP$2:CP74)+BJ74*AC74</f>
        <v>820</v>
      </c>
      <c r="CQ584" s="2">
        <f>SUM(CQ$2:CQ74)+BK74*AD74</f>
        <v>5500.0000000000073</v>
      </c>
      <c r="CR584" s="2">
        <f>SUM(CR$2:CR74)+BL74*AE74</f>
        <v>-8320</v>
      </c>
      <c r="CV584" t="s">
        <v>64</v>
      </c>
      <c r="CW584" t="s">
        <v>657</v>
      </c>
      <c r="CX584" t="s">
        <v>18</v>
      </c>
      <c r="CY584" s="4">
        <v>43125</v>
      </c>
      <c r="CZ584" t="s">
        <v>65</v>
      </c>
      <c r="DA584" t="s">
        <v>66</v>
      </c>
      <c r="DB584">
        <v>24</v>
      </c>
      <c r="DC584">
        <v>59.48</v>
      </c>
      <c r="DD584" t="s">
        <v>69</v>
      </c>
      <c r="DE584" t="s">
        <v>70</v>
      </c>
      <c r="DF584">
        <v>1427.52</v>
      </c>
    </row>
    <row r="585" spans="66:110" x14ac:dyDescent="0.25">
      <c r="BN585" s="1">
        <f t="shared" si="336"/>
        <v>42844</v>
      </c>
      <c r="BO585" s="2">
        <f>SUM(BO$2:BO75)+AI75*B75</f>
        <v>105460</v>
      </c>
      <c r="BP585" s="2">
        <f>SUM(BP$2:BP75)+AJ75*C75</f>
        <v>694.19999999999709</v>
      </c>
      <c r="BQ585" s="2">
        <f>SUM(BQ$2:BQ75)+AK75*D75</f>
        <v>22120.599999999977</v>
      </c>
      <c r="BR585" s="2">
        <f>SUM(BR$2:BR75)+AL75*E75</f>
        <v>161.29999999998836</v>
      </c>
      <c r="BS585" s="2">
        <f>SUM(BS$2:BS75)+AM75*F75</f>
        <v>2500.8000000000029</v>
      </c>
      <c r="BT585" s="2">
        <f>SUM(BT$2:BT75)+AN75*G75</f>
        <v>-11886.5</v>
      </c>
      <c r="BU585" s="2">
        <f>SUM(BU$2:BU75)+AO75*H75</f>
        <v>7556.1000000000058</v>
      </c>
      <c r="BV585" s="2">
        <f>SUM(BV$2:BV75)+AP75*I75</f>
        <v>0</v>
      </c>
      <c r="BW585" s="2">
        <f>SUM(BW$2:BW75)+AQ75*J75</f>
        <v>-26220</v>
      </c>
      <c r="BX585" s="2">
        <f>SUM(BX$2:BX75)+AR75*K75</f>
        <v>13940</v>
      </c>
      <c r="BY585" s="2">
        <f>SUM(BY$2:BY75)+AS75*L75</f>
        <v>-3840</v>
      </c>
      <c r="BZ585" s="2">
        <f>SUM(BZ$2:BZ75)+AT75*M75</f>
        <v>-410</v>
      </c>
      <c r="CA585" s="2">
        <f>SUM(CA$2:CA75)+AU75*N75</f>
        <v>6010</v>
      </c>
      <c r="CB585" s="2">
        <f>SUM(CB$2:CB75)+AV75*O75</f>
        <v>-1720</v>
      </c>
      <c r="CC585" s="2">
        <f>SUM(CC$2:CC75)+AW75*P75</f>
        <v>-20</v>
      </c>
      <c r="CD585" s="2">
        <f>SUM(CD$2:CD75)+AX75*Q75</f>
        <v>13310</v>
      </c>
      <c r="CE585" s="2">
        <f>SUM(CE$2:CE75)+AY75*R75</f>
        <v>12300</v>
      </c>
      <c r="CF585" s="2">
        <f>SUM(CF$2:CF75)+AZ75*S75</f>
        <v>2983.5400000000081</v>
      </c>
      <c r="CG585" s="2">
        <f>SUM(CG$2:CG75)+BA75*T75</f>
        <v>2558.0100000000239</v>
      </c>
      <c r="CH585" s="2">
        <f>SUM(CH$2:CH75)+BB75*U75</f>
        <v>3963.8299999999872</v>
      </c>
      <c r="CI585" s="2">
        <f>SUM(CI$2:CI75)+BC75*V75</f>
        <v>-2620</v>
      </c>
      <c r="CJ585" s="2">
        <f>SUM(CJ$2:CJ75)+BD75*W75</f>
        <v>6320</v>
      </c>
      <c r="CK585" s="2">
        <f>SUM(CK$2:CK75)+BE75*X75</f>
        <v>3280</v>
      </c>
      <c r="CL585" s="2">
        <f>SUM(CL$2:CL75)+BF75*Y75</f>
        <v>23670</v>
      </c>
      <c r="CM585" s="2">
        <f>SUM(CM$2:CM75)+BG75*Z75</f>
        <v>11830</v>
      </c>
      <c r="CN585" s="2">
        <f>SUM(CN$2:CN75)+BH75*AA75</f>
        <v>36950.000000000058</v>
      </c>
      <c r="CO585" s="2">
        <f>SUM(CO$2:CO75)+BI75*AB75</f>
        <v>-12140</v>
      </c>
      <c r="CP585" s="2">
        <f>SUM(CP$2:CP75)+BJ75*AC75</f>
        <v>820</v>
      </c>
      <c r="CQ585" s="2">
        <f>SUM(CQ$2:CQ75)+BK75*AD75</f>
        <v>5670.0000000000073</v>
      </c>
      <c r="CR585" s="2">
        <f>SUM(CR$2:CR75)+BL75*AE75</f>
        <v>-8840</v>
      </c>
      <c r="CV585" t="s">
        <v>64</v>
      </c>
      <c r="CW585" t="s">
        <v>658</v>
      </c>
      <c r="CX585" t="s">
        <v>18</v>
      </c>
      <c r="CY585" s="4">
        <v>43126</v>
      </c>
      <c r="CZ585" t="s">
        <v>65</v>
      </c>
      <c r="DA585" t="s">
        <v>66</v>
      </c>
      <c r="DB585">
        <v>27</v>
      </c>
      <c r="DC585">
        <v>60.2</v>
      </c>
      <c r="DD585" t="s">
        <v>69</v>
      </c>
      <c r="DE585" t="s">
        <v>70</v>
      </c>
      <c r="DF585">
        <v>1625.4</v>
      </c>
    </row>
    <row r="586" spans="66:110" x14ac:dyDescent="0.25">
      <c r="BN586" s="1">
        <f t="shared" si="336"/>
        <v>42845</v>
      </c>
      <c r="BO586" s="2">
        <f>SUM(BO$2:BO76)+AI76*B76</f>
        <v>114010</v>
      </c>
      <c r="BP586" s="2">
        <f>SUM(BP$2:BP76)+AJ76*C76</f>
        <v>5293.1999999999971</v>
      </c>
      <c r="BQ586" s="2">
        <f>SUM(BQ$2:BQ76)+AK76*D76</f>
        <v>23023.599999999977</v>
      </c>
      <c r="BR586" s="2">
        <f>SUM(BR$2:BR76)+AL76*E76</f>
        <v>2135.2999999999884</v>
      </c>
      <c r="BS586" s="2">
        <f>SUM(BS$2:BS76)+AM76*F76</f>
        <v>2679.3000000000029</v>
      </c>
      <c r="BT586" s="2">
        <f>SUM(BT$2:BT76)+AN76*G76</f>
        <v>-11256.5</v>
      </c>
      <c r="BU586" s="2">
        <f>SUM(BU$2:BU76)+AO76*H76</f>
        <v>8637.6000000000058</v>
      </c>
      <c r="BV586" s="2">
        <f>SUM(BV$2:BV76)+AP76*I76</f>
        <v>0</v>
      </c>
      <c r="BW586" s="2">
        <f>SUM(BW$2:BW76)+AQ76*J76</f>
        <v>-22340</v>
      </c>
      <c r="BX586" s="2">
        <f>SUM(BX$2:BX76)+AR76*K76</f>
        <v>13940</v>
      </c>
      <c r="BY586" s="2">
        <f>SUM(BY$2:BY76)+AS76*L76</f>
        <v>-3280</v>
      </c>
      <c r="BZ586" s="2">
        <f>SUM(BZ$2:BZ76)+AT76*M76</f>
        <v>-150</v>
      </c>
      <c r="CA586" s="2">
        <f>SUM(CA$2:CA76)+AU76*N76</f>
        <v>6490</v>
      </c>
      <c r="CB586" s="2">
        <f>SUM(CB$2:CB76)+AV76*O76</f>
        <v>-670</v>
      </c>
      <c r="CC586" s="2">
        <f>SUM(CC$2:CC76)+AW76*P76</f>
        <v>-20</v>
      </c>
      <c r="CD586" s="2">
        <f>SUM(CD$2:CD76)+AX76*Q76</f>
        <v>13920</v>
      </c>
      <c r="CE586" s="2">
        <f>SUM(CE$2:CE76)+AY76*R76</f>
        <v>13560</v>
      </c>
      <c r="CF586" s="2">
        <f>SUM(CF$2:CF76)+AZ76*S76</f>
        <v>2890.8400000000111</v>
      </c>
      <c r="CG586" s="2">
        <f>SUM(CG$2:CG76)+BA76*T76</f>
        <v>2970.2900000000227</v>
      </c>
      <c r="CH586" s="2">
        <f>SUM(CH$2:CH76)+BB76*U76</f>
        <v>4449.3099999999904</v>
      </c>
      <c r="CI586" s="2">
        <f>SUM(CI$2:CI76)+BC76*V76</f>
        <v>-2740</v>
      </c>
      <c r="CJ586" s="2">
        <f>SUM(CJ$2:CJ76)+BD76*W76</f>
        <v>6060</v>
      </c>
      <c r="CK586" s="2">
        <f>SUM(CK$2:CK76)+BE76*X76</f>
        <v>-4020</v>
      </c>
      <c r="CL586" s="2">
        <f>SUM(CL$2:CL76)+BF76*Y76</f>
        <v>30390.000000000058</v>
      </c>
      <c r="CM586" s="2">
        <f>SUM(CM$2:CM76)+BG76*Z76</f>
        <v>16730</v>
      </c>
      <c r="CN586" s="2">
        <f>SUM(CN$2:CN76)+BH76*AA76</f>
        <v>43850</v>
      </c>
      <c r="CO586" s="2">
        <f>SUM(CO$2:CO76)+BI76*AB76</f>
        <v>-13610</v>
      </c>
      <c r="CP586" s="2">
        <f>SUM(CP$2:CP76)+BJ76*AC76</f>
        <v>820</v>
      </c>
      <c r="CQ586" s="2">
        <f>SUM(CQ$2:CQ76)+BK76*AD76</f>
        <v>6370.0000000000073</v>
      </c>
      <c r="CR586" s="2">
        <f>SUM(CR$2:CR76)+BL76*AE76</f>
        <v>-8360</v>
      </c>
      <c r="CV586" t="s">
        <v>64</v>
      </c>
      <c r="CW586" t="s">
        <v>659</v>
      </c>
      <c r="CX586" t="s">
        <v>18</v>
      </c>
      <c r="CY586" s="4">
        <v>43129</v>
      </c>
      <c r="CZ586" t="s">
        <v>65</v>
      </c>
      <c r="DA586" t="s">
        <v>66</v>
      </c>
      <c r="DB586">
        <v>19</v>
      </c>
      <c r="DC586">
        <v>59.8</v>
      </c>
      <c r="DD586" t="s">
        <v>69</v>
      </c>
      <c r="DE586" t="s">
        <v>70</v>
      </c>
      <c r="DF586">
        <v>1136.2</v>
      </c>
    </row>
    <row r="587" spans="66:110" x14ac:dyDescent="0.25">
      <c r="BN587" s="1">
        <f t="shared" si="336"/>
        <v>42846</v>
      </c>
      <c r="BO587" s="2">
        <f>SUM(BO$2:BO77)+AI77*B77</f>
        <v>113160</v>
      </c>
      <c r="BP587" s="2">
        <f>SUM(BP$2:BP77)+AJ77*C77</f>
        <v>4841.6999999999971</v>
      </c>
      <c r="BQ587" s="2">
        <f>SUM(BQ$2:BQ77)+AK77*D77</f>
        <v>24105.099999999977</v>
      </c>
      <c r="BR587" s="2">
        <f>SUM(BR$2:BR77)+AL77*E77</f>
        <v>1788.7999999999884</v>
      </c>
      <c r="BS587" s="2">
        <f>SUM(BS$2:BS77)+AM77*F77</f>
        <v>2668.8000000000029</v>
      </c>
      <c r="BT587" s="2">
        <f>SUM(BT$2:BT77)+AN77*G77</f>
        <v>-11246</v>
      </c>
      <c r="BU587" s="2">
        <f>SUM(BU$2:BU77)+AO77*H77</f>
        <v>8280.6000000000058</v>
      </c>
      <c r="BV587" s="2">
        <f>SUM(BV$2:BV77)+AP77*I77</f>
        <v>0</v>
      </c>
      <c r="BW587" s="2">
        <f>SUM(BW$2:BW77)+AQ77*J77</f>
        <v>-23520</v>
      </c>
      <c r="BX587" s="2">
        <f>SUM(BX$2:BX77)+AR77*K77</f>
        <v>13940</v>
      </c>
      <c r="BY587" s="2">
        <f>SUM(BY$2:BY77)+AS77*L77</f>
        <v>-5050</v>
      </c>
      <c r="BZ587" s="2">
        <f>SUM(BZ$2:BZ77)+AT77*M77</f>
        <v>-20</v>
      </c>
      <c r="CA587" s="2">
        <f>SUM(CA$2:CA77)+AU77*N77</f>
        <v>6390</v>
      </c>
      <c r="CB587" s="2">
        <f>SUM(CB$2:CB77)+AV77*O77</f>
        <v>-1660</v>
      </c>
      <c r="CC587" s="2">
        <f>SUM(CC$2:CC77)+AW77*P77</f>
        <v>-20</v>
      </c>
      <c r="CD587" s="2">
        <f>SUM(CD$2:CD77)+AX77*Q77</f>
        <v>14050</v>
      </c>
      <c r="CE587" s="2">
        <f>SUM(CE$2:CE77)+AY77*R77</f>
        <v>13890</v>
      </c>
      <c r="CF587" s="2">
        <f>SUM(CF$2:CF77)+AZ77*S77</f>
        <v>2273.4400000000096</v>
      </c>
      <c r="CG587" s="2">
        <f>SUM(CG$2:CG77)+BA77*T77</f>
        <v>3773.3000000000247</v>
      </c>
      <c r="CH587" s="2">
        <f>SUM(CH$2:CH77)+BB77*U77</f>
        <v>3957.9099999999962</v>
      </c>
      <c r="CI587" s="2">
        <f>SUM(CI$2:CI77)+BC77*V77</f>
        <v>-2650</v>
      </c>
      <c r="CJ587" s="2">
        <f>SUM(CJ$2:CJ77)+BD77*W77</f>
        <v>5390</v>
      </c>
      <c r="CK587" s="2">
        <f>SUM(CK$2:CK77)+BE77*X77</f>
        <v>-2970</v>
      </c>
      <c r="CL587" s="2">
        <f>SUM(CL$2:CL77)+BF77*Y77</f>
        <v>29280</v>
      </c>
      <c r="CM587" s="2">
        <f>SUM(CM$2:CM77)+BG77*Z77</f>
        <v>21730</v>
      </c>
      <c r="CN587" s="2">
        <f>SUM(CN$2:CN77)+BH77*AA77</f>
        <v>43850</v>
      </c>
      <c r="CO587" s="2">
        <f>SUM(CO$2:CO77)+BI77*AB77</f>
        <v>-16820</v>
      </c>
      <c r="CP587" s="2">
        <f>SUM(CP$2:CP77)+BJ77*AC77</f>
        <v>820</v>
      </c>
      <c r="CQ587" s="2">
        <f>SUM(CQ$2:CQ77)+BK77*AD77</f>
        <v>6500.0000000000073</v>
      </c>
      <c r="CR587" s="2">
        <f>SUM(CR$2:CR77)+BL77*AE77</f>
        <v>-8660</v>
      </c>
      <c r="CV587" t="s">
        <v>64</v>
      </c>
      <c r="CW587" t="s">
        <v>660</v>
      </c>
      <c r="CX587" t="s">
        <v>18</v>
      </c>
      <c r="CY587" s="4">
        <v>43130</v>
      </c>
      <c r="CZ587" t="s">
        <v>65</v>
      </c>
      <c r="DA587" t="s">
        <v>66</v>
      </c>
      <c r="DB587">
        <v>10</v>
      </c>
      <c r="DC587">
        <v>58.85</v>
      </c>
      <c r="DD587" t="s">
        <v>69</v>
      </c>
      <c r="DE587" t="s">
        <v>70</v>
      </c>
      <c r="DF587">
        <v>588.5</v>
      </c>
    </row>
    <row r="588" spans="66:110" x14ac:dyDescent="0.25">
      <c r="BN588" s="1">
        <f t="shared" si="336"/>
        <v>42849</v>
      </c>
      <c r="BO588" s="2">
        <f>SUM(BO$2:BO78)+AI78*B78</f>
        <v>119810</v>
      </c>
      <c r="BP588" s="2">
        <f>SUM(BP$2:BP78)+AJ78*C78</f>
        <v>5734.1999999999971</v>
      </c>
      <c r="BQ588" s="2">
        <f>SUM(BQ$2:BQ78)+AK78*D78</f>
        <v>25795.599999999977</v>
      </c>
      <c r="BR588" s="2">
        <f>SUM(BR$2:BR78)+AL78*E78</f>
        <v>4298.2999999999884</v>
      </c>
      <c r="BS588" s="2">
        <f>SUM(BS$2:BS78)+AM78*F78</f>
        <v>3120.3000000000029</v>
      </c>
      <c r="BT588" s="2">
        <f>SUM(BT$2:BT78)+AN78*G78</f>
        <v>-10238</v>
      </c>
      <c r="BU588" s="2">
        <f>SUM(BU$2:BU78)+AO78*H78</f>
        <v>7524.6000000000058</v>
      </c>
      <c r="BV588" s="2">
        <f>SUM(BV$2:BV78)+AP78*I78</f>
        <v>0</v>
      </c>
      <c r="BW588" s="2">
        <f>SUM(BW$2:BW78)+AQ78*J78</f>
        <v>-17300</v>
      </c>
      <c r="BX588" s="2">
        <f>SUM(BX$2:BX78)+AR78*K78</f>
        <v>13940</v>
      </c>
      <c r="BY588" s="2">
        <f>SUM(BY$2:BY78)+AS78*L78</f>
        <v>-4710</v>
      </c>
      <c r="BZ588" s="2">
        <f>SUM(BZ$2:BZ78)+AT78*M78</f>
        <v>390</v>
      </c>
      <c r="CA588" s="2">
        <f>SUM(CA$2:CA78)+AU78*N78</f>
        <v>7470</v>
      </c>
      <c r="CB588" s="2">
        <f>SUM(CB$2:CB78)+AV78*O78</f>
        <v>1200</v>
      </c>
      <c r="CC588" s="2">
        <f>SUM(CC$2:CC78)+AW78*P78</f>
        <v>-20</v>
      </c>
      <c r="CD588" s="2">
        <f>SUM(CD$2:CD78)+AX78*Q78</f>
        <v>14050</v>
      </c>
      <c r="CE588" s="2">
        <f>SUM(CE$2:CE78)+AY78*R78</f>
        <v>16490</v>
      </c>
      <c r="CF588" s="2">
        <f>SUM(CF$2:CF78)+AZ78*S78</f>
        <v>2507.4400000000096</v>
      </c>
      <c r="CG588" s="2">
        <f>SUM(CG$2:CG78)+BA78*T78</f>
        <v>4886.1900000000169</v>
      </c>
      <c r="CH588" s="2">
        <f>SUM(CH$2:CH78)+BB78*U78</f>
        <v>3568.2999999999956</v>
      </c>
      <c r="CI588" s="2">
        <f>SUM(CI$2:CI78)+BC78*V78</f>
        <v>-2740</v>
      </c>
      <c r="CJ588" s="2">
        <f>SUM(CJ$2:CJ78)+BD78*W78</f>
        <v>6270</v>
      </c>
      <c r="CK588" s="2">
        <f>SUM(CK$2:CK78)+BE78*X78</f>
        <v>4080</v>
      </c>
      <c r="CL588" s="2">
        <f>SUM(CL$2:CL78)+BF78*Y78</f>
        <v>32700</v>
      </c>
      <c r="CM588" s="2">
        <f>SUM(CM$2:CM78)+BG78*Z78</f>
        <v>24270</v>
      </c>
      <c r="CN588" s="2">
        <f>SUM(CN$2:CN78)+BH78*AA78</f>
        <v>47350</v>
      </c>
      <c r="CO588" s="2">
        <f>SUM(CO$2:CO78)+BI78*AB78</f>
        <v>-17360</v>
      </c>
      <c r="CP588" s="2">
        <f>SUM(CP$2:CP78)+BJ78*AC78</f>
        <v>820</v>
      </c>
      <c r="CQ588" s="2">
        <f>SUM(CQ$2:CQ78)+BK78*AD78</f>
        <v>6350.0000000000073</v>
      </c>
      <c r="CR588" s="2">
        <f>SUM(CR$2:CR78)+BL78*AE78</f>
        <v>-8270</v>
      </c>
      <c r="CV588" t="s">
        <v>64</v>
      </c>
      <c r="CW588" t="s">
        <v>661</v>
      </c>
      <c r="CX588" t="s">
        <v>18</v>
      </c>
      <c r="CY588" s="4">
        <v>43131</v>
      </c>
      <c r="CZ588" t="s">
        <v>67</v>
      </c>
      <c r="DA588" t="s">
        <v>68</v>
      </c>
      <c r="DB588">
        <v>21</v>
      </c>
      <c r="DC588">
        <v>57.49</v>
      </c>
      <c r="DD588" t="s">
        <v>69</v>
      </c>
      <c r="DE588" t="s">
        <v>70</v>
      </c>
      <c r="DF588">
        <v>1207.29</v>
      </c>
    </row>
    <row r="589" spans="66:110" x14ac:dyDescent="0.25">
      <c r="BN589" s="1">
        <f t="shared" si="336"/>
        <v>42850</v>
      </c>
      <c r="BO589" s="2">
        <f>SUM(BO$2:BO79)+AI79*B79</f>
        <v>124160</v>
      </c>
      <c r="BP589" s="2">
        <f>SUM(BP$2:BP79)+AJ79*C79</f>
        <v>5912.6999999999971</v>
      </c>
      <c r="BQ589" s="2">
        <f>SUM(BQ$2:BQ79)+AK79*D79</f>
        <v>27255.099999999977</v>
      </c>
      <c r="BR589" s="2">
        <f>SUM(BR$2:BR79)+AL79*E79</f>
        <v>11963.299999999988</v>
      </c>
      <c r="BS589" s="2">
        <f>SUM(BS$2:BS79)+AM79*F79</f>
        <v>3256.8000000000029</v>
      </c>
      <c r="BT589" s="2">
        <f>SUM(BT$2:BT79)+AN79*G79</f>
        <v>-9461</v>
      </c>
      <c r="BU589" s="2">
        <f>SUM(BU$2:BU79)+AO79*H79</f>
        <v>9036.6000000000058</v>
      </c>
      <c r="BV589" s="2">
        <f>SUM(BV$2:BV79)+AP79*I79</f>
        <v>0</v>
      </c>
      <c r="BW589" s="2">
        <f>SUM(BW$2:BW79)+AQ79*J79</f>
        <v>-13970</v>
      </c>
      <c r="BX589" s="2">
        <f>SUM(BX$2:BX79)+AR79*K79</f>
        <v>13940</v>
      </c>
      <c r="BY589" s="2">
        <f>SUM(BY$2:BY79)+AS79*L79</f>
        <v>-5040</v>
      </c>
      <c r="BZ589" s="2">
        <f>SUM(BZ$2:BZ79)+AT79*M79</f>
        <v>500</v>
      </c>
      <c r="CA589" s="2">
        <f>SUM(CA$2:CA79)+AU79*N79</f>
        <v>7980</v>
      </c>
      <c r="CB589" s="2">
        <f>SUM(CB$2:CB79)+AV79*O79</f>
        <v>1930</v>
      </c>
      <c r="CC589" s="2">
        <f>SUM(CC$2:CC79)+AW79*P79</f>
        <v>-20</v>
      </c>
      <c r="CD589" s="2">
        <f>SUM(CD$2:CD79)+AX79*Q79</f>
        <v>14050</v>
      </c>
      <c r="CE589" s="2">
        <f>SUM(CE$2:CE79)+AY79*R79</f>
        <v>17340</v>
      </c>
      <c r="CF589" s="2">
        <f>SUM(CF$2:CF79)+AZ79*S79</f>
        <v>2656.0900000000038</v>
      </c>
      <c r="CG589" s="2">
        <f>SUM(CG$2:CG79)+BA79*T79</f>
        <v>5263.9100000000253</v>
      </c>
      <c r="CH589" s="2">
        <f>SUM(CH$2:CH79)+BB79*U79</f>
        <v>3546.4599999999991</v>
      </c>
      <c r="CI589" s="2">
        <f>SUM(CI$2:CI79)+BC79*V79</f>
        <v>-2760</v>
      </c>
      <c r="CJ589" s="2">
        <f>SUM(CJ$2:CJ79)+BD79*W79</f>
        <v>6700</v>
      </c>
      <c r="CK589" s="2">
        <f>SUM(CK$2:CK79)+BE79*X79</f>
        <v>7680</v>
      </c>
      <c r="CL589" s="2">
        <f>SUM(CL$2:CL79)+BF79*Y79</f>
        <v>37710.000000000058</v>
      </c>
      <c r="CM589" s="2">
        <f>SUM(CM$2:CM79)+BG79*Z79</f>
        <v>25330</v>
      </c>
      <c r="CN589" s="2">
        <f>SUM(CN$2:CN79)+BH79*AA79</f>
        <v>48600</v>
      </c>
      <c r="CO589" s="2">
        <f>SUM(CO$2:CO79)+BI79*AB79</f>
        <v>-18320</v>
      </c>
      <c r="CP589" s="2">
        <f>SUM(CP$2:CP79)+BJ79*AC79</f>
        <v>820</v>
      </c>
      <c r="CQ589" s="2">
        <f>SUM(CQ$2:CQ79)+BK79*AD79</f>
        <v>6610.0000000000073</v>
      </c>
      <c r="CR589" s="2">
        <f>SUM(CR$2:CR79)+BL79*AE79</f>
        <v>-7700</v>
      </c>
      <c r="CV589" t="s">
        <v>64</v>
      </c>
      <c r="CW589" t="s">
        <v>662</v>
      </c>
      <c r="CX589" t="s">
        <v>18</v>
      </c>
      <c r="CY589" s="4">
        <v>43132</v>
      </c>
      <c r="CZ589" t="s">
        <v>67</v>
      </c>
      <c r="DA589" t="s">
        <v>68</v>
      </c>
      <c r="DB589">
        <v>49</v>
      </c>
      <c r="DC589">
        <v>58.08</v>
      </c>
      <c r="DD589" t="s">
        <v>69</v>
      </c>
      <c r="DE589" t="s">
        <v>70</v>
      </c>
      <c r="DF589">
        <v>2845.92</v>
      </c>
    </row>
    <row r="590" spans="66:110" x14ac:dyDescent="0.25">
      <c r="BN590" s="1">
        <f t="shared" si="336"/>
        <v>42851</v>
      </c>
      <c r="BO590" s="2">
        <f>SUM(BO$2:BO80)+AI80*B80</f>
        <v>120010</v>
      </c>
      <c r="BP590" s="2">
        <f>SUM(BP$2:BP80)+AJ80*C80</f>
        <v>5797.1999999999971</v>
      </c>
      <c r="BQ590" s="2">
        <f>SUM(BQ$2:BQ80)+AK80*D80</f>
        <v>25449.099999999977</v>
      </c>
      <c r="BR590" s="2">
        <f>SUM(BR$2:BR80)+AL80*E80</f>
        <v>12204.799999999988</v>
      </c>
      <c r="BS590" s="2">
        <f>SUM(BS$2:BS80)+AM80*F80</f>
        <v>3246.3000000000029</v>
      </c>
      <c r="BT590" s="2">
        <f>SUM(BT$2:BT80)+AN80*G80</f>
        <v>-10091</v>
      </c>
      <c r="BU590" s="2">
        <f>SUM(BU$2:BU80)+AO80*H80</f>
        <v>9435.6000000000058</v>
      </c>
      <c r="BV590" s="2">
        <f>SUM(BV$2:BV80)+AP80*I80</f>
        <v>0</v>
      </c>
      <c r="BW590" s="2">
        <f>SUM(BW$2:BW80)+AQ80*J80</f>
        <v>-14390</v>
      </c>
      <c r="BX590" s="2">
        <f>SUM(BX$2:BX80)+AR80*K80</f>
        <v>13940</v>
      </c>
      <c r="BY590" s="2">
        <f>SUM(BY$2:BY80)+AS80*L80</f>
        <v>-5340</v>
      </c>
      <c r="BZ590" s="2">
        <f>SUM(BZ$2:BZ80)+AT80*M80</f>
        <v>560</v>
      </c>
      <c r="CA590" s="2">
        <f>SUM(CA$2:CA80)+AU80*N80</f>
        <v>8060</v>
      </c>
      <c r="CB590" s="2">
        <f>SUM(CB$2:CB80)+AV80*O80</f>
        <v>2090</v>
      </c>
      <c r="CC590" s="2">
        <f>SUM(CC$2:CC80)+AW80*P80</f>
        <v>-20</v>
      </c>
      <c r="CD590" s="2">
        <f>SUM(CD$2:CD80)+AX80*Q80</f>
        <v>14050</v>
      </c>
      <c r="CE590" s="2">
        <f>SUM(CE$2:CE80)+AY80*R80</f>
        <v>17220</v>
      </c>
      <c r="CF590" s="2">
        <f>SUM(CF$2:CF80)+AZ80*S80</f>
        <v>3047.8700000000026</v>
      </c>
      <c r="CG590" s="2">
        <f>SUM(CG$2:CG80)+BA80*T80</f>
        <v>5174.5400000000227</v>
      </c>
      <c r="CH590" s="2">
        <f>SUM(CH$2:CH80)+BB80*U80</f>
        <v>3268.0599999999977</v>
      </c>
      <c r="CI590" s="2">
        <f>SUM(CI$2:CI80)+BC80*V80</f>
        <v>-2840</v>
      </c>
      <c r="CJ590" s="2">
        <f>SUM(CJ$2:CJ80)+BD80*W80</f>
        <v>4560</v>
      </c>
      <c r="CK590" s="2">
        <f>SUM(CK$2:CK80)+BE80*X80</f>
        <v>11030</v>
      </c>
      <c r="CL590" s="2">
        <f>SUM(CL$2:CL80)+BF80*Y80</f>
        <v>38700</v>
      </c>
      <c r="CM590" s="2">
        <f>SUM(CM$2:CM80)+BG80*Z80</f>
        <v>27870</v>
      </c>
      <c r="CN590" s="2">
        <f>SUM(CN$2:CN80)+BH80*AA80</f>
        <v>47200</v>
      </c>
      <c r="CO590" s="2">
        <f>SUM(CO$2:CO80)+BI80*AB80</f>
        <v>-16490</v>
      </c>
      <c r="CP590" s="2">
        <f>SUM(CP$2:CP80)+BJ80*AC80</f>
        <v>820</v>
      </c>
      <c r="CQ590" s="2">
        <f>SUM(CQ$2:CQ80)+BK80*AD80</f>
        <v>6970.0000000000073</v>
      </c>
      <c r="CR590" s="2">
        <f>SUM(CR$2:CR80)+BL80*AE80</f>
        <v>-8000</v>
      </c>
      <c r="CV590" t="s">
        <v>64</v>
      </c>
      <c r="CW590" t="s">
        <v>663</v>
      </c>
      <c r="CX590" t="s">
        <v>18</v>
      </c>
      <c r="CY590" s="4">
        <v>43133</v>
      </c>
      <c r="CZ590" t="s">
        <v>65</v>
      </c>
      <c r="DA590" t="s">
        <v>66</v>
      </c>
      <c r="DB590">
        <v>49</v>
      </c>
      <c r="DC590">
        <v>56.82</v>
      </c>
      <c r="DD590" t="s">
        <v>69</v>
      </c>
      <c r="DE590" t="s">
        <v>70</v>
      </c>
      <c r="DF590">
        <v>2784.18</v>
      </c>
    </row>
    <row r="591" spans="66:110" x14ac:dyDescent="0.25">
      <c r="BN591" s="1">
        <f t="shared" si="336"/>
        <v>42852</v>
      </c>
      <c r="BO591" s="2">
        <f>SUM(BO$2:BO81)+AI81*B81</f>
        <v>120560</v>
      </c>
      <c r="BP591" s="2">
        <f>SUM(BP$2:BP81)+AJ81*C81</f>
        <v>5608.1999999999971</v>
      </c>
      <c r="BQ591" s="2">
        <f>SUM(BQ$2:BQ81)+AK81*D81</f>
        <v>26961.099999999977</v>
      </c>
      <c r="BR591" s="2">
        <f>SUM(BR$2:BR81)+AL81*E81</f>
        <v>10209.799999999988</v>
      </c>
      <c r="BS591" s="2">
        <f>SUM(BS$2:BS81)+AM81*F81</f>
        <v>3592.8000000000029</v>
      </c>
      <c r="BT591" s="2">
        <f>SUM(BT$2:BT81)+AN81*G81</f>
        <v>-10679</v>
      </c>
      <c r="BU591" s="2">
        <f>SUM(BU$2:BU81)+AO81*H81</f>
        <v>9708.6000000000058</v>
      </c>
      <c r="BV591" s="2">
        <f>SUM(BV$2:BV81)+AP81*I81</f>
        <v>0</v>
      </c>
      <c r="BW591" s="2">
        <f>SUM(BW$2:BW81)+AQ81*J81</f>
        <v>-14770</v>
      </c>
      <c r="BX591" s="2">
        <f>SUM(BX$2:BX81)+AR81*K81</f>
        <v>13940</v>
      </c>
      <c r="BY591" s="2">
        <f>SUM(BY$2:BY81)+AS81*L81</f>
        <v>-5100</v>
      </c>
      <c r="BZ591" s="2">
        <f>SUM(BZ$2:BZ81)+AT81*M81</f>
        <v>1040</v>
      </c>
      <c r="CA591" s="2">
        <f>SUM(CA$2:CA81)+AU81*N81</f>
        <v>8280</v>
      </c>
      <c r="CB591" s="2">
        <f>SUM(CB$2:CB81)+AV81*O81</f>
        <v>1300</v>
      </c>
      <c r="CC591" s="2">
        <f>SUM(CC$2:CC81)+AW81*P81</f>
        <v>-20</v>
      </c>
      <c r="CD591" s="2">
        <f>SUM(CD$2:CD81)+AX81*Q81</f>
        <v>14050</v>
      </c>
      <c r="CE591" s="2">
        <f>SUM(CE$2:CE81)+AY81*R81</f>
        <v>18270</v>
      </c>
      <c r="CF591" s="2">
        <f>SUM(CF$2:CF81)+AZ81*S81</f>
        <v>2941.1700000000055</v>
      </c>
      <c r="CG591" s="2">
        <f>SUM(CG$2:CG81)+BA81*T81</f>
        <v>5572.7200000000303</v>
      </c>
      <c r="CH591" s="2">
        <f>SUM(CH$2:CH81)+BB81*U81</f>
        <v>3573.4099999999889</v>
      </c>
      <c r="CI591" s="2">
        <f>SUM(CI$2:CI81)+BC81*V81</f>
        <v>-2850</v>
      </c>
      <c r="CJ591" s="2">
        <f>SUM(CJ$2:CJ81)+BD81*W81</f>
        <v>4520</v>
      </c>
      <c r="CK591" s="2">
        <f>SUM(CK$2:CK81)+BE81*X81</f>
        <v>11730</v>
      </c>
      <c r="CL591" s="2">
        <f>SUM(CL$2:CL81)+BF81*Y81</f>
        <v>39420</v>
      </c>
      <c r="CM591" s="2">
        <f>SUM(CM$2:CM81)+BG81*Z81</f>
        <v>28970</v>
      </c>
      <c r="CN591" s="2">
        <f>SUM(CN$2:CN81)+BH81*AA81</f>
        <v>46100</v>
      </c>
      <c r="CO591" s="2">
        <f>SUM(CO$2:CO81)+BI81*AB81</f>
        <v>-18410</v>
      </c>
      <c r="CP591" s="2">
        <f>SUM(CP$2:CP81)+BJ81*AC81</f>
        <v>820</v>
      </c>
      <c r="CQ591" s="2">
        <f>SUM(CQ$2:CQ81)+BK81*AD81</f>
        <v>6980.0000000000073</v>
      </c>
      <c r="CR591" s="2">
        <f>SUM(CR$2:CR81)+BL81*AE81</f>
        <v>-8130</v>
      </c>
      <c r="CV591" t="s">
        <v>64</v>
      </c>
      <c r="CW591" t="s">
        <v>664</v>
      </c>
      <c r="CX591" t="s">
        <v>18</v>
      </c>
      <c r="CY591" s="4">
        <v>43136</v>
      </c>
      <c r="CZ591" t="s">
        <v>67</v>
      </c>
      <c r="DA591" t="s">
        <v>68</v>
      </c>
      <c r="DB591">
        <v>34</v>
      </c>
      <c r="DC591">
        <v>54.72</v>
      </c>
      <c r="DD591" t="s">
        <v>69</v>
      </c>
      <c r="DE591" t="s">
        <v>70</v>
      </c>
      <c r="DF591">
        <v>1860.48</v>
      </c>
    </row>
    <row r="592" spans="66:110" x14ac:dyDescent="0.25">
      <c r="BN592" s="1">
        <f t="shared" si="336"/>
        <v>42853</v>
      </c>
      <c r="BO592" s="2">
        <f>SUM(BO$2:BO82)+AI82*B82</f>
        <v>119860</v>
      </c>
      <c r="BP592" s="2">
        <f>SUM(BP$2:BP82)+AJ82*C82</f>
        <v>4495.1999999999971</v>
      </c>
      <c r="BQ592" s="2">
        <f>SUM(BQ$2:BQ82)+AK82*D82</f>
        <v>28578.099999999977</v>
      </c>
      <c r="BR592" s="2">
        <f>SUM(BR$2:BR82)+AL82*E82</f>
        <v>9789.7999999999884</v>
      </c>
      <c r="BS592" s="2">
        <f>SUM(BS$2:BS82)+AM82*F82</f>
        <v>3907.8000000000029</v>
      </c>
      <c r="BT592" s="2">
        <f>SUM(BT$2:BT82)+AN82*G82</f>
        <v>-9492.5</v>
      </c>
      <c r="BU592" s="2">
        <f>SUM(BU$2:BU82)+AO82*H82</f>
        <v>9456.6000000000058</v>
      </c>
      <c r="BV592" s="2">
        <f>SUM(BV$2:BV82)+AP82*I82</f>
        <v>0</v>
      </c>
      <c r="BW592" s="2">
        <f>SUM(BW$2:BW82)+AQ82*J82</f>
        <v>-16740</v>
      </c>
      <c r="BX592" s="2">
        <f>SUM(BX$2:BX82)+AR82*K82</f>
        <v>13940</v>
      </c>
      <c r="BY592" s="2">
        <f>SUM(BY$2:BY82)+AS82*L82</f>
        <v>-5130</v>
      </c>
      <c r="BZ592" s="2">
        <f>SUM(BZ$2:BZ82)+AT82*M82</f>
        <v>-180</v>
      </c>
      <c r="CA592" s="2">
        <f>SUM(CA$2:CA82)+AU82*N82</f>
        <v>8020</v>
      </c>
      <c r="CB592" s="2">
        <f>SUM(CB$2:CB82)+AV82*O82</f>
        <v>720</v>
      </c>
      <c r="CC592" s="2">
        <f>SUM(CC$2:CC82)+AW82*P82</f>
        <v>-20</v>
      </c>
      <c r="CD592" s="2">
        <f>SUM(CD$2:CD82)+AX82*Q82</f>
        <v>14050</v>
      </c>
      <c r="CE592" s="2">
        <f>SUM(CE$2:CE82)+AY82*R82</f>
        <v>18010</v>
      </c>
      <c r="CF592" s="2">
        <f>SUM(CF$2:CF82)+AZ82*S82</f>
        <v>2693.010000000002</v>
      </c>
      <c r="CG592" s="2">
        <f>SUM(CG$2:CG82)+BA82*T82</f>
        <v>5754.5200000000186</v>
      </c>
      <c r="CH592" s="2">
        <f>SUM(CH$2:CH82)+BB82*U82</f>
        <v>3508.1299999999974</v>
      </c>
      <c r="CI592" s="2">
        <f>SUM(CI$2:CI82)+BC82*V82</f>
        <v>-2910</v>
      </c>
      <c r="CJ592" s="2">
        <f>SUM(CJ$2:CJ82)+BD82*W82</f>
        <v>4180</v>
      </c>
      <c r="CK592" s="2">
        <f>SUM(CK$2:CK82)+BE82*X82</f>
        <v>9330</v>
      </c>
      <c r="CL592" s="2">
        <f>SUM(CL$2:CL82)+BF82*Y82</f>
        <v>40170</v>
      </c>
      <c r="CM592" s="2">
        <f>SUM(CM$2:CM82)+BG82*Z82</f>
        <v>29370</v>
      </c>
      <c r="CN592" s="2">
        <f>SUM(CN$2:CN82)+BH82*AA82</f>
        <v>44200</v>
      </c>
      <c r="CO592" s="2">
        <f>SUM(CO$2:CO82)+BI82*AB82</f>
        <v>-20510</v>
      </c>
      <c r="CP592" s="2">
        <f>SUM(CP$2:CP82)+BJ82*AC82</f>
        <v>820</v>
      </c>
      <c r="CQ592" s="2">
        <f>SUM(CQ$2:CQ82)+BK82*AD82</f>
        <v>6730.0000000000073</v>
      </c>
      <c r="CR592" s="2">
        <f>SUM(CR$2:CR82)+BL82*AE82</f>
        <v>-7770</v>
      </c>
      <c r="CV592" t="s">
        <v>64</v>
      </c>
      <c r="CW592" t="s">
        <v>665</v>
      </c>
      <c r="CX592" t="s">
        <v>18</v>
      </c>
      <c r="CY592" s="4">
        <v>43137</v>
      </c>
      <c r="CZ592" t="s">
        <v>65</v>
      </c>
      <c r="DA592" t="s">
        <v>66</v>
      </c>
      <c r="DB592">
        <v>38</v>
      </c>
      <c r="DC592">
        <v>53.81</v>
      </c>
      <c r="DD592" t="s">
        <v>69</v>
      </c>
      <c r="DE592" t="s">
        <v>70</v>
      </c>
      <c r="DF592">
        <v>2044.7800000000002</v>
      </c>
    </row>
    <row r="593" spans="66:110" x14ac:dyDescent="0.25">
      <c r="BN593" s="1">
        <f t="shared" si="336"/>
        <v>42856</v>
      </c>
      <c r="BO593" s="2">
        <f>SUM(BO$2:BO83)+AI83*B83</f>
        <v>134060</v>
      </c>
      <c r="BP593" s="2">
        <f>SUM(BP$2:BP83)+AJ83*C83</f>
        <v>4474.1999999999971</v>
      </c>
      <c r="BQ593" s="2">
        <f>SUM(BQ$2:BQ83)+AK83*D83</f>
        <v>26131.599999999977</v>
      </c>
      <c r="BR593" s="2">
        <f>SUM(BR$2:BR83)+AL83*E83</f>
        <v>9527.2999999999884</v>
      </c>
      <c r="BS593" s="2">
        <f>SUM(BS$2:BS83)+AM83*F83</f>
        <v>3802.8000000000029</v>
      </c>
      <c r="BT593" s="2">
        <f>SUM(BT$2:BT83)+AN83*G83</f>
        <v>-10248.5</v>
      </c>
      <c r="BU593" s="2">
        <f>SUM(BU$2:BU83)+AO83*H83</f>
        <v>8574.6000000000058</v>
      </c>
      <c r="BV593" s="2">
        <f>SUM(BV$2:BV83)+AP83*I83</f>
        <v>0</v>
      </c>
      <c r="BW593" s="2">
        <f>SUM(BW$2:BW83)+AQ83*J83</f>
        <v>-15710</v>
      </c>
      <c r="BX593" s="2">
        <f>SUM(BX$2:BX83)+AR83*K83</f>
        <v>13940</v>
      </c>
      <c r="BY593" s="2">
        <f>SUM(BY$2:BY83)+AS83*L83</f>
        <v>-6460</v>
      </c>
      <c r="BZ593" s="2">
        <f>SUM(BZ$2:BZ83)+AT83*M83</f>
        <v>-30</v>
      </c>
      <c r="CA593" s="2">
        <f>SUM(CA$2:CA83)+AU83*N83</f>
        <v>7900</v>
      </c>
      <c r="CB593" s="2">
        <f>SUM(CB$2:CB83)+AV83*O83</f>
        <v>770</v>
      </c>
      <c r="CC593" s="2">
        <f>SUM(CC$2:CC83)+AW83*P83</f>
        <v>-20</v>
      </c>
      <c r="CD593" s="2">
        <f>SUM(CD$2:CD83)+AX83*Q83</f>
        <v>14050</v>
      </c>
      <c r="CE593" s="2">
        <f>SUM(CE$2:CE83)+AY83*R83</f>
        <v>17040</v>
      </c>
      <c r="CF593" s="2">
        <f>SUM(CF$2:CF83)+AZ83*S83</f>
        <v>2744.010000000002</v>
      </c>
      <c r="CG593" s="2">
        <f>SUM(CG$2:CG83)+BA83*T83</f>
        <v>6703.9600000000282</v>
      </c>
      <c r="CH593" s="2">
        <f>SUM(CH$2:CH83)+BB83*U83</f>
        <v>3098.9499999999898</v>
      </c>
      <c r="CI593" s="2">
        <f>SUM(CI$2:CI83)+BC83*V83</f>
        <v>-2780</v>
      </c>
      <c r="CJ593" s="2">
        <f>SUM(CJ$2:CJ83)+BD83*W83</f>
        <v>3950</v>
      </c>
      <c r="CK593" s="2">
        <f>SUM(CK$2:CK83)+BE83*X83</f>
        <v>7030</v>
      </c>
      <c r="CL593" s="2">
        <f>SUM(CL$2:CL83)+BF83*Y83</f>
        <v>39300.000000000058</v>
      </c>
      <c r="CM593" s="2">
        <f>SUM(CM$2:CM83)+BG83*Z83</f>
        <v>29250</v>
      </c>
      <c r="CN593" s="2">
        <f>SUM(CN$2:CN83)+BH83*AA83</f>
        <v>44400</v>
      </c>
      <c r="CO593" s="2">
        <f>SUM(CO$2:CO83)+BI83*AB83</f>
        <v>-20600</v>
      </c>
      <c r="CP593" s="2">
        <f>SUM(CP$2:CP83)+BJ83*AC83</f>
        <v>820</v>
      </c>
      <c r="CQ593" s="2">
        <f>SUM(CQ$2:CQ83)+BK83*AD83</f>
        <v>6780.0000000000073</v>
      </c>
      <c r="CR593" s="2">
        <f>SUM(CR$2:CR83)+BL83*AE83</f>
        <v>-7390</v>
      </c>
      <c r="CV593" t="s">
        <v>64</v>
      </c>
      <c r="CW593" t="s">
        <v>666</v>
      </c>
      <c r="CX593" t="s">
        <v>18</v>
      </c>
      <c r="CY593" s="4">
        <v>43138</v>
      </c>
      <c r="CZ593" t="s">
        <v>67</v>
      </c>
      <c r="DA593" t="s">
        <v>68</v>
      </c>
      <c r="DB593">
        <v>51</v>
      </c>
      <c r="DC593">
        <v>54.22</v>
      </c>
      <c r="DD593" t="s">
        <v>69</v>
      </c>
      <c r="DE593" t="s">
        <v>70</v>
      </c>
      <c r="DF593">
        <v>2765.22</v>
      </c>
    </row>
    <row r="594" spans="66:110" x14ac:dyDescent="0.25">
      <c r="BN594" s="1">
        <f t="shared" si="336"/>
        <v>42857</v>
      </c>
      <c r="BO594" s="2">
        <f>SUM(BO$2:BO84)+AI84*B84</f>
        <v>138560</v>
      </c>
      <c r="BP594" s="2">
        <f>SUM(BP$2:BP84)+AJ84*C84</f>
        <v>4799.6999999999971</v>
      </c>
      <c r="BQ594" s="2">
        <f>SUM(BQ$2:BQ84)+AK84*D84</f>
        <v>27181.599999999977</v>
      </c>
      <c r="BR594" s="2">
        <f>SUM(BR$2:BR84)+AL84*E84</f>
        <v>9033.7999999999884</v>
      </c>
      <c r="BS594" s="2">
        <f>SUM(BS$2:BS84)+AM84*F84</f>
        <v>4075.8000000000029</v>
      </c>
      <c r="BT594" s="2">
        <f>SUM(BT$2:BT84)+AN84*G84</f>
        <v>-10794.5</v>
      </c>
      <c r="BU594" s="2">
        <f>SUM(BU$2:BU84)+AO84*H84</f>
        <v>8207.1000000000058</v>
      </c>
      <c r="BV594" s="2">
        <f>SUM(BV$2:BV84)+AP84*I84</f>
        <v>0</v>
      </c>
      <c r="BW594" s="2">
        <f>SUM(BW$2:BW84)+AQ84*J84</f>
        <v>-15450</v>
      </c>
      <c r="BX594" s="2">
        <f>SUM(BX$2:BX84)+AR84*K84</f>
        <v>13940</v>
      </c>
      <c r="BY594" s="2">
        <f>SUM(BY$2:BY84)+AS84*L84</f>
        <v>-6220</v>
      </c>
      <c r="BZ594" s="2">
        <f>SUM(BZ$2:BZ84)+AT84*M84</f>
        <v>600</v>
      </c>
      <c r="CA594" s="2">
        <f>SUM(CA$2:CA84)+AU84*N84</f>
        <v>8240</v>
      </c>
      <c r="CB594" s="2">
        <f>SUM(CB$2:CB84)+AV84*O84</f>
        <v>240</v>
      </c>
      <c r="CC594" s="2">
        <f>SUM(CC$2:CC84)+AW84*P84</f>
        <v>-20</v>
      </c>
      <c r="CD594" s="2">
        <f>SUM(CD$2:CD84)+AX84*Q84</f>
        <v>14050</v>
      </c>
      <c r="CE594" s="2">
        <f>SUM(CE$2:CE84)+AY84*R84</f>
        <v>18670</v>
      </c>
      <c r="CF594" s="2">
        <f>SUM(CF$2:CF84)+AZ84*S84</f>
        <v>3049.4100000000035</v>
      </c>
      <c r="CG594" s="2">
        <f>SUM(CG$2:CG84)+BA84*T84</f>
        <v>6604.4600000000355</v>
      </c>
      <c r="CH594" s="2">
        <f>SUM(CH$2:CH84)+BB84*U84</f>
        <v>3174.5499999999884</v>
      </c>
      <c r="CI594" s="2">
        <f>SUM(CI$2:CI84)+BC84*V84</f>
        <v>-2620</v>
      </c>
      <c r="CJ594" s="2">
        <f>SUM(CJ$2:CJ84)+BD84*W84</f>
        <v>3130</v>
      </c>
      <c r="CK594" s="2">
        <f>SUM(CK$2:CK84)+BE84*X84</f>
        <v>3080</v>
      </c>
      <c r="CL594" s="2">
        <f>SUM(CL$2:CL84)+BF84*Y84</f>
        <v>38010</v>
      </c>
      <c r="CM594" s="2">
        <f>SUM(CM$2:CM84)+BG84*Z84</f>
        <v>29630</v>
      </c>
      <c r="CN594" s="2">
        <f>SUM(CN$2:CN84)+BH84*AA84</f>
        <v>50750</v>
      </c>
      <c r="CO594" s="2">
        <f>SUM(CO$2:CO84)+BI84*AB84</f>
        <v>-20510</v>
      </c>
      <c r="CP594" s="2">
        <f>SUM(CP$2:CP84)+BJ84*AC84</f>
        <v>820</v>
      </c>
      <c r="CQ594" s="2">
        <f>SUM(CQ$2:CQ84)+BK84*AD84</f>
        <v>7060.0000000000073</v>
      </c>
      <c r="CR594" s="2">
        <f>SUM(CR$2:CR84)+BL84*AE84</f>
        <v>-7400</v>
      </c>
      <c r="CV594" t="s">
        <v>64</v>
      </c>
      <c r="CW594" t="s">
        <v>667</v>
      </c>
      <c r="CX594" t="s">
        <v>18</v>
      </c>
      <c r="CY594" s="4">
        <v>43139</v>
      </c>
      <c r="CZ594" t="s">
        <v>65</v>
      </c>
      <c r="DA594" t="s">
        <v>66</v>
      </c>
      <c r="DB594">
        <v>63</v>
      </c>
      <c r="DC594">
        <v>53.1</v>
      </c>
      <c r="DD594" t="s">
        <v>69</v>
      </c>
      <c r="DE594" t="s">
        <v>70</v>
      </c>
      <c r="DF594">
        <v>3345.3</v>
      </c>
    </row>
    <row r="595" spans="66:110" x14ac:dyDescent="0.25">
      <c r="BN595" s="1">
        <f t="shared" si="336"/>
        <v>42858</v>
      </c>
      <c r="BO595" s="2">
        <f>SUM(BO$2:BO85)+AI85*B85</f>
        <v>136410</v>
      </c>
      <c r="BP595" s="2">
        <f>SUM(BP$2:BP85)+AJ85*C85</f>
        <v>4064.6999999999971</v>
      </c>
      <c r="BQ595" s="2">
        <f>SUM(BQ$2:BQ85)+AK85*D85</f>
        <v>27129.099999999977</v>
      </c>
      <c r="BR595" s="2">
        <f>SUM(BR$2:BR85)+AL85*E85</f>
        <v>9065.2999999999884</v>
      </c>
      <c r="BS595" s="2">
        <f>SUM(BS$2:BS85)+AM85*F85</f>
        <v>4086.3000000000029</v>
      </c>
      <c r="BT595" s="2">
        <f>SUM(BT$2:BT85)+AN85*G85</f>
        <v>-9471.5</v>
      </c>
      <c r="BU595" s="2">
        <f>SUM(BU$2:BU85)+AO85*H85</f>
        <v>5414.1000000000058</v>
      </c>
      <c r="BV595" s="2">
        <f>SUM(BV$2:BV85)+AP85*I85</f>
        <v>0</v>
      </c>
      <c r="BW595" s="2">
        <f>SUM(BW$2:BW85)+AQ85*J85</f>
        <v>-14290</v>
      </c>
      <c r="BX595" s="2">
        <f>SUM(BX$2:BX85)+AR85*K85</f>
        <v>13940</v>
      </c>
      <c r="BY595" s="2">
        <f>SUM(BY$2:BY85)+AS85*L85</f>
        <v>-6650</v>
      </c>
      <c r="BZ595" s="2">
        <f>SUM(BZ$2:BZ85)+AT85*M85</f>
        <v>870</v>
      </c>
      <c r="CA595" s="2">
        <f>SUM(CA$2:CA85)+AU85*N85</f>
        <v>7890</v>
      </c>
      <c r="CB595" s="2">
        <f>SUM(CB$2:CB85)+AV85*O85</f>
        <v>720</v>
      </c>
      <c r="CC595" s="2">
        <f>SUM(CC$2:CC85)+AW85*P85</f>
        <v>-20</v>
      </c>
      <c r="CD595" s="2">
        <f>SUM(CD$2:CD85)+AX85*Q85</f>
        <v>14050</v>
      </c>
      <c r="CE595" s="2">
        <f>SUM(CE$2:CE85)+AY85*R85</f>
        <v>19720</v>
      </c>
      <c r="CF595" s="2">
        <f>SUM(CF$2:CF85)+AZ85*S85</f>
        <v>3929.4100000000035</v>
      </c>
      <c r="CG595" s="2">
        <f>SUM(CG$2:CG85)+BA85*T85</f>
        <v>6389.5200000000186</v>
      </c>
      <c r="CH595" s="2">
        <f>SUM(CH$2:CH85)+BB85*U85</f>
        <v>2605.8600000000006</v>
      </c>
      <c r="CI595" s="2">
        <f>SUM(CI$2:CI85)+BC85*V85</f>
        <v>-2490</v>
      </c>
      <c r="CJ595" s="2">
        <f>SUM(CJ$2:CJ85)+BD85*W85</f>
        <v>3330</v>
      </c>
      <c r="CK595" s="2">
        <f>SUM(CK$2:CK85)+BE85*X85</f>
        <v>5230</v>
      </c>
      <c r="CL595" s="2">
        <f>SUM(CL$2:CL85)+BF85*Y85</f>
        <v>33300.000000000058</v>
      </c>
      <c r="CM595" s="2">
        <f>SUM(CM$2:CM85)+BG85*Z85</f>
        <v>34330</v>
      </c>
      <c r="CN595" s="2">
        <f>SUM(CN$2:CN85)+BH85*AA85</f>
        <v>50250</v>
      </c>
      <c r="CO595" s="2">
        <f>SUM(CO$2:CO85)+BI85*AB85</f>
        <v>-19850</v>
      </c>
      <c r="CP595" s="2">
        <f>SUM(CP$2:CP85)+BJ85*AC85</f>
        <v>820</v>
      </c>
      <c r="CQ595" s="2">
        <f>SUM(CQ$2:CQ85)+BK85*AD85</f>
        <v>7290.0000000000073</v>
      </c>
      <c r="CR595" s="2">
        <f>SUM(CR$2:CR85)+BL85*AE85</f>
        <v>-6800</v>
      </c>
      <c r="CV595" t="s">
        <v>64</v>
      </c>
      <c r="CW595" t="s">
        <v>668</v>
      </c>
      <c r="CX595" t="s">
        <v>18</v>
      </c>
      <c r="CY595" s="4">
        <v>43140</v>
      </c>
      <c r="CZ595" t="s">
        <v>67</v>
      </c>
      <c r="DA595" t="s">
        <v>68</v>
      </c>
      <c r="DB595">
        <v>63</v>
      </c>
      <c r="DC595">
        <v>53.24</v>
      </c>
      <c r="DD595" t="s">
        <v>69</v>
      </c>
      <c r="DE595" t="s">
        <v>70</v>
      </c>
      <c r="DF595">
        <v>3354.1200000000003</v>
      </c>
    </row>
    <row r="596" spans="66:110" x14ac:dyDescent="0.25">
      <c r="BN596" s="1">
        <f t="shared" si="336"/>
        <v>42859</v>
      </c>
      <c r="BO596" s="2">
        <f>SUM(BO$2:BO86)+AI86*B86</f>
        <v>133810.00000000012</v>
      </c>
      <c r="BP596" s="2">
        <f>SUM(BP$2:BP86)+AJ86*C86</f>
        <v>3550.1999999999971</v>
      </c>
      <c r="BQ596" s="2">
        <f>SUM(BQ$2:BQ86)+AK86*D86</f>
        <v>26814.099999999977</v>
      </c>
      <c r="BR596" s="2">
        <f>SUM(BR$2:BR86)+AL86*E86</f>
        <v>6891.7999999999884</v>
      </c>
      <c r="BS596" s="2">
        <f>SUM(BS$2:BS86)+AM86*F86</f>
        <v>4012.7999999999993</v>
      </c>
      <c r="BT596" s="2">
        <f>SUM(BT$2:BT86)+AN86*G86</f>
        <v>-11330</v>
      </c>
      <c r="BU596" s="2">
        <f>SUM(BU$2:BU86)+AO86*H86</f>
        <v>4952.1000000000058</v>
      </c>
      <c r="BV596" s="2">
        <f>SUM(BV$2:BV86)+AP86*I86</f>
        <v>0</v>
      </c>
      <c r="BW596" s="2">
        <f>SUM(BW$2:BW86)+AQ86*J86</f>
        <v>-14010</v>
      </c>
      <c r="BX596" s="2">
        <f>SUM(BX$2:BX86)+AR86*K86</f>
        <v>13940</v>
      </c>
      <c r="BY596" s="2">
        <f>SUM(BY$2:BY86)+AS86*L86</f>
        <v>-6270</v>
      </c>
      <c r="BZ596" s="2">
        <f>SUM(BZ$2:BZ86)+AT86*M86</f>
        <v>740</v>
      </c>
      <c r="CA596" s="2">
        <f>SUM(CA$2:CA86)+AU86*N86</f>
        <v>8480</v>
      </c>
      <c r="CB596" s="2">
        <f>SUM(CB$2:CB86)+AV86*O86</f>
        <v>810</v>
      </c>
      <c r="CC596" s="2">
        <f>SUM(CC$2:CC86)+AW86*P86</f>
        <v>-20</v>
      </c>
      <c r="CD596" s="2">
        <f>SUM(CD$2:CD86)+AX86*Q86</f>
        <v>14050</v>
      </c>
      <c r="CE596" s="2">
        <f>SUM(CE$2:CE86)+AY86*R86</f>
        <v>21510</v>
      </c>
      <c r="CF596" s="2">
        <f>SUM(CF$2:CF86)+AZ86*S86</f>
        <v>3707.9200000000055</v>
      </c>
      <c r="CG596" s="2">
        <f>SUM(CG$2:CG86)+BA86*T86</f>
        <v>6104.8200000000288</v>
      </c>
      <c r="CH596" s="2">
        <f>SUM(CH$2:CH86)+BB86*U86</f>
        <v>2544.7799999999988</v>
      </c>
      <c r="CI596" s="2">
        <f>SUM(CI$2:CI86)+BC86*V86</f>
        <v>-2470</v>
      </c>
      <c r="CJ596" s="2">
        <f>SUM(CJ$2:CJ86)+BD86*W86</f>
        <v>3350</v>
      </c>
      <c r="CK596" s="2">
        <f>SUM(CK$2:CK86)+BE86*X86</f>
        <v>5230</v>
      </c>
      <c r="CL596" s="2">
        <f>SUM(CL$2:CL86)+BF86*Y86</f>
        <v>37650</v>
      </c>
      <c r="CM596" s="2">
        <f>SUM(CM$2:CM86)+BG86*Z86</f>
        <v>37630</v>
      </c>
      <c r="CN596" s="2">
        <f>SUM(CN$2:CN86)+BH86*AA86</f>
        <v>51100</v>
      </c>
      <c r="CO596" s="2">
        <f>SUM(CO$2:CO86)+BI86*AB86</f>
        <v>-20600</v>
      </c>
      <c r="CP596" s="2">
        <f>SUM(CP$2:CP86)+BJ86*AC86</f>
        <v>820</v>
      </c>
      <c r="CQ596" s="2">
        <f>SUM(CQ$2:CQ86)+BK86*AD86</f>
        <v>7850.0000000000073</v>
      </c>
      <c r="CR596" s="2">
        <f>SUM(CR$2:CR86)+BL86*AE86</f>
        <v>-7780</v>
      </c>
      <c r="CV596" t="s">
        <v>64</v>
      </c>
      <c r="CW596" t="s">
        <v>669</v>
      </c>
      <c r="CX596" t="s">
        <v>18</v>
      </c>
      <c r="CY596" s="4">
        <v>43143</v>
      </c>
      <c r="CZ596" t="s">
        <v>67</v>
      </c>
      <c r="DA596" t="s">
        <v>68</v>
      </c>
      <c r="DB596">
        <v>1</v>
      </c>
      <c r="DC596">
        <v>53.78</v>
      </c>
      <c r="DD596" t="s">
        <v>69</v>
      </c>
      <c r="DE596" t="s">
        <v>70</v>
      </c>
      <c r="DF596">
        <v>53.78</v>
      </c>
    </row>
    <row r="597" spans="66:110" x14ac:dyDescent="0.25">
      <c r="BN597" s="1">
        <f t="shared" si="336"/>
        <v>42860</v>
      </c>
      <c r="BO597" s="2">
        <f>SUM(BO$2:BO87)+AI87*B87</f>
        <v>139710.00000000006</v>
      </c>
      <c r="BP597" s="2">
        <f>SUM(BP$2:BP87)+AJ87*C87</f>
        <v>3539.5999999999913</v>
      </c>
      <c r="BQ597" s="2">
        <f>SUM(BQ$2:BQ87)+AK87*D87</f>
        <v>28785.699999999983</v>
      </c>
      <c r="BR597" s="2">
        <f>SUM(BR$2:BR87)+AL87*E87</f>
        <v>7146.1999999999825</v>
      </c>
      <c r="BS597" s="2">
        <f>SUM(BS$2:BS87)+AM87*F87</f>
        <v>4224.8000000000065</v>
      </c>
      <c r="BT597" s="2">
        <f>SUM(BT$2:BT87)+AN87*G87</f>
        <v>-10365.400000000009</v>
      </c>
      <c r="BU597" s="2">
        <f>SUM(BU$2:BU87)+AO87*H87</f>
        <v>5789.5</v>
      </c>
      <c r="BV597" s="2">
        <f>SUM(BV$2:BV87)+AP87*I87</f>
        <v>0</v>
      </c>
      <c r="BW597" s="2">
        <f>SUM(BW$2:BW87)+AQ87*J87</f>
        <v>-13740</v>
      </c>
      <c r="BX597" s="2">
        <f>SUM(BX$2:BX87)+AR87*K87</f>
        <v>13940</v>
      </c>
      <c r="BY597" s="2">
        <f>SUM(BY$2:BY87)+AS87*L87</f>
        <v>-9940</v>
      </c>
      <c r="BZ597" s="2">
        <f>SUM(BZ$2:BZ87)+AT87*M87</f>
        <v>740</v>
      </c>
      <c r="CA597" s="2">
        <f>SUM(CA$2:CA87)+AU87*N87</f>
        <v>8060</v>
      </c>
      <c r="CB597" s="2">
        <f>SUM(CB$2:CB87)+AV87*O87</f>
        <v>720</v>
      </c>
      <c r="CC597" s="2">
        <f>SUM(CC$2:CC87)+AW87*P87</f>
        <v>-20</v>
      </c>
      <c r="CD597" s="2">
        <f>SUM(CD$2:CD87)+AX87*Q87</f>
        <v>14050</v>
      </c>
      <c r="CE597" s="2">
        <f>SUM(CE$2:CE87)+AY87*R87</f>
        <v>21400</v>
      </c>
      <c r="CF597" s="2">
        <f>SUM(CF$2:CF87)+AZ87*S87</f>
        <v>4275.7599999999948</v>
      </c>
      <c r="CG597" s="2">
        <f>SUM(CG$2:CG87)+BA87*T87</f>
        <v>6302.8000000000247</v>
      </c>
      <c r="CH597" s="2">
        <f>SUM(CH$2:CH87)+BB87*U87</f>
        <v>1986.8399999999965</v>
      </c>
      <c r="CI597" s="2">
        <f>SUM(CI$2:CI87)+BC87*V87</f>
        <v>-2500</v>
      </c>
      <c r="CJ597" s="2">
        <f>SUM(CJ$2:CJ87)+BD87*W87</f>
        <v>3390</v>
      </c>
      <c r="CK597" s="2">
        <f>SUM(CK$2:CK87)+BE87*X87</f>
        <v>7580</v>
      </c>
      <c r="CL597" s="2">
        <f>SUM(CL$2:CL87)+BF87*Y87</f>
        <v>37950</v>
      </c>
      <c r="CM597" s="2">
        <f>SUM(CM$2:CM87)+BG87*Z87</f>
        <v>38480</v>
      </c>
      <c r="CN597" s="2">
        <f>SUM(CN$2:CN87)+BH87*AA87</f>
        <v>48500</v>
      </c>
      <c r="CO597" s="2">
        <f>SUM(CO$2:CO87)+BI87*AB87</f>
        <v>-18350</v>
      </c>
      <c r="CP597" s="2">
        <f>SUM(CP$2:CP87)+BJ87*AC87</f>
        <v>820</v>
      </c>
      <c r="CQ597" s="2">
        <f>SUM(CQ$2:CQ87)+BK87*AD87</f>
        <v>8000.0000000000073</v>
      </c>
      <c r="CR597" s="2">
        <f>SUM(CR$2:CR87)+BL87*AE87</f>
        <v>-7430</v>
      </c>
      <c r="CV597" t="s">
        <v>64</v>
      </c>
      <c r="CW597" t="s">
        <v>670</v>
      </c>
      <c r="CX597" t="s">
        <v>18</v>
      </c>
      <c r="CY597" s="4">
        <v>43144</v>
      </c>
      <c r="CZ597" t="s">
        <v>65</v>
      </c>
      <c r="DA597" t="s">
        <v>66</v>
      </c>
      <c r="DB597">
        <v>42</v>
      </c>
      <c r="DC597">
        <v>53.27</v>
      </c>
      <c r="DD597" t="s">
        <v>69</v>
      </c>
      <c r="DE597" t="s">
        <v>70</v>
      </c>
      <c r="DF597">
        <v>2237.34</v>
      </c>
    </row>
    <row r="598" spans="66:110" x14ac:dyDescent="0.25">
      <c r="BN598" s="1">
        <f t="shared" si="336"/>
        <v>42863</v>
      </c>
      <c r="BO598" s="2">
        <f>SUM(BO$2:BO88)+AI88*B88</f>
        <v>149535.00000000006</v>
      </c>
      <c r="BP598" s="2">
        <f>SUM(BP$2:BP88)+AJ88*C88</f>
        <v>3380.5999999999913</v>
      </c>
      <c r="BQ598" s="2">
        <f>SUM(BQ$2:BQ88)+AK88*D88</f>
        <v>29803.299999999988</v>
      </c>
      <c r="BR598" s="2">
        <f>SUM(BR$2:BR88)+AL88*E88</f>
        <v>6870.5999999999913</v>
      </c>
      <c r="BS598" s="2">
        <f>SUM(BS$2:BS88)+AM88*F88</f>
        <v>4129.3999999999978</v>
      </c>
      <c r="BT598" s="2">
        <f>SUM(BT$2:BT88)+AN88*G88</f>
        <v>-9485.6000000000058</v>
      </c>
      <c r="BU598" s="2">
        <f>SUM(BU$2:BU88)+AO88*H88</f>
        <v>5206.5</v>
      </c>
      <c r="BV598" s="2">
        <f>SUM(BV$2:BV88)+AP88*I88</f>
        <v>0</v>
      </c>
      <c r="BW598" s="2">
        <f>SUM(BW$2:BW88)+AQ88*J88</f>
        <v>-15540</v>
      </c>
      <c r="BX598" s="2">
        <f>SUM(BX$2:BX88)+AR88*K88</f>
        <v>13940</v>
      </c>
      <c r="BY598" s="2">
        <f>SUM(BY$2:BY88)+AS88*L88</f>
        <v>-10420</v>
      </c>
      <c r="BZ598" s="2">
        <f>SUM(BZ$2:BZ88)+AT88*M88</f>
        <v>740</v>
      </c>
      <c r="CA598" s="2">
        <f>SUM(CA$2:CA88)+AU88*N88</f>
        <v>7810</v>
      </c>
      <c r="CB598" s="2">
        <f>SUM(CB$2:CB88)+AV88*O88</f>
        <v>810</v>
      </c>
      <c r="CC598" s="2">
        <f>SUM(CC$2:CC88)+AW88*P88</f>
        <v>-20</v>
      </c>
      <c r="CD598" s="2">
        <f>SUM(CD$2:CD88)+AX88*Q88</f>
        <v>14050</v>
      </c>
      <c r="CE598" s="2">
        <f>SUM(CE$2:CE88)+AY88*R88</f>
        <v>20690</v>
      </c>
      <c r="CF598" s="2">
        <f>SUM(CF$2:CF88)+AZ88*S88</f>
        <v>4305.5800000000017</v>
      </c>
      <c r="CG598" s="2">
        <f>SUM(CG$2:CG88)+BA88*T88</f>
        <v>6243.8800000000265</v>
      </c>
      <c r="CH598" s="2">
        <f>SUM(CH$2:CH88)+BB88*U88</f>
        <v>2331.2599999999948</v>
      </c>
      <c r="CI598" s="2">
        <f>SUM(CI$2:CI88)+BC88*V88</f>
        <v>-2470</v>
      </c>
      <c r="CJ598" s="2">
        <f>SUM(CJ$2:CJ88)+BD88*W88</f>
        <v>3440</v>
      </c>
      <c r="CK598" s="2">
        <f>SUM(CK$2:CK88)+BE88*X88</f>
        <v>6230</v>
      </c>
      <c r="CL598" s="2">
        <f>SUM(CL$2:CL88)+BF88*Y88</f>
        <v>38880</v>
      </c>
      <c r="CM598" s="2">
        <f>SUM(CM$2:CM88)+BG88*Z88</f>
        <v>38090</v>
      </c>
      <c r="CN598" s="2">
        <f>SUM(CN$2:CN88)+BH88*AA88</f>
        <v>47650.000000000058</v>
      </c>
      <c r="CO598" s="2">
        <f>SUM(CO$2:CO88)+BI88*AB88</f>
        <v>-18530</v>
      </c>
      <c r="CP598" s="2">
        <f>SUM(CP$2:CP88)+BJ88*AC88</f>
        <v>820</v>
      </c>
      <c r="CQ598" s="2">
        <f>SUM(CQ$2:CQ88)+BK88*AD88</f>
        <v>7630.0000000000073</v>
      </c>
      <c r="CR598" s="2">
        <f>SUM(CR$2:CR88)+BL88*AE88</f>
        <v>-6630</v>
      </c>
      <c r="CV598" t="s">
        <v>64</v>
      </c>
      <c r="CW598" t="s">
        <v>671</v>
      </c>
      <c r="CX598" t="s">
        <v>18</v>
      </c>
      <c r="CY598" s="4">
        <v>43145</v>
      </c>
      <c r="CZ598" t="s">
        <v>67</v>
      </c>
      <c r="DA598" t="s">
        <v>68</v>
      </c>
      <c r="DB598">
        <v>33</v>
      </c>
      <c r="DC598">
        <v>53.27</v>
      </c>
      <c r="DD598" t="s">
        <v>69</v>
      </c>
      <c r="DE598" t="s">
        <v>70</v>
      </c>
      <c r="DF598">
        <v>1757.91</v>
      </c>
    </row>
    <row r="599" spans="66:110" x14ac:dyDescent="0.25">
      <c r="BN599" s="1">
        <f t="shared" si="336"/>
        <v>42864</v>
      </c>
      <c r="BO599" s="2">
        <f>SUM(BO$2:BO89)+AI89*B89</f>
        <v>151910.00000000006</v>
      </c>
      <c r="BP599" s="2">
        <f>SUM(BP$2:BP89)+AJ89*C89</f>
        <v>3666.7999999999884</v>
      </c>
      <c r="BQ599" s="2">
        <f>SUM(BQ$2:BQ89)+AK89*D89</f>
        <v>30704.299999999988</v>
      </c>
      <c r="BR599" s="2">
        <f>SUM(BR$2:BR89)+AL89*E89</f>
        <v>6796.3999999999796</v>
      </c>
      <c r="BS599" s="2">
        <f>SUM(BS$2:BS89)+AM89*F89</f>
        <v>3737.2000000000007</v>
      </c>
      <c r="BT599" s="2">
        <f>SUM(BT$2:BT89)+AN89*G89</f>
        <v>-11065</v>
      </c>
      <c r="BU599" s="2">
        <f>SUM(BU$2:BU89)+AO89*H89</f>
        <v>5874.2999999999884</v>
      </c>
      <c r="BV599" s="2">
        <f>SUM(BV$2:BV89)+AP89*I89</f>
        <v>0</v>
      </c>
      <c r="BW599" s="2">
        <f>SUM(BW$2:BW89)+AQ89*J89</f>
        <v>-16780</v>
      </c>
      <c r="BX599" s="2">
        <f>SUM(BX$2:BX89)+AR89*K89</f>
        <v>13940</v>
      </c>
      <c r="BY599" s="2">
        <f>SUM(BY$2:BY89)+AS89*L89</f>
        <v>-11270</v>
      </c>
      <c r="BZ599" s="2">
        <f>SUM(BZ$2:BZ89)+AT89*M89</f>
        <v>740</v>
      </c>
      <c r="CA599" s="2">
        <f>SUM(CA$2:CA89)+AU89*N89</f>
        <v>7770</v>
      </c>
      <c r="CB599" s="2">
        <f>SUM(CB$2:CB89)+AV89*O89</f>
        <v>480</v>
      </c>
      <c r="CC599" s="2">
        <f>SUM(CC$2:CC89)+AW89*P89</f>
        <v>-20</v>
      </c>
      <c r="CD599" s="2">
        <f>SUM(CD$2:CD89)+AX89*Q89</f>
        <v>14050</v>
      </c>
      <c r="CE599" s="2">
        <f>SUM(CE$2:CE89)+AY89*R89</f>
        <v>20030</v>
      </c>
      <c r="CF599" s="2">
        <f>SUM(CF$2:CF89)+AZ89*S89</f>
        <v>3625.5799999999945</v>
      </c>
      <c r="CG599" s="2">
        <f>SUM(CG$2:CG89)+BA89*T89</f>
        <v>6339.7800000000352</v>
      </c>
      <c r="CH599" s="2">
        <f>SUM(CH$2:CH89)+BB89*U89</f>
        <v>2921.6999999999971</v>
      </c>
      <c r="CI599" s="2">
        <f>SUM(CI$2:CI89)+BC89*V89</f>
        <v>-2400</v>
      </c>
      <c r="CJ599" s="2">
        <f>SUM(CJ$2:CJ89)+BD89*W89</f>
        <v>3300</v>
      </c>
      <c r="CK599" s="2">
        <f>SUM(CK$2:CK89)+BE89*X89</f>
        <v>1130</v>
      </c>
      <c r="CL599" s="2">
        <f>SUM(CL$2:CL89)+BF89*Y89</f>
        <v>35370.000000000058</v>
      </c>
      <c r="CM599" s="2">
        <f>SUM(CM$2:CM89)+BG89*Z89</f>
        <v>38630</v>
      </c>
      <c r="CN599" s="2">
        <f>SUM(CN$2:CN89)+BH89*AA89</f>
        <v>48050</v>
      </c>
      <c r="CO599" s="2">
        <f>SUM(CO$2:CO89)+BI89*AB89</f>
        <v>-19100</v>
      </c>
      <c r="CP599" s="2">
        <f>SUM(CP$2:CP89)+BJ89*AC89</f>
        <v>820</v>
      </c>
      <c r="CQ599" s="2">
        <f>SUM(CQ$2:CQ89)+BK89*AD89</f>
        <v>8210.0000000000073</v>
      </c>
      <c r="CR599" s="2">
        <f>SUM(CR$2:CR89)+BL89*AE89</f>
        <v>-7160</v>
      </c>
      <c r="CV599" t="s">
        <v>64</v>
      </c>
      <c r="CW599" t="s">
        <v>672</v>
      </c>
      <c r="CX599" t="s">
        <v>18</v>
      </c>
      <c r="CY599" s="4">
        <v>43146</v>
      </c>
      <c r="CZ599" t="s">
        <v>65</v>
      </c>
      <c r="DA599" t="s">
        <v>66</v>
      </c>
      <c r="DB599">
        <v>3</v>
      </c>
      <c r="DC599">
        <v>54.32</v>
      </c>
      <c r="DD599" t="s">
        <v>69</v>
      </c>
      <c r="DE599" t="s">
        <v>70</v>
      </c>
      <c r="DF599">
        <v>162.96</v>
      </c>
    </row>
    <row r="600" spans="66:110" x14ac:dyDescent="0.25">
      <c r="BN600" s="1">
        <f t="shared" si="336"/>
        <v>42865</v>
      </c>
      <c r="BO600" s="2">
        <f>SUM(BO$2:BO90)+AI90*B90</f>
        <v>150845.00000000009</v>
      </c>
      <c r="BP600" s="2">
        <f>SUM(BP$2:BP90)+AJ90*C90</f>
        <v>3889.3999999999942</v>
      </c>
      <c r="BQ600" s="2">
        <f>SUM(BQ$2:BQ90)+AK90*D90</f>
        <v>28351.099999999977</v>
      </c>
      <c r="BR600" s="2">
        <f>SUM(BR$2:BR90)+AL90*E90</f>
        <v>7877.5999999999913</v>
      </c>
      <c r="BS600" s="2">
        <f>SUM(BS$2:BS90)+AM90*F90</f>
        <v>3578.200000000008</v>
      </c>
      <c r="BT600" s="2">
        <f>SUM(BT$2:BT90)+AN90*G90</f>
        <v>-9665.8000000000029</v>
      </c>
      <c r="BU600" s="2">
        <f>SUM(BU$2:BU90)+AO90*H90</f>
        <v>3404.5</v>
      </c>
      <c r="BV600" s="2">
        <f>SUM(BV$2:BV90)+AP90*I90</f>
        <v>0</v>
      </c>
      <c r="BW600" s="2">
        <f>SUM(BW$2:BW90)+AQ90*J90</f>
        <v>-15680</v>
      </c>
      <c r="BX600" s="2">
        <f>SUM(BX$2:BX90)+AR90*K90</f>
        <v>13940</v>
      </c>
      <c r="BY600" s="2">
        <f>SUM(BY$2:BY90)+AS90*L90</f>
        <v>-12070</v>
      </c>
      <c r="BZ600" s="2">
        <f>SUM(BZ$2:BZ90)+AT90*M90</f>
        <v>740</v>
      </c>
      <c r="CA600" s="2">
        <f>SUM(CA$2:CA90)+AU90*N90</f>
        <v>7390</v>
      </c>
      <c r="CB600" s="2">
        <f>SUM(CB$2:CB90)+AV90*O90</f>
        <v>1130</v>
      </c>
      <c r="CC600" s="2">
        <f>SUM(CC$2:CC90)+AW90*P90</f>
        <v>-20</v>
      </c>
      <c r="CD600" s="2">
        <f>SUM(CD$2:CD90)+AX90*Q90</f>
        <v>14050</v>
      </c>
      <c r="CE600" s="2">
        <f>SUM(CE$2:CE90)+AY90*R90</f>
        <v>18780</v>
      </c>
      <c r="CF600" s="2">
        <f>SUM(CF$2:CF90)+AZ90*S90</f>
        <v>4224.5</v>
      </c>
      <c r="CG600" s="2">
        <f>SUM(CG$2:CG90)+BA90*T90</f>
        <v>6601.8600000000297</v>
      </c>
      <c r="CH600" s="2">
        <f>SUM(CH$2:CH90)+BB90*U90</f>
        <v>2631.4599999999919</v>
      </c>
      <c r="CI600" s="2">
        <f>SUM(CI$2:CI90)+BC90*V90</f>
        <v>-2380</v>
      </c>
      <c r="CJ600" s="2">
        <f>SUM(CJ$2:CJ90)+BD90*W90</f>
        <v>3380</v>
      </c>
      <c r="CK600" s="2">
        <f>SUM(CK$2:CK90)+BE90*X90</f>
        <v>4680</v>
      </c>
      <c r="CL600" s="2">
        <f>SUM(CL$2:CL90)+BF90*Y90</f>
        <v>35790</v>
      </c>
      <c r="CM600" s="2">
        <f>SUM(CM$2:CM90)+BG90*Z90</f>
        <v>38000</v>
      </c>
      <c r="CN600" s="2">
        <f>SUM(CN$2:CN90)+BH90*AA90</f>
        <v>49300</v>
      </c>
      <c r="CO600" s="2">
        <f>SUM(CO$2:CO90)+BI90*AB90</f>
        <v>-19220</v>
      </c>
      <c r="CP600" s="2">
        <f>SUM(CP$2:CP90)+BJ90*AC90</f>
        <v>820</v>
      </c>
      <c r="CQ600" s="2">
        <f>SUM(CQ$2:CQ90)+BK90*AD90</f>
        <v>8680.0000000000073</v>
      </c>
      <c r="CR600" s="2">
        <f>SUM(CR$2:CR90)+BL90*AE90</f>
        <v>-6820</v>
      </c>
      <c r="CV600" t="s">
        <v>64</v>
      </c>
      <c r="CW600" t="s">
        <v>673</v>
      </c>
      <c r="CX600" t="s">
        <v>18</v>
      </c>
      <c r="CY600" s="4">
        <v>43147</v>
      </c>
      <c r="CZ600" t="s">
        <v>65</v>
      </c>
      <c r="DA600" t="s">
        <v>66</v>
      </c>
      <c r="DB600">
        <v>40</v>
      </c>
      <c r="DC600">
        <v>54.62</v>
      </c>
      <c r="DD600" t="s">
        <v>69</v>
      </c>
      <c r="DE600" t="s">
        <v>70</v>
      </c>
      <c r="DF600">
        <v>2184.7999999999997</v>
      </c>
    </row>
    <row r="601" spans="66:110" x14ac:dyDescent="0.25">
      <c r="BN601" s="1">
        <f t="shared" si="336"/>
        <v>42866</v>
      </c>
      <c r="BO601" s="2">
        <f>SUM(BO$2:BO91)+AI91*B91</f>
        <v>152780.00000000006</v>
      </c>
      <c r="BP601" s="2">
        <f>SUM(BP$2:BP91)+AJ91*C91</f>
        <v>3126.1999999999971</v>
      </c>
      <c r="BQ601" s="2">
        <f>SUM(BQ$2:BQ91)+AK91*D91</f>
        <v>29124.899999999965</v>
      </c>
      <c r="BR601" s="2">
        <f>SUM(BR$2:BR91)+AL91*E91</f>
        <v>8524.1999999999971</v>
      </c>
      <c r="BS601" s="2">
        <f>SUM(BS$2:BS91)+AM91*F91</f>
        <v>3461.6000000000022</v>
      </c>
      <c r="BT601" s="2">
        <f>SUM(BT$2:BT91)+AN91*G91</f>
        <v>-9952</v>
      </c>
      <c r="BU601" s="2">
        <f>SUM(BU$2:BU91)+AO91*H91</f>
        <v>3319.6999999999971</v>
      </c>
      <c r="BV601" s="2">
        <f>SUM(BV$2:BV91)+AP91*I91</f>
        <v>0</v>
      </c>
      <c r="BW601" s="2">
        <f>SUM(BW$2:BW91)+AQ91*J91</f>
        <v>-15800</v>
      </c>
      <c r="BX601" s="2">
        <f>SUM(BX$2:BX91)+AR91*K91</f>
        <v>13940</v>
      </c>
      <c r="BY601" s="2">
        <f>SUM(BY$2:BY91)+AS91*L91</f>
        <v>-12620</v>
      </c>
      <c r="BZ601" s="2">
        <f>SUM(BZ$2:BZ91)+AT91*M91</f>
        <v>740</v>
      </c>
      <c r="CA601" s="2">
        <f>SUM(CA$2:CA91)+AU91*N91</f>
        <v>7760</v>
      </c>
      <c r="CB601" s="2">
        <f>SUM(CB$2:CB91)+AV91*O91</f>
        <v>870</v>
      </c>
      <c r="CC601" s="2">
        <f>SUM(CC$2:CC91)+AW91*P91</f>
        <v>-20</v>
      </c>
      <c r="CD601" s="2">
        <f>SUM(CD$2:CD91)+AX91*Q91</f>
        <v>14050</v>
      </c>
      <c r="CE601" s="2">
        <f>SUM(CE$2:CE91)+AY91*R91</f>
        <v>18880</v>
      </c>
      <c r="CF601" s="2">
        <f>SUM(CF$2:CF91)+AZ91*S91</f>
        <v>4703.820000000007</v>
      </c>
      <c r="CG601" s="2">
        <f>SUM(CG$2:CG91)+BA91*T91</f>
        <v>5758.5800000000236</v>
      </c>
      <c r="CH601" s="2">
        <f>SUM(CH$2:CH91)+BB91*U91</f>
        <v>2314.3400000000038</v>
      </c>
      <c r="CI601" s="2">
        <f>SUM(CI$2:CI91)+BC91*V91</f>
        <v>-2380</v>
      </c>
      <c r="CJ601" s="2">
        <f>SUM(CJ$2:CJ91)+BD91*W91</f>
        <v>3080</v>
      </c>
      <c r="CK601" s="2">
        <f>SUM(CK$2:CK91)+BE91*X91</f>
        <v>3930</v>
      </c>
      <c r="CL601" s="2">
        <f>SUM(CL$2:CL91)+BF91*Y91</f>
        <v>35610</v>
      </c>
      <c r="CM601" s="2">
        <f>SUM(CM$2:CM91)+BG91*Z91</f>
        <v>38125</v>
      </c>
      <c r="CN601" s="2">
        <f>SUM(CN$2:CN91)+BH91*AA91</f>
        <v>48550</v>
      </c>
      <c r="CO601" s="2">
        <f>SUM(CO$2:CO91)+BI91*AB91</f>
        <v>-20210.000000000015</v>
      </c>
      <c r="CP601" s="2">
        <f>SUM(CP$2:CP91)+BJ91*AC91</f>
        <v>820</v>
      </c>
      <c r="CQ601" s="2">
        <f>SUM(CQ$2:CQ91)+BK91*AD91</f>
        <v>8130.0000000000073</v>
      </c>
      <c r="CR601" s="2">
        <f>SUM(CR$2:CR91)+BL91*AE91</f>
        <v>-6160</v>
      </c>
      <c r="CV601" t="s">
        <v>64</v>
      </c>
      <c r="CW601" t="s">
        <v>674</v>
      </c>
      <c r="CX601" t="s">
        <v>18</v>
      </c>
      <c r="CY601" s="4">
        <v>43151</v>
      </c>
      <c r="CZ601" t="s">
        <v>67</v>
      </c>
      <c r="DA601" t="s">
        <v>68</v>
      </c>
      <c r="DB601">
        <v>44</v>
      </c>
      <c r="DC601">
        <v>53.34</v>
      </c>
      <c r="DD601" t="s">
        <v>69</v>
      </c>
      <c r="DE601" t="s">
        <v>70</v>
      </c>
      <c r="DF601">
        <v>2346.96</v>
      </c>
    </row>
    <row r="602" spans="66:110" x14ac:dyDescent="0.25">
      <c r="BN602" s="1">
        <f t="shared" si="336"/>
        <v>42867</v>
      </c>
      <c r="BO602" s="2">
        <f>SUM(BO$2:BO92)+AI92*B92</f>
        <v>155915.00000000006</v>
      </c>
      <c r="BP602" s="2">
        <f>SUM(BP$2:BP92)+AJ92*C92</f>
        <v>2681</v>
      </c>
      <c r="BQ602" s="2">
        <f>SUM(BQ$2:BQ92)+AK92*D92</f>
        <v>28414.699999999983</v>
      </c>
      <c r="BR602" s="2">
        <f>SUM(BR$2:BR92)+AL92*E92</f>
        <v>8237.9999999999854</v>
      </c>
      <c r="BS602" s="2">
        <f>SUM(BS$2:BS92)+AM92*F92</f>
        <v>3281.4000000000051</v>
      </c>
      <c r="BT602" s="2">
        <f>SUM(BT$2:BT92)+AN92*G92</f>
        <v>-10195.800000000003</v>
      </c>
      <c r="BU602" s="2">
        <f>SUM(BU$2:BU92)+AO92*H92</f>
        <v>3436.3000000000029</v>
      </c>
      <c r="BV602" s="2">
        <f>SUM(BV$2:BV92)+AP92*I92</f>
        <v>0</v>
      </c>
      <c r="BW602" s="2">
        <f>SUM(BW$2:BW92)+AQ92*J92</f>
        <v>-17690</v>
      </c>
      <c r="BX602" s="2">
        <f>SUM(BX$2:BX92)+AR92*K92</f>
        <v>13940</v>
      </c>
      <c r="BY602" s="2">
        <f>SUM(BY$2:BY92)+AS92*L92</f>
        <v>-12880</v>
      </c>
      <c r="BZ602" s="2">
        <f>SUM(BZ$2:BZ92)+AT92*M92</f>
        <v>740</v>
      </c>
      <c r="CA602" s="2">
        <f>SUM(CA$2:CA92)+AU92*N92</f>
        <v>8180</v>
      </c>
      <c r="CB602" s="2">
        <f>SUM(CB$2:CB92)+AV92*O92</f>
        <v>640</v>
      </c>
      <c r="CC602" s="2">
        <f>SUM(CC$2:CC92)+AW92*P92</f>
        <v>-20</v>
      </c>
      <c r="CD602" s="2">
        <f>SUM(CD$2:CD92)+AX92*Q92</f>
        <v>14050</v>
      </c>
      <c r="CE602" s="2">
        <f>SUM(CE$2:CE92)+AY92*R92</f>
        <v>18710</v>
      </c>
      <c r="CF602" s="2">
        <f>SUM(CF$2:CF92)+AZ92*S92</f>
        <v>3911.6400000000067</v>
      </c>
      <c r="CG602" s="2">
        <f>SUM(CG$2:CG92)+BA92*T92</f>
        <v>5684.4500000000262</v>
      </c>
      <c r="CH602" s="2">
        <f>SUM(CH$2:CH92)+BB92*U92</f>
        <v>2277.8199999999997</v>
      </c>
      <c r="CI602" s="2">
        <f>SUM(CI$2:CI92)+BC92*V92</f>
        <v>-2360</v>
      </c>
      <c r="CJ602" s="2">
        <f>SUM(CJ$2:CJ92)+BD92*W92</f>
        <v>3100</v>
      </c>
      <c r="CK602" s="2">
        <f>SUM(CK$2:CK92)+BE92*X92</f>
        <v>4180</v>
      </c>
      <c r="CL602" s="2">
        <f>SUM(CL$2:CL92)+BF92*Y92</f>
        <v>31170</v>
      </c>
      <c r="CM602" s="2">
        <f>SUM(CM$2:CM92)+BG92*Z92</f>
        <v>37910</v>
      </c>
      <c r="CN602" s="2">
        <f>SUM(CN$2:CN92)+BH92*AA92</f>
        <v>51650</v>
      </c>
      <c r="CO602" s="2">
        <f>SUM(CO$2:CO92)+BI92*AB92</f>
        <v>-20720</v>
      </c>
      <c r="CP602" s="2">
        <f>SUM(CP$2:CP92)+BJ92*AC92</f>
        <v>820</v>
      </c>
      <c r="CQ602" s="2">
        <f>SUM(CQ$2:CQ92)+BK92*AD92</f>
        <v>7730.0000000000073</v>
      </c>
      <c r="CR602" s="2">
        <f>SUM(CR$2:CR92)+BL92*AE92</f>
        <v>-6220</v>
      </c>
      <c r="CV602" t="s">
        <v>64</v>
      </c>
      <c r="CW602" t="s">
        <v>675</v>
      </c>
      <c r="CX602" t="s">
        <v>18</v>
      </c>
      <c r="CY602" s="4">
        <v>43152</v>
      </c>
      <c r="CZ602" t="s">
        <v>67</v>
      </c>
      <c r="DA602" t="s">
        <v>68</v>
      </c>
      <c r="DB602">
        <v>15</v>
      </c>
      <c r="DC602">
        <v>52.93</v>
      </c>
      <c r="DD602" t="s">
        <v>69</v>
      </c>
      <c r="DE602" t="s">
        <v>70</v>
      </c>
      <c r="DF602">
        <v>793.95</v>
      </c>
    </row>
    <row r="603" spans="66:110" x14ac:dyDescent="0.25">
      <c r="BN603" s="1">
        <f t="shared" si="336"/>
        <v>42870</v>
      </c>
      <c r="BO603" s="2">
        <f>SUM(BO$2:BO93)+AI93*B93</f>
        <v>155330.00000000006</v>
      </c>
      <c r="BP603" s="2">
        <f>SUM(BP$2:BP93)+AJ93*C93</f>
        <v>3550.1999999999971</v>
      </c>
      <c r="BQ603" s="2">
        <f>SUM(BQ$2:BQ93)+AK93*D93</f>
        <v>27534.899999999965</v>
      </c>
      <c r="BR603" s="2">
        <f>SUM(BR$2:BR93)+AL93*E93</f>
        <v>9976.3999999999796</v>
      </c>
      <c r="BS603" s="2">
        <f>SUM(BS$2:BS93)+AM93*F93</f>
        <v>4065.8000000000065</v>
      </c>
      <c r="BT603" s="2">
        <f>SUM(BT$2:BT93)+AN93*G93</f>
        <v>-9326.6000000000058</v>
      </c>
      <c r="BU603" s="2">
        <f>SUM(BU$2:BU93)+AO93*H93</f>
        <v>2853.3000000000029</v>
      </c>
      <c r="BV603" s="2">
        <f>SUM(BV$2:BV93)+AP93*I93</f>
        <v>0</v>
      </c>
      <c r="BW603" s="2">
        <f>SUM(BW$2:BW93)+AQ93*J93</f>
        <v>-15450</v>
      </c>
      <c r="BX603" s="2">
        <f>SUM(BX$2:BX93)+AR93*K93</f>
        <v>13940</v>
      </c>
      <c r="BY603" s="2">
        <f>SUM(BY$2:BY93)+AS93*L93</f>
        <v>-11830</v>
      </c>
      <c r="BZ603" s="2">
        <f>SUM(BZ$2:BZ93)+AT93*M93</f>
        <v>740</v>
      </c>
      <c r="CA603" s="2">
        <f>SUM(CA$2:CA93)+AU93*N93</f>
        <v>11380</v>
      </c>
      <c r="CB603" s="2">
        <f>SUM(CB$2:CB93)+AV93*O93</f>
        <v>1040</v>
      </c>
      <c r="CC603" s="2">
        <f>SUM(CC$2:CC93)+AW93*P93</f>
        <v>-20</v>
      </c>
      <c r="CD603" s="2">
        <f>SUM(CD$2:CD93)+AX93*Q93</f>
        <v>14050</v>
      </c>
      <c r="CE603" s="2">
        <f>SUM(CE$2:CE93)+AY93*R93</f>
        <v>19720</v>
      </c>
      <c r="CF603" s="2">
        <f>SUM(CF$2:CF93)+AZ93*S93</f>
        <v>3854.4000000000015</v>
      </c>
      <c r="CG603" s="2">
        <f>SUM(CG$2:CG93)+BA93*T93</f>
        <v>5738.650000000016</v>
      </c>
      <c r="CH603" s="2">
        <f>SUM(CH$2:CH93)+BB93*U93</f>
        <v>1832.6200000000026</v>
      </c>
      <c r="CI603" s="2">
        <f>SUM(CI$2:CI93)+BC93*V93</f>
        <v>-2460</v>
      </c>
      <c r="CJ603" s="2">
        <f>SUM(CJ$2:CJ93)+BD93*W93</f>
        <v>3230</v>
      </c>
      <c r="CK603" s="2">
        <f>SUM(CK$2:CK93)+BE93*X93</f>
        <v>2580</v>
      </c>
      <c r="CL603" s="2">
        <f>SUM(CL$2:CL93)+BF93*Y93</f>
        <v>30360</v>
      </c>
      <c r="CM603" s="2">
        <f>SUM(CM$2:CM93)+BG93*Z93</f>
        <v>37910</v>
      </c>
      <c r="CN603" s="2">
        <f>SUM(CN$2:CN93)+BH93*AA93</f>
        <v>54150</v>
      </c>
      <c r="CO603" s="2">
        <f>SUM(CO$2:CO93)+BI93*AB93</f>
        <v>-21980</v>
      </c>
      <c r="CP603" s="2">
        <f>SUM(CP$2:CP93)+BJ93*AC93</f>
        <v>820</v>
      </c>
      <c r="CQ603" s="2">
        <f>SUM(CQ$2:CQ93)+BK93*AD93</f>
        <v>8290.0000000000073</v>
      </c>
      <c r="CR603" s="2">
        <f>SUM(CR$2:CR93)+BL93*AE93</f>
        <v>-5990</v>
      </c>
      <c r="CV603" t="s">
        <v>64</v>
      </c>
      <c r="CW603" t="s">
        <v>676</v>
      </c>
      <c r="CX603" t="s">
        <v>18</v>
      </c>
      <c r="CY603" s="4">
        <v>43153</v>
      </c>
      <c r="CZ603" t="s">
        <v>65</v>
      </c>
      <c r="DA603" t="s">
        <v>66</v>
      </c>
      <c r="DB603">
        <v>58</v>
      </c>
      <c r="DC603">
        <v>52.95</v>
      </c>
      <c r="DD603" t="s">
        <v>69</v>
      </c>
      <c r="DE603" t="s">
        <v>70</v>
      </c>
      <c r="DF603">
        <v>3071.1000000000004</v>
      </c>
    </row>
    <row r="604" spans="66:110" x14ac:dyDescent="0.25">
      <c r="BN604" s="1">
        <f t="shared" si="336"/>
        <v>42871</v>
      </c>
      <c r="BO604" s="2">
        <f>SUM(BO$2:BO94)+AI94*B94</f>
        <v>155000.00000000006</v>
      </c>
      <c r="BP604" s="2">
        <f>SUM(BP$2:BP94)+AJ94*C94</f>
        <v>3348.7999999999884</v>
      </c>
      <c r="BQ604" s="2">
        <f>SUM(BQ$2:BQ94)+AK94*D94</f>
        <v>27852.899999999965</v>
      </c>
      <c r="BR604" s="2">
        <f>SUM(BR$2:BR94)+AL94*E94</f>
        <v>9891.5999999999767</v>
      </c>
      <c r="BS604" s="2">
        <f>SUM(BS$2:BS94)+AM94*F94</f>
        <v>4140.0000000000036</v>
      </c>
      <c r="BT604" s="2">
        <f>SUM(BT$2:BT94)+AN94*G94</f>
        <v>-8934.4000000000087</v>
      </c>
      <c r="BU604" s="2">
        <f>SUM(BU$2:BU94)+AO94*H94</f>
        <v>1676.6999999999971</v>
      </c>
      <c r="BV604" s="2">
        <f>SUM(BV$2:BV94)+AP94*I94</f>
        <v>0</v>
      </c>
      <c r="BW604" s="2">
        <f>SUM(BW$2:BW94)+AQ94*J94</f>
        <v>-14980</v>
      </c>
      <c r="BX604" s="2">
        <f>SUM(BX$2:BX94)+AR94*K94</f>
        <v>13940</v>
      </c>
      <c r="BY604" s="2">
        <f>SUM(BY$2:BY94)+AS94*L94</f>
        <v>-9820</v>
      </c>
      <c r="BZ604" s="2">
        <f>SUM(BZ$2:BZ94)+AT94*M94</f>
        <v>740</v>
      </c>
      <c r="CA604" s="2">
        <f>SUM(CA$2:CA94)+AU94*N94</f>
        <v>12130</v>
      </c>
      <c r="CB604" s="2">
        <f>SUM(CB$2:CB94)+AV94*O94</f>
        <v>1300</v>
      </c>
      <c r="CC604" s="2">
        <f>SUM(CC$2:CC94)+AW94*P94</f>
        <v>-20</v>
      </c>
      <c r="CD604" s="2">
        <f>SUM(CD$2:CD94)+AX94*Q94</f>
        <v>14050</v>
      </c>
      <c r="CE604" s="2">
        <f>SUM(CE$2:CE94)+AY94*R94</f>
        <v>19990</v>
      </c>
      <c r="CF604" s="2">
        <f>SUM(CF$2:CF94)+AZ94*S94</f>
        <v>4123.320000000007</v>
      </c>
      <c r="CG604" s="2">
        <f>SUM(CG$2:CG94)+BA94*T94</f>
        <v>7156.4300000000148</v>
      </c>
      <c r="CH604" s="2">
        <f>SUM(CH$2:CH94)+BB94*U94</f>
        <v>795.68999999999505</v>
      </c>
      <c r="CI604" s="2">
        <f>SUM(CI$2:CI94)+BC94*V94</f>
        <v>-1970</v>
      </c>
      <c r="CJ604" s="2">
        <f>SUM(CJ$2:CJ94)+BD94*W94</f>
        <v>3150</v>
      </c>
      <c r="CK604" s="2">
        <f>SUM(CK$2:CK94)+BE94*X94</f>
        <v>1030</v>
      </c>
      <c r="CL604" s="2">
        <f>SUM(CL$2:CL94)+BF94*Y94</f>
        <v>20370.000000000058</v>
      </c>
      <c r="CM604" s="2">
        <f>SUM(CM$2:CM94)+BG94*Z94</f>
        <v>37910</v>
      </c>
      <c r="CN604" s="2">
        <f>SUM(CN$2:CN94)+BH94*AA94</f>
        <v>53750</v>
      </c>
      <c r="CO604" s="2">
        <f>SUM(CO$2:CO94)+BI94*AB94</f>
        <v>-22160</v>
      </c>
      <c r="CP604" s="2">
        <f>SUM(CP$2:CP94)+BJ94*AC94</f>
        <v>820</v>
      </c>
      <c r="CQ604" s="2">
        <f>SUM(CQ$2:CQ94)+BK94*AD94</f>
        <v>7150.0000000000073</v>
      </c>
      <c r="CR604" s="2">
        <f>SUM(CR$2:CR94)+BL94*AE94</f>
        <v>-6220</v>
      </c>
      <c r="CV604" t="s">
        <v>64</v>
      </c>
      <c r="CW604" t="s">
        <v>677</v>
      </c>
      <c r="CX604" t="s">
        <v>18</v>
      </c>
      <c r="CY604" s="4">
        <v>43154</v>
      </c>
      <c r="CZ604" t="s">
        <v>65</v>
      </c>
      <c r="DA604" t="s">
        <v>66</v>
      </c>
      <c r="DB604">
        <v>3</v>
      </c>
      <c r="DC604">
        <v>53.24</v>
      </c>
      <c r="DD604" t="s">
        <v>69</v>
      </c>
      <c r="DE604" t="s">
        <v>70</v>
      </c>
      <c r="DF604">
        <v>159.72</v>
      </c>
    </row>
    <row r="605" spans="66:110" x14ac:dyDescent="0.25">
      <c r="BN605" s="1">
        <f t="shared" si="336"/>
        <v>42872</v>
      </c>
      <c r="BO605" s="2">
        <f>SUM(BO$2:BO95)+AI95*B95</f>
        <v>148637.50000000006</v>
      </c>
      <c r="BP605" s="2">
        <f>SUM(BP$2:BP95)+AJ95*C95</f>
        <v>1525.5999999999913</v>
      </c>
      <c r="BQ605" s="2">
        <f>SUM(BQ$2:BQ95)+AK95*D95</f>
        <v>23846.099999999977</v>
      </c>
      <c r="BR605" s="2">
        <f>SUM(BR$2:BR95)+AL95*E95</f>
        <v>7654.9999999999854</v>
      </c>
      <c r="BS605" s="2">
        <f>SUM(BS$2:BS95)+AM95*F95</f>
        <v>3652.4000000000051</v>
      </c>
      <c r="BT605" s="2">
        <f>SUM(BT$2:BT95)+AN95*G95</f>
        <v>-10386.600000000006</v>
      </c>
      <c r="BU605" s="2">
        <f>SUM(BU$2:BU95)+AO95*H95</f>
        <v>-40.5</v>
      </c>
      <c r="BV605" s="2">
        <f>SUM(BV$2:BV95)+AP95*I95</f>
        <v>0</v>
      </c>
      <c r="BW605" s="2">
        <f>SUM(BW$2:BW95)+AQ95*J95</f>
        <v>-26580</v>
      </c>
      <c r="BX605" s="2">
        <f>SUM(BX$2:BX95)+AR95*K95</f>
        <v>13940</v>
      </c>
      <c r="BY605" s="2">
        <f>SUM(BY$2:BY95)+AS95*L95</f>
        <v>-12360</v>
      </c>
      <c r="BZ605" s="2">
        <f>SUM(BZ$2:BZ95)+AT95*M95</f>
        <v>740</v>
      </c>
      <c r="CA605" s="2">
        <f>SUM(CA$2:CA95)+AU95*N95</f>
        <v>11080</v>
      </c>
      <c r="CB605" s="2">
        <f>SUM(CB$2:CB95)+AV95*O95</f>
        <v>-1900</v>
      </c>
      <c r="CC605" s="2">
        <f>SUM(CC$2:CC95)+AW95*P95</f>
        <v>-20</v>
      </c>
      <c r="CD605" s="2">
        <f>SUM(CD$2:CD95)+AX95*Q95</f>
        <v>14050</v>
      </c>
      <c r="CE605" s="2">
        <f>SUM(CE$2:CE95)+AY95*R95</f>
        <v>18170</v>
      </c>
      <c r="CF605" s="2">
        <f>SUM(CF$2:CF95)+AZ95*S95</f>
        <v>3374.820000000007</v>
      </c>
      <c r="CG605" s="2">
        <f>SUM(CG$2:CG95)+BA95*T95</f>
        <v>5227.5500000000247</v>
      </c>
      <c r="CH605" s="2">
        <f>SUM(CH$2:CH95)+BB95*U95</f>
        <v>-165.2699999999968</v>
      </c>
      <c r="CI605" s="2">
        <f>SUM(CI$2:CI95)+BC95*V95</f>
        <v>-1620</v>
      </c>
      <c r="CJ605" s="2">
        <f>SUM(CJ$2:CJ95)+BD95*W95</f>
        <v>3170</v>
      </c>
      <c r="CK605" s="2">
        <f>SUM(CK$2:CK95)+BE95*X95</f>
        <v>2580</v>
      </c>
      <c r="CL605" s="2">
        <f>SUM(CL$2:CL95)+BF95*Y95</f>
        <v>22530</v>
      </c>
      <c r="CM605" s="2">
        <f>SUM(CM$2:CM95)+BG95*Z95</f>
        <v>38190</v>
      </c>
      <c r="CN605" s="2">
        <f>SUM(CN$2:CN95)+BH95*AA95</f>
        <v>50725</v>
      </c>
      <c r="CO605" s="2">
        <f>SUM(CO$2:CO95)+BI95*AB95</f>
        <v>-24470</v>
      </c>
      <c r="CP605" s="2">
        <f>SUM(CP$2:CP95)+BJ95*AC95</f>
        <v>820</v>
      </c>
      <c r="CQ605" s="2">
        <f>SUM(CQ$2:CQ95)+BK95*AD95</f>
        <v>7160.0000000000073</v>
      </c>
      <c r="CR605" s="2">
        <f>SUM(CR$2:CR95)+BL95*AE95</f>
        <v>-6740</v>
      </c>
      <c r="CV605" t="s">
        <v>64</v>
      </c>
      <c r="CW605" t="s">
        <v>678</v>
      </c>
      <c r="CX605" t="s">
        <v>18</v>
      </c>
      <c r="CY605" s="4">
        <v>43157</v>
      </c>
      <c r="CZ605" t="s">
        <v>65</v>
      </c>
      <c r="DA605" t="s">
        <v>66</v>
      </c>
      <c r="DB605">
        <v>8</v>
      </c>
      <c r="DC605">
        <v>54.39</v>
      </c>
      <c r="DD605" t="s">
        <v>69</v>
      </c>
      <c r="DE605" t="s">
        <v>70</v>
      </c>
      <c r="DF605">
        <v>435.12</v>
      </c>
    </row>
    <row r="606" spans="66:110" x14ac:dyDescent="0.25">
      <c r="BN606" s="1">
        <f t="shared" si="336"/>
        <v>42873</v>
      </c>
      <c r="BO606" s="2">
        <f>SUM(BO$2:BO96)+AI96*B96</f>
        <v>151425.00000000006</v>
      </c>
      <c r="BP606" s="2">
        <f>SUM(BP$2:BP96)+AJ96*C96</f>
        <v>1536.1999999999971</v>
      </c>
      <c r="BQ606" s="2">
        <f>SUM(BQ$2:BQ96)+AK96*D96</f>
        <v>22436.299999999959</v>
      </c>
      <c r="BR606" s="2">
        <f>SUM(BR$2:BR96)+AL96*E96</f>
        <v>7739.7999999999738</v>
      </c>
      <c r="BS606" s="2">
        <f>SUM(BS$2:BS96)+AM96*F96</f>
        <v>1203.8000000000029</v>
      </c>
      <c r="BT606" s="2">
        <f>SUM(BT$2:BT96)+AN96*G96</f>
        <v>-9920.1999999999971</v>
      </c>
      <c r="BU606" s="2">
        <f>SUM(BU$2:BU96)+AO96*H96</f>
        <v>341.09999999999127</v>
      </c>
      <c r="BV606" s="2">
        <f>SUM(BV$2:BV96)+AP96*I96</f>
        <v>0</v>
      </c>
      <c r="BW606" s="2">
        <f>SUM(BW$2:BW96)+AQ96*J96</f>
        <v>-25180</v>
      </c>
      <c r="BX606" s="2">
        <f>SUM(BX$2:BX96)+AR96*K96</f>
        <v>13940</v>
      </c>
      <c r="BY606" s="2">
        <f>SUM(BY$2:BY96)+AS96*L96</f>
        <v>-12500</v>
      </c>
      <c r="BZ606" s="2">
        <f>SUM(BZ$2:BZ96)+AT96*M96</f>
        <v>740</v>
      </c>
      <c r="CA606" s="2">
        <f>SUM(CA$2:CA96)+AU96*N96</f>
        <v>11360</v>
      </c>
      <c r="CB606" s="2">
        <f>SUM(CB$2:CB96)+AV96*O96</f>
        <v>-2200</v>
      </c>
      <c r="CC606" s="2">
        <f>SUM(CC$2:CC96)+AW96*P96</f>
        <v>-20</v>
      </c>
      <c r="CD606" s="2">
        <f>SUM(CD$2:CD96)+AX96*Q96</f>
        <v>14050</v>
      </c>
      <c r="CE606" s="2">
        <f>SUM(CE$2:CE96)+AY96*R96</f>
        <v>18560</v>
      </c>
      <c r="CF606" s="2">
        <f>SUM(CF$2:CF96)+AZ96*S96</f>
        <v>4237.5</v>
      </c>
      <c r="CG606" s="2">
        <f>SUM(CG$2:CG96)+BA96*T96</f>
        <v>5460.970000000023</v>
      </c>
      <c r="CH606" s="2">
        <f>SUM(CH$2:CH96)+BB96*U96</f>
        <v>-276.26000000000204</v>
      </c>
      <c r="CI606" s="2">
        <f>SUM(CI$2:CI96)+BC96*V96</f>
        <v>-1610</v>
      </c>
      <c r="CJ606" s="2">
        <f>SUM(CJ$2:CJ96)+BD96*W96</f>
        <v>2800</v>
      </c>
      <c r="CK606" s="2">
        <f>SUM(CK$2:CK96)+BE96*X96</f>
        <v>5580</v>
      </c>
      <c r="CL606" s="2">
        <f>SUM(CL$2:CL96)+BF96*Y96</f>
        <v>30120.000000000058</v>
      </c>
      <c r="CM606" s="2">
        <f>SUM(CM$2:CM96)+BG96*Z96</f>
        <v>38290</v>
      </c>
      <c r="CN606" s="2">
        <f>SUM(CN$2:CN96)+BH96*AA96</f>
        <v>50725</v>
      </c>
      <c r="CO606" s="2">
        <f>SUM(CO$2:CO96)+BI96*AB96</f>
        <v>-22910</v>
      </c>
      <c r="CP606" s="2">
        <f>SUM(CP$2:CP96)+BJ96*AC96</f>
        <v>820</v>
      </c>
      <c r="CQ606" s="2">
        <f>SUM(CQ$2:CQ96)+BK96*AD96</f>
        <v>9490.0000000000073</v>
      </c>
      <c r="CR606" s="2">
        <f>SUM(CR$2:CR96)+BL96*AE96</f>
        <v>-6970</v>
      </c>
      <c r="CV606" t="s">
        <v>64</v>
      </c>
      <c r="CW606" t="s">
        <v>679</v>
      </c>
      <c r="CX606" t="s">
        <v>18</v>
      </c>
      <c r="CY606" s="4">
        <v>43158</v>
      </c>
      <c r="CZ606" t="s">
        <v>67</v>
      </c>
      <c r="DA606" t="s">
        <v>68</v>
      </c>
      <c r="DB606">
        <v>46</v>
      </c>
      <c r="DC606">
        <v>53.09</v>
      </c>
      <c r="DD606" t="s">
        <v>69</v>
      </c>
      <c r="DE606" t="s">
        <v>70</v>
      </c>
      <c r="DF606">
        <v>2442.1400000000003</v>
      </c>
    </row>
    <row r="607" spans="66:110" x14ac:dyDescent="0.25">
      <c r="BN607" s="1">
        <f t="shared" si="336"/>
        <v>42874</v>
      </c>
      <c r="BO607" s="2">
        <f>SUM(BO$2:BO97)+AI97*B97</f>
        <v>152700.00000000006</v>
      </c>
      <c r="BP607" s="2">
        <f>SUM(BP$2:BP97)+AJ97*C97</f>
        <v>1970.8000000000029</v>
      </c>
      <c r="BQ607" s="2">
        <f>SUM(BQ$2:BQ97)+AK97*D97</f>
        <v>25870.699999999983</v>
      </c>
      <c r="BR607" s="2">
        <f>SUM(BR$2:BR97)+AL97*E97</f>
        <v>9986.9999999999854</v>
      </c>
      <c r="BS607" s="2">
        <f>SUM(BS$2:BS97)+AM97*F97</f>
        <v>1034.2000000000044</v>
      </c>
      <c r="BT607" s="2">
        <f>SUM(BT$2:BT97)+AN97*G97</f>
        <v>-8584.6000000000058</v>
      </c>
      <c r="BU607" s="2">
        <f>SUM(BU$2:BU97)+AO97*H97</f>
        <v>1199.6999999999971</v>
      </c>
      <c r="BV607" s="2">
        <f>SUM(BV$2:BV97)+AP97*I97</f>
        <v>0</v>
      </c>
      <c r="BW607" s="2">
        <f>SUM(BW$2:BW97)+AQ97*J97</f>
        <v>-24950</v>
      </c>
      <c r="BX607" s="2">
        <f>SUM(BX$2:BX97)+AR97*K97</f>
        <v>13940</v>
      </c>
      <c r="BY607" s="2">
        <f>SUM(BY$2:BY97)+AS97*L97</f>
        <v>-11390</v>
      </c>
      <c r="BZ607" s="2">
        <f>SUM(BZ$2:BZ97)+AT97*M97</f>
        <v>740</v>
      </c>
      <c r="CA607" s="2">
        <f>SUM(CA$2:CA97)+AU97*N97</f>
        <v>11390</v>
      </c>
      <c r="CB607" s="2">
        <f>SUM(CB$2:CB97)+AV97*O97</f>
        <v>-1410</v>
      </c>
      <c r="CC607" s="2">
        <f>SUM(CC$2:CC97)+AW97*P97</f>
        <v>-20</v>
      </c>
      <c r="CD607" s="2">
        <f>SUM(CD$2:CD97)+AX97*Q97</f>
        <v>14050</v>
      </c>
      <c r="CE607" s="2">
        <f>SUM(CE$2:CE97)+AY97*R97</f>
        <v>19090</v>
      </c>
      <c r="CF607" s="2">
        <f>SUM(CF$2:CF97)+AZ97*S97</f>
        <v>4137.5999999999985</v>
      </c>
      <c r="CG607" s="2">
        <f>SUM(CG$2:CG97)+BA97*T97</f>
        <v>5440.3100000000122</v>
      </c>
      <c r="CH607" s="2">
        <f>SUM(CH$2:CH97)+BB97*U97</f>
        <v>-194.09999999999854</v>
      </c>
      <c r="CI607" s="2">
        <f>SUM(CI$2:CI97)+BC97*V97</f>
        <v>-1840</v>
      </c>
      <c r="CJ607" s="2">
        <f>SUM(CJ$2:CJ97)+BD97*W97</f>
        <v>3150</v>
      </c>
      <c r="CK607" s="2">
        <f>SUM(CK$2:CK97)+BE97*X97</f>
        <v>5130</v>
      </c>
      <c r="CL607" s="2">
        <f>SUM(CL$2:CL97)+BF97*Y97</f>
        <v>33450</v>
      </c>
      <c r="CM607" s="2">
        <f>SUM(CM$2:CM97)+BG97*Z97</f>
        <v>37430</v>
      </c>
      <c r="CN607" s="2">
        <f>SUM(CN$2:CN97)+BH97*AA97</f>
        <v>46925</v>
      </c>
      <c r="CO607" s="2">
        <f>SUM(CO$2:CO97)+BI97*AB97</f>
        <v>-21860</v>
      </c>
      <c r="CP607" s="2">
        <f>SUM(CP$2:CP97)+BJ97*AC97</f>
        <v>820</v>
      </c>
      <c r="CQ607" s="2">
        <f>SUM(CQ$2:CQ97)+BK97*AD97</f>
        <v>10680.000000000007</v>
      </c>
      <c r="CR607" s="2">
        <f>SUM(CR$2:CR97)+BL97*AE97</f>
        <v>-6800</v>
      </c>
      <c r="CV607" t="s">
        <v>64</v>
      </c>
      <c r="CW607" t="s">
        <v>680</v>
      </c>
      <c r="CX607" t="s">
        <v>18</v>
      </c>
      <c r="CY607" s="4">
        <v>43159</v>
      </c>
      <c r="CZ607" t="s">
        <v>65</v>
      </c>
      <c r="DA607" t="s">
        <v>66</v>
      </c>
      <c r="DB607">
        <v>8</v>
      </c>
      <c r="DC607">
        <v>52.61</v>
      </c>
      <c r="DD607" t="s">
        <v>69</v>
      </c>
      <c r="DE607" t="s">
        <v>70</v>
      </c>
      <c r="DF607">
        <v>420.88</v>
      </c>
    </row>
    <row r="608" spans="66:110" x14ac:dyDescent="0.25">
      <c r="BN608" s="1">
        <f t="shared" si="336"/>
        <v>42877</v>
      </c>
      <c r="BO608" s="2">
        <f>SUM(BO$2:BO98)+AI98*B98</f>
        <v>154950.00000000006</v>
      </c>
      <c r="BP608" s="2">
        <f>SUM(BP$2:BP98)+AJ98*C98</f>
        <v>2151</v>
      </c>
      <c r="BQ608" s="2">
        <f>SUM(BQ$2:BQ98)+AK98*D98</f>
        <v>28849.299999999988</v>
      </c>
      <c r="BR608" s="2">
        <f>SUM(BR$2:BR98)+AL98*E98</f>
        <v>9849.1999999999971</v>
      </c>
      <c r="BS608" s="2">
        <f>SUM(BS$2:BS98)+AM98*F98</f>
        <v>1415.8000000000029</v>
      </c>
      <c r="BT608" s="2">
        <f>SUM(BT$2:BT98)+AN98*G98</f>
        <v>-8976.8000000000029</v>
      </c>
      <c r="BU608" s="2">
        <f>SUM(BU$2:BU98)+AO98*H98</f>
        <v>1316.3000000000029</v>
      </c>
      <c r="BV608" s="2">
        <f>SUM(BV$2:BV98)+AP98*I98</f>
        <v>0</v>
      </c>
      <c r="BW608" s="2">
        <f>SUM(BW$2:BW98)+AQ98*J98</f>
        <v>-24340</v>
      </c>
      <c r="BX608" s="2">
        <f>SUM(BX$2:BX98)+AR98*K98</f>
        <v>13940</v>
      </c>
      <c r="BY608" s="2">
        <f>SUM(BY$2:BY98)+AS98*L98</f>
        <v>-10780</v>
      </c>
      <c r="BZ608" s="2">
        <f>SUM(BZ$2:BZ98)+AT98*M98</f>
        <v>740</v>
      </c>
      <c r="CA608" s="2">
        <f>SUM(CA$2:CA98)+AU98*N98</f>
        <v>11640</v>
      </c>
      <c r="CB608" s="2">
        <f>SUM(CB$2:CB98)+AV98*O98</f>
        <v>-1490</v>
      </c>
      <c r="CC608" s="2">
        <f>SUM(CC$2:CC98)+AW98*P98</f>
        <v>-20</v>
      </c>
      <c r="CD608" s="2">
        <f>SUM(CD$2:CD98)+AX98*Q98</f>
        <v>14050</v>
      </c>
      <c r="CE608" s="2">
        <f>SUM(CE$2:CE98)+AY98*R98</f>
        <v>21690</v>
      </c>
      <c r="CF608" s="2">
        <f>SUM(CF$2:CF98)+AZ98*S98</f>
        <v>4370.8799999999974</v>
      </c>
      <c r="CG608" s="2">
        <f>SUM(CG$2:CG98)+BA98*T98</f>
        <v>6226.1900000000169</v>
      </c>
      <c r="CH608" s="2">
        <f>SUM(CH$2:CH98)+BB98*U98</f>
        <v>-371.94000000000233</v>
      </c>
      <c r="CI608" s="2">
        <f>SUM(CI$2:CI98)+BC98*V98</f>
        <v>-1520</v>
      </c>
      <c r="CJ608" s="2">
        <f>SUM(CJ$2:CJ98)+BD98*W98</f>
        <v>3120</v>
      </c>
      <c r="CK608" s="2">
        <f>SUM(CK$2:CK98)+BE98*X98</f>
        <v>9280</v>
      </c>
      <c r="CL608" s="2">
        <f>SUM(CL$2:CL98)+BF98*Y98</f>
        <v>39630</v>
      </c>
      <c r="CM608" s="2">
        <f>SUM(CM$2:CM98)+BG98*Z98</f>
        <v>37190</v>
      </c>
      <c r="CN608" s="2">
        <f>SUM(CN$2:CN98)+BH98*AA98</f>
        <v>42825</v>
      </c>
      <c r="CO608" s="2">
        <f>SUM(CO$2:CO98)+BI98*AB98</f>
        <v>-21710.000000000015</v>
      </c>
      <c r="CP608" s="2">
        <f>SUM(CP$2:CP98)+BJ98*AC98</f>
        <v>820</v>
      </c>
      <c r="CQ608" s="2">
        <f>SUM(CQ$2:CQ98)+BK98*AD98</f>
        <v>10470.000000000007</v>
      </c>
      <c r="CR608" s="2">
        <f>SUM(CR$2:CR98)+BL98*AE98</f>
        <v>-6460</v>
      </c>
      <c r="CV608" t="s">
        <v>64</v>
      </c>
      <c r="CW608" t="s">
        <v>681</v>
      </c>
      <c r="CX608" t="s">
        <v>18</v>
      </c>
      <c r="CY608" s="4">
        <v>43160</v>
      </c>
      <c r="CZ608" t="s">
        <v>65</v>
      </c>
      <c r="DA608" t="s">
        <v>66</v>
      </c>
      <c r="DB608">
        <v>39</v>
      </c>
      <c r="DC608">
        <v>52.1</v>
      </c>
      <c r="DD608" t="s">
        <v>69</v>
      </c>
      <c r="DE608" t="s">
        <v>70</v>
      </c>
      <c r="DF608">
        <v>2031.9</v>
      </c>
    </row>
    <row r="609" spans="66:110" x14ac:dyDescent="0.25">
      <c r="BN609" s="1">
        <f t="shared" si="336"/>
        <v>42878</v>
      </c>
      <c r="BO609" s="2">
        <f>SUM(BO$2:BO99)+AI99*B99</f>
        <v>154320.00000000006</v>
      </c>
      <c r="BP609" s="2">
        <f>SUM(BP$2:BP99)+AJ99*C99</f>
        <v>2384.1999999999971</v>
      </c>
      <c r="BQ609" s="2">
        <f>SUM(BQ$2:BQ99)+AK99*D99</f>
        <v>28669.099999999977</v>
      </c>
      <c r="BR609" s="2">
        <f>SUM(BR$2:BR99)+AL99*E99</f>
        <v>11205.999999999985</v>
      </c>
      <c r="BS609" s="2">
        <f>SUM(BS$2:BS99)+AM99*F99</f>
        <v>1585.4000000000015</v>
      </c>
      <c r="BT609" s="2">
        <f>SUM(BT$2:BT99)+AN99*G99</f>
        <v>-8828.3999999999942</v>
      </c>
      <c r="BU609" s="2">
        <f>SUM(BU$2:BU99)+AO99*H99</f>
        <v>690.89999999999418</v>
      </c>
      <c r="BV609" s="2">
        <f>SUM(BV$2:BV99)+AP99*I99</f>
        <v>0</v>
      </c>
      <c r="BW609" s="2">
        <f>SUM(BW$2:BW99)+AQ99*J99</f>
        <v>-20800</v>
      </c>
      <c r="BX609" s="2">
        <f>SUM(BX$2:BX99)+AR99*K99</f>
        <v>13940</v>
      </c>
      <c r="BY609" s="2">
        <f>SUM(BY$2:BY99)+AS99*L99</f>
        <v>-11350</v>
      </c>
      <c r="BZ609" s="2">
        <f>SUM(BZ$2:BZ99)+AT99*M99</f>
        <v>740</v>
      </c>
      <c r="CA609" s="2">
        <f>SUM(CA$2:CA99)+AU99*N99</f>
        <v>11890</v>
      </c>
      <c r="CB609" s="2">
        <f>SUM(CB$2:CB99)+AV99*O99</f>
        <v>-470</v>
      </c>
      <c r="CC609" s="2">
        <f>SUM(CC$2:CC99)+AW99*P99</f>
        <v>-20</v>
      </c>
      <c r="CD609" s="2">
        <f>SUM(CD$2:CD99)+AX99*Q99</f>
        <v>14050</v>
      </c>
      <c r="CE609" s="2">
        <f>SUM(CE$2:CE99)+AY99*R99</f>
        <v>20940</v>
      </c>
      <c r="CF609" s="2">
        <f>SUM(CF$2:CF99)+AZ99*S99</f>
        <v>4865.7799999999988</v>
      </c>
      <c r="CG609" s="2">
        <f>SUM(CG$2:CG99)+BA99*T99</f>
        <v>6441.4700000000012</v>
      </c>
      <c r="CH609" s="2">
        <f>SUM(CH$2:CH99)+BB99*U99</f>
        <v>199.69999999999709</v>
      </c>
      <c r="CI609" s="2">
        <f>SUM(CI$2:CI99)+BC99*V99</f>
        <v>-1540</v>
      </c>
      <c r="CJ609" s="2">
        <f>SUM(CJ$2:CJ99)+BD99*W99</f>
        <v>3000</v>
      </c>
      <c r="CK609" s="2">
        <f>SUM(CK$2:CK99)+BE99*X99</f>
        <v>9330</v>
      </c>
      <c r="CL609" s="2">
        <f>SUM(CL$2:CL99)+BF99*Y99</f>
        <v>41159.999999999942</v>
      </c>
      <c r="CM609" s="2">
        <f>SUM(CM$2:CM99)+BG99*Z99</f>
        <v>38165</v>
      </c>
      <c r="CN609" s="2">
        <f>SUM(CN$2:CN99)+BH99*AA99</f>
        <v>40125</v>
      </c>
      <c r="CO609" s="2">
        <f>SUM(CO$2:CO99)+BI99*AB99</f>
        <v>-21710.000000000015</v>
      </c>
      <c r="CP609" s="2">
        <f>SUM(CP$2:CP99)+BJ99*AC99</f>
        <v>820</v>
      </c>
      <c r="CQ609" s="2">
        <f>SUM(CQ$2:CQ99)+BK99*AD99</f>
        <v>10410.000000000007</v>
      </c>
      <c r="CR609" s="2">
        <f>SUM(CR$2:CR99)+BL99*AE99</f>
        <v>-6190</v>
      </c>
      <c r="CV609" t="s">
        <v>64</v>
      </c>
      <c r="CW609" t="s">
        <v>682</v>
      </c>
      <c r="CX609" t="s">
        <v>18</v>
      </c>
      <c r="CY609" s="4">
        <v>43161</v>
      </c>
      <c r="CZ609" t="s">
        <v>65</v>
      </c>
      <c r="DA609" t="s">
        <v>66</v>
      </c>
      <c r="DB609">
        <v>26</v>
      </c>
      <c r="DC609">
        <v>52.74</v>
      </c>
      <c r="DD609" t="s">
        <v>69</v>
      </c>
      <c r="DE609" t="s">
        <v>70</v>
      </c>
      <c r="DF609">
        <v>1371.24</v>
      </c>
    </row>
    <row r="610" spans="66:110" x14ac:dyDescent="0.25">
      <c r="BN610" s="1">
        <f t="shared" si="336"/>
        <v>42879</v>
      </c>
      <c r="BO610" s="2">
        <f>SUM(BO$2:BO100)+AI100*B100</f>
        <v>152745.00000000012</v>
      </c>
      <c r="BP610" s="2">
        <f>SUM(BP$2:BP100)+AJ100*C100</f>
        <v>2299.3999999999942</v>
      </c>
      <c r="BQ610" s="2">
        <f>SUM(BQ$2:BQ100)+AK100*D100</f>
        <v>30460.5</v>
      </c>
      <c r="BR610" s="2">
        <f>SUM(BR$2:BR100)+AL100*E100</f>
        <v>11534.599999999977</v>
      </c>
      <c r="BS610" s="2">
        <f>SUM(BS$2:BS100)+AM100*F100</f>
        <v>1320.4000000000015</v>
      </c>
      <c r="BT610" s="2">
        <f>SUM(BT$2:BT100)+AN100*G100</f>
        <v>-8881.4000000000087</v>
      </c>
      <c r="BU610" s="2">
        <f>SUM(BU$2:BU100)+AO100*H100</f>
        <v>1401.0999999999913</v>
      </c>
      <c r="BV610" s="2">
        <f>SUM(BV$2:BV100)+AP100*I100</f>
        <v>0</v>
      </c>
      <c r="BW610" s="2">
        <f>SUM(BW$2:BW100)+AQ100*J100</f>
        <v>-16710</v>
      </c>
      <c r="BX610" s="2">
        <f>SUM(BX$2:BX100)+AR100*K100</f>
        <v>13940</v>
      </c>
      <c r="BY610" s="2">
        <f>SUM(BY$2:BY100)+AS100*L100</f>
        <v>-10900</v>
      </c>
      <c r="BZ610" s="2">
        <f>SUM(BZ$2:BZ100)+AT100*M100</f>
        <v>740</v>
      </c>
      <c r="CA610" s="2">
        <f>SUM(CA$2:CA100)+AU100*N100</f>
        <v>11880</v>
      </c>
      <c r="CB610" s="2">
        <f>SUM(CB$2:CB100)+AV100*O100</f>
        <v>-520</v>
      </c>
      <c r="CC610" s="2">
        <f>SUM(CC$2:CC100)+AW100*P100</f>
        <v>-20</v>
      </c>
      <c r="CD610" s="2">
        <f>SUM(CD$2:CD100)+AX100*Q100</f>
        <v>14050</v>
      </c>
      <c r="CE610" s="2">
        <f>SUM(CE$2:CE100)+AY100*R100</f>
        <v>20710</v>
      </c>
      <c r="CF610" s="2">
        <f>SUM(CF$2:CF100)+AZ100*S100</f>
        <v>5229.739999999998</v>
      </c>
      <c r="CG610" s="2">
        <f>SUM(CG$2:CG100)+BA100*T100</f>
        <v>6537.320000000007</v>
      </c>
      <c r="CH610" s="2">
        <f>SUM(CH$2:CH100)+BB100*U100</f>
        <v>20.149999999994179</v>
      </c>
      <c r="CI610" s="2">
        <f>SUM(CI$2:CI100)+BC100*V100</f>
        <v>-1450</v>
      </c>
      <c r="CJ610" s="2">
        <f>SUM(CJ$2:CJ100)+BD100*W100</f>
        <v>3390</v>
      </c>
      <c r="CK610" s="2">
        <f>SUM(CK$2:CK100)+BE100*X100</f>
        <v>11180</v>
      </c>
      <c r="CL610" s="2">
        <f>SUM(CL$2:CL100)+BF100*Y100</f>
        <v>42240</v>
      </c>
      <c r="CM610" s="2">
        <f>SUM(CM$2:CM100)+BG100*Z100</f>
        <v>38202.5</v>
      </c>
      <c r="CN610" s="2">
        <f>SUM(CN$2:CN100)+BH100*AA100</f>
        <v>40125</v>
      </c>
      <c r="CO610" s="2">
        <f>SUM(CO$2:CO100)+BI100*AB100</f>
        <v>-22910</v>
      </c>
      <c r="CP610" s="2">
        <f>SUM(CP$2:CP100)+BJ100*AC100</f>
        <v>820</v>
      </c>
      <c r="CQ610" s="2">
        <f>SUM(CQ$2:CQ100)+BK100*AD100</f>
        <v>10080.000000000007</v>
      </c>
      <c r="CR610" s="2">
        <f>SUM(CR$2:CR100)+BL100*AE100</f>
        <v>-6460</v>
      </c>
      <c r="CV610" t="s">
        <v>64</v>
      </c>
      <c r="CW610" t="s">
        <v>683</v>
      </c>
      <c r="CX610" t="s">
        <v>18</v>
      </c>
      <c r="CY610" s="4">
        <v>43164</v>
      </c>
      <c r="CZ610" t="s">
        <v>67</v>
      </c>
      <c r="DA610" t="s">
        <v>68</v>
      </c>
      <c r="DB610">
        <v>40</v>
      </c>
      <c r="DC610">
        <v>52.78</v>
      </c>
      <c r="DD610" t="s">
        <v>69</v>
      </c>
      <c r="DE610" t="s">
        <v>70</v>
      </c>
      <c r="DF610">
        <v>2111.1999999999998</v>
      </c>
    </row>
    <row r="611" spans="66:110" x14ac:dyDescent="0.25">
      <c r="BN611" s="1">
        <f t="shared" si="336"/>
        <v>42880</v>
      </c>
      <c r="BO611" s="2">
        <f>SUM(BO$2:BO101)+AI101*B101</f>
        <v>154565.00000000006</v>
      </c>
      <c r="BP611" s="2">
        <f>SUM(BP$2:BP101)+AJ101*C101</f>
        <v>2631.0999999999913</v>
      </c>
      <c r="BQ611" s="2">
        <f>SUM(BQ$2:BQ101)+AK101*D101</f>
        <v>32343.699999999983</v>
      </c>
      <c r="BR611" s="2">
        <f>SUM(BR$2:BR101)+AL101*E101</f>
        <v>12625.999999999985</v>
      </c>
      <c r="BS611" s="2">
        <f>SUM(BS$2:BS101)+AM101*F101</f>
        <v>1266.9000000000015</v>
      </c>
      <c r="BT611" s="2">
        <f>SUM(BT$2:BT101)+AN101*G101</f>
        <v>-9994.1999999999971</v>
      </c>
      <c r="BU611" s="2">
        <f>SUM(BU$2:BU101)+AO101*H101</f>
        <v>941</v>
      </c>
      <c r="BV611" s="2">
        <f>SUM(BV$2:BV101)+AP101*I101</f>
        <v>0</v>
      </c>
      <c r="BW611" s="2">
        <f>SUM(BW$2:BW101)+AQ101*J101</f>
        <v>-18040</v>
      </c>
      <c r="BX611" s="2">
        <f>SUM(BX$2:BX101)+AR101*K101</f>
        <v>13940</v>
      </c>
      <c r="BY611" s="2">
        <f>SUM(BY$2:BY101)+AS101*L101</f>
        <v>-10260</v>
      </c>
      <c r="BZ611" s="2">
        <f>SUM(BZ$2:BZ101)+AT101*M101</f>
        <v>740</v>
      </c>
      <c r="CA611" s="2">
        <f>SUM(CA$2:CA101)+AU101*N101</f>
        <v>12710</v>
      </c>
      <c r="CB611" s="2">
        <f>SUM(CB$2:CB101)+AV101*O101</f>
        <v>-860</v>
      </c>
      <c r="CC611" s="2">
        <f>SUM(CC$2:CC101)+AW101*P101</f>
        <v>-20</v>
      </c>
      <c r="CD611" s="2">
        <f>SUM(CD$2:CD101)+AX101*Q101</f>
        <v>14050</v>
      </c>
      <c r="CE611" s="2">
        <f>SUM(CE$2:CE101)+AY101*R101</f>
        <v>22670</v>
      </c>
      <c r="CF611" s="2">
        <f>SUM(CF$2:CF101)+AZ101*S101</f>
        <v>5327.7400000000052</v>
      </c>
      <c r="CG611" s="2">
        <f>SUM(CG$2:CG101)+BA101*T101</f>
        <v>7436.8600000000224</v>
      </c>
      <c r="CH611" s="2">
        <f>SUM(CH$2:CH101)+BB101*U101</f>
        <v>382.49000000000524</v>
      </c>
      <c r="CI611" s="2">
        <f>SUM(CI$2:CI101)+BC101*V101</f>
        <v>-1560</v>
      </c>
      <c r="CJ611" s="2">
        <f>SUM(CJ$2:CJ101)+BD101*W101</f>
        <v>3730</v>
      </c>
      <c r="CK611" s="2">
        <f>SUM(CK$2:CK101)+BE101*X101</f>
        <v>19230</v>
      </c>
      <c r="CL611" s="2">
        <f>SUM(CL$2:CL101)+BF101*Y101</f>
        <v>49440</v>
      </c>
      <c r="CM611" s="2">
        <f>SUM(CM$2:CM101)+BG101*Z101</f>
        <v>38840</v>
      </c>
      <c r="CN611" s="2">
        <f>SUM(CN$2:CN101)+BH101*AA101</f>
        <v>40125</v>
      </c>
      <c r="CO611" s="2">
        <f>SUM(CO$2:CO101)+BI101*AB101</f>
        <v>-22160</v>
      </c>
      <c r="CP611" s="2">
        <f>SUM(CP$2:CP101)+BJ101*AC101</f>
        <v>820</v>
      </c>
      <c r="CQ611" s="2">
        <f>SUM(CQ$2:CQ101)+BK101*AD101</f>
        <v>10240.000000000007</v>
      </c>
      <c r="CR611" s="2">
        <f>SUM(CR$2:CR101)+BL101*AE101</f>
        <v>-6970</v>
      </c>
      <c r="CV611" t="s">
        <v>64</v>
      </c>
      <c r="CW611" t="s">
        <v>684</v>
      </c>
      <c r="CX611" t="s">
        <v>18</v>
      </c>
      <c r="CY611" s="4">
        <v>43165</v>
      </c>
      <c r="CZ611" t="s">
        <v>65</v>
      </c>
      <c r="DA611" t="s">
        <v>66</v>
      </c>
      <c r="DB611">
        <v>37</v>
      </c>
      <c r="DC611">
        <v>52.69</v>
      </c>
      <c r="DD611" t="s">
        <v>69</v>
      </c>
      <c r="DE611" t="s">
        <v>70</v>
      </c>
      <c r="DF611">
        <v>1949.53</v>
      </c>
    </row>
    <row r="612" spans="66:110" x14ac:dyDescent="0.25">
      <c r="BN612" s="1">
        <f t="shared" si="336"/>
        <v>42881</v>
      </c>
      <c r="BO612" s="2">
        <f>SUM(BO$2:BO102)+AI102*B102</f>
        <v>153460.00000000006</v>
      </c>
      <c r="BP612" s="2">
        <f>SUM(BP$2:BP102)+AJ102*C102</f>
        <v>2652.5</v>
      </c>
      <c r="BQ612" s="2">
        <f>SUM(BQ$2:BQ102)+AK102*D102</f>
        <v>31851.499999999971</v>
      </c>
      <c r="BR612" s="2">
        <f>SUM(BR$2:BR102)+AL102*E102</f>
        <v>13289.39999999998</v>
      </c>
      <c r="BS612" s="2">
        <f>SUM(BS$2:BS102)+AM102*F102</f>
        <v>1331.1000000000022</v>
      </c>
      <c r="BT612" s="2">
        <f>SUM(BT$2:BT102)+AN102*G102</f>
        <v>-10379.399999999994</v>
      </c>
      <c r="BU612" s="2">
        <f>SUM(BU$2:BU102)+AO102*H102</f>
        <v>2117.9999999999854</v>
      </c>
      <c r="BV612" s="2">
        <f>SUM(BV$2:BV102)+AP102*I102</f>
        <v>0</v>
      </c>
      <c r="BW612" s="2">
        <f>SUM(BW$2:BW102)+AQ102*J102</f>
        <v>-17000</v>
      </c>
      <c r="BX612" s="2">
        <f>SUM(BX$2:BX102)+AR102*K102</f>
        <v>13940</v>
      </c>
      <c r="BY612" s="2">
        <f>SUM(BY$2:BY102)+AS102*L102</f>
        <v>-10920</v>
      </c>
      <c r="BZ612" s="2">
        <f>SUM(BZ$2:BZ102)+AT102*M102</f>
        <v>740</v>
      </c>
      <c r="CA612" s="2">
        <f>SUM(CA$2:CA102)+AU102*N102</f>
        <v>12120</v>
      </c>
      <c r="CB612" s="2">
        <f>SUM(CB$2:CB102)+AV102*O102</f>
        <v>-860</v>
      </c>
      <c r="CC612" s="2">
        <f>SUM(CC$2:CC102)+AW102*P102</f>
        <v>-20</v>
      </c>
      <c r="CD612" s="2">
        <f>SUM(CD$2:CD102)+AX102*Q102</f>
        <v>14050</v>
      </c>
      <c r="CE612" s="2">
        <f>SUM(CE$2:CE102)+AY102*R102</f>
        <v>23750</v>
      </c>
      <c r="CF612" s="2">
        <f>SUM(CF$2:CF102)+AZ102*S102</f>
        <v>5218.510000000002</v>
      </c>
      <c r="CG612" s="2">
        <f>SUM(CG$2:CG102)+BA102*T102</f>
        <v>7761.5800000000236</v>
      </c>
      <c r="CH612" s="2">
        <f>SUM(CH$2:CH102)+BB102*U102</f>
        <v>614.56999999999971</v>
      </c>
      <c r="CI612" s="2">
        <f>SUM(CI$2:CI102)+BC102*V102</f>
        <v>-1540</v>
      </c>
      <c r="CJ612" s="2">
        <f>SUM(CJ$2:CJ102)+BD102*W102</f>
        <v>4100</v>
      </c>
      <c r="CK612" s="2">
        <f>SUM(CK$2:CK102)+BE102*X102</f>
        <v>18930</v>
      </c>
      <c r="CL612" s="2">
        <f>SUM(CL$2:CL102)+BF102*Y102</f>
        <v>47819.999999999942</v>
      </c>
      <c r="CM612" s="2">
        <f>SUM(CM$2:CM102)+BG102*Z102</f>
        <v>37085</v>
      </c>
      <c r="CN612" s="2">
        <f>SUM(CN$2:CN102)+BH102*AA102</f>
        <v>40125</v>
      </c>
      <c r="CO612" s="2">
        <f>SUM(CO$2:CO102)+BI102*AB102</f>
        <v>-22129.999999999985</v>
      </c>
      <c r="CP612" s="2">
        <f>SUM(CP$2:CP102)+BJ102*AC102</f>
        <v>820</v>
      </c>
      <c r="CQ612" s="2">
        <f>SUM(CQ$2:CQ102)+BK102*AD102</f>
        <v>10060.000000000007</v>
      </c>
      <c r="CR612" s="2">
        <f>SUM(CR$2:CR102)+BL102*AE102</f>
        <v>-7150</v>
      </c>
      <c r="CV612" t="s">
        <v>64</v>
      </c>
      <c r="CW612" t="s">
        <v>685</v>
      </c>
      <c r="CX612" t="s">
        <v>18</v>
      </c>
      <c r="CY612" s="4">
        <v>43166</v>
      </c>
      <c r="CZ612" t="s">
        <v>67</v>
      </c>
      <c r="DA612" t="s">
        <v>68</v>
      </c>
      <c r="DB612">
        <v>59</v>
      </c>
      <c r="DC612">
        <v>52.85</v>
      </c>
      <c r="DD612" t="s">
        <v>69</v>
      </c>
      <c r="DE612" t="s">
        <v>70</v>
      </c>
      <c r="DF612">
        <v>3118.15</v>
      </c>
    </row>
    <row r="613" spans="66:110" x14ac:dyDescent="0.25">
      <c r="BN613" s="1">
        <f t="shared" si="336"/>
        <v>42885</v>
      </c>
      <c r="BO613" s="2">
        <f>SUM(BO$2:BO103)+AI103*B103</f>
        <v>153715</v>
      </c>
      <c r="BP613" s="2">
        <f>SUM(BP$2:BP103)+AJ103*C103</f>
        <v>2267.3000000000029</v>
      </c>
      <c r="BQ613" s="2">
        <f>SUM(BQ$2:BQ103)+AK103*D103</f>
        <v>32151.099999999977</v>
      </c>
      <c r="BR613" s="2">
        <f>SUM(BR$2:BR103)+AL103*E103</f>
        <v>13096.799999999988</v>
      </c>
      <c r="BS613" s="2">
        <f>SUM(BS$2:BS103)+AM103*F103</f>
        <v>1513</v>
      </c>
      <c r="BT613" s="2">
        <f>SUM(BT$2:BT103)+AN103*G103</f>
        <v>-11042.800000000003</v>
      </c>
      <c r="BU613" s="2">
        <f>SUM(BU$2:BU103)+AO103*H103</f>
        <v>2053.7999999999884</v>
      </c>
      <c r="BV613" s="2">
        <f>SUM(BV$2:BV103)+AP103*I103</f>
        <v>0</v>
      </c>
      <c r="BW613" s="2">
        <f>SUM(BW$2:BW103)+AQ103*J103</f>
        <v>-21270</v>
      </c>
      <c r="BX613" s="2">
        <f>SUM(BX$2:BX103)+AR103*K103</f>
        <v>13940</v>
      </c>
      <c r="BY613" s="2">
        <f>SUM(BY$2:BY103)+AS103*L103</f>
        <v>-11620</v>
      </c>
      <c r="BZ613" s="2">
        <f>SUM(BZ$2:BZ103)+AT103*M103</f>
        <v>740</v>
      </c>
      <c r="CA613" s="2">
        <f>SUM(CA$2:CA103)+AU103*N103</f>
        <v>12300</v>
      </c>
      <c r="CB613" s="2">
        <f>SUM(CB$2:CB103)+AV103*O103</f>
        <v>-2260</v>
      </c>
      <c r="CC613" s="2">
        <f>SUM(CC$2:CC103)+AW103*P103</f>
        <v>-20</v>
      </c>
      <c r="CD613" s="2">
        <f>SUM(CD$2:CD103)+AX103*Q103</f>
        <v>14050</v>
      </c>
      <c r="CE613" s="2">
        <f>SUM(CE$2:CE103)+AY103*R103</f>
        <v>25450</v>
      </c>
      <c r="CF613" s="2">
        <f>SUM(CF$2:CF103)+AZ103*S103</f>
        <v>5178.3099999999977</v>
      </c>
      <c r="CG613" s="2">
        <f>SUM(CG$2:CG103)+BA103*T103</f>
        <v>8191.900000000016</v>
      </c>
      <c r="CH613" s="2">
        <f>SUM(CH$2:CH103)+BB103*U103</f>
        <v>938.41000000000349</v>
      </c>
      <c r="CI613" s="2">
        <f>SUM(CI$2:CI103)+BC103*V103</f>
        <v>-1530</v>
      </c>
      <c r="CJ613" s="2">
        <f>SUM(CJ$2:CJ103)+BD103*W103</f>
        <v>4240</v>
      </c>
      <c r="CK613" s="2">
        <f>SUM(CK$2:CK103)+BE103*X103</f>
        <v>19280</v>
      </c>
      <c r="CL613" s="2">
        <f>SUM(CL$2:CL103)+BF103*Y103</f>
        <v>45180</v>
      </c>
      <c r="CM613" s="2">
        <f>SUM(CM$2:CM103)+BG103*Z103</f>
        <v>34335</v>
      </c>
      <c r="CN613" s="2">
        <f>SUM(CN$2:CN103)+BH103*AA103</f>
        <v>40125</v>
      </c>
      <c r="CO613" s="2">
        <f>SUM(CO$2:CO103)+BI103*AB103</f>
        <v>-19700</v>
      </c>
      <c r="CP613" s="2">
        <f>SUM(CP$2:CP103)+BJ103*AC103</f>
        <v>820</v>
      </c>
      <c r="CQ613" s="2">
        <f>SUM(CQ$2:CQ103)+BK103*AD103</f>
        <v>10080.000000000007</v>
      </c>
      <c r="CR613" s="2">
        <f>SUM(CR$2:CR103)+BL103*AE103</f>
        <v>-7570</v>
      </c>
      <c r="CV613" t="s">
        <v>64</v>
      </c>
      <c r="CW613" t="s">
        <v>686</v>
      </c>
      <c r="CX613" t="s">
        <v>18</v>
      </c>
      <c r="CY613" s="4">
        <v>43167</v>
      </c>
      <c r="CZ613" t="s">
        <v>67</v>
      </c>
      <c r="DA613" t="s">
        <v>68</v>
      </c>
      <c r="DB613">
        <v>2</v>
      </c>
      <c r="DC613">
        <v>53.13</v>
      </c>
      <c r="DD613" t="s">
        <v>69</v>
      </c>
      <c r="DE613" t="s">
        <v>70</v>
      </c>
      <c r="DF613">
        <v>106.26</v>
      </c>
    </row>
    <row r="614" spans="66:110" x14ac:dyDescent="0.25">
      <c r="BN614" s="1">
        <f t="shared" si="336"/>
        <v>42886</v>
      </c>
      <c r="BO614" s="2">
        <f>SUM(BO$2:BO104)+AI104*B104</f>
        <v>149315</v>
      </c>
      <c r="BP614" s="2">
        <f>SUM(BP$2:BP104)+AJ104*C104</f>
        <v>2106.7999999999884</v>
      </c>
      <c r="BQ614" s="2">
        <f>SUM(BQ$2:BQ104)+AK104*D104</f>
        <v>32921.499999999971</v>
      </c>
      <c r="BR614" s="2">
        <f>SUM(BR$2:BR104)+AL104*E104</f>
        <v>13053.999999999971</v>
      </c>
      <c r="BS614" s="2">
        <f>SUM(BS$2:BS104)+AM104*F104</f>
        <v>1363.2000000000007</v>
      </c>
      <c r="BT614" s="2">
        <f>SUM(BT$2:BT104)+AN104*G104</f>
        <v>-11620.599999999991</v>
      </c>
      <c r="BU614" s="2">
        <f>SUM(BU$2:BU104)+AO104*H104</f>
        <v>1636.4999999999854</v>
      </c>
      <c r="BV614" s="2">
        <f>SUM(BV$2:BV104)+AP104*I104</f>
        <v>0</v>
      </c>
      <c r="BW614" s="2">
        <f>SUM(BW$2:BW104)+AQ104*J104</f>
        <v>-28290</v>
      </c>
      <c r="BX614" s="2">
        <f>SUM(BX$2:BX104)+AR104*K104</f>
        <v>13940</v>
      </c>
      <c r="BY614" s="2">
        <f>SUM(BY$2:BY104)+AS104*L104</f>
        <v>-10790</v>
      </c>
      <c r="BZ614" s="2">
        <f>SUM(BZ$2:BZ104)+AT104*M104</f>
        <v>740</v>
      </c>
      <c r="CA614" s="2">
        <f>SUM(CA$2:CA104)+AU104*N104</f>
        <v>13400</v>
      </c>
      <c r="CB614" s="2">
        <f>SUM(CB$2:CB104)+AV104*O104</f>
        <v>-3930</v>
      </c>
      <c r="CC614" s="2">
        <f>SUM(CC$2:CC104)+AW104*P104</f>
        <v>-20</v>
      </c>
      <c r="CD614" s="2">
        <f>SUM(CD$2:CD104)+AX104*Q104</f>
        <v>14050</v>
      </c>
      <c r="CE614" s="2">
        <f>SUM(CE$2:CE104)+AY104*R104</f>
        <v>27390</v>
      </c>
      <c r="CF614" s="2">
        <f>SUM(CF$2:CF104)+AZ104*S104</f>
        <v>5395.2299999999959</v>
      </c>
      <c r="CG614" s="2">
        <f>SUM(CG$2:CG104)+BA104*T104</f>
        <v>7624.8500000000131</v>
      </c>
      <c r="CH614" s="2">
        <f>SUM(CH$2:CH104)+BB104*U104</f>
        <v>1010.2300000000032</v>
      </c>
      <c r="CI614" s="2">
        <f>SUM(CI$2:CI104)+BC104*V104</f>
        <v>-2020</v>
      </c>
      <c r="CJ614" s="2">
        <f>SUM(CJ$2:CJ104)+BD104*W104</f>
        <v>4890</v>
      </c>
      <c r="CK614" s="2">
        <f>SUM(CK$2:CK104)+BE104*X104</f>
        <v>24630</v>
      </c>
      <c r="CL614" s="2">
        <f>SUM(CL$2:CL104)+BF104*Y104</f>
        <v>41040</v>
      </c>
      <c r="CM614" s="2">
        <f>SUM(CM$2:CM104)+BG104*Z104</f>
        <v>34385</v>
      </c>
      <c r="CN614" s="2">
        <f>SUM(CN$2:CN104)+BH104*AA104</f>
        <v>38850</v>
      </c>
      <c r="CO614" s="2">
        <f>SUM(CO$2:CO104)+BI104*AB104</f>
        <v>-18500.000000000015</v>
      </c>
      <c r="CP614" s="2">
        <f>SUM(CP$2:CP104)+BJ104*AC104</f>
        <v>820</v>
      </c>
      <c r="CQ614" s="2">
        <f>SUM(CQ$2:CQ104)+BK104*AD104</f>
        <v>10520.000000000007</v>
      </c>
      <c r="CR614" s="2">
        <f>SUM(CR$2:CR104)+BL104*AE104</f>
        <v>-8130</v>
      </c>
      <c r="CV614" t="s">
        <v>64</v>
      </c>
      <c r="CW614" t="s">
        <v>687</v>
      </c>
      <c r="CX614" t="s">
        <v>18</v>
      </c>
      <c r="CY614" s="4">
        <v>43168</v>
      </c>
      <c r="CZ614" t="s">
        <v>65</v>
      </c>
      <c r="DA614" t="s">
        <v>66</v>
      </c>
      <c r="DB614">
        <v>61</v>
      </c>
      <c r="DC614">
        <v>53.5</v>
      </c>
      <c r="DD614" t="s">
        <v>69</v>
      </c>
      <c r="DE614" t="s">
        <v>70</v>
      </c>
      <c r="DF614">
        <v>3263.5</v>
      </c>
    </row>
    <row r="615" spans="66:110" x14ac:dyDescent="0.25">
      <c r="BN615" s="1">
        <f t="shared" si="336"/>
        <v>42887</v>
      </c>
      <c r="BO615" s="2">
        <f>SUM(BO$2:BO105)+AI105*B105</f>
        <v>151365</v>
      </c>
      <c r="BP615" s="2">
        <f>SUM(BP$2:BP105)+AJ105*C105</f>
        <v>3508.5</v>
      </c>
      <c r="BQ615" s="2">
        <f>SUM(BQ$2:BQ105)+AK105*D105</f>
        <v>32600.5</v>
      </c>
      <c r="BR615" s="2">
        <f>SUM(BR$2:BR105)+AL105*E105</f>
        <v>13278.699999999983</v>
      </c>
      <c r="BS615" s="2">
        <f>SUM(BS$2:BS105)+AM105*F105</f>
        <v>1652.1000000000022</v>
      </c>
      <c r="BT615" s="2">
        <f>SUM(BT$2:BT105)+AN105*G105</f>
        <v>-10828.800000000003</v>
      </c>
      <c r="BU615" s="2">
        <f>SUM(BU$2:BU105)+AO105*H105</f>
        <v>1914.6999999999971</v>
      </c>
      <c r="BV615" s="2">
        <f>SUM(BV$2:BV105)+AP105*I105</f>
        <v>0</v>
      </c>
      <c r="BW615" s="2">
        <f>SUM(BW$2:BW105)+AQ105*J105</f>
        <v>-24620</v>
      </c>
      <c r="BX615" s="2">
        <f>SUM(BX$2:BX105)+AR105*K105</f>
        <v>13940</v>
      </c>
      <c r="BY615" s="2">
        <f>SUM(BY$2:BY105)+AS105*L105</f>
        <v>-10750</v>
      </c>
      <c r="BZ615" s="2">
        <f>SUM(BZ$2:BZ105)+AT105*M105</f>
        <v>740</v>
      </c>
      <c r="CA615" s="2">
        <f>SUM(CA$2:CA105)+AU105*N105</f>
        <v>13910</v>
      </c>
      <c r="CB615" s="2">
        <f>SUM(CB$2:CB105)+AV105*O105</f>
        <v>-3060</v>
      </c>
      <c r="CC615" s="2">
        <f>SUM(CC$2:CC105)+AW105*P105</f>
        <v>-20</v>
      </c>
      <c r="CD615" s="2">
        <f>SUM(CD$2:CD105)+AX105*Q105</f>
        <v>14050</v>
      </c>
      <c r="CE615" s="2">
        <f>SUM(CE$2:CE105)+AY105*R105</f>
        <v>27280</v>
      </c>
      <c r="CF615" s="2">
        <f>SUM(CF$2:CF105)+AZ105*S105</f>
        <v>5534.25</v>
      </c>
      <c r="CG615" s="2">
        <f>SUM(CG$2:CG105)+BA105*T105</f>
        <v>7888.8500000000276</v>
      </c>
      <c r="CH615" s="2">
        <f>SUM(CH$2:CH105)+BB105*U105</f>
        <v>516.2300000000032</v>
      </c>
      <c r="CI615" s="2">
        <f>SUM(CI$2:CI105)+BC105*V105</f>
        <v>-2070</v>
      </c>
      <c r="CJ615" s="2">
        <f>SUM(CJ$2:CJ105)+BD105*W105</f>
        <v>4930</v>
      </c>
      <c r="CK615" s="2">
        <f>SUM(CK$2:CK105)+BE105*X105</f>
        <v>27280</v>
      </c>
      <c r="CL615" s="2">
        <f>SUM(CL$2:CL105)+BF105*Y105</f>
        <v>53910</v>
      </c>
      <c r="CM615" s="2">
        <f>SUM(CM$2:CM105)+BG105*Z105</f>
        <v>36835</v>
      </c>
      <c r="CN615" s="2">
        <f>SUM(CN$2:CN105)+BH105*AA105</f>
        <v>38450</v>
      </c>
      <c r="CO615" s="2">
        <f>SUM(CO$2:CO105)+BI105*AB105</f>
        <v>-18860</v>
      </c>
      <c r="CP615" s="2">
        <f>SUM(CP$2:CP105)+BJ105*AC105</f>
        <v>820</v>
      </c>
      <c r="CQ615" s="2">
        <f>SUM(CQ$2:CQ105)+BK105*AD105</f>
        <v>11690.000000000007</v>
      </c>
      <c r="CR615" s="2">
        <f>SUM(CR$2:CR105)+BL105*AE105</f>
        <v>-7940</v>
      </c>
      <c r="CV615" t="s">
        <v>64</v>
      </c>
      <c r="CW615" t="s">
        <v>688</v>
      </c>
      <c r="CX615" t="s">
        <v>18</v>
      </c>
      <c r="CY615" s="4">
        <v>43171</v>
      </c>
      <c r="CZ615" t="s">
        <v>67</v>
      </c>
      <c r="DA615" t="s">
        <v>68</v>
      </c>
      <c r="DB615">
        <v>81</v>
      </c>
      <c r="DC615">
        <v>53.71</v>
      </c>
      <c r="DD615" t="s">
        <v>69</v>
      </c>
      <c r="DE615" t="s">
        <v>70</v>
      </c>
      <c r="DF615">
        <v>4350.51</v>
      </c>
    </row>
    <row r="616" spans="66:110" x14ac:dyDescent="0.25">
      <c r="BN616" s="1">
        <f t="shared" si="336"/>
        <v>42888</v>
      </c>
      <c r="BO616" s="2">
        <f>SUM(BO$2:BO106)+AI106*B106</f>
        <v>162415.00000000012</v>
      </c>
      <c r="BP616" s="2">
        <f>SUM(BP$2:BP106)+AJ106*C106</f>
        <v>3733.1999999999825</v>
      </c>
      <c r="BQ616" s="2">
        <f>SUM(BQ$2:BQ106)+AK106*D106</f>
        <v>35607.199999999983</v>
      </c>
      <c r="BR616" s="2">
        <f>SUM(BR$2:BR106)+AL106*E106</f>
        <v>13588.999999999971</v>
      </c>
      <c r="BS616" s="2">
        <f>SUM(BS$2:BS106)+AM106*F106</f>
        <v>1812.6000000000022</v>
      </c>
      <c r="BT616" s="2">
        <f>SUM(BT$2:BT106)+AN106*G106</f>
        <v>-11995.100000000006</v>
      </c>
      <c r="BU616" s="2">
        <f>SUM(BU$2:BU106)+AO106*H106</f>
        <v>844.69999999999709</v>
      </c>
      <c r="BV616" s="2">
        <f>SUM(BV$2:BV106)+AP106*I106</f>
        <v>0</v>
      </c>
      <c r="BW616" s="2">
        <f>SUM(BW$2:BW106)+AQ106*J106</f>
        <v>-26280</v>
      </c>
      <c r="BX616" s="2">
        <f>SUM(BX$2:BX106)+AR106*K106</f>
        <v>13940</v>
      </c>
      <c r="BY616" s="2">
        <f>SUM(BY$2:BY106)+AS106*L106</f>
        <v>-11330</v>
      </c>
      <c r="BZ616" s="2">
        <f>SUM(BZ$2:BZ106)+AT106*M106</f>
        <v>740</v>
      </c>
      <c r="CA616" s="2">
        <f>SUM(CA$2:CA106)+AU106*N106</f>
        <v>15160</v>
      </c>
      <c r="CB616" s="2">
        <f>SUM(CB$2:CB106)+AV106*O106</f>
        <v>-3460</v>
      </c>
      <c r="CC616" s="2">
        <f>SUM(CC$2:CC106)+AW106*P106</f>
        <v>-20</v>
      </c>
      <c r="CD616" s="2">
        <f>SUM(CD$2:CD106)+AX106*Q106</f>
        <v>14050</v>
      </c>
      <c r="CE616" s="2">
        <f>SUM(CE$2:CE106)+AY106*R106</f>
        <v>29520</v>
      </c>
      <c r="CF616" s="2">
        <f>SUM(CF$2:CF106)+AZ106*S106</f>
        <v>5736.8499999999913</v>
      </c>
      <c r="CG616" s="2">
        <f>SUM(CG$2:CG106)+BA106*T106</f>
        <v>9461.8200000000215</v>
      </c>
      <c r="CH616" s="2">
        <f>SUM(CH$2:CH106)+BB106*U106</f>
        <v>1213.7000000000044</v>
      </c>
      <c r="CI616" s="2">
        <f>SUM(CI$2:CI106)+BC106*V106</f>
        <v>-1920</v>
      </c>
      <c r="CJ616" s="2">
        <f>SUM(CJ$2:CJ106)+BD106*W106</f>
        <v>5370</v>
      </c>
      <c r="CK616" s="2">
        <f>SUM(CK$2:CK106)+BE106*X106</f>
        <v>26080</v>
      </c>
      <c r="CL616" s="2">
        <f>SUM(CL$2:CL106)+BF106*Y106</f>
        <v>53370</v>
      </c>
      <c r="CM616" s="2">
        <f>SUM(CM$2:CM106)+BG106*Z106</f>
        <v>38385</v>
      </c>
      <c r="CN616" s="2">
        <f>SUM(CN$2:CN106)+BH106*AA106</f>
        <v>40325</v>
      </c>
      <c r="CO616" s="2">
        <f>SUM(CO$2:CO106)+BI106*AB106</f>
        <v>-19040.000000000015</v>
      </c>
      <c r="CP616" s="2">
        <f>SUM(CP$2:CP106)+BJ106*AC106</f>
        <v>820</v>
      </c>
      <c r="CQ616" s="2">
        <f>SUM(CQ$2:CQ106)+BK106*AD106</f>
        <v>11500.000000000007</v>
      </c>
      <c r="CR616" s="2">
        <f>SUM(CR$2:CR106)+BL106*AE106</f>
        <v>-9060</v>
      </c>
      <c r="CV616" t="s">
        <v>64</v>
      </c>
      <c r="CW616" t="s">
        <v>689</v>
      </c>
      <c r="CX616" t="s">
        <v>18</v>
      </c>
      <c r="CY616" s="4">
        <v>43172</v>
      </c>
      <c r="CZ616" t="s">
        <v>65</v>
      </c>
      <c r="DA616" t="s">
        <v>66</v>
      </c>
      <c r="DB616">
        <v>28</v>
      </c>
      <c r="DC616">
        <v>53.72</v>
      </c>
      <c r="DD616" t="s">
        <v>69</v>
      </c>
      <c r="DE616" t="s">
        <v>70</v>
      </c>
      <c r="DF616">
        <v>1504.1599999999999</v>
      </c>
    </row>
    <row r="617" spans="66:110" x14ac:dyDescent="0.25">
      <c r="BN617" s="1">
        <f t="shared" si="336"/>
        <v>42891</v>
      </c>
      <c r="BO617" s="2">
        <f>SUM(BO$2:BO107)+AI107*B107</f>
        <v>155015</v>
      </c>
      <c r="BP617" s="2">
        <f>SUM(BP$2:BP107)+AJ107*C107</f>
        <v>4236.0999999999913</v>
      </c>
      <c r="BQ617" s="2">
        <f>SUM(BQ$2:BQ107)+AK107*D107</f>
        <v>34280.399999999994</v>
      </c>
      <c r="BR617" s="2">
        <f>SUM(BR$2:BR107)+AL107*E107</f>
        <v>12818.599999999977</v>
      </c>
      <c r="BS617" s="2">
        <f>SUM(BS$2:BS107)+AM107*F107</f>
        <v>1587.9000000000015</v>
      </c>
      <c r="BT617" s="2">
        <f>SUM(BT$2:BT107)+AN107*G107</f>
        <v>-11909.500000000015</v>
      </c>
      <c r="BU617" s="2">
        <f>SUM(BU$2:BU107)+AO107*H107</f>
        <v>159.89999999999418</v>
      </c>
      <c r="BV617" s="2">
        <f>SUM(BV$2:BV107)+AP107*I107</f>
        <v>0</v>
      </c>
      <c r="BW617" s="2">
        <f>SUM(BW$2:BW107)+AQ107*J107</f>
        <v>-25620</v>
      </c>
      <c r="BX617" s="2">
        <f>SUM(BX$2:BX107)+AR107*K107</f>
        <v>13940</v>
      </c>
      <c r="BY617" s="2">
        <f>SUM(BY$2:BY107)+AS107*L107</f>
        <v>-10990</v>
      </c>
      <c r="BZ617" s="2">
        <f>SUM(BZ$2:BZ107)+AT107*M107</f>
        <v>740</v>
      </c>
      <c r="CA617" s="2">
        <f>SUM(CA$2:CA107)+AU107*N107</f>
        <v>15430</v>
      </c>
      <c r="CB617" s="2">
        <f>SUM(CB$2:CB107)+AV107*O107</f>
        <v>-3320</v>
      </c>
      <c r="CC617" s="2">
        <f>SUM(CC$2:CC107)+AW107*P107</f>
        <v>-20</v>
      </c>
      <c r="CD617" s="2">
        <f>SUM(CD$2:CD107)+AX107*Q107</f>
        <v>14050</v>
      </c>
      <c r="CE617" s="2">
        <f>SUM(CE$2:CE107)+AY107*R107</f>
        <v>29060</v>
      </c>
      <c r="CF617" s="2">
        <f>SUM(CF$2:CF107)+AZ107*S107</f>
        <v>5370.5299999999988</v>
      </c>
      <c r="CG617" s="2">
        <f>SUM(CG$2:CG107)+BA107*T107</f>
        <v>9980.4900000000125</v>
      </c>
      <c r="CH617" s="2">
        <f>SUM(CH$2:CH107)+BB107*U107</f>
        <v>1244.0600000000049</v>
      </c>
      <c r="CI617" s="2">
        <f>SUM(CI$2:CI107)+BC107*V107</f>
        <v>-1740</v>
      </c>
      <c r="CJ617" s="2">
        <f>SUM(CJ$2:CJ107)+BD107*W107</f>
        <v>5510</v>
      </c>
      <c r="CK617" s="2">
        <f>SUM(CK$2:CK107)+BE107*X107</f>
        <v>27180</v>
      </c>
      <c r="CL617" s="2">
        <f>SUM(CL$2:CL107)+BF107*Y107</f>
        <v>53310</v>
      </c>
      <c r="CM617" s="2">
        <f>SUM(CM$2:CM107)+BG107*Z107</f>
        <v>32935</v>
      </c>
      <c r="CN617" s="2">
        <f>SUM(CN$2:CN107)+BH107*AA107</f>
        <v>42275</v>
      </c>
      <c r="CO617" s="2">
        <f>SUM(CO$2:CO107)+BI107*AB107</f>
        <v>-19250.000000000015</v>
      </c>
      <c r="CP617" s="2">
        <f>SUM(CP$2:CP107)+BJ107*AC107</f>
        <v>820</v>
      </c>
      <c r="CQ617" s="2">
        <f>SUM(CQ$2:CQ107)+BK107*AD107</f>
        <v>12120.000000000007</v>
      </c>
      <c r="CR617" s="2">
        <f>SUM(CR$2:CR107)+BL107*AE107</f>
        <v>-8480</v>
      </c>
      <c r="CV617" t="s">
        <v>64</v>
      </c>
      <c r="CW617" t="s">
        <v>690</v>
      </c>
      <c r="CX617" t="s">
        <v>18</v>
      </c>
      <c r="CY617" s="4">
        <v>43173</v>
      </c>
      <c r="CZ617" t="s">
        <v>65</v>
      </c>
      <c r="DA617" t="s">
        <v>66</v>
      </c>
      <c r="DB617">
        <v>19</v>
      </c>
      <c r="DC617">
        <v>53.64</v>
      </c>
      <c r="DD617" t="s">
        <v>69</v>
      </c>
      <c r="DE617" t="s">
        <v>70</v>
      </c>
      <c r="DF617">
        <v>1019.16</v>
      </c>
    </row>
    <row r="618" spans="66:110" x14ac:dyDescent="0.25">
      <c r="BN618" s="1">
        <f t="shared" si="336"/>
        <v>42892</v>
      </c>
      <c r="BO618" s="2">
        <f>SUM(BO$2:BO108)+AI108*B108</f>
        <v>157515</v>
      </c>
      <c r="BP618" s="2">
        <f>SUM(BP$2:BP108)+AJ108*C108</f>
        <v>4107.6999999999971</v>
      </c>
      <c r="BQ618" s="2">
        <f>SUM(BQ$2:BQ108)+AK108*D108</f>
        <v>32011.999999999971</v>
      </c>
      <c r="BR618" s="2">
        <f>SUM(BR$2:BR108)+AL108*E108</f>
        <v>12144.499999999985</v>
      </c>
      <c r="BS618" s="2">
        <f>SUM(BS$2:BS108)+AM108*F108</f>
        <v>1384.6000000000022</v>
      </c>
      <c r="BT618" s="2">
        <f>SUM(BT$2:BT108)+AN108*G108</f>
        <v>-10935.800000000003</v>
      </c>
      <c r="BU618" s="2">
        <f>SUM(BU$2:BU108)+AO108*H108</f>
        <v>-899.39999999999418</v>
      </c>
      <c r="BV618" s="2">
        <f>SUM(BV$2:BV108)+AP108*I108</f>
        <v>0</v>
      </c>
      <c r="BW618" s="2">
        <f>SUM(BW$2:BW108)+AQ108*J108</f>
        <v>-25090</v>
      </c>
      <c r="BX618" s="2">
        <f>SUM(BX$2:BX108)+AR108*K108</f>
        <v>13940</v>
      </c>
      <c r="BY618" s="2">
        <f>SUM(BY$2:BY108)+AS108*L108</f>
        <v>-11030</v>
      </c>
      <c r="BZ618" s="2">
        <f>SUM(BZ$2:BZ108)+AT108*M108</f>
        <v>740</v>
      </c>
      <c r="CA618" s="2">
        <f>SUM(CA$2:CA108)+AU108*N108</f>
        <v>15880</v>
      </c>
      <c r="CB618" s="2">
        <f>SUM(CB$2:CB108)+AV108*O108</f>
        <v>-3160</v>
      </c>
      <c r="CC618" s="2">
        <f>SUM(CC$2:CC108)+AW108*P108</f>
        <v>-20</v>
      </c>
      <c r="CD618" s="2">
        <f>SUM(CD$2:CD108)+AX108*Q108</f>
        <v>14050</v>
      </c>
      <c r="CE618" s="2">
        <f>SUM(CE$2:CE108)+AY108*R108</f>
        <v>28290</v>
      </c>
      <c r="CF618" s="2">
        <f>SUM(CF$2:CF108)+AZ108*S108</f>
        <v>4971.5299999999988</v>
      </c>
      <c r="CG618" s="2">
        <f>SUM(CG$2:CG108)+BA108*T108</f>
        <v>10204.970000000016</v>
      </c>
      <c r="CH618" s="2">
        <f>SUM(CH$2:CH108)+BB108*U108</f>
        <v>669.54000000000815</v>
      </c>
      <c r="CI618" s="2">
        <f>SUM(CI$2:CI108)+BC108*V108</f>
        <v>-1470</v>
      </c>
      <c r="CJ618" s="2">
        <f>SUM(CJ$2:CJ108)+BD108*W108</f>
        <v>5560</v>
      </c>
      <c r="CK618" s="2">
        <f>SUM(CK$2:CK108)+BE108*X108</f>
        <v>20730</v>
      </c>
      <c r="CL618" s="2">
        <f>SUM(CL$2:CL108)+BF108*Y108</f>
        <v>57540</v>
      </c>
      <c r="CM618" s="2">
        <f>SUM(CM$2:CM108)+BG108*Z108</f>
        <v>28785</v>
      </c>
      <c r="CN618" s="2">
        <f>SUM(CN$2:CN108)+BH108*AA108</f>
        <v>38525</v>
      </c>
      <c r="CO618" s="2">
        <f>SUM(CO$2:CO108)+BI108*AB108</f>
        <v>-19040.000000000015</v>
      </c>
      <c r="CP618" s="2">
        <f>SUM(CP$2:CP108)+BJ108*AC108</f>
        <v>820</v>
      </c>
      <c r="CQ618" s="2">
        <f>SUM(CQ$2:CQ108)+BK108*AD108</f>
        <v>10840.000000000007</v>
      </c>
      <c r="CR618" s="2">
        <f>SUM(CR$2:CR108)+BL108*AE108</f>
        <v>-7470</v>
      </c>
      <c r="CV618" t="s">
        <v>64</v>
      </c>
      <c r="CW618" t="s">
        <v>691</v>
      </c>
      <c r="CX618" t="s">
        <v>18</v>
      </c>
      <c r="CY618" s="4">
        <v>43174</v>
      </c>
      <c r="CZ618" t="s">
        <v>65</v>
      </c>
      <c r="DA618" t="s">
        <v>66</v>
      </c>
      <c r="DB618">
        <v>36</v>
      </c>
      <c r="DC618">
        <v>54.08</v>
      </c>
      <c r="DD618" t="s">
        <v>69</v>
      </c>
      <c r="DE618" t="s">
        <v>70</v>
      </c>
      <c r="DF618">
        <v>1946.8799999999999</v>
      </c>
    </row>
    <row r="619" spans="66:110" x14ac:dyDescent="0.25">
      <c r="BN619" s="1">
        <f t="shared" si="336"/>
        <v>42893</v>
      </c>
      <c r="BO619" s="2">
        <f>SUM(BO$2:BO109)+AI109*B109</f>
        <v>162015</v>
      </c>
      <c r="BP619" s="2">
        <f>SUM(BP$2:BP109)+AJ109*C109</f>
        <v>5113.5</v>
      </c>
      <c r="BQ619" s="2">
        <f>SUM(BQ$2:BQ109)+AK109*D109</f>
        <v>33403</v>
      </c>
      <c r="BR619" s="2">
        <f>SUM(BR$2:BR109)+AL109*E109</f>
        <v>11085.199999999983</v>
      </c>
      <c r="BS619" s="2">
        <f>SUM(BS$2:BS109)+AM109*F109</f>
        <v>1438.1000000000022</v>
      </c>
      <c r="BT619" s="2">
        <f>SUM(BT$2:BT109)+AN109*G109</f>
        <v>-11331.699999999997</v>
      </c>
      <c r="BU619" s="2">
        <f>SUM(BU$2:BU109)+AO109*H109</f>
        <v>-460.69999999999709</v>
      </c>
      <c r="BV619" s="2">
        <f>SUM(BV$2:BV109)+AP109*I109</f>
        <v>0</v>
      </c>
      <c r="BW619" s="2">
        <f>SUM(BW$2:BW109)+AQ109*J109</f>
        <v>-23860</v>
      </c>
      <c r="BX619" s="2">
        <f>SUM(BX$2:BX109)+AR109*K109</f>
        <v>13940</v>
      </c>
      <c r="BY619" s="2">
        <f>SUM(BY$2:BY109)+AS109*L109</f>
        <v>-12320</v>
      </c>
      <c r="BZ619" s="2">
        <f>SUM(BZ$2:BZ109)+AT109*M109</f>
        <v>740</v>
      </c>
      <c r="CA619" s="2">
        <f>SUM(CA$2:CA109)+AU109*N109</f>
        <v>15800</v>
      </c>
      <c r="CB619" s="2">
        <f>SUM(CB$2:CB109)+AV109*O109</f>
        <v>-2250</v>
      </c>
      <c r="CC619" s="2">
        <f>SUM(CC$2:CC109)+AW109*P109</f>
        <v>-20</v>
      </c>
      <c r="CD619" s="2">
        <f>SUM(CD$2:CD109)+AX109*Q109</f>
        <v>14050</v>
      </c>
      <c r="CE619" s="2">
        <f>SUM(CE$2:CE109)+AY109*R109</f>
        <v>27910</v>
      </c>
      <c r="CF619" s="2">
        <f>SUM(CF$2:CF109)+AZ109*S109</f>
        <v>4380.510000000002</v>
      </c>
      <c r="CG619" s="2">
        <f>SUM(CG$2:CG109)+BA109*T109</f>
        <v>10089.890000000029</v>
      </c>
      <c r="CH619" s="2">
        <f>SUM(CH$2:CH109)+BB109*U109</f>
        <v>1354.0400000000081</v>
      </c>
      <c r="CI619" s="2">
        <f>SUM(CI$2:CI109)+BC109*V109</f>
        <v>-1410</v>
      </c>
      <c r="CJ619" s="2">
        <f>SUM(CJ$2:CJ109)+BD109*W109</f>
        <v>5540</v>
      </c>
      <c r="CK619" s="2">
        <f>SUM(CK$2:CK109)+BE109*X109</f>
        <v>21630</v>
      </c>
      <c r="CL619" s="2">
        <f>SUM(CL$2:CL109)+BF109*Y109</f>
        <v>64530</v>
      </c>
      <c r="CM619" s="2">
        <f>SUM(CM$2:CM109)+BG109*Z109</f>
        <v>27135</v>
      </c>
      <c r="CN619" s="2">
        <f>SUM(CN$2:CN109)+BH109*AA109</f>
        <v>40025</v>
      </c>
      <c r="CO619" s="2">
        <f>SUM(CO$2:CO109)+BI109*AB109</f>
        <v>-18890</v>
      </c>
      <c r="CP619" s="2">
        <f>SUM(CP$2:CP109)+BJ109*AC109</f>
        <v>820</v>
      </c>
      <c r="CQ619" s="2">
        <f>SUM(CQ$2:CQ109)+BK109*AD109</f>
        <v>11050.000000000007</v>
      </c>
      <c r="CR619" s="2">
        <f>SUM(CR$2:CR109)+BL109*AE109</f>
        <v>-7750</v>
      </c>
      <c r="CV619" t="s">
        <v>64</v>
      </c>
      <c r="CW619" t="s">
        <v>692</v>
      </c>
      <c r="CX619" t="s">
        <v>18</v>
      </c>
      <c r="CY619" s="4">
        <v>43175</v>
      </c>
      <c r="CZ619" t="s">
        <v>67</v>
      </c>
      <c r="DA619" t="s">
        <v>68</v>
      </c>
      <c r="DB619">
        <v>72</v>
      </c>
      <c r="DC619">
        <v>54.49</v>
      </c>
      <c r="DD619" t="s">
        <v>69</v>
      </c>
      <c r="DE619" t="s">
        <v>70</v>
      </c>
      <c r="DF619">
        <v>3923.28</v>
      </c>
    </row>
    <row r="620" spans="66:110" x14ac:dyDescent="0.25">
      <c r="BN620" s="1">
        <f t="shared" si="336"/>
        <v>42894</v>
      </c>
      <c r="BO620" s="2">
        <f>SUM(BO$2:BO110)+AI110*B110</f>
        <v>160165</v>
      </c>
      <c r="BP620" s="2">
        <f>SUM(BP$2:BP110)+AJ110*C110</f>
        <v>5263.3000000000029</v>
      </c>
      <c r="BQ620" s="2">
        <f>SUM(BQ$2:BQ110)+AK110*D110</f>
        <v>35296.899999999965</v>
      </c>
      <c r="BR620" s="2">
        <f>SUM(BR$2:BR110)+AL110*E110</f>
        <v>12615.299999999974</v>
      </c>
      <c r="BS620" s="2">
        <f>SUM(BS$2:BS110)+AM110*F110</f>
        <v>1438.1000000000022</v>
      </c>
      <c r="BT620" s="2">
        <f>SUM(BT$2:BT110)+AN110*G110</f>
        <v>-11107.000000000015</v>
      </c>
      <c r="BU620" s="2">
        <f>SUM(BU$2:BU110)+AO110*H110</f>
        <v>-2119.1999999999971</v>
      </c>
      <c r="BV620" s="2">
        <f>SUM(BV$2:BV110)+AP110*I110</f>
        <v>0</v>
      </c>
      <c r="BW620" s="2">
        <f>SUM(BW$2:BW110)+AQ110*J110</f>
        <v>-20940</v>
      </c>
      <c r="BX620" s="2">
        <f>SUM(BX$2:BX110)+AR110*K110</f>
        <v>13940</v>
      </c>
      <c r="BY620" s="2">
        <f>SUM(BY$2:BY110)+AS110*L110</f>
        <v>-11280</v>
      </c>
      <c r="BZ620" s="2">
        <f>SUM(BZ$2:BZ110)+AT110*M110</f>
        <v>740</v>
      </c>
      <c r="CA620" s="2">
        <f>SUM(CA$2:CA110)+AU110*N110</f>
        <v>15610</v>
      </c>
      <c r="CB620" s="2">
        <f>SUM(CB$2:CB110)+AV110*O110</f>
        <v>-1250</v>
      </c>
      <c r="CC620" s="2">
        <f>SUM(CC$2:CC110)+AW110*P110</f>
        <v>-20</v>
      </c>
      <c r="CD620" s="2">
        <f>SUM(CD$2:CD110)+AX110*Q110</f>
        <v>14050</v>
      </c>
      <c r="CE620" s="2">
        <f>SUM(CE$2:CE110)+AY110*R110</f>
        <v>28800</v>
      </c>
      <c r="CF620" s="2">
        <f>SUM(CF$2:CF110)+AZ110*S110</f>
        <v>3562.4100000000035</v>
      </c>
      <c r="CG620" s="2">
        <f>SUM(CG$2:CG110)+BA110*T110</f>
        <v>9702.0300000000207</v>
      </c>
      <c r="CH620" s="2">
        <f>SUM(CH$2:CH110)+BB110*U110</f>
        <v>1326.6500000000087</v>
      </c>
      <c r="CI620" s="2">
        <f>SUM(CI$2:CI110)+BC110*V110</f>
        <v>-1170</v>
      </c>
      <c r="CJ620" s="2">
        <f>SUM(CJ$2:CJ110)+BD110*W110</f>
        <v>4670</v>
      </c>
      <c r="CK620" s="2">
        <f>SUM(CK$2:CK110)+BE110*X110</f>
        <v>22980</v>
      </c>
      <c r="CL620" s="2">
        <f>SUM(CL$2:CL110)+BF110*Y110</f>
        <v>60090</v>
      </c>
      <c r="CM620" s="2">
        <f>SUM(CM$2:CM110)+BG110*Z110</f>
        <v>27935</v>
      </c>
      <c r="CN620" s="2">
        <f>SUM(CN$2:CN110)+BH110*AA110</f>
        <v>40025</v>
      </c>
      <c r="CO620" s="2">
        <f>SUM(CO$2:CO110)+BI110*AB110</f>
        <v>-19730</v>
      </c>
      <c r="CP620" s="2">
        <f>SUM(CP$2:CP110)+BJ110*AC110</f>
        <v>820</v>
      </c>
      <c r="CQ620" s="2">
        <f>SUM(CQ$2:CQ110)+BK110*AD110</f>
        <v>10840.000000000007</v>
      </c>
      <c r="CR620" s="2">
        <f>SUM(CR$2:CR110)+BL110*AE110</f>
        <v>-8020</v>
      </c>
      <c r="CV620" t="s">
        <v>64</v>
      </c>
      <c r="CW620" t="s">
        <v>693</v>
      </c>
      <c r="CX620" t="s">
        <v>18</v>
      </c>
      <c r="CY620" s="4">
        <v>43178</v>
      </c>
      <c r="CZ620" t="s">
        <v>67</v>
      </c>
      <c r="DA620" t="s">
        <v>68</v>
      </c>
      <c r="DB620">
        <v>18</v>
      </c>
      <c r="DC620">
        <v>53.47</v>
      </c>
      <c r="DD620" t="s">
        <v>69</v>
      </c>
      <c r="DE620" t="s">
        <v>70</v>
      </c>
      <c r="DF620">
        <v>962.46</v>
      </c>
    </row>
    <row r="621" spans="66:110" x14ac:dyDescent="0.25">
      <c r="BN621" s="1">
        <f t="shared" si="336"/>
        <v>42895</v>
      </c>
      <c r="BO621" s="2">
        <f>SUM(BO$2:BO111)+AI111*B111</f>
        <v>130915</v>
      </c>
      <c r="BP621" s="2">
        <f>SUM(BP$2:BP111)+AJ111*C111</f>
        <v>5637.7999999999884</v>
      </c>
      <c r="BQ621" s="2">
        <f>SUM(BQ$2:BQ111)+AK111*D111</f>
        <v>35403.899999999994</v>
      </c>
      <c r="BR621" s="2">
        <f>SUM(BR$2:BR111)+AL111*E111</f>
        <v>13556.89999999998</v>
      </c>
      <c r="BS621" s="2">
        <f>SUM(BS$2:BS111)+AM111*F111</f>
        <v>1192.0000000000036</v>
      </c>
      <c r="BT621" s="2">
        <f>SUM(BT$2:BT111)+AN111*G111</f>
        <v>-8699.5000000000146</v>
      </c>
      <c r="BU621" s="2">
        <f>SUM(BU$2:BU111)+AO111*H111</f>
        <v>-771.00000000001455</v>
      </c>
      <c r="BV621" s="2">
        <f>SUM(BV$2:BV111)+AP111*I111</f>
        <v>0</v>
      </c>
      <c r="BW621" s="2">
        <f>SUM(BW$2:BW111)+AQ111*J111</f>
        <v>-17330</v>
      </c>
      <c r="BX621" s="2">
        <f>SUM(BX$2:BX111)+AR111*K111</f>
        <v>13940</v>
      </c>
      <c r="BY621" s="2">
        <f>SUM(BY$2:BY111)+AS111*L111</f>
        <v>-9430</v>
      </c>
      <c r="BZ621" s="2">
        <f>SUM(BZ$2:BZ111)+AT111*M111</f>
        <v>740</v>
      </c>
      <c r="CA621" s="2">
        <f>SUM(CA$2:CA111)+AU111*N111</f>
        <v>16550</v>
      </c>
      <c r="CB621" s="2">
        <f>SUM(CB$2:CB111)+AV111*O111</f>
        <v>680</v>
      </c>
      <c r="CC621" s="2">
        <f>SUM(CC$2:CC111)+AW111*P111</f>
        <v>-20</v>
      </c>
      <c r="CD621" s="2">
        <f>SUM(CD$2:CD111)+AX111*Q111</f>
        <v>14050</v>
      </c>
      <c r="CE621" s="2">
        <f>SUM(CE$2:CE111)+AY111*R111</f>
        <v>29740</v>
      </c>
      <c r="CF621" s="2">
        <f>SUM(CF$2:CF111)+AZ111*S111</f>
        <v>4664.489999999998</v>
      </c>
      <c r="CG621" s="2">
        <f>SUM(CG$2:CG111)+BA111*T111</f>
        <v>8250.3600000000151</v>
      </c>
      <c r="CH621" s="2">
        <f>SUM(CH$2:CH111)+BB111*U111</f>
        <v>1571.0500000000102</v>
      </c>
      <c r="CI621" s="2">
        <f>SUM(CI$2:CI111)+BC111*V111</f>
        <v>-2130</v>
      </c>
      <c r="CJ621" s="2">
        <f>SUM(CJ$2:CJ111)+BD111*W111</f>
        <v>4960</v>
      </c>
      <c r="CK621" s="2">
        <f>SUM(CK$2:CK111)+BE111*X111</f>
        <v>29980</v>
      </c>
      <c r="CL621" s="2">
        <f>SUM(CL$2:CL111)+BF111*Y111</f>
        <v>59430</v>
      </c>
      <c r="CM621" s="2">
        <f>SUM(CM$2:CM111)+BG111*Z111</f>
        <v>31285</v>
      </c>
      <c r="CN621" s="2">
        <f>SUM(CN$2:CN111)+BH111*AA111</f>
        <v>32425</v>
      </c>
      <c r="CO621" s="2">
        <f>SUM(CO$2:CO111)+BI111*AB111</f>
        <v>-18260</v>
      </c>
      <c r="CP621" s="2">
        <f>SUM(CP$2:CP111)+BJ111*AC111</f>
        <v>820</v>
      </c>
      <c r="CQ621" s="2">
        <f>SUM(CQ$2:CQ111)+BK111*AD111</f>
        <v>11310.000000000007</v>
      </c>
      <c r="CR621" s="2">
        <f>SUM(CR$2:CR111)+BL111*AE111</f>
        <v>-6610</v>
      </c>
      <c r="CV621" t="s">
        <v>64</v>
      </c>
      <c r="CW621" t="s">
        <v>694</v>
      </c>
      <c r="CX621" t="s">
        <v>18</v>
      </c>
      <c r="CY621" s="4">
        <v>43179</v>
      </c>
      <c r="CZ621" t="s">
        <v>65</v>
      </c>
      <c r="DA621" t="s">
        <v>66</v>
      </c>
      <c r="DB621">
        <v>51</v>
      </c>
      <c r="DC621">
        <v>53.48</v>
      </c>
      <c r="DD621" t="s">
        <v>69</v>
      </c>
      <c r="DE621" t="s">
        <v>70</v>
      </c>
      <c r="DF621">
        <v>2727.48</v>
      </c>
    </row>
    <row r="622" spans="66:110" x14ac:dyDescent="0.25">
      <c r="BN622" s="1">
        <f t="shared" si="336"/>
        <v>42898</v>
      </c>
      <c r="BO622" s="2">
        <f>SUM(BO$2:BO112)+AI112*B112</f>
        <v>113565</v>
      </c>
      <c r="BP622" s="2">
        <f>SUM(BP$2:BP112)+AJ112*C112</f>
        <v>5487.9999999999854</v>
      </c>
      <c r="BQ622" s="2">
        <f>SUM(BQ$2:BQ112)+AK112*D112</f>
        <v>35371.799999999988</v>
      </c>
      <c r="BR622" s="2">
        <f>SUM(BR$2:BR112)+AL112*E112</f>
        <v>13706.699999999968</v>
      </c>
      <c r="BS622" s="2">
        <f>SUM(BS$2:BS112)+AM112*F112</f>
        <v>1074.2999999999993</v>
      </c>
      <c r="BT622" s="2">
        <f>SUM(BT$2:BT112)+AN112*G112</f>
        <v>-7062.4000000000087</v>
      </c>
      <c r="BU622" s="2">
        <f>SUM(BU$2:BU112)+AO112*H112</f>
        <v>705.60000000000582</v>
      </c>
      <c r="BV622" s="2">
        <f>SUM(BV$2:BV112)+AP112*I112</f>
        <v>0</v>
      </c>
      <c r="BW622" s="2">
        <f>SUM(BW$2:BW112)+AQ112*J112</f>
        <v>-17850</v>
      </c>
      <c r="BX622" s="2">
        <f>SUM(BX$2:BX112)+AR112*K112</f>
        <v>13940</v>
      </c>
      <c r="BY622" s="2">
        <f>SUM(BY$2:BY112)+AS112*L112</f>
        <v>-8430</v>
      </c>
      <c r="BZ622" s="2">
        <f>SUM(BZ$2:BZ112)+AT112*M112</f>
        <v>740</v>
      </c>
      <c r="CA622" s="2">
        <f>SUM(CA$2:CA112)+AU112*N112</f>
        <v>16830</v>
      </c>
      <c r="CB622" s="2">
        <f>SUM(CB$2:CB112)+AV112*O112</f>
        <v>700</v>
      </c>
      <c r="CC622" s="2">
        <f>SUM(CC$2:CC112)+AW112*P112</f>
        <v>-20</v>
      </c>
      <c r="CD622" s="2">
        <f>SUM(CD$2:CD112)+AX112*Q112</f>
        <v>14050</v>
      </c>
      <c r="CE622" s="2">
        <f>SUM(CE$2:CE112)+AY112*R112</f>
        <v>30180</v>
      </c>
      <c r="CF622" s="2">
        <f>SUM(CF$2:CF112)+AZ112*S112</f>
        <v>4664.4899999999907</v>
      </c>
      <c r="CG622" s="2">
        <f>SUM(CG$2:CG112)+BA112*T112</f>
        <v>7771.960000000021</v>
      </c>
      <c r="CH622" s="2">
        <f>SUM(CH$2:CH112)+BB112*U112</f>
        <v>2166.330000000009</v>
      </c>
      <c r="CI622" s="2">
        <f>SUM(CI$2:CI112)+BC112*V112</f>
        <v>-2070</v>
      </c>
      <c r="CJ622" s="2">
        <f>SUM(CJ$2:CJ112)+BD112*W112</f>
        <v>5030</v>
      </c>
      <c r="CK622" s="2">
        <f>SUM(CK$2:CK112)+BE112*X112</f>
        <v>32080</v>
      </c>
      <c r="CL622" s="2">
        <f>SUM(CL$2:CL112)+BF112*Y112</f>
        <v>52950</v>
      </c>
      <c r="CM622" s="2">
        <f>SUM(CM$2:CM112)+BG112*Z112</f>
        <v>27635</v>
      </c>
      <c r="CN622" s="2">
        <f>SUM(CN$2:CN112)+BH112*AA112</f>
        <v>27225</v>
      </c>
      <c r="CO622" s="2">
        <f>SUM(CO$2:CO112)+BI112*AB112</f>
        <v>-16970</v>
      </c>
      <c r="CP622" s="2">
        <f>SUM(CP$2:CP112)+BJ112*AC112</f>
        <v>820</v>
      </c>
      <c r="CQ622" s="2">
        <f>SUM(CQ$2:CQ112)+BK112*AD112</f>
        <v>11140.000000000007</v>
      </c>
      <c r="CR622" s="2">
        <f>SUM(CR$2:CR112)+BL112*AE112</f>
        <v>-5870</v>
      </c>
      <c r="CV622" t="s">
        <v>64</v>
      </c>
      <c r="CW622" t="s">
        <v>695</v>
      </c>
      <c r="CX622" t="s">
        <v>18</v>
      </c>
      <c r="CY622" s="4">
        <v>43180</v>
      </c>
      <c r="CZ622" t="s">
        <v>65</v>
      </c>
      <c r="DA622" t="s">
        <v>66</v>
      </c>
      <c r="DB622">
        <v>23</v>
      </c>
      <c r="DC622">
        <v>53.53</v>
      </c>
      <c r="DD622" t="s">
        <v>69</v>
      </c>
      <c r="DE622" t="s">
        <v>70</v>
      </c>
      <c r="DF622">
        <v>1231.19</v>
      </c>
    </row>
    <row r="623" spans="66:110" x14ac:dyDescent="0.25">
      <c r="BN623" s="1">
        <f t="shared" si="336"/>
        <v>42899</v>
      </c>
      <c r="BO623" s="2">
        <f>SUM(BO$2:BO113)+AI113*B113</f>
        <v>119265</v>
      </c>
      <c r="BP623" s="2">
        <f>SUM(BP$2:BP113)+AJ113*C113</f>
        <v>5926.6999999999971</v>
      </c>
      <c r="BQ623" s="2">
        <f>SUM(BQ$2:BQ113)+AK113*D113</f>
        <v>36495.299999999988</v>
      </c>
      <c r="BR623" s="2">
        <f>SUM(BR$2:BR113)+AL113*E113</f>
        <v>13374.999999999985</v>
      </c>
      <c r="BS623" s="2">
        <f>SUM(BS$2:BS113)+AM113*F113</f>
        <v>1534.4000000000015</v>
      </c>
      <c r="BT623" s="2">
        <f>SUM(BT$2:BT113)+AN113*G113</f>
        <v>-6966.1000000000058</v>
      </c>
      <c r="BU623" s="2">
        <f>SUM(BU$2:BU113)+AO113*H113</f>
        <v>202.69999999999709</v>
      </c>
      <c r="BV623" s="2">
        <f>SUM(BV$2:BV113)+AP113*I113</f>
        <v>0</v>
      </c>
      <c r="BW623" s="2">
        <f>SUM(BW$2:BW113)+AQ113*J113</f>
        <v>-15610</v>
      </c>
      <c r="BX623" s="2">
        <f>SUM(BX$2:BX113)+AR113*K113</f>
        <v>13940</v>
      </c>
      <c r="BY623" s="2">
        <f>SUM(BY$2:BY113)+AS113*L113</f>
        <v>-9290</v>
      </c>
      <c r="BZ623" s="2">
        <f>SUM(BZ$2:BZ113)+AT113*M113</f>
        <v>740</v>
      </c>
      <c r="CA623" s="2">
        <f>SUM(CA$2:CA113)+AU113*N113</f>
        <v>17020</v>
      </c>
      <c r="CB623" s="2">
        <f>SUM(CB$2:CB113)+AV113*O113</f>
        <v>980</v>
      </c>
      <c r="CC623" s="2">
        <f>SUM(CC$2:CC113)+AW113*P113</f>
        <v>-20</v>
      </c>
      <c r="CD623" s="2">
        <f>SUM(CD$2:CD113)+AX113*Q113</f>
        <v>14050</v>
      </c>
      <c r="CE623" s="2">
        <f>SUM(CE$2:CE113)+AY113*R113</f>
        <v>31830</v>
      </c>
      <c r="CF623" s="2">
        <f>SUM(CF$2:CF113)+AZ113*S113</f>
        <v>4027.1299999999974</v>
      </c>
      <c r="CG623" s="2">
        <f>SUM(CG$2:CG113)+BA113*T113</f>
        <v>8607.7600000000239</v>
      </c>
      <c r="CH623" s="2">
        <f>SUM(CH$2:CH113)+BB113*U113</f>
        <v>2457.9300000000148</v>
      </c>
      <c r="CI623" s="2">
        <f>SUM(CI$2:CI113)+BC113*V113</f>
        <v>-1950</v>
      </c>
      <c r="CJ623" s="2">
        <f>SUM(CJ$2:CJ113)+BD113*W113</f>
        <v>4870</v>
      </c>
      <c r="CK623" s="2">
        <f>SUM(CK$2:CK113)+BE113*X113</f>
        <v>34180</v>
      </c>
      <c r="CL623" s="2">
        <f>SUM(CL$2:CL113)+BF113*Y113</f>
        <v>58230</v>
      </c>
      <c r="CM623" s="2">
        <f>SUM(CM$2:CM113)+BG113*Z113</f>
        <v>28485</v>
      </c>
      <c r="CN623" s="2">
        <f>SUM(CN$2:CN113)+BH113*AA113</f>
        <v>35025</v>
      </c>
      <c r="CO623" s="2">
        <f>SUM(CO$2:CO113)+BI113*AB113</f>
        <v>-18980</v>
      </c>
      <c r="CP623" s="2">
        <f>SUM(CP$2:CP113)+BJ113*AC113</f>
        <v>820</v>
      </c>
      <c r="CQ623" s="2">
        <f>SUM(CQ$2:CQ113)+BK113*AD113</f>
        <v>11410.000000000007</v>
      </c>
      <c r="CR623" s="2">
        <f>SUM(CR$2:CR113)+BL113*AE113</f>
        <v>-5840</v>
      </c>
      <c r="CV623" t="s">
        <v>64</v>
      </c>
      <c r="CW623" t="s">
        <v>696</v>
      </c>
      <c r="CX623" t="s">
        <v>18</v>
      </c>
      <c r="CY623" s="4">
        <v>43181</v>
      </c>
      <c r="CZ623" t="s">
        <v>67</v>
      </c>
      <c r="DA623" t="s">
        <v>68</v>
      </c>
      <c r="DB623">
        <v>7</v>
      </c>
      <c r="DC623">
        <v>52.97</v>
      </c>
      <c r="DD623" t="s">
        <v>69</v>
      </c>
      <c r="DE623" t="s">
        <v>70</v>
      </c>
      <c r="DF623">
        <v>370.78999999999996</v>
      </c>
    </row>
    <row r="624" spans="66:110" x14ac:dyDescent="0.25">
      <c r="BN624" s="1">
        <f t="shared" si="336"/>
        <v>42900</v>
      </c>
      <c r="BO624" s="2">
        <f>SUM(BO$2:BO114)+AI114*B114</f>
        <v>112315</v>
      </c>
      <c r="BP624" s="2">
        <f>SUM(BP$2:BP114)+AJ114*C114</f>
        <v>6194.2000000000116</v>
      </c>
      <c r="BQ624" s="2">
        <f>SUM(BQ$2:BQ114)+AK114*D114</f>
        <v>37822.099999999977</v>
      </c>
      <c r="BR624" s="2">
        <f>SUM(BR$2:BR114)+AL114*E114</f>
        <v>12315.699999999983</v>
      </c>
      <c r="BS624" s="2">
        <f>SUM(BS$2:BS114)+AM114*F114</f>
        <v>1427.4000000000015</v>
      </c>
      <c r="BT624" s="2">
        <f>SUM(BT$2:BT114)+AN114*G114</f>
        <v>-8506.8999999999942</v>
      </c>
      <c r="BU624" s="2">
        <f>SUM(BU$2:BU114)+AO114*H114</f>
        <v>-236.00000000001455</v>
      </c>
      <c r="BV624" s="2">
        <f>SUM(BV$2:BV114)+AP114*I114</f>
        <v>0</v>
      </c>
      <c r="BW624" s="2">
        <f>SUM(BW$2:BW114)+AQ114*J114</f>
        <v>-13350</v>
      </c>
      <c r="BX624" s="2">
        <f>SUM(BX$2:BX114)+AR114*K114</f>
        <v>13940</v>
      </c>
      <c r="BY624" s="2">
        <f>SUM(BY$2:BY114)+AS114*L114</f>
        <v>-9700</v>
      </c>
      <c r="BZ624" s="2">
        <f>SUM(BZ$2:BZ114)+AT114*M114</f>
        <v>740</v>
      </c>
      <c r="CA624" s="2">
        <f>SUM(CA$2:CA114)+AU114*N114</f>
        <v>17750</v>
      </c>
      <c r="CB624" s="2">
        <f>SUM(CB$2:CB114)+AV114*O114</f>
        <v>800</v>
      </c>
      <c r="CC624" s="2">
        <f>SUM(CC$2:CC114)+AW114*P114</f>
        <v>-20</v>
      </c>
      <c r="CD624" s="2">
        <f>SUM(CD$2:CD114)+AX114*Q114</f>
        <v>14050</v>
      </c>
      <c r="CE624" s="2">
        <f>SUM(CE$2:CE114)+AY114*R114</f>
        <v>32690</v>
      </c>
      <c r="CF624" s="2">
        <f>SUM(CF$2:CF114)+AZ114*S114</f>
        <v>4122.8299999999945</v>
      </c>
      <c r="CG624" s="2">
        <f>SUM(CG$2:CG114)+BA114*T114</f>
        <v>8218.1500000000087</v>
      </c>
      <c r="CH624" s="2">
        <f>SUM(CH$2:CH114)+BB114*U114</f>
        <v>2832.4300000000076</v>
      </c>
      <c r="CI624" s="2">
        <f>SUM(CI$2:CI114)+BC114*V114</f>
        <v>-2060</v>
      </c>
      <c r="CJ624" s="2">
        <f>SUM(CJ$2:CJ114)+BD114*W114</f>
        <v>5220</v>
      </c>
      <c r="CK624" s="2">
        <f>SUM(CK$2:CK114)+BE114*X114</f>
        <v>43180</v>
      </c>
      <c r="CL624" s="2">
        <f>SUM(CL$2:CL114)+BF114*Y114</f>
        <v>62070</v>
      </c>
      <c r="CM624" s="2">
        <f>SUM(CM$2:CM114)+BG114*Z114</f>
        <v>28285</v>
      </c>
      <c r="CN624" s="2">
        <f>SUM(CN$2:CN114)+BH114*AA114</f>
        <v>36224.999999999942</v>
      </c>
      <c r="CO624" s="2">
        <f>SUM(CO$2:CO114)+BI114*AB114</f>
        <v>-18350</v>
      </c>
      <c r="CP624" s="2">
        <f>SUM(CP$2:CP114)+BJ114*AC114</f>
        <v>820</v>
      </c>
      <c r="CQ624" s="2">
        <f>SUM(CQ$2:CQ114)+BK114*AD114</f>
        <v>11770.000000000007</v>
      </c>
      <c r="CR624" s="2">
        <f>SUM(CR$2:CR114)+BL114*AE114</f>
        <v>-6670</v>
      </c>
      <c r="CV624" t="s">
        <v>64</v>
      </c>
      <c r="CW624" t="s">
        <v>697</v>
      </c>
      <c r="CX624" t="s">
        <v>18</v>
      </c>
      <c r="CY624" s="4">
        <v>43182</v>
      </c>
      <c r="CZ624" t="s">
        <v>67</v>
      </c>
      <c r="DA624" t="s">
        <v>68</v>
      </c>
      <c r="DB624">
        <v>49</v>
      </c>
      <c r="DC624">
        <v>52.27</v>
      </c>
      <c r="DD624" t="s">
        <v>69</v>
      </c>
      <c r="DE624" t="s">
        <v>70</v>
      </c>
      <c r="DF624">
        <v>2561.23</v>
      </c>
    </row>
    <row r="625" spans="66:110" x14ac:dyDescent="0.25">
      <c r="BN625" s="1">
        <f t="shared" si="336"/>
        <v>42901</v>
      </c>
      <c r="BO625" s="2">
        <f>SUM(BO$2:BO115)+AI115*B115</f>
        <v>108065</v>
      </c>
      <c r="BP625" s="2">
        <f>SUM(BP$2:BP115)+AJ115*C115</f>
        <v>6043</v>
      </c>
      <c r="BQ625" s="2">
        <f>SUM(BQ$2:BQ115)+AK115*D115</f>
        <v>41029.699999999983</v>
      </c>
      <c r="BR625" s="2">
        <f>SUM(BR$2:BR115)+AL115*E115</f>
        <v>14065.299999999988</v>
      </c>
      <c r="BS625" s="2">
        <f>SUM(BS$2:BS115)+AM115*F115</f>
        <v>1405.8000000000029</v>
      </c>
      <c r="BT625" s="2">
        <f>SUM(BT$2:BT115)+AN115*G115</f>
        <v>-8776.8999999999942</v>
      </c>
      <c r="BU625" s="2">
        <f>SUM(BU$2:BU115)+AO115*H115</f>
        <v>-398</v>
      </c>
      <c r="BV625" s="2">
        <f>SUM(BV$2:BV115)+AP115*I115</f>
        <v>0</v>
      </c>
      <c r="BW625" s="2">
        <f>SUM(BW$2:BW115)+AQ115*J115</f>
        <v>-16560</v>
      </c>
      <c r="BX625" s="2">
        <f>SUM(BX$2:BX115)+AR115*K115</f>
        <v>13940</v>
      </c>
      <c r="BY625" s="2">
        <f>SUM(BY$2:BY115)+AS115*L115</f>
        <v>-9320</v>
      </c>
      <c r="BZ625" s="2">
        <f>SUM(BZ$2:BZ115)+AT115*M115</f>
        <v>740</v>
      </c>
      <c r="CA625" s="2">
        <f>SUM(CA$2:CA115)+AU115*N115</f>
        <v>18000</v>
      </c>
      <c r="CB625" s="2">
        <f>SUM(CB$2:CB115)+AV115*O115</f>
        <v>300</v>
      </c>
      <c r="CC625" s="2">
        <f>SUM(CC$2:CC115)+AW115*P115</f>
        <v>-20</v>
      </c>
      <c r="CD625" s="2">
        <f>SUM(CD$2:CD115)+AX115*Q115</f>
        <v>14050</v>
      </c>
      <c r="CE625" s="2">
        <f>SUM(CE$2:CE115)+AY115*R115</f>
        <v>33920</v>
      </c>
      <c r="CF625" s="2">
        <f>SUM(CF$2:CF115)+AZ115*S115</f>
        <v>3946.7099999999919</v>
      </c>
      <c r="CG625" s="2">
        <f>SUM(CG$2:CG115)+BA115*T115</f>
        <v>7826.8300000000163</v>
      </c>
      <c r="CH625" s="2">
        <f>SUM(CH$2:CH115)+BB115*U115</f>
        <v>1169.9000000000087</v>
      </c>
      <c r="CI625" s="2">
        <f>SUM(CI$2:CI115)+BC115*V115</f>
        <v>-2170</v>
      </c>
      <c r="CJ625" s="2">
        <f>SUM(CJ$2:CJ115)+BD115*W115</f>
        <v>6110</v>
      </c>
      <c r="CK625" s="2">
        <f>SUM(CK$2:CK115)+BE115*X115</f>
        <v>48280</v>
      </c>
      <c r="CL625" s="2">
        <f>SUM(CL$2:CL115)+BF115*Y115</f>
        <v>58440</v>
      </c>
      <c r="CM625" s="2">
        <f>SUM(CM$2:CM115)+BG115*Z115</f>
        <v>31835</v>
      </c>
      <c r="CN625" s="2">
        <f>SUM(CN$2:CN115)+BH115*AA115</f>
        <v>30524.999999999942</v>
      </c>
      <c r="CO625" s="2">
        <f>SUM(CO$2:CO115)+BI115*AB115</f>
        <v>-18500.000000000015</v>
      </c>
      <c r="CP625" s="2">
        <f>SUM(CP$2:CP115)+BJ115*AC115</f>
        <v>820</v>
      </c>
      <c r="CQ625" s="2">
        <f>SUM(CQ$2:CQ115)+BK115*AD115</f>
        <v>10820.000000000007</v>
      </c>
      <c r="CR625" s="2">
        <f>SUM(CR$2:CR115)+BL115*AE115</f>
        <v>-6490</v>
      </c>
      <c r="CV625" t="s">
        <v>64</v>
      </c>
      <c r="CW625" t="s">
        <v>698</v>
      </c>
      <c r="CX625" t="s">
        <v>18</v>
      </c>
      <c r="CY625" s="4">
        <v>43185</v>
      </c>
      <c r="CZ625" t="s">
        <v>65</v>
      </c>
      <c r="DA625" t="s">
        <v>66</v>
      </c>
      <c r="DB625">
        <v>47</v>
      </c>
      <c r="DC625">
        <v>52.89</v>
      </c>
      <c r="DD625" t="s">
        <v>69</v>
      </c>
      <c r="DE625" t="s">
        <v>70</v>
      </c>
      <c r="DF625">
        <v>2485.83</v>
      </c>
    </row>
    <row r="626" spans="66:110" x14ac:dyDescent="0.25">
      <c r="BN626" s="1">
        <f t="shared" si="336"/>
        <v>42902</v>
      </c>
      <c r="BO626" s="2">
        <f>SUM(BO$2:BO116)+AI116*B116</f>
        <v>98215</v>
      </c>
      <c r="BP626" s="2">
        <f>SUM(BP$2:BP116)+AJ116*C116</f>
        <v>6831.3999999999942</v>
      </c>
      <c r="BQ626" s="2">
        <f>SUM(BQ$2:BQ116)+AK116*D116</f>
        <v>42055.699999999953</v>
      </c>
      <c r="BR626" s="2">
        <f>SUM(BR$2:BR116)+AL116*E116</f>
        <v>15307.299999999974</v>
      </c>
      <c r="BS626" s="2">
        <f>SUM(BS$2:BS116)+AM116*F116</f>
        <v>1459.8000000000029</v>
      </c>
      <c r="BT626" s="2">
        <f>SUM(BT$2:BT116)+AN116*G116</f>
        <v>-6735.6999999999971</v>
      </c>
      <c r="BU626" s="2">
        <f>SUM(BU$2:BU116)+AO116*H116</f>
        <v>-894.80000000001746</v>
      </c>
      <c r="BV626" s="2">
        <f>SUM(BV$2:BV116)+AP116*I116</f>
        <v>0</v>
      </c>
      <c r="BW626" s="2">
        <f>SUM(BW$2:BW116)+AQ116*J116</f>
        <v>-17950</v>
      </c>
      <c r="BX626" s="2">
        <f>SUM(BX$2:BX116)+AR116*K116</f>
        <v>13940</v>
      </c>
      <c r="BY626" s="2">
        <f>SUM(BY$2:BY116)+AS116*L116</f>
        <v>-8240</v>
      </c>
      <c r="BZ626" s="2">
        <f>SUM(BZ$2:BZ116)+AT116*M116</f>
        <v>740</v>
      </c>
      <c r="CA626" s="2">
        <f>SUM(CA$2:CA116)+AU116*N116</f>
        <v>19260</v>
      </c>
      <c r="CB626" s="2">
        <f>SUM(CB$2:CB116)+AV116*O116</f>
        <v>-70</v>
      </c>
      <c r="CC626" s="2">
        <f>SUM(CC$2:CC116)+AW116*P116</f>
        <v>-20</v>
      </c>
      <c r="CD626" s="2">
        <f>SUM(CD$2:CD116)+AX116*Q116</f>
        <v>14050</v>
      </c>
      <c r="CE626" s="2">
        <f>SUM(CE$2:CE116)+AY116*R116</f>
        <v>35780</v>
      </c>
      <c r="CF626" s="2">
        <f>SUM(CF$2:CF116)+AZ116*S116</f>
        <v>3740.9099999999889</v>
      </c>
      <c r="CG626" s="2">
        <f>SUM(CG$2:CG116)+BA116*T116</f>
        <v>7918.330000000009</v>
      </c>
      <c r="CH626" s="2">
        <f>SUM(CH$2:CH116)+BB116*U116</f>
        <v>-644.34999999999127</v>
      </c>
      <c r="CI626" s="2">
        <f>SUM(CI$2:CI116)+BC116*V116</f>
        <v>-2320</v>
      </c>
      <c r="CJ626" s="2">
        <f>SUM(CJ$2:CJ116)+BD116*W116</f>
        <v>6380</v>
      </c>
      <c r="CK626" s="2">
        <f>SUM(CK$2:CK116)+BE116*X116</f>
        <v>50330</v>
      </c>
      <c r="CL626" s="2">
        <f>SUM(CL$2:CL116)+BF116*Y116</f>
        <v>62100</v>
      </c>
      <c r="CM626" s="2">
        <f>SUM(CM$2:CM116)+BG116*Z116</f>
        <v>30285</v>
      </c>
      <c r="CN626" s="2">
        <f>SUM(CN$2:CN116)+BH116*AA116</f>
        <v>30524.999999999942</v>
      </c>
      <c r="CO626" s="2">
        <f>SUM(CO$2:CO116)+BI116*AB116</f>
        <v>-18530</v>
      </c>
      <c r="CP626" s="2">
        <f>SUM(CP$2:CP116)+BJ116*AC116</f>
        <v>820</v>
      </c>
      <c r="CQ626" s="2">
        <f>SUM(CQ$2:CQ116)+BK116*AD116</f>
        <v>7270.0000000000073</v>
      </c>
      <c r="CR626" s="2">
        <f>SUM(CR$2:CR116)+BL116*AE116</f>
        <v>-5340</v>
      </c>
      <c r="CV626" t="s">
        <v>64</v>
      </c>
      <c r="CW626" t="s">
        <v>699</v>
      </c>
      <c r="CX626" t="s">
        <v>18</v>
      </c>
      <c r="CY626" s="4">
        <v>43186</v>
      </c>
      <c r="CZ626" t="s">
        <v>67</v>
      </c>
      <c r="DA626" t="s">
        <v>68</v>
      </c>
      <c r="DB626">
        <v>36</v>
      </c>
      <c r="DC626">
        <v>52.61</v>
      </c>
      <c r="DD626" t="s">
        <v>69</v>
      </c>
      <c r="DE626" t="s">
        <v>70</v>
      </c>
      <c r="DF626">
        <v>1893.96</v>
      </c>
    </row>
    <row r="627" spans="66:110" x14ac:dyDescent="0.25">
      <c r="BN627" s="1">
        <f t="shared" si="336"/>
        <v>42905</v>
      </c>
      <c r="BO627" s="2">
        <f>SUM(BO$2:BO117)+AI117*B117</f>
        <v>118065</v>
      </c>
      <c r="BP627" s="2">
        <f>SUM(BP$2:BP117)+AJ117*C117</f>
        <v>7285</v>
      </c>
      <c r="BQ627" s="2">
        <f>SUM(BQ$2:BQ117)+AK117*D117</f>
        <v>44809.699999999983</v>
      </c>
      <c r="BR627" s="2">
        <f>SUM(BR$2:BR117)+AL117*E117</f>
        <v>15188.499999999985</v>
      </c>
      <c r="BS627" s="2">
        <f>SUM(BS$2:BS117)+AM117*F117</f>
        <v>1827.0000000000036</v>
      </c>
      <c r="BT627" s="2">
        <f>SUM(BT$2:BT117)+AN117*G117</f>
        <v>-7632.0999999999913</v>
      </c>
      <c r="BU627" s="2">
        <f>SUM(BU$2:BU117)+AO117*H117</f>
        <v>-1035.2000000000116</v>
      </c>
      <c r="BV627" s="2">
        <f>SUM(BV$2:BV117)+AP117*I117</f>
        <v>0</v>
      </c>
      <c r="BW627" s="2">
        <f>SUM(BW$2:BW117)+AQ117*J117</f>
        <v>-13720</v>
      </c>
      <c r="BX627" s="2">
        <f>SUM(BX$2:BX117)+AR117*K117</f>
        <v>13940</v>
      </c>
      <c r="BY627" s="2">
        <f>SUM(BY$2:BY117)+AS117*L117</f>
        <v>-8740</v>
      </c>
      <c r="BZ627" s="2">
        <f>SUM(BZ$2:BZ117)+AT117*M117</f>
        <v>740</v>
      </c>
      <c r="CA627" s="2">
        <f>SUM(CA$2:CA117)+AU117*N117</f>
        <v>18999.999999999985</v>
      </c>
      <c r="CB627" s="2">
        <f>SUM(CB$2:CB117)+AV117*O117</f>
        <v>1740</v>
      </c>
      <c r="CC627" s="2">
        <f>SUM(CC$2:CC117)+AW117*P117</f>
        <v>-20</v>
      </c>
      <c r="CD627" s="2">
        <f>SUM(CD$2:CD117)+AX117*Q117</f>
        <v>14050</v>
      </c>
      <c r="CE627" s="2">
        <f>SUM(CE$2:CE117)+AY117*R117</f>
        <v>35900</v>
      </c>
      <c r="CF627" s="2">
        <f>SUM(CF$2:CF117)+AZ117*S117</f>
        <v>4427.7099999999846</v>
      </c>
      <c r="CG627" s="2">
        <f>SUM(CG$2:CG117)+BA117*T117</f>
        <v>8698.6300000000119</v>
      </c>
      <c r="CH627" s="2">
        <f>SUM(CH$2:CH117)+BB117*U117</f>
        <v>198.05000000001746</v>
      </c>
      <c r="CI627" s="2">
        <f>SUM(CI$2:CI117)+BC117*V117</f>
        <v>-2550</v>
      </c>
      <c r="CJ627" s="2">
        <f>SUM(CJ$2:CJ117)+BD117*W117</f>
        <v>6560</v>
      </c>
      <c r="CK627" s="2">
        <f>SUM(CK$2:CK117)+BE117*X117</f>
        <v>44680</v>
      </c>
      <c r="CL627" s="2">
        <f>SUM(CL$2:CL117)+BF117*Y117</f>
        <v>66210</v>
      </c>
      <c r="CM627" s="2">
        <f>SUM(CM$2:CM117)+BG117*Z117</f>
        <v>37085</v>
      </c>
      <c r="CN627" s="2">
        <f>SUM(CN$2:CN117)+BH117*AA117</f>
        <v>33575.000000000058</v>
      </c>
      <c r="CO627" s="2">
        <f>SUM(CO$2:CO117)+BI117*AB117</f>
        <v>-18680</v>
      </c>
      <c r="CP627" s="2">
        <f>SUM(CP$2:CP117)+BJ117*AC117</f>
        <v>820</v>
      </c>
      <c r="CQ627" s="2">
        <f>SUM(CQ$2:CQ117)+BK117*AD117</f>
        <v>7520.0000000000073</v>
      </c>
      <c r="CR627" s="2">
        <f>SUM(CR$2:CR117)+BL117*AE117</f>
        <v>-6020</v>
      </c>
      <c r="CV627" t="s">
        <v>64</v>
      </c>
      <c r="CW627" t="s">
        <v>700</v>
      </c>
      <c r="CX627" t="s">
        <v>18</v>
      </c>
      <c r="CY627" s="4">
        <v>43187</v>
      </c>
      <c r="CZ627" t="s">
        <v>67</v>
      </c>
      <c r="DA627" t="s">
        <v>68</v>
      </c>
      <c r="DB627">
        <v>28</v>
      </c>
      <c r="DC627">
        <v>53.92</v>
      </c>
      <c r="DD627" t="s">
        <v>69</v>
      </c>
      <c r="DE627" t="s">
        <v>70</v>
      </c>
      <c r="DF627">
        <v>1509.76</v>
      </c>
    </row>
    <row r="628" spans="66:110" x14ac:dyDescent="0.25">
      <c r="BN628" s="1">
        <f t="shared" si="336"/>
        <v>42906</v>
      </c>
      <c r="BO628" s="2">
        <f>SUM(BO$2:BO118)+AI118*B118</f>
        <v>111565</v>
      </c>
      <c r="BP628" s="2">
        <f>SUM(BP$2:BP118)+AJ118*C118</f>
        <v>7954.6000000000058</v>
      </c>
      <c r="BQ628" s="2">
        <f>SUM(BQ$2:BQ118)+AK118*D118</f>
        <v>44021.299999999988</v>
      </c>
      <c r="BR628" s="2">
        <f>SUM(BR$2:BR118)+AL118*E118</f>
        <v>14724.099999999991</v>
      </c>
      <c r="BS628" s="2">
        <f>SUM(BS$2:BS118)+AM118*F118</f>
        <v>1686.5999999999985</v>
      </c>
      <c r="BT628" s="2">
        <f>SUM(BT$2:BT118)+AN118*G118</f>
        <v>-8625.6999999999971</v>
      </c>
      <c r="BU628" s="2">
        <f>SUM(BU$2:BU118)+AO118*H118</f>
        <v>-2536.4000000000087</v>
      </c>
      <c r="BV628" s="2">
        <f>SUM(BV$2:BV118)+AP118*I118</f>
        <v>0</v>
      </c>
      <c r="BW628" s="2">
        <f>SUM(BW$2:BW118)+AQ118*J118</f>
        <v>-14730</v>
      </c>
      <c r="BX628" s="2">
        <f>SUM(BX$2:BX118)+AR118*K118</f>
        <v>13940</v>
      </c>
      <c r="BY628" s="2">
        <f>SUM(BY$2:BY118)+AS118*L118</f>
        <v>-8640</v>
      </c>
      <c r="BZ628" s="2">
        <f>SUM(BZ$2:BZ118)+AT118*M118</f>
        <v>740</v>
      </c>
      <c r="CA628" s="2">
        <f>SUM(CA$2:CA118)+AU118*N118</f>
        <v>19140</v>
      </c>
      <c r="CB628" s="2">
        <f>SUM(CB$2:CB118)+AV118*O118</f>
        <v>1220</v>
      </c>
      <c r="CC628" s="2">
        <f>SUM(CC$2:CC118)+AW118*P118</f>
        <v>-20</v>
      </c>
      <c r="CD628" s="2">
        <f>SUM(CD$2:CD118)+AX118*Q118</f>
        <v>14050</v>
      </c>
      <c r="CE628" s="2">
        <f>SUM(CE$2:CE118)+AY118*R118</f>
        <v>35900</v>
      </c>
      <c r="CF628" s="2">
        <f>SUM(CF$2:CF118)+AZ118*S118</f>
        <v>5215.0299999999843</v>
      </c>
      <c r="CG628" s="2">
        <f>SUM(CG$2:CG118)+BA118*T118</f>
        <v>7716.3300000000236</v>
      </c>
      <c r="CH628" s="2">
        <f>SUM(CH$2:CH118)+BB118*U118</f>
        <v>-279.3999999999869</v>
      </c>
      <c r="CI628" s="2">
        <f>SUM(CI$2:CI118)+BC118*V118</f>
        <v>-2870</v>
      </c>
      <c r="CJ628" s="2">
        <f>SUM(CJ$2:CJ118)+BD118*W118</f>
        <v>6350</v>
      </c>
      <c r="CK628" s="2">
        <f>SUM(CK$2:CK118)+BE118*X118</f>
        <v>46980</v>
      </c>
      <c r="CL628" s="2">
        <f>SUM(CL$2:CL118)+BF118*Y118</f>
        <v>66930</v>
      </c>
      <c r="CM628" s="2">
        <f>SUM(CM$2:CM118)+BG118*Z118</f>
        <v>35485</v>
      </c>
      <c r="CN628" s="2">
        <f>SUM(CN$2:CN118)+BH118*AA118</f>
        <v>31575</v>
      </c>
      <c r="CO628" s="2">
        <f>SUM(CO$2:CO118)+BI118*AB118</f>
        <v>-20419.999999999985</v>
      </c>
      <c r="CP628" s="2">
        <f>SUM(CP$2:CP118)+BJ118*AC118</f>
        <v>820</v>
      </c>
      <c r="CQ628" s="2">
        <f>SUM(CQ$2:CQ118)+BK118*AD118</f>
        <v>7560.0000000000073</v>
      </c>
      <c r="CR628" s="2">
        <f>SUM(CR$2:CR118)+BL118*AE118</f>
        <v>-6440</v>
      </c>
      <c r="CV628" t="s">
        <v>64</v>
      </c>
      <c r="CW628" t="s">
        <v>701</v>
      </c>
      <c r="CX628" t="s">
        <v>18</v>
      </c>
      <c r="CY628" s="4">
        <v>43188</v>
      </c>
      <c r="CZ628" t="s">
        <v>65</v>
      </c>
      <c r="DA628" t="s">
        <v>66</v>
      </c>
      <c r="DB628">
        <v>39</v>
      </c>
      <c r="DC628">
        <v>53.31</v>
      </c>
      <c r="DD628" t="s">
        <v>69</v>
      </c>
      <c r="DE628" t="s">
        <v>70</v>
      </c>
      <c r="DF628">
        <v>2079.09</v>
      </c>
    </row>
    <row r="629" spans="66:110" x14ac:dyDescent="0.25">
      <c r="BN629" s="1">
        <f t="shared" si="336"/>
        <v>42907</v>
      </c>
      <c r="BO629" s="2">
        <f>SUM(BO$2:BO119)+AI119*B119</f>
        <v>115765</v>
      </c>
      <c r="BP629" s="2">
        <f>SUM(BP$2:BP119)+AJ119*C119</f>
        <v>7641.3999999999942</v>
      </c>
      <c r="BQ629" s="2">
        <f>SUM(BQ$2:BQ119)+AK119*D119</f>
        <v>44896.099999999948</v>
      </c>
      <c r="BR629" s="2">
        <f>SUM(BR$2:BR119)+AL119*E119</f>
        <v>11030.499999999985</v>
      </c>
      <c r="BS629" s="2">
        <f>SUM(BS$2:BS119)+AM119*F119</f>
        <v>1675.8000000000029</v>
      </c>
      <c r="BT629" s="2">
        <f>SUM(BT$2:BT119)+AN119*G119</f>
        <v>-10634.5</v>
      </c>
      <c r="BU629" s="2">
        <f>SUM(BU$2:BU119)+AO119*H119</f>
        <v>-1629.2000000000116</v>
      </c>
      <c r="BV629" s="2">
        <f>SUM(BV$2:BV119)+AP119*I119</f>
        <v>0</v>
      </c>
      <c r="BW629" s="2">
        <f>SUM(BW$2:BW119)+AQ119*J119</f>
        <v>-17290</v>
      </c>
      <c r="BX629" s="2">
        <f>SUM(BX$2:BX119)+AR119*K119</f>
        <v>13940</v>
      </c>
      <c r="BY629" s="2">
        <f>SUM(BY$2:BY119)+AS119*L119</f>
        <v>-9710</v>
      </c>
      <c r="BZ629" s="2">
        <f>SUM(BZ$2:BZ119)+AT119*M119</f>
        <v>740</v>
      </c>
      <c r="CA629" s="2">
        <f>SUM(CA$2:CA119)+AU119*N119</f>
        <v>19800</v>
      </c>
      <c r="CB629" s="2">
        <f>SUM(CB$2:CB119)+AV119*O119</f>
        <v>830</v>
      </c>
      <c r="CC629" s="2">
        <f>SUM(CC$2:CC119)+AW119*P119</f>
        <v>-20</v>
      </c>
      <c r="CD629" s="2">
        <f>SUM(CD$2:CD119)+AX119*Q119</f>
        <v>14050</v>
      </c>
      <c r="CE629" s="2">
        <f>SUM(CE$2:CE119)+AY119*R119</f>
        <v>35420</v>
      </c>
      <c r="CF629" s="2">
        <f>SUM(CF$2:CF119)+AZ119*S119</f>
        <v>6131.7299999999886</v>
      </c>
      <c r="CG629" s="2">
        <f>SUM(CG$2:CG119)+BA119*T119</f>
        <v>8061.7800000000134</v>
      </c>
      <c r="CH629" s="2">
        <f>SUM(CH$2:CH119)+BB119*U119</f>
        <v>757.8700000000099</v>
      </c>
      <c r="CI629" s="2">
        <f>SUM(CI$2:CI119)+BC119*V119</f>
        <v>-3170</v>
      </c>
      <c r="CJ629" s="2">
        <f>SUM(CJ$2:CJ119)+BD119*W119</f>
        <v>6130</v>
      </c>
      <c r="CK629" s="2">
        <f>SUM(CK$2:CK119)+BE119*X119</f>
        <v>46180</v>
      </c>
      <c r="CL629" s="2">
        <f>SUM(CL$2:CL119)+BF119*Y119</f>
        <v>71790</v>
      </c>
      <c r="CM629" s="2">
        <f>SUM(CM$2:CM119)+BG119*Z119</f>
        <v>36635</v>
      </c>
      <c r="CN629" s="2">
        <f>SUM(CN$2:CN119)+BH119*AA119</f>
        <v>32325.000000000058</v>
      </c>
      <c r="CO629" s="2">
        <f>SUM(CO$2:CO119)+BI119*AB119</f>
        <v>-21890</v>
      </c>
      <c r="CP629" s="2">
        <f>SUM(CP$2:CP119)+BJ119*AC119</f>
        <v>820</v>
      </c>
      <c r="CQ629" s="2">
        <f>SUM(CQ$2:CQ119)+BK119*AD119</f>
        <v>8240.0000000000073</v>
      </c>
      <c r="CR629" s="2">
        <f>SUM(CR$2:CR119)+BL119*AE119</f>
        <v>-7250</v>
      </c>
      <c r="CV629" t="s">
        <v>64</v>
      </c>
      <c r="CW629" t="s">
        <v>702</v>
      </c>
      <c r="CX629" t="s">
        <v>18</v>
      </c>
      <c r="CY629" s="4">
        <v>43192</v>
      </c>
      <c r="CZ629" t="s">
        <v>67</v>
      </c>
      <c r="DA629" t="s">
        <v>68</v>
      </c>
      <c r="DB629">
        <v>20</v>
      </c>
      <c r="DC629">
        <v>52.14</v>
      </c>
      <c r="DD629" t="s">
        <v>69</v>
      </c>
      <c r="DE629" t="s">
        <v>70</v>
      </c>
      <c r="DF629">
        <v>1042.8</v>
      </c>
    </row>
    <row r="630" spans="66:110" x14ac:dyDescent="0.25">
      <c r="BN630" s="1">
        <f t="shared" si="336"/>
        <v>42908</v>
      </c>
      <c r="BO630" s="2">
        <f>SUM(BO$2:BO120)+AI120*B120</f>
        <v>114565</v>
      </c>
      <c r="BP630" s="2">
        <f>SUM(BP$2:BP120)+AJ120*C120</f>
        <v>7684.6000000000058</v>
      </c>
      <c r="BQ630" s="2">
        <f>SUM(BQ$2:BQ120)+AK120*D120</f>
        <v>45176.899999999965</v>
      </c>
      <c r="BR630" s="2">
        <f>SUM(BR$2:BR120)+AL120*E120</f>
        <v>11408.499999999985</v>
      </c>
      <c r="BS630" s="2">
        <f>SUM(BS$2:BS120)+AM120*F120</f>
        <v>1686.5999999999985</v>
      </c>
      <c r="BT630" s="2">
        <f>SUM(BT$2:BT120)+AN120*G120</f>
        <v>-10677.699999999997</v>
      </c>
      <c r="BU630" s="2">
        <f>SUM(BU$2:BU120)+AO120*H120</f>
        <v>-2244.8000000000175</v>
      </c>
      <c r="BV630" s="2">
        <f>SUM(BV$2:BV120)+AP120*I120</f>
        <v>0</v>
      </c>
      <c r="BW630" s="2">
        <f>SUM(BW$2:BW120)+AQ120*J120</f>
        <v>-19950</v>
      </c>
      <c r="BX630" s="2">
        <f>SUM(BX$2:BX120)+AR120*K120</f>
        <v>13940</v>
      </c>
      <c r="BY630" s="2">
        <f>SUM(BY$2:BY120)+AS120*L120</f>
        <v>-9150</v>
      </c>
      <c r="BZ630" s="2">
        <f>SUM(BZ$2:BZ120)+AT120*M120</f>
        <v>740</v>
      </c>
      <c r="CA630" s="2">
        <f>SUM(CA$2:CA120)+AU120*N120</f>
        <v>20900</v>
      </c>
      <c r="CB630" s="2">
        <f>SUM(CB$2:CB120)+AV120*O120</f>
        <v>740</v>
      </c>
      <c r="CC630" s="2">
        <f>SUM(CC$2:CC120)+AW120*P120</f>
        <v>-20</v>
      </c>
      <c r="CD630" s="2">
        <f>SUM(CD$2:CD120)+AX120*Q120</f>
        <v>14050</v>
      </c>
      <c r="CE630" s="2">
        <f>SUM(CE$2:CE120)+AY120*R120</f>
        <v>34810</v>
      </c>
      <c r="CF630" s="2">
        <f>SUM(CF$2:CF120)+AZ120*S120</f>
        <v>6655.8999999999942</v>
      </c>
      <c r="CG630" s="2">
        <f>SUM(CG$2:CG120)+BA120*T120</f>
        <v>8061.7800000000061</v>
      </c>
      <c r="CH630" s="2">
        <f>SUM(CH$2:CH120)+BB120*U120</f>
        <v>569.41000000001804</v>
      </c>
      <c r="CI630" s="2">
        <f>SUM(CI$2:CI120)+BC120*V120</f>
        <v>-3340</v>
      </c>
      <c r="CJ630" s="2">
        <f>SUM(CJ$2:CJ120)+BD120*W120</f>
        <v>5780</v>
      </c>
      <c r="CK630" s="2">
        <f>SUM(CK$2:CK120)+BE120*X120</f>
        <v>44830</v>
      </c>
      <c r="CL630" s="2">
        <f>SUM(CL$2:CL120)+BF120*Y120</f>
        <v>76440</v>
      </c>
      <c r="CM630" s="2">
        <f>SUM(CM$2:CM120)+BG120*Z120</f>
        <v>38635</v>
      </c>
      <c r="CN630" s="2">
        <f>SUM(CN$2:CN120)+BH120*AA120</f>
        <v>29425</v>
      </c>
      <c r="CO630" s="2">
        <f>SUM(CO$2:CO120)+BI120*AB120</f>
        <v>-21860</v>
      </c>
      <c r="CP630" s="2">
        <f>SUM(CP$2:CP120)+BJ120*AC120</f>
        <v>820</v>
      </c>
      <c r="CQ630" s="2">
        <f>SUM(CQ$2:CQ120)+BK120*AD120</f>
        <v>7540.0000000000073</v>
      </c>
      <c r="CR630" s="2">
        <f>SUM(CR$2:CR120)+BL120*AE120</f>
        <v>-7590</v>
      </c>
      <c r="CV630" t="s">
        <v>64</v>
      </c>
      <c r="CW630" t="s">
        <v>703</v>
      </c>
      <c r="CX630" t="s">
        <v>18</v>
      </c>
      <c r="CY630" s="4">
        <v>43193</v>
      </c>
      <c r="CZ630" t="s">
        <v>67</v>
      </c>
      <c r="DA630" t="s">
        <v>68</v>
      </c>
      <c r="DB630">
        <v>6</v>
      </c>
      <c r="DC630">
        <v>52.94</v>
      </c>
      <c r="DD630" t="s">
        <v>69</v>
      </c>
      <c r="DE630" t="s">
        <v>70</v>
      </c>
      <c r="DF630">
        <v>317.64</v>
      </c>
    </row>
    <row r="631" spans="66:110" x14ac:dyDescent="0.25">
      <c r="BN631" s="1">
        <f t="shared" si="336"/>
        <v>42909</v>
      </c>
      <c r="BO631" s="2">
        <f>SUM(BO$2:BO121)+AI121*B121</f>
        <v>117765</v>
      </c>
      <c r="BP631" s="2">
        <f>SUM(BP$2:BP121)+AJ121*C121</f>
        <v>7652.1999999999971</v>
      </c>
      <c r="BQ631" s="2">
        <f>SUM(BQ$2:BQ121)+AK121*D121</f>
        <v>48092.899999999965</v>
      </c>
      <c r="BR631" s="2">
        <f>SUM(BR$2:BR121)+AL121*E121</f>
        <v>11689.299999999988</v>
      </c>
      <c r="BS631" s="2">
        <f>SUM(BS$2:BS121)+AM121*F121</f>
        <v>1935.0000000000036</v>
      </c>
      <c r="BT631" s="2">
        <f>SUM(BT$2:BT121)+AN121*G121</f>
        <v>-10116.099999999991</v>
      </c>
      <c r="BU631" s="2">
        <f>SUM(BU$2:BU121)+AO121*H121</f>
        <v>-2093.6000000000058</v>
      </c>
      <c r="BV631" s="2">
        <f>SUM(BV$2:BV121)+AP121*I121</f>
        <v>0</v>
      </c>
      <c r="BW631" s="2">
        <f>SUM(BW$2:BW121)+AQ121*J121</f>
        <v>-22480</v>
      </c>
      <c r="BX631" s="2">
        <f>SUM(BX$2:BX121)+AR121*K121</f>
        <v>13940</v>
      </c>
      <c r="BY631" s="2">
        <f>SUM(BY$2:BY121)+AS121*L121</f>
        <v>-9420</v>
      </c>
      <c r="BZ631" s="2">
        <f>SUM(BZ$2:BZ121)+AT121*M121</f>
        <v>740</v>
      </c>
      <c r="CA631" s="2">
        <f>SUM(CA$2:CA121)+AU121*N121</f>
        <v>21260</v>
      </c>
      <c r="CB631" s="2">
        <f>SUM(CB$2:CB121)+AV121*O121</f>
        <v>580</v>
      </c>
      <c r="CC631" s="2">
        <f>SUM(CC$2:CC121)+AW121*P121</f>
        <v>-20</v>
      </c>
      <c r="CD631" s="2">
        <f>SUM(CD$2:CD121)+AX121*Q121</f>
        <v>14050</v>
      </c>
      <c r="CE631" s="2">
        <f>SUM(CE$2:CE121)+AY121*R121</f>
        <v>35460</v>
      </c>
      <c r="CF631" s="2">
        <f>SUM(CF$2:CF121)+AZ121*S121</f>
        <v>6779.6599999999889</v>
      </c>
      <c r="CG631" s="2">
        <f>SUM(CG$2:CG121)+BA121*T121</f>
        <v>8941.3000000000102</v>
      </c>
      <c r="CH631" s="2">
        <f>SUM(CH$2:CH121)+BB121*U121</f>
        <v>1004.570000000007</v>
      </c>
      <c r="CI631" s="2">
        <f>SUM(CI$2:CI121)+BC121*V121</f>
        <v>-3450</v>
      </c>
      <c r="CJ631" s="2">
        <f>SUM(CJ$2:CJ121)+BD121*W121</f>
        <v>6150</v>
      </c>
      <c r="CK631" s="2">
        <f>SUM(CK$2:CK121)+BE121*X121</f>
        <v>41730</v>
      </c>
      <c r="CL631" s="2">
        <f>SUM(CL$2:CL121)+BF121*Y121</f>
        <v>72750</v>
      </c>
      <c r="CM631" s="2">
        <f>SUM(CM$2:CM121)+BG121*Z121</f>
        <v>38885</v>
      </c>
      <c r="CN631" s="2">
        <f>SUM(CN$2:CN121)+BH121*AA121</f>
        <v>37474.999999999942</v>
      </c>
      <c r="CO631" s="2">
        <f>SUM(CO$2:CO121)+BI121*AB121</f>
        <v>-21950</v>
      </c>
      <c r="CP631" s="2">
        <f>SUM(CP$2:CP121)+BJ121*AC121</f>
        <v>820</v>
      </c>
      <c r="CQ631" s="2">
        <f>SUM(CQ$2:CQ121)+BK121*AD121</f>
        <v>6890.0000000000073</v>
      </c>
      <c r="CR631" s="2">
        <f>SUM(CR$2:CR121)+BL121*AE121</f>
        <v>-7100</v>
      </c>
      <c r="CV631" t="s">
        <v>64</v>
      </c>
      <c r="CW631" t="s">
        <v>704</v>
      </c>
      <c r="CX631" t="s">
        <v>18</v>
      </c>
      <c r="CY631" s="4">
        <v>43194</v>
      </c>
      <c r="CZ631" t="s">
        <v>65</v>
      </c>
      <c r="DA631" t="s">
        <v>66</v>
      </c>
      <c r="DB631">
        <v>62</v>
      </c>
      <c r="DC631">
        <v>53.38</v>
      </c>
      <c r="DD631" t="s">
        <v>69</v>
      </c>
      <c r="DE631" t="s">
        <v>70</v>
      </c>
      <c r="DF631">
        <v>3309.56</v>
      </c>
    </row>
    <row r="632" spans="66:110" x14ac:dyDescent="0.25">
      <c r="BN632" s="1">
        <f t="shared" si="336"/>
        <v>42912</v>
      </c>
      <c r="BO632" s="2">
        <f>SUM(BO$2:BO122)+AI122*B122</f>
        <v>115515</v>
      </c>
      <c r="BP632" s="2">
        <f>SUM(BP$2:BP122)+AJ122*C122</f>
        <v>8429.8000000000029</v>
      </c>
      <c r="BQ632" s="2">
        <f>SUM(BQ$2:BQ122)+AK122*D122</f>
        <v>45749.299999999988</v>
      </c>
      <c r="BR632" s="2">
        <f>SUM(BR$2:BR122)+AL122*E122</f>
        <v>11840.499999999985</v>
      </c>
      <c r="BS632" s="2">
        <f>SUM(BS$2:BS122)+AM122*F122</f>
        <v>2086.2000000000007</v>
      </c>
      <c r="BT632" s="2">
        <f>SUM(BT$2:BT122)+AN122*G122</f>
        <v>-10990.899999999994</v>
      </c>
      <c r="BU632" s="2">
        <f>SUM(BU$2:BU122)+AO122*H122</f>
        <v>-830.00000000001455</v>
      </c>
      <c r="BV632" s="2">
        <f>SUM(BV$2:BV122)+AP122*I122</f>
        <v>0</v>
      </c>
      <c r="BW632" s="2">
        <f>SUM(BW$2:BW122)+AQ122*J122</f>
        <v>-19290</v>
      </c>
      <c r="BX632" s="2">
        <f>SUM(BX$2:BX122)+AR122*K122</f>
        <v>13940</v>
      </c>
      <c r="BY632" s="2">
        <f>SUM(BY$2:BY122)+AS122*L122</f>
        <v>-8380</v>
      </c>
      <c r="BZ632" s="2">
        <f>SUM(BZ$2:BZ122)+AT122*M122</f>
        <v>740</v>
      </c>
      <c r="CA632" s="2">
        <f>SUM(CA$2:CA122)+AU122*N122</f>
        <v>21180</v>
      </c>
      <c r="CB632" s="2">
        <f>SUM(CB$2:CB122)+AV122*O122</f>
        <v>950</v>
      </c>
      <c r="CC632" s="2">
        <f>SUM(CC$2:CC122)+AW122*P122</f>
        <v>-20</v>
      </c>
      <c r="CD632" s="2">
        <f>SUM(CD$2:CD122)+AX122*Q122</f>
        <v>14050</v>
      </c>
      <c r="CE632" s="2">
        <f>SUM(CE$2:CE122)+AY122*R122</f>
        <v>35180</v>
      </c>
      <c r="CF632" s="2">
        <f>SUM(CF$2:CF122)+AZ122*S122</f>
        <v>6552.1899999999878</v>
      </c>
      <c r="CG632" s="2">
        <f>SUM(CG$2:CG122)+BA122*T122</f>
        <v>8297.8000000000175</v>
      </c>
      <c r="CH632" s="2">
        <f>SUM(CH$2:CH122)+BB122*U122</f>
        <v>1456.0700000000143</v>
      </c>
      <c r="CI632" s="2">
        <f>SUM(CI$2:CI122)+BC122*V122</f>
        <v>-3320</v>
      </c>
      <c r="CJ632" s="2">
        <f>SUM(CJ$2:CJ122)+BD122*W122</f>
        <v>6090</v>
      </c>
      <c r="CK632" s="2">
        <f>SUM(CK$2:CK122)+BE122*X122</f>
        <v>43130</v>
      </c>
      <c r="CL632" s="2">
        <f>SUM(CL$2:CL122)+BF122*Y122</f>
        <v>72360</v>
      </c>
      <c r="CM632" s="2">
        <f>SUM(CM$2:CM122)+BG122*Z122</f>
        <v>37185</v>
      </c>
      <c r="CN632" s="2">
        <f>SUM(CN$2:CN122)+BH122*AA122</f>
        <v>35725</v>
      </c>
      <c r="CO632" s="2">
        <f>SUM(CO$2:CO122)+BI122*AB122</f>
        <v>-20960.000000000015</v>
      </c>
      <c r="CP632" s="2">
        <f>SUM(CP$2:CP122)+BJ122*AC122</f>
        <v>820</v>
      </c>
      <c r="CQ632" s="2">
        <f>SUM(CQ$2:CQ122)+BK122*AD122</f>
        <v>7520.0000000000073</v>
      </c>
      <c r="CR632" s="2">
        <f>SUM(CR$2:CR122)+BL122*AE122</f>
        <v>-7440</v>
      </c>
      <c r="CV632" t="s">
        <v>64</v>
      </c>
      <c r="CW632" t="s">
        <v>705</v>
      </c>
      <c r="CX632" t="s">
        <v>18</v>
      </c>
      <c r="CY632" s="4">
        <v>43195</v>
      </c>
      <c r="CZ632" t="s">
        <v>65</v>
      </c>
      <c r="DA632" t="s">
        <v>66</v>
      </c>
      <c r="DB632">
        <v>1</v>
      </c>
      <c r="DC632">
        <v>53.37</v>
      </c>
      <c r="DD632" t="s">
        <v>69</v>
      </c>
      <c r="DE632" t="s">
        <v>70</v>
      </c>
      <c r="DF632">
        <v>53.37</v>
      </c>
    </row>
    <row r="633" spans="66:110" x14ac:dyDescent="0.25">
      <c r="BN633" s="1">
        <f t="shared" si="336"/>
        <v>42913</v>
      </c>
      <c r="BO633" s="2">
        <f>SUM(BO$2:BO123)+AI123*B123</f>
        <v>105315</v>
      </c>
      <c r="BP633" s="2">
        <f>SUM(BP$2:BP123)+AJ123*C123</f>
        <v>8559.4000000000087</v>
      </c>
      <c r="BQ633" s="2">
        <f>SUM(BQ$2:BQ123)+AK123*D123</f>
        <v>44604.499999999971</v>
      </c>
      <c r="BR633" s="2">
        <f>SUM(BR$2:BR123)+AL123*E123</f>
        <v>11505.699999999983</v>
      </c>
      <c r="BS633" s="2">
        <f>SUM(BS$2:BS123)+AM123*F123</f>
        <v>1589.4000000000015</v>
      </c>
      <c r="BT633" s="2">
        <f>SUM(BT$2:BT123)+AN123*G123</f>
        <v>-11055.699999999997</v>
      </c>
      <c r="BU633" s="2">
        <f>SUM(BU$2:BU123)+AO123*H123</f>
        <v>-992</v>
      </c>
      <c r="BV633" s="2">
        <f>SUM(BV$2:BV123)+AP123*I123</f>
        <v>0</v>
      </c>
      <c r="BW633" s="2">
        <f>SUM(BW$2:BW123)+AQ123*J123</f>
        <v>-19450</v>
      </c>
      <c r="BX633" s="2">
        <f>SUM(BX$2:BX123)+AR123*K123</f>
        <v>13940</v>
      </c>
      <c r="BY633" s="2">
        <f>SUM(BY$2:BY123)+AS123*L123</f>
        <v>-8830</v>
      </c>
      <c r="BZ633" s="2">
        <f>SUM(BZ$2:BZ123)+AT123*M123</f>
        <v>740</v>
      </c>
      <c r="CA633" s="2">
        <f>SUM(CA$2:CA123)+AU123*N123</f>
        <v>19900</v>
      </c>
      <c r="CB633" s="2">
        <f>SUM(CB$2:CB123)+AV123*O123</f>
        <v>1720</v>
      </c>
      <c r="CC633" s="2">
        <f>SUM(CC$2:CC123)+AW123*P123</f>
        <v>-20</v>
      </c>
      <c r="CD633" s="2">
        <f>SUM(CD$2:CD123)+AX123*Q123</f>
        <v>14050</v>
      </c>
      <c r="CE633" s="2">
        <f>SUM(CE$2:CE123)+AY123*R123</f>
        <v>32470</v>
      </c>
      <c r="CF633" s="2">
        <f>SUM(CF$2:CF123)+AZ123*S123</f>
        <v>6194.3499999999913</v>
      </c>
      <c r="CG633" s="2">
        <f>SUM(CG$2:CG123)+BA123*T123</f>
        <v>6942.0100000000093</v>
      </c>
      <c r="CH633" s="2">
        <f>SUM(CH$2:CH123)+BB123*U123</f>
        <v>1153.6700000000128</v>
      </c>
      <c r="CI633" s="2">
        <f>SUM(CI$2:CI123)+BC123*V123</f>
        <v>-3070</v>
      </c>
      <c r="CJ633" s="2">
        <f>SUM(CJ$2:CJ123)+BD123*W123</f>
        <v>5380</v>
      </c>
      <c r="CK633" s="2">
        <f>SUM(CK$2:CK123)+BE123*X123</f>
        <v>40380</v>
      </c>
      <c r="CL633" s="2">
        <f>SUM(CL$2:CL123)+BF123*Y123</f>
        <v>70830</v>
      </c>
      <c r="CM633" s="2">
        <f>SUM(CM$2:CM123)+BG123*Z123</f>
        <v>35835</v>
      </c>
      <c r="CN633" s="2">
        <f>SUM(CN$2:CN123)+BH123*AA123</f>
        <v>34125.000000000058</v>
      </c>
      <c r="CO633" s="2">
        <f>SUM(CO$2:CO123)+BI123*AB123</f>
        <v>-23480</v>
      </c>
      <c r="CP633" s="2">
        <f>SUM(CP$2:CP123)+BJ123*AC123</f>
        <v>820</v>
      </c>
      <c r="CQ633" s="2">
        <f>SUM(CQ$2:CQ123)+BK123*AD123</f>
        <v>8020.0000000000073</v>
      </c>
      <c r="CR633" s="2">
        <f>SUM(CR$2:CR123)+BL123*AE123</f>
        <v>-7560</v>
      </c>
      <c r="CV633" t="s">
        <v>64</v>
      </c>
      <c r="CW633" t="s">
        <v>706</v>
      </c>
      <c r="CX633" t="s">
        <v>18</v>
      </c>
      <c r="CY633" s="4">
        <v>43196</v>
      </c>
      <c r="CZ633" t="s">
        <v>67</v>
      </c>
      <c r="DA633" t="s">
        <v>68</v>
      </c>
      <c r="DB633">
        <v>32</v>
      </c>
      <c r="DC633">
        <v>52.23</v>
      </c>
      <c r="DD633" t="s">
        <v>69</v>
      </c>
      <c r="DE633" t="s">
        <v>70</v>
      </c>
      <c r="DF633">
        <v>1671.36</v>
      </c>
    </row>
    <row r="634" spans="66:110" x14ac:dyDescent="0.25">
      <c r="BN634" s="1">
        <f t="shared" si="336"/>
        <v>42914</v>
      </c>
      <c r="BO634" s="2">
        <f>SUM(BO$2:BO124)+AI124*B124</f>
        <v>115565</v>
      </c>
      <c r="BP634" s="2">
        <f>SUM(BP$2:BP124)+AJ124*C124</f>
        <v>9499</v>
      </c>
      <c r="BQ634" s="2">
        <f>SUM(BQ$2:BQ124)+AK124*D124</f>
        <v>45371.299999999988</v>
      </c>
      <c r="BR634" s="2">
        <f>SUM(BR$2:BR124)+AL124*E124</f>
        <v>14119.299999999988</v>
      </c>
      <c r="BS634" s="2">
        <f>SUM(BS$2:BS124)+AM124*F124</f>
        <v>1924.2000000000007</v>
      </c>
      <c r="BT634" s="2">
        <f>SUM(BT$2:BT124)+AN124*G124</f>
        <v>-10839.699999999997</v>
      </c>
      <c r="BU634" s="2">
        <f>SUM(BU$2:BU124)+AO124*H124</f>
        <v>519.99999999998545</v>
      </c>
      <c r="BV634" s="2">
        <f>SUM(BV$2:BV124)+AP124*I124</f>
        <v>0</v>
      </c>
      <c r="BW634" s="2">
        <f>SUM(BW$2:BW124)+AQ124*J124</f>
        <v>-16570</v>
      </c>
      <c r="BX634" s="2">
        <f>SUM(BX$2:BX124)+AR124*K124</f>
        <v>13940</v>
      </c>
      <c r="BY634" s="2">
        <f>SUM(BY$2:BY124)+AS124*L124</f>
        <v>-8300</v>
      </c>
      <c r="BZ634" s="2">
        <f>SUM(BZ$2:BZ124)+AT124*M124</f>
        <v>740</v>
      </c>
      <c r="CA634" s="2">
        <f>SUM(CA$2:CA124)+AU124*N124</f>
        <v>18749.999999999985</v>
      </c>
      <c r="CB634" s="2">
        <f>SUM(CB$2:CB124)+AV124*O124</f>
        <v>3420</v>
      </c>
      <c r="CC634" s="2">
        <f>SUM(CC$2:CC124)+AW124*P124</f>
        <v>-20</v>
      </c>
      <c r="CD634" s="2">
        <f>SUM(CD$2:CD124)+AX124*Q124</f>
        <v>14050</v>
      </c>
      <c r="CE634" s="2">
        <f>SUM(CE$2:CE124)+AY124*R124</f>
        <v>33280</v>
      </c>
      <c r="CF634" s="2">
        <f>SUM(CF$2:CF124)+AZ124*S124</f>
        <v>5823.5499999999884</v>
      </c>
      <c r="CG634" s="2">
        <f>SUM(CG$2:CG124)+BA124*T124</f>
        <v>7566.0900000000038</v>
      </c>
      <c r="CH634" s="2">
        <f>SUM(CH$2:CH124)+BB124*U124</f>
        <v>1562.8700000000172</v>
      </c>
      <c r="CI634" s="2">
        <f>SUM(CI$2:CI124)+BC124*V124</f>
        <v>-3050</v>
      </c>
      <c r="CJ634" s="2">
        <f>SUM(CJ$2:CJ124)+BD124*W124</f>
        <v>5160</v>
      </c>
      <c r="CK634" s="2">
        <f>SUM(CK$2:CK124)+BE124*X124</f>
        <v>42280</v>
      </c>
      <c r="CL634" s="2">
        <f>SUM(CL$2:CL124)+BF124*Y124</f>
        <v>74070</v>
      </c>
      <c r="CM634" s="2">
        <f>SUM(CM$2:CM124)+BG124*Z124</f>
        <v>40235</v>
      </c>
      <c r="CN634" s="2">
        <f>SUM(CN$2:CN124)+BH124*AA124</f>
        <v>40675</v>
      </c>
      <c r="CO634" s="2">
        <f>SUM(CO$2:CO124)+BI124*AB124</f>
        <v>-23480</v>
      </c>
      <c r="CP634" s="2">
        <f>SUM(CP$2:CP124)+BJ124*AC124</f>
        <v>820</v>
      </c>
      <c r="CQ634" s="2">
        <f>SUM(CQ$2:CQ124)+BK124*AD124</f>
        <v>8500.0000000000073</v>
      </c>
      <c r="CR634" s="2">
        <f>SUM(CR$2:CR124)+BL124*AE124</f>
        <v>-7170</v>
      </c>
      <c r="CV634" t="s">
        <v>64</v>
      </c>
      <c r="CW634" t="s">
        <v>707</v>
      </c>
      <c r="CX634" t="s">
        <v>18</v>
      </c>
      <c r="CY634" s="4">
        <v>43199</v>
      </c>
      <c r="CZ634" t="s">
        <v>67</v>
      </c>
      <c r="DA634" t="s">
        <v>68</v>
      </c>
      <c r="DB634">
        <v>7</v>
      </c>
      <c r="DC634">
        <v>54.97</v>
      </c>
      <c r="DD634" t="s">
        <v>69</v>
      </c>
      <c r="DE634" t="s">
        <v>70</v>
      </c>
      <c r="DF634">
        <v>384.78999999999996</v>
      </c>
    </row>
    <row r="635" spans="66:110" x14ac:dyDescent="0.25">
      <c r="BN635" s="1">
        <f t="shared" si="336"/>
        <v>42915</v>
      </c>
      <c r="BO635" s="2">
        <f>SUM(BO$2:BO125)+AI125*B125</f>
        <v>105115</v>
      </c>
      <c r="BP635" s="2">
        <f>SUM(BP$2:BP125)+AJ125*C125</f>
        <v>9131.8000000000029</v>
      </c>
      <c r="BQ635" s="2">
        <f>SUM(BQ$2:BQ125)+AK125*D125</f>
        <v>43114.099999999977</v>
      </c>
      <c r="BR635" s="2">
        <f>SUM(BR$2:BR125)+AL125*E125</f>
        <v>13276.89999999998</v>
      </c>
      <c r="BS635" s="2">
        <f>SUM(BS$2:BS125)+AM125*F125</f>
        <v>1233</v>
      </c>
      <c r="BT635" s="2">
        <f>SUM(BT$2:BT125)+AN125*G125</f>
        <v>-11001.699999999997</v>
      </c>
      <c r="BU635" s="2">
        <f>SUM(BU$2:BU125)+AO125*H125</f>
        <v>-678.80000000000291</v>
      </c>
      <c r="BV635" s="2">
        <f>SUM(BV$2:BV125)+AP125*I125</f>
        <v>0</v>
      </c>
      <c r="BW635" s="2">
        <f>SUM(BW$2:BW125)+AQ125*J125</f>
        <v>-15400</v>
      </c>
      <c r="BX635" s="2">
        <f>SUM(BX$2:BX125)+AR125*K125</f>
        <v>13940</v>
      </c>
      <c r="BY635" s="2">
        <f>SUM(BY$2:BY125)+AS125*L125</f>
        <v>-9400</v>
      </c>
      <c r="BZ635" s="2">
        <f>SUM(BZ$2:BZ125)+AT125*M125</f>
        <v>740</v>
      </c>
      <c r="CA635" s="2">
        <f>SUM(CA$2:CA125)+AU125*N125</f>
        <v>17620</v>
      </c>
      <c r="CB635" s="2">
        <f>SUM(CB$2:CB125)+AV125*O125</f>
        <v>4700</v>
      </c>
      <c r="CC635" s="2">
        <f>SUM(CC$2:CC125)+AW125*P125</f>
        <v>-20</v>
      </c>
      <c r="CD635" s="2">
        <f>SUM(CD$2:CD125)+AX125*Q125</f>
        <v>14050</v>
      </c>
      <c r="CE635" s="2">
        <f>SUM(CE$2:CE125)+AY125*R125</f>
        <v>30620</v>
      </c>
      <c r="CF635" s="2">
        <f>SUM(CF$2:CF125)+AZ125*S125</f>
        <v>5034.9699999999866</v>
      </c>
      <c r="CG635" s="2">
        <f>SUM(CG$2:CG125)+BA125*T125</f>
        <v>6369.2900000000009</v>
      </c>
      <c r="CH635" s="2">
        <f>SUM(CH$2:CH125)+BB125*U125</f>
        <v>1366.2200000000157</v>
      </c>
      <c r="CI635" s="2">
        <f>SUM(CI$2:CI125)+BC125*V125</f>
        <v>-2940</v>
      </c>
      <c r="CJ635" s="2">
        <f>SUM(CJ$2:CJ125)+BD125*W125</f>
        <v>3860</v>
      </c>
      <c r="CK635" s="2">
        <f>SUM(CK$2:CK125)+BE125*X125</f>
        <v>35580</v>
      </c>
      <c r="CL635" s="2">
        <f>SUM(CL$2:CL125)+BF125*Y125</f>
        <v>72810</v>
      </c>
      <c r="CM635" s="2">
        <f>SUM(CM$2:CM125)+BG125*Z125</f>
        <v>36135</v>
      </c>
      <c r="CN635" s="2">
        <f>SUM(CN$2:CN125)+BH125*AA125</f>
        <v>31774.999999999942</v>
      </c>
      <c r="CO635" s="2">
        <f>SUM(CO$2:CO125)+BI125*AB125</f>
        <v>-24650</v>
      </c>
      <c r="CP635" s="2">
        <f>SUM(CP$2:CP125)+BJ125*AC125</f>
        <v>820</v>
      </c>
      <c r="CQ635" s="2">
        <f>SUM(CQ$2:CQ125)+BK125*AD125</f>
        <v>7940.0000000000073</v>
      </c>
      <c r="CR635" s="2">
        <f>SUM(CR$2:CR125)+BL125*AE125</f>
        <v>-7940</v>
      </c>
      <c r="CV635" t="s">
        <v>64</v>
      </c>
      <c r="CW635" t="s">
        <v>708</v>
      </c>
      <c r="CX635" t="s">
        <v>18</v>
      </c>
      <c r="CY635" s="4">
        <v>43200</v>
      </c>
      <c r="CZ635" t="s">
        <v>67</v>
      </c>
      <c r="DA635" t="s">
        <v>68</v>
      </c>
      <c r="DB635">
        <v>39</v>
      </c>
      <c r="DC635">
        <v>55.29</v>
      </c>
      <c r="DD635" t="s">
        <v>69</v>
      </c>
      <c r="DE635" t="s">
        <v>70</v>
      </c>
      <c r="DF635">
        <v>2156.31</v>
      </c>
    </row>
    <row r="636" spans="66:110" x14ac:dyDescent="0.25">
      <c r="BN636" s="1">
        <f t="shared" si="336"/>
        <v>42916</v>
      </c>
      <c r="BO636" s="2">
        <f>SUM(BO$2:BO126)+AI126*B126</f>
        <v>106765</v>
      </c>
      <c r="BP636" s="2">
        <f>SUM(BP$2:BP126)+AJ126*C126</f>
        <v>9779.8000000000029</v>
      </c>
      <c r="BQ636" s="2">
        <f>SUM(BQ$2:BQ126)+AK126*D126</f>
        <v>43416.499999999971</v>
      </c>
      <c r="BR636" s="2">
        <f>SUM(BR$2:BR126)+AL126*E126</f>
        <v>15156.099999999977</v>
      </c>
      <c r="BS636" s="2">
        <f>SUM(BS$2:BS126)+AM126*F126</f>
        <v>1125</v>
      </c>
      <c r="BT636" s="2">
        <f>SUM(BT$2:BT126)+AN126*G126</f>
        <v>-10796.5</v>
      </c>
      <c r="BU636" s="2">
        <f>SUM(BU$2:BU126)+AO126*H126</f>
        <v>-117.20000000001164</v>
      </c>
      <c r="BV636" s="2">
        <f>SUM(BV$2:BV126)+AP126*I126</f>
        <v>0</v>
      </c>
      <c r="BW636" s="2">
        <f>SUM(BW$2:BW126)+AQ126*J126</f>
        <v>-17860</v>
      </c>
      <c r="BX636" s="2">
        <f>SUM(BX$2:BX126)+AR126*K126</f>
        <v>13940</v>
      </c>
      <c r="BY636" s="2">
        <f>SUM(BY$2:BY126)+AS126*L126</f>
        <v>-9680</v>
      </c>
      <c r="BZ636" s="2">
        <f>SUM(BZ$2:BZ126)+AT126*M126</f>
        <v>740</v>
      </c>
      <c r="CA636" s="2">
        <f>SUM(CA$2:CA126)+AU126*N126</f>
        <v>17280</v>
      </c>
      <c r="CB636" s="2">
        <f>SUM(CB$2:CB126)+AV126*O126</f>
        <v>4940</v>
      </c>
      <c r="CC636" s="2">
        <f>SUM(CC$2:CC126)+AW126*P126</f>
        <v>-20</v>
      </c>
      <c r="CD636" s="2">
        <f>SUM(CD$2:CD126)+AX126*Q126</f>
        <v>14050</v>
      </c>
      <c r="CE636" s="2">
        <f>SUM(CE$2:CE126)+AY126*R126</f>
        <v>30950</v>
      </c>
      <c r="CF636" s="2">
        <f>SUM(CF$2:CF126)+AZ126*S126</f>
        <v>4806.9699999999866</v>
      </c>
      <c r="CG636" s="2">
        <f>SUM(CG$2:CG126)+BA126*T126</f>
        <v>6793.2700000000041</v>
      </c>
      <c r="CH636" s="2">
        <f>SUM(CH$2:CH126)+BB126*U126</f>
        <v>7308.2300000000178</v>
      </c>
      <c r="CI636" s="2">
        <f>SUM(CI$2:CI126)+BC126*V126</f>
        <v>-2900</v>
      </c>
      <c r="CJ636" s="2">
        <f>SUM(CJ$2:CJ126)+BD126*W126</f>
        <v>4010</v>
      </c>
      <c r="CK636" s="2">
        <f>SUM(CK$2:CK126)+BE126*X126</f>
        <v>36280</v>
      </c>
      <c r="CL636" s="2">
        <f>SUM(CL$2:CL126)+BF126*Y126</f>
        <v>73260</v>
      </c>
      <c r="CM636" s="2">
        <f>SUM(CM$2:CM126)+BG126*Z126</f>
        <v>38335</v>
      </c>
      <c r="CN636" s="2">
        <f>SUM(CN$2:CN126)+BH126*AA126</f>
        <v>28575.000000000058</v>
      </c>
      <c r="CO636" s="2">
        <f>SUM(CO$2:CO126)+BI126*AB126</f>
        <v>-23960.000000000015</v>
      </c>
      <c r="CP636" s="2">
        <f>SUM(CP$2:CP126)+BJ126*AC126</f>
        <v>820</v>
      </c>
      <c r="CQ636" s="2">
        <f>SUM(CQ$2:CQ126)+BK126*AD126</f>
        <v>7700.0000000000073</v>
      </c>
      <c r="CR636" s="2">
        <f>SUM(CR$2:CR126)+BL126*AE126</f>
        <v>-7920</v>
      </c>
      <c r="CV636" t="s">
        <v>64</v>
      </c>
      <c r="CW636" t="s">
        <v>709</v>
      </c>
      <c r="CX636" t="s">
        <v>18</v>
      </c>
      <c r="CY636" s="4">
        <v>43201</v>
      </c>
      <c r="CZ636" t="s">
        <v>65</v>
      </c>
      <c r="DA636" t="s">
        <v>66</v>
      </c>
      <c r="DB636">
        <v>37</v>
      </c>
      <c r="DC636">
        <v>55.01</v>
      </c>
      <c r="DD636" t="s">
        <v>69</v>
      </c>
      <c r="DE636" t="s">
        <v>70</v>
      </c>
      <c r="DF636">
        <v>2035.37</v>
      </c>
    </row>
    <row r="637" spans="66:110" x14ac:dyDescent="0.25">
      <c r="BN637" s="1">
        <f t="shared" si="336"/>
        <v>42919</v>
      </c>
      <c r="BO637" s="2">
        <f>SUM(BO$2:BO127)+AI127*B127</f>
        <v>104215</v>
      </c>
      <c r="BP637" s="2">
        <f>SUM(BP$2:BP127)+AJ127*C127</f>
        <v>10687</v>
      </c>
      <c r="BQ637" s="2">
        <f>SUM(BQ$2:BQ127)+AK127*D127</f>
        <v>44291.299999999988</v>
      </c>
      <c r="BR637" s="2">
        <f>SUM(BR$2:BR127)+AL127*E127</f>
        <v>14648.499999999985</v>
      </c>
      <c r="BS637" s="2">
        <f>SUM(BS$2:BS127)+AM127*F127</f>
        <v>1157.4000000000015</v>
      </c>
      <c r="BT637" s="2">
        <f>SUM(BT$2:BT127)+AN127*G127</f>
        <v>-8809.3000000000029</v>
      </c>
      <c r="BU637" s="2">
        <f>SUM(BU$2:BU127)+AO127*H127</f>
        <v>1146.3999999999942</v>
      </c>
      <c r="BV637" s="2">
        <f>SUM(BV$2:BV127)+AP127*I127</f>
        <v>0</v>
      </c>
      <c r="BW637" s="2">
        <f>SUM(BW$2:BW127)+AQ127*J127</f>
        <v>-12590</v>
      </c>
      <c r="BX637" s="2">
        <f>SUM(BX$2:BX127)+AR127*K127</f>
        <v>13940</v>
      </c>
      <c r="BY637" s="2">
        <f>SUM(BY$2:BY127)+AS127*L127</f>
        <v>-8060</v>
      </c>
      <c r="BZ637" s="2">
        <f>SUM(BZ$2:BZ127)+AT127*M127</f>
        <v>740</v>
      </c>
      <c r="CA637" s="2">
        <f>SUM(CA$2:CA127)+AU127*N127</f>
        <v>17870</v>
      </c>
      <c r="CB637" s="2">
        <f>SUM(CB$2:CB127)+AV127*O127</f>
        <v>6720</v>
      </c>
      <c r="CC637" s="2">
        <f>SUM(CC$2:CC127)+AW127*P127</f>
        <v>-20</v>
      </c>
      <c r="CD637" s="2">
        <f>SUM(CD$2:CD127)+AX127*Q127</f>
        <v>14050</v>
      </c>
      <c r="CE637" s="2">
        <f>SUM(CE$2:CE127)+AY127*R127</f>
        <v>32520</v>
      </c>
      <c r="CF637" s="2">
        <f>SUM(CF$2:CF127)+AZ127*S127</f>
        <v>4982.5799999999872</v>
      </c>
      <c r="CG637" s="2">
        <f>SUM(CG$2:CG127)+BA127*T127</f>
        <v>6078.43</v>
      </c>
      <c r="CH637" s="2">
        <f>SUM(CH$2:CH127)+BB127*U127</f>
        <v>6926.3800000000192</v>
      </c>
      <c r="CI637" s="2">
        <f>SUM(CI$2:CI127)+BC127*V127</f>
        <v>-3120</v>
      </c>
      <c r="CJ637" s="2">
        <f>SUM(CJ$2:CJ127)+BD127*W127</f>
        <v>4560</v>
      </c>
      <c r="CK637" s="2">
        <f>SUM(CK$2:CK127)+BE127*X127</f>
        <v>40180</v>
      </c>
      <c r="CL637" s="2">
        <f>SUM(CL$2:CL127)+BF127*Y127</f>
        <v>76860</v>
      </c>
      <c r="CM637" s="2">
        <f>SUM(CM$2:CM127)+BG127*Z127</f>
        <v>38185</v>
      </c>
      <c r="CN637" s="2">
        <f>SUM(CN$2:CN127)+BH127*AA127</f>
        <v>26475</v>
      </c>
      <c r="CO637" s="2">
        <f>SUM(CO$2:CO127)+BI127*AB127</f>
        <v>-23030</v>
      </c>
      <c r="CP637" s="2">
        <f>SUM(CP$2:CP127)+BJ127*AC127</f>
        <v>820</v>
      </c>
      <c r="CQ637" s="2">
        <f>SUM(CQ$2:CQ127)+BK127*AD127</f>
        <v>7390.0000000000073</v>
      </c>
      <c r="CR637" s="2">
        <f>SUM(CR$2:CR127)+BL127*AE127</f>
        <v>-6640</v>
      </c>
      <c r="CV637" t="s">
        <v>64</v>
      </c>
      <c r="CW637" t="s">
        <v>710</v>
      </c>
      <c r="CX637" t="s">
        <v>18</v>
      </c>
      <c r="CY637" s="4">
        <v>43202</v>
      </c>
      <c r="CZ637" t="s">
        <v>65</v>
      </c>
      <c r="DA637" t="s">
        <v>66</v>
      </c>
      <c r="DB637">
        <v>53</v>
      </c>
      <c r="DC637">
        <v>55.53</v>
      </c>
      <c r="DD637" t="s">
        <v>69</v>
      </c>
      <c r="DE637" t="s">
        <v>70</v>
      </c>
      <c r="DF637">
        <v>2943.09</v>
      </c>
    </row>
    <row r="638" spans="66:110" x14ac:dyDescent="0.25">
      <c r="BN638" s="1">
        <f t="shared" si="336"/>
        <v>42921</v>
      </c>
      <c r="BO638" s="2">
        <f>SUM(BO$2:BO128)+AI128*B128</f>
        <v>107115</v>
      </c>
      <c r="BP638" s="2">
        <f>SUM(BP$2:BP128)+AJ128*C128</f>
        <v>10805.800000000003</v>
      </c>
      <c r="BQ638" s="2">
        <f>SUM(BQ$2:BQ128)+AK128*D128</f>
        <v>47650.099999999948</v>
      </c>
      <c r="BR638" s="2">
        <f>SUM(BR$2:BR128)+AL128*E128</f>
        <v>15188.499999999985</v>
      </c>
      <c r="BS638" s="2">
        <f>SUM(BS$2:BS128)+AM128*F128</f>
        <v>1222.2000000000007</v>
      </c>
      <c r="BT638" s="2">
        <f>SUM(BT$2:BT128)+AN128*G128</f>
        <v>-10504.900000000009</v>
      </c>
      <c r="BU638" s="2">
        <f>SUM(BU$2:BU128)+AO128*H128</f>
        <v>-765.19999999999709</v>
      </c>
      <c r="BV638" s="2">
        <f>SUM(BV$2:BV128)+AP128*I128</f>
        <v>0</v>
      </c>
      <c r="BW638" s="2">
        <f>SUM(BW$2:BW128)+AQ128*J128</f>
        <v>-11850</v>
      </c>
      <c r="BX638" s="2">
        <f>SUM(BX$2:BX128)+AR128*K128</f>
        <v>13940</v>
      </c>
      <c r="BY638" s="2">
        <f>SUM(BY$2:BY128)+AS128*L128</f>
        <v>-9830</v>
      </c>
      <c r="BZ638" s="2">
        <f>SUM(BZ$2:BZ128)+AT128*M128</f>
        <v>740</v>
      </c>
      <c r="CA638" s="2">
        <f>SUM(CA$2:CA128)+AU128*N128</f>
        <v>18580</v>
      </c>
      <c r="CB638" s="2">
        <f>SUM(CB$2:CB128)+AV128*O128</f>
        <v>7620</v>
      </c>
      <c r="CC638" s="2">
        <f>SUM(CC$2:CC128)+AW128*P128</f>
        <v>-20</v>
      </c>
      <c r="CD638" s="2">
        <f>SUM(CD$2:CD128)+AX128*Q128</f>
        <v>14050</v>
      </c>
      <c r="CE638" s="2">
        <f>SUM(CE$2:CE128)+AY128*R128</f>
        <v>32450</v>
      </c>
      <c r="CF638" s="2">
        <f>SUM(CF$2:CF128)+AZ128*S128</f>
        <v>4877.8599999999933</v>
      </c>
      <c r="CG638" s="2">
        <f>SUM(CG$2:CG128)+BA128*T128</f>
        <v>7023.6100000000006</v>
      </c>
      <c r="CH638" s="2">
        <f>SUM(CH$2:CH128)+BB128*U128</f>
        <v>5816.7900000000154</v>
      </c>
      <c r="CI638" s="2">
        <f>SUM(CI$2:CI128)+BC128*V128</f>
        <v>-2950</v>
      </c>
      <c r="CJ638" s="2">
        <f>SUM(CJ$2:CJ128)+BD128*W128</f>
        <v>4500</v>
      </c>
      <c r="CK638" s="2">
        <f>SUM(CK$2:CK128)+BE128*X128</f>
        <v>35480</v>
      </c>
      <c r="CL638" s="2">
        <f>SUM(CL$2:CL128)+BF128*Y128</f>
        <v>81570</v>
      </c>
      <c r="CM638" s="2">
        <f>SUM(CM$2:CM128)+BG128*Z128</f>
        <v>41635</v>
      </c>
      <c r="CN638" s="2">
        <f>SUM(CN$2:CN128)+BH128*AA128</f>
        <v>28100</v>
      </c>
      <c r="CO638" s="2">
        <f>SUM(CO$2:CO128)+BI128*AB128</f>
        <v>-23990</v>
      </c>
      <c r="CP638" s="2">
        <f>SUM(CP$2:CP128)+BJ128*AC128</f>
        <v>820</v>
      </c>
      <c r="CQ638" s="2">
        <f>SUM(CQ$2:CQ128)+BK128*AD128</f>
        <v>7350.0000000000073</v>
      </c>
      <c r="CR638" s="2">
        <f>SUM(CR$2:CR128)+BL128*AE128</f>
        <v>-7800</v>
      </c>
      <c r="CV638" t="s">
        <v>64</v>
      </c>
      <c r="CW638" t="s">
        <v>711</v>
      </c>
      <c r="CX638" t="s">
        <v>18</v>
      </c>
      <c r="CY638" s="4">
        <v>43203</v>
      </c>
      <c r="CZ638" t="s">
        <v>67</v>
      </c>
      <c r="DA638" t="s">
        <v>68</v>
      </c>
      <c r="DB638">
        <v>31</v>
      </c>
      <c r="DC638">
        <v>55.95</v>
      </c>
      <c r="DD638" t="s">
        <v>69</v>
      </c>
      <c r="DE638" t="s">
        <v>70</v>
      </c>
      <c r="DF638">
        <v>1734.45</v>
      </c>
    </row>
    <row r="639" spans="66:110" x14ac:dyDescent="0.25">
      <c r="BN639" s="1">
        <f t="shared" si="336"/>
        <v>42922</v>
      </c>
      <c r="BO639" s="2">
        <f>SUM(BO$2:BO129)+AI129*B129</f>
        <v>102127.5</v>
      </c>
      <c r="BP639" s="2">
        <f>SUM(BP$2:BP129)+AJ129*C129</f>
        <v>9574.1000000000058</v>
      </c>
      <c r="BQ639" s="2">
        <f>SUM(BQ$2:BQ129)+AK129*D129</f>
        <v>47301.299999999959</v>
      </c>
      <c r="BR639" s="2">
        <f>SUM(BR$2:BR129)+AL129*E129</f>
        <v>14163.89999999998</v>
      </c>
      <c r="BS639" s="2">
        <f>SUM(BS$2:BS129)+AM129*F129</f>
        <v>818.89999999999782</v>
      </c>
      <c r="BT639" s="2">
        <f>SUM(BT$2:BT129)+AN129*G129</f>
        <v>-11311.5</v>
      </c>
      <c r="BU639" s="2">
        <f>SUM(BU$2:BU129)+AO129*H129</f>
        <v>-2367.5</v>
      </c>
      <c r="BV639" s="2">
        <f>SUM(BV$2:BV129)+AP129*I129</f>
        <v>0</v>
      </c>
      <c r="BW639" s="2">
        <f>SUM(BW$2:BW129)+AQ129*J129</f>
        <v>-13170</v>
      </c>
      <c r="BX639" s="2">
        <f>SUM(BX$2:BX129)+AR129*K129</f>
        <v>13940</v>
      </c>
      <c r="BY639" s="2">
        <f>SUM(BY$2:BY129)+AS129*L129</f>
        <v>-11040</v>
      </c>
      <c r="BZ639" s="2">
        <f>SUM(BZ$2:BZ129)+AT129*M129</f>
        <v>740</v>
      </c>
      <c r="CA639" s="2">
        <f>SUM(CA$2:CA129)+AU129*N129</f>
        <v>17500</v>
      </c>
      <c r="CB639" s="2">
        <f>SUM(CB$2:CB129)+AV129*O129</f>
        <v>7330</v>
      </c>
      <c r="CC639" s="2">
        <f>SUM(CC$2:CC129)+AW129*P129</f>
        <v>-20</v>
      </c>
      <c r="CD639" s="2">
        <f>SUM(CD$2:CD129)+AX129*Q129</f>
        <v>14050</v>
      </c>
      <c r="CE639" s="2">
        <f>SUM(CE$2:CE129)+AY129*R129</f>
        <v>30790</v>
      </c>
      <c r="CF639" s="2">
        <f>SUM(CF$2:CF129)+AZ129*S129</f>
        <v>3889.0699999999997</v>
      </c>
      <c r="CG639" s="2">
        <f>SUM(CG$2:CG129)+BA129*T129</f>
        <v>6514.6100000000006</v>
      </c>
      <c r="CH639" s="2">
        <f>SUM(CH$2:CH129)+BB129*U129</f>
        <v>5442.0000000000146</v>
      </c>
      <c r="CI639" s="2">
        <f>SUM(CI$2:CI129)+BC129*V129</f>
        <v>-2550</v>
      </c>
      <c r="CJ639" s="2">
        <f>SUM(CJ$2:CJ129)+BD129*W129</f>
        <v>4210</v>
      </c>
      <c r="CK639" s="2">
        <f>SUM(CK$2:CK129)+BE129*X129</f>
        <v>34580</v>
      </c>
      <c r="CL639" s="2">
        <f>SUM(CL$2:CL129)+BF129*Y129</f>
        <v>77730</v>
      </c>
      <c r="CM639" s="2">
        <f>SUM(CM$2:CM129)+BG129*Z129</f>
        <v>37285</v>
      </c>
      <c r="CN639" s="2">
        <f>SUM(CN$2:CN129)+BH129*AA129</f>
        <v>26225</v>
      </c>
      <c r="CO639" s="2">
        <f>SUM(CO$2:CO129)+BI129*AB129</f>
        <v>-25549.999999999985</v>
      </c>
      <c r="CP639" s="2">
        <f>SUM(CP$2:CP129)+BJ129*AC129</f>
        <v>820</v>
      </c>
      <c r="CQ639" s="2">
        <f>SUM(CQ$2:CQ129)+BK129*AD129</f>
        <v>7500.0000000000073</v>
      </c>
      <c r="CR639" s="2">
        <f>SUM(CR$2:CR129)+BL129*AE129</f>
        <v>-8480</v>
      </c>
      <c r="CV639" t="s">
        <v>64</v>
      </c>
      <c r="CW639" t="s">
        <v>712</v>
      </c>
      <c r="CX639" t="s">
        <v>18</v>
      </c>
      <c r="CY639" s="4">
        <v>43206</v>
      </c>
      <c r="CZ639" t="s">
        <v>67</v>
      </c>
      <c r="DA639" t="s">
        <v>68</v>
      </c>
      <c r="DB639">
        <v>21</v>
      </c>
      <c r="DC639">
        <v>57.4</v>
      </c>
      <c r="DD639" t="s">
        <v>69</v>
      </c>
      <c r="DE639" t="s">
        <v>70</v>
      </c>
      <c r="DF639">
        <v>1205.3999999999999</v>
      </c>
    </row>
    <row r="640" spans="66:110" x14ac:dyDescent="0.25">
      <c r="BN640" s="1">
        <f t="shared" si="336"/>
        <v>42923</v>
      </c>
      <c r="BO640" s="2">
        <f>SUM(BO$2:BO130)+AI130*B130</f>
        <v>105652.5</v>
      </c>
      <c r="BP640" s="2">
        <f>SUM(BP$2:BP130)+AJ130*C130</f>
        <v>10206.300000000003</v>
      </c>
      <c r="BQ640" s="2">
        <f>SUM(BQ$2:BQ130)+AK130*D130</f>
        <v>48238.699999999953</v>
      </c>
      <c r="BR640" s="2">
        <f>SUM(BR$2:BR130)+AL130*E130</f>
        <v>14599.899999999994</v>
      </c>
      <c r="BS640" s="2">
        <f>SUM(BS$2:BS130)+AM130*F130</f>
        <v>1004.2000000000007</v>
      </c>
      <c r="BT640" s="2">
        <f>SUM(BT$2:BT130)+AN130*G130</f>
        <v>-11649.399999999994</v>
      </c>
      <c r="BU640" s="2">
        <f>SUM(BU$2:BU130)+AO130*H130</f>
        <v>-2389.3000000000029</v>
      </c>
      <c r="BV640" s="2">
        <f>SUM(BV$2:BV130)+AP130*I130</f>
        <v>0</v>
      </c>
      <c r="BW640" s="2">
        <f>SUM(BW$2:BW130)+AQ130*J130</f>
        <v>-14550</v>
      </c>
      <c r="BX640" s="2">
        <f>SUM(BX$2:BX130)+AR130*K130</f>
        <v>13940</v>
      </c>
      <c r="BY640" s="2">
        <f>SUM(BY$2:BY130)+AS130*L130</f>
        <v>-10500</v>
      </c>
      <c r="BZ640" s="2">
        <f>SUM(BZ$2:BZ130)+AT130*M130</f>
        <v>740</v>
      </c>
      <c r="CA640" s="2">
        <f>SUM(CA$2:CA130)+AU130*N130</f>
        <v>17520</v>
      </c>
      <c r="CB640" s="2">
        <f>SUM(CB$2:CB130)+AV130*O130</f>
        <v>7780</v>
      </c>
      <c r="CC640" s="2">
        <f>SUM(CC$2:CC130)+AW130*P130</f>
        <v>-20</v>
      </c>
      <c r="CD640" s="2">
        <f>SUM(CD$2:CD130)+AX130*Q130</f>
        <v>14050</v>
      </c>
      <c r="CE640" s="2">
        <f>SUM(CE$2:CE130)+AY130*R130</f>
        <v>32290</v>
      </c>
      <c r="CF640" s="2">
        <f>SUM(CF$2:CF130)+AZ130*S130</f>
        <v>3951.8299999999872</v>
      </c>
      <c r="CG640" s="2">
        <f>SUM(CG$2:CG130)+BA130*T130</f>
        <v>7451.5999999999985</v>
      </c>
      <c r="CH640" s="2">
        <f>SUM(CH$2:CH130)+BB130*U130</f>
        <v>6188.0100000000166</v>
      </c>
      <c r="CI640" s="2">
        <f>SUM(CI$2:CI130)+BC130*V130</f>
        <v>-2680</v>
      </c>
      <c r="CJ640" s="2">
        <f>SUM(CJ$2:CJ130)+BD130*W130</f>
        <v>4480</v>
      </c>
      <c r="CK640" s="2">
        <f>SUM(CK$2:CK130)+BE130*X130</f>
        <v>39330</v>
      </c>
      <c r="CL640" s="2">
        <f>SUM(CL$2:CL130)+BF130*Y130</f>
        <v>80730</v>
      </c>
      <c r="CM640" s="2">
        <f>SUM(CM$2:CM130)+BG130*Z130</f>
        <v>40735</v>
      </c>
      <c r="CN640" s="2">
        <f>SUM(CN$2:CN130)+BH130*AA130</f>
        <v>27874.999999999971</v>
      </c>
      <c r="CO640" s="2">
        <f>SUM(CO$2:CO130)+BI130*AB130</f>
        <v>-25669.999999999985</v>
      </c>
      <c r="CP640" s="2">
        <f>SUM(CP$2:CP130)+BJ130*AC130</f>
        <v>820</v>
      </c>
      <c r="CQ640" s="2">
        <f>SUM(CQ$2:CQ130)+BK130*AD130</f>
        <v>7360.0000000000073</v>
      </c>
      <c r="CR640" s="2">
        <f>SUM(CR$2:CR130)+BL130*AE130</f>
        <v>-8390</v>
      </c>
      <c r="CV640" t="s">
        <v>64</v>
      </c>
      <c r="CW640" t="s">
        <v>713</v>
      </c>
      <c r="CX640" t="s">
        <v>18</v>
      </c>
      <c r="CY640" s="4">
        <v>43207</v>
      </c>
      <c r="CZ640" t="s">
        <v>65</v>
      </c>
      <c r="DA640" t="s">
        <v>66</v>
      </c>
      <c r="DB640">
        <v>19</v>
      </c>
      <c r="DC640">
        <v>58.01</v>
      </c>
      <c r="DD640" t="s">
        <v>69</v>
      </c>
      <c r="DE640" t="s">
        <v>70</v>
      </c>
      <c r="DF640">
        <v>1102.19</v>
      </c>
    </row>
    <row r="641" spans="66:110" x14ac:dyDescent="0.25">
      <c r="BN641" s="1">
        <f t="shared" si="336"/>
        <v>42926</v>
      </c>
      <c r="BO641" s="2">
        <f>SUM(BO$2:BO131)+AI131*B131</f>
        <v>103502.5</v>
      </c>
      <c r="BP641" s="2">
        <f>SUM(BP$2:BP131)+AJ131*C131</f>
        <v>10173.599999999991</v>
      </c>
      <c r="BQ641" s="2">
        <f>SUM(BQ$2:BQ131)+AK131*D131</f>
        <v>49917.299999999959</v>
      </c>
      <c r="BR641" s="2">
        <f>SUM(BR$2:BR131)+AL131*E131</f>
        <v>15559.099999999977</v>
      </c>
      <c r="BS641" s="2">
        <f>SUM(BS$2:BS131)+AM131*F131</f>
        <v>1091.3999999999978</v>
      </c>
      <c r="BT641" s="2">
        <f>SUM(BT$2:BT131)+AN131*G131</f>
        <v>-12107.199999999997</v>
      </c>
      <c r="BU641" s="2">
        <f>SUM(BU$2:BU131)+AO131*H131</f>
        <v>-2105.9000000000087</v>
      </c>
      <c r="BV641" s="2">
        <f>SUM(BV$2:BV131)+AP131*I131</f>
        <v>0</v>
      </c>
      <c r="BW641" s="2">
        <f>SUM(BW$2:BW131)+AQ131*J131</f>
        <v>-14000</v>
      </c>
      <c r="BX641" s="2">
        <f>SUM(BX$2:BX131)+AR131*K131</f>
        <v>13940</v>
      </c>
      <c r="BY641" s="2">
        <f>SUM(BY$2:BY131)+AS131*L131</f>
        <v>-10060</v>
      </c>
      <c r="BZ641" s="2">
        <f>SUM(BZ$2:BZ131)+AT131*M131</f>
        <v>740</v>
      </c>
      <c r="CA641" s="2">
        <f>SUM(CA$2:CA131)+AU131*N131</f>
        <v>16570</v>
      </c>
      <c r="CB641" s="2">
        <f>SUM(CB$2:CB131)+AV131*O131</f>
        <v>7140</v>
      </c>
      <c r="CC641" s="2">
        <f>SUM(CC$2:CC131)+AW131*P131</f>
        <v>-20</v>
      </c>
      <c r="CD641" s="2">
        <f>SUM(CD$2:CD131)+AX131*Q131</f>
        <v>14050</v>
      </c>
      <c r="CE641" s="2">
        <f>SUM(CE$2:CE131)+AY131*R131</f>
        <v>33150</v>
      </c>
      <c r="CF641" s="2">
        <f>SUM(CF$2:CF131)+AZ131*S131</f>
        <v>3644.6299999999901</v>
      </c>
      <c r="CG641" s="2">
        <f>SUM(CG$2:CG131)+BA131*T131</f>
        <v>7911.0999999999985</v>
      </c>
      <c r="CH641" s="2">
        <f>SUM(CH$2:CH131)+BB131*U131</f>
        <v>6893.1900000000096</v>
      </c>
      <c r="CI641" s="2">
        <f>SUM(CI$2:CI131)+BC131*V131</f>
        <v>-2730</v>
      </c>
      <c r="CJ641" s="2">
        <f>SUM(CJ$2:CJ131)+BD131*W131</f>
        <v>3950</v>
      </c>
      <c r="CK641" s="2">
        <f>SUM(CK$2:CK131)+BE131*X131</f>
        <v>32580</v>
      </c>
      <c r="CL641" s="2">
        <f>SUM(CL$2:CL131)+BF131*Y131</f>
        <v>77760</v>
      </c>
      <c r="CM641" s="2">
        <f>SUM(CM$2:CM131)+BG131*Z131</f>
        <v>42935</v>
      </c>
      <c r="CN641" s="2">
        <f>SUM(CN$2:CN131)+BH131*AA131</f>
        <v>30775</v>
      </c>
      <c r="CO641" s="2">
        <f>SUM(CO$2:CO131)+BI131*AB131</f>
        <v>-26450</v>
      </c>
      <c r="CP641" s="2">
        <f>SUM(CP$2:CP131)+BJ131*AC131</f>
        <v>820</v>
      </c>
      <c r="CQ641" s="2">
        <f>SUM(CQ$2:CQ131)+BK131*AD131</f>
        <v>5330.0000000000073</v>
      </c>
      <c r="CR641" s="2">
        <f>SUM(CR$2:CR131)+BL131*AE131</f>
        <v>-8450</v>
      </c>
      <c r="CV641" t="s">
        <v>64</v>
      </c>
      <c r="CW641" t="s">
        <v>714</v>
      </c>
      <c r="CX641" t="s">
        <v>18</v>
      </c>
      <c r="CY641" s="4">
        <v>43208</v>
      </c>
      <c r="CZ641" t="s">
        <v>65</v>
      </c>
      <c r="DA641" t="s">
        <v>66</v>
      </c>
      <c r="DB641">
        <v>25</v>
      </c>
      <c r="DC641">
        <v>57.67</v>
      </c>
      <c r="DD641" t="s">
        <v>69</v>
      </c>
      <c r="DE641" t="s">
        <v>70</v>
      </c>
      <c r="DF641">
        <v>1441.75</v>
      </c>
    </row>
    <row r="642" spans="66:110" x14ac:dyDescent="0.25">
      <c r="BN642" s="1">
        <f t="shared" ref="BN642:BN705" si="337">A132</f>
        <v>42927</v>
      </c>
      <c r="BO642" s="2">
        <f>SUM(BO$2:BO132)+AI132*B132</f>
        <v>101202.5</v>
      </c>
      <c r="BP642" s="2">
        <f>SUM(BP$2:BP132)+AJ132*C132</f>
        <v>10021</v>
      </c>
      <c r="BQ642" s="2">
        <f>SUM(BQ$2:BQ132)+AK132*D132</f>
        <v>52347.999999999971</v>
      </c>
      <c r="BR642" s="2">
        <f>SUM(BR$2:BR132)+AL132*E132</f>
        <v>15973.299999999974</v>
      </c>
      <c r="BS642" s="2">
        <f>SUM(BS$2:BS132)+AM132*F132</f>
        <v>1200.4000000000015</v>
      </c>
      <c r="BT642" s="2">
        <f>SUM(BT$2:BT132)+AN132*G132</f>
        <v>-12030.899999999994</v>
      </c>
      <c r="BU642" s="2">
        <f>SUM(BU$2:BU132)+AO132*H132</f>
        <v>-1844.3000000000029</v>
      </c>
      <c r="BV642" s="2">
        <f>SUM(BV$2:BV132)+AP132*I132</f>
        <v>0</v>
      </c>
      <c r="BW642" s="2">
        <f>SUM(BW$2:BW132)+AQ132*J132</f>
        <v>-12910</v>
      </c>
      <c r="BX642" s="2">
        <f>SUM(BX$2:BX132)+AR132*K132</f>
        <v>13940</v>
      </c>
      <c r="BY642" s="2">
        <f>SUM(BY$2:BY132)+AS132*L132</f>
        <v>-10270</v>
      </c>
      <c r="BZ642" s="2">
        <f>SUM(BZ$2:BZ132)+AT132*M132</f>
        <v>740</v>
      </c>
      <c r="CA642" s="2">
        <f>SUM(CA$2:CA132)+AU132*N132</f>
        <v>16260</v>
      </c>
      <c r="CB642" s="2">
        <f>SUM(CB$2:CB132)+AV132*O132</f>
        <v>6800</v>
      </c>
      <c r="CC642" s="2">
        <f>SUM(CC$2:CC132)+AW132*P132</f>
        <v>-20</v>
      </c>
      <c r="CD642" s="2">
        <f>SUM(CD$2:CD132)+AX132*Q132</f>
        <v>14050</v>
      </c>
      <c r="CE642" s="2">
        <f>SUM(CE$2:CE132)+AY132*R132</f>
        <v>32360</v>
      </c>
      <c r="CF642" s="2">
        <f>SUM(CF$2:CF132)+AZ132*S132</f>
        <v>3164.849999999984</v>
      </c>
      <c r="CG642" s="2">
        <f>SUM(CG$2:CG132)+BA132*T132</f>
        <v>7921.320000000007</v>
      </c>
      <c r="CH642" s="2">
        <f>SUM(CH$2:CH132)+BB132*U132</f>
        <v>6355.8900000000067</v>
      </c>
      <c r="CI642" s="2">
        <f>SUM(CI$2:CI132)+BC132*V132</f>
        <v>-2510</v>
      </c>
      <c r="CJ642" s="2">
        <f>SUM(CJ$2:CJ132)+BD132*W132</f>
        <v>3650</v>
      </c>
      <c r="CK642" s="2">
        <f>SUM(CK$2:CK132)+BE132*X132</f>
        <v>29130</v>
      </c>
      <c r="CL642" s="2">
        <f>SUM(CL$2:CL132)+BF132*Y132</f>
        <v>74820</v>
      </c>
      <c r="CM642" s="2">
        <f>SUM(CM$2:CM132)+BG132*Z132</f>
        <v>45235</v>
      </c>
      <c r="CN642" s="2">
        <f>SUM(CN$2:CN132)+BH132*AA132</f>
        <v>31550.000000000029</v>
      </c>
      <c r="CO642" s="2">
        <f>SUM(CO$2:CO132)+BI132*AB132</f>
        <v>-27320</v>
      </c>
      <c r="CP642" s="2">
        <f>SUM(CP$2:CP132)+BJ132*AC132</f>
        <v>820</v>
      </c>
      <c r="CQ642" s="2">
        <f>SUM(CQ$2:CQ132)+BK132*AD132</f>
        <v>5560.0000000000073</v>
      </c>
      <c r="CR642" s="2">
        <f>SUM(CR$2:CR132)+BL132*AE132</f>
        <v>-8040</v>
      </c>
      <c r="CV642" t="s">
        <v>64</v>
      </c>
      <c r="CW642" t="s">
        <v>715</v>
      </c>
      <c r="CX642" t="s">
        <v>18</v>
      </c>
      <c r="CY642" s="4">
        <v>43209</v>
      </c>
      <c r="CZ642" t="s">
        <v>67</v>
      </c>
      <c r="DA642" t="s">
        <v>68</v>
      </c>
      <c r="DB642">
        <v>39</v>
      </c>
      <c r="DC642">
        <v>57.39</v>
      </c>
      <c r="DD642" t="s">
        <v>69</v>
      </c>
      <c r="DE642" t="s">
        <v>70</v>
      </c>
      <c r="DF642">
        <v>2238.21</v>
      </c>
    </row>
    <row r="643" spans="66:110" x14ac:dyDescent="0.25">
      <c r="BN643" s="1">
        <f t="shared" si="337"/>
        <v>42928</v>
      </c>
      <c r="BO643" s="2">
        <f>SUM(BO$2:BO133)+AI133*B133</f>
        <v>100202.5</v>
      </c>
      <c r="BP643" s="2">
        <f>SUM(BP$2:BP133)+AJ133*C133</f>
        <v>10729.499999999985</v>
      </c>
      <c r="BQ643" s="2">
        <f>SUM(BQ$2:BQ133)+AK133*D133</f>
        <v>52522.399999999965</v>
      </c>
      <c r="BR643" s="2">
        <f>SUM(BR$2:BR133)+AL133*E133</f>
        <v>16725.399999999994</v>
      </c>
      <c r="BS643" s="2">
        <f>SUM(BS$2:BS133)+AM133*F133</f>
        <v>1276.7000000000007</v>
      </c>
      <c r="BT643" s="2">
        <f>SUM(BT$2:BT133)+AN133*G133</f>
        <v>-11246.099999999991</v>
      </c>
      <c r="BU643" s="2">
        <f>SUM(BU$2:BU133)+AO133*H133</f>
        <v>-1266.5999999999913</v>
      </c>
      <c r="BV643" s="2">
        <f>SUM(BV$2:BV133)+AP133*I133</f>
        <v>0</v>
      </c>
      <c r="BW643" s="2">
        <f>SUM(BW$2:BW133)+AQ133*J133</f>
        <v>-12480</v>
      </c>
      <c r="BX643" s="2">
        <f>SUM(BX$2:BX133)+AR133*K133</f>
        <v>13940</v>
      </c>
      <c r="BY643" s="2">
        <f>SUM(BY$2:BY133)+AS133*L133</f>
        <v>-9800</v>
      </c>
      <c r="BZ643" s="2">
        <f>SUM(BZ$2:BZ133)+AT133*M133</f>
        <v>740</v>
      </c>
      <c r="CA643" s="2">
        <f>SUM(CA$2:CA133)+AU133*N133</f>
        <v>17230</v>
      </c>
      <c r="CB643" s="2">
        <f>SUM(CB$2:CB133)+AV133*O133</f>
        <v>6490</v>
      </c>
      <c r="CC643" s="2">
        <f>SUM(CC$2:CC133)+AW133*P133</f>
        <v>-20</v>
      </c>
      <c r="CD643" s="2">
        <f>SUM(CD$2:CD133)+AX133*Q133</f>
        <v>14050</v>
      </c>
      <c r="CE643" s="2">
        <f>SUM(CE$2:CE133)+AY133*R133</f>
        <v>33930</v>
      </c>
      <c r="CF643" s="2">
        <f>SUM(CF$2:CF133)+AZ133*S133</f>
        <v>3598.7099999999919</v>
      </c>
      <c r="CG643" s="2">
        <f>SUM(CG$2:CG133)+BA133*T133</f>
        <v>9142.8499999999985</v>
      </c>
      <c r="CH643" s="2">
        <f>SUM(CH$2:CH133)+BB133*U133</f>
        <v>6395.0100000000093</v>
      </c>
      <c r="CI643" s="2">
        <f>SUM(CI$2:CI133)+BC133*V133</f>
        <v>-2550</v>
      </c>
      <c r="CJ643" s="2">
        <f>SUM(CJ$2:CJ133)+BD133*W133</f>
        <v>3830</v>
      </c>
      <c r="CK643" s="2">
        <f>SUM(CK$2:CK133)+BE133*X133</f>
        <v>30080</v>
      </c>
      <c r="CL643" s="2">
        <f>SUM(CL$2:CL133)+BF133*Y133</f>
        <v>76980</v>
      </c>
      <c r="CM643" s="2">
        <f>SUM(CM$2:CM133)+BG133*Z133</f>
        <v>46035</v>
      </c>
      <c r="CN643" s="2">
        <f>SUM(CN$2:CN133)+BH133*AA133</f>
        <v>33475</v>
      </c>
      <c r="CO643" s="2">
        <f>SUM(CO$2:CO133)+BI133*AB133</f>
        <v>-26390</v>
      </c>
      <c r="CP643" s="2">
        <f>SUM(CP$2:CP133)+BJ133*AC133</f>
        <v>820</v>
      </c>
      <c r="CQ643" s="2">
        <f>SUM(CQ$2:CQ133)+BK133*AD133</f>
        <v>6020.0000000000073</v>
      </c>
      <c r="CR643" s="2">
        <f>SUM(CR$2:CR133)+BL133*AE133</f>
        <v>-7700</v>
      </c>
      <c r="CV643" t="s">
        <v>64</v>
      </c>
      <c r="CW643" t="s">
        <v>716</v>
      </c>
      <c r="CX643" t="s">
        <v>18</v>
      </c>
      <c r="CY643" s="4">
        <v>43210</v>
      </c>
      <c r="CZ643" t="s">
        <v>65</v>
      </c>
      <c r="DA643" t="s">
        <v>66</v>
      </c>
      <c r="DB643">
        <v>22</v>
      </c>
      <c r="DC643">
        <v>57.58</v>
      </c>
      <c r="DD643" t="s">
        <v>69</v>
      </c>
      <c r="DE643" t="s">
        <v>70</v>
      </c>
      <c r="DF643">
        <v>1266.76</v>
      </c>
    </row>
    <row r="644" spans="66:110" x14ac:dyDescent="0.25">
      <c r="BN644" s="1">
        <f t="shared" si="337"/>
        <v>42929</v>
      </c>
      <c r="BO644" s="2">
        <f>SUM(BO$2:BO134)+AI134*B134</f>
        <v>90302.5</v>
      </c>
      <c r="BP644" s="2">
        <f>SUM(BP$2:BP134)+AJ134*C134</f>
        <v>11318.099999999991</v>
      </c>
      <c r="BQ644" s="2">
        <f>SUM(BQ$2:BQ134)+AK134*D134</f>
        <v>52304.399999999965</v>
      </c>
      <c r="BR644" s="2">
        <f>SUM(BR$2:BR134)+AL134*E134</f>
        <v>16213.099999999991</v>
      </c>
      <c r="BS644" s="2">
        <f>SUM(BS$2:BS134)+AM134*F134</f>
        <v>1396.5999999999985</v>
      </c>
      <c r="BT644" s="2">
        <f>SUM(BT$2:BT134)+AN134*G134</f>
        <v>-10995.399999999994</v>
      </c>
      <c r="BU644" s="2">
        <f>SUM(BU$2:BU134)+AO134*H134</f>
        <v>-1364.6999999999971</v>
      </c>
      <c r="BV644" s="2">
        <f>SUM(BV$2:BV134)+AP134*I134</f>
        <v>0</v>
      </c>
      <c r="BW644" s="2">
        <f>SUM(BW$2:BW134)+AQ134*J134</f>
        <v>-9530</v>
      </c>
      <c r="BX644" s="2">
        <f>SUM(BX$2:BX134)+AR134*K134</f>
        <v>13940</v>
      </c>
      <c r="BY644" s="2">
        <f>SUM(BY$2:BY134)+AS134*L134</f>
        <v>-9860</v>
      </c>
      <c r="BZ644" s="2">
        <f>SUM(BZ$2:BZ134)+AT134*M134</f>
        <v>740</v>
      </c>
      <c r="CA644" s="2">
        <f>SUM(CA$2:CA134)+AU134*N134</f>
        <v>16870</v>
      </c>
      <c r="CB644" s="2">
        <f>SUM(CB$2:CB134)+AV134*O134</f>
        <v>7060</v>
      </c>
      <c r="CC644" s="2">
        <f>SUM(CC$2:CC134)+AW134*P134</f>
        <v>-20</v>
      </c>
      <c r="CD644" s="2">
        <f>SUM(CD$2:CD134)+AX134*Q134</f>
        <v>14050</v>
      </c>
      <c r="CE644" s="2">
        <f>SUM(CE$2:CE134)+AY134*R134</f>
        <v>33730</v>
      </c>
      <c r="CF644" s="2">
        <f>SUM(CF$2:CF134)+AZ134*S134</f>
        <v>3697.0099999999875</v>
      </c>
      <c r="CG644" s="2">
        <f>SUM(CG$2:CG134)+BA134*T134</f>
        <v>9704.4499999999971</v>
      </c>
      <c r="CH644" s="2">
        <f>SUM(CH$2:CH134)+BB134*U134</f>
        <v>6133.9200000000055</v>
      </c>
      <c r="CI644" s="2">
        <f>SUM(CI$2:CI134)+BC134*V134</f>
        <v>-2610</v>
      </c>
      <c r="CJ644" s="2">
        <f>SUM(CJ$2:CJ134)+BD134*W134</f>
        <v>3580</v>
      </c>
      <c r="CK644" s="2">
        <f>SUM(CK$2:CK134)+BE134*X134</f>
        <v>30930</v>
      </c>
      <c r="CL644" s="2">
        <f>SUM(CL$2:CL134)+BF134*Y134</f>
        <v>73440</v>
      </c>
      <c r="CM644" s="2">
        <f>SUM(CM$2:CM134)+BG134*Z134</f>
        <v>42985</v>
      </c>
      <c r="CN644" s="2">
        <f>SUM(CN$2:CN134)+BH134*AA134</f>
        <v>32874.999999999971</v>
      </c>
      <c r="CO644" s="2">
        <f>SUM(CO$2:CO134)+BI134*AB134</f>
        <v>-25640</v>
      </c>
      <c r="CP644" s="2">
        <f>SUM(CP$2:CP134)+BJ134*AC134</f>
        <v>820</v>
      </c>
      <c r="CQ644" s="2">
        <f>SUM(CQ$2:CQ134)+BK134*AD134</f>
        <v>7090.0000000000073</v>
      </c>
      <c r="CR644" s="2">
        <f>SUM(CR$2:CR134)+BL134*AE134</f>
        <v>-7690</v>
      </c>
      <c r="CV644" t="s">
        <v>64</v>
      </c>
      <c r="CW644" t="s">
        <v>717</v>
      </c>
      <c r="CX644" t="s">
        <v>18</v>
      </c>
      <c r="CY644" s="4">
        <v>43213</v>
      </c>
      <c r="CZ644" t="s">
        <v>67</v>
      </c>
      <c r="DA644" t="s">
        <v>68</v>
      </c>
      <c r="DB644">
        <v>64</v>
      </c>
      <c r="DC644">
        <v>58.97</v>
      </c>
      <c r="DD644" t="s">
        <v>69</v>
      </c>
      <c r="DE644" t="s">
        <v>70</v>
      </c>
      <c r="DF644">
        <v>3774.08</v>
      </c>
    </row>
    <row r="645" spans="66:110" x14ac:dyDescent="0.25">
      <c r="BN645" s="1">
        <f t="shared" si="337"/>
        <v>42930</v>
      </c>
      <c r="BO645" s="2">
        <f>SUM(BO$2:BO135)+AI135*B135</f>
        <v>84152.499999999884</v>
      </c>
      <c r="BP645" s="2">
        <f>SUM(BP$2:BP135)+AJ135*C135</f>
        <v>11219.999999999985</v>
      </c>
      <c r="BQ645" s="2">
        <f>SUM(BQ$2:BQ135)+AK135*D135</f>
        <v>54702.399999999965</v>
      </c>
      <c r="BR645" s="2">
        <f>SUM(BR$2:BR135)+AL135*E135</f>
        <v>16529.199999999983</v>
      </c>
      <c r="BS645" s="2">
        <f>SUM(BS$2:BS135)+AM135*F135</f>
        <v>1549.2000000000007</v>
      </c>
      <c r="BT645" s="2">
        <f>SUM(BT$2:BT135)+AN135*G135</f>
        <v>-10679.300000000003</v>
      </c>
      <c r="BU645" s="2">
        <f>SUM(BU$2:BU135)+AO135*H135</f>
        <v>-514.5</v>
      </c>
      <c r="BV645" s="2">
        <f>SUM(BV$2:BV135)+AP135*I135</f>
        <v>0</v>
      </c>
      <c r="BW645" s="2">
        <f>SUM(BW$2:BW135)+AQ135*J135</f>
        <v>-11300</v>
      </c>
      <c r="BX645" s="2">
        <f>SUM(BX$2:BX135)+AR135*K135</f>
        <v>13940</v>
      </c>
      <c r="BY645" s="2">
        <f>SUM(BY$2:BY135)+AS135*L135</f>
        <v>-9300</v>
      </c>
      <c r="BZ645" s="2">
        <f>SUM(BZ$2:BZ135)+AT135*M135</f>
        <v>740</v>
      </c>
      <c r="CA645" s="2">
        <f>SUM(CA$2:CA135)+AU135*N135</f>
        <v>17580</v>
      </c>
      <c r="CB645" s="2">
        <f>SUM(CB$2:CB135)+AV135*O135</f>
        <v>6240</v>
      </c>
      <c r="CC645" s="2">
        <f>SUM(CC$2:CC135)+AW135*P135</f>
        <v>-20</v>
      </c>
      <c r="CD645" s="2">
        <f>SUM(CD$2:CD135)+AX135*Q135</f>
        <v>14050</v>
      </c>
      <c r="CE645" s="2">
        <f>SUM(CE$2:CE135)+AY135*R135</f>
        <v>34380</v>
      </c>
      <c r="CF645" s="2">
        <f>SUM(CF$2:CF135)+AZ135*S135</f>
        <v>3865.0099999999802</v>
      </c>
      <c r="CG645" s="2">
        <f>SUM(CG$2:CG135)+BA135*T135</f>
        <v>10633.070000000007</v>
      </c>
      <c r="CH645" s="2">
        <f>SUM(CH$2:CH135)+BB135*U135</f>
        <v>6187.9800000000032</v>
      </c>
      <c r="CI645" s="2">
        <f>SUM(CI$2:CI135)+BC135*V135</f>
        <v>-2750</v>
      </c>
      <c r="CJ645" s="2">
        <f>SUM(CJ$2:CJ135)+BD135*W135</f>
        <v>3960</v>
      </c>
      <c r="CK645" s="2">
        <f>SUM(CK$2:CK135)+BE135*X135</f>
        <v>32330</v>
      </c>
      <c r="CL645" s="2">
        <f>SUM(CL$2:CL135)+BF135*Y135</f>
        <v>77610</v>
      </c>
      <c r="CM645" s="2">
        <f>SUM(CM$2:CM135)+BG135*Z135</f>
        <v>44585</v>
      </c>
      <c r="CN645" s="2">
        <f>SUM(CN$2:CN135)+BH135*AA135</f>
        <v>35325</v>
      </c>
      <c r="CO645" s="2">
        <f>SUM(CO$2:CO135)+BI135*AB135</f>
        <v>-25430</v>
      </c>
      <c r="CP645" s="2">
        <f>SUM(CP$2:CP135)+BJ135*AC135</f>
        <v>820</v>
      </c>
      <c r="CQ645" s="2">
        <f>SUM(CQ$2:CQ135)+BK135*AD135</f>
        <v>8340.0000000000073</v>
      </c>
      <c r="CR645" s="2">
        <f>SUM(CR$2:CR135)+BL135*AE135</f>
        <v>-7400</v>
      </c>
      <c r="CV645" t="s">
        <v>64</v>
      </c>
      <c r="CW645" t="s">
        <v>718</v>
      </c>
      <c r="CX645" t="s">
        <v>18</v>
      </c>
      <c r="CY645" s="4">
        <v>43214</v>
      </c>
      <c r="CZ645" t="s">
        <v>65</v>
      </c>
      <c r="DA645" t="s">
        <v>66</v>
      </c>
      <c r="DB645">
        <v>13</v>
      </c>
      <c r="DC645">
        <v>58.81</v>
      </c>
      <c r="DD645" t="s">
        <v>69</v>
      </c>
      <c r="DE645" t="s">
        <v>70</v>
      </c>
      <c r="DF645">
        <v>764.53</v>
      </c>
    </row>
    <row r="646" spans="66:110" x14ac:dyDescent="0.25">
      <c r="BN646" s="1">
        <f t="shared" si="337"/>
        <v>42933</v>
      </c>
      <c r="BO646" s="2">
        <f>SUM(BO$2:BO136)+AI136*B136</f>
        <v>84152.499999999884</v>
      </c>
      <c r="BP646" s="2">
        <f>SUM(BP$2:BP136)+AJ136*C136</f>
        <v>11154.599999999991</v>
      </c>
      <c r="BQ646" s="2">
        <f>SUM(BQ$2:BQ136)+AK136*D136</f>
        <v>55214.699999999953</v>
      </c>
      <c r="BR646" s="2">
        <f>SUM(BR$2:BR136)+AL136*E136</f>
        <v>16605.499999999985</v>
      </c>
      <c r="BS646" s="2">
        <f>SUM(BS$2:BS136)+AM136*F136</f>
        <v>1636.3999999999978</v>
      </c>
      <c r="BT646" s="2">
        <f>SUM(BT$2:BT136)+AN136*G136</f>
        <v>-10919.100000000006</v>
      </c>
      <c r="BU646" s="2">
        <f>SUM(BU$2:BU136)+AO136*H136</f>
        <v>-830.60000000000582</v>
      </c>
      <c r="BV646" s="2">
        <f>SUM(BV$2:BV136)+AP136*I136</f>
        <v>0</v>
      </c>
      <c r="BW646" s="2">
        <f>SUM(BW$2:BW136)+AQ136*J136</f>
        <v>-10650</v>
      </c>
      <c r="BX646" s="2">
        <f>SUM(BX$2:BX136)+AR136*K136</f>
        <v>13940</v>
      </c>
      <c r="BY646" s="2">
        <f>SUM(BY$2:BY136)+AS136*L136</f>
        <v>-10440</v>
      </c>
      <c r="BZ646" s="2">
        <f>SUM(BZ$2:BZ136)+AT136*M136</f>
        <v>740</v>
      </c>
      <c r="CA646" s="2">
        <f>SUM(CA$2:CA136)+AU136*N136</f>
        <v>17150</v>
      </c>
      <c r="CB646" s="2">
        <f>SUM(CB$2:CB136)+AV136*O136</f>
        <v>5410</v>
      </c>
      <c r="CC646" s="2">
        <f>SUM(CC$2:CC136)+AW136*P136</f>
        <v>-20</v>
      </c>
      <c r="CD646" s="2">
        <f>SUM(CD$2:CD136)+AX136*Q136</f>
        <v>14050</v>
      </c>
      <c r="CE646" s="2">
        <f>SUM(CE$2:CE136)+AY136*R136</f>
        <v>34290</v>
      </c>
      <c r="CF646" s="2">
        <f>SUM(CF$2:CF136)+AZ136*S136</f>
        <v>3442.3199999999852</v>
      </c>
      <c r="CG646" s="2">
        <f>SUM(CG$2:CG136)+BA136*T136</f>
        <v>11225.970000000001</v>
      </c>
      <c r="CH646" s="2">
        <f>SUM(CH$2:CH136)+BB136*U136</f>
        <v>5963.070000000007</v>
      </c>
      <c r="CI646" s="2">
        <f>SUM(CI$2:CI136)+BC136*V136</f>
        <v>-2580</v>
      </c>
      <c r="CJ646" s="2">
        <f>SUM(CJ$2:CJ136)+BD136*W136</f>
        <v>4380</v>
      </c>
      <c r="CK646" s="2">
        <f>SUM(CK$2:CK136)+BE136*X136</f>
        <v>34830</v>
      </c>
      <c r="CL646" s="2">
        <f>SUM(CL$2:CL136)+BF136*Y136</f>
        <v>75990</v>
      </c>
      <c r="CM646" s="2">
        <f>SUM(CM$2:CM136)+BG136*Z136</f>
        <v>43135</v>
      </c>
      <c r="CN646" s="2">
        <f>SUM(CN$2:CN136)+BH136*AA136</f>
        <v>35075</v>
      </c>
      <c r="CO646" s="2">
        <f>SUM(CO$2:CO136)+BI136*AB136</f>
        <v>-25160</v>
      </c>
      <c r="CP646" s="2">
        <f>SUM(CP$2:CP136)+BJ136*AC136</f>
        <v>820</v>
      </c>
      <c r="CQ646" s="2">
        <f>SUM(CQ$2:CQ136)+BK136*AD136</f>
        <v>8360.0000000000073</v>
      </c>
      <c r="CR646" s="2">
        <f>SUM(CR$2:CR136)+BL136*AE136</f>
        <v>-7790</v>
      </c>
      <c r="CV646" t="s">
        <v>64</v>
      </c>
      <c r="CW646" t="s">
        <v>719</v>
      </c>
      <c r="CX646" t="s">
        <v>18</v>
      </c>
      <c r="CY646" s="4">
        <v>43215</v>
      </c>
      <c r="CZ646" t="s">
        <v>65</v>
      </c>
      <c r="DA646" t="s">
        <v>66</v>
      </c>
      <c r="DB646">
        <v>59</v>
      </c>
      <c r="DC646">
        <v>58.36</v>
      </c>
      <c r="DD646" t="s">
        <v>69</v>
      </c>
      <c r="DE646" t="s">
        <v>70</v>
      </c>
      <c r="DF646">
        <v>3443.24</v>
      </c>
    </row>
    <row r="647" spans="66:110" x14ac:dyDescent="0.25">
      <c r="BN647" s="1">
        <f t="shared" si="337"/>
        <v>42934</v>
      </c>
      <c r="BO647" s="2">
        <f>SUM(BO$2:BO137)+AI137*B137</f>
        <v>84152.499999999884</v>
      </c>
      <c r="BP647" s="2">
        <f>SUM(BP$2:BP137)+AJ137*C137</f>
        <v>11481.600000000006</v>
      </c>
      <c r="BQ647" s="2">
        <f>SUM(BQ$2:BQ137)+AK137*D137</f>
        <v>54418.999999999971</v>
      </c>
      <c r="BR647" s="2">
        <f>SUM(BR$2:BR137)+AL137*E137</f>
        <v>15559.099999999977</v>
      </c>
      <c r="BS647" s="2">
        <f>SUM(BS$2:BS137)+AM137*F137</f>
        <v>1647.2999999999993</v>
      </c>
      <c r="BT647" s="2">
        <f>SUM(BT$2:BT137)+AN137*G137</f>
        <v>-11420.5</v>
      </c>
      <c r="BU647" s="2">
        <f>SUM(BU$2:BU137)+AO137*H137</f>
        <v>194</v>
      </c>
      <c r="BV647" s="2">
        <f>SUM(BV$2:BV137)+AP137*I137</f>
        <v>0</v>
      </c>
      <c r="BW647" s="2">
        <f>SUM(BW$2:BW137)+AQ137*J137</f>
        <v>-16480</v>
      </c>
      <c r="BX647" s="2">
        <f>SUM(BX$2:BX137)+AR137*K137</f>
        <v>13940</v>
      </c>
      <c r="BY647" s="2">
        <f>SUM(BY$2:BY137)+AS137*L137</f>
        <v>-9520</v>
      </c>
      <c r="BZ647" s="2">
        <f>SUM(BZ$2:BZ137)+AT137*M137</f>
        <v>740</v>
      </c>
      <c r="CA647" s="2">
        <f>SUM(CA$2:CA137)+AU137*N137</f>
        <v>19369.999999999985</v>
      </c>
      <c r="CB647" s="2">
        <f>SUM(CB$2:CB137)+AV137*O137</f>
        <v>5100</v>
      </c>
      <c r="CC647" s="2">
        <f>SUM(CC$2:CC137)+AW137*P137</f>
        <v>-20</v>
      </c>
      <c r="CD647" s="2">
        <f>SUM(CD$2:CD137)+AX137*Q137</f>
        <v>14050</v>
      </c>
      <c r="CE647" s="2">
        <f>SUM(CE$2:CE137)+AY137*R137</f>
        <v>33940</v>
      </c>
      <c r="CF647" s="2">
        <f>SUM(CF$2:CF137)+AZ137*S137</f>
        <v>3258.9699999999866</v>
      </c>
      <c r="CG647" s="2">
        <f>SUM(CG$2:CG137)+BA137*T137</f>
        <v>11180.720000000001</v>
      </c>
      <c r="CH647" s="2">
        <f>SUM(CH$2:CH137)+BB137*U137</f>
        <v>5832.0300000000061</v>
      </c>
      <c r="CI647" s="2">
        <f>SUM(CI$2:CI137)+BC137*V137</f>
        <v>-2690</v>
      </c>
      <c r="CJ647" s="2">
        <f>SUM(CJ$2:CJ137)+BD137*W137</f>
        <v>5410</v>
      </c>
      <c r="CK647" s="2">
        <f>SUM(CK$2:CK137)+BE137*X137</f>
        <v>31430</v>
      </c>
      <c r="CL647" s="2">
        <f>SUM(CL$2:CL137)+BF137*Y137</f>
        <v>77460</v>
      </c>
      <c r="CM647" s="2">
        <f>SUM(CM$2:CM137)+BG137*Z137</f>
        <v>40835</v>
      </c>
      <c r="CN647" s="2">
        <f>SUM(CN$2:CN137)+BH137*AA137</f>
        <v>36925</v>
      </c>
      <c r="CO647" s="2">
        <f>SUM(CO$2:CO137)+BI137*AB137</f>
        <v>-26000.000000000015</v>
      </c>
      <c r="CP647" s="2">
        <f>SUM(CP$2:CP137)+BJ137*AC137</f>
        <v>820</v>
      </c>
      <c r="CQ647" s="2">
        <f>SUM(CQ$2:CQ137)+BK137*AD137</f>
        <v>8200.0000000000073</v>
      </c>
      <c r="CR647" s="2">
        <f>SUM(CR$2:CR137)+BL137*AE137</f>
        <v>-8040</v>
      </c>
      <c r="CV647" t="s">
        <v>64</v>
      </c>
      <c r="CW647" t="s">
        <v>720</v>
      </c>
      <c r="CX647" t="s">
        <v>18</v>
      </c>
      <c r="CY647" s="4">
        <v>43216</v>
      </c>
      <c r="CZ647" t="s">
        <v>67</v>
      </c>
      <c r="DA647" t="s">
        <v>68</v>
      </c>
      <c r="DB647">
        <v>68</v>
      </c>
      <c r="DC647">
        <v>58.15</v>
      </c>
      <c r="DD647" t="s">
        <v>69</v>
      </c>
      <c r="DE647" t="s">
        <v>70</v>
      </c>
      <c r="DF647">
        <v>3954.2</v>
      </c>
    </row>
    <row r="648" spans="66:110" x14ac:dyDescent="0.25">
      <c r="BN648" s="1">
        <f t="shared" si="337"/>
        <v>42935</v>
      </c>
      <c r="BO648" s="2">
        <f>SUM(BO$2:BO138)+AI138*B138</f>
        <v>84152.499999999884</v>
      </c>
      <c r="BP648" s="2">
        <f>SUM(BP$2:BP138)+AJ138*C138</f>
        <v>11917.599999999991</v>
      </c>
      <c r="BQ648" s="2">
        <f>SUM(BQ$2:BQ138)+AK138*D138</f>
        <v>57187.599999999948</v>
      </c>
      <c r="BR648" s="2">
        <f>SUM(BR$2:BR138)+AL138*E138</f>
        <v>16376.599999999977</v>
      </c>
      <c r="BS648" s="2">
        <f>SUM(BS$2:BS138)+AM138*F138</f>
        <v>2050.6000000000022</v>
      </c>
      <c r="BT648" s="2">
        <f>SUM(BT$2:BT138)+AN138*G138</f>
        <v>-10668.399999999994</v>
      </c>
      <c r="BU648" s="2">
        <f>SUM(BU$2:BU138)+AO138*H138</f>
        <v>1327.6000000000058</v>
      </c>
      <c r="BV648" s="2">
        <f>SUM(BV$2:BV138)+AP138*I138</f>
        <v>0</v>
      </c>
      <c r="BW648" s="2">
        <f>SUM(BW$2:BW138)+AQ138*J138</f>
        <v>-16910</v>
      </c>
      <c r="BX648" s="2">
        <f>SUM(BX$2:BX138)+AR138*K138</f>
        <v>13940</v>
      </c>
      <c r="BY648" s="2">
        <f>SUM(BY$2:BY138)+AS138*L138</f>
        <v>-15510</v>
      </c>
      <c r="BZ648" s="2">
        <f>SUM(BZ$2:BZ138)+AT138*M138</f>
        <v>740</v>
      </c>
      <c r="CA648" s="2">
        <f>SUM(CA$2:CA138)+AU138*N138</f>
        <v>20089.999999999985</v>
      </c>
      <c r="CB648" s="2">
        <f>SUM(CB$2:CB138)+AV138*O138</f>
        <v>5230</v>
      </c>
      <c r="CC648" s="2">
        <f>SUM(CC$2:CC138)+AW138*P138</f>
        <v>-20</v>
      </c>
      <c r="CD648" s="2">
        <f>SUM(CD$2:CD138)+AX138*Q138</f>
        <v>14050</v>
      </c>
      <c r="CE648" s="2">
        <f>SUM(CE$2:CE138)+AY138*R138</f>
        <v>34690</v>
      </c>
      <c r="CF648" s="2">
        <f>SUM(CF$2:CF138)+AZ138*S138</f>
        <v>3449.9699999999866</v>
      </c>
      <c r="CG648" s="2">
        <f>SUM(CG$2:CG138)+BA138*T138</f>
        <v>11776.919999999991</v>
      </c>
      <c r="CH648" s="2">
        <f>SUM(CH$2:CH138)+BB138*U138</f>
        <v>5941.3500000000058</v>
      </c>
      <c r="CI648" s="2">
        <f>SUM(CI$2:CI138)+BC138*V138</f>
        <v>-2930</v>
      </c>
      <c r="CJ648" s="2">
        <f>SUM(CJ$2:CJ138)+BD138*W138</f>
        <v>5790</v>
      </c>
      <c r="CK648" s="2">
        <f>SUM(CK$2:CK138)+BE138*X138</f>
        <v>35930</v>
      </c>
      <c r="CL648" s="2">
        <f>SUM(CL$2:CL138)+BF138*Y138</f>
        <v>84330</v>
      </c>
      <c r="CM648" s="2">
        <f>SUM(CM$2:CM138)+BG138*Z138</f>
        <v>42985</v>
      </c>
      <c r="CN648" s="2">
        <f>SUM(CN$2:CN138)+BH138*AA138</f>
        <v>38575</v>
      </c>
      <c r="CO648" s="2">
        <f>SUM(CO$2:CO138)+BI138*AB138</f>
        <v>-25730</v>
      </c>
      <c r="CP648" s="2">
        <f>SUM(CP$2:CP138)+BJ138*AC138</f>
        <v>820</v>
      </c>
      <c r="CQ648" s="2">
        <f>SUM(CQ$2:CQ138)+BK138*AD138</f>
        <v>7880.0000000000073</v>
      </c>
      <c r="CR648" s="2">
        <f>SUM(CR$2:CR138)+BL138*AE138</f>
        <v>-7800</v>
      </c>
      <c r="CV648" t="s">
        <v>64</v>
      </c>
      <c r="CW648" t="s">
        <v>721</v>
      </c>
      <c r="CX648" t="s">
        <v>18</v>
      </c>
      <c r="CY648" s="4">
        <v>43217</v>
      </c>
      <c r="CZ648" t="s">
        <v>65</v>
      </c>
      <c r="DA648" t="s">
        <v>66</v>
      </c>
      <c r="DB648">
        <v>77</v>
      </c>
      <c r="DC648">
        <v>58.21</v>
      </c>
      <c r="DD648" t="s">
        <v>69</v>
      </c>
      <c r="DE648" t="s">
        <v>70</v>
      </c>
      <c r="DF648">
        <v>4482.17</v>
      </c>
    </row>
    <row r="649" spans="66:110" x14ac:dyDescent="0.25">
      <c r="BN649" s="1">
        <f t="shared" si="337"/>
        <v>42936</v>
      </c>
      <c r="BO649" s="2">
        <f>SUM(BO$2:BO139)+AI139*B139</f>
        <v>84152.499999999884</v>
      </c>
      <c r="BP649" s="2">
        <f>SUM(BP$2:BP139)+AJ139*C139</f>
        <v>11296.300000000003</v>
      </c>
      <c r="BQ649" s="2">
        <f>SUM(BQ$2:BQ139)+AK139*D139</f>
        <v>56555.399999999936</v>
      </c>
      <c r="BR649" s="2">
        <f>SUM(BR$2:BR139)+AL139*E139</f>
        <v>15820.699999999997</v>
      </c>
      <c r="BS649" s="2">
        <f>SUM(BS$2:BS139)+AM139*F139</f>
        <v>2007.0000000000036</v>
      </c>
      <c r="BT649" s="2">
        <f>SUM(BT$2:BT139)+AN139*G139</f>
        <v>-10494</v>
      </c>
      <c r="BU649" s="2">
        <f>SUM(BU$2:BU139)+AO139*H139</f>
        <v>1905.3000000000029</v>
      </c>
      <c r="BV649" s="2">
        <f>SUM(BV$2:BV139)+AP139*I139</f>
        <v>0</v>
      </c>
      <c r="BW649" s="2">
        <f>SUM(BW$2:BW139)+AQ139*J139</f>
        <v>-17470</v>
      </c>
      <c r="BX649" s="2">
        <f>SUM(BX$2:BX139)+AR139*K139</f>
        <v>13940</v>
      </c>
      <c r="BY649" s="2">
        <f>SUM(BY$2:BY139)+AS139*L139</f>
        <v>-15390</v>
      </c>
      <c r="BZ649" s="2">
        <f>SUM(BZ$2:BZ139)+AT139*M139</f>
        <v>740</v>
      </c>
      <c r="CA649" s="2">
        <f>SUM(CA$2:CA139)+AU139*N139</f>
        <v>21400</v>
      </c>
      <c r="CB649" s="2">
        <f>SUM(CB$2:CB139)+AV139*O139</f>
        <v>5230</v>
      </c>
      <c r="CC649" s="2">
        <f>SUM(CC$2:CC139)+AW139*P139</f>
        <v>-20</v>
      </c>
      <c r="CD649" s="2">
        <f>SUM(CD$2:CD139)+AX139*Q139</f>
        <v>14050</v>
      </c>
      <c r="CE649" s="2">
        <f>SUM(CE$2:CE139)+AY139*R139</f>
        <v>35030</v>
      </c>
      <c r="CF649" s="2">
        <f>SUM(CF$2:CF139)+AZ139*S139</f>
        <v>3764.6199999999808</v>
      </c>
      <c r="CG649" s="2">
        <f>SUM(CG$2:CG139)+BA139*T139</f>
        <v>12126.919999999984</v>
      </c>
      <c r="CH649" s="2">
        <f>SUM(CH$2:CH139)+BB139*U139</f>
        <v>7298.510000000002</v>
      </c>
      <c r="CI649" s="2">
        <f>SUM(CI$2:CI139)+BC139*V139</f>
        <v>-2850</v>
      </c>
      <c r="CJ649" s="2">
        <f>SUM(CJ$2:CJ139)+BD139*W139</f>
        <v>4590.0000000000582</v>
      </c>
      <c r="CK649" s="2">
        <f>SUM(CK$2:CK139)+BE139*X139</f>
        <v>26780</v>
      </c>
      <c r="CL649" s="2">
        <f>SUM(CL$2:CL139)+BF139*Y139</f>
        <v>91110</v>
      </c>
      <c r="CM649" s="2">
        <f>SUM(CM$2:CM139)+BG139*Z139</f>
        <v>39985</v>
      </c>
      <c r="CN649" s="2">
        <f>SUM(CN$2:CN139)+BH139*AA139</f>
        <v>38224.999999999971</v>
      </c>
      <c r="CO649" s="2">
        <f>SUM(CO$2:CO139)+BI139*AB139</f>
        <v>-23570</v>
      </c>
      <c r="CP649" s="2">
        <f>SUM(CP$2:CP139)+BJ139*AC139</f>
        <v>820</v>
      </c>
      <c r="CQ649" s="2">
        <f>SUM(CQ$2:CQ139)+BK139*AD139</f>
        <v>8030.0000000000073</v>
      </c>
      <c r="CR649" s="2">
        <f>SUM(CR$2:CR139)+BL139*AE139</f>
        <v>-7790</v>
      </c>
      <c r="CV649" t="s">
        <v>64</v>
      </c>
      <c r="CW649" t="s">
        <v>722</v>
      </c>
      <c r="CX649" t="s">
        <v>18</v>
      </c>
      <c r="CY649" s="4">
        <v>43220</v>
      </c>
      <c r="CZ649" t="s">
        <v>67</v>
      </c>
      <c r="DA649" t="s">
        <v>68</v>
      </c>
      <c r="DB649">
        <v>16</v>
      </c>
      <c r="DC649">
        <v>57.62</v>
      </c>
      <c r="DD649" t="s">
        <v>69</v>
      </c>
      <c r="DE649" t="s">
        <v>70</v>
      </c>
      <c r="DF649">
        <v>921.92</v>
      </c>
    </row>
    <row r="650" spans="66:110" x14ac:dyDescent="0.25">
      <c r="BN650" s="1">
        <f t="shared" si="337"/>
        <v>42937</v>
      </c>
      <c r="BO650" s="2">
        <f>SUM(BO$2:BO140)+AI140*B140</f>
        <v>83977.499999999884</v>
      </c>
      <c r="BP650" s="2">
        <f>SUM(BP$2:BP140)+AJ140*C140</f>
        <v>11557.899999999994</v>
      </c>
      <c r="BQ650" s="2">
        <f>SUM(BQ$2:BQ140)+AK140*D140</f>
        <v>58517.399999999965</v>
      </c>
      <c r="BR650" s="2">
        <f>SUM(BR$2:BR140)+AL140*E140</f>
        <v>15057.699999999983</v>
      </c>
      <c r="BS650" s="2">
        <f>SUM(BS$2:BS140)+AM140*F140</f>
        <v>1985.2000000000007</v>
      </c>
      <c r="BT650" s="2">
        <f>SUM(BT$2:BT140)+AN140*G140</f>
        <v>-11900.099999999991</v>
      </c>
      <c r="BU650" s="2">
        <f>SUM(BU$2:BU140)+AO140*H140</f>
        <v>1621.8999999999942</v>
      </c>
      <c r="BV650" s="2">
        <f>SUM(BV$2:BV140)+AP140*I140</f>
        <v>0</v>
      </c>
      <c r="BW650" s="2">
        <f>SUM(BW$2:BW140)+AQ140*J140</f>
        <v>-19550</v>
      </c>
      <c r="BX650" s="2">
        <f>SUM(BX$2:BX140)+AR140*K140</f>
        <v>13940</v>
      </c>
      <c r="BY650" s="2">
        <f>SUM(BY$2:BY140)+AS140*L140</f>
        <v>-15930</v>
      </c>
      <c r="BZ650" s="2">
        <f>SUM(BZ$2:BZ140)+AT140*M140</f>
        <v>740</v>
      </c>
      <c r="CA650" s="2">
        <f>SUM(CA$2:CA140)+AU140*N140</f>
        <v>20190.000000000015</v>
      </c>
      <c r="CB650" s="2">
        <f>SUM(CB$2:CB140)+AV140*O140</f>
        <v>4930</v>
      </c>
      <c r="CC650" s="2">
        <f>SUM(CC$2:CC140)+AW140*P140</f>
        <v>-20</v>
      </c>
      <c r="CD650" s="2">
        <f>SUM(CD$2:CD140)+AX140*Q140</f>
        <v>14050</v>
      </c>
      <c r="CE650" s="2">
        <f>SUM(CE$2:CE140)+AY140*R140</f>
        <v>33790</v>
      </c>
      <c r="CF650" s="2">
        <f>SUM(CF$2:CF140)+AZ140*S140</f>
        <v>3455.3199999999852</v>
      </c>
      <c r="CG650" s="2">
        <f>SUM(CG$2:CG140)+BA140*T140</f>
        <v>11666.179999999993</v>
      </c>
      <c r="CH650" s="2">
        <f>SUM(CH$2:CH140)+BB140*U140</f>
        <v>8171.6700000000055</v>
      </c>
      <c r="CI650" s="2">
        <f>SUM(CI$2:CI140)+BC140*V140</f>
        <v>-2800</v>
      </c>
      <c r="CJ650" s="2">
        <f>SUM(CJ$2:CJ140)+BD140*W140</f>
        <v>4540</v>
      </c>
      <c r="CK650" s="2">
        <f>SUM(CK$2:CK140)+BE140*X140</f>
        <v>29580</v>
      </c>
      <c r="CL650" s="2">
        <f>SUM(CL$2:CL140)+BF140*Y140</f>
        <v>91950</v>
      </c>
      <c r="CM650" s="2">
        <f>SUM(CM$2:CM140)+BG140*Z140</f>
        <v>44985</v>
      </c>
      <c r="CN650" s="2">
        <f>SUM(CN$2:CN140)+BH140*AA140</f>
        <v>41925</v>
      </c>
      <c r="CO650" s="2">
        <f>SUM(CO$2:CO140)+BI140*AB140</f>
        <v>-23570</v>
      </c>
      <c r="CP650" s="2">
        <f>SUM(CP$2:CP140)+BJ140*AC140</f>
        <v>820</v>
      </c>
      <c r="CQ650" s="2">
        <f>SUM(CQ$2:CQ140)+BK140*AD140</f>
        <v>8150.0000000000073</v>
      </c>
      <c r="CR650" s="2">
        <f>SUM(CR$2:CR140)+BL140*AE140</f>
        <v>-8480</v>
      </c>
      <c r="CV650" t="s">
        <v>64</v>
      </c>
      <c r="CW650" t="s">
        <v>723</v>
      </c>
      <c r="CX650" t="s">
        <v>18</v>
      </c>
      <c r="CY650" s="4">
        <v>43221</v>
      </c>
      <c r="CZ650" t="s">
        <v>67</v>
      </c>
      <c r="DA650" t="s">
        <v>68</v>
      </c>
      <c r="DB650">
        <v>52</v>
      </c>
      <c r="DC650">
        <v>56.75</v>
      </c>
      <c r="DD650" t="s">
        <v>69</v>
      </c>
      <c r="DE650" t="s">
        <v>70</v>
      </c>
      <c r="DF650">
        <v>2951</v>
      </c>
    </row>
    <row r="651" spans="66:110" x14ac:dyDescent="0.25">
      <c r="BN651" s="1">
        <f t="shared" si="337"/>
        <v>42940</v>
      </c>
      <c r="BO651" s="2">
        <f>SUM(BO$2:BO141)+AI141*B141</f>
        <v>88402.499999999942</v>
      </c>
      <c r="BP651" s="2">
        <f>SUM(BP$2:BP141)+AJ141*C141</f>
        <v>10925.699999999997</v>
      </c>
      <c r="BQ651" s="2">
        <f>SUM(BQ$2:BQ141)+AK141*D141</f>
        <v>58560.999999999942</v>
      </c>
      <c r="BR651" s="2">
        <f>SUM(BR$2:BR141)+AL141*E141</f>
        <v>16725.399999999994</v>
      </c>
      <c r="BS651" s="2">
        <f>SUM(BS$2:BS141)+AM141*F141</f>
        <v>2007.0000000000036</v>
      </c>
      <c r="BT651" s="2">
        <f>SUM(BT$2:BT141)+AN141*G141</f>
        <v>-11943.699999999997</v>
      </c>
      <c r="BU651" s="2">
        <f>SUM(BU$2:BU141)+AO141*H141</f>
        <v>1523.7999999999884</v>
      </c>
      <c r="BV651" s="2">
        <f>SUM(BV$2:BV141)+AP141*I141</f>
        <v>0</v>
      </c>
      <c r="BW651" s="2">
        <f>SUM(BW$2:BW141)+AQ141*J141</f>
        <v>-21510</v>
      </c>
      <c r="BX651" s="2">
        <f>SUM(BX$2:BX141)+AR141*K141</f>
        <v>13940</v>
      </c>
      <c r="BY651" s="2">
        <f>SUM(BY$2:BY141)+AS141*L141</f>
        <v>-16940</v>
      </c>
      <c r="BZ651" s="2">
        <f>SUM(BZ$2:BZ141)+AT141*M141</f>
        <v>740</v>
      </c>
      <c r="CA651" s="2">
        <f>SUM(CA$2:CA141)+AU141*N141</f>
        <v>17980</v>
      </c>
      <c r="CB651" s="2">
        <f>SUM(CB$2:CB141)+AV141*O141</f>
        <v>5300</v>
      </c>
      <c r="CC651" s="2">
        <f>SUM(CC$2:CC141)+AW141*P141</f>
        <v>-20</v>
      </c>
      <c r="CD651" s="2">
        <f>SUM(CD$2:CD141)+AX141*Q141</f>
        <v>14050</v>
      </c>
      <c r="CE651" s="2">
        <f>SUM(CE$2:CE141)+AY141*R141</f>
        <v>32680</v>
      </c>
      <c r="CF651" s="2">
        <f>SUM(CF$2:CF141)+AZ141*S141</f>
        <v>3396.8799999999828</v>
      </c>
      <c r="CG651" s="2">
        <f>SUM(CG$2:CG141)+BA141*T141</f>
        <v>11484.159999999974</v>
      </c>
      <c r="CH651" s="2">
        <f>SUM(CH$2:CH141)+BB141*U141</f>
        <v>7253.4099999999962</v>
      </c>
      <c r="CI651" s="2">
        <f>SUM(CI$2:CI141)+BC141*V141</f>
        <v>-2650</v>
      </c>
      <c r="CJ651" s="2">
        <f>SUM(CJ$2:CJ141)+BD141*W141</f>
        <v>6590.0000000000582</v>
      </c>
      <c r="CK651" s="2">
        <f>SUM(CK$2:CK141)+BE141*X141</f>
        <v>35530</v>
      </c>
      <c r="CL651" s="2">
        <f>SUM(CL$2:CL141)+BF141*Y141</f>
        <v>89340</v>
      </c>
      <c r="CM651" s="2">
        <f>SUM(CM$2:CM141)+BG141*Z141</f>
        <v>43235</v>
      </c>
      <c r="CN651" s="2">
        <f>SUM(CN$2:CN141)+BH141*AA141</f>
        <v>43825</v>
      </c>
      <c r="CO651" s="2">
        <f>SUM(CO$2:CO141)+BI141*AB141</f>
        <v>-25010</v>
      </c>
      <c r="CP651" s="2">
        <f>SUM(CP$2:CP141)+BJ141*AC141</f>
        <v>820</v>
      </c>
      <c r="CQ651" s="2">
        <f>SUM(CQ$2:CQ141)+BK141*AD141</f>
        <v>8870.0000000000073</v>
      </c>
      <c r="CR651" s="2">
        <f>SUM(CR$2:CR141)+BL141*AE141</f>
        <v>-8720</v>
      </c>
      <c r="CV651" t="s">
        <v>64</v>
      </c>
      <c r="CW651" t="s">
        <v>724</v>
      </c>
      <c r="CX651" t="s">
        <v>18</v>
      </c>
      <c r="CY651" s="4">
        <v>43222</v>
      </c>
      <c r="CZ651" t="s">
        <v>67</v>
      </c>
      <c r="DA651" t="s">
        <v>68</v>
      </c>
      <c r="DB651">
        <v>8</v>
      </c>
      <c r="DC651">
        <v>56.08</v>
      </c>
      <c r="DD651" t="s">
        <v>69</v>
      </c>
      <c r="DE651" t="s">
        <v>70</v>
      </c>
      <c r="DF651">
        <v>448.64</v>
      </c>
    </row>
    <row r="652" spans="66:110" x14ac:dyDescent="0.25">
      <c r="BN652" s="1">
        <f t="shared" si="337"/>
        <v>42941</v>
      </c>
      <c r="BO652" s="2">
        <f>SUM(BO$2:BO142)+AI142*B142</f>
        <v>90002.499999999884</v>
      </c>
      <c r="BP652" s="2">
        <f>SUM(BP$2:BP142)+AJ142*C142</f>
        <v>11361.699999999983</v>
      </c>
      <c r="BQ652" s="2">
        <f>SUM(BQ$2:BQ142)+AK142*D142</f>
        <v>58855.299999999959</v>
      </c>
      <c r="BR652" s="2">
        <f>SUM(BR$2:BR142)+AL142*E142</f>
        <v>23428.89999999998</v>
      </c>
      <c r="BS652" s="2">
        <f>SUM(BS$2:BS142)+AM142*F142</f>
        <v>2279.5</v>
      </c>
      <c r="BT652" s="2">
        <f>SUM(BT$2:BT142)+AN142*G142</f>
        <v>-10733.800000000003</v>
      </c>
      <c r="BU652" s="2">
        <f>SUM(BU$2:BU142)+AO142*H142</f>
        <v>902.5</v>
      </c>
      <c r="BV652" s="2">
        <f>SUM(BV$2:BV142)+AP142*I142</f>
        <v>0</v>
      </c>
      <c r="BW652" s="2">
        <f>SUM(BW$2:BW142)+AQ142*J142</f>
        <v>-18180</v>
      </c>
      <c r="BX652" s="2">
        <f>SUM(BX$2:BX142)+AR142*K142</f>
        <v>13940</v>
      </c>
      <c r="BY652" s="2">
        <f>SUM(BY$2:BY142)+AS142*L142</f>
        <v>-16760</v>
      </c>
      <c r="BZ652" s="2">
        <f>SUM(BZ$2:BZ142)+AT142*M142</f>
        <v>740</v>
      </c>
      <c r="CA652" s="2">
        <f>SUM(CA$2:CA142)+AU142*N142</f>
        <v>16890</v>
      </c>
      <c r="CB652" s="2">
        <f>SUM(CB$2:CB142)+AV142*O142</f>
        <v>6770</v>
      </c>
      <c r="CC652" s="2">
        <f>SUM(CC$2:CC142)+AW142*P142</f>
        <v>-20</v>
      </c>
      <c r="CD652" s="2">
        <f>SUM(CD$2:CD142)+AX142*Q142</f>
        <v>14050</v>
      </c>
      <c r="CE652" s="2">
        <f>SUM(CE$2:CE142)+AY142*R142</f>
        <v>22530</v>
      </c>
      <c r="CF652" s="2">
        <f>SUM(CF$2:CF142)+AZ142*S142</f>
        <v>3202.0799999999872</v>
      </c>
      <c r="CG652" s="2">
        <f>SUM(CG$2:CG142)+BA142*T142</f>
        <v>12105.339999999997</v>
      </c>
      <c r="CH652" s="2">
        <f>SUM(CH$2:CH142)+BB142*U142</f>
        <v>7655.0299999999916</v>
      </c>
      <c r="CI652" s="2">
        <f>SUM(CI$2:CI142)+BC142*V142</f>
        <v>-2440</v>
      </c>
      <c r="CJ652" s="2">
        <f>SUM(CJ$2:CJ142)+BD142*W142</f>
        <v>2040</v>
      </c>
      <c r="CK652" s="2">
        <f>SUM(CK$2:CK142)+BE142*X142</f>
        <v>40730</v>
      </c>
      <c r="CL652" s="2">
        <f>SUM(CL$2:CL142)+BF142*Y142</f>
        <v>87900</v>
      </c>
      <c r="CM652" s="2">
        <f>SUM(CM$2:CM142)+BG142*Z142</f>
        <v>30235</v>
      </c>
      <c r="CN652" s="2">
        <f>SUM(CN$2:CN142)+BH142*AA142</f>
        <v>42874.999999999971</v>
      </c>
      <c r="CO652" s="2">
        <f>SUM(CO$2:CO142)+BI142*AB142</f>
        <v>-24260</v>
      </c>
      <c r="CP652" s="2">
        <f>SUM(CP$2:CP142)+BJ142*AC142</f>
        <v>820</v>
      </c>
      <c r="CQ652" s="2">
        <f>SUM(CQ$2:CQ142)+BK142*AD142</f>
        <v>10440.000000000007</v>
      </c>
      <c r="CR652" s="2">
        <f>SUM(CR$2:CR142)+BL142*AE142</f>
        <v>-8340</v>
      </c>
      <c r="CV652" t="s">
        <v>64</v>
      </c>
      <c r="CW652" t="s">
        <v>725</v>
      </c>
      <c r="CX652" t="s">
        <v>18</v>
      </c>
      <c r="CY652" s="4">
        <v>43223</v>
      </c>
      <c r="CZ652" t="s">
        <v>67</v>
      </c>
      <c r="DA652" t="s">
        <v>68</v>
      </c>
      <c r="DB652">
        <v>3</v>
      </c>
      <c r="DC652">
        <v>56.31</v>
      </c>
      <c r="DD652" t="s">
        <v>69</v>
      </c>
      <c r="DE652" t="s">
        <v>70</v>
      </c>
      <c r="DF652">
        <v>168.93</v>
      </c>
    </row>
    <row r="653" spans="66:110" x14ac:dyDescent="0.25">
      <c r="BN653" s="1">
        <f t="shared" si="337"/>
        <v>42942</v>
      </c>
      <c r="BO653" s="2">
        <f>SUM(BO$2:BO143)+AI143*B143</f>
        <v>93502.499999999767</v>
      </c>
      <c r="BP653" s="2">
        <f>SUM(BP$2:BP143)+AJ143*C143</f>
        <v>11240.699999999997</v>
      </c>
      <c r="BQ653" s="2">
        <f>SUM(BQ$2:BQ143)+AK143*D143</f>
        <v>81130.299999999959</v>
      </c>
      <c r="BR653" s="2">
        <f>SUM(BR$2:BR143)+AL143*E143</f>
        <v>22339.89999999998</v>
      </c>
      <c r="BS653" s="2">
        <f>SUM(BS$2:BS143)+AM143*F143</f>
        <v>1795.5</v>
      </c>
      <c r="BT653" s="2">
        <f>SUM(BT$2:BT143)+AN143*G143</f>
        <v>-9985.8000000000029</v>
      </c>
      <c r="BU653" s="2">
        <f>SUM(BU$2:BU143)+AO143*H143</f>
        <v>1463.5000000000146</v>
      </c>
      <c r="BV653" s="2">
        <f>SUM(BV$2:BV143)+AP143*I143</f>
        <v>0</v>
      </c>
      <c r="BW653" s="2">
        <f>SUM(BW$2:BW143)+AQ143*J143</f>
        <v>-17520</v>
      </c>
      <c r="BX653" s="2">
        <f>SUM(BX$2:BX143)+AR143*K143</f>
        <v>13940</v>
      </c>
      <c r="BY653" s="2">
        <f>SUM(BY$2:BY143)+AS143*L143</f>
        <v>-17530</v>
      </c>
      <c r="BZ653" s="2">
        <f>SUM(BZ$2:BZ143)+AT143*M143</f>
        <v>740</v>
      </c>
      <c r="CA653" s="2">
        <f>SUM(CA$2:CA143)+AU143*N143</f>
        <v>16000</v>
      </c>
      <c r="CB653" s="2">
        <f>SUM(CB$2:CB143)+AV143*O143</f>
        <v>5930</v>
      </c>
      <c r="CC653" s="2">
        <f>SUM(CC$2:CC143)+AW143*P143</f>
        <v>-20</v>
      </c>
      <c r="CD653" s="2">
        <f>SUM(CD$2:CD143)+AX143*Q143</f>
        <v>14050</v>
      </c>
      <c r="CE653" s="2">
        <f>SUM(CE$2:CE143)+AY143*R143</f>
        <v>22180</v>
      </c>
      <c r="CF653" s="2">
        <f>SUM(CF$2:CF143)+AZ143*S143</f>
        <v>2681.6199999999808</v>
      </c>
      <c r="CG653" s="2">
        <f>SUM(CG$2:CG143)+BA143*T143</f>
        <v>11969.679999999993</v>
      </c>
      <c r="CH653" s="2">
        <f>SUM(CH$2:CH143)+BB143*U143</f>
        <v>6701.5899999999965</v>
      </c>
      <c r="CI653" s="2">
        <f>SUM(CI$2:CI143)+BC143*V143</f>
        <v>-2240</v>
      </c>
      <c r="CJ653" s="2">
        <f>SUM(CJ$2:CJ143)+BD143*W143</f>
        <v>1240.0000000000582</v>
      </c>
      <c r="CK653" s="2">
        <f>SUM(CK$2:CK143)+BE143*X143</f>
        <v>33680</v>
      </c>
      <c r="CL653" s="2">
        <f>SUM(CL$2:CL143)+BF143*Y143</f>
        <v>88920</v>
      </c>
      <c r="CM653" s="2">
        <f>SUM(CM$2:CM143)+BG143*Z143</f>
        <v>25985</v>
      </c>
      <c r="CN653" s="2">
        <f>SUM(CN$2:CN143)+BH143*AA143</f>
        <v>45000</v>
      </c>
      <c r="CO653" s="2">
        <f>SUM(CO$2:CO143)+BI143*AB143</f>
        <v>-23089.999999999985</v>
      </c>
      <c r="CP653" s="2">
        <f>SUM(CP$2:CP143)+BJ143*AC143</f>
        <v>820</v>
      </c>
      <c r="CQ653" s="2">
        <f>SUM(CQ$2:CQ143)+BK143*AD143</f>
        <v>10810.000000000007</v>
      </c>
      <c r="CR653" s="2">
        <f>SUM(CR$2:CR143)+BL143*AE143</f>
        <v>-8250</v>
      </c>
      <c r="CV653" t="s">
        <v>64</v>
      </c>
      <c r="CW653" t="s">
        <v>726</v>
      </c>
      <c r="CX653" t="s">
        <v>18</v>
      </c>
      <c r="CY653" s="4">
        <v>43224</v>
      </c>
      <c r="CZ653" t="s">
        <v>65</v>
      </c>
      <c r="DA653" t="s">
        <v>66</v>
      </c>
      <c r="DB653">
        <v>52</v>
      </c>
      <c r="DC653">
        <v>56.52</v>
      </c>
      <c r="DD653" t="s">
        <v>69</v>
      </c>
      <c r="DE653" t="s">
        <v>70</v>
      </c>
      <c r="DF653">
        <v>2939.04</v>
      </c>
    </row>
    <row r="654" spans="66:110" x14ac:dyDescent="0.25">
      <c r="BN654" s="1">
        <f t="shared" si="337"/>
        <v>42943</v>
      </c>
      <c r="BO654" s="2">
        <f>SUM(BO$2:BO144)+AI144*B144</f>
        <v>79352.499999999884</v>
      </c>
      <c r="BP654" s="2">
        <f>SUM(BP$2:BP144)+AJ144*C144</f>
        <v>9678.6999999999971</v>
      </c>
      <c r="BQ654" s="2">
        <f>SUM(BQ$2:BQ144)+AK144*D144</f>
        <v>89149.299999999959</v>
      </c>
      <c r="BR654" s="2">
        <f>SUM(BR$2:BR144)+AL144*E144</f>
        <v>23241.89999999998</v>
      </c>
      <c r="BS654" s="2">
        <f>SUM(BS$2:BS144)+AM144*F144</f>
        <v>1696.5</v>
      </c>
      <c r="BT654" s="2">
        <f>SUM(BT$2:BT144)+AN144*G144</f>
        <v>-8962.8000000000029</v>
      </c>
      <c r="BU654" s="2">
        <f>SUM(BU$2:BU144)+AO144*H144</f>
        <v>4752.5</v>
      </c>
      <c r="BV654" s="2">
        <f>SUM(BV$2:BV144)+AP144*I144</f>
        <v>0</v>
      </c>
      <c r="BW654" s="2">
        <f>SUM(BW$2:BW144)+AQ144*J144</f>
        <v>-18280</v>
      </c>
      <c r="BX654" s="2">
        <f>SUM(BX$2:BX144)+AR144*K144</f>
        <v>13940</v>
      </c>
      <c r="BY654" s="2">
        <f>SUM(BY$2:BY144)+AS144*L144</f>
        <v>-17790</v>
      </c>
      <c r="BZ654" s="2">
        <f>SUM(BZ$2:BZ144)+AT144*M144</f>
        <v>740</v>
      </c>
      <c r="CA654" s="2">
        <f>SUM(CA$2:CA144)+AU144*N144</f>
        <v>15880</v>
      </c>
      <c r="CB654" s="2">
        <f>SUM(CB$2:CB144)+AV144*O144</f>
        <v>5560</v>
      </c>
      <c r="CC654" s="2">
        <f>SUM(CC$2:CC144)+AW144*P144</f>
        <v>-20</v>
      </c>
      <c r="CD654" s="2">
        <f>SUM(CD$2:CD144)+AX144*Q144</f>
        <v>14050</v>
      </c>
      <c r="CE654" s="2">
        <f>SUM(CE$2:CE144)+AY144*R144</f>
        <v>23160</v>
      </c>
      <c r="CF654" s="2">
        <f>SUM(CF$2:CF144)+AZ144*S144</f>
        <v>4571.6199999999735</v>
      </c>
      <c r="CG654" s="2">
        <f>SUM(CG$2:CG144)+BA144*T144</f>
        <v>11108.82</v>
      </c>
      <c r="CH654" s="2">
        <f>SUM(CH$2:CH144)+BB144*U144</f>
        <v>6483.3999999999942</v>
      </c>
      <c r="CI654" s="2">
        <f>SUM(CI$2:CI144)+BC144*V144</f>
        <v>-2350</v>
      </c>
      <c r="CJ654" s="2">
        <f>SUM(CJ$2:CJ144)+BD144*W144</f>
        <v>-5309.9999999999418</v>
      </c>
      <c r="CK654" s="2">
        <f>SUM(CK$2:CK144)+BE144*X144</f>
        <v>33130</v>
      </c>
      <c r="CL654" s="2">
        <f>SUM(CL$2:CL144)+BF144*Y144</f>
        <v>83580</v>
      </c>
      <c r="CM654" s="2">
        <f>SUM(CM$2:CM144)+BG144*Z144</f>
        <v>21935</v>
      </c>
      <c r="CN654" s="2">
        <f>SUM(CN$2:CN144)+BH144*AA144</f>
        <v>41850</v>
      </c>
      <c r="CO654" s="2">
        <f>SUM(CO$2:CO144)+BI144*AB144</f>
        <v>-13520</v>
      </c>
      <c r="CP654" s="2">
        <f>SUM(CP$2:CP144)+BJ144*AC144</f>
        <v>820</v>
      </c>
      <c r="CQ654" s="2">
        <f>SUM(CQ$2:CQ144)+BK144*AD144</f>
        <v>11660.000000000007</v>
      </c>
      <c r="CR654" s="2">
        <f>SUM(CR$2:CR144)+BL144*AE144</f>
        <v>-7820</v>
      </c>
      <c r="CV654" t="s">
        <v>64</v>
      </c>
      <c r="CW654" t="s">
        <v>727</v>
      </c>
      <c r="CX654" t="s">
        <v>18</v>
      </c>
      <c r="CY654" s="4">
        <v>43227</v>
      </c>
      <c r="CZ654" t="s">
        <v>67</v>
      </c>
      <c r="DA654" t="s">
        <v>68</v>
      </c>
      <c r="DB654">
        <v>43</v>
      </c>
      <c r="DC654">
        <v>56.16</v>
      </c>
      <c r="DD654" t="s">
        <v>69</v>
      </c>
      <c r="DE654" t="s">
        <v>70</v>
      </c>
      <c r="DF654">
        <v>2414.8799999999997</v>
      </c>
    </row>
    <row r="655" spans="66:110" x14ac:dyDescent="0.25">
      <c r="BN655" s="1">
        <f t="shared" si="337"/>
        <v>42944</v>
      </c>
      <c r="BO655" s="2">
        <f>SUM(BO$2:BO145)+AI145*B145</f>
        <v>74202.499999999884</v>
      </c>
      <c r="BP655" s="2">
        <f>SUM(BP$2:BP145)+AJ145*C145</f>
        <v>10701.699999999997</v>
      </c>
      <c r="BQ655" s="2">
        <f>SUM(BQ$2:BQ145)+AK145*D145</f>
        <v>89435.299999999959</v>
      </c>
      <c r="BR655" s="2">
        <f>SUM(BR$2:BR145)+AL145*E145</f>
        <v>22955.89999999998</v>
      </c>
      <c r="BS655" s="2">
        <f>SUM(BS$2:BS145)+AM145*F145</f>
        <v>1652.5</v>
      </c>
      <c r="BT655" s="2">
        <f>SUM(BT$2:BT145)+AN145*G145</f>
        <v>-6894.8000000000029</v>
      </c>
      <c r="BU655" s="2">
        <f>SUM(BU$2:BU145)+AO145*H145</f>
        <v>4708.5</v>
      </c>
      <c r="BV655" s="2">
        <f>SUM(BV$2:BV145)+AP145*I145</f>
        <v>0</v>
      </c>
      <c r="BW655" s="2">
        <f>SUM(BW$2:BW145)+AQ145*J145</f>
        <v>-16190</v>
      </c>
      <c r="BX655" s="2">
        <f>SUM(BX$2:BX145)+AR145*K145</f>
        <v>13940</v>
      </c>
      <c r="BY655" s="2">
        <f>SUM(BY$2:BY145)+AS145*L145</f>
        <v>-18520</v>
      </c>
      <c r="BZ655" s="2">
        <f>SUM(BZ$2:BZ145)+AT145*M145</f>
        <v>740</v>
      </c>
      <c r="CA655" s="2">
        <f>SUM(CA$2:CA145)+AU145*N145</f>
        <v>16860</v>
      </c>
      <c r="CB655" s="2">
        <f>SUM(CB$2:CB145)+AV145*O145</f>
        <v>5300</v>
      </c>
      <c r="CC655" s="2">
        <f>SUM(CC$2:CC145)+AW145*P145</f>
        <v>-20</v>
      </c>
      <c r="CD655" s="2">
        <f>SUM(CD$2:CD145)+AX145*Q145</f>
        <v>14050</v>
      </c>
      <c r="CE655" s="2">
        <f>SUM(CE$2:CE145)+AY145*R145</f>
        <v>22840</v>
      </c>
      <c r="CF655" s="2">
        <f>SUM(CF$2:CF145)+AZ145*S145</f>
        <v>5000.8899999999849</v>
      </c>
      <c r="CG655" s="2">
        <f>SUM(CG$2:CG145)+BA145*T145</f>
        <v>10980.779999999984</v>
      </c>
      <c r="CH655" s="2">
        <f>SUM(CH$2:CH145)+BB145*U145</f>
        <v>6965.3499999999985</v>
      </c>
      <c r="CI655" s="2">
        <f>SUM(CI$2:CI145)+BC145*V145</f>
        <v>-2490</v>
      </c>
      <c r="CJ655" s="2">
        <f>SUM(CJ$2:CJ145)+BD145*W145</f>
        <v>-3059.9999999999418</v>
      </c>
      <c r="CK655" s="2">
        <f>SUM(CK$2:CK145)+BE145*X145</f>
        <v>39530</v>
      </c>
      <c r="CL655" s="2">
        <f>SUM(CL$2:CL145)+BF145*Y145</f>
        <v>90090</v>
      </c>
      <c r="CM655" s="2">
        <f>SUM(CM$2:CM145)+BG145*Z145</f>
        <v>22785</v>
      </c>
      <c r="CN655" s="2">
        <f>SUM(CN$2:CN145)+BH145*AA145</f>
        <v>39750</v>
      </c>
      <c r="CO655" s="2">
        <f>SUM(CO$2:CO145)+BI145*AB145</f>
        <v>-13160</v>
      </c>
      <c r="CP655" s="2">
        <f>SUM(CP$2:CP145)+BJ145*AC145</f>
        <v>820</v>
      </c>
      <c r="CQ655" s="2">
        <f>SUM(CQ$2:CQ145)+BK145*AD145</f>
        <v>11690.000000000007</v>
      </c>
      <c r="CR655" s="2">
        <f>SUM(CR$2:CR145)+BL145*AE145</f>
        <v>-8970</v>
      </c>
      <c r="CV655" t="s">
        <v>64</v>
      </c>
      <c r="CW655" t="s">
        <v>728</v>
      </c>
      <c r="CX655" t="s">
        <v>18</v>
      </c>
      <c r="CY655" s="4">
        <v>43228</v>
      </c>
      <c r="CZ655" t="s">
        <v>65</v>
      </c>
      <c r="DA655" t="s">
        <v>66</v>
      </c>
      <c r="DB655">
        <v>5</v>
      </c>
      <c r="DC655">
        <v>55.55</v>
      </c>
      <c r="DD655" t="s">
        <v>69</v>
      </c>
      <c r="DE655" t="s">
        <v>70</v>
      </c>
      <c r="DF655">
        <v>277.75</v>
      </c>
    </row>
    <row r="656" spans="66:110" x14ac:dyDescent="0.25">
      <c r="BN656" s="1">
        <f t="shared" si="337"/>
        <v>42947</v>
      </c>
      <c r="BO656" s="2">
        <f>SUM(BO$2:BO146)+AI146*B146</f>
        <v>70452.499999999884</v>
      </c>
      <c r="BP656" s="2">
        <f>SUM(BP$2:BP146)+AJ146*C146</f>
        <v>11163.699999999997</v>
      </c>
      <c r="BQ656" s="2">
        <f>SUM(BQ$2:BQ146)+AK146*D146</f>
        <v>90689.299999999959</v>
      </c>
      <c r="BR656" s="2">
        <f>SUM(BR$2:BR146)+AL146*E146</f>
        <v>22801.89999999998</v>
      </c>
      <c r="BS656" s="2">
        <f>SUM(BS$2:BS146)+AM146*F146</f>
        <v>1575.5</v>
      </c>
      <c r="BT656" s="2">
        <f>SUM(BT$2:BT146)+AN146*G146</f>
        <v>-5794.8000000000029</v>
      </c>
      <c r="BU656" s="2">
        <f>SUM(BU$2:BU146)+AO146*H146</f>
        <v>4675.5</v>
      </c>
      <c r="BV656" s="2">
        <f>SUM(BV$2:BV146)+AP146*I146</f>
        <v>0</v>
      </c>
      <c r="BW656" s="2">
        <f>SUM(BW$2:BW146)+AQ146*J146</f>
        <v>-14500</v>
      </c>
      <c r="BX656" s="2">
        <f>SUM(BX$2:BX146)+AR146*K146</f>
        <v>13940</v>
      </c>
      <c r="BY656" s="2">
        <f>SUM(BY$2:BY146)+AS146*L146</f>
        <v>-18160</v>
      </c>
      <c r="BZ656" s="2">
        <f>SUM(BZ$2:BZ146)+AT146*M146</f>
        <v>740</v>
      </c>
      <c r="CA656" s="2">
        <f>SUM(CA$2:CA146)+AU146*N146</f>
        <v>17700</v>
      </c>
      <c r="CB656" s="2">
        <f>SUM(CB$2:CB146)+AV146*O146</f>
        <v>5800</v>
      </c>
      <c r="CC656" s="2">
        <f>SUM(CC$2:CC146)+AW146*P146</f>
        <v>-20</v>
      </c>
      <c r="CD656" s="2">
        <f>SUM(CD$2:CD146)+AX146*Q146</f>
        <v>14050</v>
      </c>
      <c r="CE656" s="2">
        <f>SUM(CE$2:CE146)+AY146*R146</f>
        <v>24230</v>
      </c>
      <c r="CF656" s="2">
        <f>SUM(CF$2:CF146)+AZ146*S146</f>
        <v>4780.6699999999837</v>
      </c>
      <c r="CG656" s="2">
        <f>SUM(CG$2:CG146)+BA146*T146</f>
        <v>10660.679999999993</v>
      </c>
      <c r="CH656" s="2">
        <f>SUM(CH$2:CH146)+BB146*U146</f>
        <v>7319.8899999999994</v>
      </c>
      <c r="CI656" s="2">
        <f>SUM(CI$2:CI146)+BC146*V146</f>
        <v>-2500</v>
      </c>
      <c r="CJ656" s="2">
        <f>SUM(CJ$2:CJ146)+BD146*W146</f>
        <v>-5959.9999999999418</v>
      </c>
      <c r="CK656" s="2">
        <f>SUM(CK$2:CK146)+BE146*X146</f>
        <v>43780</v>
      </c>
      <c r="CL656" s="2">
        <f>SUM(CL$2:CL146)+BF146*Y146</f>
        <v>92040</v>
      </c>
      <c r="CM656" s="2">
        <f>SUM(CM$2:CM146)+BG146*Z146</f>
        <v>21335</v>
      </c>
      <c r="CN656" s="2">
        <f>SUM(CN$2:CN146)+BH146*AA146</f>
        <v>41800</v>
      </c>
      <c r="CO656" s="2">
        <f>SUM(CO$2:CO146)+BI146*AB146</f>
        <v>-11870</v>
      </c>
      <c r="CP656" s="2">
        <f>SUM(CP$2:CP146)+BJ146*AC146</f>
        <v>820</v>
      </c>
      <c r="CQ656" s="2">
        <f>SUM(CQ$2:CQ146)+BK146*AD146</f>
        <v>11860.000000000007</v>
      </c>
      <c r="CR656" s="2">
        <f>SUM(CR$2:CR146)+BL146*AE146</f>
        <v>-8560</v>
      </c>
      <c r="CV656" t="s">
        <v>64</v>
      </c>
      <c r="CW656" t="s">
        <v>729</v>
      </c>
      <c r="CX656" t="s">
        <v>18</v>
      </c>
      <c r="CY656" s="4">
        <v>43229</v>
      </c>
      <c r="CZ656" t="s">
        <v>67</v>
      </c>
      <c r="DA656" t="s">
        <v>68</v>
      </c>
      <c r="DB656">
        <v>14</v>
      </c>
      <c r="DC656">
        <v>56.72</v>
      </c>
      <c r="DD656" t="s">
        <v>69</v>
      </c>
      <c r="DE656" t="s">
        <v>70</v>
      </c>
      <c r="DF656">
        <v>794.07999999999993</v>
      </c>
    </row>
    <row r="657" spans="66:110" x14ac:dyDescent="0.25">
      <c r="BN657" s="1">
        <f t="shared" si="337"/>
        <v>42948</v>
      </c>
      <c r="BO657" s="2">
        <f>SUM(BO$2:BO147)+AI147*B147</f>
        <v>76902.499999999884</v>
      </c>
      <c r="BP657" s="2">
        <f>SUM(BP$2:BP147)+AJ147*C147</f>
        <v>11174.699999999997</v>
      </c>
      <c r="BQ657" s="2">
        <f>SUM(BQ$2:BQ147)+AK147*D147</f>
        <v>87488.299999999959</v>
      </c>
      <c r="BR657" s="2">
        <f>SUM(BR$2:BR147)+AL147*E147</f>
        <v>21899.89999999998</v>
      </c>
      <c r="BS657" s="2">
        <f>SUM(BS$2:BS147)+AM147*F147</f>
        <v>1784.5</v>
      </c>
      <c r="BT657" s="2">
        <f>SUM(BT$2:BT147)+AN147*G147</f>
        <v>-4166.8000000000029</v>
      </c>
      <c r="BU657" s="2">
        <f>SUM(BU$2:BU147)+AO147*H147</f>
        <v>5401.5</v>
      </c>
      <c r="BV657" s="2">
        <f>SUM(BV$2:BV147)+AP147*I147</f>
        <v>0</v>
      </c>
      <c r="BW657" s="2">
        <f>SUM(BW$2:BW147)+AQ147*J147</f>
        <v>-12870</v>
      </c>
      <c r="BX657" s="2">
        <f>SUM(BX$2:BX147)+AR147*K147</f>
        <v>13940</v>
      </c>
      <c r="BY657" s="2">
        <f>SUM(BY$2:BY147)+AS147*L147</f>
        <v>-17580</v>
      </c>
      <c r="BZ657" s="2">
        <f>SUM(BZ$2:BZ147)+AT147*M147</f>
        <v>740</v>
      </c>
      <c r="CA657" s="2">
        <f>SUM(CA$2:CA147)+AU147*N147</f>
        <v>17500</v>
      </c>
      <c r="CB657" s="2">
        <f>SUM(CB$2:CB147)+AV147*O147</f>
        <v>6990</v>
      </c>
      <c r="CC657" s="2">
        <f>SUM(CC$2:CC147)+AW147*P147</f>
        <v>-20</v>
      </c>
      <c r="CD657" s="2">
        <f>SUM(CD$2:CD147)+AX147*Q147</f>
        <v>14050</v>
      </c>
      <c r="CE657" s="2">
        <f>SUM(CE$2:CE147)+AY147*R147</f>
        <v>26160</v>
      </c>
      <c r="CF657" s="2">
        <f>SUM(CF$2:CF147)+AZ147*S147</f>
        <v>4809.5299999999697</v>
      </c>
      <c r="CG657" s="2">
        <f>SUM(CG$2:CG147)+BA147*T147</f>
        <v>10542.239999999976</v>
      </c>
      <c r="CH657" s="2">
        <f>SUM(CH$2:CH147)+BB147*U147</f>
        <v>8118.3799999999974</v>
      </c>
      <c r="CI657" s="2">
        <f>SUM(CI$2:CI147)+BC147*V147</f>
        <v>-2420</v>
      </c>
      <c r="CJ657" s="2">
        <f>SUM(CJ$2:CJ147)+BD147*W147</f>
        <v>-7309.9999999999418</v>
      </c>
      <c r="CK657" s="2">
        <f>SUM(CK$2:CK147)+BE147*X147</f>
        <v>49180</v>
      </c>
      <c r="CL657" s="2">
        <f>SUM(CL$2:CL147)+BF147*Y147</f>
        <v>93270</v>
      </c>
      <c r="CM657" s="2">
        <f>SUM(CM$2:CM147)+BG147*Z147</f>
        <v>22835</v>
      </c>
      <c r="CN657" s="2">
        <f>SUM(CN$2:CN147)+BH147*AA147</f>
        <v>48250</v>
      </c>
      <c r="CO657" s="2">
        <f>SUM(CO$2:CO147)+BI147*AB147</f>
        <v>-10490</v>
      </c>
      <c r="CP657" s="2">
        <f>SUM(CP$2:CP147)+BJ147*AC147</f>
        <v>820</v>
      </c>
      <c r="CQ657" s="2">
        <f>SUM(CQ$2:CQ147)+BK147*AD147</f>
        <v>12350.000000000007</v>
      </c>
      <c r="CR657" s="2">
        <f>SUM(CR$2:CR147)+BL147*AE147</f>
        <v>-8440</v>
      </c>
      <c r="CV657" t="s">
        <v>64</v>
      </c>
      <c r="CW657" t="s">
        <v>730</v>
      </c>
      <c r="CX657" t="s">
        <v>18</v>
      </c>
      <c r="CY657" s="4">
        <v>43230</v>
      </c>
      <c r="CZ657" t="s">
        <v>67</v>
      </c>
      <c r="DA657" t="s">
        <v>68</v>
      </c>
      <c r="DB657">
        <v>3</v>
      </c>
      <c r="DC657">
        <v>56.83</v>
      </c>
      <c r="DD657" t="s">
        <v>69</v>
      </c>
      <c r="DE657" t="s">
        <v>70</v>
      </c>
      <c r="DF657">
        <v>170.49</v>
      </c>
    </row>
    <row r="658" spans="66:110" x14ac:dyDescent="0.25">
      <c r="BN658" s="1">
        <f t="shared" si="337"/>
        <v>42949</v>
      </c>
      <c r="BO658" s="2">
        <f>SUM(BO$2:BO148)+AI148*B148</f>
        <v>111402.49999999988</v>
      </c>
      <c r="BP658" s="2">
        <f>SUM(BP$2:BP148)+AJ148*C148</f>
        <v>11240.699999999997</v>
      </c>
      <c r="BQ658" s="2">
        <f>SUM(BQ$2:BQ148)+AK148*D148</f>
        <v>85904.299999999959</v>
      </c>
      <c r="BR658" s="2">
        <f>SUM(BR$2:BR148)+AL148*E148</f>
        <v>21888.89999999998</v>
      </c>
      <c r="BS658" s="2">
        <f>SUM(BS$2:BS148)+AM148*F148</f>
        <v>1652.5</v>
      </c>
      <c r="BT658" s="2">
        <f>SUM(BT$2:BT148)+AN148*G148</f>
        <v>-4496.8000000000029</v>
      </c>
      <c r="BU658" s="2">
        <f>SUM(BU$2:BU148)+AO148*H148</f>
        <v>3322.5</v>
      </c>
      <c r="BV658" s="2">
        <f>SUM(BV$2:BV148)+AP148*I148</f>
        <v>0</v>
      </c>
      <c r="BW658" s="2">
        <f>SUM(BW$2:BW148)+AQ148*J148</f>
        <v>-13580</v>
      </c>
      <c r="BX658" s="2">
        <f>SUM(BX$2:BX148)+AR148*K148</f>
        <v>13940</v>
      </c>
      <c r="BY658" s="2">
        <f>SUM(BY$2:BY148)+AS148*L148</f>
        <v>-18370</v>
      </c>
      <c r="BZ658" s="2">
        <f>SUM(BZ$2:BZ148)+AT148*M148</f>
        <v>740</v>
      </c>
      <c r="CA658" s="2">
        <f>SUM(CA$2:CA148)+AU148*N148</f>
        <v>17160</v>
      </c>
      <c r="CB658" s="2">
        <f>SUM(CB$2:CB148)+AV148*O148</f>
        <v>7070</v>
      </c>
      <c r="CC658" s="2">
        <f>SUM(CC$2:CC148)+AW148*P148</f>
        <v>-20</v>
      </c>
      <c r="CD658" s="2">
        <f>SUM(CD$2:CD148)+AX148*Q148</f>
        <v>14050</v>
      </c>
      <c r="CE658" s="2">
        <f>SUM(CE$2:CE148)+AY148*R148</f>
        <v>28290</v>
      </c>
      <c r="CF658" s="2">
        <f>SUM(CF$2:CF148)+AZ148*S148</f>
        <v>4353.6799999999785</v>
      </c>
      <c r="CG658" s="2">
        <f>SUM(CG$2:CG148)+BA148*T148</f>
        <v>10202.169999999976</v>
      </c>
      <c r="CH658" s="2">
        <f>SUM(CH$2:CH148)+BB148*U148</f>
        <v>8067.4799999999959</v>
      </c>
      <c r="CI658" s="2">
        <f>SUM(CI$2:CI148)+BC148*V148</f>
        <v>-2570</v>
      </c>
      <c r="CJ658" s="2">
        <f>SUM(CJ$2:CJ148)+BD148*W148</f>
        <v>-7009.9999999999418</v>
      </c>
      <c r="CK658" s="2">
        <f>SUM(CK$2:CK148)+BE148*X148</f>
        <v>46880</v>
      </c>
      <c r="CL658" s="2">
        <f>SUM(CL$2:CL148)+BF148*Y148</f>
        <v>95520</v>
      </c>
      <c r="CM658" s="2">
        <f>SUM(CM$2:CM148)+BG148*Z148</f>
        <v>29885</v>
      </c>
      <c r="CN658" s="2">
        <f>SUM(CN$2:CN148)+BH148*AA148</f>
        <v>50300</v>
      </c>
      <c r="CO658" s="2">
        <f>SUM(CO$2:CO148)+BI148*AB148</f>
        <v>-12410</v>
      </c>
      <c r="CP658" s="2">
        <f>SUM(CP$2:CP148)+BJ148*AC148</f>
        <v>820</v>
      </c>
      <c r="CQ658" s="2">
        <f>SUM(CQ$2:CQ148)+BK148*AD148</f>
        <v>12380.000000000007</v>
      </c>
      <c r="CR658" s="2">
        <f>SUM(CR$2:CR148)+BL148*AE148</f>
        <v>-8040</v>
      </c>
      <c r="CV658" t="s">
        <v>64</v>
      </c>
      <c r="CW658" t="s">
        <v>731</v>
      </c>
      <c r="CX658" t="s">
        <v>18</v>
      </c>
      <c r="CY658" s="4">
        <v>43231</v>
      </c>
      <c r="CZ658" t="s">
        <v>65</v>
      </c>
      <c r="DA658" t="s">
        <v>66</v>
      </c>
      <c r="DB658">
        <v>72</v>
      </c>
      <c r="DC658">
        <v>58.42</v>
      </c>
      <c r="DD658" t="s">
        <v>69</v>
      </c>
      <c r="DE658" t="s">
        <v>70</v>
      </c>
      <c r="DF658">
        <v>4206.24</v>
      </c>
    </row>
    <row r="659" spans="66:110" x14ac:dyDescent="0.25">
      <c r="BN659" s="1">
        <f t="shared" si="337"/>
        <v>42950</v>
      </c>
      <c r="BO659" s="2">
        <f>SUM(BO$2:BO149)+AI149*B149</f>
        <v>103752.49999999988</v>
      </c>
      <c r="BP659" s="2">
        <f>SUM(BP$2:BP149)+AJ149*C149</f>
        <v>11504.699999999997</v>
      </c>
      <c r="BQ659" s="2">
        <f>SUM(BQ$2:BQ149)+AK149*D149</f>
        <v>86223.299999999959</v>
      </c>
      <c r="BR659" s="2">
        <f>SUM(BR$2:BR149)+AL149*E149</f>
        <v>22383.89999999998</v>
      </c>
      <c r="BS659" s="2">
        <f>SUM(BS$2:BS149)+AM149*F149</f>
        <v>1685.5</v>
      </c>
      <c r="BT659" s="2">
        <f>SUM(BT$2:BT149)+AN149*G149</f>
        <v>-5552.8000000000175</v>
      </c>
      <c r="BU659" s="2">
        <f>SUM(BU$2:BU149)+AO149*H149</f>
        <v>3806.5</v>
      </c>
      <c r="BV659" s="2">
        <f>SUM(BV$2:BV149)+AP149*I149</f>
        <v>0</v>
      </c>
      <c r="BW659" s="2">
        <f>SUM(BW$2:BW149)+AQ149*J149</f>
        <v>-15820</v>
      </c>
      <c r="BX659" s="2">
        <f>SUM(BX$2:BX149)+AR149*K149</f>
        <v>13940</v>
      </c>
      <c r="BY659" s="2">
        <f>SUM(BY$2:BY149)+AS149*L149</f>
        <v>-17910</v>
      </c>
      <c r="BZ659" s="2">
        <f>SUM(BZ$2:BZ149)+AT149*M149</f>
        <v>740</v>
      </c>
      <c r="CA659" s="2">
        <f>SUM(CA$2:CA149)+AU149*N149</f>
        <v>18300</v>
      </c>
      <c r="CB659" s="2">
        <f>SUM(CB$2:CB149)+AV149*O149</f>
        <v>6480</v>
      </c>
      <c r="CC659" s="2">
        <f>SUM(CC$2:CC149)+AW149*P149</f>
        <v>-20</v>
      </c>
      <c r="CD659" s="2">
        <f>SUM(CD$2:CD149)+AX149*Q149</f>
        <v>14050</v>
      </c>
      <c r="CE659" s="2">
        <f>SUM(CE$2:CE149)+AY149*R149</f>
        <v>30400</v>
      </c>
      <c r="CF659" s="2">
        <f>SUM(CF$2:CF149)+AZ149*S149</f>
        <v>4422.6299999999756</v>
      </c>
      <c r="CG659" s="2">
        <f>SUM(CG$2:CG149)+BA149*T149</f>
        <v>10088.319999999978</v>
      </c>
      <c r="CH659" s="2">
        <f>SUM(CH$2:CH149)+BB149*U149</f>
        <v>8408.7299999999959</v>
      </c>
      <c r="CI659" s="2">
        <f>SUM(CI$2:CI149)+BC149*V149</f>
        <v>-3060</v>
      </c>
      <c r="CJ659" s="2">
        <f>SUM(CJ$2:CJ149)+BD149*W149</f>
        <v>-6160</v>
      </c>
      <c r="CK659" s="2">
        <f>SUM(CK$2:CK149)+BE149*X149</f>
        <v>50880</v>
      </c>
      <c r="CL659" s="2">
        <f>SUM(CL$2:CL149)+BF149*Y149</f>
        <v>100740</v>
      </c>
      <c r="CM659" s="2">
        <f>SUM(CM$2:CM149)+BG149*Z149</f>
        <v>33485</v>
      </c>
      <c r="CN659" s="2">
        <f>SUM(CN$2:CN149)+BH149*AA149</f>
        <v>46850</v>
      </c>
      <c r="CO659" s="2">
        <f>SUM(CO$2:CO149)+BI149*AB149</f>
        <v>-11300</v>
      </c>
      <c r="CP659" s="2">
        <f>SUM(CP$2:CP149)+BJ149*AC149</f>
        <v>820</v>
      </c>
      <c r="CQ659" s="2">
        <f>SUM(CQ$2:CQ149)+BK149*AD149</f>
        <v>12710.000000000007</v>
      </c>
      <c r="CR659" s="2">
        <f>SUM(CR$2:CR149)+BL149*AE149</f>
        <v>-8140</v>
      </c>
      <c r="CV659" t="s">
        <v>64</v>
      </c>
      <c r="CW659" t="s">
        <v>732</v>
      </c>
      <c r="CX659" t="s">
        <v>18</v>
      </c>
      <c r="CY659" s="4">
        <v>43234</v>
      </c>
      <c r="CZ659" t="s">
        <v>67</v>
      </c>
      <c r="DA659" t="s">
        <v>68</v>
      </c>
      <c r="DB659">
        <v>38</v>
      </c>
      <c r="DC659">
        <v>58.41</v>
      </c>
      <c r="DD659" t="s">
        <v>69</v>
      </c>
      <c r="DE659" t="s">
        <v>70</v>
      </c>
      <c r="DF659">
        <v>2219.58</v>
      </c>
    </row>
    <row r="660" spans="66:110" x14ac:dyDescent="0.25">
      <c r="BN660" s="1">
        <f t="shared" si="337"/>
        <v>42951</v>
      </c>
      <c r="BO660" s="2">
        <f>SUM(BO$2:BO150)+AI150*B150</f>
        <v>107752.49999999988</v>
      </c>
      <c r="BP660" s="2">
        <f>SUM(BP$2:BP150)+AJ150*C150</f>
        <v>11966.699999999997</v>
      </c>
      <c r="BQ660" s="2">
        <f>SUM(BQ$2:BQ150)+AK150*D150</f>
        <v>85651.299999999988</v>
      </c>
      <c r="BR660" s="2">
        <f>SUM(BR$2:BR150)+AL150*E150</f>
        <v>23219.89999999998</v>
      </c>
      <c r="BS660" s="2">
        <f>SUM(BS$2:BS150)+AM150*F150</f>
        <v>1938.5</v>
      </c>
      <c r="BT660" s="2">
        <f>SUM(BT$2:BT150)+AN150*G150</f>
        <v>-4848.8000000000029</v>
      </c>
      <c r="BU660" s="2">
        <f>SUM(BU$2:BU150)+AO150*H150</f>
        <v>2266.5</v>
      </c>
      <c r="BV660" s="2">
        <f>SUM(BV$2:BV150)+AP150*I150</f>
        <v>0</v>
      </c>
      <c r="BW660" s="2">
        <f>SUM(BW$2:BW150)+AQ150*J150</f>
        <v>-10130</v>
      </c>
      <c r="BX660" s="2">
        <f>SUM(BX$2:BX150)+AR150*K150</f>
        <v>13940</v>
      </c>
      <c r="BY660" s="2">
        <f>SUM(BY$2:BY150)+AS150*L150</f>
        <v>-17710</v>
      </c>
      <c r="BZ660" s="2">
        <f>SUM(BZ$2:BZ150)+AT150*M150</f>
        <v>740</v>
      </c>
      <c r="CA660" s="2">
        <f>SUM(CA$2:CA150)+AU150*N150</f>
        <v>18140</v>
      </c>
      <c r="CB660" s="2">
        <f>SUM(CB$2:CB150)+AV150*O150</f>
        <v>7600</v>
      </c>
      <c r="CC660" s="2">
        <f>SUM(CC$2:CC150)+AW150*P150</f>
        <v>-20</v>
      </c>
      <c r="CD660" s="2">
        <f>SUM(CD$2:CD150)+AX150*Q150</f>
        <v>14050</v>
      </c>
      <c r="CE660" s="2">
        <f>SUM(CE$2:CE150)+AY150*R150</f>
        <v>30430</v>
      </c>
      <c r="CF660" s="2">
        <f>SUM(CF$2:CF150)+AZ150*S150</f>
        <v>4032.2299999999814</v>
      </c>
      <c r="CG660" s="2">
        <f>SUM(CG$2:CG150)+BA150*T150</f>
        <v>10581.799999999974</v>
      </c>
      <c r="CH660" s="2">
        <f>SUM(CH$2:CH150)+BB150*U150</f>
        <v>8031.3299999999945</v>
      </c>
      <c r="CI660" s="2">
        <f>SUM(CI$2:CI150)+BC150*V150</f>
        <v>-3260</v>
      </c>
      <c r="CJ660" s="2">
        <f>SUM(CJ$2:CJ150)+BD150*W150</f>
        <v>-5259.9999999999418</v>
      </c>
      <c r="CK660" s="2">
        <f>SUM(CK$2:CK150)+BE150*X150</f>
        <v>51530</v>
      </c>
      <c r="CL660" s="2">
        <f>SUM(CL$2:CL150)+BF150*Y150</f>
        <v>101070</v>
      </c>
      <c r="CM660" s="2">
        <f>SUM(CM$2:CM150)+BG150*Z150</f>
        <v>35385</v>
      </c>
      <c r="CN660" s="2">
        <f>SUM(CN$2:CN150)+BH150*AA150</f>
        <v>46100.000000000029</v>
      </c>
      <c r="CO660" s="2">
        <f>SUM(CO$2:CO150)+BI150*AB150</f>
        <v>-10460</v>
      </c>
      <c r="CP660" s="2">
        <f>SUM(CP$2:CP150)+BJ150*AC150</f>
        <v>820</v>
      </c>
      <c r="CQ660" s="2">
        <f>SUM(CQ$2:CQ150)+BK150*AD150</f>
        <v>12330.000000000007</v>
      </c>
      <c r="CR660" s="2">
        <f>SUM(CR$2:CR150)+BL150*AE150</f>
        <v>-8400</v>
      </c>
      <c r="CV660" t="s">
        <v>64</v>
      </c>
      <c r="CW660" t="s">
        <v>733</v>
      </c>
      <c r="CX660" t="s">
        <v>18</v>
      </c>
      <c r="CY660" s="4">
        <v>43235</v>
      </c>
      <c r="CZ660" t="s">
        <v>65</v>
      </c>
      <c r="DA660" t="s">
        <v>66</v>
      </c>
      <c r="DB660">
        <v>21</v>
      </c>
      <c r="DC660">
        <v>57.94</v>
      </c>
      <c r="DD660" t="s">
        <v>69</v>
      </c>
      <c r="DE660" t="s">
        <v>70</v>
      </c>
      <c r="DF660">
        <v>1216.74</v>
      </c>
    </row>
    <row r="661" spans="66:110" x14ac:dyDescent="0.25">
      <c r="BN661" s="1">
        <f t="shared" si="337"/>
        <v>42954</v>
      </c>
      <c r="BO661" s="2">
        <f>SUM(BO$2:BO151)+AI151*B151</f>
        <v>119552.49999999988</v>
      </c>
      <c r="BP661" s="2">
        <f>SUM(BP$2:BP151)+AJ151*C151</f>
        <v>11834.699999999997</v>
      </c>
      <c r="BQ661" s="2">
        <f>SUM(BQ$2:BQ151)+AK151*D151</f>
        <v>88324.299999999959</v>
      </c>
      <c r="BR661" s="2">
        <f>SUM(BR$2:BR151)+AL151*E151</f>
        <v>23604.899999999965</v>
      </c>
      <c r="BS661" s="2">
        <f>SUM(BS$2:BS151)+AM151*F151</f>
        <v>1982.5</v>
      </c>
      <c r="BT661" s="2">
        <f>SUM(BT$2:BT151)+AN151*G151</f>
        <v>-5189.8000000000029</v>
      </c>
      <c r="BU661" s="2">
        <f>SUM(BU$2:BU151)+AO151*H151</f>
        <v>825.5</v>
      </c>
      <c r="BV661" s="2">
        <f>SUM(BV$2:BV151)+AP151*I151</f>
        <v>0</v>
      </c>
      <c r="BW661" s="2">
        <f>SUM(BW$2:BW151)+AQ151*J151</f>
        <v>-7060</v>
      </c>
      <c r="BX661" s="2">
        <f>SUM(BX$2:BX151)+AR151*K151</f>
        <v>13940</v>
      </c>
      <c r="BY661" s="2">
        <f>SUM(BY$2:BY151)+AS151*L151</f>
        <v>-19280</v>
      </c>
      <c r="BZ661" s="2">
        <f>SUM(BZ$2:BZ151)+AT151*M151</f>
        <v>740</v>
      </c>
      <c r="CA661" s="2">
        <f>SUM(CA$2:CA151)+AU151*N151</f>
        <v>17830</v>
      </c>
      <c r="CB661" s="2">
        <f>SUM(CB$2:CB151)+AV151*O151</f>
        <v>7940</v>
      </c>
      <c r="CC661" s="2">
        <f>SUM(CC$2:CC151)+AW151*P151</f>
        <v>-20</v>
      </c>
      <c r="CD661" s="2">
        <f>SUM(CD$2:CD151)+AX151*Q151</f>
        <v>14050</v>
      </c>
      <c r="CE661" s="2">
        <f>SUM(CE$2:CE151)+AY151*R151</f>
        <v>30230</v>
      </c>
      <c r="CF661" s="2">
        <f>SUM(CF$2:CF151)+AZ151*S151</f>
        <v>3781.2299999999886</v>
      </c>
      <c r="CG661" s="2">
        <f>SUM(CG$2:CG151)+BA151*T151</f>
        <v>10312.069999999978</v>
      </c>
      <c r="CH661" s="2">
        <f>SUM(CH$2:CH151)+BB151*U151</f>
        <v>8050.8099999999904</v>
      </c>
      <c r="CI661" s="2">
        <f>SUM(CI$2:CI151)+BC151*V151</f>
        <v>-2940</v>
      </c>
      <c r="CJ661" s="2">
        <f>SUM(CJ$2:CJ151)+BD151*W151</f>
        <v>-8909.9999999999418</v>
      </c>
      <c r="CK661" s="2">
        <f>SUM(CK$2:CK151)+BE151*X151</f>
        <v>47230</v>
      </c>
      <c r="CL661" s="2">
        <f>SUM(CL$2:CL151)+BF151*Y151</f>
        <v>100770</v>
      </c>
      <c r="CM661" s="2">
        <f>SUM(CM$2:CM151)+BG151*Z151</f>
        <v>21085</v>
      </c>
      <c r="CN661" s="2">
        <f>SUM(CN$2:CN151)+BH151*AA151</f>
        <v>44625</v>
      </c>
      <c r="CO661" s="2">
        <f>SUM(CO$2:CO151)+BI151*AB151</f>
        <v>-10580</v>
      </c>
      <c r="CP661" s="2">
        <f>SUM(CP$2:CP151)+BJ151*AC151</f>
        <v>820</v>
      </c>
      <c r="CQ661" s="2">
        <f>SUM(CQ$2:CQ151)+BK151*AD151</f>
        <v>13110.000000000007</v>
      </c>
      <c r="CR661" s="2">
        <f>SUM(CR$2:CR151)+BL151*AE151</f>
        <v>-8450</v>
      </c>
      <c r="CV661" t="s">
        <v>64</v>
      </c>
      <c r="CW661" t="s">
        <v>734</v>
      </c>
      <c r="CX661" t="s">
        <v>18</v>
      </c>
      <c r="CY661" s="4">
        <v>43236</v>
      </c>
      <c r="CZ661" t="s">
        <v>67</v>
      </c>
      <c r="DA661" t="s">
        <v>68</v>
      </c>
      <c r="DB661">
        <v>3</v>
      </c>
      <c r="DC661">
        <v>58.48</v>
      </c>
      <c r="DD661" t="s">
        <v>69</v>
      </c>
      <c r="DE661" t="s">
        <v>70</v>
      </c>
      <c r="DF661">
        <v>175.44</v>
      </c>
    </row>
    <row r="662" spans="66:110" x14ac:dyDescent="0.25">
      <c r="BN662" s="1">
        <f t="shared" si="337"/>
        <v>42955</v>
      </c>
      <c r="BO662" s="2">
        <f>SUM(BO$2:BO152)+AI152*B152</f>
        <v>125702.5</v>
      </c>
      <c r="BP662" s="2">
        <f>SUM(BP$2:BP152)+AJ152*C152</f>
        <v>11933.699999999997</v>
      </c>
      <c r="BQ662" s="2">
        <f>SUM(BQ$2:BQ152)+AK152*D152</f>
        <v>87554.299999999959</v>
      </c>
      <c r="BR662" s="2">
        <f>SUM(BR$2:BR152)+AL152*E152</f>
        <v>23285.89999999998</v>
      </c>
      <c r="BS662" s="2">
        <f>SUM(BS$2:BS152)+AM152*F152</f>
        <v>1806.5</v>
      </c>
      <c r="BT662" s="2">
        <f>SUM(BT$2:BT152)+AN152*G152</f>
        <v>-4606.7999999999884</v>
      </c>
      <c r="BU662" s="2">
        <f>SUM(BU$2:BU152)+AO152*H152</f>
        <v>1507.5</v>
      </c>
      <c r="BV662" s="2">
        <f>SUM(BV$2:BV152)+AP152*I152</f>
        <v>0</v>
      </c>
      <c r="BW662" s="2">
        <f>SUM(BW$2:BW152)+AQ152*J152</f>
        <v>-7920</v>
      </c>
      <c r="BX662" s="2">
        <f>SUM(BX$2:BX152)+AR152*K152</f>
        <v>13940</v>
      </c>
      <c r="BY662" s="2">
        <f>SUM(BY$2:BY152)+AS152*L152</f>
        <v>-19150</v>
      </c>
      <c r="BZ662" s="2">
        <f>SUM(BZ$2:BZ152)+AT152*M152</f>
        <v>740</v>
      </c>
      <c r="CA662" s="2">
        <f>SUM(CA$2:CA152)+AU152*N152</f>
        <v>17260</v>
      </c>
      <c r="CB662" s="2">
        <f>SUM(CB$2:CB152)+AV152*O152</f>
        <v>7620</v>
      </c>
      <c r="CC662" s="2">
        <f>SUM(CC$2:CC152)+AW152*P152</f>
        <v>-20</v>
      </c>
      <c r="CD662" s="2">
        <f>SUM(CD$2:CD152)+AX152*Q152</f>
        <v>14050</v>
      </c>
      <c r="CE662" s="2">
        <f>SUM(CE$2:CE152)+AY152*R152</f>
        <v>29270</v>
      </c>
      <c r="CF662" s="2">
        <f>SUM(CF$2:CF152)+AZ152*S152</f>
        <v>3284.3699999999808</v>
      </c>
      <c r="CG662" s="2">
        <f>SUM(CG$2:CG152)+BA152*T152</f>
        <v>10726.649999999972</v>
      </c>
      <c r="CH662" s="2">
        <f>SUM(CH$2:CH152)+BB152*U152</f>
        <v>7718.6499999999869</v>
      </c>
      <c r="CI662" s="2">
        <f>SUM(CI$2:CI152)+BC152*V152</f>
        <v>-2920</v>
      </c>
      <c r="CJ662" s="2">
        <f>SUM(CJ$2:CJ152)+BD152*W152</f>
        <v>-9609.9999999999418</v>
      </c>
      <c r="CK662" s="2">
        <f>SUM(CK$2:CK152)+BE152*X152</f>
        <v>46030</v>
      </c>
      <c r="CL662" s="2">
        <f>SUM(CL$2:CL152)+BF152*Y152</f>
        <v>101100</v>
      </c>
      <c r="CM662" s="2">
        <f>SUM(CM$2:CM152)+BG152*Z152</f>
        <v>19535</v>
      </c>
      <c r="CN662" s="2">
        <f>SUM(CN$2:CN152)+BH152*AA152</f>
        <v>45125</v>
      </c>
      <c r="CO662" s="2">
        <f>SUM(CO$2:CO152)+BI152*AB152</f>
        <v>-11330</v>
      </c>
      <c r="CP662" s="2">
        <f>SUM(CP$2:CP152)+BJ152*AC152</f>
        <v>820</v>
      </c>
      <c r="CQ662" s="2">
        <f>SUM(CQ$2:CQ152)+BK152*AD152</f>
        <v>13400.000000000007</v>
      </c>
      <c r="CR662" s="2">
        <f>SUM(CR$2:CR152)+BL152*AE152</f>
        <v>-8630</v>
      </c>
      <c r="CV662" t="s">
        <v>64</v>
      </c>
      <c r="CW662" t="s">
        <v>735</v>
      </c>
      <c r="CX662" t="s">
        <v>18</v>
      </c>
      <c r="CY662" s="4">
        <v>43237</v>
      </c>
      <c r="CZ662" t="s">
        <v>67</v>
      </c>
      <c r="DA662" t="s">
        <v>68</v>
      </c>
      <c r="DB662">
        <v>17</v>
      </c>
      <c r="DC662">
        <v>57.81</v>
      </c>
      <c r="DD662" t="s">
        <v>69</v>
      </c>
      <c r="DE662" t="s">
        <v>70</v>
      </c>
      <c r="DF662">
        <v>982.77</v>
      </c>
    </row>
    <row r="663" spans="66:110" x14ac:dyDescent="0.25">
      <c r="BN663" s="1">
        <f t="shared" si="337"/>
        <v>42956</v>
      </c>
      <c r="BO663" s="2">
        <f>SUM(BO$2:BO153)+AI153*B153</f>
        <v>130502.49999999988</v>
      </c>
      <c r="BP663" s="2">
        <f>SUM(BP$2:BP153)+AJ153*C153</f>
        <v>11658.699999999997</v>
      </c>
      <c r="BQ663" s="2">
        <f>SUM(BQ$2:BQ153)+AK153*D153</f>
        <v>83528.299999999959</v>
      </c>
      <c r="BR663" s="2">
        <f>SUM(BR$2:BR153)+AL153*E153</f>
        <v>23208.89999999998</v>
      </c>
      <c r="BS663" s="2">
        <f>SUM(BS$2:BS153)+AM153*F153</f>
        <v>1751.5</v>
      </c>
      <c r="BT663" s="2">
        <f>SUM(BT$2:BT153)+AN153*G153</f>
        <v>-4045.8000000000029</v>
      </c>
      <c r="BU663" s="2">
        <f>SUM(BU$2:BU153)+AO153*H153</f>
        <v>-2947.5</v>
      </c>
      <c r="BV663" s="2">
        <f>SUM(BV$2:BV153)+AP153*I153</f>
        <v>0</v>
      </c>
      <c r="BW663" s="2">
        <f>SUM(BW$2:BW153)+AQ153*J153</f>
        <v>-8940</v>
      </c>
      <c r="BX663" s="2">
        <f>SUM(BX$2:BX153)+AR153*K153</f>
        <v>13940</v>
      </c>
      <c r="BY663" s="2">
        <f>SUM(BY$2:BY153)+AS153*L153</f>
        <v>-19460</v>
      </c>
      <c r="BZ663" s="2">
        <f>SUM(BZ$2:BZ153)+AT153*M153</f>
        <v>740</v>
      </c>
      <c r="CA663" s="2">
        <f>SUM(CA$2:CA153)+AU153*N153</f>
        <v>18190.000000000015</v>
      </c>
      <c r="CB663" s="2">
        <f>SUM(CB$2:CB153)+AV153*O153</f>
        <v>7470</v>
      </c>
      <c r="CC663" s="2">
        <f>SUM(CC$2:CC153)+AW153*P153</f>
        <v>-20</v>
      </c>
      <c r="CD663" s="2">
        <f>SUM(CD$2:CD153)+AX153*Q153</f>
        <v>14050</v>
      </c>
      <c r="CE663" s="2">
        <f>SUM(CE$2:CE153)+AY153*R153</f>
        <v>29310</v>
      </c>
      <c r="CF663" s="2">
        <f>SUM(CF$2:CF153)+AZ153*S153</f>
        <v>3442.609999999986</v>
      </c>
      <c r="CG663" s="2">
        <f>SUM(CG$2:CG153)+BA153*T153</f>
        <v>10404.869999999981</v>
      </c>
      <c r="CH663" s="2">
        <f>SUM(CH$2:CH153)+BB153*U153</f>
        <v>8145.6399999999849</v>
      </c>
      <c r="CI663" s="2">
        <f>SUM(CI$2:CI153)+BC153*V153</f>
        <v>-3080</v>
      </c>
      <c r="CJ663" s="2">
        <f>SUM(CJ$2:CJ153)+BD153*W153</f>
        <v>-11209.999999999942</v>
      </c>
      <c r="CK663" s="2">
        <f>SUM(CK$2:CK153)+BE153*X153</f>
        <v>53730</v>
      </c>
      <c r="CL663" s="2">
        <f>SUM(CL$2:CL153)+BF153*Y153</f>
        <v>100920</v>
      </c>
      <c r="CM663" s="2">
        <f>SUM(CM$2:CM153)+BG153*Z153</f>
        <v>14785</v>
      </c>
      <c r="CN663" s="2">
        <f>SUM(CN$2:CN153)+BH153*AA153</f>
        <v>45899.999999999971</v>
      </c>
      <c r="CO663" s="2">
        <f>SUM(CO$2:CO153)+BI153*AB153</f>
        <v>-12380</v>
      </c>
      <c r="CP663" s="2">
        <f>SUM(CP$2:CP153)+BJ153*AC153</f>
        <v>820</v>
      </c>
      <c r="CQ663" s="2">
        <f>SUM(CQ$2:CQ153)+BK153*AD153</f>
        <v>13920.000000000007</v>
      </c>
      <c r="CR663" s="2">
        <f>SUM(CR$2:CR153)+BL153*AE153</f>
        <v>-8400</v>
      </c>
      <c r="CV663" t="s">
        <v>64</v>
      </c>
      <c r="CW663" t="s">
        <v>736</v>
      </c>
      <c r="CX663" t="s">
        <v>18</v>
      </c>
      <c r="CY663" s="4">
        <v>43238</v>
      </c>
      <c r="CZ663" t="s">
        <v>65</v>
      </c>
      <c r="DA663" t="s">
        <v>66</v>
      </c>
      <c r="DB663">
        <v>40</v>
      </c>
      <c r="DC663">
        <v>57.88</v>
      </c>
      <c r="DD663" t="s">
        <v>69</v>
      </c>
      <c r="DE663" t="s">
        <v>70</v>
      </c>
      <c r="DF663">
        <v>2315.2000000000003</v>
      </c>
    </row>
    <row r="664" spans="66:110" x14ac:dyDescent="0.25">
      <c r="BN664" s="1">
        <f t="shared" si="337"/>
        <v>42957</v>
      </c>
      <c r="BO664" s="2">
        <f>SUM(BO$2:BO154)+AI154*B154</f>
        <v>105502.49999999988</v>
      </c>
      <c r="BP664" s="2">
        <f>SUM(BP$2:BP154)+AJ154*C154</f>
        <v>10448.699999999997</v>
      </c>
      <c r="BQ664" s="2">
        <f>SUM(BQ$2:BQ154)+AK154*D154</f>
        <v>81999.299999999959</v>
      </c>
      <c r="BR664" s="2">
        <f>SUM(BR$2:BR154)+AL154*E154</f>
        <v>21954.899999999965</v>
      </c>
      <c r="BS664" s="2">
        <f>SUM(BS$2:BS154)+AM154*F154</f>
        <v>1102.5</v>
      </c>
      <c r="BT664" s="2">
        <f>SUM(BT$2:BT154)+AN154*G154</f>
        <v>-4848.8000000000029</v>
      </c>
      <c r="BU664" s="2">
        <f>SUM(BU$2:BU154)+AO154*H154</f>
        <v>-4542.5</v>
      </c>
      <c r="BV664" s="2">
        <f>SUM(BV$2:BV154)+AP154*I154</f>
        <v>0</v>
      </c>
      <c r="BW664" s="2">
        <f>SUM(BW$2:BW154)+AQ154*J154</f>
        <v>-14340</v>
      </c>
      <c r="BX664" s="2">
        <f>SUM(BX$2:BX154)+AR154*K154</f>
        <v>13940</v>
      </c>
      <c r="BY664" s="2">
        <f>SUM(BY$2:BY154)+AS154*L154</f>
        <v>-19400</v>
      </c>
      <c r="BZ664" s="2">
        <f>SUM(BZ$2:BZ154)+AT154*M154</f>
        <v>740</v>
      </c>
      <c r="CA664" s="2">
        <f>SUM(CA$2:CA154)+AU154*N154</f>
        <v>18050</v>
      </c>
      <c r="CB664" s="2">
        <f>SUM(CB$2:CB154)+AV154*O154</f>
        <v>6180</v>
      </c>
      <c r="CC664" s="2">
        <f>SUM(CC$2:CC154)+AW154*P154</f>
        <v>-20</v>
      </c>
      <c r="CD664" s="2">
        <f>SUM(CD$2:CD154)+AX154*Q154</f>
        <v>14050</v>
      </c>
      <c r="CE664" s="2">
        <f>SUM(CE$2:CE154)+AY154*R154</f>
        <v>29070</v>
      </c>
      <c r="CF664" s="2">
        <f>SUM(CF$2:CF154)+AZ154*S154</f>
        <v>3150.109999999986</v>
      </c>
      <c r="CG664" s="2">
        <f>SUM(CG$2:CG154)+BA154*T154</f>
        <v>9399.1899999999732</v>
      </c>
      <c r="CH664" s="2">
        <f>SUM(CH$2:CH154)+BB154*U154</f>
        <v>7353.4599999999846</v>
      </c>
      <c r="CI664" s="2">
        <f>SUM(CI$2:CI154)+BC154*V154</f>
        <v>-3050</v>
      </c>
      <c r="CJ664" s="2">
        <f>SUM(CJ$2:CJ154)+BD154*W154</f>
        <v>-10359.999999999942</v>
      </c>
      <c r="CK664" s="2">
        <f>SUM(CK$2:CK154)+BE154*X154</f>
        <v>51530</v>
      </c>
      <c r="CL664" s="2">
        <f>SUM(CL$2:CL154)+BF154*Y154</f>
        <v>94260</v>
      </c>
      <c r="CM664" s="2">
        <f>SUM(CM$2:CM154)+BG154*Z154</f>
        <v>12635</v>
      </c>
      <c r="CN664" s="2">
        <f>SUM(CN$2:CN154)+BH154*AA154</f>
        <v>49550</v>
      </c>
      <c r="CO664" s="2">
        <f>SUM(CO$2:CO154)+BI154*AB154</f>
        <v>-12950</v>
      </c>
      <c r="CP664" s="2">
        <f>SUM(CP$2:CP154)+BJ154*AC154</f>
        <v>820</v>
      </c>
      <c r="CQ664" s="2">
        <f>SUM(CQ$2:CQ154)+BK154*AD154</f>
        <v>13000.000000000007</v>
      </c>
      <c r="CR664" s="2">
        <f>SUM(CR$2:CR154)+BL154*AE154</f>
        <v>-8840</v>
      </c>
      <c r="CV664" t="s">
        <v>64</v>
      </c>
      <c r="CW664" t="s">
        <v>737</v>
      </c>
      <c r="CX664" t="s">
        <v>18</v>
      </c>
      <c r="CY664" s="4">
        <v>43241</v>
      </c>
      <c r="CZ664" t="s">
        <v>67</v>
      </c>
      <c r="DA664" t="s">
        <v>68</v>
      </c>
      <c r="DB664">
        <v>62</v>
      </c>
      <c r="DC664">
        <v>57.33</v>
      </c>
      <c r="DD664" t="s">
        <v>69</v>
      </c>
      <c r="DE664" t="s">
        <v>70</v>
      </c>
      <c r="DF664">
        <v>3554.46</v>
      </c>
    </row>
    <row r="665" spans="66:110" x14ac:dyDescent="0.25">
      <c r="BN665" s="1">
        <f t="shared" si="337"/>
        <v>42958</v>
      </c>
      <c r="BO665" s="2">
        <f>SUM(BO$2:BO155)+AI155*B155</f>
        <v>116052.49999999988</v>
      </c>
      <c r="BP665" s="2">
        <f>SUM(BP$2:BP155)+AJ155*C155</f>
        <v>10151.699999999997</v>
      </c>
      <c r="BQ665" s="2">
        <f>SUM(BQ$2:BQ155)+AK155*D155</f>
        <v>84133.299999999959</v>
      </c>
      <c r="BR665" s="2">
        <f>SUM(BR$2:BR155)+AL155*E155</f>
        <v>21635.89999999998</v>
      </c>
      <c r="BS665" s="2">
        <f>SUM(BS$2:BS155)+AM155*F155</f>
        <v>1597.5</v>
      </c>
      <c r="BT665" s="2">
        <f>SUM(BT$2:BT155)+AN155*G155</f>
        <v>-5761.8000000000029</v>
      </c>
      <c r="BU665" s="2">
        <f>SUM(BU$2:BU155)+AO155*H155</f>
        <v>-3849.5</v>
      </c>
      <c r="BV665" s="2">
        <f>SUM(BV$2:BV155)+AP155*I155</f>
        <v>0</v>
      </c>
      <c r="BW665" s="2">
        <f>SUM(BW$2:BW155)+AQ155*J155</f>
        <v>-15660</v>
      </c>
      <c r="BX665" s="2">
        <f>SUM(BX$2:BX155)+AR155*K155</f>
        <v>13940</v>
      </c>
      <c r="BY665" s="2">
        <f>SUM(BY$2:BY155)+AS155*L155</f>
        <v>-19400</v>
      </c>
      <c r="BZ665" s="2">
        <f>SUM(BZ$2:BZ155)+AT155*M155</f>
        <v>740</v>
      </c>
      <c r="CA665" s="2">
        <f>SUM(CA$2:CA155)+AU155*N155</f>
        <v>18060</v>
      </c>
      <c r="CB665" s="2">
        <f>SUM(CB$2:CB155)+AV155*O155</f>
        <v>5440</v>
      </c>
      <c r="CC665" s="2">
        <f>SUM(CC$2:CC155)+AW155*P155</f>
        <v>-20</v>
      </c>
      <c r="CD665" s="2">
        <f>SUM(CD$2:CD155)+AX155*Q155</f>
        <v>14050</v>
      </c>
      <c r="CE665" s="2">
        <f>SUM(CE$2:CE155)+AY155*R155</f>
        <v>28840</v>
      </c>
      <c r="CF665" s="2">
        <f>SUM(CF$2:CF155)+AZ155*S155</f>
        <v>3337.0699999999852</v>
      </c>
      <c r="CG665" s="2">
        <f>SUM(CG$2:CG155)+BA155*T155</f>
        <v>10557.769999999975</v>
      </c>
      <c r="CH665" s="2">
        <f>SUM(CH$2:CH155)+BB155*U155</f>
        <v>7249.359999999986</v>
      </c>
      <c r="CI665" s="2">
        <f>SUM(CI$2:CI155)+BC155*V155</f>
        <v>-2890</v>
      </c>
      <c r="CJ665" s="2">
        <f>SUM(CJ$2:CJ155)+BD155*W155</f>
        <v>-8459.9999999999418</v>
      </c>
      <c r="CK665" s="2">
        <f>SUM(CK$2:CK155)+BE155*X155</f>
        <v>44230</v>
      </c>
      <c r="CL665" s="2">
        <f>SUM(CL$2:CL155)+BF155*Y155</f>
        <v>95580</v>
      </c>
      <c r="CM665" s="2">
        <f>SUM(CM$2:CM155)+BG155*Z155</f>
        <v>13285</v>
      </c>
      <c r="CN665" s="2">
        <f>SUM(CN$2:CN155)+BH155*AA155</f>
        <v>48812.5</v>
      </c>
      <c r="CO665" s="2">
        <f>SUM(CO$2:CO155)+BI155*AB155</f>
        <v>-12830</v>
      </c>
      <c r="CP665" s="2">
        <f>SUM(CP$2:CP155)+BJ155*AC155</f>
        <v>-590</v>
      </c>
      <c r="CQ665" s="2">
        <f>SUM(CQ$2:CQ155)+BK155*AD155</f>
        <v>12740.000000000007</v>
      </c>
      <c r="CR665" s="2">
        <f>SUM(CR$2:CR155)+BL155*AE155</f>
        <v>-9560</v>
      </c>
      <c r="CV665" t="s">
        <v>64</v>
      </c>
      <c r="CW665" t="s">
        <v>738</v>
      </c>
      <c r="CX665" t="s">
        <v>18</v>
      </c>
      <c r="CY665" s="4">
        <v>43242</v>
      </c>
      <c r="CZ665" t="s">
        <v>65</v>
      </c>
      <c r="DA665" t="s">
        <v>66</v>
      </c>
      <c r="DB665">
        <v>58</v>
      </c>
      <c r="DC665">
        <v>57.21</v>
      </c>
      <c r="DD665" t="s">
        <v>69</v>
      </c>
      <c r="DE665" t="s">
        <v>70</v>
      </c>
      <c r="DF665">
        <v>3318.18</v>
      </c>
    </row>
    <row r="666" spans="66:110" x14ac:dyDescent="0.25">
      <c r="BN666" s="1">
        <f t="shared" si="337"/>
        <v>42961</v>
      </c>
      <c r="BO666" s="2">
        <f>SUM(BO$2:BO156)+AI156*B156</f>
        <v>127652.49999999988</v>
      </c>
      <c r="BP666" s="2">
        <f>SUM(BP$2:BP156)+AJ156*C156</f>
        <v>11427.699999999983</v>
      </c>
      <c r="BQ666" s="2">
        <f>SUM(BQ$2:BQ156)+AK156*D156</f>
        <v>86564.299999999959</v>
      </c>
      <c r="BR666" s="2">
        <f>SUM(BR$2:BR156)+AL156*E156</f>
        <v>22548.89999999998</v>
      </c>
      <c r="BS666" s="2">
        <f>SUM(BS$2:BS156)+AM156*F156</f>
        <v>1982.5</v>
      </c>
      <c r="BT666" s="2">
        <f>SUM(BT$2:BT156)+AN156*G156</f>
        <v>-6289.8000000000029</v>
      </c>
      <c r="BU666" s="2">
        <f>SUM(BU$2:BU156)+AO156*H156</f>
        <v>-4487.5</v>
      </c>
      <c r="BV666" s="2">
        <f>SUM(BV$2:BV156)+AP156*I156</f>
        <v>0</v>
      </c>
      <c r="BW666" s="2">
        <f>SUM(BW$2:BW156)+AQ156*J156</f>
        <v>-12510</v>
      </c>
      <c r="BX666" s="2">
        <f>SUM(BX$2:BX156)+AR156*K156</f>
        <v>13940</v>
      </c>
      <c r="BY666" s="2">
        <f>SUM(BY$2:BY156)+AS156*L156</f>
        <v>-18950</v>
      </c>
      <c r="BZ666" s="2">
        <f>SUM(BZ$2:BZ156)+AT156*M156</f>
        <v>740</v>
      </c>
      <c r="CA666" s="2">
        <f>SUM(CA$2:CA156)+AU156*N156</f>
        <v>18430</v>
      </c>
      <c r="CB666" s="2">
        <f>SUM(CB$2:CB156)+AV156*O156</f>
        <v>6470</v>
      </c>
      <c r="CC666" s="2">
        <f>SUM(CC$2:CC156)+AW156*P156</f>
        <v>-20</v>
      </c>
      <c r="CD666" s="2">
        <f>SUM(CD$2:CD156)+AX156*Q156</f>
        <v>14050</v>
      </c>
      <c r="CE666" s="2">
        <f>SUM(CE$2:CE156)+AY156*R156</f>
        <v>30170</v>
      </c>
      <c r="CF666" s="2">
        <f>SUM(CF$2:CF156)+AZ156*S156</f>
        <v>3619.0299999999916</v>
      </c>
      <c r="CG666" s="2">
        <f>SUM(CG$2:CG156)+BA156*T156</f>
        <v>11649.569999999992</v>
      </c>
      <c r="CH666" s="2">
        <f>SUM(CH$2:CH156)+BB156*U156</f>
        <v>7983.2699999999895</v>
      </c>
      <c r="CI666" s="2">
        <f>SUM(CI$2:CI156)+BC156*V156</f>
        <v>-2940</v>
      </c>
      <c r="CJ666" s="2">
        <f>SUM(CJ$2:CJ156)+BD156*W156</f>
        <v>-9910</v>
      </c>
      <c r="CK666" s="2">
        <f>SUM(CK$2:CK156)+BE156*X156</f>
        <v>47180</v>
      </c>
      <c r="CL666" s="2">
        <f>SUM(CL$2:CL156)+BF156*Y156</f>
        <v>97620</v>
      </c>
      <c r="CM666" s="2">
        <f>SUM(CM$2:CM156)+BG156*Z156</f>
        <v>14535</v>
      </c>
      <c r="CN666" s="2">
        <f>SUM(CN$2:CN156)+BH156*AA156</f>
        <v>48812.5</v>
      </c>
      <c r="CO666" s="2">
        <f>SUM(CO$2:CO156)+BI156*AB156</f>
        <v>-10820</v>
      </c>
      <c r="CP666" s="2">
        <f>SUM(CP$2:CP156)+BJ156*AC156</f>
        <v>-1745.0000000000146</v>
      </c>
      <c r="CQ666" s="2">
        <f>SUM(CQ$2:CQ156)+BK156*AD156</f>
        <v>13040.000000000007</v>
      </c>
      <c r="CR666" s="2">
        <f>SUM(CR$2:CR156)+BL156*AE156</f>
        <v>-9540</v>
      </c>
      <c r="CV666" t="s">
        <v>64</v>
      </c>
      <c r="CW666" t="s">
        <v>739</v>
      </c>
      <c r="CX666" t="s">
        <v>18</v>
      </c>
      <c r="CY666" s="4">
        <v>43243</v>
      </c>
      <c r="CZ666" t="s">
        <v>67</v>
      </c>
      <c r="DA666" t="s">
        <v>68</v>
      </c>
      <c r="DB666">
        <v>59</v>
      </c>
      <c r="DC666">
        <v>57.91</v>
      </c>
      <c r="DD666" t="s">
        <v>69</v>
      </c>
      <c r="DE666" t="s">
        <v>70</v>
      </c>
      <c r="DF666">
        <v>3416.6899999999996</v>
      </c>
    </row>
    <row r="667" spans="66:110" x14ac:dyDescent="0.25">
      <c r="BN667" s="1">
        <f t="shared" si="337"/>
        <v>42962</v>
      </c>
      <c r="BO667" s="2">
        <f>SUM(BO$2:BO157)+AI157*B157</f>
        <v>136202.49999999988</v>
      </c>
      <c r="BP667" s="2">
        <f>SUM(BP$2:BP157)+AJ157*C157</f>
        <v>12859.599999999991</v>
      </c>
      <c r="BQ667" s="2">
        <f>SUM(BQ$2:BQ157)+AK157*D157</f>
        <v>88739.899999999965</v>
      </c>
      <c r="BR667" s="2">
        <f>SUM(BR$2:BR157)+AL157*E157</f>
        <v>22482.299999999974</v>
      </c>
      <c r="BS667" s="2">
        <f>SUM(BS$2:BS157)+AM157*F157</f>
        <v>2248.9000000000015</v>
      </c>
      <c r="BT667" s="2">
        <f>SUM(BT$2:BT157)+AN157*G157</f>
        <v>-6434.1000000000058</v>
      </c>
      <c r="BU667" s="2">
        <f>SUM(BU$2:BU157)+AO157*H157</f>
        <v>-4365.4000000000087</v>
      </c>
      <c r="BV667" s="2">
        <f>SUM(BV$2:BV157)+AP157*I157</f>
        <v>0</v>
      </c>
      <c r="BW667" s="2">
        <f>SUM(BW$2:BW157)+AQ157*J157</f>
        <v>-12290</v>
      </c>
      <c r="BX667" s="2">
        <f>SUM(BX$2:BX157)+AR157*K157</f>
        <v>13940</v>
      </c>
      <c r="BY667" s="2">
        <f>SUM(BY$2:BY157)+AS157*L157</f>
        <v>-19180</v>
      </c>
      <c r="BZ667" s="2">
        <f>SUM(BZ$2:BZ157)+AT157*M157</f>
        <v>740</v>
      </c>
      <c r="CA667" s="2">
        <f>SUM(CA$2:CA157)+AU157*N157</f>
        <v>18330</v>
      </c>
      <c r="CB667" s="2">
        <f>SUM(CB$2:CB157)+AV157*O157</f>
        <v>6700</v>
      </c>
      <c r="CC667" s="2">
        <f>SUM(CC$2:CC157)+AW157*P157</f>
        <v>-20</v>
      </c>
      <c r="CD667" s="2">
        <f>SUM(CD$2:CD157)+AX157*Q157</f>
        <v>14050</v>
      </c>
      <c r="CE667" s="2">
        <f>SUM(CE$2:CE157)+AY157*R157</f>
        <v>29980</v>
      </c>
      <c r="CF667" s="2">
        <f>SUM(CF$2:CF157)+AZ157*S157</f>
        <v>3452.6299999999974</v>
      </c>
      <c r="CG667" s="2">
        <f>SUM(CG$2:CG157)+BA157*T157</f>
        <v>11668.929999999986</v>
      </c>
      <c r="CH667" s="2">
        <f>SUM(CH$2:CH157)+BB157*U157</f>
        <v>6715.919999999991</v>
      </c>
      <c r="CI667" s="2">
        <f>SUM(CI$2:CI157)+BC157*V157</f>
        <v>-3010</v>
      </c>
      <c r="CJ667" s="2">
        <f>SUM(CJ$2:CJ157)+BD157*W157</f>
        <v>-12509.999999999942</v>
      </c>
      <c r="CK667" s="2">
        <f>SUM(CK$2:CK157)+BE157*X157</f>
        <v>48430</v>
      </c>
      <c r="CL667" s="2">
        <f>SUM(CL$2:CL157)+BF157*Y157</f>
        <v>99930</v>
      </c>
      <c r="CM667" s="2">
        <f>SUM(CM$2:CM157)+BG157*Z157</f>
        <v>8785</v>
      </c>
      <c r="CN667" s="2">
        <f>SUM(CN$2:CN157)+BH157*AA157</f>
        <v>50687.5</v>
      </c>
      <c r="CO667" s="2">
        <f>SUM(CO$2:CO157)+BI157*AB157</f>
        <v>-11660</v>
      </c>
      <c r="CP667" s="2">
        <f>SUM(CP$2:CP157)+BJ157*AC157</f>
        <v>-1175</v>
      </c>
      <c r="CQ667" s="2">
        <f>SUM(CQ$2:CQ157)+BK157*AD157</f>
        <v>13100.000000000007</v>
      </c>
      <c r="CR667" s="2">
        <f>SUM(CR$2:CR157)+BL157*AE157</f>
        <v>-9720</v>
      </c>
      <c r="CV667" t="s">
        <v>64</v>
      </c>
      <c r="CW667" t="s">
        <v>740</v>
      </c>
      <c r="CX667" t="s">
        <v>18</v>
      </c>
      <c r="CY667" s="4">
        <v>43244</v>
      </c>
      <c r="CZ667" t="s">
        <v>65</v>
      </c>
      <c r="DA667" t="s">
        <v>66</v>
      </c>
      <c r="DB667">
        <v>21</v>
      </c>
      <c r="DC667">
        <v>57.87</v>
      </c>
      <c r="DD667" t="s">
        <v>69</v>
      </c>
      <c r="DE667" t="s">
        <v>70</v>
      </c>
      <c r="DF667">
        <v>1215.27</v>
      </c>
    </row>
    <row r="668" spans="66:110" x14ac:dyDescent="0.25">
      <c r="BN668" s="1">
        <f t="shared" si="337"/>
        <v>42963</v>
      </c>
      <c r="BO668" s="2">
        <f>SUM(BO$2:BO158)+AI158*B158</f>
        <v>133052.5</v>
      </c>
      <c r="BP668" s="2">
        <f>SUM(BP$2:BP158)+AJ158*C158</f>
        <v>13514.5</v>
      </c>
      <c r="BQ668" s="2">
        <f>SUM(BQ$2:BQ158)+AK158*D158</f>
        <v>87030.499999999971</v>
      </c>
      <c r="BR668" s="2">
        <f>SUM(BR$2:BR158)+AL158*E158</f>
        <v>22981.799999999974</v>
      </c>
      <c r="BS668" s="2">
        <f>SUM(BS$2:BS158)+AM158*F158</f>
        <v>2515.2999999999956</v>
      </c>
      <c r="BT668" s="2">
        <f>SUM(BT$2:BT158)+AN158*G158</f>
        <v>-7122.3000000000029</v>
      </c>
      <c r="BU668" s="2">
        <f>SUM(BU$2:BU158)+AO158*H158</f>
        <v>-3621.6999999999971</v>
      </c>
      <c r="BV668" s="2">
        <f>SUM(BV$2:BV158)+AP158*I158</f>
        <v>0</v>
      </c>
      <c r="BW668" s="2">
        <f>SUM(BW$2:BW158)+AQ158*J158</f>
        <v>-14230</v>
      </c>
      <c r="BX668" s="2">
        <f>SUM(BX$2:BX158)+AR158*K158</f>
        <v>13940</v>
      </c>
      <c r="BY668" s="2">
        <f>SUM(BY$2:BY158)+AS158*L158</f>
        <v>-18780</v>
      </c>
      <c r="BZ668" s="2">
        <f>SUM(BZ$2:BZ158)+AT158*M158</f>
        <v>740</v>
      </c>
      <c r="CA668" s="2">
        <f>SUM(CA$2:CA158)+AU158*N158</f>
        <v>19089.999999999985</v>
      </c>
      <c r="CB668" s="2">
        <f>SUM(CB$2:CB158)+AV158*O158</f>
        <v>6080</v>
      </c>
      <c r="CC668" s="2">
        <f>SUM(CC$2:CC158)+AW158*P158</f>
        <v>-20</v>
      </c>
      <c r="CD668" s="2">
        <f>SUM(CD$2:CD158)+AX158*Q158</f>
        <v>14050</v>
      </c>
      <c r="CE668" s="2">
        <f>SUM(CE$2:CE158)+AY158*R158</f>
        <v>30690</v>
      </c>
      <c r="CF668" s="2">
        <f>SUM(CF$2:CF158)+AZ158*S158</f>
        <v>3643.7699999999968</v>
      </c>
      <c r="CG668" s="2">
        <f>SUM(CG$2:CG158)+BA158*T158</f>
        <v>12062.379999999997</v>
      </c>
      <c r="CH668" s="2">
        <f>SUM(CH$2:CH158)+BB158*U158</f>
        <v>6694.5199999999895</v>
      </c>
      <c r="CI668" s="2">
        <f>SUM(CI$2:CI158)+BC158*V158</f>
        <v>-2990</v>
      </c>
      <c r="CJ668" s="2">
        <f>SUM(CJ$2:CJ158)+BD158*W158</f>
        <v>-13660</v>
      </c>
      <c r="CK668" s="2">
        <f>SUM(CK$2:CK158)+BE158*X158</f>
        <v>50480</v>
      </c>
      <c r="CL668" s="2">
        <f>SUM(CL$2:CL158)+BF158*Y158</f>
        <v>97800</v>
      </c>
      <c r="CM668" s="2">
        <f>SUM(CM$2:CM158)+BG158*Z158</f>
        <v>22035</v>
      </c>
      <c r="CN668" s="2">
        <f>SUM(CN$2:CN158)+BH158*AA158</f>
        <v>54937.499999999942</v>
      </c>
      <c r="CO668" s="2">
        <f>SUM(CO$2:CO158)+BI158*AB158</f>
        <v>-11840</v>
      </c>
      <c r="CP668" s="2">
        <f>SUM(CP$2:CP158)+BJ158*AC158</f>
        <v>-1940</v>
      </c>
      <c r="CQ668" s="2">
        <f>SUM(CQ$2:CQ158)+BK158*AD158</f>
        <v>13310.000000000007</v>
      </c>
      <c r="CR668" s="2">
        <f>SUM(CR$2:CR158)+BL158*AE158</f>
        <v>-10250</v>
      </c>
      <c r="CV668" t="s">
        <v>64</v>
      </c>
      <c r="CW668" t="s">
        <v>741</v>
      </c>
      <c r="CX668" t="s">
        <v>18</v>
      </c>
      <c r="CY668" s="4">
        <v>43245</v>
      </c>
      <c r="CZ668" t="s">
        <v>67</v>
      </c>
      <c r="DA668" t="s">
        <v>68</v>
      </c>
      <c r="DB668">
        <v>2</v>
      </c>
      <c r="DC668">
        <v>57.83</v>
      </c>
      <c r="DD668" t="s">
        <v>69</v>
      </c>
      <c r="DE668" t="s">
        <v>70</v>
      </c>
      <c r="DF668">
        <v>115.66</v>
      </c>
    </row>
    <row r="669" spans="66:110" x14ac:dyDescent="0.25">
      <c r="BN669" s="1">
        <f t="shared" si="337"/>
        <v>42964</v>
      </c>
      <c r="BO669" s="2">
        <f>SUM(BO$2:BO159)+AI159*B159</f>
        <v>117952.49999999988</v>
      </c>
      <c r="BP669" s="2">
        <f>SUM(BP$2:BP159)+AJ159*C159</f>
        <v>12104.799999999988</v>
      </c>
      <c r="BQ669" s="2">
        <f>SUM(BQ$2:BQ159)+AK159*D159</f>
        <v>84877.099999999948</v>
      </c>
      <c r="BR669" s="2">
        <f>SUM(BR$2:BR159)+AL159*E159</f>
        <v>21938.39999999998</v>
      </c>
      <c r="BS669" s="2">
        <f>SUM(BS$2:BS159)+AM159*F159</f>
        <v>1138.9000000000015</v>
      </c>
      <c r="BT669" s="2">
        <f>SUM(BT$2:BT159)+AN159*G159</f>
        <v>-8088</v>
      </c>
      <c r="BU669" s="2">
        <f>SUM(BU$2:BU159)+AO159*H159</f>
        <v>-4509.6999999999971</v>
      </c>
      <c r="BV669" s="2">
        <f>SUM(BV$2:BV159)+AP159*I159</f>
        <v>0</v>
      </c>
      <c r="BW669" s="2">
        <f>SUM(BW$2:BW159)+AQ159*J159</f>
        <v>-18330</v>
      </c>
      <c r="BX669" s="2">
        <f>SUM(BX$2:BX159)+AR159*K159</f>
        <v>13940</v>
      </c>
      <c r="BY669" s="2">
        <f>SUM(BY$2:BY159)+AS159*L159</f>
        <v>-20470</v>
      </c>
      <c r="BZ669" s="2">
        <f>SUM(BZ$2:BZ159)+AT159*M159</f>
        <v>740</v>
      </c>
      <c r="CA669" s="2">
        <f>SUM(CA$2:CA159)+AU159*N159</f>
        <v>18000</v>
      </c>
      <c r="CB669" s="2">
        <f>SUM(CB$2:CB159)+AV159*O159</f>
        <v>4690</v>
      </c>
      <c r="CC669" s="2">
        <f>SUM(CC$2:CC159)+AW159*P159</f>
        <v>-20</v>
      </c>
      <c r="CD669" s="2">
        <f>SUM(CD$2:CD159)+AX159*Q159</f>
        <v>14050</v>
      </c>
      <c r="CE669" s="2">
        <f>SUM(CE$2:CE159)+AY159*R159</f>
        <v>28230</v>
      </c>
      <c r="CF669" s="2">
        <f>SUM(CF$2:CF159)+AZ159*S159</f>
        <v>2835.25</v>
      </c>
      <c r="CG669" s="2">
        <f>SUM(CG$2:CG159)+BA159*T159</f>
        <v>10940.619999999981</v>
      </c>
      <c r="CH669" s="2">
        <f>SUM(CH$2:CH159)+BB159*U159</f>
        <v>5662.0799999999872</v>
      </c>
      <c r="CI669" s="2">
        <f>SUM(CI$2:CI159)+BC159*V159</f>
        <v>-2600</v>
      </c>
      <c r="CJ669" s="2">
        <f>SUM(CJ$2:CJ159)+BD159*W159</f>
        <v>-11909.999999999942</v>
      </c>
      <c r="CK669" s="2">
        <f>SUM(CK$2:CK159)+BE159*X159</f>
        <v>44280</v>
      </c>
      <c r="CL669" s="2">
        <f>SUM(CL$2:CL159)+BF159*Y159</f>
        <v>94650</v>
      </c>
      <c r="CM669" s="2">
        <f>SUM(CM$2:CM159)+BG159*Z159</f>
        <v>12885</v>
      </c>
      <c r="CN669" s="2">
        <f>SUM(CN$2:CN159)+BH159*AA159</f>
        <v>49187.499999999942</v>
      </c>
      <c r="CO669" s="2">
        <f>SUM(CO$2:CO159)+BI159*AB159</f>
        <v>-13310</v>
      </c>
      <c r="CP669" s="2">
        <f>SUM(CP$2:CP159)+BJ159*AC159</f>
        <v>-1400</v>
      </c>
      <c r="CQ669" s="2">
        <f>SUM(CQ$2:CQ159)+BK159*AD159</f>
        <v>12060.000000000007</v>
      </c>
      <c r="CR669" s="2">
        <f>SUM(CR$2:CR159)+BL159*AE159</f>
        <v>-11390</v>
      </c>
      <c r="CV669" t="s">
        <v>64</v>
      </c>
      <c r="CW669" t="s">
        <v>742</v>
      </c>
      <c r="CX669" t="s">
        <v>18</v>
      </c>
      <c r="CY669" s="4">
        <v>43249</v>
      </c>
      <c r="CZ669" t="s">
        <v>67</v>
      </c>
      <c r="DA669" t="s">
        <v>68</v>
      </c>
      <c r="DB669">
        <v>4</v>
      </c>
      <c r="DC669">
        <v>57.16</v>
      </c>
      <c r="DD669" t="s">
        <v>69</v>
      </c>
      <c r="DE669" t="s">
        <v>70</v>
      </c>
      <c r="DF669">
        <v>228.64</v>
      </c>
    </row>
    <row r="670" spans="66:110" x14ac:dyDescent="0.25">
      <c r="BN670" s="1">
        <f t="shared" si="337"/>
        <v>42965</v>
      </c>
      <c r="BO670" s="2">
        <f>SUM(BO$2:BO160)+AI160*B160</f>
        <v>116152.49999999988</v>
      </c>
      <c r="BP670" s="2">
        <f>SUM(BP$2:BP160)+AJ160*C160</f>
        <v>11327.800000000003</v>
      </c>
      <c r="BQ670" s="2">
        <f>SUM(BQ$2:BQ160)+AK160*D160</f>
        <v>85076.899999999965</v>
      </c>
      <c r="BR670" s="2">
        <f>SUM(BR$2:BR160)+AL160*E160</f>
        <v>22770.89999999998</v>
      </c>
      <c r="BS670" s="2">
        <f>SUM(BS$2:BS160)+AM160*F160</f>
        <v>428.5</v>
      </c>
      <c r="BT670" s="2">
        <f>SUM(BT$2:BT160)+AN160*G160</f>
        <v>-7499.6999999999971</v>
      </c>
      <c r="BU670" s="2">
        <f>SUM(BU$2:BU160)+AO160*H160</f>
        <v>-5242.2999999999884</v>
      </c>
      <c r="BV670" s="2">
        <f>SUM(BV$2:BV160)+AP160*I160</f>
        <v>0</v>
      </c>
      <c r="BW670" s="2">
        <f>SUM(BW$2:BW160)+AQ160*J160</f>
        <v>-17620</v>
      </c>
      <c r="BX670" s="2">
        <f>SUM(BX$2:BX160)+AR160*K160</f>
        <v>13940</v>
      </c>
      <c r="BY670" s="2">
        <f>SUM(BY$2:BY160)+AS160*L160</f>
        <v>-21400</v>
      </c>
      <c r="BZ670" s="2">
        <f>SUM(BZ$2:BZ160)+AT160*M160</f>
        <v>740</v>
      </c>
      <c r="CA670" s="2">
        <f>SUM(CA$2:CA160)+AU160*N160</f>
        <v>17610</v>
      </c>
      <c r="CB670" s="2">
        <f>SUM(CB$2:CB160)+AV160*O160</f>
        <v>4780</v>
      </c>
      <c r="CC670" s="2">
        <f>SUM(CC$2:CC160)+AW160*P160</f>
        <v>-20</v>
      </c>
      <c r="CD670" s="2">
        <f>SUM(CD$2:CD160)+AX160*Q160</f>
        <v>14050</v>
      </c>
      <c r="CE670" s="2">
        <f>SUM(CE$2:CE160)+AY160*R160</f>
        <v>26490</v>
      </c>
      <c r="CF670" s="2">
        <f>SUM(CF$2:CF160)+AZ160*S160</f>
        <v>2479.6100000000006</v>
      </c>
      <c r="CG670" s="2">
        <f>SUM(CG$2:CG160)+BA160*T160</f>
        <v>11038.629999999997</v>
      </c>
      <c r="CH670" s="2">
        <f>SUM(CH$2:CH160)+BB160*U160</f>
        <v>3397.0899999999892</v>
      </c>
      <c r="CI670" s="2">
        <f>SUM(CI$2:CI160)+BC160*V160</f>
        <v>-2340</v>
      </c>
      <c r="CJ670" s="2">
        <f>SUM(CJ$2:CJ160)+BD160*W160</f>
        <v>-13809.999999999884</v>
      </c>
      <c r="CK670" s="2">
        <f>SUM(CK$2:CK160)+BE160*X160</f>
        <v>42830</v>
      </c>
      <c r="CL670" s="2">
        <f>SUM(CL$2:CL160)+BF160*Y160</f>
        <v>89130</v>
      </c>
      <c r="CM670" s="2">
        <f>SUM(CM$2:CM160)+BG160*Z160</f>
        <v>9885</v>
      </c>
      <c r="CN670" s="2">
        <f>SUM(CN$2:CN160)+BH160*AA160</f>
        <v>50887.499999999942</v>
      </c>
      <c r="CO670" s="2">
        <f>SUM(CO$2:CO160)+BI160*AB160</f>
        <v>-13850</v>
      </c>
      <c r="CP670" s="2">
        <f>SUM(CP$2:CP160)+BJ160*AC160</f>
        <v>-155</v>
      </c>
      <c r="CQ670" s="2">
        <f>SUM(CQ$2:CQ160)+BK160*AD160</f>
        <v>11690.000000000007</v>
      </c>
      <c r="CR670" s="2">
        <f>SUM(CR$2:CR160)+BL160*AE160</f>
        <v>-11040</v>
      </c>
      <c r="CV670" t="s">
        <v>64</v>
      </c>
      <c r="CW670" t="s">
        <v>743</v>
      </c>
      <c r="CX670" t="s">
        <v>18</v>
      </c>
      <c r="CY670" s="4">
        <v>43250</v>
      </c>
      <c r="CZ670" t="s">
        <v>67</v>
      </c>
      <c r="DA670" t="s">
        <v>68</v>
      </c>
      <c r="DB670">
        <v>8</v>
      </c>
      <c r="DC670">
        <v>58.45</v>
      </c>
      <c r="DD670" t="s">
        <v>69</v>
      </c>
      <c r="DE670" t="s">
        <v>70</v>
      </c>
      <c r="DF670">
        <v>467.6</v>
      </c>
    </row>
    <row r="671" spans="66:110" x14ac:dyDescent="0.25">
      <c r="BN671" s="1">
        <f t="shared" si="337"/>
        <v>42968</v>
      </c>
      <c r="BO671" s="2">
        <f>SUM(BO$2:BO161)+AI161*B161</f>
        <v>114752.49999999977</v>
      </c>
      <c r="BP671" s="2">
        <f>SUM(BP$2:BP161)+AJ161*C161</f>
        <v>11238.999999999985</v>
      </c>
      <c r="BQ671" s="2">
        <f>SUM(BQ$2:BQ161)+AK161*D161</f>
        <v>84976.999999999942</v>
      </c>
      <c r="BR671" s="2">
        <f>SUM(BR$2:BR161)+AL161*E161</f>
        <v>22426.799999999974</v>
      </c>
      <c r="BS671" s="2">
        <f>SUM(BS$2:BS161)+AM161*F161</f>
        <v>750.39999999999782</v>
      </c>
      <c r="BT671" s="2">
        <f>SUM(BT$2:BT161)+AN161*G161</f>
        <v>-8232.3000000000029</v>
      </c>
      <c r="BU671" s="2">
        <f>SUM(BU$2:BU161)+AO161*H161</f>
        <v>-4731.6999999999971</v>
      </c>
      <c r="BV671" s="2">
        <f>SUM(BV$2:BV161)+AP161*I161</f>
        <v>0</v>
      </c>
      <c r="BW671" s="2">
        <f>SUM(BW$2:BW161)+AQ161*J161</f>
        <v>-18950</v>
      </c>
      <c r="BX671" s="2">
        <f>SUM(BX$2:BX161)+AR161*K161</f>
        <v>13940</v>
      </c>
      <c r="BY671" s="2">
        <f>SUM(BY$2:BY161)+AS161*L161</f>
        <v>-20810</v>
      </c>
      <c r="BZ671" s="2">
        <f>SUM(BZ$2:BZ161)+AT161*M161</f>
        <v>740</v>
      </c>
      <c r="CA671" s="2">
        <f>SUM(CA$2:CA161)+AU161*N161</f>
        <v>18400</v>
      </c>
      <c r="CB671" s="2">
        <f>SUM(CB$2:CB161)+AV161*O161</f>
        <v>4680</v>
      </c>
      <c r="CC671" s="2">
        <f>SUM(CC$2:CC161)+AW161*P161</f>
        <v>-20</v>
      </c>
      <c r="CD671" s="2">
        <f>SUM(CD$2:CD161)+AX161*Q161</f>
        <v>14050</v>
      </c>
      <c r="CE671" s="2">
        <f>SUM(CE$2:CE161)+AY161*R161</f>
        <v>27470</v>
      </c>
      <c r="CF671" s="2">
        <f>SUM(CF$2:CF161)+AZ161*S161</f>
        <v>2936.3899999999994</v>
      </c>
      <c r="CG671" s="2">
        <f>SUM(CG$2:CG161)+BA161*T161</f>
        <v>10697.739999999983</v>
      </c>
      <c r="CH671" s="2">
        <f>SUM(CH$2:CH161)+BB161*U161</f>
        <v>2100.8499999999913</v>
      </c>
      <c r="CI671" s="2">
        <f>SUM(CI$2:CI161)+BC161*V161</f>
        <v>-2420</v>
      </c>
      <c r="CJ671" s="2">
        <f>SUM(CJ$2:CJ161)+BD161*W161</f>
        <v>-15659.999999999942</v>
      </c>
      <c r="CK671" s="2">
        <f>SUM(CK$2:CK161)+BE161*X161</f>
        <v>40680</v>
      </c>
      <c r="CL671" s="2">
        <f>SUM(CL$2:CL161)+BF161*Y161</f>
        <v>92670</v>
      </c>
      <c r="CM671" s="2">
        <f>SUM(CM$2:CM161)+BG161*Z161</f>
        <v>8885</v>
      </c>
      <c r="CN671" s="2">
        <f>SUM(CN$2:CN161)+BH161*AA161</f>
        <v>54437.5</v>
      </c>
      <c r="CO671" s="2">
        <f>SUM(CO$2:CO161)+BI161*AB161</f>
        <v>-12590</v>
      </c>
      <c r="CP671" s="2">
        <f>SUM(CP$2:CP161)+BJ161*AC161</f>
        <v>-980</v>
      </c>
      <c r="CQ671" s="2">
        <f>SUM(CQ$2:CQ161)+BK161*AD161</f>
        <v>12070.000000000007</v>
      </c>
      <c r="CR671" s="2">
        <f>SUM(CR$2:CR161)+BL161*AE161</f>
        <v>-11280</v>
      </c>
      <c r="CV671" t="s">
        <v>64</v>
      </c>
      <c r="CW671" t="s">
        <v>744</v>
      </c>
      <c r="CX671" t="s">
        <v>18</v>
      </c>
      <c r="CY671" s="4">
        <v>43251</v>
      </c>
      <c r="CZ671" t="s">
        <v>65</v>
      </c>
      <c r="DA671" t="s">
        <v>66</v>
      </c>
      <c r="DB671">
        <v>44</v>
      </c>
      <c r="DC671">
        <v>58.26</v>
      </c>
      <c r="DD671" t="s">
        <v>69</v>
      </c>
      <c r="DE671" t="s">
        <v>70</v>
      </c>
      <c r="DF671">
        <v>2563.44</v>
      </c>
    </row>
    <row r="672" spans="66:110" x14ac:dyDescent="0.25">
      <c r="BN672" s="1">
        <f t="shared" si="337"/>
        <v>42969</v>
      </c>
      <c r="BO672" s="2">
        <f>SUM(BO$2:BO162)+AI162*B162</f>
        <v>127302.49999999988</v>
      </c>
      <c r="BP672" s="2">
        <f>SUM(BP$2:BP162)+AJ162*C162</f>
        <v>11238.999999999985</v>
      </c>
      <c r="BQ672" s="2">
        <f>SUM(BQ$2:BQ162)+AK162*D162</f>
        <v>89361.499999999971</v>
      </c>
      <c r="BR672" s="2">
        <f>SUM(BR$2:BR162)+AL162*E162</f>
        <v>24802.199999999968</v>
      </c>
      <c r="BS672" s="2">
        <f>SUM(BS$2:BS162)+AM162*F162</f>
        <v>1383.0999999999985</v>
      </c>
      <c r="BT672" s="2">
        <f>SUM(BT$2:BT162)+AN162*G162</f>
        <v>-7621.8000000000029</v>
      </c>
      <c r="BU672" s="2">
        <f>SUM(BU$2:BU162)+AO162*H162</f>
        <v>-3000.0999999999913</v>
      </c>
      <c r="BV672" s="2">
        <f>SUM(BV$2:BV162)+AP162*I162</f>
        <v>0</v>
      </c>
      <c r="BW672" s="2">
        <f>SUM(BW$2:BW162)+AQ162*J162</f>
        <v>-16220</v>
      </c>
      <c r="BX672" s="2">
        <f>SUM(BX$2:BX162)+AR162*K162</f>
        <v>13940</v>
      </c>
      <c r="BY672" s="2">
        <f>SUM(BY$2:BY162)+AS162*L162</f>
        <v>-20180</v>
      </c>
      <c r="BZ672" s="2">
        <f>SUM(BZ$2:BZ162)+AT162*M162</f>
        <v>740</v>
      </c>
      <c r="CA672" s="2">
        <f>SUM(CA$2:CA162)+AU162*N162</f>
        <v>19600.000000000015</v>
      </c>
      <c r="CB672" s="2">
        <f>SUM(CB$2:CB162)+AV162*O162</f>
        <v>5570</v>
      </c>
      <c r="CC672" s="2">
        <f>SUM(CC$2:CC162)+AW162*P162</f>
        <v>-20</v>
      </c>
      <c r="CD672" s="2">
        <f>SUM(CD$2:CD162)+AX162*Q162</f>
        <v>14050</v>
      </c>
      <c r="CE672" s="2">
        <f>SUM(CE$2:CE162)+AY162*R162</f>
        <v>28340</v>
      </c>
      <c r="CF672" s="2">
        <f>SUM(CF$2:CF162)+AZ162*S162</f>
        <v>3361.2299999999959</v>
      </c>
      <c r="CG672" s="2">
        <f>SUM(CG$2:CG162)+BA162*T162</f>
        <v>11718.429999999993</v>
      </c>
      <c r="CH672" s="2">
        <f>SUM(CH$2:CH162)+BB162*U162</f>
        <v>2668.169999999991</v>
      </c>
      <c r="CI672" s="2">
        <f>SUM(CI$2:CI162)+BC162*V162</f>
        <v>-2790</v>
      </c>
      <c r="CJ672" s="2">
        <f>SUM(CJ$2:CJ162)+BD162*W162</f>
        <v>-15359.999999999942</v>
      </c>
      <c r="CK672" s="2">
        <f>SUM(CK$2:CK162)+BE162*X162</f>
        <v>42230</v>
      </c>
      <c r="CL672" s="2">
        <f>SUM(CL$2:CL162)+BF162*Y162</f>
        <v>100800</v>
      </c>
      <c r="CM672" s="2">
        <f>SUM(CM$2:CM162)+BG162*Z162</f>
        <v>10885</v>
      </c>
      <c r="CN672" s="2">
        <f>SUM(CN$2:CN162)+BH162*AA162</f>
        <v>58217.499999999942</v>
      </c>
      <c r="CO672" s="2">
        <f>SUM(CO$2:CO162)+BI162*AB162</f>
        <v>-12020</v>
      </c>
      <c r="CP672" s="2">
        <f>SUM(CP$2:CP162)+BJ162*AC162</f>
        <v>-1970</v>
      </c>
      <c r="CQ672" s="2">
        <f>SUM(CQ$2:CQ162)+BK162*AD162</f>
        <v>12380.000000000007</v>
      </c>
      <c r="CR672" s="2">
        <f>SUM(CR$2:CR162)+BL162*AE162</f>
        <v>-10940</v>
      </c>
      <c r="CV672" t="s">
        <v>64</v>
      </c>
      <c r="CW672" t="s">
        <v>745</v>
      </c>
      <c r="CX672" t="s">
        <v>18</v>
      </c>
      <c r="CY672" s="4">
        <v>43252</v>
      </c>
      <c r="CZ672" t="s">
        <v>65</v>
      </c>
      <c r="DA672" t="s">
        <v>66</v>
      </c>
      <c r="DB672">
        <v>24</v>
      </c>
      <c r="DC672">
        <v>59.27</v>
      </c>
      <c r="DD672" t="s">
        <v>69</v>
      </c>
      <c r="DE672" t="s">
        <v>70</v>
      </c>
      <c r="DF672">
        <v>1422.48</v>
      </c>
    </row>
    <row r="673" spans="66:110" x14ac:dyDescent="0.25">
      <c r="BN673" s="1">
        <f t="shared" si="337"/>
        <v>42970</v>
      </c>
      <c r="BO673" s="2">
        <f>SUM(BO$2:BO163)+AI163*B163</f>
        <v>128302.49999999988</v>
      </c>
      <c r="BP673" s="2">
        <f>SUM(BP$2:BP163)+AJ163*C163</f>
        <v>11216.799999999988</v>
      </c>
      <c r="BQ673" s="2">
        <f>SUM(BQ$2:BQ163)+AK163*D163</f>
        <v>87574.399999999965</v>
      </c>
      <c r="BR673" s="2">
        <f>SUM(BR$2:BR163)+AL163*E163</f>
        <v>23658.89999999998</v>
      </c>
      <c r="BS673" s="2">
        <f>SUM(BS$2:BS163)+AM163*F163</f>
        <v>1005.7000000000007</v>
      </c>
      <c r="BT673" s="2">
        <f>SUM(BT$2:BT163)+AN163*G163</f>
        <v>-7355.4000000000087</v>
      </c>
      <c r="BU673" s="2">
        <f>SUM(BU$2:BU163)+AO163*H163</f>
        <v>-4376.4999999999854</v>
      </c>
      <c r="BV673" s="2">
        <f>SUM(BV$2:BV163)+AP163*I163</f>
        <v>0</v>
      </c>
      <c r="BW673" s="2">
        <f>SUM(BW$2:BW163)+AQ163*J163</f>
        <v>-17040</v>
      </c>
      <c r="BX673" s="2">
        <f>SUM(BX$2:BX163)+AR163*K163</f>
        <v>13940</v>
      </c>
      <c r="BY673" s="2">
        <f>SUM(BY$2:BY163)+AS163*L163</f>
        <v>-19120</v>
      </c>
      <c r="BZ673" s="2">
        <f>SUM(BZ$2:BZ163)+AT163*M163</f>
        <v>740</v>
      </c>
      <c r="CA673" s="2">
        <f>SUM(CA$2:CA163)+AU163*N163</f>
        <v>17770</v>
      </c>
      <c r="CB673" s="2">
        <f>SUM(CB$2:CB163)+AV163*O163</f>
        <v>5680</v>
      </c>
      <c r="CC673" s="2">
        <f>SUM(CC$2:CC163)+AW163*P163</f>
        <v>-20</v>
      </c>
      <c r="CD673" s="2">
        <f>SUM(CD$2:CD163)+AX163*Q163</f>
        <v>14050</v>
      </c>
      <c r="CE673" s="2">
        <f>SUM(CE$2:CE163)+AY163*R163</f>
        <v>26780</v>
      </c>
      <c r="CF673" s="2">
        <f>SUM(CF$2:CF163)+AZ163*S163</f>
        <v>3096.5500000000029</v>
      </c>
      <c r="CG673" s="2">
        <f>SUM(CG$2:CG163)+BA163*T163</f>
        <v>11330.999999999985</v>
      </c>
      <c r="CH673" s="2">
        <f>SUM(CH$2:CH163)+BB163*U163</f>
        <v>2112.2899999999863</v>
      </c>
      <c r="CI673" s="2">
        <f>SUM(CI$2:CI163)+BC163*V163</f>
        <v>-2880</v>
      </c>
      <c r="CJ673" s="2">
        <f>SUM(CJ$2:CJ163)+BD163*W163</f>
        <v>-13660</v>
      </c>
      <c r="CK673" s="2">
        <f>SUM(CK$2:CK163)+BE163*X163</f>
        <v>39280</v>
      </c>
      <c r="CL673" s="2">
        <f>SUM(CL$2:CL163)+BF163*Y163</f>
        <v>99180</v>
      </c>
      <c r="CM673" s="2">
        <f>SUM(CM$2:CM163)+BG163*Z163</f>
        <v>17385</v>
      </c>
      <c r="CN673" s="2">
        <f>SUM(CN$2:CN163)+BH163*AA163</f>
        <v>54697.499999999942</v>
      </c>
      <c r="CO673" s="2">
        <f>SUM(CO$2:CO163)+BI163*AB163</f>
        <v>-12200</v>
      </c>
      <c r="CP673" s="2">
        <f>SUM(CP$2:CP163)+BJ163*AC163</f>
        <v>-2090</v>
      </c>
      <c r="CQ673" s="2">
        <f>SUM(CQ$2:CQ163)+BK163*AD163</f>
        <v>12320.000000000007</v>
      </c>
      <c r="CR673" s="2">
        <f>SUM(CR$2:CR163)+BL163*AE163</f>
        <v>-11060</v>
      </c>
      <c r="CV673" t="s">
        <v>64</v>
      </c>
      <c r="CW673" t="s">
        <v>746</v>
      </c>
      <c r="CX673" t="s">
        <v>18</v>
      </c>
      <c r="CY673" s="4">
        <v>43255</v>
      </c>
      <c r="CZ673" t="s">
        <v>67</v>
      </c>
      <c r="DA673" t="s">
        <v>68</v>
      </c>
      <c r="DB673">
        <v>67</v>
      </c>
      <c r="DC673">
        <v>60.7</v>
      </c>
      <c r="DD673" t="s">
        <v>69</v>
      </c>
      <c r="DE673" t="s">
        <v>70</v>
      </c>
      <c r="DF673">
        <v>4066.9</v>
      </c>
    </row>
    <row r="674" spans="66:110" x14ac:dyDescent="0.25">
      <c r="BN674" s="1">
        <f t="shared" si="337"/>
        <v>42971</v>
      </c>
      <c r="BO674" s="2">
        <f>SUM(BO$2:BO164)+AI164*B164</f>
        <v>124802.49999999988</v>
      </c>
      <c r="BP674" s="2">
        <f>SUM(BP$2:BP164)+AJ164*C164</f>
        <v>11305.599999999991</v>
      </c>
      <c r="BQ674" s="2">
        <f>SUM(BQ$2:BQ164)+AK164*D164</f>
        <v>88273.699999999953</v>
      </c>
      <c r="BR674" s="2">
        <f>SUM(BR$2:BR164)+AL164*E164</f>
        <v>23692.199999999968</v>
      </c>
      <c r="BS674" s="2">
        <f>SUM(BS$2:BS164)+AM164*F164</f>
        <v>1349.7999999999956</v>
      </c>
      <c r="BT674" s="2">
        <f>SUM(BT$2:BT164)+AN164*G164</f>
        <v>-6489.6000000000058</v>
      </c>
      <c r="BU674" s="2">
        <f>SUM(BU$2:BU164)+AO164*H164</f>
        <v>-4354.3000000000029</v>
      </c>
      <c r="BV674" s="2">
        <f>SUM(BV$2:BV164)+AP164*I164</f>
        <v>0</v>
      </c>
      <c r="BW674" s="2">
        <f>SUM(BW$2:BW164)+AQ164*J164</f>
        <v>-16800</v>
      </c>
      <c r="BX674" s="2">
        <f>SUM(BX$2:BX164)+AR164*K164</f>
        <v>13940</v>
      </c>
      <c r="BY674" s="2">
        <f>SUM(BY$2:BY164)+AS164*L164</f>
        <v>-18370</v>
      </c>
      <c r="BZ674" s="2">
        <f>SUM(BZ$2:BZ164)+AT164*M164</f>
        <v>740</v>
      </c>
      <c r="CA674" s="2">
        <f>SUM(CA$2:CA164)+AU164*N164</f>
        <v>17860</v>
      </c>
      <c r="CB674" s="2">
        <f>SUM(CB$2:CB164)+AV164*O164</f>
        <v>5530</v>
      </c>
      <c r="CC674" s="2">
        <f>SUM(CC$2:CC164)+AW164*P164</f>
        <v>-20</v>
      </c>
      <c r="CD674" s="2">
        <f>SUM(CD$2:CD164)+AX164*Q164</f>
        <v>14050</v>
      </c>
      <c r="CE674" s="2">
        <f>SUM(CE$2:CE164)+AY164*R164</f>
        <v>26250</v>
      </c>
      <c r="CF674" s="2">
        <f>SUM(CF$2:CF164)+AZ164*S164</f>
        <v>3610.0900000000038</v>
      </c>
      <c r="CG674" s="2">
        <f>SUM(CG$2:CG164)+BA164*T164</f>
        <v>11299.409999999982</v>
      </c>
      <c r="CH674" s="2">
        <f>SUM(CH$2:CH164)+BB164*U164</f>
        <v>2356.0899999999892</v>
      </c>
      <c r="CI674" s="2">
        <f>SUM(CI$2:CI164)+BC164*V164</f>
        <v>-2870</v>
      </c>
      <c r="CJ674" s="2">
        <f>SUM(CJ$2:CJ164)+BD164*W164</f>
        <v>-12859.999999999942</v>
      </c>
      <c r="CK674" s="2">
        <f>SUM(CK$2:CK164)+BE164*X164</f>
        <v>31630</v>
      </c>
      <c r="CL674" s="2">
        <f>SUM(CL$2:CL164)+BF164*Y164</f>
        <v>100680</v>
      </c>
      <c r="CM674" s="2">
        <f>SUM(CM$2:CM164)+BG164*Z164</f>
        <v>8985</v>
      </c>
      <c r="CN674" s="2">
        <f>SUM(CN$2:CN164)+BH164*AA164</f>
        <v>54857.499999999942</v>
      </c>
      <c r="CO674" s="2">
        <f>SUM(CO$2:CO164)+BI164*AB164</f>
        <v>-12140</v>
      </c>
      <c r="CP674" s="2">
        <f>SUM(CP$2:CP164)+BJ164*AC164</f>
        <v>-845</v>
      </c>
      <c r="CQ674" s="2">
        <f>SUM(CQ$2:CQ164)+BK164*AD164</f>
        <v>10740.000000000007</v>
      </c>
      <c r="CR674" s="2">
        <f>SUM(CR$2:CR164)+BL164*AE164</f>
        <v>-11330</v>
      </c>
      <c r="CV674" t="s">
        <v>64</v>
      </c>
      <c r="CW674" t="s">
        <v>747</v>
      </c>
      <c r="CX674" t="s">
        <v>18</v>
      </c>
      <c r="CY674" s="4">
        <v>43256</v>
      </c>
      <c r="CZ674" t="s">
        <v>65</v>
      </c>
      <c r="DA674" t="s">
        <v>66</v>
      </c>
      <c r="DB674">
        <v>64</v>
      </c>
      <c r="DC674">
        <v>60.09</v>
      </c>
      <c r="DD674" t="s">
        <v>69</v>
      </c>
      <c r="DE674" t="s">
        <v>70</v>
      </c>
      <c r="DF674">
        <v>3845.76</v>
      </c>
    </row>
    <row r="675" spans="66:110" x14ac:dyDescent="0.25">
      <c r="BN675" s="1">
        <f t="shared" si="337"/>
        <v>42972</v>
      </c>
      <c r="BO675" s="2">
        <f>SUM(BO$2:BO165)+AI165*B165</f>
        <v>127702.49999999988</v>
      </c>
      <c r="BP675" s="2">
        <f>SUM(BP$2:BP165)+AJ165*C165</f>
        <v>11427.699999999983</v>
      </c>
      <c r="BQ675" s="2">
        <f>SUM(BQ$2:BQ165)+AK165*D165</f>
        <v>85198.999999999971</v>
      </c>
      <c r="BR675" s="2">
        <f>SUM(BR$2:BR165)+AL165*E165</f>
        <v>24302.699999999968</v>
      </c>
      <c r="BS675" s="2">
        <f>SUM(BS$2:BS165)+AM165*F165</f>
        <v>1560.6999999999971</v>
      </c>
      <c r="BT675" s="2">
        <f>SUM(BT$2:BT165)+AN165*G165</f>
        <v>-5657.1000000000058</v>
      </c>
      <c r="BU675" s="2">
        <f>SUM(BU$2:BU165)+AO165*H165</f>
        <v>-3388.5999999999913</v>
      </c>
      <c r="BV675" s="2">
        <f>SUM(BV$2:BV165)+AP165*I165</f>
        <v>0</v>
      </c>
      <c r="BW675" s="2">
        <f>SUM(BW$2:BW165)+AQ165*J165</f>
        <v>-17300</v>
      </c>
      <c r="BX675" s="2">
        <f>SUM(BX$2:BX165)+AR165*K165</f>
        <v>13940</v>
      </c>
      <c r="BY675" s="2">
        <f>SUM(BY$2:BY165)+AS165*L165</f>
        <v>-17620</v>
      </c>
      <c r="BZ675" s="2">
        <f>SUM(BZ$2:BZ165)+AT165*M165</f>
        <v>740</v>
      </c>
      <c r="CA675" s="2">
        <f>SUM(CA$2:CA165)+AU165*N165</f>
        <v>17500</v>
      </c>
      <c r="CB675" s="2">
        <f>SUM(CB$2:CB165)+AV165*O165</f>
        <v>5890</v>
      </c>
      <c r="CC675" s="2">
        <f>SUM(CC$2:CC165)+AW165*P165</f>
        <v>-20</v>
      </c>
      <c r="CD675" s="2">
        <f>SUM(CD$2:CD165)+AX165*Q165</f>
        <v>14050</v>
      </c>
      <c r="CE675" s="2">
        <f>SUM(CE$2:CE165)+AY165*R165</f>
        <v>26260</v>
      </c>
      <c r="CF675" s="2">
        <f>SUM(CF$2:CF165)+AZ165*S165</f>
        <v>3838.010000000002</v>
      </c>
      <c r="CG675" s="2">
        <f>SUM(CG$2:CG165)+BA165*T165</f>
        <v>11412.449999999983</v>
      </c>
      <c r="CH675" s="2">
        <f>SUM(CH$2:CH165)+BB165*U165</f>
        <v>2418.3699999999881</v>
      </c>
      <c r="CI675" s="2">
        <f>SUM(CI$2:CI165)+BC165*V165</f>
        <v>-3020</v>
      </c>
      <c r="CJ675" s="2">
        <f>SUM(CJ$2:CJ165)+BD165*W165</f>
        <v>-14009.999999999942</v>
      </c>
      <c r="CK675" s="2">
        <f>SUM(CK$2:CK165)+BE165*X165</f>
        <v>35980</v>
      </c>
      <c r="CL675" s="2">
        <f>SUM(CL$2:CL165)+BF165*Y165</f>
        <v>99540</v>
      </c>
      <c r="CM675" s="2">
        <f>SUM(CM$2:CM165)+BG165*Z165</f>
        <v>7885</v>
      </c>
      <c r="CN675" s="2">
        <f>SUM(CN$2:CN165)+BH165*AA165</f>
        <v>55377.499999999942</v>
      </c>
      <c r="CO675" s="2">
        <f>SUM(CO$2:CO165)+BI165*AB165</f>
        <v>-11090</v>
      </c>
      <c r="CP675" s="2">
        <f>SUM(CP$2:CP165)+BJ165*AC165</f>
        <v>-1760</v>
      </c>
      <c r="CQ675" s="2">
        <f>SUM(CQ$2:CQ165)+BK165*AD165</f>
        <v>11020.000000000007</v>
      </c>
      <c r="CR675" s="2">
        <f>SUM(CR$2:CR165)+BL165*AE165</f>
        <v>-10960</v>
      </c>
      <c r="CV675" t="s">
        <v>64</v>
      </c>
      <c r="CW675" t="s">
        <v>748</v>
      </c>
      <c r="CX675" t="s">
        <v>18</v>
      </c>
      <c r="CY675" s="4">
        <v>43257</v>
      </c>
      <c r="CZ675" t="s">
        <v>67</v>
      </c>
      <c r="DA675" t="s">
        <v>68</v>
      </c>
      <c r="DB675">
        <v>50</v>
      </c>
      <c r="DC675">
        <v>60.61</v>
      </c>
      <c r="DD675" t="s">
        <v>69</v>
      </c>
      <c r="DE675" t="s">
        <v>70</v>
      </c>
      <c r="DF675">
        <v>3030.5</v>
      </c>
    </row>
    <row r="676" spans="66:110" x14ac:dyDescent="0.25">
      <c r="BN676" s="1">
        <f t="shared" si="337"/>
        <v>42975</v>
      </c>
      <c r="BO676" s="2">
        <f>SUM(BO$2:BO166)+AI166*B166</f>
        <v>135552.5</v>
      </c>
      <c r="BP676" s="2">
        <f>SUM(BP$2:BP166)+AJ166*C166</f>
        <v>11361.099999999991</v>
      </c>
      <c r="BQ676" s="2">
        <f>SUM(BQ$2:BQ166)+AK166*D166</f>
        <v>86586.499999999971</v>
      </c>
      <c r="BR676" s="2">
        <f>SUM(BR$2:BR166)+AL166*E166</f>
        <v>24002.999999999971</v>
      </c>
      <c r="BS676" s="2">
        <f>SUM(BS$2:BS166)+AM166*F166</f>
        <v>1660.5999999999985</v>
      </c>
      <c r="BT676" s="2">
        <f>SUM(BT$2:BT166)+AN166*G166</f>
        <v>-6156.6000000000058</v>
      </c>
      <c r="BU676" s="2">
        <f>SUM(BU$2:BU166)+AO166*H166</f>
        <v>-3233.1999999999971</v>
      </c>
      <c r="BV676" s="2">
        <f>SUM(BV$2:BV166)+AP166*I166</f>
        <v>0</v>
      </c>
      <c r="BW676" s="2">
        <f>SUM(BW$2:BW166)+AQ166*J166</f>
        <v>-19380</v>
      </c>
      <c r="BX676" s="2">
        <f>SUM(BX$2:BX166)+AR166*K166</f>
        <v>13940</v>
      </c>
      <c r="BY676" s="2">
        <f>SUM(BY$2:BY166)+AS166*L166</f>
        <v>-18770</v>
      </c>
      <c r="BZ676" s="2">
        <f>SUM(BZ$2:BZ166)+AT166*M166</f>
        <v>740</v>
      </c>
      <c r="CA676" s="2">
        <f>SUM(CA$2:CA166)+AU166*N166</f>
        <v>17560</v>
      </c>
      <c r="CB676" s="2">
        <f>SUM(CB$2:CB166)+AV166*O166</f>
        <v>5610</v>
      </c>
      <c r="CC676" s="2">
        <f>SUM(CC$2:CC166)+AW166*P166</f>
        <v>-20</v>
      </c>
      <c r="CD676" s="2">
        <f>SUM(CD$2:CD166)+AX166*Q166</f>
        <v>14050</v>
      </c>
      <c r="CE676" s="2">
        <f>SUM(CE$2:CE166)+AY166*R166</f>
        <v>26580</v>
      </c>
      <c r="CF676" s="2">
        <f>SUM(CF$2:CF166)+AZ166*S166</f>
        <v>4194.7699999999968</v>
      </c>
      <c r="CG676" s="2">
        <f>SUM(CG$2:CG166)+BA166*T166</f>
        <v>11422.459999999992</v>
      </c>
      <c r="CH676" s="2">
        <f>SUM(CH$2:CH166)+BB166*U166</f>
        <v>2250.0699999999924</v>
      </c>
      <c r="CI676" s="2">
        <f>SUM(CI$2:CI166)+BC166*V166</f>
        <v>-3100</v>
      </c>
      <c r="CJ676" s="2">
        <f>SUM(CJ$2:CJ166)+BD166*W166</f>
        <v>-13809.999999999884</v>
      </c>
      <c r="CK676" s="2">
        <f>SUM(CK$2:CK166)+BE166*X166</f>
        <v>20330</v>
      </c>
      <c r="CL676" s="2">
        <f>SUM(CL$2:CL166)+BF166*Y166</f>
        <v>101670</v>
      </c>
      <c r="CM676" s="2">
        <f>SUM(CM$2:CM166)+BG166*Z166</f>
        <v>9135</v>
      </c>
      <c r="CN676" s="2">
        <f>SUM(CN$2:CN166)+BH166*AA166</f>
        <v>57057.499999999942</v>
      </c>
      <c r="CO676" s="2">
        <f>SUM(CO$2:CO166)+BI166*AB166</f>
        <v>-11300</v>
      </c>
      <c r="CP676" s="2">
        <f>SUM(CP$2:CP166)+BJ166*AC166</f>
        <v>-1789.9999999999854</v>
      </c>
      <c r="CQ676" s="2">
        <f>SUM(CQ$2:CQ166)+BK166*AD166</f>
        <v>10440.000000000007</v>
      </c>
      <c r="CR676" s="2">
        <f>SUM(CR$2:CR166)+BL166*AE166</f>
        <v>-11200</v>
      </c>
      <c r="CV676" t="s">
        <v>64</v>
      </c>
      <c r="CW676" t="s">
        <v>749</v>
      </c>
      <c r="CX676" t="s">
        <v>18</v>
      </c>
      <c r="CY676" s="4">
        <v>43258</v>
      </c>
      <c r="CZ676" t="s">
        <v>65</v>
      </c>
      <c r="DA676" t="s">
        <v>66</v>
      </c>
      <c r="DB676">
        <v>13</v>
      </c>
      <c r="DC676">
        <v>60.67</v>
      </c>
      <c r="DD676" t="s">
        <v>69</v>
      </c>
      <c r="DE676" t="s">
        <v>70</v>
      </c>
      <c r="DF676">
        <v>788.71</v>
      </c>
    </row>
    <row r="677" spans="66:110" x14ac:dyDescent="0.25">
      <c r="BN677" s="1">
        <f t="shared" si="337"/>
        <v>42976</v>
      </c>
      <c r="BO677" s="2">
        <f>SUM(BO$2:BO167)+AI167*B167</f>
        <v>142602.49999999988</v>
      </c>
      <c r="BP677" s="2">
        <f>SUM(BP$2:BP167)+AJ167*C167</f>
        <v>11372.199999999997</v>
      </c>
      <c r="BQ677" s="2">
        <f>SUM(BQ$2:BQ167)+AK167*D167</f>
        <v>90160.699999999983</v>
      </c>
      <c r="BR677" s="2">
        <f>SUM(BR$2:BR167)+AL167*E167</f>
        <v>25013.099999999977</v>
      </c>
      <c r="BS677" s="2">
        <f>SUM(BS$2:BS167)+AM167*F167</f>
        <v>1605.0999999999985</v>
      </c>
      <c r="BT677" s="2">
        <f>SUM(BT$2:BT167)+AN167*G167</f>
        <v>-6045.5999999999913</v>
      </c>
      <c r="BU677" s="2">
        <f>SUM(BU$2:BU167)+AO167*H167</f>
        <v>-3222.1000000000058</v>
      </c>
      <c r="BV677" s="2">
        <f>SUM(BV$2:BV167)+AP167*I167</f>
        <v>0</v>
      </c>
      <c r="BW677" s="2">
        <f>SUM(BW$2:BW167)+AQ167*J167</f>
        <v>-19030</v>
      </c>
      <c r="BX677" s="2">
        <f>SUM(BX$2:BX167)+AR167*K167</f>
        <v>13940</v>
      </c>
      <c r="BY677" s="2">
        <f>SUM(BY$2:BY167)+AS167*L167</f>
        <v>-18180</v>
      </c>
      <c r="BZ677" s="2">
        <f>SUM(BZ$2:BZ167)+AT167*M167</f>
        <v>740</v>
      </c>
      <c r="CA677" s="2">
        <f>SUM(CA$2:CA167)+AU167*N167</f>
        <v>18020</v>
      </c>
      <c r="CB677" s="2">
        <f>SUM(CB$2:CB167)+AV167*O167</f>
        <v>5130</v>
      </c>
      <c r="CC677" s="2">
        <f>SUM(CC$2:CC167)+AW167*P167</f>
        <v>-20</v>
      </c>
      <c r="CD677" s="2">
        <f>SUM(CD$2:CD167)+AX167*Q167</f>
        <v>14050</v>
      </c>
      <c r="CE677" s="2">
        <f>SUM(CE$2:CE167)+AY167*R167</f>
        <v>27020</v>
      </c>
      <c r="CF677" s="2">
        <f>SUM(CF$2:CF167)+AZ167*S167</f>
        <v>4008</v>
      </c>
      <c r="CG677" s="2">
        <f>SUM(CG$2:CG167)+BA167*T167</f>
        <v>11654.55999999999</v>
      </c>
      <c r="CH677" s="2">
        <f>SUM(CH$2:CH167)+BB167*U167</f>
        <v>1289.669999999991</v>
      </c>
      <c r="CI677" s="2">
        <f>SUM(CI$2:CI167)+BC167*V167</f>
        <v>-3120</v>
      </c>
      <c r="CJ677" s="2">
        <f>SUM(CJ$2:CJ167)+BD167*W167</f>
        <v>-13109.999999999884</v>
      </c>
      <c r="CK677" s="2">
        <f>SUM(CK$2:CK167)+BE167*X167</f>
        <v>19280</v>
      </c>
      <c r="CL677" s="2">
        <f>SUM(CL$2:CL167)+BF167*Y167</f>
        <v>106500</v>
      </c>
      <c r="CM677" s="2">
        <f>SUM(CM$2:CM167)+BG167*Z167</f>
        <v>25435</v>
      </c>
      <c r="CN677" s="2">
        <f>SUM(CN$2:CN167)+BH167*AA167</f>
        <v>57017.499999999942</v>
      </c>
      <c r="CO677" s="2">
        <f>SUM(CO$2:CO167)+BI167*AB167</f>
        <v>-11570</v>
      </c>
      <c r="CP677" s="2">
        <f>SUM(CP$2:CP167)+BJ167*AC167</f>
        <v>-2180</v>
      </c>
      <c r="CQ677" s="2">
        <f>SUM(CQ$2:CQ167)+BK167*AD167</f>
        <v>11160.000000000007</v>
      </c>
      <c r="CR677" s="2">
        <f>SUM(CR$2:CR167)+BL167*AE167</f>
        <v>-11210</v>
      </c>
      <c r="CV677" t="s">
        <v>64</v>
      </c>
      <c r="CW677" t="s">
        <v>750</v>
      </c>
      <c r="CX677" t="s">
        <v>18</v>
      </c>
      <c r="CY677" s="4">
        <v>43259</v>
      </c>
      <c r="CZ677" t="s">
        <v>65</v>
      </c>
      <c r="DA677" t="s">
        <v>66</v>
      </c>
      <c r="DB677">
        <v>39</v>
      </c>
      <c r="DC677">
        <v>61.25</v>
      </c>
      <c r="DD677" t="s">
        <v>69</v>
      </c>
      <c r="DE677" t="s">
        <v>70</v>
      </c>
      <c r="DF677">
        <v>2388.75</v>
      </c>
    </row>
    <row r="678" spans="66:110" x14ac:dyDescent="0.25">
      <c r="BN678" s="1">
        <f t="shared" si="337"/>
        <v>42977</v>
      </c>
      <c r="BO678" s="2">
        <f>SUM(BO$2:BO168)+AI168*B168</f>
        <v>144752.49999999977</v>
      </c>
      <c r="BP678" s="2">
        <f>SUM(BP$2:BP168)+AJ168*C168</f>
        <v>11660.800000000003</v>
      </c>
      <c r="BQ678" s="2">
        <f>SUM(BQ$2:BQ168)+AK168*D168</f>
        <v>90127.399999999965</v>
      </c>
      <c r="BR678" s="2">
        <f>SUM(BR$2:BR168)+AL168*E168</f>
        <v>26666.999999999971</v>
      </c>
      <c r="BS678" s="2">
        <f>SUM(BS$2:BS168)+AM168*F168</f>
        <v>2137.9000000000015</v>
      </c>
      <c r="BT678" s="2">
        <f>SUM(BT$2:BT168)+AN168*G168</f>
        <v>-6189.9000000000087</v>
      </c>
      <c r="BU678" s="2">
        <f>SUM(BU$2:BU168)+AO168*H168</f>
        <v>-2889.1000000000058</v>
      </c>
      <c r="BV678" s="2">
        <f>SUM(BV$2:BV168)+AP168*I168</f>
        <v>0</v>
      </c>
      <c r="BW678" s="2">
        <f>SUM(BW$2:BW168)+AQ168*J168</f>
        <v>-16610</v>
      </c>
      <c r="BX678" s="2">
        <f>SUM(BX$2:BX168)+AR168*K168</f>
        <v>13940</v>
      </c>
      <c r="BY678" s="2">
        <f>SUM(BY$2:BY168)+AS168*L168</f>
        <v>-18720</v>
      </c>
      <c r="BZ678" s="2">
        <f>SUM(BZ$2:BZ168)+AT168*M168</f>
        <v>740</v>
      </c>
      <c r="CA678" s="2">
        <f>SUM(CA$2:CA168)+AU168*N168</f>
        <v>16910</v>
      </c>
      <c r="CB678" s="2">
        <f>SUM(CB$2:CB168)+AV168*O168</f>
        <v>5330</v>
      </c>
      <c r="CC678" s="2">
        <f>SUM(CC$2:CC168)+AW168*P168</f>
        <v>-20</v>
      </c>
      <c r="CD678" s="2">
        <f>SUM(CD$2:CD168)+AX168*Q168</f>
        <v>14050</v>
      </c>
      <c r="CE678" s="2">
        <f>SUM(CE$2:CE168)+AY168*R168</f>
        <v>27020</v>
      </c>
      <c r="CF678" s="2">
        <f>SUM(CF$2:CF168)+AZ168*S168</f>
        <v>4007.9999999999927</v>
      </c>
      <c r="CG678" s="2">
        <f>SUM(CG$2:CG168)+BA168*T168</f>
        <v>12540.979999999989</v>
      </c>
      <c r="CH678" s="2">
        <f>SUM(CH$2:CH168)+BB168*U168</f>
        <v>1109.2999999999884</v>
      </c>
      <c r="CI678" s="2">
        <f>SUM(CI$2:CI168)+BC168*V168</f>
        <v>-3080</v>
      </c>
      <c r="CJ678" s="2">
        <f>SUM(CJ$2:CJ168)+BD168*W168</f>
        <v>-10959.999999999942</v>
      </c>
      <c r="CK678" s="2">
        <f>SUM(CK$2:CK168)+BE168*X168</f>
        <v>13480</v>
      </c>
      <c r="CL678" s="2">
        <f>SUM(CL$2:CL168)+BF168*Y168</f>
        <v>104010</v>
      </c>
      <c r="CM678" s="2">
        <f>SUM(CM$2:CM168)+BG168*Z168</f>
        <v>27610</v>
      </c>
      <c r="CN678" s="2">
        <f>SUM(CN$2:CN168)+BH168*AA168</f>
        <v>56857.499999999942</v>
      </c>
      <c r="CO678" s="2">
        <f>SUM(CO$2:CO168)+BI168*AB168</f>
        <v>-12650</v>
      </c>
      <c r="CP678" s="2">
        <f>SUM(CP$2:CP168)+BJ168*AC168</f>
        <v>-2690</v>
      </c>
      <c r="CQ678" s="2">
        <f>SUM(CQ$2:CQ168)+BK168*AD168</f>
        <v>10940.000000000007</v>
      </c>
      <c r="CR678" s="2">
        <f>SUM(CR$2:CR168)+BL168*AE168</f>
        <v>-11540</v>
      </c>
      <c r="CV678" t="s">
        <v>64</v>
      </c>
      <c r="CW678" t="s">
        <v>751</v>
      </c>
      <c r="CX678" t="s">
        <v>18</v>
      </c>
      <c r="CY678" s="4">
        <v>43262</v>
      </c>
      <c r="CZ678" t="s">
        <v>67</v>
      </c>
      <c r="DA678" t="s">
        <v>68</v>
      </c>
      <c r="DB678">
        <v>77</v>
      </c>
      <c r="DC678">
        <v>61.01</v>
      </c>
      <c r="DD678" t="s">
        <v>69</v>
      </c>
      <c r="DE678" t="s">
        <v>70</v>
      </c>
      <c r="DF678">
        <v>4697.7699999999995</v>
      </c>
    </row>
    <row r="679" spans="66:110" x14ac:dyDescent="0.25">
      <c r="BN679" s="1">
        <f t="shared" si="337"/>
        <v>42978</v>
      </c>
      <c r="BO679" s="2">
        <f>SUM(BO$2:BO169)+AI169*B169</f>
        <v>147952.49999999988</v>
      </c>
      <c r="BP679" s="2">
        <f>SUM(BP$2:BP169)+AJ169*C169</f>
        <v>12115.899999999994</v>
      </c>
      <c r="BQ679" s="2">
        <f>SUM(BQ$2:BQ169)+AK169*D169</f>
        <v>89261.599999999977</v>
      </c>
      <c r="BR679" s="2">
        <f>SUM(BR$2:BR169)+AL169*E169</f>
        <v>26600.39999999998</v>
      </c>
      <c r="BS679" s="2">
        <f>SUM(BS$2:BS169)+AM169*F169</f>
        <v>2371</v>
      </c>
      <c r="BT679" s="2">
        <f>SUM(BT$2:BT169)+AN169*G169</f>
        <v>-6300.9000000000087</v>
      </c>
      <c r="BU679" s="2">
        <f>SUM(BU$2:BU169)+AO169*H169</f>
        <v>-4698.3999999999942</v>
      </c>
      <c r="BV679" s="2">
        <f>SUM(BV$2:BV169)+AP169*I169</f>
        <v>0</v>
      </c>
      <c r="BW679" s="2">
        <f>SUM(BW$2:BW169)+AQ169*J169</f>
        <v>-15310</v>
      </c>
      <c r="BX679" s="2">
        <f>SUM(BX$2:BX169)+AR169*K169</f>
        <v>13940</v>
      </c>
      <c r="BY679" s="2">
        <f>SUM(BY$2:BY169)+AS169*L169</f>
        <v>-18280</v>
      </c>
      <c r="BZ679" s="2">
        <f>SUM(BZ$2:BZ169)+AT169*M169</f>
        <v>740</v>
      </c>
      <c r="CA679" s="2">
        <f>SUM(CA$2:CA169)+AU169*N169</f>
        <v>18170</v>
      </c>
      <c r="CB679" s="2">
        <f>SUM(CB$2:CB169)+AV169*O169</f>
        <v>4930</v>
      </c>
      <c r="CC679" s="2">
        <f>SUM(CC$2:CC169)+AW169*P169</f>
        <v>-20</v>
      </c>
      <c r="CD679" s="2">
        <f>SUM(CD$2:CD169)+AX169*Q169</f>
        <v>14050</v>
      </c>
      <c r="CE679" s="2">
        <f>SUM(CE$2:CE169)+AY169*R169</f>
        <v>27020</v>
      </c>
      <c r="CF679" s="2">
        <f>SUM(CF$2:CF169)+AZ169*S169</f>
        <v>4686.0499999999956</v>
      </c>
      <c r="CG679" s="2">
        <f>SUM(CG$2:CG169)+BA169*T169</f>
        <v>13242.499999999985</v>
      </c>
      <c r="CH679" s="2">
        <f>SUM(CH$2:CH169)+BB169*U169</f>
        <v>1517.3699999999953</v>
      </c>
      <c r="CI679" s="2">
        <f>SUM(CI$2:CI169)+BC169*V169</f>
        <v>-3520</v>
      </c>
      <c r="CJ679" s="2">
        <f>SUM(CJ$2:CJ169)+BD169*W169</f>
        <v>-12859.999999999942</v>
      </c>
      <c r="CK679" s="2">
        <f>SUM(CK$2:CK169)+BE169*X169</f>
        <v>10430</v>
      </c>
      <c r="CL679" s="2">
        <f>SUM(CL$2:CL169)+BF169*Y169</f>
        <v>112860</v>
      </c>
      <c r="CM679" s="2">
        <f>SUM(CM$2:CM169)+BG169*Z169</f>
        <v>27910</v>
      </c>
      <c r="CN679" s="2">
        <f>SUM(CN$2:CN169)+BH169*AA169</f>
        <v>56017.499999999942</v>
      </c>
      <c r="CO679" s="2">
        <f>SUM(CO$2:CO169)+BI169*AB169</f>
        <v>-13070</v>
      </c>
      <c r="CP679" s="2">
        <f>SUM(CP$2:CP169)+BJ169*AC169</f>
        <v>-2285.0000000000146</v>
      </c>
      <c r="CQ679" s="2">
        <f>SUM(CQ$2:CQ169)+BK169*AD169</f>
        <v>10480.000000000007</v>
      </c>
      <c r="CR679" s="2">
        <f>SUM(CR$2:CR169)+BL169*AE169</f>
        <v>-11330</v>
      </c>
      <c r="CV679" t="s">
        <v>64</v>
      </c>
      <c r="CW679" t="s">
        <v>752</v>
      </c>
      <c r="CX679" t="s">
        <v>18</v>
      </c>
      <c r="CY679" s="4">
        <v>43263</v>
      </c>
      <c r="CZ679" t="s">
        <v>65</v>
      </c>
      <c r="DA679" t="s">
        <v>66</v>
      </c>
      <c r="DB679">
        <v>52</v>
      </c>
      <c r="DC679">
        <v>61.11</v>
      </c>
      <c r="DD679" t="s">
        <v>69</v>
      </c>
      <c r="DE679" t="s">
        <v>70</v>
      </c>
      <c r="DF679">
        <v>3177.72</v>
      </c>
    </row>
    <row r="680" spans="66:110" x14ac:dyDescent="0.25">
      <c r="BN680" s="1">
        <f t="shared" si="337"/>
        <v>42979</v>
      </c>
      <c r="BO680" s="2">
        <f>SUM(BO$2:BO170)+AI170*B170</f>
        <v>148202.5</v>
      </c>
      <c r="BP680" s="2">
        <f>SUM(BP$2:BP170)+AJ170*C170</f>
        <v>12160.300000000003</v>
      </c>
      <c r="BQ680" s="2">
        <f>SUM(BQ$2:BQ170)+AK170*D170</f>
        <v>89983.099999999977</v>
      </c>
      <c r="BR680" s="2">
        <f>SUM(BR$2:BR170)+AL170*E170</f>
        <v>27443.999999999971</v>
      </c>
      <c r="BS680" s="2">
        <f>SUM(BS$2:BS170)+AM170*F170</f>
        <v>2470.9000000000015</v>
      </c>
      <c r="BT680" s="2">
        <f>SUM(BT$2:BT170)+AN170*G170</f>
        <v>-5102.1000000000058</v>
      </c>
      <c r="BU680" s="2">
        <f>SUM(BU$2:BU170)+AO170*H170</f>
        <v>-4376.4999999999854</v>
      </c>
      <c r="BV680" s="2">
        <f>SUM(BV$2:BV170)+AP170*I170</f>
        <v>0</v>
      </c>
      <c r="BW680" s="2">
        <f>SUM(BW$2:BW170)+AQ170*J170</f>
        <v>-13210</v>
      </c>
      <c r="BX680" s="2">
        <f>SUM(BX$2:BX170)+AR170*K170</f>
        <v>13940</v>
      </c>
      <c r="BY680" s="2">
        <f>SUM(BY$2:BY170)+AS170*L170</f>
        <v>-17300</v>
      </c>
      <c r="BZ680" s="2">
        <f>SUM(BZ$2:BZ170)+AT170*M170</f>
        <v>740</v>
      </c>
      <c r="CA680" s="2">
        <f>SUM(CA$2:CA170)+AU170*N170</f>
        <v>16870</v>
      </c>
      <c r="CB680" s="2">
        <f>SUM(CB$2:CB170)+AV170*O170</f>
        <v>5710</v>
      </c>
      <c r="CC680" s="2">
        <f>SUM(CC$2:CC170)+AW170*P170</f>
        <v>-20</v>
      </c>
      <c r="CD680" s="2">
        <f>SUM(CD$2:CD170)+AX170*Q170</f>
        <v>14050</v>
      </c>
      <c r="CE680" s="2">
        <f>SUM(CE$2:CE170)+AY170*R170</f>
        <v>27020</v>
      </c>
      <c r="CF680" s="2">
        <f>SUM(CF$2:CF170)+AZ170*S170</f>
        <v>4657.0399999999936</v>
      </c>
      <c r="CG680" s="2">
        <f>SUM(CG$2:CG170)+BA170*T170</f>
        <v>12478.669999999984</v>
      </c>
      <c r="CH680" s="2">
        <f>SUM(CH$2:CH170)+BB170*U170</f>
        <v>2089.7699999999968</v>
      </c>
      <c r="CI680" s="2">
        <f>SUM(CI$2:CI170)+BC170*V170</f>
        <v>-3560</v>
      </c>
      <c r="CJ680" s="2">
        <f>SUM(CJ$2:CJ170)+BD170*W170</f>
        <v>-14109.999999999942</v>
      </c>
      <c r="CK680" s="2">
        <f>SUM(CK$2:CK170)+BE170*X170</f>
        <v>4230</v>
      </c>
      <c r="CL680" s="2">
        <f>SUM(CL$2:CL170)+BF170*Y170</f>
        <v>115380</v>
      </c>
      <c r="CM680" s="2">
        <f>SUM(CM$2:CM170)+BG170*Z170</f>
        <v>23560</v>
      </c>
      <c r="CN680" s="2">
        <f>SUM(CN$2:CN170)+BH170*AA170</f>
        <v>57537.499999999942</v>
      </c>
      <c r="CO680" s="2">
        <f>SUM(CO$2:CO170)+BI170*AB170</f>
        <v>-13220</v>
      </c>
      <c r="CP680" s="2">
        <f>SUM(CP$2:CP170)+BJ170*AC170</f>
        <v>-1880</v>
      </c>
      <c r="CQ680" s="2">
        <f>SUM(CQ$2:CQ170)+BK170*AD170</f>
        <v>10770.000000000007</v>
      </c>
      <c r="CR680" s="2">
        <f>SUM(CR$2:CR170)+BL170*AE170</f>
        <v>-11100</v>
      </c>
      <c r="CV680" t="s">
        <v>64</v>
      </c>
      <c r="CW680" t="s">
        <v>753</v>
      </c>
      <c r="CX680" t="s">
        <v>18</v>
      </c>
      <c r="CY680" s="4">
        <v>43264</v>
      </c>
      <c r="CZ680" t="s">
        <v>65</v>
      </c>
      <c r="DA680" t="s">
        <v>66</v>
      </c>
      <c r="DB680">
        <v>24</v>
      </c>
      <c r="DC680">
        <v>61.26</v>
      </c>
      <c r="DD680" t="s">
        <v>69</v>
      </c>
      <c r="DE680" t="s">
        <v>70</v>
      </c>
      <c r="DF680">
        <v>1470.24</v>
      </c>
    </row>
    <row r="681" spans="66:110" x14ac:dyDescent="0.25">
      <c r="BN681" s="1">
        <f t="shared" si="337"/>
        <v>42983</v>
      </c>
      <c r="BO681" s="2">
        <f>SUM(BO$2:BO171)+AI171*B171</f>
        <v>138552.49999999988</v>
      </c>
      <c r="BP681" s="2">
        <f>SUM(BP$2:BP171)+AJ171*C171</f>
        <v>11241.899999999994</v>
      </c>
      <c r="BQ681" s="2">
        <f>SUM(BQ$2:BQ171)+AK171*D171</f>
        <v>86365.499999999942</v>
      </c>
      <c r="BR681" s="2">
        <f>SUM(BR$2:BR171)+AL171*E171</f>
        <v>27466.39999999998</v>
      </c>
      <c r="BS681" s="2">
        <f>SUM(BS$2:BS171)+AM171*F171</f>
        <v>1742.9000000000015</v>
      </c>
      <c r="BT681" s="2">
        <f>SUM(BT$2:BT171)+AN171*G171</f>
        <v>-4385.3000000000029</v>
      </c>
      <c r="BU681" s="2">
        <f>SUM(BU$2:BU171)+AO171*H171</f>
        <v>-4264.5</v>
      </c>
      <c r="BV681" s="2">
        <f>SUM(BV$2:BV171)+AP171*I171</f>
        <v>-2140.0000000000073</v>
      </c>
      <c r="BW681" s="2">
        <f>SUM(BW$2:BW171)+AQ171*J171</f>
        <v>-21170</v>
      </c>
      <c r="BX681" s="2">
        <f>SUM(BX$2:BX171)+AR171*K171</f>
        <v>13940</v>
      </c>
      <c r="BY681" s="2">
        <f>SUM(BY$2:BY171)+AS171*L171</f>
        <v>-18270</v>
      </c>
      <c r="BZ681" s="2">
        <f>SUM(BZ$2:BZ171)+AT171*M171</f>
        <v>740</v>
      </c>
      <c r="CA681" s="2">
        <f>SUM(CA$2:CA171)+AU171*N171</f>
        <v>15780</v>
      </c>
      <c r="CB681" s="2">
        <f>SUM(CB$2:CB171)+AV171*O171</f>
        <v>3600</v>
      </c>
      <c r="CC681" s="2">
        <f>SUM(CC$2:CC171)+AW171*P171</f>
        <v>-20</v>
      </c>
      <c r="CD681" s="2">
        <f>SUM(CD$2:CD171)+AX171*Q171</f>
        <v>14050</v>
      </c>
      <c r="CE681" s="2">
        <f>SUM(CE$2:CE171)+AY171*R171</f>
        <v>27020</v>
      </c>
      <c r="CF681" s="2">
        <f>SUM(CF$2:CF171)+AZ171*S171</f>
        <v>4464.0400000000009</v>
      </c>
      <c r="CG681" s="2">
        <f>SUM(CG$2:CG171)+BA171*T171</f>
        <v>12164.109999999986</v>
      </c>
      <c r="CH681" s="2">
        <f>SUM(CH$2:CH171)+BB171*U171</f>
        <v>1722.2699999999968</v>
      </c>
      <c r="CI681" s="2">
        <f>SUM(CI$2:CI171)+BC171*V171</f>
        <v>-3410.0000000000036</v>
      </c>
      <c r="CJ681" s="2">
        <f>SUM(CJ$2:CJ171)+BD171*W171</f>
        <v>-15009.999999999942</v>
      </c>
      <c r="CK681" s="2">
        <f>SUM(CK$2:CK171)+BE171*X171</f>
        <v>-17370</v>
      </c>
      <c r="CL681" s="2">
        <f>SUM(CL$2:CL171)+BF171*Y171</f>
        <v>114090</v>
      </c>
      <c r="CM681" s="2">
        <f>SUM(CM$2:CM171)+BG171*Z171</f>
        <v>13825</v>
      </c>
      <c r="CN681" s="2">
        <f>SUM(CN$2:CN171)+BH171*AA171</f>
        <v>53137.499999999942</v>
      </c>
      <c r="CO681" s="2">
        <f>SUM(CO$2:CO171)+BI171*AB171</f>
        <v>-14780</v>
      </c>
      <c r="CP681" s="2">
        <f>SUM(CP$2:CP171)+BJ171*AC171</f>
        <v>-2225</v>
      </c>
      <c r="CQ681" s="2">
        <f>SUM(CQ$2:CQ171)+BK171*AD171</f>
        <v>12160.000000000007</v>
      </c>
      <c r="CR681" s="2">
        <f>SUM(CR$2:CR171)+BL171*AE171</f>
        <v>-10530</v>
      </c>
      <c r="CV681" t="s">
        <v>64</v>
      </c>
      <c r="CW681" t="s">
        <v>754</v>
      </c>
      <c r="CX681" t="s">
        <v>18</v>
      </c>
      <c r="CY681" s="4">
        <v>43265</v>
      </c>
      <c r="CZ681" t="s">
        <v>67</v>
      </c>
      <c r="DA681" t="s">
        <v>68</v>
      </c>
      <c r="DB681">
        <v>79</v>
      </c>
      <c r="DC681">
        <v>60.72</v>
      </c>
      <c r="DD681" t="s">
        <v>69</v>
      </c>
      <c r="DE681" t="s">
        <v>70</v>
      </c>
      <c r="DF681">
        <v>4796.88</v>
      </c>
    </row>
    <row r="682" spans="66:110" x14ac:dyDescent="0.25">
      <c r="BN682" s="1">
        <f t="shared" si="337"/>
        <v>42984</v>
      </c>
      <c r="BO682" s="2">
        <f>SUM(BO$2:BO172)+AI172*B172</f>
        <v>137752.49999999988</v>
      </c>
      <c r="BP682" s="2">
        <f>SUM(BP$2:BP172)+AJ172*C172</f>
        <v>11152.300000000003</v>
      </c>
      <c r="BQ682" s="2">
        <f>SUM(BQ$2:BQ172)+AK172*D172</f>
        <v>83778.29999999993</v>
      </c>
      <c r="BR682" s="2">
        <f>SUM(BR$2:BR172)+AL172*E172</f>
        <v>26043.999999999971</v>
      </c>
      <c r="BS682" s="2">
        <f>SUM(BS$2:BS172)+AM172*F172</f>
        <v>2011.6999999999971</v>
      </c>
      <c r="BT682" s="2">
        <f>SUM(BT$2:BT172)+AN172*G172</f>
        <v>-1898.9000000000087</v>
      </c>
      <c r="BU682" s="2">
        <f>SUM(BU$2:BU172)+AO172*H172</f>
        <v>-4376.4999999999854</v>
      </c>
      <c r="BV682" s="2">
        <f>SUM(BV$2:BV172)+AP172*I172</f>
        <v>-2240.0000000000073</v>
      </c>
      <c r="BW682" s="2">
        <f>SUM(BW$2:BW172)+AQ172*J172</f>
        <v>-20140</v>
      </c>
      <c r="BX682" s="2">
        <f>SUM(BX$2:BX172)+AR172*K172</f>
        <v>13940</v>
      </c>
      <c r="BY682" s="2">
        <f>SUM(BY$2:BY172)+AS172*L172</f>
        <v>-17540</v>
      </c>
      <c r="BZ682" s="2">
        <f>SUM(BZ$2:BZ172)+AT172*M172</f>
        <v>740</v>
      </c>
      <c r="CA682" s="2">
        <f>SUM(CA$2:CA172)+AU172*N172</f>
        <v>16530</v>
      </c>
      <c r="CB682" s="2">
        <f>SUM(CB$2:CB172)+AV172*O172</f>
        <v>4170</v>
      </c>
      <c r="CC682" s="2">
        <f>SUM(CC$2:CC172)+AW172*P172</f>
        <v>-20</v>
      </c>
      <c r="CD682" s="2">
        <f>SUM(CD$2:CD172)+AX172*Q172</f>
        <v>14050</v>
      </c>
      <c r="CE682" s="2">
        <f>SUM(CE$2:CE172)+AY172*R172</f>
        <v>27020</v>
      </c>
      <c r="CF682" s="2">
        <f>SUM(CF$2:CF172)+AZ172*S172</f>
        <v>4816.1199999999953</v>
      </c>
      <c r="CG682" s="2">
        <f>SUM(CG$2:CG172)+BA172*T172</f>
        <v>11962.509999999987</v>
      </c>
      <c r="CH682" s="2">
        <f>SUM(CH$2:CH172)+BB172*U172</f>
        <v>1482.2699999999968</v>
      </c>
      <c r="CI682" s="2">
        <f>SUM(CI$2:CI172)+BC172*V172</f>
        <v>-3590.0000000000036</v>
      </c>
      <c r="CJ682" s="2">
        <f>SUM(CJ$2:CJ172)+BD172*W172</f>
        <v>-15009.999999999942</v>
      </c>
      <c r="CK682" s="2">
        <f>SUM(CK$2:CK172)+BE172*X172</f>
        <v>-6220</v>
      </c>
      <c r="CL682" s="2">
        <f>SUM(CL$2:CL172)+BF172*Y172</f>
        <v>111330</v>
      </c>
      <c r="CM682" s="2">
        <f>SUM(CM$2:CM172)+BG172*Z172</f>
        <v>11500</v>
      </c>
      <c r="CN682" s="2">
        <f>SUM(CN$2:CN172)+BH172*AA172</f>
        <v>53987.499999999942</v>
      </c>
      <c r="CO682" s="2">
        <f>SUM(CO$2:CO172)+BI172*AB172</f>
        <v>-16040</v>
      </c>
      <c r="CP682" s="2">
        <f>SUM(CP$2:CP172)+BJ172*AC172</f>
        <v>-2660.0000000000146</v>
      </c>
      <c r="CQ682" s="2">
        <f>SUM(CQ$2:CQ172)+BK172*AD172</f>
        <v>12430.000000000007</v>
      </c>
      <c r="CR682" s="2">
        <f>SUM(CR$2:CR172)+BL172*AE172</f>
        <v>-9020</v>
      </c>
      <c r="CV682" t="s">
        <v>64</v>
      </c>
      <c r="CW682" t="s">
        <v>755</v>
      </c>
      <c r="CX682" t="s">
        <v>18</v>
      </c>
      <c r="CY682" s="4">
        <v>43266</v>
      </c>
      <c r="CZ682" t="s">
        <v>65</v>
      </c>
      <c r="DA682" t="s">
        <v>66</v>
      </c>
      <c r="DB682">
        <v>60</v>
      </c>
      <c r="DC682">
        <v>61.18</v>
      </c>
      <c r="DD682" t="s">
        <v>69</v>
      </c>
      <c r="DE682" t="s">
        <v>70</v>
      </c>
      <c r="DF682">
        <v>3670.8</v>
      </c>
    </row>
    <row r="683" spans="66:110" x14ac:dyDescent="0.25">
      <c r="BN683" s="1">
        <f t="shared" si="337"/>
        <v>42985</v>
      </c>
      <c r="BO683" s="2">
        <f>SUM(BO$2:BO173)+AI173*B173</f>
        <v>134552.49999999988</v>
      </c>
      <c r="BP683" s="2">
        <f>SUM(BP$2:BP173)+AJ173*C173</f>
        <v>10256.300000000003</v>
      </c>
      <c r="BQ683" s="2">
        <f>SUM(BQ$2:BQ173)+AK173*D173</f>
        <v>85615.099999999948</v>
      </c>
      <c r="BR683" s="2">
        <f>SUM(BR$2:BR173)+AL173*E173</f>
        <v>26895.199999999983</v>
      </c>
      <c r="BS683" s="2">
        <f>SUM(BS$2:BS173)+AM173*F173</f>
        <v>1888.5</v>
      </c>
      <c r="BT683" s="2">
        <f>SUM(BT$2:BT173)+AN173*G173</f>
        <v>-1887.6999999999971</v>
      </c>
      <c r="BU683" s="2">
        <f>SUM(BU$2:BU173)+AO173*H173</f>
        <v>-9237.2999999999884</v>
      </c>
      <c r="BV683" s="2">
        <f>SUM(BV$2:BV173)+AP173*I173</f>
        <v>-2430.0000000000073</v>
      </c>
      <c r="BW683" s="2">
        <f>SUM(BW$2:BW173)+AQ173*J173</f>
        <v>-23080</v>
      </c>
      <c r="BX683" s="2">
        <f>SUM(BX$2:BX173)+AR173*K173</f>
        <v>13940</v>
      </c>
      <c r="BY683" s="2">
        <f>SUM(BY$2:BY173)+AS173*L173</f>
        <v>-18410</v>
      </c>
      <c r="BZ683" s="2">
        <f>SUM(BZ$2:BZ173)+AT173*M173</f>
        <v>740</v>
      </c>
      <c r="CA683" s="2">
        <f>SUM(CA$2:CA173)+AU173*N173</f>
        <v>18000</v>
      </c>
      <c r="CB683" s="2">
        <f>SUM(CB$2:CB173)+AV173*O173</f>
        <v>2650</v>
      </c>
      <c r="CC683" s="2">
        <f>SUM(CC$2:CC173)+AW173*P173</f>
        <v>-20</v>
      </c>
      <c r="CD683" s="2">
        <f>SUM(CD$2:CD173)+AX173*Q173</f>
        <v>14050</v>
      </c>
      <c r="CE683" s="2">
        <f>SUM(CE$2:CE173)+AY173*R173</f>
        <v>27020</v>
      </c>
      <c r="CF683" s="2">
        <f>SUM(CF$2:CF173)+AZ173*S173</f>
        <v>5119.919999999991</v>
      </c>
      <c r="CG683" s="2">
        <f>SUM(CG$2:CG173)+BA173*T173</f>
        <v>12842.949999999983</v>
      </c>
      <c r="CH683" s="2">
        <f>SUM(CH$2:CH173)+BB173*U173</f>
        <v>1142.9799999999959</v>
      </c>
      <c r="CI683" s="2">
        <f>SUM(CI$2:CI173)+BC173*V173</f>
        <v>-3590.0000000000036</v>
      </c>
      <c r="CJ683" s="2">
        <f>SUM(CJ$2:CJ173)+BD173*W173</f>
        <v>-16209.999999999942</v>
      </c>
      <c r="CK683" s="2">
        <f>SUM(CK$2:CK173)+BE173*X173</f>
        <v>-15120</v>
      </c>
      <c r="CL683" s="2">
        <f>SUM(CL$2:CL173)+BF173*Y173</f>
        <v>112950</v>
      </c>
      <c r="CM683" s="2">
        <f>SUM(CM$2:CM173)+BG173*Z173</f>
        <v>12040</v>
      </c>
      <c r="CN683" s="2">
        <f>SUM(CN$2:CN173)+BH173*AA173</f>
        <v>60787.499999999942</v>
      </c>
      <c r="CO683" s="2">
        <f>SUM(CO$2:CO173)+BI173*AB173</f>
        <v>-18049.999999999985</v>
      </c>
      <c r="CP683" s="2">
        <f>SUM(CP$2:CP173)+BJ173*AC173</f>
        <v>-2374.9999999999854</v>
      </c>
      <c r="CQ683" s="2">
        <f>SUM(CQ$2:CQ173)+BK173*AD173</f>
        <v>12470.000000000007</v>
      </c>
      <c r="CR683" s="2">
        <f>SUM(CR$2:CR173)+BL173*AE173</f>
        <v>-8790</v>
      </c>
      <c r="CV683" t="s">
        <v>64</v>
      </c>
      <c r="CW683" t="s">
        <v>756</v>
      </c>
      <c r="CX683" t="s">
        <v>18</v>
      </c>
      <c r="CY683" s="4">
        <v>43269</v>
      </c>
      <c r="CZ683" t="s">
        <v>67</v>
      </c>
      <c r="DA683" t="s">
        <v>68</v>
      </c>
      <c r="DB683">
        <v>73</v>
      </c>
      <c r="DC683">
        <v>60.16</v>
      </c>
      <c r="DD683" t="s">
        <v>69</v>
      </c>
      <c r="DE683" t="s">
        <v>70</v>
      </c>
      <c r="DF683">
        <v>4391.6799999999994</v>
      </c>
    </row>
    <row r="684" spans="66:110" x14ac:dyDescent="0.25">
      <c r="BN684" s="1">
        <f t="shared" si="337"/>
        <v>42986</v>
      </c>
      <c r="BO684" s="2">
        <f>SUM(BO$2:BO174)+AI174*B174</f>
        <v>121702.49999999988</v>
      </c>
      <c r="BP684" s="2">
        <f>SUM(BP$2:BP174)+AJ174*C174</f>
        <v>10077.100000000006</v>
      </c>
      <c r="BQ684" s="2">
        <f>SUM(BQ$2:BQ174)+AK174*D174</f>
        <v>88303.099999999977</v>
      </c>
      <c r="BR684" s="2">
        <f>SUM(BR$2:BR174)+AL174*E174</f>
        <v>26951.199999999968</v>
      </c>
      <c r="BS684" s="2">
        <f>SUM(BS$2:BS174)+AM174*F174</f>
        <v>1597.2999999999956</v>
      </c>
      <c r="BT684" s="2">
        <f>SUM(BT$2:BT174)+AN174*G174</f>
        <v>-2974.0999999999913</v>
      </c>
      <c r="BU684" s="2">
        <f>SUM(BU$2:BU174)+AO174*H174</f>
        <v>-9226.0999999999913</v>
      </c>
      <c r="BV684" s="2">
        <f>SUM(BV$2:BV174)+AP174*I174</f>
        <v>-2260.0000000000073</v>
      </c>
      <c r="BW684" s="2">
        <f>SUM(BW$2:BW174)+AQ174*J174</f>
        <v>-21730</v>
      </c>
      <c r="BX684" s="2">
        <f>SUM(BX$2:BX174)+AR174*K174</f>
        <v>13940</v>
      </c>
      <c r="BY684" s="2">
        <f>SUM(BY$2:BY174)+AS174*L174</f>
        <v>-18830</v>
      </c>
      <c r="BZ684" s="2">
        <f>SUM(BZ$2:BZ174)+AT174*M174</f>
        <v>740</v>
      </c>
      <c r="CA684" s="2">
        <f>SUM(CA$2:CA174)+AU174*N174</f>
        <v>16830</v>
      </c>
      <c r="CB684" s="2">
        <f>SUM(CB$2:CB174)+AV174*O174</f>
        <v>2550</v>
      </c>
      <c r="CC684" s="2">
        <f>SUM(CC$2:CC174)+AW174*P174</f>
        <v>-20</v>
      </c>
      <c r="CD684" s="2">
        <f>SUM(CD$2:CD174)+AX174*Q174</f>
        <v>14050</v>
      </c>
      <c r="CE684" s="2">
        <f>SUM(CE$2:CE174)+AY174*R174</f>
        <v>27020</v>
      </c>
      <c r="CF684" s="2">
        <f>SUM(CF$2:CF174)+AZ174*S174</f>
        <v>5068.1199999999953</v>
      </c>
      <c r="CG684" s="2">
        <f>SUM(CG$2:CG174)+BA174*T174</f>
        <v>12505.19999999999</v>
      </c>
      <c r="CH684" s="2">
        <f>SUM(CH$2:CH174)+BB174*U174</f>
        <v>950.91999999999825</v>
      </c>
      <c r="CI684" s="2">
        <f>SUM(CI$2:CI174)+BC174*V174</f>
        <v>-3690.0000000000036</v>
      </c>
      <c r="CJ684" s="2">
        <f>SUM(CJ$2:CJ174)+BD174*W174</f>
        <v>-15559.999999999942</v>
      </c>
      <c r="CK684" s="2">
        <f>SUM(CK$2:CK174)+BE174*X174</f>
        <v>7130</v>
      </c>
      <c r="CL684" s="2">
        <f>SUM(CL$2:CL174)+BF174*Y174</f>
        <v>111690</v>
      </c>
      <c r="CM684" s="2">
        <f>SUM(CM$2:CM174)+BG174*Z174</f>
        <v>11425</v>
      </c>
      <c r="CN684" s="2">
        <f>SUM(CN$2:CN174)+BH174*AA174</f>
        <v>60332.499999999942</v>
      </c>
      <c r="CO684" s="2">
        <f>SUM(CO$2:CO174)+BI174*AB174</f>
        <v>-18290.000000000015</v>
      </c>
      <c r="CP684" s="2">
        <f>SUM(CP$2:CP174)+BJ174*AC174</f>
        <v>-2135</v>
      </c>
      <c r="CQ684" s="2">
        <f>SUM(CQ$2:CQ174)+BK174*AD174</f>
        <v>11270.000000000007</v>
      </c>
      <c r="CR684" s="2">
        <f>SUM(CR$2:CR174)+BL174*AE174</f>
        <v>-8980</v>
      </c>
      <c r="CV684" t="s">
        <v>64</v>
      </c>
      <c r="CW684" t="s">
        <v>757</v>
      </c>
      <c r="CX684" t="s">
        <v>18</v>
      </c>
      <c r="CY684" s="4">
        <v>43270</v>
      </c>
      <c r="CZ684" t="s">
        <v>65</v>
      </c>
      <c r="DA684" t="s">
        <v>66</v>
      </c>
      <c r="DB684">
        <v>94</v>
      </c>
      <c r="DC684">
        <v>60.19</v>
      </c>
      <c r="DD684" t="s">
        <v>69</v>
      </c>
      <c r="DE684" t="s">
        <v>70</v>
      </c>
      <c r="DF684">
        <v>5657.86</v>
      </c>
    </row>
    <row r="685" spans="66:110" x14ac:dyDescent="0.25">
      <c r="BN685" s="1">
        <f t="shared" si="337"/>
        <v>42989</v>
      </c>
      <c r="BO685" s="2">
        <f>SUM(BO$2:BO175)+AI175*B175</f>
        <v>135702.5</v>
      </c>
      <c r="BP685" s="2">
        <f>SUM(BP$2:BP175)+AJ175*C175</f>
        <v>11656.300000000003</v>
      </c>
      <c r="BQ685" s="2">
        <f>SUM(BQ$2:BQ175)+AK175*D175</f>
        <v>90263.099999999977</v>
      </c>
      <c r="BR685" s="2">
        <f>SUM(BR$2:BR175)+AL175*E175</f>
        <v>28082.39999999998</v>
      </c>
      <c r="BS685" s="2">
        <f>SUM(BS$2:BS175)+AM175*F175</f>
        <v>2347.6999999999971</v>
      </c>
      <c r="BT685" s="2">
        <f>SUM(BT$2:BT175)+AN175*G175</f>
        <v>-1126.1000000000058</v>
      </c>
      <c r="BU685" s="2">
        <f>SUM(BU$2:BU175)+AO175*H175</f>
        <v>-9203.6999999999971</v>
      </c>
      <c r="BV685" s="2">
        <f>SUM(BV$2:BV175)+AP175*I175</f>
        <v>-320.00000000000728</v>
      </c>
      <c r="BW685" s="2">
        <f>SUM(BW$2:BW175)+AQ175*J175</f>
        <v>-17950</v>
      </c>
      <c r="BX685" s="2">
        <f>SUM(BX$2:BX175)+AR175*K175</f>
        <v>13940</v>
      </c>
      <c r="BY685" s="2">
        <f>SUM(BY$2:BY175)+AS175*L175</f>
        <v>-16570</v>
      </c>
      <c r="BZ685" s="2">
        <f>SUM(BZ$2:BZ175)+AT175*M175</f>
        <v>740</v>
      </c>
      <c r="CA685" s="2">
        <f>SUM(CA$2:CA175)+AU175*N175</f>
        <v>18980</v>
      </c>
      <c r="CB685" s="2">
        <f>SUM(CB$2:CB175)+AV175*O175</f>
        <v>3870</v>
      </c>
      <c r="CC685" s="2">
        <f>SUM(CC$2:CC175)+AW175*P175</f>
        <v>-20</v>
      </c>
      <c r="CD685" s="2">
        <f>SUM(CD$2:CD175)+AX175*Q175</f>
        <v>14050</v>
      </c>
      <c r="CE685" s="2">
        <f>SUM(CE$2:CE175)+AY175*R175</f>
        <v>27020</v>
      </c>
      <c r="CF685" s="2">
        <f>SUM(CF$2:CF175)+AZ175*S175</f>
        <v>5886.4799999999959</v>
      </c>
      <c r="CG685" s="2">
        <f>SUM(CG$2:CG175)+BA175*T175</f>
        <v>13270.51999999999</v>
      </c>
      <c r="CH685" s="2">
        <f>SUM(CH$2:CH175)+BB175*U175</f>
        <v>1789.2699999999968</v>
      </c>
      <c r="CI685" s="2">
        <f>SUM(CI$2:CI175)+BC175*V175</f>
        <v>-3899.9999999999964</v>
      </c>
      <c r="CJ685" s="2">
        <f>SUM(CJ$2:CJ175)+BD175*W175</f>
        <v>-21059.999999999942</v>
      </c>
      <c r="CK685" s="2">
        <f>SUM(CK$2:CK175)+BE175*X175</f>
        <v>20730</v>
      </c>
      <c r="CL685" s="2">
        <f>SUM(CL$2:CL175)+BF175*Y175</f>
        <v>117090</v>
      </c>
      <c r="CM685" s="2">
        <f>SUM(CM$2:CM175)+BG175*Z175</f>
        <v>11545</v>
      </c>
      <c r="CN685" s="2">
        <f>SUM(CN$2:CN175)+BH175*AA175</f>
        <v>62042.499999999942</v>
      </c>
      <c r="CO685" s="2">
        <f>SUM(CO$2:CO175)+BI175*AB175</f>
        <v>-17750.000000000015</v>
      </c>
      <c r="CP685" s="2">
        <f>SUM(CP$2:CP175)+BJ175*AC175</f>
        <v>-3425</v>
      </c>
      <c r="CQ685" s="2">
        <f>SUM(CQ$2:CQ175)+BK175*AD175</f>
        <v>11460.000000000007</v>
      </c>
      <c r="CR685" s="2">
        <f>SUM(CR$2:CR175)+BL175*AE175</f>
        <v>-8580</v>
      </c>
      <c r="CV685" t="s">
        <v>64</v>
      </c>
      <c r="CW685" t="s">
        <v>758</v>
      </c>
      <c r="CX685" t="s">
        <v>18</v>
      </c>
      <c r="CY685" s="4">
        <v>43271</v>
      </c>
      <c r="CZ685" t="s">
        <v>67</v>
      </c>
      <c r="DA685" t="s">
        <v>68</v>
      </c>
      <c r="DB685">
        <v>48</v>
      </c>
      <c r="DC685">
        <v>60.44</v>
      </c>
      <c r="DD685" t="s">
        <v>69</v>
      </c>
      <c r="DE685" t="s">
        <v>70</v>
      </c>
      <c r="DF685">
        <v>2901.12</v>
      </c>
    </row>
    <row r="686" spans="66:110" x14ac:dyDescent="0.25">
      <c r="BN686" s="1">
        <f t="shared" si="337"/>
        <v>42990</v>
      </c>
      <c r="BO686" s="2">
        <f>SUM(BO$2:BO176)+AI176*B176</f>
        <v>132602.49999999988</v>
      </c>
      <c r="BP686" s="2">
        <f>SUM(BP$2:BP176)+AJ176*C176</f>
        <v>12608.300000000003</v>
      </c>
      <c r="BQ686" s="2">
        <f>SUM(BQ$2:BQ176)+AK176*D176</f>
        <v>90251.899999999936</v>
      </c>
      <c r="BR686" s="2">
        <f>SUM(BR$2:BR176)+AL176*E176</f>
        <v>30322.39999999998</v>
      </c>
      <c r="BS686" s="2">
        <f>SUM(BS$2:BS176)+AM176*F176</f>
        <v>2594.0999999999985</v>
      </c>
      <c r="BT686" s="2">
        <f>SUM(BT$2:BT176)+AN176*G176</f>
        <v>-1159.7000000000116</v>
      </c>
      <c r="BU686" s="2">
        <f>SUM(BU$2:BU176)+AO176*H176</f>
        <v>-8330.0999999999913</v>
      </c>
      <c r="BV686" s="2">
        <f>SUM(BV$2:BV176)+AP176*I176</f>
        <v>1299.9999999999927</v>
      </c>
      <c r="BW686" s="2">
        <f>SUM(BW$2:BW176)+AQ176*J176</f>
        <v>-13140</v>
      </c>
      <c r="BX686" s="2">
        <f>SUM(BX$2:BX176)+AR176*K176</f>
        <v>13940</v>
      </c>
      <c r="BY686" s="2">
        <f>SUM(BY$2:BY176)+AS176*L176</f>
        <v>-15730</v>
      </c>
      <c r="BZ686" s="2">
        <f>SUM(BZ$2:BZ176)+AT176*M176</f>
        <v>740</v>
      </c>
      <c r="CA686" s="2">
        <f>SUM(CA$2:CA176)+AU176*N176</f>
        <v>18420</v>
      </c>
      <c r="CB686" s="2">
        <f>SUM(CB$2:CB176)+AV176*O176</f>
        <v>4930</v>
      </c>
      <c r="CC686" s="2">
        <f>SUM(CC$2:CC176)+AW176*P176</f>
        <v>-20</v>
      </c>
      <c r="CD686" s="2">
        <f>SUM(CD$2:CD176)+AX176*Q176</f>
        <v>14050</v>
      </c>
      <c r="CE686" s="2">
        <f>SUM(CE$2:CE176)+AY176*R176</f>
        <v>27020</v>
      </c>
      <c r="CF686" s="2">
        <f>SUM(CF$2:CF176)+AZ176*S176</f>
        <v>6205.5199999999968</v>
      </c>
      <c r="CG686" s="2">
        <f>SUM(CG$2:CG176)+BA176*T176</f>
        <v>13194.599999999991</v>
      </c>
      <c r="CH686" s="2">
        <f>SUM(CH$2:CH176)+BB176*U176</f>
        <v>2171.8500000000058</v>
      </c>
      <c r="CI686" s="2">
        <f>SUM(CI$2:CI176)+BC176*V176</f>
        <v>-4900</v>
      </c>
      <c r="CJ686" s="2">
        <f>SUM(CJ$2:CJ176)+BD176*W176</f>
        <v>-18759.999999999942</v>
      </c>
      <c r="CK686" s="2">
        <f>SUM(CK$2:CK176)+BE176*X176</f>
        <v>20330</v>
      </c>
      <c r="CL686" s="2">
        <f>SUM(CL$2:CL176)+BF176*Y176</f>
        <v>110880</v>
      </c>
      <c r="CM686" s="2">
        <f>SUM(CM$2:CM176)+BG176*Z176</f>
        <v>11820</v>
      </c>
      <c r="CN686" s="2">
        <f>SUM(CN$2:CN176)+BH176*AA176</f>
        <v>62042.499999999942</v>
      </c>
      <c r="CO686" s="2">
        <f>SUM(CO$2:CO176)+BI176*AB176</f>
        <v>-16400</v>
      </c>
      <c r="CP686" s="2">
        <f>SUM(CP$2:CP176)+BJ176*AC176</f>
        <v>-4084.9999999999854</v>
      </c>
      <c r="CQ686" s="2">
        <f>SUM(CQ$2:CQ176)+BK176*AD176</f>
        <v>11980.000000000007</v>
      </c>
      <c r="CR686" s="2">
        <f>SUM(CR$2:CR176)+BL176*AE176</f>
        <v>-8340</v>
      </c>
      <c r="CV686" t="s">
        <v>64</v>
      </c>
      <c r="CW686" t="s">
        <v>759</v>
      </c>
      <c r="CX686" t="s">
        <v>18</v>
      </c>
      <c r="CY686" s="4">
        <v>43272</v>
      </c>
      <c r="CZ686" t="s">
        <v>67</v>
      </c>
      <c r="DA686" t="s">
        <v>68</v>
      </c>
      <c r="DB686">
        <v>40</v>
      </c>
      <c r="DC686">
        <v>60.34</v>
      </c>
      <c r="DD686" t="s">
        <v>69</v>
      </c>
      <c r="DE686" t="s">
        <v>70</v>
      </c>
      <c r="DF686">
        <v>2413.6000000000004</v>
      </c>
    </row>
    <row r="687" spans="66:110" x14ac:dyDescent="0.25">
      <c r="BN687" s="1">
        <f t="shared" si="337"/>
        <v>42991</v>
      </c>
      <c r="BO687" s="2">
        <f>SUM(BO$2:BO177)+AI177*B177</f>
        <v>126702.49999999988</v>
      </c>
      <c r="BP687" s="2">
        <f>SUM(BP$2:BP177)+AJ177*C177</f>
        <v>12709.100000000006</v>
      </c>
      <c r="BQ687" s="2">
        <f>SUM(BQ$2:BQ177)+AK177*D177</f>
        <v>91719.099999999919</v>
      </c>
      <c r="BR687" s="2">
        <f>SUM(BR$2:BR177)+AL177*E177</f>
        <v>28911.199999999968</v>
      </c>
      <c r="BS687" s="2">
        <f>SUM(BS$2:BS177)+AM177*F177</f>
        <v>2347.6999999999971</v>
      </c>
      <c r="BT687" s="2">
        <f>SUM(BT$2:BT177)+AN177*G177</f>
        <v>621.09999999999127</v>
      </c>
      <c r="BU687" s="2">
        <f>SUM(BU$2:BU177)+AO177*H177</f>
        <v>-7310.8999999999942</v>
      </c>
      <c r="BV687" s="2">
        <f>SUM(BV$2:BV177)+AP177*I177</f>
        <v>2259.9999999999927</v>
      </c>
      <c r="BW687" s="2">
        <f>SUM(BW$2:BW177)+AQ177*J177</f>
        <v>-12540</v>
      </c>
      <c r="BX687" s="2">
        <f>SUM(BX$2:BX177)+AR177*K177</f>
        <v>13940</v>
      </c>
      <c r="BY687" s="2">
        <f>SUM(BY$2:BY177)+AS177*L177</f>
        <v>-15510</v>
      </c>
      <c r="BZ687" s="2">
        <f>SUM(BZ$2:BZ177)+AT177*M177</f>
        <v>740</v>
      </c>
      <c r="CA687" s="2">
        <f>SUM(CA$2:CA177)+AU177*N177</f>
        <v>18249.999999999985</v>
      </c>
      <c r="CB687" s="2">
        <f>SUM(CB$2:CB177)+AV177*O177</f>
        <v>5180</v>
      </c>
      <c r="CC687" s="2">
        <f>SUM(CC$2:CC177)+AW177*P177</f>
        <v>-20</v>
      </c>
      <c r="CD687" s="2">
        <f>SUM(CD$2:CD177)+AX177*Q177</f>
        <v>14050</v>
      </c>
      <c r="CE687" s="2">
        <f>SUM(CE$2:CE177)+AY177*R177</f>
        <v>27020</v>
      </c>
      <c r="CF687" s="2">
        <f>SUM(CF$2:CF177)+AZ177*S177</f>
        <v>6195.5199999999968</v>
      </c>
      <c r="CG687" s="2">
        <f>SUM(CG$2:CG177)+BA177*T177</f>
        <v>13743.719999999987</v>
      </c>
      <c r="CH687" s="2">
        <f>SUM(CH$2:CH177)+BB177*U177</f>
        <v>2287.7700000000041</v>
      </c>
      <c r="CI687" s="2">
        <f>SUM(CI$2:CI177)+BC177*V177</f>
        <v>-4600</v>
      </c>
      <c r="CJ687" s="2">
        <f>SUM(CJ$2:CJ177)+BD177*W177</f>
        <v>-18959.999999999942</v>
      </c>
      <c r="CK687" s="2">
        <f>SUM(CK$2:CK177)+BE177*X177</f>
        <v>15630</v>
      </c>
      <c r="CL687" s="2">
        <f>SUM(CL$2:CL177)+BF177*Y177</f>
        <v>113400</v>
      </c>
      <c r="CM687" s="2">
        <f>SUM(CM$2:CM177)+BG177*Z177</f>
        <v>12320</v>
      </c>
      <c r="CN687" s="2">
        <f>SUM(CN$2:CN177)+BH177*AA177</f>
        <v>62042.499999999942</v>
      </c>
      <c r="CO687" s="2">
        <f>SUM(CO$2:CO177)+BI177*AB177</f>
        <v>-15110</v>
      </c>
      <c r="CP687" s="2">
        <f>SUM(CP$2:CP177)+BJ177*AC177</f>
        <v>-4070</v>
      </c>
      <c r="CQ687" s="2">
        <f>SUM(CQ$2:CQ177)+BK177*AD177</f>
        <v>12220.000000000007</v>
      </c>
      <c r="CR687" s="2">
        <f>SUM(CR$2:CR177)+BL177*AE177</f>
        <v>-8090</v>
      </c>
      <c r="CV687" t="s">
        <v>64</v>
      </c>
      <c r="CW687" t="s">
        <v>760</v>
      </c>
      <c r="CX687" t="s">
        <v>18</v>
      </c>
      <c r="CY687" s="4">
        <v>43273</v>
      </c>
      <c r="CZ687" t="s">
        <v>65</v>
      </c>
      <c r="DA687" t="s">
        <v>66</v>
      </c>
      <c r="DB687">
        <v>28</v>
      </c>
      <c r="DC687">
        <v>60.63</v>
      </c>
      <c r="DD687" t="s">
        <v>69</v>
      </c>
      <c r="DE687" t="s">
        <v>70</v>
      </c>
      <c r="DF687">
        <v>1697.64</v>
      </c>
    </row>
    <row r="688" spans="66:110" x14ac:dyDescent="0.25">
      <c r="BN688" s="1">
        <f t="shared" si="337"/>
        <v>42992</v>
      </c>
      <c r="BO688" s="2">
        <f>SUM(BO$2:BO178)+AI178*B178</f>
        <v>120002.49999999988</v>
      </c>
      <c r="BP688" s="2">
        <f>SUM(BP$2:BP178)+AJ178*C178</f>
        <v>12216.300000000003</v>
      </c>
      <c r="BQ688" s="2">
        <f>SUM(BQ$2:BQ178)+AK178*D178</f>
        <v>95314.29999999993</v>
      </c>
      <c r="BR688" s="2">
        <f>SUM(BR$2:BR178)+AL178*E178</f>
        <v>29829.599999999977</v>
      </c>
      <c r="BS688" s="2">
        <f>SUM(BS$2:BS178)+AM178*F178</f>
        <v>2347.6999999999971</v>
      </c>
      <c r="BT688" s="2">
        <f>SUM(BT$2:BT178)+AN178*G178</f>
        <v>912.30000000000291</v>
      </c>
      <c r="BU688" s="2">
        <f>SUM(BU$2:BU178)+AO178*H178</f>
        <v>-8318.8999999999942</v>
      </c>
      <c r="BV688" s="2">
        <f>SUM(BV$2:BV178)+AP178*I178</f>
        <v>2759.9999999999927</v>
      </c>
      <c r="BW688" s="2">
        <f>SUM(BW$2:BW178)+AQ178*J178</f>
        <v>-12250</v>
      </c>
      <c r="BX688" s="2">
        <f>SUM(BX$2:BX178)+AR178*K178</f>
        <v>13940</v>
      </c>
      <c r="BY688" s="2">
        <f>SUM(BY$2:BY178)+AS178*L178</f>
        <v>-15930</v>
      </c>
      <c r="BZ688" s="2">
        <f>SUM(BZ$2:BZ178)+AT178*M178</f>
        <v>740</v>
      </c>
      <c r="CA688" s="2">
        <f>SUM(CA$2:CA178)+AU178*N178</f>
        <v>19920</v>
      </c>
      <c r="CB688" s="2">
        <f>SUM(CB$2:CB178)+AV178*O178</f>
        <v>5000</v>
      </c>
      <c r="CC688" s="2">
        <f>SUM(CC$2:CC178)+AW178*P178</f>
        <v>-20</v>
      </c>
      <c r="CD688" s="2">
        <f>SUM(CD$2:CD178)+AX178*Q178</f>
        <v>14050</v>
      </c>
      <c r="CE688" s="2">
        <f>SUM(CE$2:CE178)+AY178*R178</f>
        <v>27020</v>
      </c>
      <c r="CF688" s="2">
        <f>SUM(CF$2:CF178)+AZ178*S178</f>
        <v>7329.1199999999881</v>
      </c>
      <c r="CG688" s="2">
        <f>SUM(CG$2:CG178)+BA178*T178</f>
        <v>13342.959999999985</v>
      </c>
      <c r="CH688" s="2">
        <f>SUM(CH$2:CH178)+BB178*U178</f>
        <v>2500.3700000000026</v>
      </c>
      <c r="CI688" s="2">
        <f>SUM(CI$2:CI178)+BC178*V178</f>
        <v>-5240</v>
      </c>
      <c r="CJ688" s="2">
        <f>SUM(CJ$2:CJ178)+BD178*W178</f>
        <v>-18959.999999999942</v>
      </c>
      <c r="CK688" s="2">
        <f>SUM(CK$2:CK178)+BE178*X178</f>
        <v>8080</v>
      </c>
      <c r="CL688" s="2">
        <f>SUM(CL$2:CL178)+BF178*Y178</f>
        <v>111630</v>
      </c>
      <c r="CM688" s="2">
        <f>SUM(CM$2:CM178)+BG178*Z178</f>
        <v>19245</v>
      </c>
      <c r="CN688" s="2">
        <f>SUM(CN$2:CN178)+BH178*AA178</f>
        <v>62042.499999999942</v>
      </c>
      <c r="CO688" s="2">
        <f>SUM(CO$2:CO178)+BI178*AB178</f>
        <v>-15290</v>
      </c>
      <c r="CP688" s="2">
        <f>SUM(CP$2:CP178)+BJ178*AC178</f>
        <v>-3020</v>
      </c>
      <c r="CQ688" s="2">
        <f>SUM(CQ$2:CQ178)+BK178*AD178</f>
        <v>12040.000000000007</v>
      </c>
      <c r="CR688" s="2">
        <f>SUM(CR$2:CR178)+BL178*AE178</f>
        <v>-7790</v>
      </c>
      <c r="CV688" t="s">
        <v>64</v>
      </c>
      <c r="CW688" t="s">
        <v>761</v>
      </c>
      <c r="CX688" t="s">
        <v>18</v>
      </c>
      <c r="CY688" s="4">
        <v>43276</v>
      </c>
      <c r="CZ688" t="s">
        <v>65</v>
      </c>
      <c r="DA688" t="s">
        <v>66</v>
      </c>
      <c r="DB688">
        <v>14</v>
      </c>
      <c r="DC688">
        <v>60.24</v>
      </c>
      <c r="DD688" t="s">
        <v>69</v>
      </c>
      <c r="DE688" t="s">
        <v>70</v>
      </c>
      <c r="DF688">
        <v>843.36</v>
      </c>
    </row>
    <row r="689" spans="66:110" x14ac:dyDescent="0.25">
      <c r="BN689" s="1">
        <f t="shared" si="337"/>
        <v>42993</v>
      </c>
      <c r="BO689" s="2">
        <f>SUM(BO$2:BO179)+AI179*B179</f>
        <v>127802.49999999988</v>
      </c>
      <c r="BP689" s="2">
        <f>SUM(BP$2:BP179)+AJ179*C179</f>
        <v>13089.900000000009</v>
      </c>
      <c r="BQ689" s="2">
        <f>SUM(BQ$2:BQ179)+AK179*D179</f>
        <v>99413.499999999942</v>
      </c>
      <c r="BR689" s="2">
        <f>SUM(BR$2:BR179)+AL179*E179</f>
        <v>30792.799999999988</v>
      </c>
      <c r="BS689" s="2">
        <f>SUM(BS$2:BS179)+AM179*F179</f>
        <v>2616.5</v>
      </c>
      <c r="BT689" s="2">
        <f>SUM(BT$2:BT179)+AN179*G179</f>
        <v>1102.7000000000116</v>
      </c>
      <c r="BU689" s="2">
        <f>SUM(BU$2:BU179)+AO179*H179</f>
        <v>-7635.6999999999971</v>
      </c>
      <c r="BV689" s="2">
        <f>SUM(BV$2:BV179)+AP179*I179</f>
        <v>2609.9999999999927</v>
      </c>
      <c r="BW689" s="2">
        <f>SUM(BW$2:BW179)+AQ179*J179</f>
        <v>-13860</v>
      </c>
      <c r="BX689" s="2">
        <f>SUM(BX$2:BX179)+AR179*K179</f>
        <v>13940</v>
      </c>
      <c r="BY689" s="2">
        <f>SUM(BY$2:BY179)+AS179*L179</f>
        <v>-16610</v>
      </c>
      <c r="BZ689" s="2">
        <f>SUM(BZ$2:BZ179)+AT179*M179</f>
        <v>740</v>
      </c>
      <c r="CA689" s="2">
        <f>SUM(CA$2:CA179)+AU179*N179</f>
        <v>20180</v>
      </c>
      <c r="CB689" s="2">
        <f>SUM(CB$2:CB179)+AV179*O179</f>
        <v>5630</v>
      </c>
      <c r="CC689" s="2">
        <f>SUM(CC$2:CC179)+AW179*P179</f>
        <v>-20</v>
      </c>
      <c r="CD689" s="2">
        <f>SUM(CD$2:CD179)+AX179*Q179</f>
        <v>14050</v>
      </c>
      <c r="CE689" s="2">
        <f>SUM(CE$2:CE179)+AY179*R179</f>
        <v>27020</v>
      </c>
      <c r="CF689" s="2">
        <f>SUM(CF$2:CF179)+AZ179*S179</f>
        <v>7368.3999999999869</v>
      </c>
      <c r="CG689" s="2">
        <f>SUM(CG$2:CG179)+BA179*T179</f>
        <v>13877.199999999983</v>
      </c>
      <c r="CH689" s="2">
        <f>SUM(CH$2:CH179)+BB179*U179</f>
        <v>2645.5500000000102</v>
      </c>
      <c r="CI689" s="2">
        <f>SUM(CI$2:CI179)+BC179*V179</f>
        <v>-4890</v>
      </c>
      <c r="CJ689" s="2">
        <f>SUM(CJ$2:CJ179)+BD179*W179</f>
        <v>-17609.999999999942</v>
      </c>
      <c r="CK689" s="2">
        <f>SUM(CK$2:CK179)+BE179*X179</f>
        <v>11680</v>
      </c>
      <c r="CL689" s="2">
        <f>SUM(CL$2:CL179)+BF179*Y179</f>
        <v>112980</v>
      </c>
      <c r="CM689" s="2">
        <f>SUM(CM$2:CM179)+BG179*Z179</f>
        <v>19095</v>
      </c>
      <c r="CN689" s="2">
        <f>SUM(CN$2:CN179)+BH179*AA179</f>
        <v>62042.499999999942</v>
      </c>
      <c r="CO689" s="2">
        <f>SUM(CO$2:CO179)+BI179*AB179</f>
        <v>-13400</v>
      </c>
      <c r="CP689" s="2">
        <f>SUM(CP$2:CP179)+BJ179*AC179</f>
        <v>-3740</v>
      </c>
      <c r="CQ689" s="2">
        <f>SUM(CQ$2:CQ179)+BK179*AD179</f>
        <v>12720.000000000007</v>
      </c>
      <c r="CR689" s="2">
        <f>SUM(CR$2:CR179)+BL179*AE179</f>
        <v>-7810</v>
      </c>
      <c r="CV689" t="s">
        <v>64</v>
      </c>
      <c r="CW689" t="s">
        <v>762</v>
      </c>
      <c r="CX689" t="s">
        <v>18</v>
      </c>
      <c r="CY689" s="4">
        <v>43277</v>
      </c>
      <c r="CZ689" t="s">
        <v>65</v>
      </c>
      <c r="DA689" t="s">
        <v>66</v>
      </c>
      <c r="DB689">
        <v>1</v>
      </c>
      <c r="DC689">
        <v>59.89</v>
      </c>
      <c r="DD689" t="s">
        <v>69</v>
      </c>
      <c r="DE689" t="s">
        <v>70</v>
      </c>
      <c r="DF689">
        <v>59.89</v>
      </c>
    </row>
    <row r="690" spans="66:110" x14ac:dyDescent="0.25">
      <c r="BN690" s="1">
        <f t="shared" si="337"/>
        <v>42996</v>
      </c>
      <c r="BO690" s="2">
        <f>SUM(BO$2:BO180)+AI180*B180</f>
        <v>121902.49999999988</v>
      </c>
      <c r="BP690" s="2">
        <f>SUM(BP$2:BP180)+AJ180*C180</f>
        <v>14053.100000000006</v>
      </c>
      <c r="BQ690" s="2">
        <f>SUM(BQ$2:BQ180)+AK180*D180</f>
        <v>103848.69999999995</v>
      </c>
      <c r="BR690" s="2">
        <f>SUM(BR$2:BR180)+AL180*E180</f>
        <v>33447.199999999983</v>
      </c>
      <c r="BS690" s="2">
        <f>SUM(BS$2:BS180)+AM180*F180</f>
        <v>2706.0999999999985</v>
      </c>
      <c r="BT690" s="2">
        <f>SUM(BT$2:BT180)+AN180*G180</f>
        <v>1696.3000000000029</v>
      </c>
      <c r="BU690" s="2">
        <f>SUM(BU$2:BU180)+AO180*H180</f>
        <v>-8094.8999999999942</v>
      </c>
      <c r="BV690" s="2">
        <f>SUM(BV$2:BV180)+AP180*I180</f>
        <v>2519.9999999999927</v>
      </c>
      <c r="BW690" s="2">
        <f>SUM(BW$2:BW180)+AQ180*J180</f>
        <v>-11580</v>
      </c>
      <c r="BX690" s="2">
        <f>SUM(BX$2:BX180)+AR180*K180</f>
        <v>13940</v>
      </c>
      <c r="BY690" s="2">
        <f>SUM(BY$2:BY180)+AS180*L180</f>
        <v>-16860</v>
      </c>
      <c r="BZ690" s="2">
        <f>SUM(BZ$2:BZ180)+AT180*M180</f>
        <v>740</v>
      </c>
      <c r="CA690" s="2">
        <f>SUM(CA$2:CA180)+AU180*N180</f>
        <v>21080</v>
      </c>
      <c r="CB690" s="2">
        <f>SUM(CB$2:CB180)+AV180*O180</f>
        <v>6880</v>
      </c>
      <c r="CC690" s="2">
        <f>SUM(CC$2:CC180)+AW180*P180</f>
        <v>-20</v>
      </c>
      <c r="CD690" s="2">
        <f>SUM(CD$2:CD180)+AX180*Q180</f>
        <v>14050</v>
      </c>
      <c r="CE690" s="2">
        <f>SUM(CE$2:CE180)+AY180*R180</f>
        <v>27020</v>
      </c>
      <c r="CF690" s="2">
        <f>SUM(CF$2:CF180)+AZ180*S180</f>
        <v>7213.5199999999895</v>
      </c>
      <c r="CG690" s="2">
        <f>SUM(CG$2:CG180)+BA180*T180</f>
        <v>13722.549999999996</v>
      </c>
      <c r="CH690" s="2">
        <f>SUM(CH$2:CH180)+BB180*U180</f>
        <v>2289.8700000000026</v>
      </c>
      <c r="CI690" s="2">
        <f>SUM(CI$2:CI180)+BC180*V180</f>
        <v>-5070</v>
      </c>
      <c r="CJ690" s="2">
        <f>SUM(CJ$2:CJ180)+BD180*W180</f>
        <v>-17059.999999999942</v>
      </c>
      <c r="CK690" s="2">
        <f>SUM(CK$2:CK180)+BE180*X180</f>
        <v>11780</v>
      </c>
      <c r="CL690" s="2">
        <f>SUM(CL$2:CL180)+BF180*Y180</f>
        <v>112980</v>
      </c>
      <c r="CM690" s="2">
        <f>SUM(CM$2:CM180)+BG180*Z180</f>
        <v>18045</v>
      </c>
      <c r="CN690" s="2">
        <f>SUM(CN$2:CN180)+BH180*AA180</f>
        <v>62042.499999999942</v>
      </c>
      <c r="CO690" s="2">
        <f>SUM(CO$2:CO180)+BI180*AB180</f>
        <v>-12740</v>
      </c>
      <c r="CP690" s="2">
        <f>SUM(CP$2:CP180)+BJ180*AC180</f>
        <v>-3874.9999999999854</v>
      </c>
      <c r="CQ690" s="2">
        <f>SUM(CQ$2:CQ180)+BK180*AD180</f>
        <v>12360.000000000007</v>
      </c>
      <c r="CR690" s="2">
        <f>SUM(CR$2:CR180)+BL180*AE180</f>
        <v>-7790</v>
      </c>
      <c r="CV690" t="s">
        <v>64</v>
      </c>
      <c r="CW690" t="s">
        <v>763</v>
      </c>
      <c r="CX690" t="s">
        <v>18</v>
      </c>
      <c r="CY690" s="4">
        <v>43278</v>
      </c>
      <c r="CZ690" t="s">
        <v>67</v>
      </c>
      <c r="DA690" t="s">
        <v>68</v>
      </c>
      <c r="DB690">
        <v>17</v>
      </c>
      <c r="DC690">
        <v>59.06</v>
      </c>
      <c r="DD690" t="s">
        <v>69</v>
      </c>
      <c r="DE690" t="s">
        <v>70</v>
      </c>
      <c r="DF690">
        <v>1004.02</v>
      </c>
    </row>
    <row r="691" spans="66:110" x14ac:dyDescent="0.25">
      <c r="BN691" s="1">
        <f t="shared" si="337"/>
        <v>42997</v>
      </c>
      <c r="BO691" s="2">
        <f>SUM(BO$2:BO181)+AI181*B181</f>
        <v>122202.49999999988</v>
      </c>
      <c r="BP691" s="2">
        <f>SUM(BP$2:BP181)+AJ181*C181</f>
        <v>15296.300000000003</v>
      </c>
      <c r="BQ691" s="2">
        <f>SUM(BQ$2:BQ181)+AK181*D181</f>
        <v>103176.69999999995</v>
      </c>
      <c r="BR691" s="2">
        <f>SUM(BR$2:BR181)+AL181*E181</f>
        <v>34432.799999999988</v>
      </c>
      <c r="BS691" s="2">
        <f>SUM(BS$2:BS181)+AM181*F181</f>
        <v>2672.5</v>
      </c>
      <c r="BT691" s="2">
        <f>SUM(BT$2:BT181)+AN181*G181</f>
        <v>2905.9000000000087</v>
      </c>
      <c r="BU691" s="2">
        <f>SUM(BU$2:BU181)+AO181*H181</f>
        <v>-7736.4999999999854</v>
      </c>
      <c r="BV691" s="2">
        <f>SUM(BV$2:BV181)+AP181*I181</f>
        <v>2789.9999999999927</v>
      </c>
      <c r="BW691" s="2">
        <f>SUM(BW$2:BW181)+AQ181*J181</f>
        <v>-10230</v>
      </c>
      <c r="BX691" s="2">
        <f>SUM(BX$2:BX181)+AR181*K181</f>
        <v>13940</v>
      </c>
      <c r="BY691" s="2">
        <f>SUM(BY$2:BY181)+AS181*L181</f>
        <v>-17010</v>
      </c>
      <c r="BZ691" s="2">
        <f>SUM(BZ$2:BZ181)+AT181*M181</f>
        <v>740</v>
      </c>
      <c r="CA691" s="2">
        <f>SUM(CA$2:CA181)+AU181*N181</f>
        <v>20930</v>
      </c>
      <c r="CB691" s="2">
        <f>SUM(CB$2:CB181)+AV181*O181</f>
        <v>7870</v>
      </c>
      <c r="CC691" s="2">
        <f>SUM(CC$2:CC181)+AW181*P181</f>
        <v>-20</v>
      </c>
      <c r="CD691" s="2">
        <f>SUM(CD$2:CD181)+AX181*Q181</f>
        <v>14050</v>
      </c>
      <c r="CE691" s="2">
        <f>SUM(CE$2:CE181)+AY181*R181</f>
        <v>27020</v>
      </c>
      <c r="CF691" s="2">
        <f>SUM(CF$2:CF181)+AZ181*S181</f>
        <v>7174.1199999999953</v>
      </c>
      <c r="CG691" s="2">
        <f>SUM(CG$2:CG181)+BA181*T181</f>
        <v>14005.349999999999</v>
      </c>
      <c r="CH691" s="2">
        <f>SUM(CH$2:CH181)+BB181*U181</f>
        <v>2103.0400000000081</v>
      </c>
      <c r="CI691" s="2">
        <f>SUM(CI$2:CI181)+BC181*V181</f>
        <v>-4970</v>
      </c>
      <c r="CJ691" s="2">
        <f>SUM(CJ$2:CJ181)+BD181*W181</f>
        <v>-21909.999999999942</v>
      </c>
      <c r="CK691" s="2">
        <f>SUM(CK$2:CK181)+BE181*X181</f>
        <v>11130</v>
      </c>
      <c r="CL691" s="2">
        <f>SUM(CL$2:CL181)+BF181*Y181</f>
        <v>102540</v>
      </c>
      <c r="CM691" s="2">
        <f>SUM(CM$2:CM181)+BG181*Z181</f>
        <v>21020</v>
      </c>
      <c r="CN691" s="2">
        <f>SUM(CN$2:CN181)+BH181*AA181</f>
        <v>62042.499999999942</v>
      </c>
      <c r="CO691" s="2">
        <f>SUM(CO$2:CO181)+BI181*AB181</f>
        <v>-9230</v>
      </c>
      <c r="CP691" s="2">
        <f>SUM(CP$2:CP181)+BJ181*AC181</f>
        <v>-1865</v>
      </c>
      <c r="CQ691" s="2">
        <f>SUM(CQ$2:CQ181)+BK181*AD181</f>
        <v>12400.000000000007</v>
      </c>
      <c r="CR691" s="2">
        <f>SUM(CR$2:CR181)+BL181*AE181</f>
        <v>-7670</v>
      </c>
      <c r="CV691" t="s">
        <v>64</v>
      </c>
      <c r="CW691" t="s">
        <v>764</v>
      </c>
      <c r="CX691" t="s">
        <v>18</v>
      </c>
      <c r="CY691" s="4">
        <v>43279</v>
      </c>
      <c r="CZ691" t="s">
        <v>65</v>
      </c>
      <c r="DA691" t="s">
        <v>66</v>
      </c>
      <c r="DB691">
        <v>6</v>
      </c>
      <c r="DC691">
        <v>59.47</v>
      </c>
      <c r="DD691" t="s">
        <v>69</v>
      </c>
      <c r="DE691" t="s">
        <v>70</v>
      </c>
      <c r="DF691">
        <v>356.82</v>
      </c>
    </row>
    <row r="692" spans="66:110" x14ac:dyDescent="0.25">
      <c r="BN692" s="1">
        <f t="shared" si="337"/>
        <v>42998</v>
      </c>
      <c r="BO692" s="2">
        <f>SUM(BO$2:BO182)+AI182*B182</f>
        <v>109202.49999999988</v>
      </c>
      <c r="BP692" s="2">
        <f>SUM(BP$2:BP182)+AJ182*C182</f>
        <v>14669.100000000006</v>
      </c>
      <c r="BQ692" s="2">
        <f>SUM(BQ$2:BQ182)+AK182*D182</f>
        <v>106435.89999999997</v>
      </c>
      <c r="BR692" s="2">
        <f>SUM(BR$2:BR182)+AL182*E182</f>
        <v>34555.999999999971</v>
      </c>
      <c r="BS692" s="2">
        <f>SUM(BS$2:BS182)+AM182*F182</f>
        <v>2795.6999999999971</v>
      </c>
      <c r="BT692" s="2">
        <f>SUM(BT$2:BT182)+AN182*G182</f>
        <v>2939.5</v>
      </c>
      <c r="BU692" s="2">
        <f>SUM(BU$2:BU182)+AO182*H182</f>
        <v>-6885.3000000000029</v>
      </c>
      <c r="BV692" s="2">
        <f>SUM(BV$2:BV182)+AP182*I182</f>
        <v>3139.9999999999927</v>
      </c>
      <c r="BW692" s="2">
        <f>SUM(BW$2:BW182)+AQ182*J182</f>
        <v>-9360</v>
      </c>
      <c r="BX692" s="2">
        <f>SUM(BX$2:BX182)+AR182*K182</f>
        <v>13940</v>
      </c>
      <c r="BY692" s="2">
        <f>SUM(BY$2:BY182)+AS182*L182</f>
        <v>-15620</v>
      </c>
      <c r="BZ692" s="2">
        <f>SUM(BZ$2:BZ182)+AT182*M182</f>
        <v>740</v>
      </c>
      <c r="CA692" s="2">
        <f>SUM(CA$2:CA182)+AU182*N182</f>
        <v>18990</v>
      </c>
      <c r="CB692" s="2">
        <f>SUM(CB$2:CB182)+AV182*O182</f>
        <v>8500</v>
      </c>
      <c r="CC692" s="2">
        <f>SUM(CC$2:CC182)+AW182*P182</f>
        <v>-20</v>
      </c>
      <c r="CD692" s="2">
        <f>SUM(CD$2:CD182)+AX182*Q182</f>
        <v>14050</v>
      </c>
      <c r="CE692" s="2">
        <f>SUM(CE$2:CE182)+AY182*R182</f>
        <v>27020</v>
      </c>
      <c r="CF692" s="2">
        <f>SUM(CF$2:CF182)+AZ182*S182</f>
        <v>7023.2199999999866</v>
      </c>
      <c r="CG692" s="2">
        <f>SUM(CG$2:CG182)+BA182*T182</f>
        <v>13539.359999999986</v>
      </c>
      <c r="CH692" s="2">
        <f>SUM(CH$2:CH182)+BB182*U182</f>
        <v>2343.8500000000058</v>
      </c>
      <c r="CI692" s="2">
        <f>SUM(CI$2:CI182)+BC182*V182</f>
        <v>-5490</v>
      </c>
      <c r="CJ692" s="2">
        <f>SUM(CJ$2:CJ182)+BD182*W182</f>
        <v>-23009.999999999942</v>
      </c>
      <c r="CK692" s="2">
        <f>SUM(CK$2:CK182)+BE182*X182</f>
        <v>17580</v>
      </c>
      <c r="CL692" s="2">
        <f>SUM(CL$2:CL182)+BF182*Y182</f>
        <v>105810</v>
      </c>
      <c r="CM692" s="2">
        <f>SUM(CM$2:CM182)+BG182*Z182</f>
        <v>22525</v>
      </c>
      <c r="CN692" s="2">
        <f>SUM(CN$2:CN182)+BH182*AA182</f>
        <v>62042.499999999942</v>
      </c>
      <c r="CO692" s="2">
        <f>SUM(CO$2:CO182)+BI182*AB182</f>
        <v>-8840</v>
      </c>
      <c r="CP692" s="2">
        <f>SUM(CP$2:CP182)+BJ182*AC182</f>
        <v>1555</v>
      </c>
      <c r="CQ692" s="2">
        <f>SUM(CQ$2:CQ182)+BK182*AD182</f>
        <v>12840.000000000007</v>
      </c>
      <c r="CR692" s="2">
        <f>SUM(CR$2:CR182)+BL182*AE182</f>
        <v>-7360</v>
      </c>
      <c r="CV692" t="s">
        <v>64</v>
      </c>
      <c r="CW692" t="s">
        <v>765</v>
      </c>
      <c r="CX692" t="s">
        <v>18</v>
      </c>
      <c r="CY692" s="4">
        <v>43280</v>
      </c>
      <c r="CZ692" t="s">
        <v>67</v>
      </c>
      <c r="DA692" t="s">
        <v>68</v>
      </c>
      <c r="DB692">
        <v>20</v>
      </c>
      <c r="DC692">
        <v>59.87</v>
      </c>
      <c r="DD692" t="s">
        <v>69</v>
      </c>
      <c r="DE692" t="s">
        <v>70</v>
      </c>
      <c r="DF692">
        <v>1197.3999999999999</v>
      </c>
    </row>
    <row r="693" spans="66:110" x14ac:dyDescent="0.25">
      <c r="BN693" s="1">
        <f t="shared" si="337"/>
        <v>42999</v>
      </c>
      <c r="BO693" s="2">
        <f>SUM(BO$2:BO183)+AI183*B183</f>
        <v>96102.499999999884</v>
      </c>
      <c r="BP693" s="2">
        <f>SUM(BP$2:BP183)+AJ183*C183</f>
        <v>14657.899999999994</v>
      </c>
      <c r="BQ693" s="2">
        <f>SUM(BQ$2:BQ183)+AK183*D183</f>
        <v>107063.09999999998</v>
      </c>
      <c r="BR693" s="2">
        <f>SUM(BR$2:BR183)+AL183*E183</f>
        <v>34488.799999999988</v>
      </c>
      <c r="BS693" s="2">
        <f>SUM(BS$2:BS183)+AM183*F183</f>
        <v>2896.5</v>
      </c>
      <c r="BT693" s="2">
        <f>SUM(BT$2:BT183)+AN183*G183</f>
        <v>3051.5</v>
      </c>
      <c r="BU693" s="2">
        <f>SUM(BU$2:BU183)+AO183*H183</f>
        <v>-7232.5</v>
      </c>
      <c r="BV693" s="2">
        <f>SUM(BV$2:BV183)+AP183*I183</f>
        <v>3049.9999999999927</v>
      </c>
      <c r="BW693" s="2">
        <f>SUM(BW$2:BW183)+AQ183*J183</f>
        <v>-7890</v>
      </c>
      <c r="BX693" s="2">
        <f>SUM(BX$2:BX183)+AR183*K183</f>
        <v>13940</v>
      </c>
      <c r="BY693" s="2">
        <f>SUM(BY$2:BY183)+AS183*L183</f>
        <v>-16200</v>
      </c>
      <c r="BZ693" s="2">
        <f>SUM(BZ$2:BZ183)+AT183*M183</f>
        <v>740</v>
      </c>
      <c r="CA693" s="2">
        <f>SUM(CA$2:CA183)+AU183*N183</f>
        <v>17570</v>
      </c>
      <c r="CB693" s="2">
        <f>SUM(CB$2:CB183)+AV183*O183</f>
        <v>8920</v>
      </c>
      <c r="CC693" s="2">
        <f>SUM(CC$2:CC183)+AW183*P183</f>
        <v>-20</v>
      </c>
      <c r="CD693" s="2">
        <f>SUM(CD$2:CD183)+AX183*Q183</f>
        <v>14050</v>
      </c>
      <c r="CE693" s="2">
        <f>SUM(CE$2:CE183)+AY183*R183</f>
        <v>27020</v>
      </c>
      <c r="CF693" s="2">
        <f>SUM(CF$2:CF183)+AZ183*S183</f>
        <v>6830.9399999999878</v>
      </c>
      <c r="CG693" s="2">
        <f>SUM(CG$2:CG183)+BA183*T183</f>
        <v>12754.55999999999</v>
      </c>
      <c r="CH693" s="2">
        <f>SUM(CH$2:CH183)+BB183*U183</f>
        <v>1996.0500000000102</v>
      </c>
      <c r="CI693" s="2">
        <f>SUM(CI$2:CI183)+BC183*V183</f>
        <v>-5470</v>
      </c>
      <c r="CJ693" s="2">
        <f>SUM(CJ$2:CJ183)+BD183*W183</f>
        <v>-14609.999999999942</v>
      </c>
      <c r="CK693" s="2">
        <f>SUM(CK$2:CK183)+BE183*X183</f>
        <v>15530</v>
      </c>
      <c r="CL693" s="2">
        <f>SUM(CL$2:CL183)+BF183*Y183</f>
        <v>104190</v>
      </c>
      <c r="CM693" s="2">
        <f>SUM(CM$2:CM183)+BG183*Z183</f>
        <v>24182.5</v>
      </c>
      <c r="CN693" s="2">
        <f>SUM(CN$2:CN183)+BH183*AA183</f>
        <v>62042.499999999942</v>
      </c>
      <c r="CO693" s="2">
        <f>SUM(CO$2:CO183)+BI183*AB183</f>
        <v>-10370</v>
      </c>
      <c r="CP693" s="2">
        <f>SUM(CP$2:CP183)+BJ183*AC183</f>
        <v>2485</v>
      </c>
      <c r="CQ693" s="2">
        <f>SUM(CQ$2:CQ183)+BK183*AD183</f>
        <v>12370.000000000007</v>
      </c>
      <c r="CR693" s="2">
        <f>SUM(CR$2:CR183)+BL183*AE183</f>
        <v>-7980</v>
      </c>
      <c r="CV693" t="s">
        <v>64</v>
      </c>
      <c r="CW693" t="s">
        <v>766</v>
      </c>
      <c r="CX693" t="s">
        <v>18</v>
      </c>
      <c r="CY693" s="4">
        <v>43283</v>
      </c>
      <c r="CZ693" t="s">
        <v>67</v>
      </c>
      <c r="DA693" t="s">
        <v>68</v>
      </c>
      <c r="DB693">
        <v>16</v>
      </c>
      <c r="DC693">
        <v>59.63</v>
      </c>
      <c r="DD693" t="s">
        <v>69</v>
      </c>
      <c r="DE693" t="s">
        <v>70</v>
      </c>
      <c r="DF693">
        <v>954.08</v>
      </c>
    </row>
    <row r="694" spans="66:110" x14ac:dyDescent="0.25">
      <c r="BN694" s="1">
        <f t="shared" si="337"/>
        <v>43000</v>
      </c>
      <c r="BO694" s="2">
        <f>SUM(BO$2:BO184)+AI184*B184</f>
        <v>88752.499999999884</v>
      </c>
      <c r="BP694" s="2">
        <f>SUM(BP$2:BP184)+AJ184*C184</f>
        <v>14635.5</v>
      </c>
      <c r="BQ694" s="2">
        <f>SUM(BQ$2:BQ184)+AK184*D184</f>
        <v>107511.09999999992</v>
      </c>
      <c r="BR694" s="2">
        <f>SUM(BR$2:BR184)+AL184*E184</f>
        <v>34096.799999999959</v>
      </c>
      <c r="BS694" s="2">
        <f>SUM(BS$2:BS184)+AM184*F184</f>
        <v>3613.3000000000029</v>
      </c>
      <c r="BT694" s="2">
        <f>SUM(BT$2:BT184)+AN184*G184</f>
        <v>3913.8999999999942</v>
      </c>
      <c r="BU694" s="2">
        <f>SUM(BU$2:BU184)+AO184*H184</f>
        <v>-7546.0999999999767</v>
      </c>
      <c r="BV694" s="2">
        <f>SUM(BV$2:BV184)+AP184*I184</f>
        <v>2699.9999999999854</v>
      </c>
      <c r="BW694" s="2">
        <f>SUM(BW$2:BW184)+AQ184*J184</f>
        <v>-8140</v>
      </c>
      <c r="BX694" s="2">
        <f>SUM(BX$2:BX184)+AR184*K184</f>
        <v>13940</v>
      </c>
      <c r="BY694" s="2">
        <f>SUM(BY$2:BY184)+AS184*L184</f>
        <v>-16320</v>
      </c>
      <c r="BZ694" s="2">
        <f>SUM(BZ$2:BZ184)+AT184*M184</f>
        <v>740</v>
      </c>
      <c r="CA694" s="2">
        <f>SUM(CA$2:CA184)+AU184*N184</f>
        <v>17220</v>
      </c>
      <c r="CB694" s="2">
        <f>SUM(CB$2:CB184)+AV184*O184</f>
        <v>8720</v>
      </c>
      <c r="CC694" s="2">
        <f>SUM(CC$2:CC184)+AW184*P184</f>
        <v>-20</v>
      </c>
      <c r="CD694" s="2">
        <f>SUM(CD$2:CD184)+AX184*Q184</f>
        <v>14050</v>
      </c>
      <c r="CE694" s="2">
        <f>SUM(CE$2:CE184)+AY184*R184</f>
        <v>27020</v>
      </c>
      <c r="CF694" s="2">
        <f>SUM(CF$2:CF184)+AZ184*S184</f>
        <v>6370.1399999999776</v>
      </c>
      <c r="CG694" s="2">
        <f>SUM(CG$2:CG184)+BA184*T184</f>
        <v>12970.159999999982</v>
      </c>
      <c r="CH694" s="2">
        <f>SUM(CH$2:CH184)+BB184*U184</f>
        <v>2046.2000000000044</v>
      </c>
      <c r="CI694" s="2">
        <f>SUM(CI$2:CI184)+BC184*V184</f>
        <v>-5460</v>
      </c>
      <c r="CJ694" s="2">
        <f>SUM(CJ$2:CJ184)+BD184*W184</f>
        <v>-12709.999999999942</v>
      </c>
      <c r="CK694" s="2">
        <f>SUM(CK$2:CK184)+BE184*X184</f>
        <v>18180</v>
      </c>
      <c r="CL694" s="2">
        <f>SUM(CL$2:CL184)+BF184*Y184</f>
        <v>97770</v>
      </c>
      <c r="CM694" s="2">
        <f>SUM(CM$2:CM184)+BG184*Z184</f>
        <v>26265</v>
      </c>
      <c r="CN694" s="2">
        <f>SUM(CN$2:CN184)+BH184*AA184</f>
        <v>62042.499999999942</v>
      </c>
      <c r="CO694" s="2">
        <f>SUM(CO$2:CO184)+BI184*AB184</f>
        <v>-7670</v>
      </c>
      <c r="CP694" s="2">
        <f>SUM(CP$2:CP184)+BJ184*AC184</f>
        <v>2185</v>
      </c>
      <c r="CQ694" s="2">
        <f>SUM(CQ$2:CQ184)+BK184*AD184</f>
        <v>11900.000000000007</v>
      </c>
      <c r="CR694" s="2">
        <f>SUM(CR$2:CR184)+BL184*AE184</f>
        <v>-7950</v>
      </c>
      <c r="CV694" t="s">
        <v>64</v>
      </c>
      <c r="CW694" t="s">
        <v>767</v>
      </c>
      <c r="CX694" t="s">
        <v>18</v>
      </c>
      <c r="CY694" s="4">
        <v>43284</v>
      </c>
      <c r="CZ694" t="s">
        <v>65</v>
      </c>
      <c r="DA694" t="s">
        <v>66</v>
      </c>
      <c r="DB694">
        <v>27</v>
      </c>
      <c r="DC694">
        <v>59.88</v>
      </c>
      <c r="DD694" t="s">
        <v>69</v>
      </c>
      <c r="DE694" t="s">
        <v>70</v>
      </c>
      <c r="DF694">
        <v>1616.76</v>
      </c>
    </row>
    <row r="695" spans="66:110" x14ac:dyDescent="0.25">
      <c r="BN695" s="1">
        <f t="shared" si="337"/>
        <v>43003</v>
      </c>
      <c r="BO695" s="2">
        <f>SUM(BO$2:BO185)+AI185*B185</f>
        <v>82202.499999999884</v>
      </c>
      <c r="BP695" s="2">
        <f>SUM(BP$2:BP185)+AJ185*C185</f>
        <v>14432.099999999991</v>
      </c>
      <c r="BQ695" s="2">
        <f>SUM(BQ$2:BQ185)+AK185*D185</f>
        <v>105171.99999999994</v>
      </c>
      <c r="BR695" s="2">
        <f>SUM(BR$2:BR185)+AL185*E185</f>
        <v>33983.799999999959</v>
      </c>
      <c r="BS695" s="2">
        <f>SUM(BS$2:BS185)+AM185*F185</f>
        <v>3997.5</v>
      </c>
      <c r="BT695" s="2">
        <f>SUM(BT$2:BT185)+AN185*G185</f>
        <v>4659.7000000000116</v>
      </c>
      <c r="BU695" s="2">
        <f>SUM(BU$2:BU185)+AO185*H185</f>
        <v>-6483.8999999999796</v>
      </c>
      <c r="BV695" s="2">
        <f>SUM(BV$2:BV185)+AP185*I185</f>
        <v>3073.6999999999971</v>
      </c>
      <c r="BW695" s="2">
        <f>SUM(BW$2:BW185)+AQ185*J185</f>
        <v>-8900</v>
      </c>
      <c r="BX695" s="2">
        <f>SUM(BX$2:BX185)+AR185*K185</f>
        <v>13940</v>
      </c>
      <c r="BY695" s="2">
        <f>SUM(BY$2:BY185)+AS185*L185</f>
        <v>-15620</v>
      </c>
      <c r="BZ695" s="2">
        <f>SUM(BZ$2:BZ185)+AT185*M185</f>
        <v>740</v>
      </c>
      <c r="CA695" s="2">
        <f>SUM(CA$2:CA185)+AU185*N185</f>
        <v>17010</v>
      </c>
      <c r="CB695" s="2">
        <f>SUM(CB$2:CB185)+AV185*O185</f>
        <v>8040</v>
      </c>
      <c r="CC695" s="2">
        <f>SUM(CC$2:CC185)+AW185*P185</f>
        <v>-20</v>
      </c>
      <c r="CD695" s="2">
        <f>SUM(CD$2:CD185)+AX185*Q185</f>
        <v>14050</v>
      </c>
      <c r="CE695" s="2">
        <f>SUM(CE$2:CE185)+AY185*R185</f>
        <v>27020</v>
      </c>
      <c r="CF695" s="2">
        <f>SUM(CF$2:CF185)+AZ185*S185</f>
        <v>6422.4899999999834</v>
      </c>
      <c r="CG695" s="2">
        <f>SUM(CG$2:CG185)+BA185*T185</f>
        <v>11877.44999999999</v>
      </c>
      <c r="CH695" s="2">
        <f>SUM(CH$2:CH185)+BB185*U185</f>
        <v>2035.2900000000081</v>
      </c>
      <c r="CI695" s="2">
        <f>SUM(CI$2:CI185)+BC185*V185</f>
        <v>-5030</v>
      </c>
      <c r="CJ695" s="2">
        <f>SUM(CJ$2:CJ185)+BD185*W185</f>
        <v>-15009.999999999942</v>
      </c>
      <c r="CK695" s="2">
        <f>SUM(CK$2:CK185)+BE185*X185</f>
        <v>21280</v>
      </c>
      <c r="CL695" s="2">
        <f>SUM(CL$2:CL185)+BF185*Y185</f>
        <v>93990</v>
      </c>
      <c r="CM695" s="2">
        <f>SUM(CM$2:CM185)+BG185*Z185</f>
        <v>22815</v>
      </c>
      <c r="CN695" s="2">
        <f>SUM(CN$2:CN185)+BH185*AA185</f>
        <v>62042.499999999942</v>
      </c>
      <c r="CO695" s="2">
        <f>SUM(CO$2:CO185)+BI185*AB185</f>
        <v>-7670</v>
      </c>
      <c r="CP695" s="2">
        <f>SUM(CP$2:CP185)+BJ185*AC185</f>
        <v>1390</v>
      </c>
      <c r="CQ695" s="2">
        <f>SUM(CQ$2:CQ185)+BK185*AD185</f>
        <v>11530.000000000007</v>
      </c>
      <c r="CR695" s="2">
        <f>SUM(CR$2:CR185)+BL185*AE185</f>
        <v>-6950</v>
      </c>
      <c r="CV695" t="s">
        <v>64</v>
      </c>
      <c r="CW695" t="s">
        <v>768</v>
      </c>
      <c r="CX695" t="s">
        <v>18</v>
      </c>
      <c r="CY695" s="4">
        <v>43286</v>
      </c>
      <c r="CZ695" t="s">
        <v>65</v>
      </c>
      <c r="DA695" t="s">
        <v>66</v>
      </c>
      <c r="DB695">
        <v>48</v>
      </c>
      <c r="DC695">
        <v>60.8</v>
      </c>
      <c r="DD695" t="s">
        <v>69</v>
      </c>
      <c r="DE695" t="s">
        <v>70</v>
      </c>
      <c r="DF695">
        <v>2918.3999999999996</v>
      </c>
    </row>
    <row r="696" spans="66:110" x14ac:dyDescent="0.25">
      <c r="BN696" s="1">
        <f t="shared" si="337"/>
        <v>43004</v>
      </c>
      <c r="BO696" s="2">
        <f>SUM(BO$2:BO186)+AI186*B186</f>
        <v>94852.499999999884</v>
      </c>
      <c r="BP696" s="2">
        <f>SUM(BP$2:BP186)+AJ186*C186</f>
        <v>14963.200000000012</v>
      </c>
      <c r="BQ696" s="2">
        <f>SUM(BQ$2:BQ186)+AK186*D186</f>
        <v>104493.99999999994</v>
      </c>
      <c r="BR696" s="2">
        <f>SUM(BR$2:BR186)+AL186*E186</f>
        <v>34187.199999999983</v>
      </c>
      <c r="BS696" s="2">
        <f>SUM(BS$2:BS186)+AM186*F186</f>
        <v>4031.3999999999942</v>
      </c>
      <c r="BT696" s="2">
        <f>SUM(BT$2:BT186)+AN186*G186</f>
        <v>4162.5</v>
      </c>
      <c r="BU696" s="2">
        <f>SUM(BU$2:BU186)+AO186*H186</f>
        <v>-7512.1999999999971</v>
      </c>
      <c r="BV696" s="2">
        <f>SUM(BV$2:BV186)+AP186*I186</f>
        <v>2104.0999999999913</v>
      </c>
      <c r="BW696" s="2">
        <f>SUM(BW$2:BW186)+AQ186*J186</f>
        <v>-9210</v>
      </c>
      <c r="BX696" s="2">
        <f>SUM(BX$2:BX186)+AR186*K186</f>
        <v>13940</v>
      </c>
      <c r="BY696" s="2">
        <f>SUM(BY$2:BY186)+AS186*L186</f>
        <v>-14980</v>
      </c>
      <c r="BZ696" s="2">
        <f>SUM(BZ$2:BZ186)+AT186*M186</f>
        <v>740</v>
      </c>
      <c r="CA696" s="2">
        <f>SUM(CA$2:CA186)+AU186*N186</f>
        <v>16790</v>
      </c>
      <c r="CB696" s="2">
        <f>SUM(CB$2:CB186)+AV186*O186</f>
        <v>7640</v>
      </c>
      <c r="CC696" s="2">
        <f>SUM(CC$2:CC186)+AW186*P186</f>
        <v>-20</v>
      </c>
      <c r="CD696" s="2">
        <f>SUM(CD$2:CD186)+AX186*Q186</f>
        <v>14050</v>
      </c>
      <c r="CE696" s="2">
        <f>SUM(CE$2:CE186)+AY186*R186</f>
        <v>27020</v>
      </c>
      <c r="CF696" s="2">
        <f>SUM(CF$2:CF186)+AZ186*S186</f>
        <v>6021.9199999999837</v>
      </c>
      <c r="CG696" s="2">
        <f>SUM(CG$2:CG186)+BA186*T186</f>
        <v>11877.449999999997</v>
      </c>
      <c r="CH696" s="2">
        <f>SUM(CH$2:CH186)+BB186*U186</f>
        <v>2496.6700000000128</v>
      </c>
      <c r="CI696" s="2">
        <f>SUM(CI$2:CI186)+BC186*V186</f>
        <v>-4830</v>
      </c>
      <c r="CJ696" s="2">
        <f>SUM(CJ$2:CJ186)+BD186*W186</f>
        <v>-14659.999999999942</v>
      </c>
      <c r="CK696" s="2">
        <f>SUM(CK$2:CK186)+BE186*X186</f>
        <v>20780</v>
      </c>
      <c r="CL696" s="2">
        <f>SUM(CL$2:CL186)+BF186*Y186</f>
        <v>96810</v>
      </c>
      <c r="CM696" s="2">
        <f>SUM(CM$2:CM186)+BG186*Z186</f>
        <v>24865</v>
      </c>
      <c r="CN696" s="2">
        <f>SUM(CN$2:CN186)+BH186*AA186</f>
        <v>61842.499999999942</v>
      </c>
      <c r="CO696" s="2">
        <f>SUM(CO$2:CO186)+BI186*AB186</f>
        <v>-8780</v>
      </c>
      <c r="CP696" s="2">
        <f>SUM(CP$2:CP186)+BJ186*AC186</f>
        <v>1210.0000000000146</v>
      </c>
      <c r="CQ696" s="2">
        <f>SUM(CQ$2:CQ186)+BK186*AD186</f>
        <v>11760.000000000007</v>
      </c>
      <c r="CR696" s="2">
        <f>SUM(CR$2:CR186)+BL186*AE186</f>
        <v>-7040</v>
      </c>
      <c r="CV696" t="s">
        <v>64</v>
      </c>
      <c r="CW696" t="s">
        <v>769</v>
      </c>
      <c r="CX696" t="s">
        <v>18</v>
      </c>
      <c r="CY696" s="4">
        <v>43287</v>
      </c>
      <c r="CZ696" t="s">
        <v>67</v>
      </c>
      <c r="DA696" t="s">
        <v>68</v>
      </c>
      <c r="DB696">
        <v>74</v>
      </c>
      <c r="DC696">
        <v>61.35</v>
      </c>
      <c r="DD696" t="s">
        <v>69</v>
      </c>
      <c r="DE696" t="s">
        <v>70</v>
      </c>
      <c r="DF696">
        <v>4539.9000000000005</v>
      </c>
    </row>
    <row r="697" spans="66:110" x14ac:dyDescent="0.25">
      <c r="BN697" s="1">
        <f t="shared" si="337"/>
        <v>43005</v>
      </c>
      <c r="BO697" s="2">
        <f>SUM(BO$2:BO187)+AI187*B187</f>
        <v>100202.49999999988</v>
      </c>
      <c r="BP697" s="2">
        <f>SUM(BP$2:BP187)+AJ187*C187</f>
        <v>15844.599999999991</v>
      </c>
      <c r="BQ697" s="2">
        <f>SUM(BQ$2:BQ187)+AK187*D187</f>
        <v>106222.89999999997</v>
      </c>
      <c r="BR697" s="2">
        <f>SUM(BR$2:BR187)+AL187*E187</f>
        <v>34198.499999999971</v>
      </c>
      <c r="BS697" s="2">
        <f>SUM(BS$2:BS187)+AM187*F187</f>
        <v>3737.5999999999985</v>
      </c>
      <c r="BT697" s="2">
        <f>SUM(BT$2:BT187)+AN187*G187</f>
        <v>4083.4000000000087</v>
      </c>
      <c r="BU697" s="2">
        <f>SUM(BU$2:BU187)+AO187*H187</f>
        <v>-6845.4999999999854</v>
      </c>
      <c r="BV697" s="2">
        <f>SUM(BV$2:BV187)+AP187*I187</f>
        <v>1568.8000000000029</v>
      </c>
      <c r="BW697" s="2">
        <f>SUM(BW$2:BW187)+AQ187*J187</f>
        <v>-4480</v>
      </c>
      <c r="BX697" s="2">
        <f>SUM(BX$2:BX187)+AR187*K187</f>
        <v>13940</v>
      </c>
      <c r="BY697" s="2">
        <f>SUM(BY$2:BY187)+AS187*L187</f>
        <v>-15820</v>
      </c>
      <c r="BZ697" s="2">
        <f>SUM(BZ$2:BZ187)+AT187*M187</f>
        <v>740</v>
      </c>
      <c r="CA697" s="2">
        <f>SUM(CA$2:CA187)+AU187*N187</f>
        <v>15630</v>
      </c>
      <c r="CB697" s="2">
        <f>SUM(CB$2:CB187)+AV187*O187</f>
        <v>9060</v>
      </c>
      <c r="CC697" s="2">
        <f>SUM(CC$2:CC187)+AW187*P187</f>
        <v>-20</v>
      </c>
      <c r="CD697" s="2">
        <f>SUM(CD$2:CD187)+AX187*Q187</f>
        <v>14050</v>
      </c>
      <c r="CE697" s="2">
        <f>SUM(CE$2:CE187)+AY187*R187</f>
        <v>27020</v>
      </c>
      <c r="CF697" s="2">
        <f>SUM(CF$2:CF187)+AZ187*S187</f>
        <v>5834.8999999999869</v>
      </c>
      <c r="CG697" s="2">
        <f>SUM(CG$2:CG187)+BA187*T187</f>
        <v>12416.26999999999</v>
      </c>
      <c r="CH697" s="2">
        <f>SUM(CH$2:CH187)+BB187*U187</f>
        <v>1487.6800000000076</v>
      </c>
      <c r="CI697" s="2">
        <f>SUM(CI$2:CI187)+BC187*V187</f>
        <v>-4970</v>
      </c>
      <c r="CJ697" s="2">
        <f>SUM(CJ$2:CJ187)+BD187*W187</f>
        <v>-6209.9999999999418</v>
      </c>
      <c r="CK697" s="2">
        <f>SUM(CK$2:CK187)+BE187*X187</f>
        <v>20880</v>
      </c>
      <c r="CL697" s="2">
        <f>SUM(CL$2:CL187)+BF187*Y187</f>
        <v>102090</v>
      </c>
      <c r="CM697" s="2">
        <f>SUM(CM$2:CM187)+BG187*Z187</f>
        <v>36765</v>
      </c>
      <c r="CN697" s="2">
        <f>SUM(CN$2:CN187)+BH187*AA187</f>
        <v>63722.499999999942</v>
      </c>
      <c r="CO697" s="2">
        <f>SUM(CO$2:CO187)+BI187*AB187</f>
        <v>-8780</v>
      </c>
      <c r="CP697" s="2">
        <f>SUM(CP$2:CP187)+BJ187*AC187</f>
        <v>2560</v>
      </c>
      <c r="CQ697" s="2">
        <f>SUM(CQ$2:CQ187)+BK187*AD187</f>
        <v>11670.000000000007</v>
      </c>
      <c r="CR697" s="2">
        <f>SUM(CR$2:CR187)+BL187*AE187</f>
        <v>-6530</v>
      </c>
      <c r="CV697" t="s">
        <v>64</v>
      </c>
      <c r="CW697" t="s">
        <v>770</v>
      </c>
      <c r="CX697" t="s">
        <v>18</v>
      </c>
      <c r="CY697" s="4">
        <v>43290</v>
      </c>
      <c r="CZ697" t="s">
        <v>65</v>
      </c>
      <c r="DA697" t="s">
        <v>66</v>
      </c>
      <c r="DB697">
        <v>77</v>
      </c>
      <c r="DC697">
        <v>61.17</v>
      </c>
      <c r="DD697" t="s">
        <v>69</v>
      </c>
      <c r="DE697" t="s">
        <v>70</v>
      </c>
      <c r="DF697">
        <v>4710.09</v>
      </c>
    </row>
    <row r="698" spans="66:110" x14ac:dyDescent="0.25">
      <c r="BN698" s="1">
        <f t="shared" si="337"/>
        <v>43006</v>
      </c>
      <c r="BO698" s="2">
        <f>SUM(BO$2:BO188)+AI188*B188</f>
        <v>95552.5</v>
      </c>
      <c r="BP698" s="2">
        <f>SUM(BP$2:BP188)+AJ188*C188</f>
        <v>16567.799999999988</v>
      </c>
      <c r="BQ698" s="2">
        <f>SUM(BQ$2:BQ188)+AK188*D188</f>
        <v>105115.49999999994</v>
      </c>
      <c r="BR698" s="2">
        <f>SUM(BR$2:BR188)+AL188*E188</f>
        <v>34978.199999999953</v>
      </c>
      <c r="BS698" s="2">
        <f>SUM(BS$2:BS188)+AM188*F188</f>
        <v>3590.6999999999971</v>
      </c>
      <c r="BT698" s="2">
        <f>SUM(BT$2:BT188)+AN188*G188</f>
        <v>4264.1999999999971</v>
      </c>
      <c r="BU698" s="2">
        <f>SUM(BU$2:BU188)+AO188*H188</f>
        <v>-8156.2999999999884</v>
      </c>
      <c r="BV698" s="2">
        <f>SUM(BV$2:BV188)+AP188*I188</f>
        <v>1821.3000000000029</v>
      </c>
      <c r="BW698" s="2">
        <f>SUM(BW$2:BW188)+AQ188*J188</f>
        <v>-3780</v>
      </c>
      <c r="BX698" s="2">
        <f>SUM(BX$2:BX188)+AR188*K188</f>
        <v>13940</v>
      </c>
      <c r="BY698" s="2">
        <f>SUM(BY$2:BY188)+AS188*L188</f>
        <v>-15820</v>
      </c>
      <c r="BZ698" s="2">
        <f>SUM(BZ$2:BZ188)+AT188*M188</f>
        <v>740</v>
      </c>
      <c r="CA698" s="2">
        <f>SUM(CA$2:CA188)+AU188*N188</f>
        <v>15360</v>
      </c>
      <c r="CB698" s="2">
        <f>SUM(CB$2:CB188)+AV188*O188</f>
        <v>9260</v>
      </c>
      <c r="CC698" s="2">
        <f>SUM(CC$2:CC188)+AW188*P188</f>
        <v>-20</v>
      </c>
      <c r="CD698" s="2">
        <f>SUM(CD$2:CD188)+AX188*Q188</f>
        <v>14050</v>
      </c>
      <c r="CE698" s="2">
        <f>SUM(CE$2:CE188)+AY188*R188</f>
        <v>27020</v>
      </c>
      <c r="CF698" s="2">
        <f>SUM(CF$2:CF188)+AZ188*S188</f>
        <v>5552.2099999999846</v>
      </c>
      <c r="CG698" s="2">
        <f>SUM(CG$2:CG188)+BA188*T188</f>
        <v>12434.549999999988</v>
      </c>
      <c r="CH698" s="2">
        <f>SUM(CH$2:CH188)+BB188*U188</f>
        <v>1448.6800000000076</v>
      </c>
      <c r="CI698" s="2">
        <f>SUM(CI$2:CI188)+BC188*V188</f>
        <v>-5120</v>
      </c>
      <c r="CJ698" s="2">
        <f>SUM(CJ$2:CJ188)+BD188*W188</f>
        <v>-6309.9999999998836</v>
      </c>
      <c r="CK698" s="2">
        <f>SUM(CK$2:CK188)+BE188*X188</f>
        <v>21880</v>
      </c>
      <c r="CL698" s="2">
        <f>SUM(CL$2:CL188)+BF188*Y188</f>
        <v>106830</v>
      </c>
      <c r="CM698" s="2">
        <f>SUM(CM$2:CM188)+BG188*Z188</f>
        <v>30315</v>
      </c>
      <c r="CN698" s="2">
        <f>SUM(CN$2:CN188)+BH188*AA188</f>
        <v>65422.499999999942</v>
      </c>
      <c r="CO698" s="2">
        <f>SUM(CO$2:CO188)+BI188*AB188</f>
        <v>-9050</v>
      </c>
      <c r="CP698" s="2">
        <f>SUM(CP$2:CP188)+BJ188*AC188</f>
        <v>3475</v>
      </c>
      <c r="CQ698" s="2">
        <f>SUM(CQ$2:CQ188)+BK188*AD188</f>
        <v>11340.000000000007</v>
      </c>
      <c r="CR698" s="2">
        <f>SUM(CR$2:CR188)+BL188*AE188</f>
        <v>-5810</v>
      </c>
      <c r="CV698" t="s">
        <v>64</v>
      </c>
      <c r="CW698" t="s">
        <v>771</v>
      </c>
      <c r="CX698" t="s">
        <v>18</v>
      </c>
      <c r="CY698" s="4">
        <v>43291</v>
      </c>
      <c r="CZ698" t="s">
        <v>67</v>
      </c>
      <c r="DA698" t="s">
        <v>68</v>
      </c>
      <c r="DB698">
        <v>6</v>
      </c>
      <c r="DC698">
        <v>61.45</v>
      </c>
      <c r="DD698" t="s">
        <v>69</v>
      </c>
      <c r="DE698" t="s">
        <v>70</v>
      </c>
      <c r="DF698">
        <v>368.70000000000005</v>
      </c>
    </row>
    <row r="699" spans="66:110" x14ac:dyDescent="0.25">
      <c r="BN699" s="1">
        <f t="shared" si="337"/>
        <v>43007</v>
      </c>
      <c r="BO699" s="2">
        <f>SUM(BO$2:BO189)+AI189*B189</f>
        <v>99652.499999999884</v>
      </c>
      <c r="BP699" s="2">
        <f>SUM(BP$2:BP189)+AJ189*C189</f>
        <v>16929.399999999994</v>
      </c>
      <c r="BQ699" s="2">
        <f>SUM(BQ$2:BQ189)+AK189*D189</f>
        <v>105047.69999999995</v>
      </c>
      <c r="BR699" s="2">
        <f>SUM(BR$2:BR189)+AL189*E189</f>
        <v>34401.899999999965</v>
      </c>
      <c r="BS699" s="2">
        <f>SUM(BS$2:BS189)+AM189*F189</f>
        <v>3895.8000000000029</v>
      </c>
      <c r="BT699" s="2">
        <f>SUM(BT$2:BT189)+AN189*G189</f>
        <v>4139.9000000000087</v>
      </c>
      <c r="BU699" s="2">
        <f>SUM(BU$2:BU189)+AO189*H189</f>
        <v>-7579.9999999999854</v>
      </c>
      <c r="BV699" s="2">
        <f>SUM(BV$2:BV189)+AP189*I189</f>
        <v>1982.8999999999942</v>
      </c>
      <c r="BW699" s="2">
        <f>SUM(BW$2:BW189)+AQ189*J189</f>
        <v>-2090</v>
      </c>
      <c r="BX699" s="2">
        <f>SUM(BX$2:BX189)+AR189*K189</f>
        <v>13940</v>
      </c>
      <c r="BY699" s="2">
        <f>SUM(BY$2:BY189)+AS189*L189</f>
        <v>-16360</v>
      </c>
      <c r="BZ699" s="2">
        <f>SUM(BZ$2:BZ189)+AT189*M189</f>
        <v>740</v>
      </c>
      <c r="CA699" s="2">
        <f>SUM(CA$2:CA189)+AU189*N189</f>
        <v>15890</v>
      </c>
      <c r="CB699" s="2">
        <f>SUM(CB$2:CB189)+AV189*O189</f>
        <v>9380</v>
      </c>
      <c r="CC699" s="2">
        <f>SUM(CC$2:CC189)+AW189*P189</f>
        <v>-20</v>
      </c>
      <c r="CD699" s="2">
        <f>SUM(CD$2:CD189)+AX189*Q189</f>
        <v>14050</v>
      </c>
      <c r="CE699" s="2">
        <f>SUM(CE$2:CE189)+AY189*R189</f>
        <v>27020</v>
      </c>
      <c r="CF699" s="2">
        <f>SUM(CF$2:CF189)+AZ189*S189</f>
        <v>5302.2099999999846</v>
      </c>
      <c r="CG699" s="2">
        <f>SUM(CG$2:CG189)+BA189*T189</f>
        <v>13036.619999999981</v>
      </c>
      <c r="CH699" s="2">
        <f>SUM(CH$2:CH189)+BB189*U189</f>
        <v>649.42000000001281</v>
      </c>
      <c r="CI699" s="2">
        <f>SUM(CI$2:CI189)+BC189*V189</f>
        <v>-5210</v>
      </c>
      <c r="CJ699" s="2">
        <f>SUM(CJ$2:CJ189)+BD189*W189</f>
        <v>-6710</v>
      </c>
      <c r="CK699" s="2">
        <f>SUM(CK$2:CK189)+BE189*X189</f>
        <v>20530</v>
      </c>
      <c r="CL699" s="2">
        <f>SUM(CL$2:CL189)+BF189*Y189</f>
        <v>106080</v>
      </c>
      <c r="CM699" s="2">
        <f>SUM(CM$2:CM189)+BG189*Z189</f>
        <v>31465</v>
      </c>
      <c r="CN699" s="2">
        <f>SUM(CN$2:CN189)+BH189*AA189</f>
        <v>68062.499999999942</v>
      </c>
      <c r="CO699" s="2">
        <f>SUM(CO$2:CO189)+BI189*AB189</f>
        <v>-8810</v>
      </c>
      <c r="CP699" s="2">
        <f>SUM(CP$2:CP189)+BJ189*AC189</f>
        <v>3910</v>
      </c>
      <c r="CQ699" s="2">
        <f>SUM(CQ$2:CQ189)+BK189*AD189</f>
        <v>10550.000000000007</v>
      </c>
      <c r="CR699" s="2">
        <f>SUM(CR$2:CR189)+BL189*AE189</f>
        <v>-6010</v>
      </c>
      <c r="CV699" t="s">
        <v>64</v>
      </c>
      <c r="CW699" t="s">
        <v>772</v>
      </c>
      <c r="CX699" t="s">
        <v>18</v>
      </c>
      <c r="CY699" s="4">
        <v>43292</v>
      </c>
      <c r="CZ699" t="s">
        <v>65</v>
      </c>
      <c r="DA699" t="s">
        <v>66</v>
      </c>
      <c r="DB699">
        <v>9</v>
      </c>
      <c r="DC699">
        <v>61.05</v>
      </c>
      <c r="DD699" t="s">
        <v>69</v>
      </c>
      <c r="DE699" t="s">
        <v>70</v>
      </c>
      <c r="DF699">
        <v>549.44999999999993</v>
      </c>
    </row>
    <row r="700" spans="66:110" x14ac:dyDescent="0.25">
      <c r="BN700" s="1">
        <f t="shared" si="337"/>
        <v>43010</v>
      </c>
      <c r="BO700" s="2">
        <f>SUM(BO$2:BO190)+AI190*B190</f>
        <v>98152.499999999884</v>
      </c>
      <c r="BP700" s="2">
        <f>SUM(BP$2:BP190)+AJ190*C190</f>
        <v>17008.5</v>
      </c>
      <c r="BQ700" s="2">
        <f>SUM(BQ$2:BQ190)+AK190*D190</f>
        <v>107002.59999999992</v>
      </c>
      <c r="BR700" s="2">
        <f>SUM(BR$2:BR190)+AL190*E190</f>
        <v>34413.199999999953</v>
      </c>
      <c r="BS700" s="2">
        <f>SUM(BS$2:BS190)+AM190*F190</f>
        <v>4020.0999999999985</v>
      </c>
      <c r="BT700" s="2">
        <f>SUM(BT$2:BT190)+AN190*G190</f>
        <v>4060.8000000000029</v>
      </c>
      <c r="BU700" s="2">
        <f>SUM(BU$2:BU190)+AO190*H190</f>
        <v>-6156.1999999999971</v>
      </c>
      <c r="BV700" s="2">
        <f>SUM(BV$2:BV190)+AP190*I190</f>
        <v>3154.4999999999854</v>
      </c>
      <c r="BW700" s="2">
        <f>SUM(BW$2:BW190)+AQ190*J190</f>
        <v>1320</v>
      </c>
      <c r="BX700" s="2">
        <f>SUM(BX$2:BX190)+AR190*K190</f>
        <v>13940</v>
      </c>
      <c r="BY700" s="2">
        <f>SUM(BY$2:BY190)+AS190*L190</f>
        <v>-14890</v>
      </c>
      <c r="BZ700" s="2">
        <f>SUM(BZ$2:BZ190)+AT190*M190</f>
        <v>740</v>
      </c>
      <c r="CA700" s="2">
        <f>SUM(CA$2:CA190)+AU190*N190</f>
        <v>17060</v>
      </c>
      <c r="CB700" s="2">
        <f>SUM(CB$2:CB190)+AV190*O190</f>
        <v>10660</v>
      </c>
      <c r="CC700" s="2">
        <f>SUM(CC$2:CC190)+AW190*P190</f>
        <v>-20</v>
      </c>
      <c r="CD700" s="2">
        <f>SUM(CD$2:CD190)+AX190*Q190</f>
        <v>14050</v>
      </c>
      <c r="CE700" s="2">
        <f>SUM(CE$2:CE190)+AY190*R190</f>
        <v>27020</v>
      </c>
      <c r="CF700" s="2">
        <f>SUM(CF$2:CF190)+AZ190*S190</f>
        <v>5793.7099999999846</v>
      </c>
      <c r="CG700" s="2">
        <f>SUM(CG$2:CG190)+BA190*T190</f>
        <v>13142.659999999982</v>
      </c>
      <c r="CH700" s="2">
        <f>SUM(CH$2:CH190)+BB190*U190</f>
        <v>670.78000000000611</v>
      </c>
      <c r="CI700" s="2">
        <f>SUM(CI$2:CI190)+BC190*V190</f>
        <v>-5560</v>
      </c>
      <c r="CJ700" s="2">
        <f>SUM(CJ$2:CJ190)+BD190*W190</f>
        <v>-10509.999999999942</v>
      </c>
      <c r="CK700" s="2">
        <f>SUM(CK$2:CK190)+BE190*X190</f>
        <v>24430</v>
      </c>
      <c r="CL700" s="2">
        <f>SUM(CL$2:CL190)+BF190*Y190</f>
        <v>110790</v>
      </c>
      <c r="CM700" s="2">
        <f>SUM(CM$2:CM190)+BG190*Z190</f>
        <v>38715</v>
      </c>
      <c r="CN700" s="2">
        <f>SUM(CN$2:CN190)+BH190*AA190</f>
        <v>68822.499999999942</v>
      </c>
      <c r="CO700" s="2">
        <f>SUM(CO$2:CO190)+BI190*AB190</f>
        <v>-9200</v>
      </c>
      <c r="CP700" s="2">
        <f>SUM(CP$2:CP190)+BJ190*AC190</f>
        <v>4810</v>
      </c>
      <c r="CQ700" s="2">
        <f>SUM(CQ$2:CQ190)+BK190*AD190</f>
        <v>10850.000000000007</v>
      </c>
      <c r="CR700" s="2">
        <f>SUM(CR$2:CR190)+BL190*AE190</f>
        <v>-6340</v>
      </c>
      <c r="CV700" t="s">
        <v>64</v>
      </c>
      <c r="CW700" t="s">
        <v>773</v>
      </c>
      <c r="CX700" t="s">
        <v>18</v>
      </c>
      <c r="CY700" s="4">
        <v>43293</v>
      </c>
      <c r="CZ700" t="s">
        <v>67</v>
      </c>
      <c r="DA700" t="s">
        <v>68</v>
      </c>
      <c r="DB700">
        <v>79</v>
      </c>
      <c r="DC700">
        <v>61.8</v>
      </c>
      <c r="DD700" t="s">
        <v>69</v>
      </c>
      <c r="DE700" t="s">
        <v>70</v>
      </c>
      <c r="DF700">
        <v>4882.2</v>
      </c>
    </row>
    <row r="701" spans="66:110" x14ac:dyDescent="0.25">
      <c r="BN701" s="1">
        <f t="shared" si="337"/>
        <v>43011</v>
      </c>
      <c r="BO701" s="2">
        <f>SUM(BO$2:BO191)+AI191*B191</f>
        <v>101402.49999999988</v>
      </c>
      <c r="BP701" s="2">
        <f>SUM(BP$2:BP191)+AJ191*C191</f>
        <v>18002.900000000009</v>
      </c>
      <c r="BQ701" s="2">
        <f>SUM(BQ$2:BQ191)+AK191*D191</f>
        <v>106426.29999999993</v>
      </c>
      <c r="BR701" s="2">
        <f>SUM(BR$2:BR191)+AL191*E191</f>
        <v>35283.299999999988</v>
      </c>
      <c r="BS701" s="2">
        <f>SUM(BS$2:BS191)+AM191*F191</f>
        <v>4133.0999999999985</v>
      </c>
      <c r="BT701" s="2">
        <f>SUM(BT$2:BT191)+AN191*G191</f>
        <v>4478.8999999999942</v>
      </c>
      <c r="BU701" s="2">
        <f>SUM(BU$2:BU191)+AO191*H191</f>
        <v>-5139.1999999999825</v>
      </c>
      <c r="BV701" s="2">
        <f>SUM(BV$2:BV191)+AP191*I191</f>
        <v>3093.8999999999796</v>
      </c>
      <c r="BW701" s="2">
        <f>SUM(BW$2:BW191)+AQ191*J191</f>
        <v>2270</v>
      </c>
      <c r="BX701" s="2">
        <f>SUM(BX$2:BX191)+AR191*K191</f>
        <v>13940</v>
      </c>
      <c r="BY701" s="2">
        <f>SUM(BY$2:BY191)+AS191*L191</f>
        <v>-14770</v>
      </c>
      <c r="BZ701" s="2">
        <f>SUM(BZ$2:BZ191)+AT191*M191</f>
        <v>740</v>
      </c>
      <c r="CA701" s="2">
        <f>SUM(CA$2:CA191)+AU191*N191</f>
        <v>17910</v>
      </c>
      <c r="CB701" s="2">
        <f>SUM(CB$2:CB191)+AV191*O191</f>
        <v>11150</v>
      </c>
      <c r="CC701" s="2">
        <f>SUM(CC$2:CC191)+AW191*P191</f>
        <v>-20</v>
      </c>
      <c r="CD701" s="2">
        <f>SUM(CD$2:CD191)+AX191*Q191</f>
        <v>14050</v>
      </c>
      <c r="CE701" s="2">
        <f>SUM(CE$2:CE191)+AY191*R191</f>
        <v>27020</v>
      </c>
      <c r="CF701" s="2">
        <f>SUM(CF$2:CF191)+AZ191*S191</f>
        <v>5621.3299999999799</v>
      </c>
      <c r="CG701" s="2">
        <f>SUM(CG$2:CG191)+BA191*T191</f>
        <v>12778.519999999982</v>
      </c>
      <c r="CH701" s="2">
        <f>SUM(CH$2:CH191)+BB191*U191</f>
        <v>277.66000000000349</v>
      </c>
      <c r="CI701" s="2">
        <f>SUM(CI$2:CI191)+BC191*V191</f>
        <v>-5630</v>
      </c>
      <c r="CJ701" s="2">
        <f>SUM(CJ$2:CJ191)+BD191*W191</f>
        <v>-12159.999999999942</v>
      </c>
      <c r="CK701" s="2">
        <f>SUM(CK$2:CK191)+BE191*X191</f>
        <v>26280</v>
      </c>
      <c r="CL701" s="2">
        <f>SUM(CL$2:CL191)+BF191*Y191</f>
        <v>114300</v>
      </c>
      <c r="CM701" s="2">
        <f>SUM(CM$2:CM191)+BG191*Z191</f>
        <v>39315</v>
      </c>
      <c r="CN701" s="2">
        <f>SUM(CN$2:CN191)+BH191*AA191</f>
        <v>69422.499999999942</v>
      </c>
      <c r="CO701" s="2">
        <f>SUM(CO$2:CO191)+BI191*AB191</f>
        <v>-7820</v>
      </c>
      <c r="CP701" s="2">
        <f>SUM(CP$2:CP191)+BJ191*AC191</f>
        <v>4525</v>
      </c>
      <c r="CQ701" s="2">
        <f>SUM(CQ$2:CQ191)+BK191*AD191</f>
        <v>11600.000000000007</v>
      </c>
      <c r="CR701" s="2">
        <f>SUM(CR$2:CR191)+BL191*AE191</f>
        <v>-6220</v>
      </c>
      <c r="CV701" t="s">
        <v>64</v>
      </c>
      <c r="CW701" t="s">
        <v>774</v>
      </c>
      <c r="CX701" t="s">
        <v>18</v>
      </c>
      <c r="CY701" s="4">
        <v>43294</v>
      </c>
      <c r="CZ701" t="s">
        <v>67</v>
      </c>
      <c r="DA701" t="s">
        <v>68</v>
      </c>
      <c r="DB701">
        <v>4</v>
      </c>
      <c r="DC701">
        <v>62.03</v>
      </c>
      <c r="DD701" t="s">
        <v>69</v>
      </c>
      <c r="DE701" t="s">
        <v>70</v>
      </c>
      <c r="DF701">
        <v>248.12</v>
      </c>
    </row>
    <row r="702" spans="66:110" x14ac:dyDescent="0.25">
      <c r="BN702" s="1">
        <f t="shared" si="337"/>
        <v>43012</v>
      </c>
      <c r="BO702" s="2">
        <f>SUM(BO$2:BO192)+AI192*B192</f>
        <v>98952.499999999884</v>
      </c>
      <c r="BP702" s="2">
        <f>SUM(BP$2:BP192)+AJ192*C192</f>
        <v>17539.599999999991</v>
      </c>
      <c r="BQ702" s="2">
        <f>SUM(BQ$2:BQ192)+AK192*D192</f>
        <v>106753.99999999994</v>
      </c>
      <c r="BR702" s="2">
        <f>SUM(BR$2:BR192)+AL192*E192</f>
        <v>36616.699999999983</v>
      </c>
      <c r="BS702" s="2">
        <f>SUM(BS$2:BS192)+AM192*F192</f>
        <v>3997.5</v>
      </c>
      <c r="BT702" s="2">
        <f>SUM(BT$2:BT192)+AN192*G192</f>
        <v>4230.3000000000029</v>
      </c>
      <c r="BU702" s="2">
        <f>SUM(BU$2:BU192)+AO192*H192</f>
        <v>-5399.0999999999913</v>
      </c>
      <c r="BV702" s="2">
        <f>SUM(BV$2:BV192)+AP192*I192</f>
        <v>3184.7999999999884</v>
      </c>
      <c r="BW702" s="2">
        <f>SUM(BW$2:BW192)+AQ192*J192</f>
        <v>980</v>
      </c>
      <c r="BX702" s="2">
        <f>SUM(BX$2:BX192)+AR192*K192</f>
        <v>13940</v>
      </c>
      <c r="BY702" s="2">
        <f>SUM(BY$2:BY192)+AS192*L192</f>
        <v>-15050</v>
      </c>
      <c r="BZ702" s="2">
        <f>SUM(BZ$2:BZ192)+AT192*M192</f>
        <v>740</v>
      </c>
      <c r="CA702" s="2">
        <f>SUM(CA$2:CA192)+AU192*N192</f>
        <v>18670</v>
      </c>
      <c r="CB702" s="2">
        <f>SUM(CB$2:CB192)+AV192*O192</f>
        <v>10200</v>
      </c>
      <c r="CC702" s="2">
        <f>SUM(CC$2:CC192)+AW192*P192</f>
        <v>-20</v>
      </c>
      <c r="CD702" s="2">
        <f>SUM(CD$2:CD192)+AX192*Q192</f>
        <v>14050</v>
      </c>
      <c r="CE702" s="2">
        <f>SUM(CE$2:CE192)+AY192*R192</f>
        <v>27020</v>
      </c>
      <c r="CF702" s="2">
        <f>SUM(CF$2:CF192)+AZ192*S192</f>
        <v>5840.0099999999802</v>
      </c>
      <c r="CG702" s="2">
        <f>SUM(CG$2:CG192)+BA192*T192</f>
        <v>13211.539999999986</v>
      </c>
      <c r="CH702" s="2">
        <f>SUM(CH$2:CH192)+BB192*U192</f>
        <v>860.26000000000931</v>
      </c>
      <c r="CI702" s="2">
        <f>SUM(CI$2:CI192)+BC192*V192</f>
        <v>-5460</v>
      </c>
      <c r="CJ702" s="2">
        <f>SUM(CJ$2:CJ192)+BD192*W192</f>
        <v>-13559.999999999942</v>
      </c>
      <c r="CK702" s="2">
        <f>SUM(CK$2:CK192)+BE192*X192</f>
        <v>27230</v>
      </c>
      <c r="CL702" s="2">
        <f>SUM(CL$2:CL192)+BF192*Y192</f>
        <v>119760</v>
      </c>
      <c r="CM702" s="2">
        <f>SUM(CM$2:CM192)+BG192*Z192</f>
        <v>38965</v>
      </c>
      <c r="CN702" s="2">
        <f>SUM(CN$2:CN192)+BH192*AA192</f>
        <v>68072.499999999942</v>
      </c>
      <c r="CO702" s="2">
        <f>SUM(CO$2:CO192)+BI192*AB192</f>
        <v>-7670</v>
      </c>
      <c r="CP702" s="2">
        <f>SUM(CP$2:CP192)+BJ192*AC192</f>
        <v>5919.9999999999854</v>
      </c>
      <c r="CQ702" s="2">
        <f>SUM(CQ$2:CQ192)+BK192*AD192</f>
        <v>11470.000000000007</v>
      </c>
      <c r="CR702" s="2">
        <f>SUM(CR$2:CR192)+BL192*AE192</f>
        <v>-6190</v>
      </c>
      <c r="CV702" t="s">
        <v>64</v>
      </c>
      <c r="CW702" t="s">
        <v>775</v>
      </c>
      <c r="CX702" t="s">
        <v>18</v>
      </c>
      <c r="CY702" s="4">
        <v>43297</v>
      </c>
      <c r="CZ702" t="s">
        <v>65</v>
      </c>
      <c r="DA702" t="s">
        <v>66</v>
      </c>
      <c r="DB702">
        <v>65</v>
      </c>
      <c r="DC702">
        <v>61.73</v>
      </c>
      <c r="DD702" t="s">
        <v>69</v>
      </c>
      <c r="DE702" t="s">
        <v>70</v>
      </c>
      <c r="DF702">
        <v>4012.45</v>
      </c>
    </row>
    <row r="703" spans="66:110" x14ac:dyDescent="0.25">
      <c r="BN703" s="1">
        <f t="shared" si="337"/>
        <v>43013</v>
      </c>
      <c r="BO703" s="2">
        <f>SUM(BO$2:BO193)+AI193*B193</f>
        <v>103627.49999999983</v>
      </c>
      <c r="BP703" s="2">
        <f>SUM(BP$2:BP193)+AJ193*C193</f>
        <v>18093.300000000003</v>
      </c>
      <c r="BQ703" s="2">
        <f>SUM(BQ$2:BQ193)+AK193*D193</f>
        <v>110189.19999999995</v>
      </c>
      <c r="BR703" s="2">
        <f>SUM(BR$2:BR193)+AL193*E193</f>
        <v>36255.099999999977</v>
      </c>
      <c r="BS703" s="2">
        <f>SUM(BS$2:BS193)+AM193*F193</f>
        <v>4167</v>
      </c>
      <c r="BT703" s="2">
        <f>SUM(BT$2:BT193)+AN193*G193</f>
        <v>5292.5</v>
      </c>
      <c r="BU703" s="2">
        <f>SUM(BU$2:BU193)+AO193*H193</f>
        <v>-5884.9999999999854</v>
      </c>
      <c r="BV703" s="2">
        <f>SUM(BV$2:BV193)+AP193*I193</f>
        <v>3699.8999999999942</v>
      </c>
      <c r="BW703" s="2">
        <f>SUM(BW$2:BW193)+AQ193*J193</f>
        <v>6640</v>
      </c>
      <c r="BX703" s="2">
        <f>SUM(BX$2:BX193)+AR193*K193</f>
        <v>13940</v>
      </c>
      <c r="BY703" s="2">
        <f>SUM(BY$2:BY193)+AS193*L193</f>
        <v>-14830</v>
      </c>
      <c r="BZ703" s="2">
        <f>SUM(BZ$2:BZ193)+AT193*M193</f>
        <v>740</v>
      </c>
      <c r="CA703" s="2">
        <f>SUM(CA$2:CA193)+AU193*N193</f>
        <v>18960</v>
      </c>
      <c r="CB703" s="2">
        <f>SUM(CB$2:CB193)+AV193*O193</f>
        <v>11450</v>
      </c>
      <c r="CC703" s="2">
        <f>SUM(CC$2:CC193)+AW193*P193</f>
        <v>-20</v>
      </c>
      <c r="CD703" s="2">
        <f>SUM(CD$2:CD193)+AX193*Q193</f>
        <v>14050</v>
      </c>
      <c r="CE703" s="2">
        <f>SUM(CE$2:CE193)+AY193*R193</f>
        <v>27020</v>
      </c>
      <c r="CF703" s="2">
        <f>SUM(CF$2:CF193)+AZ193*S193</f>
        <v>5840.0099999999802</v>
      </c>
      <c r="CG703" s="2">
        <f>SUM(CG$2:CG193)+BA193*T193</f>
        <v>14492.789999999994</v>
      </c>
      <c r="CH703" s="2">
        <f>SUM(CH$2:CH193)+BB193*U193</f>
        <v>954.76000000000931</v>
      </c>
      <c r="CI703" s="2">
        <f>SUM(CI$2:CI193)+BC193*V193</f>
        <v>-5500</v>
      </c>
      <c r="CJ703" s="2">
        <f>SUM(CJ$2:CJ193)+BD193*W193</f>
        <v>-11710</v>
      </c>
      <c r="CK703" s="2">
        <f>SUM(CK$2:CK193)+BE193*X193</f>
        <v>29880</v>
      </c>
      <c r="CL703" s="2">
        <f>SUM(CL$2:CL193)+BF193*Y193</f>
        <v>112140</v>
      </c>
      <c r="CM703" s="2">
        <f>SUM(CM$2:CM193)+BG193*Z193</f>
        <v>41565</v>
      </c>
      <c r="CN703" s="2">
        <f>SUM(CN$2:CN193)+BH193*AA193</f>
        <v>72672.499999999942</v>
      </c>
      <c r="CO703" s="2">
        <f>SUM(CO$2:CO193)+BI193*AB193</f>
        <v>-8030</v>
      </c>
      <c r="CP703" s="2">
        <f>SUM(CP$2:CP193)+BJ193*AC193</f>
        <v>4299.9999999999854</v>
      </c>
      <c r="CQ703" s="2">
        <f>SUM(CQ$2:CQ193)+BK193*AD193</f>
        <v>11780.000000000007</v>
      </c>
      <c r="CR703" s="2">
        <f>SUM(CR$2:CR193)+BL193*AE193</f>
        <v>-5970</v>
      </c>
      <c r="CV703" t="s">
        <v>64</v>
      </c>
      <c r="CW703" t="s">
        <v>776</v>
      </c>
      <c r="CX703" t="s">
        <v>18</v>
      </c>
      <c r="CY703" s="4">
        <v>43298</v>
      </c>
      <c r="CZ703" t="s">
        <v>65</v>
      </c>
      <c r="DA703" t="s">
        <v>66</v>
      </c>
      <c r="DB703">
        <v>19</v>
      </c>
      <c r="DC703">
        <v>61.67</v>
      </c>
      <c r="DD703" t="s">
        <v>69</v>
      </c>
      <c r="DE703" t="s">
        <v>70</v>
      </c>
      <c r="DF703">
        <v>1171.73</v>
      </c>
    </row>
    <row r="704" spans="66:110" x14ac:dyDescent="0.25">
      <c r="BN704" s="1">
        <f t="shared" si="337"/>
        <v>43014</v>
      </c>
      <c r="BO704" s="2">
        <f>SUM(BO$2:BO194)+AI194*B194</f>
        <v>103402.49999999988</v>
      </c>
      <c r="BP704" s="2">
        <f>SUM(BP$2:BP194)+AJ194*C194</f>
        <v>18522.699999999997</v>
      </c>
      <c r="BQ704" s="2">
        <f>SUM(BQ$2:BQ194)+AK194*D194</f>
        <v>109850.19999999995</v>
      </c>
      <c r="BR704" s="2">
        <f>SUM(BR$2:BR194)+AL194*E194</f>
        <v>36831.399999999965</v>
      </c>
      <c r="BS704" s="2">
        <f>SUM(BS$2:BS194)+AM194*F194</f>
        <v>4336.5</v>
      </c>
      <c r="BT704" s="2">
        <f>SUM(BT$2:BT194)+AN194*G194</f>
        <v>3642.6999999999971</v>
      </c>
      <c r="BU704" s="2">
        <f>SUM(BU$2:BU194)+AO194*H194</f>
        <v>-5930.1999999999825</v>
      </c>
      <c r="BV704" s="2">
        <f>SUM(BV$2:BV194)+AP194*I194</f>
        <v>3942.2999999999884</v>
      </c>
      <c r="BW704" s="2">
        <f>SUM(BW$2:BW194)+AQ194*J194</f>
        <v>6600</v>
      </c>
      <c r="BX704" s="2">
        <f>SUM(BX$2:BX194)+AR194*K194</f>
        <v>13940</v>
      </c>
      <c r="BY704" s="2">
        <f>SUM(BY$2:BY194)+AS194*L194</f>
        <v>-15050</v>
      </c>
      <c r="BZ704" s="2">
        <f>SUM(BZ$2:BZ194)+AT194*M194</f>
        <v>740</v>
      </c>
      <c r="CA704" s="2">
        <f>SUM(CA$2:CA194)+AU194*N194</f>
        <v>18990</v>
      </c>
      <c r="CB704" s="2">
        <f>SUM(CB$2:CB194)+AV194*O194</f>
        <v>11290</v>
      </c>
      <c r="CC704" s="2">
        <f>SUM(CC$2:CC194)+AW194*P194</f>
        <v>-20</v>
      </c>
      <c r="CD704" s="2">
        <f>SUM(CD$2:CD194)+AX194*Q194</f>
        <v>14050</v>
      </c>
      <c r="CE704" s="2">
        <f>SUM(CE$2:CE194)+AY194*R194</f>
        <v>27020</v>
      </c>
      <c r="CF704" s="2">
        <f>SUM(CF$2:CF194)+AZ194*S194</f>
        <v>5791.609999999986</v>
      </c>
      <c r="CG704" s="2">
        <f>SUM(CG$2:CG194)+BA194*T194</f>
        <v>14525.219999999994</v>
      </c>
      <c r="CH704" s="2">
        <f>SUM(CH$2:CH194)+BB194*U194</f>
        <v>1205.6900000000096</v>
      </c>
      <c r="CI704" s="2">
        <f>SUM(CI$2:CI194)+BC194*V194</f>
        <v>-5540</v>
      </c>
      <c r="CJ704" s="2">
        <f>SUM(CJ$2:CJ194)+BD194*W194</f>
        <v>-13159.999999999942</v>
      </c>
      <c r="CK704" s="2">
        <f>SUM(CK$2:CK194)+BE194*X194</f>
        <v>32930</v>
      </c>
      <c r="CL704" s="2">
        <f>SUM(CL$2:CL194)+BF194*Y194</f>
        <v>112620</v>
      </c>
      <c r="CM704" s="2">
        <f>SUM(CM$2:CM194)+BG194*Z194</f>
        <v>41865</v>
      </c>
      <c r="CN704" s="2">
        <f>SUM(CN$2:CN194)+BH194*AA194</f>
        <v>75072.499999999942</v>
      </c>
      <c r="CO704" s="2">
        <f>SUM(CO$2:CO194)+BI194*AB194</f>
        <v>-9080</v>
      </c>
      <c r="CP704" s="2">
        <f>SUM(CP$2:CP194)+BJ194*AC194</f>
        <v>9730</v>
      </c>
      <c r="CQ704" s="2">
        <f>SUM(CQ$2:CQ194)+BK194*AD194</f>
        <v>11380.000000000007</v>
      </c>
      <c r="CR704" s="2">
        <f>SUM(CR$2:CR194)+BL194*AE194</f>
        <v>-6260</v>
      </c>
      <c r="CV704" t="s">
        <v>64</v>
      </c>
      <c r="CW704" t="s">
        <v>777</v>
      </c>
      <c r="CX704" t="s">
        <v>18</v>
      </c>
      <c r="CY704" s="4">
        <v>43299</v>
      </c>
      <c r="CZ704" t="s">
        <v>67</v>
      </c>
      <c r="DA704" t="s">
        <v>68</v>
      </c>
      <c r="DB704">
        <v>12</v>
      </c>
      <c r="DC704">
        <v>62.08</v>
      </c>
      <c r="DD704" t="s">
        <v>69</v>
      </c>
      <c r="DE704" t="s">
        <v>70</v>
      </c>
      <c r="DF704">
        <v>744.96</v>
      </c>
    </row>
    <row r="705" spans="66:110" x14ac:dyDescent="0.25">
      <c r="BN705" s="1">
        <f t="shared" si="337"/>
        <v>43017</v>
      </c>
      <c r="BO705" s="2">
        <f>SUM(BO$2:BO195)+AI195*B195</f>
        <v>103402.49999999988</v>
      </c>
      <c r="BP705" s="2">
        <f>SUM(BP$2:BP195)+AJ195*C195</f>
        <v>18680.899999999994</v>
      </c>
      <c r="BQ705" s="2">
        <f>SUM(BQ$2:BQ195)+AK195*D195</f>
        <v>109635.49999999994</v>
      </c>
      <c r="BR705" s="2">
        <f>SUM(BR$2:BR195)+AL195*E195</f>
        <v>36774.899999999965</v>
      </c>
      <c r="BS705" s="2">
        <f>SUM(BS$2:BS195)+AM195*F195</f>
        <v>4347.7999999999956</v>
      </c>
      <c r="BT705" s="2">
        <f>SUM(BT$2:BT195)+AN195*G195</f>
        <v>4365.9000000000087</v>
      </c>
      <c r="BU705" s="2">
        <f>SUM(BU$2:BU195)+AO195*H195</f>
        <v>-6483.8999999999796</v>
      </c>
      <c r="BV705" s="2">
        <f>SUM(BV$2:BV195)+AP195*I195</f>
        <v>4396.7999999999884</v>
      </c>
      <c r="BW705" s="2">
        <f>SUM(BW$2:BW195)+AQ195*J195</f>
        <v>3430</v>
      </c>
      <c r="BX705" s="2">
        <f>SUM(BX$2:BX195)+AR195*K195</f>
        <v>13940</v>
      </c>
      <c r="BY705" s="2">
        <f>SUM(BY$2:BY195)+AS195*L195</f>
        <v>-14200</v>
      </c>
      <c r="BZ705" s="2">
        <f>SUM(BZ$2:BZ195)+AT195*M195</f>
        <v>740</v>
      </c>
      <c r="CA705" s="2">
        <f>SUM(CA$2:CA195)+AU195*N195</f>
        <v>19219.999999999985</v>
      </c>
      <c r="CB705" s="2">
        <f>SUM(CB$2:CB195)+AV195*O195</f>
        <v>10790</v>
      </c>
      <c r="CC705" s="2">
        <f>SUM(CC$2:CC195)+AW195*P195</f>
        <v>-20</v>
      </c>
      <c r="CD705" s="2">
        <f>SUM(CD$2:CD195)+AX195*Q195</f>
        <v>14050</v>
      </c>
      <c r="CE705" s="2">
        <f>SUM(CE$2:CE195)+AY195*R195</f>
        <v>27020</v>
      </c>
      <c r="CF705" s="2">
        <f>SUM(CF$2:CF195)+AZ195*S195</f>
        <v>5582.8699999999881</v>
      </c>
      <c r="CG705" s="2">
        <f>SUM(CG$2:CG195)+BA195*T195</f>
        <v>14793.759999999995</v>
      </c>
      <c r="CH705" s="2">
        <f>SUM(CH$2:CH195)+BB195*U195</f>
        <v>277.29000000001543</v>
      </c>
      <c r="CI705" s="2">
        <f>SUM(CI$2:CI195)+BC195*V195</f>
        <v>-5630</v>
      </c>
      <c r="CJ705" s="2">
        <f>SUM(CJ$2:CJ195)+BD195*W195</f>
        <v>-12159.999999999942</v>
      </c>
      <c r="CK705" s="2">
        <f>SUM(CK$2:CK195)+BE195*X195</f>
        <v>32330</v>
      </c>
      <c r="CL705" s="2">
        <f>SUM(CL$2:CL195)+BF195*Y195</f>
        <v>107430</v>
      </c>
      <c r="CM705" s="2">
        <f>SUM(CM$2:CM195)+BG195*Z195</f>
        <v>43765</v>
      </c>
      <c r="CN705" s="2">
        <f>SUM(CN$2:CN195)+BH195*AA195</f>
        <v>76472.499999999942</v>
      </c>
      <c r="CO705" s="2">
        <f>SUM(CO$2:CO195)+BI195*AB195</f>
        <v>-8420</v>
      </c>
      <c r="CP705" s="2">
        <f>SUM(CP$2:CP195)+BJ195*AC195</f>
        <v>13105</v>
      </c>
      <c r="CQ705" s="2">
        <f>SUM(CQ$2:CQ195)+BK195*AD195</f>
        <v>12870.000000000007</v>
      </c>
      <c r="CR705" s="2">
        <f>SUM(CR$2:CR195)+BL195*AE195</f>
        <v>-5960</v>
      </c>
      <c r="CV705" t="s">
        <v>64</v>
      </c>
      <c r="CW705" t="s">
        <v>778</v>
      </c>
      <c r="CX705" t="s">
        <v>18</v>
      </c>
      <c r="CY705" s="4">
        <v>43300</v>
      </c>
      <c r="CZ705" t="s">
        <v>65</v>
      </c>
      <c r="DA705" t="s">
        <v>66</v>
      </c>
      <c r="DB705">
        <v>21</v>
      </c>
      <c r="DC705">
        <v>61.65</v>
      </c>
      <c r="DD705" t="s">
        <v>69</v>
      </c>
      <c r="DE705" t="s">
        <v>70</v>
      </c>
      <c r="DF705">
        <v>1294.6499999999999</v>
      </c>
    </row>
    <row r="706" spans="66:110" x14ac:dyDescent="0.25">
      <c r="BN706" s="1">
        <f t="shared" ref="BN706:BN769" si="338">A196</f>
        <v>43018</v>
      </c>
      <c r="BO706" s="2">
        <f>SUM(BO$2:BO196)+AI196*B196</f>
        <v>103402.49999999988</v>
      </c>
      <c r="BP706" s="2">
        <f>SUM(BP$2:BP196)+AJ196*C196</f>
        <v>18906.899999999994</v>
      </c>
      <c r="BQ706" s="2">
        <f>SUM(BQ$2:BQ196)+AK196*D196</f>
        <v>112426.59999999998</v>
      </c>
      <c r="BR706" s="2">
        <f>SUM(BR$2:BR196)+AL196*E196</f>
        <v>38209.999999999971</v>
      </c>
      <c r="BS706" s="2">
        <f>SUM(BS$2:BS196)+AM196*F196</f>
        <v>4121.8000000000029</v>
      </c>
      <c r="BT706" s="2">
        <f>SUM(BT$2:BT196)+AN196*G196</f>
        <v>5529.8000000000029</v>
      </c>
      <c r="BU706" s="2">
        <f>SUM(BU$2:BU196)+AO196*H196</f>
        <v>-6472.5999999999913</v>
      </c>
      <c r="BV706" s="2">
        <f>SUM(BV$2:BV196)+AP196*I196</f>
        <v>4285.6999999999971</v>
      </c>
      <c r="BW706" s="2">
        <f>SUM(BW$2:BW196)+AQ196*J196</f>
        <v>3230</v>
      </c>
      <c r="BX706" s="2">
        <f>SUM(BX$2:BX196)+AR196*K196</f>
        <v>13940</v>
      </c>
      <c r="BY706" s="2">
        <f>SUM(BY$2:BY196)+AS196*L196</f>
        <v>-13160</v>
      </c>
      <c r="BZ706" s="2">
        <f>SUM(BZ$2:BZ196)+AT196*M196</f>
        <v>740</v>
      </c>
      <c r="CA706" s="2">
        <f>SUM(CA$2:CA196)+AU196*N196</f>
        <v>19650</v>
      </c>
      <c r="CB706" s="2">
        <f>SUM(CB$2:CB196)+AV196*O196</f>
        <v>11490</v>
      </c>
      <c r="CC706" s="2">
        <f>SUM(CC$2:CC196)+AW196*P196</f>
        <v>-20</v>
      </c>
      <c r="CD706" s="2">
        <f>SUM(CD$2:CD196)+AX196*Q196</f>
        <v>14050</v>
      </c>
      <c r="CE706" s="2">
        <f>SUM(CE$2:CE196)+AY196*R196</f>
        <v>27020</v>
      </c>
      <c r="CF706" s="2">
        <f>SUM(CF$2:CF196)+AZ196*S196</f>
        <v>5710.3999999999869</v>
      </c>
      <c r="CG706" s="2">
        <f>SUM(CG$2:CG196)+BA196*T196</f>
        <v>14793.759999999995</v>
      </c>
      <c r="CH706" s="2">
        <f>SUM(CH$2:CH196)+BB196*U196</f>
        <v>287.34000000001834</v>
      </c>
      <c r="CI706" s="2">
        <f>SUM(CI$2:CI196)+BC196*V196</f>
        <v>-5870</v>
      </c>
      <c r="CJ706" s="2">
        <f>SUM(CJ$2:CJ196)+BD196*W196</f>
        <v>-9759.9999999999418</v>
      </c>
      <c r="CK706" s="2">
        <f>SUM(CK$2:CK196)+BE196*X196</f>
        <v>37130</v>
      </c>
      <c r="CL706" s="2">
        <f>SUM(CL$2:CL196)+BF196*Y196</f>
        <v>102630</v>
      </c>
      <c r="CM706" s="2">
        <f>SUM(CM$2:CM196)+BG196*Z196</f>
        <v>41315</v>
      </c>
      <c r="CN706" s="2">
        <f>SUM(CN$2:CN196)+BH196*AA196</f>
        <v>77972.499999999942</v>
      </c>
      <c r="CO706" s="2">
        <f>SUM(CO$2:CO196)+BI196*AB196</f>
        <v>-8150</v>
      </c>
      <c r="CP706" s="2">
        <f>SUM(CP$2:CP196)+BJ196*AC196</f>
        <v>14575</v>
      </c>
      <c r="CQ706" s="2">
        <f>SUM(CQ$2:CQ196)+BK196*AD196</f>
        <v>16370.000000000007</v>
      </c>
      <c r="CR706" s="2">
        <f>SUM(CR$2:CR196)+BL196*AE196</f>
        <v>-5750</v>
      </c>
      <c r="CV706" t="s">
        <v>64</v>
      </c>
      <c r="CW706" t="s">
        <v>779</v>
      </c>
      <c r="CX706" t="s">
        <v>18</v>
      </c>
      <c r="CY706" s="4">
        <v>43301</v>
      </c>
      <c r="CZ706" t="s">
        <v>67</v>
      </c>
      <c r="DA706" t="s">
        <v>68</v>
      </c>
      <c r="DB706">
        <v>63</v>
      </c>
      <c r="DC706">
        <v>61.66</v>
      </c>
      <c r="DD706" t="s">
        <v>69</v>
      </c>
      <c r="DE706" t="s">
        <v>70</v>
      </c>
      <c r="DF706">
        <v>3884.58</v>
      </c>
    </row>
    <row r="707" spans="66:110" x14ac:dyDescent="0.25">
      <c r="BN707" s="1">
        <f t="shared" si="338"/>
        <v>43019</v>
      </c>
      <c r="BO707" s="2">
        <f>SUM(BO$2:BO197)+AI197*B197</f>
        <v>103402.49999999988</v>
      </c>
      <c r="BP707" s="2">
        <f>SUM(BP$2:BP197)+AJ197*C197</f>
        <v>18986</v>
      </c>
      <c r="BQ707" s="2">
        <f>SUM(BQ$2:BQ197)+AK197*D197</f>
        <v>112980.29999999993</v>
      </c>
      <c r="BR707" s="2">
        <f>SUM(BR$2:BR197)+AL197*E197</f>
        <v>38650.699999999953</v>
      </c>
      <c r="BS707" s="2">
        <f>SUM(BS$2:BS197)+AM197*F197</f>
        <v>4167</v>
      </c>
      <c r="BT707" s="2">
        <f>SUM(BT$2:BT197)+AN197*G197</f>
        <v>6094.8000000000029</v>
      </c>
      <c r="BU707" s="2">
        <f>SUM(BU$2:BU197)+AO197*H197</f>
        <v>-7602.5999999999913</v>
      </c>
      <c r="BV707" s="2">
        <f>SUM(BV$2:BV197)+AP197*I197</f>
        <v>4336.1999999999971</v>
      </c>
      <c r="BW707" s="2">
        <f>SUM(BW$2:BW197)+AQ197*J197</f>
        <v>3040</v>
      </c>
      <c r="BX707" s="2">
        <f>SUM(BX$2:BX197)+AR197*K197</f>
        <v>13940</v>
      </c>
      <c r="BY707" s="2">
        <f>SUM(BY$2:BY197)+AS197*L197</f>
        <v>-13990</v>
      </c>
      <c r="BZ707" s="2">
        <f>SUM(BZ$2:BZ197)+AT197*M197</f>
        <v>740</v>
      </c>
      <c r="CA707" s="2">
        <f>SUM(CA$2:CA197)+AU197*N197</f>
        <v>22310</v>
      </c>
      <c r="CB707" s="2">
        <f>SUM(CB$2:CB197)+AV197*O197</f>
        <v>11210</v>
      </c>
      <c r="CC707" s="2">
        <f>SUM(CC$2:CC197)+AW197*P197</f>
        <v>-20</v>
      </c>
      <c r="CD707" s="2">
        <f>SUM(CD$2:CD197)+AX197*Q197</f>
        <v>14050</v>
      </c>
      <c r="CE707" s="2">
        <f>SUM(CE$2:CE197)+AY197*R197</f>
        <v>27020</v>
      </c>
      <c r="CF707" s="2">
        <f>SUM(CF$2:CF197)+AZ197*S197</f>
        <v>5067.5599999999831</v>
      </c>
      <c r="CG707" s="2">
        <f>SUM(CG$2:CG197)+BA197*T197</f>
        <v>14918.07999999998</v>
      </c>
      <c r="CH707" s="2">
        <f>SUM(CH$2:CH197)+BB197*U197</f>
        <v>-214.15999999998166</v>
      </c>
      <c r="CI707" s="2">
        <f>SUM(CI$2:CI197)+BC197*V197</f>
        <v>-5920</v>
      </c>
      <c r="CJ707" s="2">
        <f>SUM(CJ$2:CJ197)+BD197*W197</f>
        <v>-9009.9999999999418</v>
      </c>
      <c r="CK707" s="2">
        <f>SUM(CK$2:CK197)+BE197*X197</f>
        <v>35530</v>
      </c>
      <c r="CL707" s="2">
        <f>SUM(CL$2:CL197)+BF197*Y197</f>
        <v>104340</v>
      </c>
      <c r="CM707" s="2">
        <f>SUM(CM$2:CM197)+BG197*Z197</f>
        <v>39515</v>
      </c>
      <c r="CN707" s="2">
        <f>SUM(CN$2:CN197)+BH197*AA197</f>
        <v>83522.499999999942</v>
      </c>
      <c r="CO707" s="2">
        <f>SUM(CO$2:CO197)+BI197*AB197</f>
        <v>-8960</v>
      </c>
      <c r="CP707" s="2">
        <f>SUM(CP$2:CP197)+BJ197*AC197</f>
        <v>15924.999999999985</v>
      </c>
      <c r="CQ707" s="2">
        <f>SUM(CQ$2:CQ197)+BK197*AD197</f>
        <v>17920.000000000007</v>
      </c>
      <c r="CR707" s="2">
        <f>SUM(CR$2:CR197)+BL197*AE197</f>
        <v>-5430</v>
      </c>
      <c r="CV707" t="s">
        <v>64</v>
      </c>
      <c r="CW707" t="s">
        <v>780</v>
      </c>
      <c r="CX707" t="s">
        <v>18</v>
      </c>
      <c r="CY707" s="4">
        <v>43304</v>
      </c>
      <c r="CZ707" t="s">
        <v>65</v>
      </c>
      <c r="DA707" t="s">
        <v>66</v>
      </c>
      <c r="DB707">
        <v>54</v>
      </c>
      <c r="DC707">
        <v>61.83</v>
      </c>
      <c r="DD707" t="s">
        <v>69</v>
      </c>
      <c r="DE707" t="s">
        <v>70</v>
      </c>
      <c r="DF707">
        <v>3338.8199999999997</v>
      </c>
    </row>
    <row r="708" spans="66:110" x14ac:dyDescent="0.25">
      <c r="BN708" s="1">
        <f t="shared" si="338"/>
        <v>43020</v>
      </c>
      <c r="BO708" s="2">
        <f>SUM(BO$2:BO198)+AI198*B198</f>
        <v>103402.49999999988</v>
      </c>
      <c r="BP708" s="2">
        <f>SUM(BP$2:BP198)+AJ198*C198</f>
        <v>18590.5</v>
      </c>
      <c r="BQ708" s="2">
        <f>SUM(BQ$2:BQ198)+AK198*D198</f>
        <v>113500.09999999992</v>
      </c>
      <c r="BR708" s="2">
        <f>SUM(BR$2:BR198)+AL198*E198</f>
        <v>40164.89999999998</v>
      </c>
      <c r="BS708" s="2">
        <f>SUM(BS$2:BS198)+AM198*F198</f>
        <v>3805.4000000000051</v>
      </c>
      <c r="BT708" s="2">
        <f>SUM(BT$2:BT198)+AN198*G198</f>
        <v>5891.3999999999942</v>
      </c>
      <c r="BU708" s="2">
        <f>SUM(BU$2:BU198)+AO198*H198</f>
        <v>-9388</v>
      </c>
      <c r="BV708" s="2">
        <f>SUM(BV$2:BV198)+AP198*I198</f>
        <v>4114</v>
      </c>
      <c r="BW708" s="2">
        <f>SUM(BW$2:BW198)+AQ198*J198</f>
        <v>480</v>
      </c>
      <c r="BX708" s="2">
        <f>SUM(BX$2:BX198)+AR198*K198</f>
        <v>13940</v>
      </c>
      <c r="BY708" s="2">
        <f>SUM(BY$2:BY198)+AS198*L198</f>
        <v>-14540</v>
      </c>
      <c r="BZ708" s="2">
        <f>SUM(BZ$2:BZ198)+AT198*M198</f>
        <v>740</v>
      </c>
      <c r="CA708" s="2">
        <f>SUM(CA$2:CA198)+AU198*N198</f>
        <v>22490</v>
      </c>
      <c r="CB708" s="2">
        <f>SUM(CB$2:CB198)+AV198*O198</f>
        <v>10380</v>
      </c>
      <c r="CC708" s="2">
        <f>SUM(CC$2:CC198)+AW198*P198</f>
        <v>-20</v>
      </c>
      <c r="CD708" s="2">
        <f>SUM(CD$2:CD198)+AX198*Q198</f>
        <v>14050</v>
      </c>
      <c r="CE708" s="2">
        <f>SUM(CE$2:CE198)+AY198*R198</f>
        <v>27020</v>
      </c>
      <c r="CF708" s="2">
        <f>SUM(CF$2:CF198)+AZ198*S198</f>
        <v>5117.2099999999846</v>
      </c>
      <c r="CG708" s="2">
        <f>SUM(CG$2:CG198)+BA198*T198</f>
        <v>15539.76999999999</v>
      </c>
      <c r="CH708" s="2">
        <f>SUM(CH$2:CH198)+BB198*U198</f>
        <v>-391.61999999998079</v>
      </c>
      <c r="CI708" s="2">
        <f>SUM(CI$2:CI198)+BC198*V198</f>
        <v>-5830</v>
      </c>
      <c r="CJ708" s="2">
        <f>SUM(CJ$2:CJ198)+BD198*W198</f>
        <v>-12309.999999999942</v>
      </c>
      <c r="CK708" s="2">
        <f>SUM(CK$2:CK198)+BE198*X198</f>
        <v>37180</v>
      </c>
      <c r="CL708" s="2">
        <f>SUM(CL$2:CL198)+BF198*Y198</f>
        <v>97440</v>
      </c>
      <c r="CM708" s="2">
        <f>SUM(CM$2:CM198)+BG198*Z198</f>
        <v>44715</v>
      </c>
      <c r="CN708" s="2">
        <f>SUM(CN$2:CN198)+BH198*AA198</f>
        <v>81922.499999999942</v>
      </c>
      <c r="CO708" s="2">
        <f>SUM(CO$2:CO198)+BI198*AB198</f>
        <v>-10400</v>
      </c>
      <c r="CP708" s="2">
        <f>SUM(CP$2:CP198)+BJ198*AC198</f>
        <v>15805</v>
      </c>
      <c r="CQ708" s="2">
        <f>SUM(CQ$2:CQ198)+BK198*AD198</f>
        <v>18280.000000000007</v>
      </c>
      <c r="CR708" s="2">
        <f>SUM(CR$2:CR198)+BL198*AE198</f>
        <v>-5590</v>
      </c>
      <c r="CV708" t="s">
        <v>64</v>
      </c>
      <c r="CW708" t="s">
        <v>781</v>
      </c>
      <c r="CX708" t="s">
        <v>18</v>
      </c>
      <c r="CY708" s="4">
        <v>43305</v>
      </c>
      <c r="CZ708" t="s">
        <v>67</v>
      </c>
      <c r="DA708" t="s">
        <v>68</v>
      </c>
      <c r="DB708">
        <v>38</v>
      </c>
      <c r="DC708">
        <v>62.55</v>
      </c>
      <c r="DD708" t="s">
        <v>69</v>
      </c>
      <c r="DE708" t="s">
        <v>70</v>
      </c>
      <c r="DF708">
        <v>2376.9</v>
      </c>
    </row>
    <row r="709" spans="66:110" x14ac:dyDescent="0.25">
      <c r="BN709" s="1">
        <f t="shared" si="338"/>
        <v>43021</v>
      </c>
      <c r="BO709" s="2">
        <f>SUM(BO$2:BO199)+AI199*B199</f>
        <v>103402.49999999988</v>
      </c>
      <c r="BP709" s="2">
        <f>SUM(BP$2:BP199)+AJ199*C199</f>
        <v>19992.700000000012</v>
      </c>
      <c r="BQ709" s="2">
        <f>SUM(BQ$2:BQ199)+AK199*D199</f>
        <v>112200.49999999994</v>
      </c>
      <c r="BR709" s="2">
        <f>SUM(BR$2:BR199)+AL199*E199</f>
        <v>40962.89999999998</v>
      </c>
      <c r="BS709" s="2">
        <f>SUM(BS$2:BS199)+AM199*F199</f>
        <v>4033.3999999999978</v>
      </c>
      <c r="BT709" s="2">
        <f>SUM(BT$2:BT199)+AN199*G199</f>
        <v>5914.2000000000116</v>
      </c>
      <c r="BU709" s="2">
        <f>SUM(BU$2:BU199)+AO199*H199</f>
        <v>-8897.7999999999884</v>
      </c>
      <c r="BV709" s="2">
        <f>SUM(BV$2:BV199)+AP199*I199</f>
        <v>4144.6000000000058</v>
      </c>
      <c r="BW709" s="2">
        <f>SUM(BW$2:BW199)+AQ199*J199</f>
        <v>-770</v>
      </c>
      <c r="BX709" s="2">
        <f>SUM(BX$2:BX199)+AR199*K199</f>
        <v>13940</v>
      </c>
      <c r="BY709" s="2">
        <f>SUM(BY$2:BY199)+AS199*L199</f>
        <v>-14470</v>
      </c>
      <c r="BZ709" s="2">
        <f>SUM(BZ$2:BZ199)+AT199*M199</f>
        <v>740</v>
      </c>
      <c r="CA709" s="2">
        <f>SUM(CA$2:CA199)+AU199*N199</f>
        <v>22100</v>
      </c>
      <c r="CB709" s="2">
        <f>SUM(CB$2:CB199)+AV199*O199</f>
        <v>10260</v>
      </c>
      <c r="CC709" s="2">
        <f>SUM(CC$2:CC199)+AW199*P199</f>
        <v>-20</v>
      </c>
      <c r="CD709" s="2">
        <f>SUM(CD$2:CD199)+AX199*Q199</f>
        <v>14050</v>
      </c>
      <c r="CE709" s="2">
        <f>SUM(CE$2:CE199)+AY199*R199</f>
        <v>27020</v>
      </c>
      <c r="CF709" s="2">
        <f>SUM(CF$2:CF199)+AZ199*S199</f>
        <v>4688.8099999999904</v>
      </c>
      <c r="CG709" s="2">
        <f>SUM(CG$2:CG199)+BA199*T199</f>
        <v>15875.649999999987</v>
      </c>
      <c r="CH709" s="2">
        <f>SUM(CH$2:CH199)+BB199*U199</f>
        <v>-250.21999999997206</v>
      </c>
      <c r="CI709" s="2">
        <f>SUM(CI$2:CI199)+BC199*V199</f>
        <v>-5820</v>
      </c>
      <c r="CJ709" s="2">
        <f>SUM(CJ$2:CJ199)+BD199*W199</f>
        <v>-16509.999999999942</v>
      </c>
      <c r="CK709" s="2">
        <f>SUM(CK$2:CK199)+BE199*X199</f>
        <v>40680</v>
      </c>
      <c r="CL709" s="2">
        <f>SUM(CL$2:CL199)+BF199*Y199</f>
        <v>96270</v>
      </c>
      <c r="CM709" s="2">
        <f>SUM(CM$2:CM199)+BG199*Z199</f>
        <v>44215</v>
      </c>
      <c r="CN709" s="2">
        <f>SUM(CN$2:CN199)+BH199*AA199</f>
        <v>84622.499999999942</v>
      </c>
      <c r="CO709" s="2">
        <f>SUM(CO$2:CO199)+BI199*AB199</f>
        <v>-11780</v>
      </c>
      <c r="CP709" s="2">
        <f>SUM(CP$2:CP199)+BJ199*AC199</f>
        <v>17890</v>
      </c>
      <c r="CQ709" s="2">
        <f>SUM(CQ$2:CQ199)+BK199*AD199</f>
        <v>18790.000000000007</v>
      </c>
      <c r="CR709" s="2">
        <f>SUM(CR$2:CR199)+BL199*AE199</f>
        <v>-5610</v>
      </c>
      <c r="CV709" t="s">
        <v>64</v>
      </c>
      <c r="CW709" t="s">
        <v>782</v>
      </c>
      <c r="CX709" t="s">
        <v>18</v>
      </c>
      <c r="CY709" s="4">
        <v>43306</v>
      </c>
      <c r="CZ709" t="s">
        <v>67</v>
      </c>
      <c r="DA709" t="s">
        <v>68</v>
      </c>
      <c r="DB709">
        <v>3</v>
      </c>
      <c r="DC709">
        <v>63.61</v>
      </c>
      <c r="DD709" t="s">
        <v>69</v>
      </c>
      <c r="DE709" t="s">
        <v>70</v>
      </c>
      <c r="DF709">
        <v>190.82999999999998</v>
      </c>
    </row>
    <row r="710" spans="66:110" x14ac:dyDescent="0.25">
      <c r="BN710" s="1">
        <f t="shared" si="338"/>
        <v>43024</v>
      </c>
      <c r="BO710" s="2">
        <f>SUM(BO$2:BO200)+AI200*B200</f>
        <v>110452.49999999988</v>
      </c>
      <c r="BP710" s="2">
        <f>SUM(BP$2:BP200)+AJ200*C200</f>
        <v>18989.5</v>
      </c>
      <c r="BQ710" s="2">
        <f>SUM(BQ$2:BQ200)+AK200*D200</f>
        <v>111106.09999999992</v>
      </c>
      <c r="BR710" s="2">
        <f>SUM(BR$2:BR200)+AL200*E200</f>
        <v>41795.099999999962</v>
      </c>
      <c r="BS710" s="2">
        <f>SUM(BS$2:BS200)+AM200*F200</f>
        <v>4113.2000000000007</v>
      </c>
      <c r="BT710" s="2">
        <f>SUM(BT$2:BT200)+AN200*G200</f>
        <v>6951.6000000000058</v>
      </c>
      <c r="BU710" s="2">
        <f>SUM(BU$2:BU200)+AO200*H200</f>
        <v>-8054.1999999999971</v>
      </c>
      <c r="BV710" s="2">
        <f>SUM(BV$2:BV200)+AP200*I200</f>
        <v>3655</v>
      </c>
      <c r="BW710" s="2">
        <f>SUM(BW$2:BW200)+AQ200*J200</f>
        <v>3050</v>
      </c>
      <c r="BX710" s="2">
        <f>SUM(BX$2:BX200)+AR200*K200</f>
        <v>13940</v>
      </c>
      <c r="BY710" s="2">
        <f>SUM(BY$2:BY200)+AS200*L200</f>
        <v>-14730</v>
      </c>
      <c r="BZ710" s="2">
        <f>SUM(BZ$2:BZ200)+AT200*M200</f>
        <v>740</v>
      </c>
      <c r="CA710" s="2">
        <f>SUM(CA$2:CA200)+AU200*N200</f>
        <v>21800</v>
      </c>
      <c r="CB710" s="2">
        <f>SUM(CB$2:CB200)+AV200*O200</f>
        <v>12180</v>
      </c>
      <c r="CC710" s="2">
        <f>SUM(CC$2:CC200)+AW200*P200</f>
        <v>-20</v>
      </c>
      <c r="CD710" s="2">
        <f>SUM(CD$2:CD200)+AX200*Q200</f>
        <v>14050</v>
      </c>
      <c r="CE710" s="2">
        <f>SUM(CE$2:CE200)+AY200*R200</f>
        <v>27020</v>
      </c>
      <c r="CF710" s="2">
        <f>SUM(CF$2:CF200)+AZ200*S200</f>
        <v>4639.4599999999846</v>
      </c>
      <c r="CG710" s="2">
        <f>SUM(CG$2:CG200)+BA200*T200</f>
        <v>16029.409999999989</v>
      </c>
      <c r="CH710" s="2">
        <f>SUM(CH$2:CH200)+BB200*U200</f>
        <v>152.65000000002328</v>
      </c>
      <c r="CI710" s="2">
        <f>SUM(CI$2:CI200)+BC200*V200</f>
        <v>-5480</v>
      </c>
      <c r="CJ710" s="2">
        <f>SUM(CJ$2:CJ200)+BD200*W200</f>
        <v>-17009.999999999942</v>
      </c>
      <c r="CK710" s="2">
        <f>SUM(CK$2:CK200)+BE200*X200</f>
        <v>51130</v>
      </c>
      <c r="CL710" s="2">
        <f>SUM(CL$2:CL200)+BF200*Y200</f>
        <v>98280</v>
      </c>
      <c r="CM710" s="2">
        <f>SUM(CM$2:CM200)+BG200*Z200</f>
        <v>45615</v>
      </c>
      <c r="CN710" s="2">
        <f>SUM(CN$2:CN200)+BH200*AA200</f>
        <v>82872.499999999942</v>
      </c>
      <c r="CO710" s="2">
        <f>SUM(CO$2:CO200)+BI200*AB200</f>
        <v>-11120</v>
      </c>
      <c r="CP710" s="2">
        <f>SUM(CP$2:CP200)+BJ200*AC200</f>
        <v>18250.000000000015</v>
      </c>
      <c r="CQ710" s="2">
        <f>SUM(CQ$2:CQ200)+BK200*AD200</f>
        <v>17930.000000000007</v>
      </c>
      <c r="CR710" s="2">
        <f>SUM(CR$2:CR200)+BL200*AE200</f>
        <v>-5230</v>
      </c>
      <c r="CV710" t="s">
        <v>64</v>
      </c>
      <c r="CW710" t="s">
        <v>783</v>
      </c>
      <c r="CX710" t="s">
        <v>18</v>
      </c>
      <c r="CY710" s="4">
        <v>43307</v>
      </c>
      <c r="CZ710" t="s">
        <v>67</v>
      </c>
      <c r="DA710" t="s">
        <v>68</v>
      </c>
      <c r="DB710">
        <v>40</v>
      </c>
      <c r="DC710">
        <v>63.13</v>
      </c>
      <c r="DD710" t="s">
        <v>69</v>
      </c>
      <c r="DE710" t="s">
        <v>70</v>
      </c>
      <c r="DF710">
        <v>2525.2000000000003</v>
      </c>
    </row>
    <row r="711" spans="66:110" x14ac:dyDescent="0.25">
      <c r="BN711" s="1">
        <f t="shared" si="338"/>
        <v>43025</v>
      </c>
      <c r="BO711" s="2">
        <f>SUM(BO$2:BO201)+AI201*B201</f>
        <v>111902.49999999994</v>
      </c>
      <c r="BP711" s="2">
        <f>SUM(BP$2:BP201)+AJ201*C201</f>
        <v>18681.699999999997</v>
      </c>
      <c r="BQ711" s="2">
        <f>SUM(BQ$2:BQ201)+AK201*D201</f>
        <v>109852.09999999992</v>
      </c>
      <c r="BR711" s="2">
        <f>SUM(BR$2:BR201)+AL201*E201</f>
        <v>40780.499999999985</v>
      </c>
      <c r="BS711" s="2">
        <f>SUM(BS$2:BS201)+AM201*F201</f>
        <v>4181.6000000000022</v>
      </c>
      <c r="BT711" s="2">
        <f>SUM(BT$2:BT201)+AN201*G201</f>
        <v>7054.2000000000116</v>
      </c>
      <c r="BU711" s="2">
        <f>SUM(BU$2:BU201)+AO201*H201</f>
        <v>-7803.3999999999942</v>
      </c>
      <c r="BV711" s="2">
        <f>SUM(BV$2:BV201)+AP201*I201</f>
        <v>3604</v>
      </c>
      <c r="BW711" s="2">
        <f>SUM(BW$2:BW201)+AQ201*J201</f>
        <v>-3170</v>
      </c>
      <c r="BX711" s="2">
        <f>SUM(BX$2:BX201)+AR201*K201</f>
        <v>13940</v>
      </c>
      <c r="BY711" s="2">
        <f>SUM(BY$2:BY201)+AS201*L201</f>
        <v>-15000</v>
      </c>
      <c r="BZ711" s="2">
        <f>SUM(BZ$2:BZ201)+AT201*M201</f>
        <v>740</v>
      </c>
      <c r="CA711" s="2">
        <f>SUM(CA$2:CA201)+AU201*N201</f>
        <v>26320</v>
      </c>
      <c r="CB711" s="2">
        <f>SUM(CB$2:CB201)+AV201*O201</f>
        <v>11960</v>
      </c>
      <c r="CC711" s="2">
        <f>SUM(CC$2:CC201)+AW201*P201</f>
        <v>-20</v>
      </c>
      <c r="CD711" s="2">
        <f>SUM(CD$2:CD201)+AX201*Q201</f>
        <v>14050</v>
      </c>
      <c r="CE711" s="2">
        <f>SUM(CE$2:CE201)+AY201*R201</f>
        <v>27020</v>
      </c>
      <c r="CF711" s="2">
        <f>SUM(CF$2:CF201)+AZ201*S201</f>
        <v>4520.539999999979</v>
      </c>
      <c r="CG711" s="2">
        <f>SUM(CG$2:CG201)+BA201*T201</f>
        <v>15965.629999999976</v>
      </c>
      <c r="CH711" s="2">
        <f>SUM(CH$2:CH201)+BB201*U201</f>
        <v>796.21000000002095</v>
      </c>
      <c r="CI711" s="2">
        <f>SUM(CI$2:CI201)+BC201*V201</f>
        <v>-5690</v>
      </c>
      <c r="CJ711" s="2">
        <f>SUM(CJ$2:CJ201)+BD201*W201</f>
        <v>-15409.999999999942</v>
      </c>
      <c r="CK711" s="2">
        <f>SUM(CK$2:CK201)+BE201*X201</f>
        <v>50330</v>
      </c>
      <c r="CL711" s="2">
        <f>SUM(CL$2:CL201)+BF201*Y201</f>
        <v>129810</v>
      </c>
      <c r="CM711" s="2">
        <f>SUM(CM$2:CM201)+BG201*Z201</f>
        <v>47315</v>
      </c>
      <c r="CN711" s="2">
        <f>SUM(CN$2:CN201)+BH201*AA201</f>
        <v>79072.499999999942</v>
      </c>
      <c r="CO711" s="2">
        <f>SUM(CO$2:CO201)+BI201*AB201</f>
        <v>-10250</v>
      </c>
      <c r="CP711" s="2">
        <f>SUM(CP$2:CP201)+BJ201*AC201</f>
        <v>18115</v>
      </c>
      <c r="CQ711" s="2">
        <f>SUM(CQ$2:CQ201)+BK201*AD201</f>
        <v>18170.000000000007</v>
      </c>
      <c r="CR711" s="2">
        <f>SUM(CR$2:CR201)+BL201*AE201</f>
        <v>-5090</v>
      </c>
      <c r="CV711" t="s">
        <v>64</v>
      </c>
      <c r="CW711" t="s">
        <v>784</v>
      </c>
      <c r="CX711" t="s">
        <v>18</v>
      </c>
      <c r="CY711" s="4">
        <v>43308</v>
      </c>
      <c r="CZ711" t="s">
        <v>65</v>
      </c>
      <c r="DA711" t="s">
        <v>66</v>
      </c>
      <c r="DB711">
        <v>20</v>
      </c>
      <c r="DC711">
        <v>62.62</v>
      </c>
      <c r="DD711" t="s">
        <v>69</v>
      </c>
      <c r="DE711" t="s">
        <v>70</v>
      </c>
      <c r="DF711">
        <v>1252.3999999999999</v>
      </c>
    </row>
    <row r="712" spans="66:110" x14ac:dyDescent="0.25">
      <c r="BN712" s="1">
        <f t="shared" si="338"/>
        <v>43026</v>
      </c>
      <c r="BO712" s="2">
        <f>SUM(BO$2:BO202)+AI202*B202</f>
        <v>110152.49999999988</v>
      </c>
      <c r="BP712" s="2">
        <f>SUM(BP$2:BP202)+AJ202*C202</f>
        <v>19114.899999999994</v>
      </c>
      <c r="BQ712" s="2">
        <f>SUM(BQ$2:BQ202)+AK202*D202</f>
        <v>111425.29999999993</v>
      </c>
      <c r="BR712" s="2">
        <f>SUM(BR$2:BR202)+AL202*E202</f>
        <v>41601.299999999974</v>
      </c>
      <c r="BS712" s="2">
        <f>SUM(BS$2:BS202)+AM202*F202</f>
        <v>4124.6000000000022</v>
      </c>
      <c r="BT712" s="2">
        <f>SUM(BT$2:BT202)+AN202*G202</f>
        <v>4819.8000000000029</v>
      </c>
      <c r="BU712" s="2">
        <f>SUM(BU$2:BU202)+AO202*H202</f>
        <v>-7928.8000000000029</v>
      </c>
      <c r="BV712" s="2">
        <f>SUM(BV$2:BV202)+AP202*I202</f>
        <v>3502</v>
      </c>
      <c r="BW712" s="2">
        <f>SUM(BW$2:BW202)+AQ202*J202</f>
        <v>2670</v>
      </c>
      <c r="BX712" s="2">
        <f>SUM(BX$2:BX202)+AR202*K202</f>
        <v>13940</v>
      </c>
      <c r="BY712" s="2">
        <f>SUM(BY$2:BY202)+AS202*L202</f>
        <v>-2830</v>
      </c>
      <c r="BZ712" s="2">
        <f>SUM(BZ$2:BZ202)+AT202*M202</f>
        <v>740</v>
      </c>
      <c r="CA712" s="2">
        <f>SUM(CA$2:CA202)+AU202*N202</f>
        <v>26210</v>
      </c>
      <c r="CB712" s="2">
        <f>SUM(CB$2:CB202)+AV202*O202</f>
        <v>12320</v>
      </c>
      <c r="CC712" s="2">
        <f>SUM(CC$2:CC202)+AW202*P202</f>
        <v>-20</v>
      </c>
      <c r="CD712" s="2">
        <f>SUM(CD$2:CD202)+AX202*Q202</f>
        <v>14050</v>
      </c>
      <c r="CE712" s="2">
        <f>SUM(CE$2:CE202)+AY202*R202</f>
        <v>27020</v>
      </c>
      <c r="CF712" s="2">
        <f>SUM(CF$2:CF202)+AZ202*S202</f>
        <v>4788.4999999999854</v>
      </c>
      <c r="CG712" s="2">
        <f>SUM(CG$2:CG202)+BA202*T202</f>
        <v>15984.289999999979</v>
      </c>
      <c r="CH712" s="2">
        <f>SUM(CH$2:CH202)+BB202*U202</f>
        <v>1058.660000000018</v>
      </c>
      <c r="CI712" s="2">
        <f>SUM(CI$2:CI202)+BC202*V202</f>
        <v>-5330</v>
      </c>
      <c r="CJ712" s="2">
        <f>SUM(CJ$2:CJ202)+BD202*W202</f>
        <v>-15259.999999999942</v>
      </c>
      <c r="CK712" s="2">
        <f>SUM(CK$2:CK202)+BE202*X202</f>
        <v>56980</v>
      </c>
      <c r="CL712" s="2">
        <f>SUM(CL$2:CL202)+BF202*Y202</f>
        <v>133770</v>
      </c>
      <c r="CM712" s="2">
        <f>SUM(CM$2:CM202)+BG202*Z202</f>
        <v>46415</v>
      </c>
      <c r="CN712" s="2">
        <f>SUM(CN$2:CN202)+BH202*AA202</f>
        <v>80372.499999999942</v>
      </c>
      <c r="CO712" s="2">
        <f>SUM(CO$2:CO202)+BI202*AB202</f>
        <v>-9530</v>
      </c>
      <c r="CP712" s="2">
        <f>SUM(CP$2:CP202)+BJ202*AC202</f>
        <v>17635</v>
      </c>
      <c r="CQ712" s="2">
        <f>SUM(CQ$2:CQ202)+BK202*AD202</f>
        <v>18400.000000000007</v>
      </c>
      <c r="CR712" s="2">
        <f>SUM(CR$2:CR202)+BL202*AE202</f>
        <v>-5280</v>
      </c>
      <c r="CV712" t="s">
        <v>64</v>
      </c>
      <c r="CW712" t="s">
        <v>785</v>
      </c>
      <c r="CX712" t="s">
        <v>18</v>
      </c>
      <c r="CY712" s="4">
        <v>43311</v>
      </c>
      <c r="CZ712" t="s">
        <v>65</v>
      </c>
      <c r="DA712" t="s">
        <v>66</v>
      </c>
      <c r="DB712">
        <v>59</v>
      </c>
      <c r="DC712">
        <v>63.92</v>
      </c>
      <c r="DD712" t="s">
        <v>69</v>
      </c>
      <c r="DE712" t="s">
        <v>70</v>
      </c>
      <c r="DF712">
        <v>3771.28</v>
      </c>
    </row>
    <row r="713" spans="66:110" x14ac:dyDescent="0.25">
      <c r="BN713" s="1">
        <f t="shared" si="338"/>
        <v>43027</v>
      </c>
      <c r="BO713" s="2">
        <f>SUM(BO$2:BO203)+AI203*B203</f>
        <v>100927.49999999988</v>
      </c>
      <c r="BP713" s="2">
        <f>SUM(BP$2:BP203)+AJ203*C203</f>
        <v>18921.100000000006</v>
      </c>
      <c r="BQ713" s="2">
        <f>SUM(BQ$2:BQ203)+AK203*D203</f>
        <v>110319.49999999994</v>
      </c>
      <c r="BR713" s="2">
        <f>SUM(BR$2:BR203)+AL203*E203</f>
        <v>41886.299999999974</v>
      </c>
      <c r="BS713" s="2">
        <f>SUM(BS$2:BS203)+AM203*F203</f>
        <v>4341.2000000000007</v>
      </c>
      <c r="BT713" s="2">
        <f>SUM(BT$2:BT203)+AN203*G203</f>
        <v>4876.8000000000029</v>
      </c>
      <c r="BU713" s="2">
        <f>SUM(BU$2:BU203)+AO203*H203</f>
        <v>-7073.8000000000029</v>
      </c>
      <c r="BV713" s="2">
        <f>SUM(BV$2:BV203)+AP203*I203</f>
        <v>3614.1999999999971</v>
      </c>
      <c r="BW713" s="2">
        <f>SUM(BW$2:BW203)+AQ203*J203</f>
        <v>670</v>
      </c>
      <c r="BX713" s="2">
        <f>SUM(BX$2:BX203)+AR203*K203</f>
        <v>13940</v>
      </c>
      <c r="BY713" s="2">
        <f>SUM(BY$2:BY203)+AS203*L203</f>
        <v>-1550</v>
      </c>
      <c r="BZ713" s="2">
        <f>SUM(BZ$2:BZ203)+AT203*M203</f>
        <v>740</v>
      </c>
      <c r="CA713" s="2">
        <f>SUM(CA$2:CA203)+AU203*N203</f>
        <v>27530</v>
      </c>
      <c r="CB713" s="2">
        <f>SUM(CB$2:CB203)+AV203*O203</f>
        <v>12440</v>
      </c>
      <c r="CC713" s="2">
        <f>SUM(CC$2:CC203)+AW203*P203</f>
        <v>-20</v>
      </c>
      <c r="CD713" s="2">
        <f>SUM(CD$2:CD203)+AX203*Q203</f>
        <v>14050</v>
      </c>
      <c r="CE713" s="2">
        <f>SUM(CE$2:CE203)+AY203*R203</f>
        <v>27020</v>
      </c>
      <c r="CF713" s="2">
        <f>SUM(CF$2:CF203)+AZ203*S203</f>
        <v>5018.0399999999863</v>
      </c>
      <c r="CG713" s="2">
        <f>SUM(CG$2:CG203)+BA203*T203</f>
        <v>16301.839999999982</v>
      </c>
      <c r="CH713" s="2">
        <f>SUM(CH$2:CH203)+BB203*U203</f>
        <v>1443.9800000000178</v>
      </c>
      <c r="CI713" s="2">
        <f>SUM(CI$2:CI203)+BC203*V203</f>
        <v>-5720</v>
      </c>
      <c r="CJ713" s="2">
        <f>SUM(CJ$2:CJ203)+BD203*W203</f>
        <v>-12909.999999999942</v>
      </c>
      <c r="CK713" s="2">
        <f>SUM(CK$2:CK203)+BE203*X203</f>
        <v>72279.999999999884</v>
      </c>
      <c r="CL713" s="2">
        <f>SUM(CL$2:CL203)+BF203*Y203</f>
        <v>127920</v>
      </c>
      <c r="CM713" s="2">
        <f>SUM(CM$2:CM203)+BG203*Z203</f>
        <v>47915</v>
      </c>
      <c r="CN713" s="2">
        <f>SUM(CN$2:CN203)+BH203*AA203</f>
        <v>76522.499999999942</v>
      </c>
      <c r="CO713" s="2">
        <f>SUM(CO$2:CO203)+BI203*AB203</f>
        <v>-7940</v>
      </c>
      <c r="CP713" s="2">
        <f>SUM(CP$2:CP203)+BJ203*AC203</f>
        <v>18415.000000000015</v>
      </c>
      <c r="CQ713" s="2">
        <f>SUM(CQ$2:CQ203)+BK203*AD203</f>
        <v>18570.000000000007</v>
      </c>
      <c r="CR713" s="2">
        <f>SUM(CR$2:CR203)+BL203*AE203</f>
        <v>-5300</v>
      </c>
      <c r="CV713" t="s">
        <v>64</v>
      </c>
      <c r="CW713" t="s">
        <v>786</v>
      </c>
      <c r="CX713" t="s">
        <v>18</v>
      </c>
      <c r="CY713" s="4">
        <v>43312</v>
      </c>
      <c r="CZ713" t="s">
        <v>67</v>
      </c>
      <c r="DA713" t="s">
        <v>68</v>
      </c>
      <c r="DB713">
        <v>26</v>
      </c>
      <c r="DC713">
        <v>64.97</v>
      </c>
      <c r="DD713" t="s">
        <v>69</v>
      </c>
      <c r="DE713" t="s">
        <v>70</v>
      </c>
      <c r="DF713">
        <v>1689.22</v>
      </c>
    </row>
    <row r="714" spans="66:110" x14ac:dyDescent="0.25">
      <c r="BN714" s="1">
        <f t="shared" si="338"/>
        <v>43028</v>
      </c>
      <c r="BO714" s="2">
        <f>SUM(BO$2:BO204)+AI204*B204</f>
        <v>101577.49999999988</v>
      </c>
      <c r="BP714" s="2">
        <f>SUM(BP$2:BP204)+AJ204*C204</f>
        <v>19126.300000000003</v>
      </c>
      <c r="BQ714" s="2">
        <f>SUM(BQ$2:BQ204)+AK204*D204</f>
        <v>116635.09999999998</v>
      </c>
      <c r="BR714" s="2">
        <f>SUM(BR$2:BR204)+AL204*E204</f>
        <v>42547.499999999956</v>
      </c>
      <c r="BS714" s="2">
        <f>SUM(BS$2:BS204)+AM204*F204</f>
        <v>4888.3999999999978</v>
      </c>
      <c r="BT714" s="2">
        <f>SUM(BT$2:BT204)+AN204*G204</f>
        <v>5355.6000000000058</v>
      </c>
      <c r="BU714" s="2">
        <f>SUM(BU$2:BU204)+AO204*H204</f>
        <v>-6640.6000000000058</v>
      </c>
      <c r="BV714" s="2">
        <f>SUM(BV$2:BV204)+AP204*I204</f>
        <v>3899.8000000000029</v>
      </c>
      <c r="BW714" s="2">
        <f>SUM(BW$2:BW204)+AQ204*J204</f>
        <v>5330</v>
      </c>
      <c r="BX714" s="2">
        <f>SUM(BX$2:BX204)+AR204*K204</f>
        <v>13940</v>
      </c>
      <c r="BY714" s="2">
        <f>SUM(BY$2:BY204)+AS204*L204</f>
        <v>-460</v>
      </c>
      <c r="BZ714" s="2">
        <f>SUM(BZ$2:BZ204)+AT204*M204</f>
        <v>740</v>
      </c>
      <c r="CA714" s="2">
        <f>SUM(CA$2:CA204)+AU204*N204</f>
        <v>27880</v>
      </c>
      <c r="CB714" s="2">
        <f>SUM(CB$2:CB204)+AV204*O204</f>
        <v>13800</v>
      </c>
      <c r="CC714" s="2">
        <f>SUM(CC$2:CC204)+AW204*P204</f>
        <v>-20</v>
      </c>
      <c r="CD714" s="2">
        <f>SUM(CD$2:CD204)+AX204*Q204</f>
        <v>14050</v>
      </c>
      <c r="CE714" s="2">
        <f>SUM(CE$2:CE204)+AY204*R204</f>
        <v>27020</v>
      </c>
      <c r="CF714" s="2">
        <f>SUM(CF$2:CF204)+AZ204*S204</f>
        <v>5144.2699999999895</v>
      </c>
      <c r="CG714" s="2">
        <f>SUM(CG$2:CG204)+BA204*T204</f>
        <v>17115.839999999982</v>
      </c>
      <c r="CH714" s="2">
        <f>SUM(CH$2:CH204)+BB204*U204</f>
        <v>1821.2600000000166</v>
      </c>
      <c r="CI714" s="2">
        <f>SUM(CI$2:CI204)+BC204*V204</f>
        <v>-5890</v>
      </c>
      <c r="CJ714" s="2">
        <f>SUM(CJ$2:CJ204)+BD204*W204</f>
        <v>3090.0000000000582</v>
      </c>
      <c r="CK714" s="2">
        <f>SUM(CK$2:CK204)+BE204*X204</f>
        <v>73030</v>
      </c>
      <c r="CL714" s="2">
        <f>SUM(CL$2:CL204)+BF204*Y204</f>
        <v>140430</v>
      </c>
      <c r="CM714" s="2">
        <f>SUM(CM$2:CM204)+BG204*Z204</f>
        <v>54865</v>
      </c>
      <c r="CN714" s="2">
        <f>SUM(CN$2:CN204)+BH204*AA204</f>
        <v>79122.499999999942</v>
      </c>
      <c r="CO714" s="2">
        <f>SUM(CO$2:CO204)+BI204*AB204</f>
        <v>-7040</v>
      </c>
      <c r="CP714" s="2">
        <f>SUM(CP$2:CP204)+BJ204*AC204</f>
        <v>17169.999999999985</v>
      </c>
      <c r="CQ714" s="2">
        <f>SUM(CQ$2:CQ204)+BK204*AD204</f>
        <v>19580.000000000007</v>
      </c>
      <c r="CR714" s="2">
        <f>SUM(CR$2:CR204)+BL204*AE204</f>
        <v>-4950</v>
      </c>
      <c r="CV714" t="s">
        <v>64</v>
      </c>
      <c r="CW714" t="s">
        <v>787</v>
      </c>
      <c r="CX714" t="s">
        <v>18</v>
      </c>
      <c r="CY714" s="4">
        <v>43313</v>
      </c>
      <c r="CZ714" t="s">
        <v>67</v>
      </c>
      <c r="DA714" t="s">
        <v>68</v>
      </c>
      <c r="DB714">
        <v>57</v>
      </c>
      <c r="DC714">
        <v>64.59</v>
      </c>
      <c r="DD714" t="s">
        <v>69</v>
      </c>
      <c r="DE714" t="s">
        <v>70</v>
      </c>
      <c r="DF714">
        <v>3681.63</v>
      </c>
    </row>
    <row r="715" spans="66:110" x14ac:dyDescent="0.25">
      <c r="BN715" s="1">
        <f t="shared" si="338"/>
        <v>43031</v>
      </c>
      <c r="BO715" s="2">
        <f>SUM(BO$2:BO205)+AI205*B205</f>
        <v>101377.49999999988</v>
      </c>
      <c r="BP715" s="2">
        <f>SUM(BP$2:BP205)+AJ205*C205</f>
        <v>19456.900000000009</v>
      </c>
      <c r="BQ715" s="2">
        <f>SUM(BQ$2:BQ205)+AK205*D205</f>
        <v>113956.09999999992</v>
      </c>
      <c r="BR715" s="2">
        <f>SUM(BR$2:BR205)+AL205*E205</f>
        <v>42900.89999999998</v>
      </c>
      <c r="BS715" s="2">
        <f>SUM(BS$2:BS205)+AM205*F205</f>
        <v>5002.3999999999978</v>
      </c>
      <c r="BT715" s="2">
        <f>SUM(BT$2:BT205)+AN205*G205</f>
        <v>5663.3999999999942</v>
      </c>
      <c r="BU715" s="2">
        <f>SUM(BU$2:BU205)+AO205*H205</f>
        <v>-7427.1999999999971</v>
      </c>
      <c r="BV715" s="2">
        <f>SUM(BV$2:BV205)+AP205*I205</f>
        <v>4267</v>
      </c>
      <c r="BW715" s="2">
        <f>SUM(BW$2:BW205)+AQ205*J205</f>
        <v>2770</v>
      </c>
      <c r="BX715" s="2">
        <f>SUM(BX$2:BX205)+AR205*K205</f>
        <v>13940</v>
      </c>
      <c r="BY715" s="2">
        <f>SUM(BY$2:BY205)+AS205*L205</f>
        <v>-2820</v>
      </c>
      <c r="BZ715" s="2">
        <f>SUM(BZ$2:BZ205)+AT205*M205</f>
        <v>740</v>
      </c>
      <c r="CA715" s="2">
        <f>SUM(CA$2:CA205)+AU205*N205</f>
        <v>29060</v>
      </c>
      <c r="CB715" s="2">
        <f>SUM(CB$2:CB205)+AV205*O205</f>
        <v>13630</v>
      </c>
      <c r="CC715" s="2">
        <f>SUM(CC$2:CC205)+AW205*P205</f>
        <v>-20</v>
      </c>
      <c r="CD715" s="2">
        <f>SUM(CD$2:CD205)+AX205*Q205</f>
        <v>14050</v>
      </c>
      <c r="CE715" s="2">
        <f>SUM(CE$2:CE205)+AY205*R205</f>
        <v>27020</v>
      </c>
      <c r="CF715" s="2">
        <f>SUM(CF$2:CF205)+AZ205*S205</f>
        <v>4684.7299999999886</v>
      </c>
      <c r="CG715" s="2">
        <f>SUM(CG$2:CG205)+BA205*T205</f>
        <v>17134.539999999972</v>
      </c>
      <c r="CH715" s="2">
        <f>SUM(CH$2:CH205)+BB205*U205</f>
        <v>2384.1200000000244</v>
      </c>
      <c r="CI715" s="2">
        <f>SUM(CI$2:CI205)+BC205*V205</f>
        <v>-5870</v>
      </c>
      <c r="CJ715" s="2">
        <f>SUM(CJ$2:CJ205)+BD205*W205</f>
        <v>7640.0000000000582</v>
      </c>
      <c r="CK715" s="2">
        <f>SUM(CK$2:CK205)+BE205*X205</f>
        <v>78480</v>
      </c>
      <c r="CL715" s="2">
        <f>SUM(CL$2:CL205)+BF205*Y205</f>
        <v>139020</v>
      </c>
      <c r="CM715" s="2">
        <f>SUM(CM$2:CM205)+BG205*Z205</f>
        <v>54715</v>
      </c>
      <c r="CN715" s="2">
        <f>SUM(CN$2:CN205)+BH205*AA205</f>
        <v>79022.499999999942</v>
      </c>
      <c r="CO715" s="2">
        <f>SUM(CO$2:CO205)+BI205*AB205</f>
        <v>-8570</v>
      </c>
      <c r="CP715" s="2">
        <f>SUM(CP$2:CP205)+BJ205*AC205</f>
        <v>17964.999999999985</v>
      </c>
      <c r="CQ715" s="2">
        <f>SUM(CQ$2:CQ205)+BK205*AD205</f>
        <v>20760.000000000007</v>
      </c>
      <c r="CR715" s="2">
        <f>SUM(CR$2:CR205)+BL205*AE205</f>
        <v>-4820</v>
      </c>
      <c r="CV715" t="s">
        <v>64</v>
      </c>
      <c r="CW715" t="s">
        <v>788</v>
      </c>
      <c r="CX715" t="s">
        <v>18</v>
      </c>
      <c r="CY715" s="4">
        <v>43314</v>
      </c>
      <c r="CZ715" t="s">
        <v>65</v>
      </c>
      <c r="DA715" t="s">
        <v>66</v>
      </c>
      <c r="DB715">
        <v>4</v>
      </c>
      <c r="DC715">
        <v>64.33</v>
      </c>
      <c r="DD715" t="s">
        <v>69</v>
      </c>
      <c r="DE715" t="s">
        <v>70</v>
      </c>
      <c r="DF715">
        <v>257.32</v>
      </c>
    </row>
    <row r="716" spans="66:110" x14ac:dyDescent="0.25">
      <c r="BN716" s="1">
        <f t="shared" si="338"/>
        <v>43032</v>
      </c>
      <c r="BO716" s="2">
        <f>SUM(BO$2:BO206)+AI206*B206</f>
        <v>104789.99999999988</v>
      </c>
      <c r="BP716" s="2">
        <f>SUM(BP$2:BP206)+AJ206*C206</f>
        <v>21121.300000000003</v>
      </c>
      <c r="BQ716" s="2">
        <f>SUM(BQ$2:BQ206)+AK206*D206</f>
        <v>118025.89999999991</v>
      </c>
      <c r="BR716" s="2">
        <f>SUM(BR$2:BR206)+AL206*E206</f>
        <v>50162.699999999968</v>
      </c>
      <c r="BS716" s="2">
        <f>SUM(BS$2:BS206)+AM206*F206</f>
        <v>5253.2000000000007</v>
      </c>
      <c r="BT716" s="2">
        <f>SUM(BT$2:BT206)+AN206*G206</f>
        <v>5982.6000000000058</v>
      </c>
      <c r="BU716" s="2">
        <f>SUM(BU$2:BU206)+AO206*H206</f>
        <v>-7883.1999999999825</v>
      </c>
      <c r="BV716" s="2">
        <f>SUM(BV$2:BV206)+AP206*I206</f>
        <v>4573</v>
      </c>
      <c r="BW716" s="2">
        <f>SUM(BW$2:BW206)+AQ206*J206</f>
        <v>5440</v>
      </c>
      <c r="BX716" s="2">
        <f>SUM(BX$2:BX206)+AR206*K206</f>
        <v>13940</v>
      </c>
      <c r="BY716" s="2">
        <f>SUM(BY$2:BY206)+AS206*L206</f>
        <v>-6250</v>
      </c>
      <c r="BZ716" s="2">
        <f>SUM(BZ$2:BZ206)+AT206*M206</f>
        <v>740</v>
      </c>
      <c r="CA716" s="2">
        <f>SUM(CA$2:CA206)+AU206*N206</f>
        <v>27140</v>
      </c>
      <c r="CB716" s="2">
        <f>SUM(CB$2:CB206)+AV206*O206</f>
        <v>15160</v>
      </c>
      <c r="CC716" s="2">
        <f>SUM(CC$2:CC206)+AW206*P206</f>
        <v>-20</v>
      </c>
      <c r="CD716" s="2">
        <f>SUM(CD$2:CD206)+AX206*Q206</f>
        <v>14050</v>
      </c>
      <c r="CE716" s="2">
        <f>SUM(CE$2:CE206)+AY206*R206</f>
        <v>27020</v>
      </c>
      <c r="CF716" s="2">
        <f>SUM(CF$2:CF206)+AZ206*S206</f>
        <v>4392.4099999999817</v>
      </c>
      <c r="CG716" s="2">
        <f>SUM(CG$2:CG206)+BA206*T206</f>
        <v>17166.219999999972</v>
      </c>
      <c r="CH716" s="2">
        <f>SUM(CH$2:CH206)+BB206*U206</f>
        <v>2138.2500000000218</v>
      </c>
      <c r="CI716" s="2">
        <f>SUM(CI$2:CI206)+BC206*V206</f>
        <v>-5750</v>
      </c>
      <c r="CJ716" s="2">
        <f>SUM(CJ$2:CJ206)+BD206*W206</f>
        <v>9190.0000000000582</v>
      </c>
      <c r="CK716" s="2">
        <f>SUM(CK$2:CK206)+BE206*X206</f>
        <v>72380</v>
      </c>
      <c r="CL716" s="2">
        <f>SUM(CL$2:CL206)+BF206*Y206</f>
        <v>142380</v>
      </c>
      <c r="CM716" s="2">
        <f>SUM(CM$2:CM206)+BG206*Z206</f>
        <v>49115</v>
      </c>
      <c r="CN716" s="2">
        <f>SUM(CN$2:CN206)+BH206*AA206</f>
        <v>83372.499999999942</v>
      </c>
      <c r="CO716" s="2">
        <f>SUM(CO$2:CO206)+BI206*AB206</f>
        <v>-8720</v>
      </c>
      <c r="CP716" s="2">
        <f>SUM(CP$2:CP206)+BJ206*AC206</f>
        <v>18280</v>
      </c>
      <c r="CQ716" s="2">
        <f>SUM(CQ$2:CQ206)+BK206*AD206</f>
        <v>20110.000000000007</v>
      </c>
      <c r="CR716" s="2">
        <f>SUM(CR$2:CR206)+BL206*AE206</f>
        <v>-4610</v>
      </c>
      <c r="CV716" t="s">
        <v>64</v>
      </c>
      <c r="CW716" t="s">
        <v>789</v>
      </c>
      <c r="CX716" t="s">
        <v>18</v>
      </c>
      <c r="CY716" s="4">
        <v>43315</v>
      </c>
      <c r="CZ716" t="s">
        <v>65</v>
      </c>
      <c r="DA716" t="s">
        <v>66</v>
      </c>
      <c r="DB716">
        <v>3</v>
      </c>
      <c r="DC716">
        <v>65.03</v>
      </c>
      <c r="DD716" t="s">
        <v>69</v>
      </c>
      <c r="DE716" t="s">
        <v>70</v>
      </c>
      <c r="DF716">
        <v>195.09</v>
      </c>
    </row>
    <row r="717" spans="66:110" x14ac:dyDescent="0.25">
      <c r="BN717" s="1">
        <f t="shared" si="338"/>
        <v>43033</v>
      </c>
      <c r="BO717" s="2">
        <f>SUM(BO$2:BO207)+AI207*B207</f>
        <v>102277.49999999977</v>
      </c>
      <c r="BP717" s="2">
        <f>SUM(BP$2:BP207)+AJ207*C207</f>
        <v>20745.100000000006</v>
      </c>
      <c r="BQ717" s="2">
        <f>SUM(BQ$2:BQ207)+AK207*D207</f>
        <v>109635.49999999994</v>
      </c>
      <c r="BR717" s="2">
        <f>SUM(BR$2:BR207)+AL207*E207</f>
        <v>48612.299999999974</v>
      </c>
      <c r="BS717" s="2">
        <f>SUM(BS$2:BS207)+AM207*F207</f>
        <v>4945.4000000000051</v>
      </c>
      <c r="BT717" s="2">
        <f>SUM(BT$2:BT207)+AN207*G207</f>
        <v>5139</v>
      </c>
      <c r="BU717" s="2">
        <f>SUM(BU$2:BU207)+AO207*H207</f>
        <v>-8418.9999999999854</v>
      </c>
      <c r="BV717" s="2">
        <f>SUM(BV$2:BV207)+AP207*I207</f>
        <v>3808</v>
      </c>
      <c r="BW717" s="2">
        <f>SUM(BW$2:BW207)+AQ207*J207</f>
        <v>2360</v>
      </c>
      <c r="BX717" s="2">
        <f>SUM(BX$2:BX207)+AR207*K207</f>
        <v>13940</v>
      </c>
      <c r="BY717" s="2">
        <f>SUM(BY$2:BY207)+AS207*L207</f>
        <v>-8480</v>
      </c>
      <c r="BZ717" s="2">
        <f>SUM(BZ$2:BZ207)+AT207*M207</f>
        <v>740</v>
      </c>
      <c r="CA717" s="2">
        <f>SUM(CA$2:CA207)+AU207*N207</f>
        <v>27840</v>
      </c>
      <c r="CB717" s="2">
        <f>SUM(CB$2:CB207)+AV207*O207</f>
        <v>15260</v>
      </c>
      <c r="CC717" s="2">
        <f>SUM(CC$2:CC207)+AW207*P207</f>
        <v>-20</v>
      </c>
      <c r="CD717" s="2">
        <f>SUM(CD$2:CD207)+AX207*Q207</f>
        <v>14050</v>
      </c>
      <c r="CE717" s="2">
        <f>SUM(CE$2:CE207)+AY207*R207</f>
        <v>27020</v>
      </c>
      <c r="CF717" s="2">
        <f>SUM(CF$2:CF207)+AZ207*S207</f>
        <v>3770.9699999999866</v>
      </c>
      <c r="CG717" s="2">
        <f>SUM(CG$2:CG207)+BA207*T207</f>
        <v>16947.099999999969</v>
      </c>
      <c r="CH717" s="2">
        <f>SUM(CH$2:CH207)+BB207*U207</f>
        <v>3716.2500000000218</v>
      </c>
      <c r="CI717" s="2">
        <f>SUM(CI$2:CI207)+BC207*V207</f>
        <v>-5650</v>
      </c>
      <c r="CJ717" s="2">
        <f>SUM(CJ$2:CJ207)+BD207*W207</f>
        <v>9790.0000000000582</v>
      </c>
      <c r="CK717" s="2">
        <f>SUM(CK$2:CK207)+BE207*X207</f>
        <v>65530</v>
      </c>
      <c r="CL717" s="2">
        <f>SUM(CL$2:CL207)+BF207*Y207</f>
        <v>140640</v>
      </c>
      <c r="CM717" s="2">
        <f>SUM(CM$2:CM207)+BG207*Z207</f>
        <v>45515</v>
      </c>
      <c r="CN717" s="2">
        <f>SUM(CN$2:CN207)+BH207*AA207</f>
        <v>88722.499999999942</v>
      </c>
      <c r="CO717" s="2">
        <f>SUM(CO$2:CO207)+BI207*AB207</f>
        <v>-9560</v>
      </c>
      <c r="CP717" s="2">
        <f>SUM(CP$2:CP207)+BJ207*AC207</f>
        <v>15280</v>
      </c>
      <c r="CQ717" s="2">
        <f>SUM(CQ$2:CQ207)+BK207*AD207</f>
        <v>20600.000000000007</v>
      </c>
      <c r="CR717" s="2">
        <f>SUM(CR$2:CR207)+BL207*AE207</f>
        <v>-4890</v>
      </c>
      <c r="CV717" t="s">
        <v>64</v>
      </c>
      <c r="CW717" t="s">
        <v>790</v>
      </c>
      <c r="CX717" t="s">
        <v>18</v>
      </c>
      <c r="CY717" s="4">
        <v>43318</v>
      </c>
      <c r="CZ717" t="s">
        <v>65</v>
      </c>
      <c r="DA717" t="s">
        <v>66</v>
      </c>
      <c r="DB717">
        <v>8</v>
      </c>
      <c r="DC717">
        <v>65.31</v>
      </c>
      <c r="DD717" t="s">
        <v>69</v>
      </c>
      <c r="DE717" t="s">
        <v>70</v>
      </c>
      <c r="DF717">
        <v>522.48</v>
      </c>
    </row>
    <row r="718" spans="66:110" x14ac:dyDescent="0.25">
      <c r="BN718" s="1">
        <f t="shared" si="338"/>
        <v>43034</v>
      </c>
      <c r="BO718" s="2">
        <f>SUM(BO$2:BO208)+AI208*B208</f>
        <v>106687.49999999988</v>
      </c>
      <c r="BP718" s="2">
        <f>SUM(BP$2:BP208)+AJ208*C208</f>
        <v>23173.299999999988</v>
      </c>
      <c r="BQ718" s="2">
        <f>SUM(BQ$2:BQ208)+AK208*D208</f>
        <v>110581.69999999995</v>
      </c>
      <c r="BR718" s="2">
        <f>SUM(BR$2:BR208)+AL208*E208</f>
        <v>48726.299999999974</v>
      </c>
      <c r="BS718" s="2">
        <f>SUM(BS$2:BS208)+AM208*F208</f>
        <v>4911.2000000000007</v>
      </c>
      <c r="BT718" s="2">
        <f>SUM(BT$2:BT208)+AN208*G208</f>
        <v>5139</v>
      </c>
      <c r="BU718" s="2">
        <f>SUM(BU$2:BU208)+AO208*H208</f>
        <v>-7575.3999999999942</v>
      </c>
      <c r="BV718" s="2">
        <f>SUM(BV$2:BV208)+AP208*I208</f>
        <v>5756.1999999999971</v>
      </c>
      <c r="BW718" s="2">
        <f>SUM(BW$2:BW208)+AQ208*J208</f>
        <v>2370</v>
      </c>
      <c r="BX718" s="2">
        <f>SUM(BX$2:BX208)+AR208*K208</f>
        <v>13940</v>
      </c>
      <c r="BY718" s="2">
        <f>SUM(BY$2:BY208)+AS208*L208</f>
        <v>-8390</v>
      </c>
      <c r="BZ718" s="2">
        <f>SUM(BZ$2:BZ208)+AT208*M208</f>
        <v>740</v>
      </c>
      <c r="CA718" s="2">
        <f>SUM(CA$2:CA208)+AU208*N208</f>
        <v>27300</v>
      </c>
      <c r="CB718" s="2">
        <f>SUM(CB$2:CB208)+AV208*O208</f>
        <v>15960</v>
      </c>
      <c r="CC718" s="2">
        <f>SUM(CC$2:CC208)+AW208*P208</f>
        <v>-20</v>
      </c>
      <c r="CD718" s="2">
        <f>SUM(CD$2:CD208)+AX208*Q208</f>
        <v>14050</v>
      </c>
      <c r="CE718" s="2">
        <f>SUM(CE$2:CE208)+AY208*R208</f>
        <v>27020</v>
      </c>
      <c r="CF718" s="2">
        <f>SUM(CF$2:CF208)+AZ208*S208</f>
        <v>3335.3699999999953</v>
      </c>
      <c r="CG718" s="2">
        <f>SUM(CG$2:CG208)+BA208*T208</f>
        <v>17063.859999999979</v>
      </c>
      <c r="CH718" s="2">
        <f>SUM(CH$2:CH208)+BB208*U208</f>
        <v>5674.0100000000239</v>
      </c>
      <c r="CI718" s="2">
        <f>SUM(CI$2:CI208)+BC208*V208</f>
        <v>-5250</v>
      </c>
      <c r="CJ718" s="2">
        <f>SUM(CJ$2:CJ208)+BD208*W208</f>
        <v>6690.0000000000582</v>
      </c>
      <c r="CK718" s="2">
        <f>SUM(CK$2:CK208)+BE208*X208</f>
        <v>66330</v>
      </c>
      <c r="CL718" s="2">
        <f>SUM(CL$2:CL208)+BF208*Y208</f>
        <v>145320</v>
      </c>
      <c r="CM718" s="2">
        <f>SUM(CM$2:CM208)+BG208*Z208</f>
        <v>50065</v>
      </c>
      <c r="CN718" s="2">
        <f>SUM(CN$2:CN208)+BH208*AA208</f>
        <v>90272.499999999942</v>
      </c>
      <c r="CO718" s="2">
        <f>SUM(CO$2:CO208)+BI208*AB208</f>
        <v>-8870</v>
      </c>
      <c r="CP718" s="2">
        <f>SUM(CP$2:CP208)+BJ208*AC208</f>
        <v>18535</v>
      </c>
      <c r="CQ718" s="2">
        <f>SUM(CQ$2:CQ208)+BK208*AD208</f>
        <v>20730.000000000007</v>
      </c>
      <c r="CR718" s="2">
        <f>SUM(CR$2:CR208)+BL208*AE208</f>
        <v>-4610</v>
      </c>
      <c r="CV718" t="s">
        <v>64</v>
      </c>
      <c r="CW718" t="s">
        <v>791</v>
      </c>
      <c r="CX718" t="s">
        <v>18</v>
      </c>
      <c r="CY718" s="4">
        <v>43319</v>
      </c>
      <c r="CZ718" t="s">
        <v>65</v>
      </c>
      <c r="DA718" t="s">
        <v>66</v>
      </c>
      <c r="DB718">
        <v>80</v>
      </c>
      <c r="DC718">
        <v>65.67</v>
      </c>
      <c r="DD718" t="s">
        <v>69</v>
      </c>
      <c r="DE718" t="s">
        <v>70</v>
      </c>
      <c r="DF718">
        <v>5253.6</v>
      </c>
    </row>
    <row r="719" spans="66:110" x14ac:dyDescent="0.25">
      <c r="BN719" s="1">
        <f t="shared" si="338"/>
        <v>43035</v>
      </c>
      <c r="BO719" s="2">
        <f>SUM(BO$2:BO209)+AI209*B209</f>
        <v>134237.49999999988</v>
      </c>
      <c r="BP719" s="2">
        <f>SUM(BP$2:BP209)+AJ209*C209</f>
        <v>23287.300000000003</v>
      </c>
      <c r="BQ719" s="2">
        <f>SUM(BQ$2:BQ209)+AK209*D209</f>
        <v>107469.49999999994</v>
      </c>
      <c r="BR719" s="2">
        <f>SUM(BR$2:BR209)+AL209*E209</f>
        <v>49683.89999999998</v>
      </c>
      <c r="BS719" s="2">
        <f>SUM(BS$2:BS209)+AM209*F209</f>
        <v>5093.5999999999949</v>
      </c>
      <c r="BT719" s="2">
        <f>SUM(BT$2:BT209)+AN209*G209</f>
        <v>-139.19999999998254</v>
      </c>
      <c r="BU719" s="2">
        <f>SUM(BU$2:BU209)+AO209*H209</f>
        <v>-7860.3999999999942</v>
      </c>
      <c r="BV719" s="2">
        <f>SUM(BV$2:BV209)+AP209*I209</f>
        <v>5246.1999999999971</v>
      </c>
      <c r="BW719" s="2">
        <f>SUM(BW$2:BW209)+AQ209*J209</f>
        <v>2360</v>
      </c>
      <c r="BX719" s="2">
        <f>SUM(BX$2:BX209)+AR209*K209</f>
        <v>13940</v>
      </c>
      <c r="BY719" s="2">
        <f>SUM(BY$2:BY209)+AS209*L209</f>
        <v>-8310</v>
      </c>
      <c r="BZ719" s="2">
        <f>SUM(BZ$2:BZ209)+AT209*M209</f>
        <v>740</v>
      </c>
      <c r="CA719" s="2">
        <f>SUM(CA$2:CA209)+AU209*N209</f>
        <v>27280</v>
      </c>
      <c r="CB719" s="2">
        <f>SUM(CB$2:CB209)+AV209*O209</f>
        <v>15990</v>
      </c>
      <c r="CC719" s="2">
        <f>SUM(CC$2:CC209)+AW209*P209</f>
        <v>-20</v>
      </c>
      <c r="CD719" s="2">
        <f>SUM(CD$2:CD209)+AX209*Q209</f>
        <v>14050</v>
      </c>
      <c r="CE719" s="2">
        <f>SUM(CE$2:CE209)+AY209*R209</f>
        <v>27020</v>
      </c>
      <c r="CF719" s="2">
        <f>SUM(CF$2:CF209)+AZ209*S209</f>
        <v>-440.69000000000233</v>
      </c>
      <c r="CG719" s="2">
        <f>SUM(CG$2:CG209)+BA209*T209</f>
        <v>21998.919999999969</v>
      </c>
      <c r="CH719" s="2">
        <f>SUM(CH$2:CH209)+BB209*U209</f>
        <v>4824.7700000000259</v>
      </c>
      <c r="CI719" s="2">
        <f>SUM(CI$2:CI209)+BC209*V209</f>
        <v>-5120</v>
      </c>
      <c r="CJ719" s="2">
        <f>SUM(CJ$2:CJ209)+BD209*W209</f>
        <v>8890.0000000000582</v>
      </c>
      <c r="CK719" s="2">
        <f>SUM(CK$2:CK209)+BE209*X209</f>
        <v>62030</v>
      </c>
      <c r="CL719" s="2">
        <f>SUM(CL$2:CL209)+BF209*Y209</f>
        <v>155520</v>
      </c>
      <c r="CM719" s="2">
        <f>SUM(CM$2:CM209)+BG209*Z209</f>
        <v>45915</v>
      </c>
      <c r="CN719" s="2">
        <f>SUM(CN$2:CN209)+BH209*AA209</f>
        <v>89822.499999999942</v>
      </c>
      <c r="CO719" s="2">
        <f>SUM(CO$2:CO209)+BI209*AB209</f>
        <v>-8930</v>
      </c>
      <c r="CP719" s="2">
        <f>SUM(CP$2:CP209)+BJ209*AC209</f>
        <v>22345</v>
      </c>
      <c r="CQ719" s="2">
        <f>SUM(CQ$2:CQ209)+BK209*AD209</f>
        <v>20290.000000000007</v>
      </c>
      <c r="CR719" s="2">
        <f>SUM(CR$2:CR209)+BL209*AE209</f>
        <v>-4380</v>
      </c>
      <c r="CV719" t="s">
        <v>64</v>
      </c>
      <c r="CW719" t="s">
        <v>792</v>
      </c>
      <c r="CX719" t="s">
        <v>18</v>
      </c>
      <c r="CY719" s="4">
        <v>43320</v>
      </c>
      <c r="CZ719" t="s">
        <v>67</v>
      </c>
      <c r="DA719" t="s">
        <v>68</v>
      </c>
      <c r="DB719">
        <v>8</v>
      </c>
      <c r="DC719">
        <v>65.78</v>
      </c>
      <c r="DD719" t="s">
        <v>69</v>
      </c>
      <c r="DE719" t="s">
        <v>70</v>
      </c>
      <c r="DF719">
        <v>526.24</v>
      </c>
    </row>
    <row r="720" spans="66:110" x14ac:dyDescent="0.25">
      <c r="BN720" s="1">
        <f t="shared" si="338"/>
        <v>43038</v>
      </c>
      <c r="BO720" s="2">
        <f>SUM(BO$2:BO210)+AI210*B210</f>
        <v>152187.49999999988</v>
      </c>
      <c r="BP720" s="2">
        <f>SUM(BP$2:BP210)+AJ210*C210</f>
        <v>22477.899999999994</v>
      </c>
      <c r="BQ720" s="2">
        <f>SUM(BQ$2:BQ210)+AK210*D210</f>
        <v>110558.89999999991</v>
      </c>
      <c r="BR720" s="2">
        <f>SUM(BR$2:BR210)+AL210*E210</f>
        <v>48224.699999999968</v>
      </c>
      <c r="BS720" s="2">
        <f>SUM(BS$2:BS210)+AM210*F210</f>
        <v>4660.4000000000051</v>
      </c>
      <c r="BT720" s="2">
        <f>SUM(BT$2:BT210)+AN210*G210</f>
        <v>772.80000000000291</v>
      </c>
      <c r="BU720" s="2">
        <f>SUM(BU$2:BU210)+AO210*H210</f>
        <v>-8156.8000000000029</v>
      </c>
      <c r="BV720" s="2">
        <f>SUM(BV$2:BV210)+AP210*I210</f>
        <v>4399.6000000000058</v>
      </c>
      <c r="BW720" s="2">
        <f>SUM(BW$2:BW210)+AQ210*J210</f>
        <v>1550</v>
      </c>
      <c r="BX720" s="2">
        <f>SUM(BX$2:BX210)+AR210*K210</f>
        <v>13940</v>
      </c>
      <c r="BY720" s="2">
        <f>SUM(BY$2:BY210)+AS210*L210</f>
        <v>-7680</v>
      </c>
      <c r="BZ720" s="2">
        <f>SUM(BZ$2:BZ210)+AT210*M210</f>
        <v>740</v>
      </c>
      <c r="CA720" s="2">
        <f>SUM(CA$2:CA210)+AU210*N210</f>
        <v>25550</v>
      </c>
      <c r="CB720" s="2">
        <f>SUM(CB$2:CB210)+AV210*O210</f>
        <v>15640</v>
      </c>
      <c r="CC720" s="2">
        <f>SUM(CC$2:CC210)+AW210*P210</f>
        <v>-20</v>
      </c>
      <c r="CD720" s="2">
        <f>SUM(CD$2:CD210)+AX210*Q210</f>
        <v>14050</v>
      </c>
      <c r="CE720" s="2">
        <f>SUM(CE$2:CE210)+AY210*R210</f>
        <v>27020</v>
      </c>
      <c r="CF720" s="2">
        <f>SUM(CF$2:CF210)+AZ210*S210</f>
        <v>-3847.6400000000067</v>
      </c>
      <c r="CG720" s="2">
        <f>SUM(CG$2:CG210)+BA210*T210</f>
        <v>22078.519999999975</v>
      </c>
      <c r="CH720" s="2">
        <f>SUM(CH$2:CH210)+BB210*U210</f>
        <v>4108.0500000000247</v>
      </c>
      <c r="CI720" s="2">
        <f>SUM(CI$2:CI210)+BC210*V210</f>
        <v>-4690</v>
      </c>
      <c r="CJ720" s="2">
        <f>SUM(CJ$2:CJ210)+BD210*W210</f>
        <v>12590</v>
      </c>
      <c r="CK720" s="2">
        <f>SUM(CK$2:CK210)+BE210*X210</f>
        <v>69629.999999999884</v>
      </c>
      <c r="CL720" s="2">
        <f>SUM(CL$2:CL210)+BF210*Y210</f>
        <v>146040</v>
      </c>
      <c r="CM720" s="2">
        <f>SUM(CM$2:CM210)+BG210*Z210</f>
        <v>48652.5</v>
      </c>
      <c r="CN720" s="2">
        <f>SUM(CN$2:CN210)+BH210*AA210</f>
        <v>91472.499999999942</v>
      </c>
      <c r="CO720" s="2">
        <f>SUM(CO$2:CO210)+BI210*AB210</f>
        <v>-11870</v>
      </c>
      <c r="CP720" s="2">
        <f>SUM(CP$2:CP210)+BJ210*AC210</f>
        <v>19780</v>
      </c>
      <c r="CQ720" s="2">
        <f>SUM(CQ$2:CQ210)+BK210*AD210</f>
        <v>19110.000000000007</v>
      </c>
      <c r="CR720" s="2">
        <f>SUM(CR$2:CR210)+BL210*AE210</f>
        <v>-4540</v>
      </c>
      <c r="CV720" t="s">
        <v>64</v>
      </c>
      <c r="CW720" t="s">
        <v>793</v>
      </c>
      <c r="CX720" t="s">
        <v>18</v>
      </c>
      <c r="CY720" s="4">
        <v>43321</v>
      </c>
      <c r="CZ720" t="s">
        <v>67</v>
      </c>
      <c r="DA720" t="s">
        <v>68</v>
      </c>
      <c r="DB720">
        <v>13</v>
      </c>
      <c r="DC720">
        <v>65.099999999999994</v>
      </c>
      <c r="DD720" t="s">
        <v>69</v>
      </c>
      <c r="DE720" t="s">
        <v>70</v>
      </c>
      <c r="DF720">
        <v>846.3</v>
      </c>
    </row>
    <row r="721" spans="66:110" x14ac:dyDescent="0.25">
      <c r="BN721" s="1">
        <f t="shared" si="338"/>
        <v>43039</v>
      </c>
      <c r="BO721" s="2">
        <f>SUM(BO$2:BO211)+AI211*B211</f>
        <v>163487.49999999988</v>
      </c>
      <c r="BP721" s="2">
        <f>SUM(BP$2:BP211)+AJ211*C211</f>
        <v>22979.5</v>
      </c>
      <c r="BQ721" s="2">
        <f>SUM(BQ$2:BQ211)+AK211*D211</f>
        <v>109145.29999999993</v>
      </c>
      <c r="BR721" s="2">
        <f>SUM(BR$2:BR211)+AL211*E211</f>
        <v>47460.899999999951</v>
      </c>
      <c r="BS721" s="2">
        <f>SUM(BS$2:BS211)+AM211*F211</f>
        <v>4785.7999999999993</v>
      </c>
      <c r="BT721" s="2">
        <f>SUM(BT$2:BT211)+AN211*G211</f>
        <v>2391.6000000000058</v>
      </c>
      <c r="BU721" s="2">
        <f>SUM(BU$2:BU211)+AO211*H211</f>
        <v>-8418.9999999999854</v>
      </c>
      <c r="BV721" s="2">
        <f>SUM(BV$2:BV211)+AP211*I211</f>
        <v>5021.8000000000029</v>
      </c>
      <c r="BW721" s="2">
        <f>SUM(BW$2:BW211)+AQ211*J211</f>
        <v>3120</v>
      </c>
      <c r="BX721" s="2">
        <f>SUM(BX$2:BX211)+AR211*K211</f>
        <v>13940</v>
      </c>
      <c r="BY721" s="2">
        <f>SUM(BY$2:BY211)+AS211*L211</f>
        <v>-7960</v>
      </c>
      <c r="BZ721" s="2">
        <f>SUM(BZ$2:BZ211)+AT211*M211</f>
        <v>740</v>
      </c>
      <c r="CA721" s="2">
        <f>SUM(CA$2:CA211)+AU211*N211</f>
        <v>24980</v>
      </c>
      <c r="CB721" s="2">
        <f>SUM(CB$2:CB211)+AV211*O211</f>
        <v>14860</v>
      </c>
      <c r="CC721" s="2">
        <f>SUM(CC$2:CC211)+AW211*P211</f>
        <v>-20</v>
      </c>
      <c r="CD721" s="2">
        <f>SUM(CD$2:CD211)+AX211*Q211</f>
        <v>14050</v>
      </c>
      <c r="CE721" s="2">
        <f>SUM(CE$2:CE211)+AY211*R211</f>
        <v>27020</v>
      </c>
      <c r="CF721" s="2">
        <f>SUM(CF$2:CF211)+AZ211*S211</f>
        <v>-3501.6800000000076</v>
      </c>
      <c r="CG721" s="2">
        <f>SUM(CG$2:CG211)+BA211*T211</f>
        <v>21416.809999999976</v>
      </c>
      <c r="CH721" s="2">
        <f>SUM(CH$2:CH211)+BB211*U211</f>
        <v>3831.8400000000256</v>
      </c>
      <c r="CI721" s="2">
        <f>SUM(CI$2:CI211)+BC211*V211</f>
        <v>-4600</v>
      </c>
      <c r="CJ721" s="2">
        <f>SUM(CJ$2:CJ211)+BD211*W211</f>
        <v>12240.000000000058</v>
      </c>
      <c r="CK721" s="2">
        <f>SUM(CK$2:CK211)+BE211*X211</f>
        <v>68780</v>
      </c>
      <c r="CL721" s="2">
        <f>SUM(CL$2:CL211)+BF211*Y211</f>
        <v>148470</v>
      </c>
      <c r="CM721" s="2">
        <f>SUM(CM$2:CM211)+BG211*Z211</f>
        <v>48477.5</v>
      </c>
      <c r="CN721" s="2">
        <f>SUM(CN$2:CN211)+BH211*AA211</f>
        <v>91172.499999999942</v>
      </c>
      <c r="CO721" s="2">
        <f>SUM(CO$2:CO211)+BI211*AB211</f>
        <v>-11750</v>
      </c>
      <c r="CP721" s="2">
        <f>SUM(CP$2:CP211)+BJ211*AC211</f>
        <v>19765</v>
      </c>
      <c r="CQ721" s="2">
        <f>SUM(CQ$2:CQ211)+BK211*AD211</f>
        <v>19460.000000000007</v>
      </c>
      <c r="CR721" s="2">
        <f>SUM(CR$2:CR211)+BL211*AE211</f>
        <v>-4720</v>
      </c>
      <c r="CV721" t="s">
        <v>64</v>
      </c>
      <c r="CW721" t="s">
        <v>794</v>
      </c>
      <c r="CX721" t="s">
        <v>18</v>
      </c>
      <c r="CY721" s="4">
        <v>43322</v>
      </c>
      <c r="CZ721" t="s">
        <v>65</v>
      </c>
      <c r="DA721" t="s">
        <v>66</v>
      </c>
      <c r="DB721">
        <v>9</v>
      </c>
      <c r="DC721">
        <v>65.17</v>
      </c>
      <c r="DD721" t="s">
        <v>69</v>
      </c>
      <c r="DE721" t="s">
        <v>70</v>
      </c>
      <c r="DF721">
        <v>586.53</v>
      </c>
    </row>
    <row r="722" spans="66:110" x14ac:dyDescent="0.25">
      <c r="BN722" s="1">
        <f t="shared" si="338"/>
        <v>43040</v>
      </c>
      <c r="BO722" s="2">
        <f>SUM(BO$2:BO212)+AI212*B212</f>
        <v>152987.49999999988</v>
      </c>
      <c r="BP722" s="2">
        <f>SUM(BP$2:BP212)+AJ212*C212</f>
        <v>23287.300000000003</v>
      </c>
      <c r="BQ722" s="2">
        <f>SUM(BQ$2:BQ212)+AK212*D212</f>
        <v>109726.69999999992</v>
      </c>
      <c r="BR722" s="2">
        <f>SUM(BR$2:BR212)+AL212*E212</f>
        <v>48008.099999999962</v>
      </c>
      <c r="BS722" s="2">
        <f>SUM(BS$2:BS212)+AM212*F212</f>
        <v>5298.8000000000102</v>
      </c>
      <c r="BT722" s="2">
        <f>SUM(BT$2:BT212)+AN212*G212</f>
        <v>2403</v>
      </c>
      <c r="BU722" s="2">
        <f>SUM(BU$2:BU212)+AO212*H212</f>
        <v>-7051</v>
      </c>
      <c r="BV722" s="2">
        <f>SUM(BV$2:BV212)+AP212*I212</f>
        <v>6021.3999999999942</v>
      </c>
      <c r="BW722" s="2">
        <f>SUM(BW$2:BW212)+AQ212*J212</f>
        <v>4870</v>
      </c>
      <c r="BX722" s="2">
        <f>SUM(BX$2:BX212)+AR212*K212</f>
        <v>13940</v>
      </c>
      <c r="BY722" s="2">
        <f>SUM(BY$2:BY212)+AS212*L212</f>
        <v>-7980</v>
      </c>
      <c r="BZ722" s="2">
        <f>SUM(BZ$2:BZ212)+AT212*M212</f>
        <v>740</v>
      </c>
      <c r="CA722" s="2">
        <f>SUM(CA$2:CA212)+AU212*N212</f>
        <v>25530</v>
      </c>
      <c r="CB722" s="2">
        <f>SUM(CB$2:CB212)+AV212*O212</f>
        <v>15160</v>
      </c>
      <c r="CC722" s="2">
        <f>SUM(CC$2:CC212)+AW212*P212</f>
        <v>-20</v>
      </c>
      <c r="CD722" s="2">
        <f>SUM(CD$2:CD212)+AX212*Q212</f>
        <v>14050</v>
      </c>
      <c r="CE722" s="2">
        <f>SUM(CE$2:CE212)+AY212*R212</f>
        <v>27020</v>
      </c>
      <c r="CF722" s="2">
        <f>SUM(CF$2:CF212)+AZ212*S212</f>
        <v>-3250.4000000000087</v>
      </c>
      <c r="CG722" s="2">
        <f>SUM(CG$2:CG212)+BA212*T212</f>
        <v>21416.809999999976</v>
      </c>
      <c r="CH722" s="2">
        <f>SUM(CH$2:CH212)+BB212*U212</f>
        <v>3902.8900000000285</v>
      </c>
      <c r="CI722" s="2">
        <f>SUM(CI$2:CI212)+BC212*V212</f>
        <v>-4790</v>
      </c>
      <c r="CJ722" s="2">
        <f>SUM(CJ$2:CJ212)+BD212*W212</f>
        <v>9640.0000000000582</v>
      </c>
      <c r="CK722" s="2">
        <f>SUM(CK$2:CK212)+BE212*X212</f>
        <v>73730</v>
      </c>
      <c r="CL722" s="2">
        <f>SUM(CL$2:CL212)+BF212*Y212</f>
        <v>146460</v>
      </c>
      <c r="CM722" s="2">
        <f>SUM(CM$2:CM212)+BG212*Z212</f>
        <v>47602.5</v>
      </c>
      <c r="CN722" s="2">
        <f>SUM(CN$2:CN212)+BH212*AA212</f>
        <v>96572.499999999942</v>
      </c>
      <c r="CO722" s="2">
        <f>SUM(CO$2:CO212)+BI212*AB212</f>
        <v>-11870</v>
      </c>
      <c r="CP722" s="2">
        <f>SUM(CP$2:CP212)+BJ212*AC212</f>
        <v>18685</v>
      </c>
      <c r="CQ722" s="2">
        <f>SUM(CQ$2:CQ212)+BK212*AD212</f>
        <v>20070.000000000007</v>
      </c>
      <c r="CR722" s="2">
        <f>SUM(CR$2:CR212)+BL212*AE212</f>
        <v>-4230</v>
      </c>
      <c r="CV722" t="s">
        <v>64</v>
      </c>
      <c r="CW722" t="s">
        <v>795</v>
      </c>
      <c r="CX722" t="s">
        <v>18</v>
      </c>
      <c r="CY722" s="4">
        <v>43325</v>
      </c>
      <c r="CZ722" t="s">
        <v>65</v>
      </c>
      <c r="DA722" t="s">
        <v>66</v>
      </c>
      <c r="DB722">
        <v>2</v>
      </c>
      <c r="DC722">
        <v>65.81</v>
      </c>
      <c r="DD722" t="s">
        <v>69</v>
      </c>
      <c r="DE722" t="s">
        <v>70</v>
      </c>
      <c r="DF722">
        <v>131.62</v>
      </c>
    </row>
    <row r="723" spans="66:110" x14ac:dyDescent="0.25">
      <c r="BN723" s="1">
        <f t="shared" si="338"/>
        <v>43041</v>
      </c>
      <c r="BO723" s="2">
        <f>SUM(BO$2:BO213)+AI213*B213</f>
        <v>158987.5</v>
      </c>
      <c r="BP723" s="2">
        <f>SUM(BP$2:BP213)+AJ213*C213</f>
        <v>23505.800000000003</v>
      </c>
      <c r="BQ723" s="2">
        <f>SUM(BQ$2:BQ213)+AK213*D213</f>
        <v>114338.19999999992</v>
      </c>
      <c r="BR723" s="2">
        <f>SUM(BR$2:BR213)+AL213*E213</f>
        <v>48203.599999999962</v>
      </c>
      <c r="BS723" s="2">
        <f>SUM(BS$2:BS213)+AM213*F213</f>
        <v>4850.3000000000029</v>
      </c>
      <c r="BT723" s="2">
        <f>SUM(BT$2:BT213)+AN213*G213</f>
        <v>1782</v>
      </c>
      <c r="BU723" s="2">
        <f>SUM(BU$2:BU213)+AO213*H213</f>
        <v>-7821.5</v>
      </c>
      <c r="BV723" s="2">
        <f>SUM(BV$2:BV213)+AP213*I213</f>
        <v>4744.1999999999825</v>
      </c>
      <c r="BW723" s="2">
        <f>SUM(BW$2:BW213)+AQ213*J213</f>
        <v>7440</v>
      </c>
      <c r="BX723" s="2">
        <f>SUM(BX$2:BX213)+AR213*K213</f>
        <v>13940</v>
      </c>
      <c r="BY723" s="2">
        <f>SUM(BY$2:BY213)+AS213*L213</f>
        <v>-8620</v>
      </c>
      <c r="BZ723" s="2">
        <f>SUM(BZ$2:BZ213)+AT213*M213</f>
        <v>740</v>
      </c>
      <c r="CA723" s="2">
        <f>SUM(CA$2:CA213)+AU213*N213</f>
        <v>25490</v>
      </c>
      <c r="CB723" s="2">
        <f>SUM(CB$2:CB213)+AV213*O213</f>
        <v>15810</v>
      </c>
      <c r="CC723" s="2">
        <f>SUM(CC$2:CC213)+AW213*P213</f>
        <v>-20</v>
      </c>
      <c r="CD723" s="2">
        <f>SUM(CD$2:CD213)+AX213*Q213</f>
        <v>14050</v>
      </c>
      <c r="CE723" s="2">
        <f>SUM(CE$2:CE213)+AY213*R213</f>
        <v>27020</v>
      </c>
      <c r="CF723" s="2">
        <f>SUM(CF$2:CF213)+AZ213*S213</f>
        <v>-3220.4300000000076</v>
      </c>
      <c r="CG723" s="2">
        <f>SUM(CG$2:CG213)+BA213*T213</f>
        <v>22220.909999999974</v>
      </c>
      <c r="CH723" s="2">
        <f>SUM(CH$2:CH213)+BB213*U213</f>
        <v>3952.2400000000198</v>
      </c>
      <c r="CI723" s="2">
        <f>SUM(CI$2:CI213)+BC213*V213</f>
        <v>-4980</v>
      </c>
      <c r="CJ723" s="2">
        <f>SUM(CJ$2:CJ213)+BD213*W213</f>
        <v>11440.000000000058</v>
      </c>
      <c r="CK723" s="2">
        <f>SUM(CK$2:CK213)+BE213*X213</f>
        <v>79680</v>
      </c>
      <c r="CL723" s="2">
        <f>SUM(CL$2:CL213)+BF213*Y213</f>
        <v>151080</v>
      </c>
      <c r="CM723" s="2">
        <f>SUM(CM$2:CM213)+BG213*Z213</f>
        <v>41102.5</v>
      </c>
      <c r="CN723" s="2">
        <f>SUM(CN$2:CN213)+BH213*AA213</f>
        <v>96122.499999999942</v>
      </c>
      <c r="CO723" s="2">
        <f>SUM(CO$2:CO213)+BI213*AB213</f>
        <v>-12920</v>
      </c>
      <c r="CP723" s="2">
        <f>SUM(CP$2:CP213)+BJ213*AC213</f>
        <v>19015</v>
      </c>
      <c r="CQ723" s="2">
        <f>SUM(CQ$2:CQ213)+BK213*AD213</f>
        <v>20910.000000000007</v>
      </c>
      <c r="CR723" s="2">
        <f>SUM(CR$2:CR213)+BL213*AE213</f>
        <v>-4550</v>
      </c>
      <c r="CV723" t="s">
        <v>64</v>
      </c>
      <c r="CW723" t="s">
        <v>796</v>
      </c>
      <c r="CX723" t="s">
        <v>18</v>
      </c>
      <c r="CY723" s="4">
        <v>43326</v>
      </c>
      <c r="CZ723" t="s">
        <v>67</v>
      </c>
      <c r="DA723" t="s">
        <v>68</v>
      </c>
      <c r="DB723">
        <v>32</v>
      </c>
      <c r="DC723">
        <v>65.55</v>
      </c>
      <c r="DD723" t="s">
        <v>69</v>
      </c>
      <c r="DE723" t="s">
        <v>70</v>
      </c>
      <c r="DF723">
        <v>2097.6</v>
      </c>
    </row>
    <row r="724" spans="66:110" x14ac:dyDescent="0.25">
      <c r="BN724" s="1">
        <f t="shared" si="338"/>
        <v>43042</v>
      </c>
      <c r="BO724" s="2">
        <f>SUM(BO$2:BO214)+AI214*B214</f>
        <v>180437.49999999988</v>
      </c>
      <c r="BP724" s="2">
        <f>SUM(BP$2:BP214)+AJ214*C214</f>
        <v>24011.800000000003</v>
      </c>
      <c r="BQ724" s="2">
        <f>SUM(BQ$2:BQ214)+AK214*D214</f>
        <v>113349.19999999992</v>
      </c>
      <c r="BR724" s="2">
        <f>SUM(BR$2:BR214)+AL214*E214</f>
        <v>48387.599999999962</v>
      </c>
      <c r="BS724" s="2">
        <f>SUM(BS$2:BS214)+AM214*F214</f>
        <v>5137.8000000000029</v>
      </c>
      <c r="BT724" s="2">
        <f>SUM(BT$2:BT214)+AN214*G214</f>
        <v>1414</v>
      </c>
      <c r="BU724" s="2">
        <f>SUM(BU$2:BU214)+AO214*H214</f>
        <v>-7488</v>
      </c>
      <c r="BV724" s="2">
        <f>SUM(BV$2:BV214)+AP214*I214</f>
        <v>3858.3999999999942</v>
      </c>
      <c r="BW724" s="2">
        <f>SUM(BW$2:BW214)+AQ214*J214</f>
        <v>5000</v>
      </c>
      <c r="BX724" s="2">
        <f>SUM(BX$2:BX214)+AR214*K214</f>
        <v>13940</v>
      </c>
      <c r="BY724" s="2">
        <f>SUM(BY$2:BY214)+AS214*L214</f>
        <v>-10280</v>
      </c>
      <c r="BZ724" s="2">
        <f>SUM(BZ$2:BZ214)+AT214*M214</f>
        <v>740</v>
      </c>
      <c r="CA724" s="2">
        <f>SUM(CA$2:CA214)+AU214*N214</f>
        <v>25630</v>
      </c>
      <c r="CB724" s="2">
        <f>SUM(CB$2:CB214)+AV214*O214</f>
        <v>15640</v>
      </c>
      <c r="CC724" s="2">
        <f>SUM(CC$2:CC214)+AW214*P214</f>
        <v>-20</v>
      </c>
      <c r="CD724" s="2">
        <f>SUM(CD$2:CD214)+AX214*Q214</f>
        <v>14050</v>
      </c>
      <c r="CE724" s="2">
        <f>SUM(CE$2:CE214)+AY214*R214</f>
        <v>27020</v>
      </c>
      <c r="CF724" s="2">
        <f>SUM(CF$2:CF214)+AZ214*S214</f>
        <v>-2579.5700000000143</v>
      </c>
      <c r="CG724" s="2">
        <f>SUM(CG$2:CG214)+BA214*T214</f>
        <v>22307.789999999986</v>
      </c>
      <c r="CH724" s="2">
        <f>SUM(CH$2:CH214)+BB214*U214</f>
        <v>4502.710000000021</v>
      </c>
      <c r="CI724" s="2">
        <f>SUM(CI$2:CI214)+BC214*V214</f>
        <v>-5070</v>
      </c>
      <c r="CJ724" s="2">
        <f>SUM(CJ$2:CJ214)+BD214*W214</f>
        <v>11090.000000000058</v>
      </c>
      <c r="CK724" s="2">
        <f>SUM(CK$2:CK214)+BE214*X214</f>
        <v>73030</v>
      </c>
      <c r="CL724" s="2">
        <f>SUM(CL$2:CL214)+BF214*Y214</f>
        <v>156300</v>
      </c>
      <c r="CM724" s="2">
        <f>SUM(CM$2:CM214)+BG214*Z214</f>
        <v>43002.5</v>
      </c>
      <c r="CN724" s="2">
        <f>SUM(CN$2:CN214)+BH214*AA214</f>
        <v>97972.499999999942</v>
      </c>
      <c r="CO724" s="2">
        <f>SUM(CO$2:CO214)+BI214*AB214</f>
        <v>-13040</v>
      </c>
      <c r="CP724" s="2">
        <f>SUM(CP$2:CP214)+BJ214*AC214</f>
        <v>18895</v>
      </c>
      <c r="CQ724" s="2">
        <f>SUM(CQ$2:CQ214)+BK214*AD214</f>
        <v>21760.000000000007</v>
      </c>
      <c r="CR724" s="2">
        <f>SUM(CR$2:CR214)+BL214*AE214</f>
        <v>-4880</v>
      </c>
      <c r="CV724" t="s">
        <v>64</v>
      </c>
      <c r="CW724" t="s">
        <v>797</v>
      </c>
      <c r="CX724" t="s">
        <v>18</v>
      </c>
      <c r="CY724" s="4">
        <v>43327</v>
      </c>
      <c r="CZ724" t="s">
        <v>65</v>
      </c>
      <c r="DA724" t="s">
        <v>66</v>
      </c>
      <c r="DB724">
        <v>47</v>
      </c>
      <c r="DC724">
        <v>66.45</v>
      </c>
      <c r="DD724" t="s">
        <v>69</v>
      </c>
      <c r="DE724" t="s">
        <v>70</v>
      </c>
      <c r="DF724">
        <v>3123.15</v>
      </c>
    </row>
    <row r="725" spans="66:110" x14ac:dyDescent="0.25">
      <c r="BN725" s="1">
        <f t="shared" si="338"/>
        <v>43045</v>
      </c>
      <c r="BO725" s="2">
        <f>SUM(BO$2:BO215)+AI215*B215</f>
        <v>188987.5</v>
      </c>
      <c r="BP725" s="2">
        <f>SUM(BP$2:BP215)+AJ215*C215</f>
        <v>23850.800000000003</v>
      </c>
      <c r="BQ725" s="2">
        <f>SUM(BQ$2:BQ215)+AK215*D215</f>
        <v>115936.69999999992</v>
      </c>
      <c r="BR725" s="2">
        <f>SUM(BR$2:BR215)+AL215*E215</f>
        <v>49595.099999999962</v>
      </c>
      <c r="BS725" s="2">
        <f>SUM(BS$2:BS215)+AM215*F215</f>
        <v>5068.8000000000029</v>
      </c>
      <c r="BT725" s="2">
        <f>SUM(BT$2:BT215)+AN215*G215</f>
        <v>3645</v>
      </c>
      <c r="BU725" s="2">
        <f>SUM(BU$2:BU215)+AO215*H215</f>
        <v>-5245.5</v>
      </c>
      <c r="BV725" s="2">
        <f>SUM(BV$2:BV215)+AP215*I215</f>
        <v>2941.6999999999825</v>
      </c>
      <c r="BW725" s="2">
        <f>SUM(BW$2:BW215)+AQ215*J215</f>
        <v>4110</v>
      </c>
      <c r="BX725" s="2">
        <f>SUM(BX$2:BX215)+AR215*K215</f>
        <v>13940</v>
      </c>
      <c r="BY725" s="2">
        <f>SUM(BY$2:BY215)+AS215*L215</f>
        <v>-10970</v>
      </c>
      <c r="BZ725" s="2">
        <f>SUM(BZ$2:BZ215)+AT215*M215</f>
        <v>740</v>
      </c>
      <c r="CA725" s="2">
        <f>SUM(CA$2:CA215)+AU215*N215</f>
        <v>25320</v>
      </c>
      <c r="CB725" s="2">
        <f>SUM(CB$2:CB215)+AV215*O215</f>
        <v>15030</v>
      </c>
      <c r="CC725" s="2">
        <f>SUM(CC$2:CC215)+AW215*P215</f>
        <v>-20</v>
      </c>
      <c r="CD725" s="2">
        <f>SUM(CD$2:CD215)+AX215*Q215</f>
        <v>14050</v>
      </c>
      <c r="CE725" s="2">
        <f>SUM(CE$2:CE215)+AY215*R215</f>
        <v>27020</v>
      </c>
      <c r="CF725" s="2">
        <f>SUM(CF$2:CF215)+AZ215*S215</f>
        <v>-2756.3700000000172</v>
      </c>
      <c r="CG725" s="2">
        <f>SUM(CG$2:CG215)+BA215*T215</f>
        <v>22644.719999999979</v>
      </c>
      <c r="CH725" s="2">
        <f>SUM(CH$2:CH215)+BB215*U215</f>
        <v>4806.0700000000215</v>
      </c>
      <c r="CI725" s="2">
        <f>SUM(CI$2:CI215)+BC215*V215</f>
        <v>-4850</v>
      </c>
      <c r="CJ725" s="2">
        <f>SUM(CJ$2:CJ215)+BD215*W215</f>
        <v>13640.000000000058</v>
      </c>
      <c r="CK725" s="2">
        <f>SUM(CK$2:CK215)+BE215*X215</f>
        <v>73580</v>
      </c>
      <c r="CL725" s="2">
        <f>SUM(CL$2:CL215)+BF215*Y215</f>
        <v>154080</v>
      </c>
      <c r="CM725" s="2">
        <f>SUM(CM$2:CM215)+BG215*Z215</f>
        <v>46302.5</v>
      </c>
      <c r="CN725" s="2">
        <f>SUM(CN$2:CN215)+BH215*AA215</f>
        <v>100772.49999999994</v>
      </c>
      <c r="CO725" s="2">
        <f>SUM(CO$2:CO215)+BI215*AB215</f>
        <v>-18379.999999999985</v>
      </c>
      <c r="CP725" s="2">
        <f>SUM(CP$2:CP215)+BJ215*AC215</f>
        <v>20230</v>
      </c>
      <c r="CQ725" s="2">
        <f>SUM(CQ$2:CQ215)+BK215*AD215</f>
        <v>20810.000000000007</v>
      </c>
      <c r="CR725" s="2">
        <f>SUM(CR$2:CR215)+BL215*AE215</f>
        <v>-4340</v>
      </c>
      <c r="CV725" t="s">
        <v>64</v>
      </c>
      <c r="CW725" t="s">
        <v>798</v>
      </c>
      <c r="CX725" t="s">
        <v>18</v>
      </c>
      <c r="CY725" s="4">
        <v>43328</v>
      </c>
      <c r="CZ725" t="s">
        <v>67</v>
      </c>
      <c r="DA725" t="s">
        <v>68</v>
      </c>
      <c r="DB725">
        <v>56</v>
      </c>
      <c r="DC725">
        <v>67.91</v>
      </c>
      <c r="DD725" t="s">
        <v>69</v>
      </c>
      <c r="DE725" t="s">
        <v>70</v>
      </c>
      <c r="DF725">
        <v>3802.96</v>
      </c>
    </row>
    <row r="726" spans="66:110" x14ac:dyDescent="0.25">
      <c r="BN726" s="1">
        <f t="shared" si="338"/>
        <v>43046</v>
      </c>
      <c r="BO726" s="2">
        <f>SUM(BO$2:BO216)+AI216*B216</f>
        <v>191687.49999999988</v>
      </c>
      <c r="BP726" s="2">
        <f>SUM(BP$2:BP216)+AJ216*C216</f>
        <v>22815.800000000003</v>
      </c>
      <c r="BQ726" s="2">
        <f>SUM(BQ$2:BQ216)+AK216*D216</f>
        <v>118236.69999999992</v>
      </c>
      <c r="BR726" s="2">
        <f>SUM(BR$2:BR216)+AL216*E216</f>
        <v>50825.599999999962</v>
      </c>
      <c r="BS726" s="2">
        <f>SUM(BS$2:BS216)+AM216*F216</f>
        <v>5057.3000000000029</v>
      </c>
      <c r="BT726" s="2">
        <f>SUM(BT$2:BT216)+AN216*G216</f>
        <v>3852</v>
      </c>
      <c r="BU726" s="2">
        <f>SUM(BU$2:BU216)+AO216*H216</f>
        <v>-4153</v>
      </c>
      <c r="BV726" s="2">
        <f>SUM(BV$2:BV216)+AP216*I216</f>
        <v>3837.7999999999884</v>
      </c>
      <c r="BW726" s="2">
        <f>SUM(BW$2:BW216)+AQ216*J216</f>
        <v>490</v>
      </c>
      <c r="BX726" s="2">
        <f>SUM(BX$2:BX216)+AR216*K216</f>
        <v>13940</v>
      </c>
      <c r="BY726" s="2">
        <f>SUM(BY$2:BY216)+AS216*L216</f>
        <v>-10490</v>
      </c>
      <c r="BZ726" s="2">
        <f>SUM(BZ$2:BZ216)+AT216*M216</f>
        <v>740</v>
      </c>
      <c r="CA726" s="2">
        <f>SUM(CA$2:CA216)+AU216*N216</f>
        <v>25330</v>
      </c>
      <c r="CB726" s="2">
        <f>SUM(CB$2:CB216)+AV216*O216</f>
        <v>13060</v>
      </c>
      <c r="CC726" s="2">
        <f>SUM(CC$2:CC216)+AW216*P216</f>
        <v>-20</v>
      </c>
      <c r="CD726" s="2">
        <f>SUM(CD$2:CD216)+AX216*Q216</f>
        <v>14050</v>
      </c>
      <c r="CE726" s="2">
        <f>SUM(CE$2:CE216)+AY216*R216</f>
        <v>27020</v>
      </c>
      <c r="CF726" s="2">
        <f>SUM(CF$2:CF216)+AZ216*S216</f>
        <v>-3046.7300000000178</v>
      </c>
      <c r="CG726" s="2">
        <f>SUM(CG$2:CG216)+BA216*T216</f>
        <v>22451.719999999972</v>
      </c>
      <c r="CH726" s="2">
        <f>SUM(CH$2:CH216)+BB216*U216</f>
        <v>3894.3900000000212</v>
      </c>
      <c r="CI726" s="2">
        <f>SUM(CI$2:CI216)+BC216*V216</f>
        <v>-4890</v>
      </c>
      <c r="CJ726" s="2">
        <f>SUM(CJ$2:CJ216)+BD216*W216</f>
        <v>9190.0000000000582</v>
      </c>
      <c r="CK726" s="2">
        <f>SUM(CK$2:CK216)+BE216*X216</f>
        <v>74980</v>
      </c>
      <c r="CL726" s="2">
        <f>SUM(CL$2:CL216)+BF216*Y216</f>
        <v>155790</v>
      </c>
      <c r="CM726" s="2">
        <f>SUM(CM$2:CM216)+BG216*Z216</f>
        <v>44552.5</v>
      </c>
      <c r="CN726" s="2">
        <f>SUM(CN$2:CN216)+BH216*AA216</f>
        <v>101622.49999999994</v>
      </c>
      <c r="CO726" s="2">
        <f>SUM(CO$2:CO216)+BI216*AB216</f>
        <v>-18260</v>
      </c>
      <c r="CP726" s="2">
        <f>SUM(CP$2:CP216)+BJ216*AC216</f>
        <v>17365</v>
      </c>
      <c r="CQ726" s="2">
        <f>SUM(CQ$2:CQ216)+BK216*AD216</f>
        <v>21050.000000000007</v>
      </c>
      <c r="CR726" s="2">
        <f>SUM(CR$2:CR216)+BL216*AE216</f>
        <v>-4500</v>
      </c>
      <c r="CV726" t="s">
        <v>64</v>
      </c>
      <c r="CW726" t="s">
        <v>799</v>
      </c>
      <c r="CX726" t="s">
        <v>18</v>
      </c>
      <c r="CY726" s="4">
        <v>43329</v>
      </c>
      <c r="CZ726" t="s">
        <v>65</v>
      </c>
      <c r="DA726" t="s">
        <v>66</v>
      </c>
      <c r="DB726">
        <v>35</v>
      </c>
      <c r="DC726">
        <v>68.11</v>
      </c>
      <c r="DD726" t="s">
        <v>69</v>
      </c>
      <c r="DE726" t="s">
        <v>70</v>
      </c>
      <c r="DF726">
        <v>2383.85</v>
      </c>
    </row>
    <row r="727" spans="66:110" x14ac:dyDescent="0.25">
      <c r="BN727" s="1">
        <f t="shared" si="338"/>
        <v>43047</v>
      </c>
      <c r="BO727" s="2">
        <f>SUM(BO$2:BO217)+AI217*B217</f>
        <v>198687.49999999988</v>
      </c>
      <c r="BP727" s="2">
        <f>SUM(BP$2:BP217)+AJ217*C217</f>
        <v>22539.800000000003</v>
      </c>
      <c r="BQ727" s="2">
        <f>SUM(BQ$2:BQ217)+AK217*D217</f>
        <v>117615.69999999992</v>
      </c>
      <c r="BR727" s="2">
        <f>SUM(BR$2:BR217)+AL217*E217</f>
        <v>49123.599999999962</v>
      </c>
      <c r="BS727" s="2">
        <f>SUM(BS$2:BS217)+AM217*F217</f>
        <v>5172.3000000000029</v>
      </c>
      <c r="BT727" s="2">
        <f>SUM(BT$2:BT217)+AN217*G217</f>
        <v>3242.5</v>
      </c>
      <c r="BU727" s="2">
        <f>SUM(BU$2:BU217)+AO217*H217</f>
        <v>-4636</v>
      </c>
      <c r="BV727" s="2">
        <f>SUM(BV$2:BV217)+AP217*I217</f>
        <v>3508.1999999999825</v>
      </c>
      <c r="BW727" s="2">
        <f>SUM(BW$2:BW217)+AQ217*J217</f>
        <v>1910</v>
      </c>
      <c r="BX727" s="2">
        <f>SUM(BX$2:BX217)+AR217*K217</f>
        <v>13940</v>
      </c>
      <c r="BY727" s="2">
        <f>SUM(BY$2:BY217)+AS217*L217</f>
        <v>-10290</v>
      </c>
      <c r="BZ727" s="2">
        <f>SUM(BZ$2:BZ217)+AT217*M217</f>
        <v>740</v>
      </c>
      <c r="CA727" s="2">
        <f>SUM(CA$2:CA217)+AU217*N217</f>
        <v>26830</v>
      </c>
      <c r="CB727" s="2">
        <f>SUM(CB$2:CB217)+AV217*O217</f>
        <v>11980</v>
      </c>
      <c r="CC727" s="2">
        <f>SUM(CC$2:CC217)+AW217*P217</f>
        <v>-20</v>
      </c>
      <c r="CD727" s="2">
        <f>SUM(CD$2:CD217)+AX217*Q217</f>
        <v>14050</v>
      </c>
      <c r="CE727" s="2">
        <f>SUM(CE$2:CE217)+AY217*R217</f>
        <v>27020</v>
      </c>
      <c r="CF727" s="2">
        <f>SUM(CF$2:CF217)+AZ217*S217</f>
        <v>-2123.3300000000163</v>
      </c>
      <c r="CG727" s="2">
        <f>SUM(CG$2:CG217)+BA217*T217</f>
        <v>22735.339999999982</v>
      </c>
      <c r="CH727" s="2">
        <f>SUM(CH$2:CH217)+BB217*U217</f>
        <v>4491.3900000000212</v>
      </c>
      <c r="CI727" s="2">
        <f>SUM(CI$2:CI217)+BC217*V217</f>
        <v>-4870</v>
      </c>
      <c r="CJ727" s="2">
        <f>SUM(CJ$2:CJ217)+BD217*W217</f>
        <v>6340</v>
      </c>
      <c r="CK727" s="2">
        <f>SUM(CK$2:CK217)+BE217*X217</f>
        <v>73980</v>
      </c>
      <c r="CL727" s="2">
        <f>SUM(CL$2:CL217)+BF217*Y217</f>
        <v>150120</v>
      </c>
      <c r="CM727" s="2">
        <f>SUM(CM$2:CM217)+BG217*Z217</f>
        <v>44552.5</v>
      </c>
      <c r="CN727" s="2">
        <f>SUM(CN$2:CN217)+BH217*AA217</f>
        <v>103472.49999999994</v>
      </c>
      <c r="CO727" s="2">
        <f>SUM(CO$2:CO217)+BI217*AB217</f>
        <v>-18589.999999999985</v>
      </c>
      <c r="CP727" s="2">
        <f>SUM(CP$2:CP217)+BJ217*AC217</f>
        <v>15955.000000000015</v>
      </c>
      <c r="CQ727" s="2">
        <f>SUM(CQ$2:CQ217)+BK217*AD217</f>
        <v>22330.000000000007</v>
      </c>
      <c r="CR727" s="2">
        <f>SUM(CR$2:CR217)+BL217*AE217</f>
        <v>-4610</v>
      </c>
      <c r="CV727" t="s">
        <v>64</v>
      </c>
      <c r="CW727" t="s">
        <v>800</v>
      </c>
      <c r="CX727" t="s">
        <v>18</v>
      </c>
      <c r="CY727" s="4">
        <v>43332</v>
      </c>
      <c r="CZ727" t="s">
        <v>67</v>
      </c>
      <c r="DA727" t="s">
        <v>68</v>
      </c>
      <c r="DB727">
        <v>72</v>
      </c>
      <c r="DC727">
        <v>69.209999999999994</v>
      </c>
      <c r="DD727" t="s">
        <v>69</v>
      </c>
      <c r="DE727" t="s">
        <v>70</v>
      </c>
      <c r="DF727">
        <v>4983.12</v>
      </c>
    </row>
    <row r="728" spans="66:110" x14ac:dyDescent="0.25">
      <c r="BN728" s="1">
        <f t="shared" si="338"/>
        <v>43048</v>
      </c>
      <c r="BO728" s="2">
        <f>SUM(BO$2:BO218)+AI218*B218</f>
        <v>196937.49999999977</v>
      </c>
      <c r="BP728" s="2">
        <f>SUM(BP$2:BP218)+AJ218*C218</f>
        <v>20975.800000000003</v>
      </c>
      <c r="BQ728" s="2">
        <f>SUM(BQ$2:BQ218)+AK218*D218</f>
        <v>115994.19999999992</v>
      </c>
      <c r="BR728" s="2">
        <f>SUM(BR$2:BR218)+AL218*E218</f>
        <v>46938.599999999962</v>
      </c>
      <c r="BS728" s="2">
        <f>SUM(BS$2:BS218)+AM218*F218</f>
        <v>4666.3000000000029</v>
      </c>
      <c r="BT728" s="2">
        <f>SUM(BT$2:BT218)+AN218*G218</f>
        <v>3852</v>
      </c>
      <c r="BU728" s="2">
        <f>SUM(BU$2:BU218)+AO218*H218</f>
        <v>-2957</v>
      </c>
      <c r="BV728" s="2">
        <f>SUM(BV$2:BV218)+AP218*I218</f>
        <v>2931.3999999999942</v>
      </c>
      <c r="BW728" s="2">
        <f>SUM(BW$2:BW218)+AQ218*J218</f>
        <v>1450</v>
      </c>
      <c r="BX728" s="2">
        <f>SUM(BX$2:BX218)+AR218*K218</f>
        <v>13940</v>
      </c>
      <c r="BY728" s="2">
        <f>SUM(BY$2:BY218)+AS218*L218</f>
        <v>-10070</v>
      </c>
      <c r="BZ728" s="2">
        <f>SUM(BZ$2:BZ218)+AT218*M218</f>
        <v>740</v>
      </c>
      <c r="CA728" s="2">
        <f>SUM(CA$2:CA218)+AU218*N218</f>
        <v>25890</v>
      </c>
      <c r="CB728" s="2">
        <f>SUM(CB$2:CB218)+AV218*O218</f>
        <v>11970</v>
      </c>
      <c r="CC728" s="2">
        <f>SUM(CC$2:CC218)+AW218*P218</f>
        <v>-20</v>
      </c>
      <c r="CD728" s="2">
        <f>SUM(CD$2:CD218)+AX218*Q218</f>
        <v>14050</v>
      </c>
      <c r="CE728" s="2">
        <f>SUM(CE$2:CE218)+AY218*R218</f>
        <v>27020</v>
      </c>
      <c r="CF728" s="2">
        <f>SUM(CF$2:CF218)+AZ218*S218</f>
        <v>-2473.3300000000236</v>
      </c>
      <c r="CG728" s="2">
        <f>SUM(CG$2:CG218)+BA218*T218</f>
        <v>22267.979999999981</v>
      </c>
      <c r="CH728" s="2">
        <f>SUM(CH$2:CH218)+BB218*U218</f>
        <v>4896.5400000000154</v>
      </c>
      <c r="CI728" s="2">
        <f>SUM(CI$2:CI218)+BC218*V218</f>
        <v>-5040</v>
      </c>
      <c r="CJ728" s="2">
        <f>SUM(CJ$2:CJ218)+BD218*W218</f>
        <v>5340.0000000000582</v>
      </c>
      <c r="CK728" s="2">
        <f>SUM(CK$2:CK218)+BE218*X218</f>
        <v>78880</v>
      </c>
      <c r="CL728" s="2">
        <f>SUM(CL$2:CL218)+BF218*Y218</f>
        <v>152430</v>
      </c>
      <c r="CM728" s="2">
        <f>SUM(CM$2:CM218)+BG218*Z218</f>
        <v>44552.5</v>
      </c>
      <c r="CN728" s="2">
        <f>SUM(CN$2:CN218)+BH218*AA218</f>
        <v>101872.49999999994</v>
      </c>
      <c r="CO728" s="2">
        <f>SUM(CO$2:CO218)+BI218*AB218</f>
        <v>-19700</v>
      </c>
      <c r="CP728" s="2">
        <f>SUM(CP$2:CP218)+BJ218*AC218</f>
        <v>15025</v>
      </c>
      <c r="CQ728" s="2">
        <f>SUM(CQ$2:CQ218)+BK218*AD218</f>
        <v>22360.000000000007</v>
      </c>
      <c r="CR728" s="2">
        <f>SUM(CR$2:CR218)+BL218*AE218</f>
        <v>-4140</v>
      </c>
      <c r="CV728" t="s">
        <v>64</v>
      </c>
      <c r="CW728" t="s">
        <v>801</v>
      </c>
      <c r="CX728" t="s">
        <v>18</v>
      </c>
      <c r="CY728" s="4">
        <v>43333</v>
      </c>
      <c r="CZ728" t="s">
        <v>65</v>
      </c>
      <c r="DA728" t="s">
        <v>66</v>
      </c>
      <c r="DB728">
        <v>62</v>
      </c>
      <c r="DC728">
        <v>68.22</v>
      </c>
      <c r="DD728" t="s">
        <v>69</v>
      </c>
      <c r="DE728" t="s">
        <v>70</v>
      </c>
      <c r="DF728">
        <v>4229.6400000000003</v>
      </c>
    </row>
    <row r="729" spans="66:110" x14ac:dyDescent="0.25">
      <c r="BN729" s="1">
        <f t="shared" si="338"/>
        <v>43049</v>
      </c>
      <c r="BO729" s="2">
        <f>SUM(BO$2:BO219)+AI219*B219</f>
        <v>194087.49999999988</v>
      </c>
      <c r="BP729" s="2">
        <f>SUM(BP$2:BP219)+AJ219*C219</f>
        <v>20711.300000000003</v>
      </c>
      <c r="BQ729" s="2">
        <f>SUM(BQ$2:BQ219)+AK219*D219</f>
        <v>113912.69999999992</v>
      </c>
      <c r="BR729" s="2">
        <f>SUM(BR$2:BR219)+AL219*E219</f>
        <v>48215.099999999933</v>
      </c>
      <c r="BS729" s="2">
        <f>SUM(BS$2:BS219)+AM219*F219</f>
        <v>4597.3000000000029</v>
      </c>
      <c r="BT729" s="2">
        <f>SUM(BT$2:BT219)+AN219*G219</f>
        <v>3794.5</v>
      </c>
      <c r="BU729" s="2">
        <f>SUM(BU$2:BU219)+AO219*H219</f>
        <v>-599.50000000001455</v>
      </c>
      <c r="BV729" s="2">
        <f>SUM(BV$2:BV219)+AP219*I219</f>
        <v>2663.5999999999913</v>
      </c>
      <c r="BW729" s="2">
        <f>SUM(BW$2:BW219)+AQ219*J219</f>
        <v>820</v>
      </c>
      <c r="BX729" s="2">
        <f>SUM(BX$2:BX219)+AR219*K219</f>
        <v>13940</v>
      </c>
      <c r="BY729" s="2">
        <f>SUM(BY$2:BY219)+AS219*L219</f>
        <v>-11150</v>
      </c>
      <c r="BZ729" s="2">
        <f>SUM(BZ$2:BZ219)+AT219*M219</f>
        <v>740</v>
      </c>
      <c r="CA729" s="2">
        <f>SUM(CA$2:CA219)+AU219*N219</f>
        <v>25130</v>
      </c>
      <c r="CB729" s="2">
        <f>SUM(CB$2:CB219)+AV219*O219</f>
        <v>11860</v>
      </c>
      <c r="CC729" s="2">
        <f>SUM(CC$2:CC219)+AW219*P219</f>
        <v>-20</v>
      </c>
      <c r="CD729" s="2">
        <f>SUM(CD$2:CD219)+AX219*Q219</f>
        <v>14050</v>
      </c>
      <c r="CE729" s="2">
        <f>SUM(CE$2:CE219)+AY219*R219</f>
        <v>27020</v>
      </c>
      <c r="CF729" s="2">
        <f>SUM(CF$2:CF219)+AZ219*S219</f>
        <v>-3174.7300000000178</v>
      </c>
      <c r="CG729" s="2">
        <f>SUM(CG$2:CG219)+BA219*T219</f>
        <v>22042.479999999981</v>
      </c>
      <c r="CH729" s="2">
        <f>SUM(CH$2:CH219)+BB219*U219</f>
        <v>4855.1800000000148</v>
      </c>
      <c r="CI729" s="2">
        <f>SUM(CI$2:CI219)+BC219*V219</f>
        <v>-5020</v>
      </c>
      <c r="CJ729" s="2">
        <f>SUM(CJ$2:CJ219)+BD219*W219</f>
        <v>3540.0000000000582</v>
      </c>
      <c r="CK729" s="2">
        <f>SUM(CK$2:CK219)+BE219*X219</f>
        <v>83780</v>
      </c>
      <c r="CL729" s="2">
        <f>SUM(CL$2:CL219)+BF219*Y219</f>
        <v>150990</v>
      </c>
      <c r="CM729" s="2">
        <f>SUM(CM$2:CM219)+BG219*Z219</f>
        <v>44552.5</v>
      </c>
      <c r="CN729" s="2">
        <f>SUM(CN$2:CN219)+BH219*AA219</f>
        <v>100572.49999999994</v>
      </c>
      <c r="CO729" s="2">
        <f>SUM(CO$2:CO219)+BI219*AB219</f>
        <v>-20240</v>
      </c>
      <c r="CP729" s="2">
        <f>SUM(CP$2:CP219)+BJ219*AC219</f>
        <v>12325</v>
      </c>
      <c r="CQ729" s="2">
        <f>SUM(CQ$2:CQ219)+BK219*AD219</f>
        <v>22970.000000000007</v>
      </c>
      <c r="CR729" s="2">
        <f>SUM(CR$2:CR219)+BL219*AE219</f>
        <v>-4380</v>
      </c>
      <c r="CV729" t="s">
        <v>64</v>
      </c>
      <c r="CW729" t="s">
        <v>802</v>
      </c>
      <c r="CX729" t="s">
        <v>18</v>
      </c>
      <c r="CY729" s="4">
        <v>43335</v>
      </c>
      <c r="CZ729" t="s">
        <v>65</v>
      </c>
      <c r="DA729" t="s">
        <v>66</v>
      </c>
      <c r="DB729">
        <v>31</v>
      </c>
      <c r="DC729">
        <v>68.03</v>
      </c>
      <c r="DD729" t="s">
        <v>69</v>
      </c>
      <c r="DE729" t="s">
        <v>70</v>
      </c>
      <c r="DF729">
        <v>2108.9299999999998</v>
      </c>
    </row>
    <row r="730" spans="66:110" x14ac:dyDescent="0.25">
      <c r="BN730" s="1">
        <f t="shared" si="338"/>
        <v>43052</v>
      </c>
      <c r="BO730" s="2">
        <f>SUM(BO$2:BO220)+AI220*B220</f>
        <v>190637.49999999988</v>
      </c>
      <c r="BP730" s="2">
        <f>SUM(BP$2:BP220)+AJ220*C220</f>
        <v>21148.300000000003</v>
      </c>
      <c r="BQ730" s="2">
        <f>SUM(BQ$2:BQ220)+AK220*D220</f>
        <v>115672.19999999992</v>
      </c>
      <c r="BR730" s="2">
        <f>SUM(BR$2:BR220)+AL220*E220</f>
        <v>48272.599999999962</v>
      </c>
      <c r="BS730" s="2">
        <f>SUM(BS$2:BS220)+AM220*F220</f>
        <v>4562.8000000000029</v>
      </c>
      <c r="BT730" s="2">
        <f>SUM(BT$2:BT220)+AN220*G220</f>
        <v>3852</v>
      </c>
      <c r="BU730" s="2">
        <f>SUM(BU$2:BU220)+AO220*H220</f>
        <v>-645.5</v>
      </c>
      <c r="BV730" s="2">
        <f>SUM(BV$2:BV220)+AP220*I220</f>
        <v>3158</v>
      </c>
      <c r="BW730" s="2">
        <f>SUM(BW$2:BW220)+AQ220*J220</f>
        <v>940</v>
      </c>
      <c r="BX730" s="2">
        <f>SUM(BX$2:BX220)+AR220*K220</f>
        <v>13940</v>
      </c>
      <c r="BY730" s="2">
        <f>SUM(BY$2:BY220)+AS220*L220</f>
        <v>-11870</v>
      </c>
      <c r="BZ730" s="2">
        <f>SUM(BZ$2:BZ220)+AT220*M220</f>
        <v>740</v>
      </c>
      <c r="CA730" s="2">
        <f>SUM(CA$2:CA220)+AU220*N220</f>
        <v>25320</v>
      </c>
      <c r="CB730" s="2">
        <f>SUM(CB$2:CB220)+AV220*O220</f>
        <v>12200</v>
      </c>
      <c r="CC730" s="2">
        <f>SUM(CC$2:CC220)+AW220*P220</f>
        <v>-20</v>
      </c>
      <c r="CD730" s="2">
        <f>SUM(CD$2:CD220)+AX220*Q220</f>
        <v>14050</v>
      </c>
      <c r="CE730" s="2">
        <f>SUM(CE$2:CE220)+AY220*R220</f>
        <v>27020</v>
      </c>
      <c r="CF730" s="2">
        <f>SUM(CF$2:CF220)+AZ220*S220</f>
        <v>-3528.4500000000189</v>
      </c>
      <c r="CG730" s="2">
        <f>SUM(CG$2:CG220)+BA220*T220</f>
        <v>22108.179999999978</v>
      </c>
      <c r="CH730" s="2">
        <f>SUM(CH$2:CH220)+BB220*U220</f>
        <v>4678.4200000000201</v>
      </c>
      <c r="CI730" s="2">
        <f>SUM(CI$2:CI220)+BC220*V220</f>
        <v>-5140</v>
      </c>
      <c r="CJ730" s="2">
        <f>SUM(CJ$2:CJ220)+BD220*W220</f>
        <v>-460</v>
      </c>
      <c r="CK730" s="2">
        <f>SUM(CK$2:CK220)+BE220*X220</f>
        <v>73030</v>
      </c>
      <c r="CL730" s="2">
        <f>SUM(CL$2:CL220)+BF220*Y220</f>
        <v>155670</v>
      </c>
      <c r="CM730" s="2">
        <f>SUM(CM$2:CM220)+BG220*Z220</f>
        <v>44552.5</v>
      </c>
      <c r="CN730" s="2">
        <f>SUM(CN$2:CN220)+BH220*AA220</f>
        <v>99372.499999999942</v>
      </c>
      <c r="CO730" s="2">
        <f>SUM(CO$2:CO220)+BI220*AB220</f>
        <v>-20600</v>
      </c>
      <c r="CP730" s="2">
        <f>SUM(CP$2:CP220)+BJ220*AC220</f>
        <v>13240</v>
      </c>
      <c r="CQ730" s="2">
        <f>SUM(CQ$2:CQ220)+BK220*AD220</f>
        <v>23030.000000000007</v>
      </c>
      <c r="CR730" s="2">
        <f>SUM(CR$2:CR220)+BL220*AE220</f>
        <v>-4430</v>
      </c>
      <c r="CV730" t="s">
        <v>64</v>
      </c>
      <c r="CW730" t="s">
        <v>803</v>
      </c>
      <c r="CX730" t="s">
        <v>18</v>
      </c>
      <c r="CY730" s="4">
        <v>43336</v>
      </c>
      <c r="CZ730" t="s">
        <v>67</v>
      </c>
      <c r="DA730" t="s">
        <v>68</v>
      </c>
      <c r="DB730">
        <v>2</v>
      </c>
      <c r="DC730">
        <v>68.09</v>
      </c>
      <c r="DD730" t="s">
        <v>69</v>
      </c>
      <c r="DE730" t="s">
        <v>70</v>
      </c>
      <c r="DF730">
        <v>136.18</v>
      </c>
    </row>
    <row r="731" spans="66:110" x14ac:dyDescent="0.25">
      <c r="BN731" s="1">
        <f t="shared" si="338"/>
        <v>43053</v>
      </c>
      <c r="BO731" s="2">
        <f>SUM(BO$2:BO221)+AI221*B221</f>
        <v>177737.5</v>
      </c>
      <c r="BP731" s="2">
        <f>SUM(BP$2:BP221)+AJ221*C221</f>
        <v>20987.300000000003</v>
      </c>
      <c r="BQ731" s="2">
        <f>SUM(BQ$2:BQ221)+AK221*D221</f>
        <v>114936.19999999992</v>
      </c>
      <c r="BR731" s="2">
        <f>SUM(BR$2:BR221)+AL221*E221</f>
        <v>49399.599999999962</v>
      </c>
      <c r="BS731" s="2">
        <f>SUM(BS$2:BS221)+AM221*F221</f>
        <v>4654.8000000000029</v>
      </c>
      <c r="BT731" s="2">
        <f>SUM(BT$2:BT221)+AN221*G221</f>
        <v>3507</v>
      </c>
      <c r="BU731" s="2">
        <f>SUM(BU$2:BU221)+AO221*H221</f>
        <v>-2405</v>
      </c>
      <c r="BV731" s="2">
        <f>SUM(BV$2:BV221)+AP221*I221</f>
        <v>1633.5999999999913</v>
      </c>
      <c r="BW731" s="2">
        <f>SUM(BW$2:BW221)+AQ221*J221</f>
        <v>-2040</v>
      </c>
      <c r="BX731" s="2">
        <f>SUM(BX$2:BX221)+AR221*K221</f>
        <v>13940</v>
      </c>
      <c r="BY731" s="2">
        <f>SUM(BY$2:BY221)+AS221*L221</f>
        <v>-11400</v>
      </c>
      <c r="BZ731" s="2">
        <f>SUM(BZ$2:BZ221)+AT221*M221</f>
        <v>740</v>
      </c>
      <c r="CA731" s="2">
        <f>SUM(CA$2:CA221)+AU221*N221</f>
        <v>25060</v>
      </c>
      <c r="CB731" s="2">
        <f>SUM(CB$2:CB221)+AV221*O221</f>
        <v>11630</v>
      </c>
      <c r="CC731" s="2">
        <f>SUM(CC$2:CC221)+AW221*P221</f>
        <v>-20</v>
      </c>
      <c r="CD731" s="2">
        <f>SUM(CD$2:CD221)+AX221*Q221</f>
        <v>14050</v>
      </c>
      <c r="CE731" s="2">
        <f>SUM(CE$2:CE221)+AY221*R221</f>
        <v>27020</v>
      </c>
      <c r="CF731" s="2">
        <f>SUM(CF$2:CF221)+AZ221*S221</f>
        <v>-3642.1900000000169</v>
      </c>
      <c r="CG731" s="2">
        <f>SUM(CG$2:CG221)+BA221*T221</f>
        <v>22223.499999999971</v>
      </c>
      <c r="CH731" s="2">
        <f>SUM(CH$2:CH221)+BB221*U221</f>
        <v>4744.3600000000151</v>
      </c>
      <c r="CI731" s="2">
        <f>SUM(CI$2:CI221)+BC221*V221</f>
        <v>-5210</v>
      </c>
      <c r="CJ731" s="2">
        <f>SUM(CJ$2:CJ221)+BD221*W221</f>
        <v>140.00000000005821</v>
      </c>
      <c r="CK731" s="2">
        <f>SUM(CK$2:CK221)+BE221*X221</f>
        <v>75630</v>
      </c>
      <c r="CL731" s="2">
        <f>SUM(CL$2:CL221)+BF221*Y221</f>
        <v>152880</v>
      </c>
      <c r="CM731" s="2">
        <f>SUM(CM$2:CM221)+BG221*Z221</f>
        <v>48752.5</v>
      </c>
      <c r="CN731" s="2">
        <f>SUM(CN$2:CN221)+BH221*AA221</f>
        <v>99372.5</v>
      </c>
      <c r="CO731" s="2">
        <f>SUM(CO$2:CO221)+BI221*AB221</f>
        <v>-22100</v>
      </c>
      <c r="CP731" s="2">
        <f>SUM(CP$2:CP221)+BJ221*AC221</f>
        <v>12910</v>
      </c>
      <c r="CQ731" s="2">
        <f>SUM(CQ$2:CQ221)+BK221*AD221</f>
        <v>23130.000000000007</v>
      </c>
      <c r="CR731" s="2">
        <f>SUM(CR$2:CR221)+BL221*AE221</f>
        <v>-5050</v>
      </c>
      <c r="CV731" t="s">
        <v>64</v>
      </c>
      <c r="CW731" t="s">
        <v>804</v>
      </c>
      <c r="CX731" t="s">
        <v>18</v>
      </c>
      <c r="CY731" s="4">
        <v>43339</v>
      </c>
      <c r="CZ731" t="s">
        <v>67</v>
      </c>
      <c r="DA731" t="s">
        <v>68</v>
      </c>
      <c r="DB731">
        <v>47</v>
      </c>
      <c r="DC731">
        <v>68.05</v>
      </c>
      <c r="DD731" t="s">
        <v>69</v>
      </c>
      <c r="DE731" t="s">
        <v>70</v>
      </c>
      <c r="DF731">
        <v>3198.35</v>
      </c>
    </row>
    <row r="732" spans="66:110" x14ac:dyDescent="0.25">
      <c r="BN732" s="1">
        <f t="shared" si="338"/>
        <v>43054</v>
      </c>
      <c r="BO732" s="2">
        <f>SUM(BO$2:BO222)+AI222*B222</f>
        <v>166687.49999999988</v>
      </c>
      <c r="BP732" s="2">
        <f>SUM(BP$2:BP222)+AJ222*C222</f>
        <v>20423.800000000003</v>
      </c>
      <c r="BQ732" s="2">
        <f>SUM(BQ$2:BQ222)+AK222*D222</f>
        <v>116166.69999999992</v>
      </c>
      <c r="BR732" s="2">
        <f>SUM(BR$2:BR222)+AL222*E222</f>
        <v>45558.599999999962</v>
      </c>
      <c r="BS732" s="2">
        <f>SUM(BS$2:BS222)+AM222*F222</f>
        <v>4735.3000000000029</v>
      </c>
      <c r="BT732" s="2">
        <f>SUM(BT$2:BT222)+AN222*G222</f>
        <v>3001</v>
      </c>
      <c r="BU732" s="2">
        <f>SUM(BU$2:BU222)+AO222*H222</f>
        <v>-1818.5</v>
      </c>
      <c r="BV732" s="2">
        <f>SUM(BV$2:BV222)+AP222*I222</f>
        <v>2045.5999999999913</v>
      </c>
      <c r="BW732" s="2">
        <f>SUM(BW$2:BW222)+AQ222*J222</f>
        <v>-1670</v>
      </c>
      <c r="BX732" s="2">
        <f>SUM(BX$2:BX222)+AR222*K222</f>
        <v>13940</v>
      </c>
      <c r="BY732" s="2">
        <f>SUM(BY$2:BY222)+AS222*L222</f>
        <v>-13100</v>
      </c>
      <c r="BZ732" s="2">
        <f>SUM(BZ$2:BZ222)+AT222*M222</f>
        <v>740</v>
      </c>
      <c r="CA732" s="2">
        <f>SUM(CA$2:CA222)+AU222*N222</f>
        <v>24680</v>
      </c>
      <c r="CB732" s="2">
        <f>SUM(CB$2:CB222)+AV222*O222</f>
        <v>12520</v>
      </c>
      <c r="CC732" s="2">
        <f>SUM(CC$2:CC222)+AW222*P222</f>
        <v>-20</v>
      </c>
      <c r="CD732" s="2">
        <f>SUM(CD$2:CD222)+AX222*Q222</f>
        <v>14050</v>
      </c>
      <c r="CE732" s="2">
        <f>SUM(CE$2:CE222)+AY222*R222</f>
        <v>27020</v>
      </c>
      <c r="CF732" s="2">
        <f>SUM(CF$2:CF222)+AZ222*S222</f>
        <v>-3830.2900000000154</v>
      </c>
      <c r="CG732" s="2">
        <f>SUM(CG$2:CG222)+BA222*T222</f>
        <v>21573.899999999972</v>
      </c>
      <c r="CH732" s="2">
        <f>SUM(CH$2:CH222)+BB222*U222</f>
        <v>5338.2800000000134</v>
      </c>
      <c r="CI732" s="2">
        <f>SUM(CI$2:CI222)+BC222*V222</f>
        <v>-5190</v>
      </c>
      <c r="CJ732" s="2">
        <f>SUM(CJ$2:CJ222)+BD222*W222</f>
        <v>3190.0000000000582</v>
      </c>
      <c r="CK732" s="2">
        <f>SUM(CK$2:CK222)+BE222*X222</f>
        <v>74930</v>
      </c>
      <c r="CL732" s="2">
        <f>SUM(CL$2:CL222)+BF222*Y222</f>
        <v>147420</v>
      </c>
      <c r="CM732" s="2">
        <f>SUM(CM$2:CM222)+BG222*Z222</f>
        <v>45777.5</v>
      </c>
      <c r="CN732" s="2">
        <f>SUM(CN$2:CN222)+BH222*AA222</f>
        <v>107922.5</v>
      </c>
      <c r="CO732" s="2">
        <f>SUM(CO$2:CO222)+BI222*AB222</f>
        <v>-22400</v>
      </c>
      <c r="CP732" s="2">
        <f>SUM(CP$2:CP222)+BJ222*AC222</f>
        <v>13480</v>
      </c>
      <c r="CQ732" s="2">
        <f>SUM(CQ$2:CQ222)+BK222*AD222</f>
        <v>21910.000000000007</v>
      </c>
      <c r="CR732" s="2">
        <f>SUM(CR$2:CR222)+BL222*AE222</f>
        <v>-6030</v>
      </c>
      <c r="CV732" t="s">
        <v>64</v>
      </c>
      <c r="CW732" t="s">
        <v>805</v>
      </c>
      <c r="CX732" t="s">
        <v>18</v>
      </c>
      <c r="CY732" s="4">
        <v>43340</v>
      </c>
      <c r="CZ732" t="s">
        <v>67</v>
      </c>
      <c r="DA732" t="s">
        <v>68</v>
      </c>
      <c r="DB732">
        <v>42</v>
      </c>
      <c r="DC732">
        <v>67.69</v>
      </c>
      <c r="DD732" t="s">
        <v>69</v>
      </c>
      <c r="DE732" t="s">
        <v>70</v>
      </c>
      <c r="DF732">
        <v>2842.98</v>
      </c>
    </row>
    <row r="733" spans="66:110" x14ac:dyDescent="0.25">
      <c r="BN733" s="1">
        <f t="shared" si="338"/>
        <v>43055</v>
      </c>
      <c r="BO733" s="2">
        <f>SUM(BO$2:BO223)+AI223*B223</f>
        <v>176587.49999999988</v>
      </c>
      <c r="BP733" s="2">
        <f>SUM(BP$2:BP223)+AJ223*C223</f>
        <v>20757.300000000003</v>
      </c>
      <c r="BQ733" s="2">
        <f>SUM(BQ$2:BQ223)+AK223*D223</f>
        <v>117109.69999999992</v>
      </c>
      <c r="BR733" s="2">
        <f>SUM(BR$2:BR223)+AL223*E223</f>
        <v>48077.099999999962</v>
      </c>
      <c r="BS733" s="2">
        <f>SUM(BS$2:BS223)+AM223*F223</f>
        <v>6690.3000000000029</v>
      </c>
      <c r="BT733" s="2">
        <f>SUM(BT$2:BT223)+AN223*G223</f>
        <v>2127</v>
      </c>
      <c r="BU733" s="2">
        <f>SUM(BU$2:BU223)+AO223*H223</f>
        <v>-1922</v>
      </c>
      <c r="BV733" s="2">
        <f>SUM(BV$2:BV223)+AP223*I223</f>
        <v>3765.6999999999825</v>
      </c>
      <c r="BW733" s="2">
        <f>SUM(BW$2:BW223)+AQ223*J223</f>
        <v>60</v>
      </c>
      <c r="BX733" s="2">
        <f>SUM(BX$2:BX223)+AR223*K223</f>
        <v>13940</v>
      </c>
      <c r="BY733" s="2">
        <f>SUM(BY$2:BY223)+AS223*L223</f>
        <v>-11190</v>
      </c>
      <c r="BZ733" s="2">
        <f>SUM(BZ$2:BZ223)+AT223*M223</f>
        <v>740</v>
      </c>
      <c r="CA733" s="2">
        <f>SUM(CA$2:CA223)+AU223*N223</f>
        <v>24460</v>
      </c>
      <c r="CB733" s="2">
        <f>SUM(CB$2:CB223)+AV223*O223</f>
        <v>12790</v>
      </c>
      <c r="CC733" s="2">
        <f>SUM(CC$2:CC223)+AW223*P223</f>
        <v>-20</v>
      </c>
      <c r="CD733" s="2">
        <f>SUM(CD$2:CD223)+AX223*Q223</f>
        <v>14050</v>
      </c>
      <c r="CE733" s="2">
        <f>SUM(CE$2:CE223)+AY223*R223</f>
        <v>27020</v>
      </c>
      <c r="CF733" s="2">
        <f>SUM(CF$2:CF223)+AZ223*S223</f>
        <v>-3488.2900000000154</v>
      </c>
      <c r="CG733" s="2">
        <f>SUM(CG$2:CG223)+BA223*T223</f>
        <v>21792.509999999966</v>
      </c>
      <c r="CH733" s="2">
        <f>SUM(CH$2:CH223)+BB223*U223</f>
        <v>5977.8400000000038</v>
      </c>
      <c r="CI733" s="2">
        <f>SUM(CI$2:CI223)+BC223*V223</f>
        <v>-5390</v>
      </c>
      <c r="CJ733" s="2">
        <f>SUM(CJ$2:CJ223)+BD223*W223</f>
        <v>-1659.9999999999418</v>
      </c>
      <c r="CK733" s="2">
        <f>SUM(CK$2:CK223)+BE223*X223</f>
        <v>60830</v>
      </c>
      <c r="CL733" s="2">
        <f>SUM(CL$2:CL223)+BF223*Y223</f>
        <v>151170</v>
      </c>
      <c r="CM733" s="2">
        <f>SUM(CM$2:CM223)+BG223*Z223</f>
        <v>48252.5</v>
      </c>
      <c r="CN733" s="2">
        <f>SUM(CN$2:CN223)+BH223*AA223</f>
        <v>103172.5</v>
      </c>
      <c r="CO733" s="2">
        <f>SUM(CO$2:CO223)+BI223*AB223</f>
        <v>-20540.000000000015</v>
      </c>
      <c r="CP733" s="2">
        <f>SUM(CP$2:CP223)+BJ223*AC223</f>
        <v>11875.000000000015</v>
      </c>
      <c r="CQ733" s="2">
        <f>SUM(CQ$2:CQ223)+BK223*AD223</f>
        <v>31420.000000000007</v>
      </c>
      <c r="CR733" s="2">
        <f>SUM(CR$2:CR223)+BL223*AE223</f>
        <v>-6650</v>
      </c>
      <c r="CV733" t="s">
        <v>64</v>
      </c>
      <c r="CW733" t="s">
        <v>806</v>
      </c>
      <c r="CX733" t="s">
        <v>18</v>
      </c>
      <c r="CY733" s="4">
        <v>43341</v>
      </c>
      <c r="CZ733" t="s">
        <v>65</v>
      </c>
      <c r="DA733" t="s">
        <v>66</v>
      </c>
      <c r="DB733">
        <v>73</v>
      </c>
      <c r="DC733">
        <v>67.87</v>
      </c>
      <c r="DD733" t="s">
        <v>69</v>
      </c>
      <c r="DE733" t="s">
        <v>70</v>
      </c>
      <c r="DF733">
        <v>4954.51</v>
      </c>
    </row>
    <row r="734" spans="66:110" x14ac:dyDescent="0.25">
      <c r="BN734" s="1">
        <f t="shared" si="338"/>
        <v>43056</v>
      </c>
      <c r="BO734" s="2">
        <f>SUM(BO$2:BO224)+AI224*B224</f>
        <v>171937.49999999977</v>
      </c>
      <c r="BP734" s="2">
        <f>SUM(BP$2:BP224)+AJ224*C224</f>
        <v>20906.800000000003</v>
      </c>
      <c r="BQ734" s="2">
        <f>SUM(BQ$2:BQ224)+AK224*D224</f>
        <v>115499.69999999992</v>
      </c>
      <c r="BR734" s="2">
        <f>SUM(BR$2:BR224)+AL224*E224</f>
        <v>47824.099999999962</v>
      </c>
      <c r="BS734" s="2">
        <f>SUM(BS$2:BS224)+AM224*F224</f>
        <v>6713.3000000000029</v>
      </c>
      <c r="BT734" s="2">
        <f>SUM(BT$2:BT224)+AN224*G224</f>
        <v>2276.5</v>
      </c>
      <c r="BU734" s="2">
        <f>SUM(BU$2:BU224)+AO224*H224</f>
        <v>-2106</v>
      </c>
      <c r="BV734" s="2">
        <f>SUM(BV$2:BV224)+AP224*I224</f>
        <v>3817.1999999999971</v>
      </c>
      <c r="BW734" s="2">
        <f>SUM(BW$2:BW224)+AQ224*J224</f>
        <v>-1270</v>
      </c>
      <c r="BX734" s="2">
        <f>SUM(BX$2:BX224)+AR224*K224</f>
        <v>13940</v>
      </c>
      <c r="BY734" s="2">
        <f>SUM(BY$2:BY224)+AS224*L224</f>
        <v>-11330</v>
      </c>
      <c r="BZ734" s="2">
        <f>SUM(BZ$2:BZ224)+AT224*M224</f>
        <v>740</v>
      </c>
      <c r="CA734" s="2">
        <f>SUM(CA$2:CA224)+AU224*N224</f>
        <v>23620</v>
      </c>
      <c r="CB734" s="2">
        <f>SUM(CB$2:CB224)+AV224*O224</f>
        <v>12470</v>
      </c>
      <c r="CC734" s="2">
        <f>SUM(CC$2:CC224)+AW224*P224</f>
        <v>-20</v>
      </c>
      <c r="CD734" s="2">
        <f>SUM(CD$2:CD224)+AX224*Q224</f>
        <v>14050</v>
      </c>
      <c r="CE734" s="2">
        <f>SUM(CE$2:CE224)+AY224*R224</f>
        <v>27020</v>
      </c>
      <c r="CF734" s="2">
        <f>SUM(CF$2:CF224)+AZ224*S224</f>
        <v>-3459.160000000018</v>
      </c>
      <c r="CG734" s="2">
        <f>SUM(CG$2:CG224)+BA224*T224</f>
        <v>20940.749999999971</v>
      </c>
      <c r="CH734" s="2">
        <f>SUM(CH$2:CH224)+BB224*U224</f>
        <v>7737.4200000000055</v>
      </c>
      <c r="CI734" s="2">
        <f>SUM(CI$2:CI224)+BC224*V224</f>
        <v>-5200</v>
      </c>
      <c r="CJ734" s="2">
        <f>SUM(CJ$2:CJ224)+BD224*W224</f>
        <v>2240.0000000000582</v>
      </c>
      <c r="CK734" s="2">
        <f>SUM(CK$2:CK224)+BE224*X224</f>
        <v>56480</v>
      </c>
      <c r="CL734" s="2">
        <f>SUM(CL$2:CL224)+BF224*Y224</f>
        <v>147540</v>
      </c>
      <c r="CM734" s="2">
        <f>SUM(CM$2:CM224)+BG224*Z224</f>
        <v>41652.5</v>
      </c>
      <c r="CN734" s="2">
        <f>SUM(CN$2:CN224)+BH224*AA224</f>
        <v>109122.5</v>
      </c>
      <c r="CO734" s="2">
        <f>SUM(CO$2:CO224)+BI224*AB224</f>
        <v>-18710.000000000015</v>
      </c>
      <c r="CP734" s="2">
        <f>SUM(CP$2:CP224)+BJ224*AC224</f>
        <v>11950</v>
      </c>
      <c r="CQ734" s="2">
        <f>SUM(CQ$2:CQ224)+BK224*AD224</f>
        <v>29330.000000000007</v>
      </c>
      <c r="CR734" s="2">
        <f>SUM(CR$2:CR224)+BL224*AE224</f>
        <v>-6950</v>
      </c>
      <c r="CV734" t="s">
        <v>64</v>
      </c>
      <c r="CW734" t="s">
        <v>807</v>
      </c>
      <c r="CX734" t="s">
        <v>18</v>
      </c>
      <c r="CY734" s="4">
        <v>43342</v>
      </c>
      <c r="CZ734" t="s">
        <v>67</v>
      </c>
      <c r="DA734" t="s">
        <v>68</v>
      </c>
      <c r="DB734">
        <v>69</v>
      </c>
      <c r="DC734">
        <v>67.599999999999994</v>
      </c>
      <c r="DD734" t="s">
        <v>69</v>
      </c>
      <c r="DE734" t="s">
        <v>70</v>
      </c>
      <c r="DF734">
        <v>4664.3999999999996</v>
      </c>
    </row>
    <row r="735" spans="66:110" x14ac:dyDescent="0.25">
      <c r="BN735" s="1">
        <f t="shared" si="338"/>
        <v>43059</v>
      </c>
      <c r="BO735" s="2">
        <f>SUM(BO$2:BO225)+AI225*B225</f>
        <v>171087.49999999988</v>
      </c>
      <c r="BP735" s="2">
        <f>SUM(BP$2:BP225)+AJ225*C225</f>
        <v>21205.800000000003</v>
      </c>
      <c r="BQ735" s="2">
        <f>SUM(BQ$2:BQ225)+AK225*D225</f>
        <v>118156.19999999992</v>
      </c>
      <c r="BR735" s="2">
        <f>SUM(BR$2:BR225)+AL225*E225</f>
        <v>48698.099999999962</v>
      </c>
      <c r="BS735" s="2">
        <f>SUM(BS$2:BS225)+AM225*F225</f>
        <v>7380.3000000000029</v>
      </c>
      <c r="BT735" s="2">
        <f>SUM(BT$2:BT225)+AN225*G225</f>
        <v>2288</v>
      </c>
      <c r="BU735" s="2">
        <f>SUM(BU$2:BU225)+AO225*H225</f>
        <v>-2876.5</v>
      </c>
      <c r="BV735" s="2">
        <f>SUM(BV$2:BV225)+AP225*I225</f>
        <v>3930.5</v>
      </c>
      <c r="BW735" s="2">
        <f>SUM(BW$2:BW225)+AQ225*J225</f>
        <v>-1160</v>
      </c>
      <c r="BX735" s="2">
        <f>SUM(BX$2:BX225)+AR225*K225</f>
        <v>13940</v>
      </c>
      <c r="BY735" s="2">
        <f>SUM(BY$2:BY225)+AS225*L225</f>
        <v>-9870</v>
      </c>
      <c r="BZ735" s="2">
        <f>SUM(BZ$2:BZ225)+AT225*M225</f>
        <v>740</v>
      </c>
      <c r="CA735" s="2">
        <f>SUM(CA$2:CA225)+AU225*N225</f>
        <v>23550</v>
      </c>
      <c r="CB735" s="2">
        <f>SUM(CB$2:CB225)+AV225*O225</f>
        <v>13310</v>
      </c>
      <c r="CC735" s="2">
        <f>SUM(CC$2:CC225)+AW225*P225</f>
        <v>-20</v>
      </c>
      <c r="CD735" s="2">
        <f>SUM(CD$2:CD225)+AX225*Q225</f>
        <v>14050</v>
      </c>
      <c r="CE735" s="2">
        <f>SUM(CE$2:CE225)+AY225*R225</f>
        <v>27020</v>
      </c>
      <c r="CF735" s="2">
        <f>SUM(CF$2:CF225)+AZ225*S225</f>
        <v>-4570.0400000000154</v>
      </c>
      <c r="CG735" s="2">
        <f>SUM(CG$2:CG225)+BA225*T225</f>
        <v>21066.199999999961</v>
      </c>
      <c r="CH735" s="2">
        <f>SUM(CH$2:CH225)+BB225*U225</f>
        <v>7790.6200000000026</v>
      </c>
      <c r="CI735" s="2">
        <f>SUM(CI$2:CI225)+BC225*V225</f>
        <v>-5190</v>
      </c>
      <c r="CJ735" s="2">
        <f>SUM(CJ$2:CJ225)+BD225*W225</f>
        <v>2990.0000000000582</v>
      </c>
      <c r="CK735" s="2">
        <f>SUM(CK$2:CK225)+BE225*X225</f>
        <v>55780</v>
      </c>
      <c r="CL735" s="2">
        <f>SUM(CL$2:CL225)+BF225*Y225</f>
        <v>148560</v>
      </c>
      <c r="CM735" s="2">
        <f>SUM(CM$2:CM225)+BG225*Z225</f>
        <v>40902.5</v>
      </c>
      <c r="CN735" s="2">
        <f>SUM(CN$2:CN225)+BH225*AA225</f>
        <v>109122.5</v>
      </c>
      <c r="CO735" s="2">
        <f>SUM(CO$2:CO225)+BI225*AB225</f>
        <v>-16490</v>
      </c>
      <c r="CP735" s="2">
        <f>SUM(CP$2:CP225)+BJ225*AC225</f>
        <v>12640</v>
      </c>
      <c r="CQ735" s="2">
        <f>SUM(CQ$2:CQ225)+BK225*AD225</f>
        <v>29340.000000000007</v>
      </c>
      <c r="CR735" s="2">
        <f>SUM(CR$2:CR225)+BL225*AE225</f>
        <v>-6650</v>
      </c>
      <c r="CV735" t="s">
        <v>64</v>
      </c>
      <c r="CW735" t="s">
        <v>808</v>
      </c>
      <c r="CX735" t="s">
        <v>18</v>
      </c>
      <c r="CY735" s="4">
        <v>43343</v>
      </c>
      <c r="CZ735" t="s">
        <v>65</v>
      </c>
      <c r="DA735" t="s">
        <v>66</v>
      </c>
      <c r="DB735">
        <v>85</v>
      </c>
      <c r="DC735">
        <v>67.650000000000006</v>
      </c>
      <c r="DD735" t="s">
        <v>69</v>
      </c>
      <c r="DE735" t="s">
        <v>70</v>
      </c>
      <c r="DF735">
        <v>5750.2500000000009</v>
      </c>
    </row>
    <row r="736" spans="66:110" x14ac:dyDescent="0.25">
      <c r="BN736" s="1">
        <f t="shared" si="338"/>
        <v>43060</v>
      </c>
      <c r="BO736" s="2">
        <f>SUM(BO$2:BO226)+AI226*B226</f>
        <v>186587.49999999988</v>
      </c>
      <c r="BP736" s="2">
        <f>SUM(BP$2:BP226)+AJ226*C226</f>
        <v>21723.300000000003</v>
      </c>
      <c r="BQ736" s="2">
        <f>SUM(BQ$2:BQ226)+AK226*D226</f>
        <v>120801.19999999995</v>
      </c>
      <c r="BR736" s="2">
        <f>SUM(BR$2:BR226)+AL226*E226</f>
        <v>49468.599999999948</v>
      </c>
      <c r="BS736" s="2">
        <f>SUM(BS$2:BS226)+AM226*F226</f>
        <v>7552.8000000000029</v>
      </c>
      <c r="BT736" s="2">
        <f>SUM(BT$2:BT226)+AN226*G226</f>
        <v>2782.5000000000146</v>
      </c>
      <c r="BU736" s="2">
        <f>SUM(BU$2:BU226)+AO226*H226</f>
        <v>-2600.5</v>
      </c>
      <c r="BV736" s="2">
        <f>SUM(BV$2:BV226)+AP226*I226</f>
        <v>4342.4999999999854</v>
      </c>
      <c r="BW736" s="2">
        <f>SUM(BW$2:BW226)+AQ226*J226</f>
        <v>-1270</v>
      </c>
      <c r="BX736" s="2">
        <f>SUM(BX$2:BX226)+AR226*K226</f>
        <v>13940</v>
      </c>
      <c r="BY736" s="2">
        <f>SUM(BY$2:BY226)+AS226*L226</f>
        <v>-8510</v>
      </c>
      <c r="BZ736" s="2">
        <f>SUM(BZ$2:BZ226)+AT226*M226</f>
        <v>740</v>
      </c>
      <c r="CA736" s="2">
        <f>SUM(CA$2:CA226)+AU226*N226</f>
        <v>23950</v>
      </c>
      <c r="CB736" s="2">
        <f>SUM(CB$2:CB226)+AV226*O226</f>
        <v>13240</v>
      </c>
      <c r="CC736" s="2">
        <f>SUM(CC$2:CC226)+AW226*P226</f>
        <v>-20</v>
      </c>
      <c r="CD736" s="2">
        <f>SUM(CD$2:CD226)+AX226*Q226</f>
        <v>14050</v>
      </c>
      <c r="CE736" s="2">
        <f>SUM(CE$2:CE226)+AY226*R226</f>
        <v>27020</v>
      </c>
      <c r="CF736" s="2">
        <f>SUM(CF$2:CF226)+AZ226*S226</f>
        <v>-4409.2400000000125</v>
      </c>
      <c r="CG736" s="2">
        <f>SUM(CG$2:CG226)+BA226*T226</f>
        <v>22168.339999999975</v>
      </c>
      <c r="CH736" s="2">
        <f>SUM(CH$2:CH226)+BB226*U226</f>
        <v>7924.320000000007</v>
      </c>
      <c r="CI736" s="2">
        <f>SUM(CI$2:CI226)+BC226*V226</f>
        <v>-5370</v>
      </c>
      <c r="CJ736" s="2">
        <f>SUM(CJ$2:CJ226)+BD226*W226</f>
        <v>840.00000000005821</v>
      </c>
      <c r="CK736" s="2">
        <f>SUM(CK$2:CK226)+BE226*X226</f>
        <v>59930</v>
      </c>
      <c r="CL736" s="2">
        <f>SUM(CL$2:CL226)+BF226*Y226</f>
        <v>155520</v>
      </c>
      <c r="CM736" s="2">
        <f>SUM(CM$2:CM226)+BG226*Z226</f>
        <v>44102.5</v>
      </c>
      <c r="CN736" s="2">
        <f>SUM(CN$2:CN226)+BH226*AA226</f>
        <v>109122.5</v>
      </c>
      <c r="CO736" s="2">
        <f>SUM(CO$2:CO226)+BI226*AB226</f>
        <v>-16549.999999999985</v>
      </c>
      <c r="CP736" s="2">
        <f>SUM(CP$2:CP226)+BJ226*AC226</f>
        <v>12085.000000000015</v>
      </c>
      <c r="CQ736" s="2">
        <f>SUM(CQ$2:CQ226)+BK226*AD226</f>
        <v>28410.000000000007</v>
      </c>
      <c r="CR736" s="2">
        <f>SUM(CR$2:CR226)+BL226*AE226</f>
        <v>-6350</v>
      </c>
      <c r="CV736" t="s">
        <v>64</v>
      </c>
      <c r="CW736" t="s">
        <v>809</v>
      </c>
      <c r="CX736" t="s">
        <v>18</v>
      </c>
      <c r="CY736" s="4">
        <v>43347</v>
      </c>
      <c r="CZ736" t="s">
        <v>67</v>
      </c>
      <c r="DA736" t="s">
        <v>68</v>
      </c>
      <c r="DB736">
        <v>92</v>
      </c>
      <c r="DC736">
        <v>67.02</v>
      </c>
      <c r="DD736" t="s">
        <v>69</v>
      </c>
      <c r="DE736" t="s">
        <v>70</v>
      </c>
      <c r="DF736">
        <v>6165.8399999999992</v>
      </c>
    </row>
    <row r="737" spans="66:110" x14ac:dyDescent="0.25">
      <c r="BN737" s="1">
        <f t="shared" si="338"/>
        <v>43061</v>
      </c>
      <c r="BO737" s="2">
        <f>SUM(BO$2:BO227)+AI227*B227</f>
        <v>195537.49999999977</v>
      </c>
      <c r="BP737" s="2">
        <f>SUM(BP$2:BP227)+AJ227*C227</f>
        <v>21050.5</v>
      </c>
      <c r="BQ737" s="2">
        <f>SUM(BQ$2:BQ227)+AK227*D227</f>
        <v>118724.79999999993</v>
      </c>
      <c r="BR737" s="2">
        <f>SUM(BR$2:BR227)+AL227*E227</f>
        <v>49932.599999999948</v>
      </c>
      <c r="BS737" s="2">
        <f>SUM(BS$2:BS227)+AM227*F227</f>
        <v>7320.8000000000029</v>
      </c>
      <c r="BT737" s="2">
        <f>SUM(BT$2:BT227)+AN227*G227</f>
        <v>3594.5</v>
      </c>
      <c r="BU737" s="2">
        <f>SUM(BU$2:BU227)+AO227*H227</f>
        <v>-2890.5</v>
      </c>
      <c r="BV737" s="2">
        <f>SUM(BV$2:BV227)+AP227*I227</f>
        <v>3676.8999999999796</v>
      </c>
      <c r="BW737" s="2">
        <f>SUM(BW$2:BW227)+AQ227*J227</f>
        <v>-2830</v>
      </c>
      <c r="BX737" s="2">
        <f>SUM(BX$2:BX227)+AR227*K227</f>
        <v>13940</v>
      </c>
      <c r="BY737" s="2">
        <f>SUM(BY$2:BY227)+AS227*L227</f>
        <v>-8680</v>
      </c>
      <c r="BZ737" s="2">
        <f>SUM(BZ$2:BZ227)+AT227*M227</f>
        <v>740</v>
      </c>
      <c r="CA737" s="2">
        <f>SUM(CA$2:CA227)+AU227*N227</f>
        <v>22930</v>
      </c>
      <c r="CB737" s="2">
        <f>SUM(CB$2:CB227)+AV227*O227</f>
        <v>12950</v>
      </c>
      <c r="CC737" s="2">
        <f>SUM(CC$2:CC227)+AW227*P227</f>
        <v>-20</v>
      </c>
      <c r="CD737" s="2">
        <f>SUM(CD$2:CD227)+AX227*Q227</f>
        <v>14050</v>
      </c>
      <c r="CE737" s="2">
        <f>SUM(CE$2:CE227)+AY227*R227</f>
        <v>27020</v>
      </c>
      <c r="CF737" s="2">
        <f>SUM(CF$2:CF227)+AZ227*S227</f>
        <v>-4308.5400000000081</v>
      </c>
      <c r="CG737" s="2">
        <f>SUM(CG$2:CG227)+BA227*T227</f>
        <v>21564.739999999976</v>
      </c>
      <c r="CH737" s="2">
        <f>SUM(CH$2:CH227)+BB227*U227</f>
        <v>7617.1100000000006</v>
      </c>
      <c r="CI737" s="2">
        <f>SUM(CI$2:CI227)+BC227*V227</f>
        <v>-5260</v>
      </c>
      <c r="CJ737" s="2">
        <f>SUM(CJ$2:CJ227)+BD227*W227</f>
        <v>2740.0000000000582</v>
      </c>
      <c r="CK737" s="2">
        <f>SUM(CK$2:CK227)+BE227*X227</f>
        <v>56930</v>
      </c>
      <c r="CL737" s="2">
        <f>SUM(CL$2:CL227)+BF227*Y227</f>
        <v>151440</v>
      </c>
      <c r="CM737" s="2">
        <f>SUM(CM$2:CM227)+BG227*Z227</f>
        <v>42602.5</v>
      </c>
      <c r="CN737" s="2">
        <f>SUM(CN$2:CN227)+BH227*AA227</f>
        <v>109122.5</v>
      </c>
      <c r="CO737" s="2">
        <f>SUM(CO$2:CO227)+BI227*AB227</f>
        <v>-13940</v>
      </c>
      <c r="CP737" s="2">
        <f>SUM(CP$2:CP227)+BJ227*AC227</f>
        <v>11830.000000000015</v>
      </c>
      <c r="CQ737" s="2">
        <f>SUM(CQ$2:CQ227)+BK227*AD227</f>
        <v>28300.000000000007</v>
      </c>
      <c r="CR737" s="2">
        <f>SUM(CR$2:CR227)+BL227*AE227</f>
        <v>-6130</v>
      </c>
      <c r="CV737" t="s">
        <v>64</v>
      </c>
      <c r="CW737" t="s">
        <v>810</v>
      </c>
      <c r="CX737" t="s">
        <v>18</v>
      </c>
      <c r="CY737" s="4">
        <v>43348</v>
      </c>
      <c r="CZ737" t="s">
        <v>65</v>
      </c>
      <c r="DA737" t="s">
        <v>66</v>
      </c>
      <c r="DB737">
        <v>74</v>
      </c>
      <c r="DC737">
        <v>67.680000000000007</v>
      </c>
      <c r="DD737" t="s">
        <v>69</v>
      </c>
      <c r="DE737" t="s">
        <v>70</v>
      </c>
      <c r="DF737">
        <v>5008.3200000000006</v>
      </c>
    </row>
    <row r="738" spans="66:110" x14ac:dyDescent="0.25">
      <c r="BN738" s="1">
        <f t="shared" si="338"/>
        <v>43063</v>
      </c>
      <c r="BO738" s="2">
        <f>SUM(BO$2:BO228)+AI228*B228</f>
        <v>195587.49999999988</v>
      </c>
      <c r="BP738" s="2">
        <f>SUM(BP$2:BP228)+AJ228*C228</f>
        <v>20656.100000000006</v>
      </c>
      <c r="BQ738" s="2">
        <f>SUM(BQ$2:BQ228)+AK228*D228</f>
        <v>119548.39999999991</v>
      </c>
      <c r="BR738" s="2">
        <f>SUM(BR$2:BR228)+AL228*E228</f>
        <v>49236.599999999948</v>
      </c>
      <c r="BS738" s="2">
        <f>SUM(BS$2:BS228)+AM228*F228</f>
        <v>7367.2000000000044</v>
      </c>
      <c r="BT738" s="2">
        <f>SUM(BT$2:BT228)+AN228*G228</f>
        <v>4267.3000000000029</v>
      </c>
      <c r="BU738" s="2">
        <f>SUM(BU$2:BU228)+AO228*H228</f>
        <v>-3006.5</v>
      </c>
      <c r="BV738" s="2">
        <f>SUM(BV$2:BV228)+AP228*I228</f>
        <v>4238.4999999999854</v>
      </c>
      <c r="BW738" s="2">
        <f>SUM(BW$2:BW228)+AQ228*J228</f>
        <v>-3310</v>
      </c>
      <c r="BX738" s="2">
        <f>SUM(BX$2:BX228)+AR228*K228</f>
        <v>13940</v>
      </c>
      <c r="BY738" s="2">
        <f>SUM(BY$2:BY228)+AS228*L228</f>
        <v>-8610</v>
      </c>
      <c r="BZ738" s="2">
        <f>SUM(BZ$2:BZ228)+AT228*M228</f>
        <v>740</v>
      </c>
      <c r="CA738" s="2">
        <f>SUM(CA$2:CA228)+AU228*N228</f>
        <v>23630</v>
      </c>
      <c r="CB738" s="2">
        <f>SUM(CB$2:CB228)+AV228*O228</f>
        <v>12640</v>
      </c>
      <c r="CC738" s="2">
        <f>SUM(CC$2:CC228)+AW228*P228</f>
        <v>-20</v>
      </c>
      <c r="CD738" s="2">
        <f>SUM(CD$2:CD228)+AX228*Q228</f>
        <v>14050</v>
      </c>
      <c r="CE738" s="2">
        <f>SUM(CE$2:CE228)+AY228*R228</f>
        <v>27020</v>
      </c>
      <c r="CF738" s="2">
        <f>SUM(CF$2:CF228)+AZ228*S228</f>
        <v>-4328.3800000000119</v>
      </c>
      <c r="CG738" s="2">
        <f>SUM(CG$2:CG228)+BA228*T228</f>
        <v>21691.439999999981</v>
      </c>
      <c r="CH738" s="2">
        <f>SUM(CH$2:CH228)+BB228*U228</f>
        <v>7865.989999999998</v>
      </c>
      <c r="CI738" s="2">
        <f>SUM(CI$2:CI228)+BC228*V228</f>
        <v>-5320</v>
      </c>
      <c r="CJ738" s="2">
        <f>SUM(CJ$2:CJ228)+BD228*W228</f>
        <v>2140.0000000000582</v>
      </c>
      <c r="CK738" s="2">
        <f>SUM(CK$2:CK228)+BE228*X228</f>
        <v>56030</v>
      </c>
      <c r="CL738" s="2">
        <f>SUM(CL$2:CL228)+BF228*Y228</f>
        <v>155250</v>
      </c>
      <c r="CM738" s="2">
        <f>SUM(CM$2:CM228)+BG228*Z228</f>
        <v>43502.5</v>
      </c>
      <c r="CN738" s="2">
        <f>SUM(CN$2:CN228)+BH228*AA228</f>
        <v>109122.5</v>
      </c>
      <c r="CO738" s="2">
        <f>SUM(CO$2:CO228)+BI228*AB228</f>
        <v>-14180</v>
      </c>
      <c r="CP738" s="2">
        <f>SUM(CP$2:CP228)+BJ228*AC228</f>
        <v>13360</v>
      </c>
      <c r="CQ738" s="2">
        <f>SUM(CQ$2:CQ228)+BK228*AD228</f>
        <v>28510.000000000007</v>
      </c>
      <c r="CR738" s="2">
        <f>SUM(CR$2:CR228)+BL228*AE228</f>
        <v>-5830</v>
      </c>
      <c r="CV738" t="s">
        <v>64</v>
      </c>
      <c r="CW738" t="s">
        <v>811</v>
      </c>
      <c r="CX738" t="s">
        <v>18</v>
      </c>
      <c r="CY738" s="4">
        <v>43349</v>
      </c>
      <c r="CZ738" t="s">
        <v>65</v>
      </c>
      <c r="DA738" t="s">
        <v>66</v>
      </c>
      <c r="DB738">
        <v>15</v>
      </c>
      <c r="DC738">
        <v>68.430000000000007</v>
      </c>
      <c r="DD738" t="s">
        <v>69</v>
      </c>
      <c r="DE738" t="s">
        <v>70</v>
      </c>
      <c r="DF738">
        <v>1026.45</v>
      </c>
    </row>
    <row r="739" spans="66:110" x14ac:dyDescent="0.25">
      <c r="BN739" s="1">
        <f t="shared" si="338"/>
        <v>43066</v>
      </c>
      <c r="BO739" s="2">
        <f>SUM(BO$2:BO229)+AI229*B229</f>
        <v>191237.49999999988</v>
      </c>
      <c r="BP739" s="2">
        <f>SUM(BP$2:BP229)+AJ229*C229</f>
        <v>20644.5</v>
      </c>
      <c r="BQ739" s="2">
        <f>SUM(BQ$2:BQ229)+AK229*D229</f>
        <v>119211.99999999994</v>
      </c>
      <c r="BR739" s="2">
        <f>SUM(BR$2:BR229)+AL229*E229</f>
        <v>49004.599999999977</v>
      </c>
      <c r="BS739" s="2">
        <f>SUM(BS$2:BS229)+AM229*F229</f>
        <v>7796.4000000000015</v>
      </c>
      <c r="BT739" s="2">
        <f>SUM(BT$2:BT229)+AN229*G229</f>
        <v>3246.5</v>
      </c>
      <c r="BU739" s="2">
        <f>SUM(BU$2:BU229)+AO229*H229</f>
        <v>-2832.5000000000146</v>
      </c>
      <c r="BV739" s="2">
        <f>SUM(BV$2:BV229)+AP229*I229</f>
        <v>3198.4999999999854</v>
      </c>
      <c r="BW739" s="2">
        <f>SUM(BW$2:BW229)+AQ229*J229</f>
        <v>-4130</v>
      </c>
      <c r="BX739" s="2">
        <f>SUM(BX$2:BX229)+AR229*K229</f>
        <v>13940</v>
      </c>
      <c r="BY739" s="2">
        <f>SUM(BY$2:BY229)+AS229*L229</f>
        <v>-8480</v>
      </c>
      <c r="BZ739" s="2">
        <f>SUM(BZ$2:BZ229)+AT229*M229</f>
        <v>740</v>
      </c>
      <c r="CA739" s="2">
        <f>SUM(CA$2:CA229)+AU229*N229</f>
        <v>24530</v>
      </c>
      <c r="CB739" s="2">
        <f>SUM(CB$2:CB229)+AV229*O229</f>
        <v>12270</v>
      </c>
      <c r="CC739" s="2">
        <f>SUM(CC$2:CC229)+AW229*P229</f>
        <v>-20</v>
      </c>
      <c r="CD739" s="2">
        <f>SUM(CD$2:CD229)+AX229*Q229</f>
        <v>14050</v>
      </c>
      <c r="CE739" s="2">
        <f>SUM(CE$2:CE229)+AY229*R229</f>
        <v>27020</v>
      </c>
      <c r="CF739" s="2">
        <f>SUM(CF$2:CF229)+AZ229*S229</f>
        <v>-4140.4700000000084</v>
      </c>
      <c r="CG739" s="2">
        <f>SUM(CG$2:CG229)+BA229*T229</f>
        <v>22245.239999999969</v>
      </c>
      <c r="CH739" s="2">
        <f>SUM(CH$2:CH229)+BB229*U229</f>
        <v>8194.5900000000038</v>
      </c>
      <c r="CI739" s="2">
        <f>SUM(CI$2:CI229)+BC229*V229</f>
        <v>-5320</v>
      </c>
      <c r="CJ739" s="2">
        <f>SUM(CJ$2:CJ229)+BD229*W229</f>
        <v>-309.99999999994179</v>
      </c>
      <c r="CK739" s="2">
        <f>SUM(CK$2:CK229)+BE229*X229</f>
        <v>59230</v>
      </c>
      <c r="CL739" s="2">
        <f>SUM(CL$2:CL229)+BF229*Y229</f>
        <v>154920</v>
      </c>
      <c r="CM739" s="2">
        <f>SUM(CM$2:CM229)+BG229*Z229</f>
        <v>44502.5</v>
      </c>
      <c r="CN739" s="2">
        <f>SUM(CN$2:CN229)+BH229*AA229</f>
        <v>108122.5</v>
      </c>
      <c r="CO739" s="2">
        <f>SUM(CO$2:CO229)+BI229*AB229</f>
        <v>-12350</v>
      </c>
      <c r="CP739" s="2">
        <f>SUM(CP$2:CP229)+BJ229*AC229</f>
        <v>14665.000000000015</v>
      </c>
      <c r="CQ739" s="2">
        <f>SUM(CQ$2:CQ229)+BK229*AD229</f>
        <v>28510.000000000007</v>
      </c>
      <c r="CR739" s="2">
        <f>SUM(CR$2:CR229)+BL229*AE229</f>
        <v>-6120</v>
      </c>
      <c r="CV739" t="s">
        <v>64</v>
      </c>
      <c r="CW739" t="s">
        <v>812</v>
      </c>
      <c r="CX739" t="s">
        <v>18</v>
      </c>
      <c r="CY739" s="4">
        <v>43350</v>
      </c>
      <c r="CZ739" t="s">
        <v>67</v>
      </c>
      <c r="DA739" t="s">
        <v>68</v>
      </c>
      <c r="DB739">
        <v>28</v>
      </c>
      <c r="DC739">
        <v>68.72</v>
      </c>
      <c r="DD739" t="s">
        <v>69</v>
      </c>
      <c r="DE739" t="s">
        <v>70</v>
      </c>
      <c r="DF739">
        <v>1924.1599999999999</v>
      </c>
    </row>
    <row r="740" spans="66:110" x14ac:dyDescent="0.25">
      <c r="BN740" s="1">
        <f t="shared" si="338"/>
        <v>43067</v>
      </c>
      <c r="BO740" s="2">
        <f>SUM(BO$2:BO230)+AI230*B230</f>
        <v>186237.49999999988</v>
      </c>
      <c r="BP740" s="2">
        <f>SUM(BP$2:BP230)+AJ230*C230</f>
        <v>22720.900000000009</v>
      </c>
      <c r="BQ740" s="2">
        <f>SUM(BQ$2:BQ230)+AK230*D230</f>
        <v>121937.99999999988</v>
      </c>
      <c r="BR740" s="2">
        <f>SUM(BR$2:BR230)+AL230*E230</f>
        <v>51034.599999999977</v>
      </c>
      <c r="BS740" s="2">
        <f>SUM(BS$2:BS230)+AM230*F230</f>
        <v>8759.2000000000044</v>
      </c>
      <c r="BT740" s="2">
        <f>SUM(BT$2:BT230)+AN230*G230</f>
        <v>4197.7000000000116</v>
      </c>
      <c r="BU740" s="2">
        <f>SUM(BU$2:BU230)+AO230*H230</f>
        <v>-2136.5</v>
      </c>
      <c r="BV740" s="2">
        <f>SUM(BV$2:BV230)+AP230*I230</f>
        <v>4176.0999999999913</v>
      </c>
      <c r="BW740" s="2">
        <f>SUM(BW$2:BW230)+AQ230*J230</f>
        <v>100</v>
      </c>
      <c r="BX740" s="2">
        <f>SUM(BX$2:BX230)+AR230*K230</f>
        <v>13940</v>
      </c>
      <c r="BY740" s="2">
        <f>SUM(BY$2:BY230)+AS230*L230</f>
        <v>-8020</v>
      </c>
      <c r="BZ740" s="2">
        <f>SUM(BZ$2:BZ230)+AT230*M230</f>
        <v>740</v>
      </c>
      <c r="CA740" s="2">
        <f>SUM(CA$2:CA230)+AU230*N230</f>
        <v>26400</v>
      </c>
      <c r="CB740" s="2">
        <f>SUM(CB$2:CB230)+AV230*O230</f>
        <v>15590</v>
      </c>
      <c r="CC740" s="2">
        <f>SUM(CC$2:CC230)+AW230*P230</f>
        <v>-20</v>
      </c>
      <c r="CD740" s="2">
        <f>SUM(CD$2:CD230)+AX230*Q230</f>
        <v>14050</v>
      </c>
      <c r="CE740" s="2">
        <f>SUM(CE$2:CE230)+AY230*R230</f>
        <v>27020</v>
      </c>
      <c r="CF740" s="2">
        <f>SUM(CF$2:CF230)+AZ230*S230</f>
        <v>-3786.3800000000047</v>
      </c>
      <c r="CG740" s="2">
        <f>SUM(CG$2:CG230)+BA230*T230</f>
        <v>23294.239999999976</v>
      </c>
      <c r="CH740" s="2">
        <f>SUM(CH$2:CH230)+BB230*U230</f>
        <v>8146.5899999999965</v>
      </c>
      <c r="CI740" s="2">
        <f>SUM(CI$2:CI230)+BC230*V230</f>
        <v>-5660</v>
      </c>
      <c r="CJ740" s="2">
        <f>SUM(CJ$2:CJ230)+BD230*W230</f>
        <v>-2410</v>
      </c>
      <c r="CK740" s="2">
        <f>SUM(CK$2:CK230)+BE230*X230</f>
        <v>71530</v>
      </c>
      <c r="CL740" s="2">
        <f>SUM(CL$2:CL230)+BF230*Y230</f>
        <v>165960</v>
      </c>
      <c r="CM740" s="2">
        <f>SUM(CM$2:CM230)+BG230*Z230</f>
        <v>47352.5</v>
      </c>
      <c r="CN740" s="2">
        <f>SUM(CN$2:CN230)+BH230*AA230</f>
        <v>105697.5</v>
      </c>
      <c r="CO740" s="2">
        <f>SUM(CO$2:CO230)+BI230*AB230</f>
        <v>-9050</v>
      </c>
      <c r="CP740" s="2">
        <f>SUM(CP$2:CP230)+BJ230*AC230</f>
        <v>10510</v>
      </c>
      <c r="CQ740" s="2">
        <f>SUM(CQ$2:CQ230)+BK230*AD230</f>
        <v>28650.000000000007</v>
      </c>
      <c r="CR740" s="2">
        <f>SUM(CR$2:CR230)+BL230*AE230</f>
        <v>-5590</v>
      </c>
      <c r="CV740" t="s">
        <v>64</v>
      </c>
      <c r="CW740" t="s">
        <v>813</v>
      </c>
      <c r="CX740" t="s">
        <v>18</v>
      </c>
      <c r="CY740" s="4">
        <v>43353</v>
      </c>
      <c r="CZ740" t="s">
        <v>65</v>
      </c>
      <c r="DA740" t="s">
        <v>66</v>
      </c>
      <c r="DB740">
        <v>7</v>
      </c>
      <c r="DC740">
        <v>68.61</v>
      </c>
      <c r="DD740" t="s">
        <v>69</v>
      </c>
      <c r="DE740" t="s">
        <v>70</v>
      </c>
      <c r="DF740">
        <v>480.27</v>
      </c>
    </row>
    <row r="741" spans="66:110" x14ac:dyDescent="0.25">
      <c r="BN741" s="1">
        <f t="shared" si="338"/>
        <v>43068</v>
      </c>
      <c r="BO741" s="2">
        <f>SUM(BO$2:BO231)+AI231*B231</f>
        <v>168637.49999999988</v>
      </c>
      <c r="BP741" s="2">
        <f>SUM(BP$2:BP231)+AJ231*C231</f>
        <v>24228.899999999994</v>
      </c>
      <c r="BQ741" s="2">
        <f>SUM(BQ$2:BQ231)+AK231*D231</f>
        <v>123422.79999999993</v>
      </c>
      <c r="BR741" s="2">
        <f>SUM(BR$2:BR231)+AL231*E231</f>
        <v>49990.599999999977</v>
      </c>
      <c r="BS741" s="2">
        <f>SUM(BS$2:BS231)+AM231*F231</f>
        <v>8480.8000000000029</v>
      </c>
      <c r="BT741" s="2">
        <f>SUM(BT$2:BT231)+AN231*G231</f>
        <v>4998.1000000000058</v>
      </c>
      <c r="BU741" s="2">
        <f>SUM(BU$2:BU231)+AO231*H231</f>
        <v>-60.100000000005821</v>
      </c>
      <c r="BV741" s="2">
        <f>SUM(BV$2:BV231)+AP231*I231</f>
        <v>4872.8999999999942</v>
      </c>
      <c r="BW741" s="2">
        <f>SUM(BW$2:BW231)+AQ231*J231</f>
        <v>2760</v>
      </c>
      <c r="BX741" s="2">
        <f>SUM(BX$2:BX231)+AR231*K231</f>
        <v>13940</v>
      </c>
      <c r="BY741" s="2">
        <f>SUM(BY$2:BY231)+AS231*L231</f>
        <v>-7000</v>
      </c>
      <c r="BZ741" s="2">
        <f>SUM(BZ$2:BZ231)+AT231*M231</f>
        <v>740</v>
      </c>
      <c r="CA741" s="2">
        <f>SUM(CA$2:CA231)+AU231*N231</f>
        <v>26200</v>
      </c>
      <c r="CB741" s="2">
        <f>SUM(CB$2:CB231)+AV231*O231</f>
        <v>17890</v>
      </c>
      <c r="CC741" s="2">
        <f>SUM(CC$2:CC231)+AW231*P231</f>
        <v>-20</v>
      </c>
      <c r="CD741" s="2">
        <f>SUM(CD$2:CD231)+AX231*Q231</f>
        <v>14050</v>
      </c>
      <c r="CE741" s="2">
        <f>SUM(CE$2:CE231)+AY231*R231</f>
        <v>27020</v>
      </c>
      <c r="CF741" s="2">
        <f>SUM(CF$2:CF231)+AZ231*S231</f>
        <v>-3370.6400000000067</v>
      </c>
      <c r="CG741" s="2">
        <f>SUM(CG$2:CG231)+BA231*T231</f>
        <v>21792.479999999974</v>
      </c>
      <c r="CH741" s="2">
        <f>SUM(CH$2:CH231)+BB231*U231</f>
        <v>8942.7700000000041</v>
      </c>
      <c r="CI741" s="2">
        <f>SUM(CI$2:CI231)+BC231*V231</f>
        <v>-6010</v>
      </c>
      <c r="CJ741" s="2">
        <f>SUM(CJ$2:CJ231)+BD231*W231</f>
        <v>-2309.9999999999418</v>
      </c>
      <c r="CK741" s="2">
        <f>SUM(CK$2:CK231)+BE231*X231</f>
        <v>78880</v>
      </c>
      <c r="CL741" s="2">
        <f>SUM(CL$2:CL231)+BF231*Y231</f>
        <v>185820</v>
      </c>
      <c r="CM741" s="2">
        <f>SUM(CM$2:CM231)+BG231*Z231</f>
        <v>49552.5</v>
      </c>
      <c r="CN741" s="2">
        <f>SUM(CN$2:CN231)+BH231*AA231</f>
        <v>97022.5</v>
      </c>
      <c r="CO741" s="2">
        <f>SUM(CO$2:CO231)+BI231*AB231</f>
        <v>-5990</v>
      </c>
      <c r="CP741" s="2">
        <f>SUM(CP$2:CP231)+BJ231*AC231</f>
        <v>10975</v>
      </c>
      <c r="CQ741" s="2">
        <f>SUM(CQ$2:CQ231)+BK231*AD231</f>
        <v>29420.000000000007</v>
      </c>
      <c r="CR741" s="2">
        <f>SUM(CR$2:CR231)+BL231*AE231</f>
        <v>-5020</v>
      </c>
      <c r="CV741" t="s">
        <v>64</v>
      </c>
      <c r="CW741" t="s">
        <v>814</v>
      </c>
      <c r="CX741" t="s">
        <v>18</v>
      </c>
      <c r="CY741" s="4">
        <v>43354</v>
      </c>
      <c r="CZ741" t="s">
        <v>67</v>
      </c>
      <c r="DA741" t="s">
        <v>68</v>
      </c>
      <c r="DB741">
        <v>25</v>
      </c>
      <c r="DC741">
        <v>68.13</v>
      </c>
      <c r="DD741" t="s">
        <v>69</v>
      </c>
      <c r="DE741" t="s">
        <v>70</v>
      </c>
      <c r="DF741">
        <v>1703.25</v>
      </c>
    </row>
    <row r="742" spans="66:110" x14ac:dyDescent="0.25">
      <c r="BN742" s="1">
        <f t="shared" si="338"/>
        <v>43069</v>
      </c>
      <c r="BO742" s="2">
        <f>SUM(BO$2:BO232)+AI232*B232</f>
        <v>180287.49999999988</v>
      </c>
      <c r="BP742" s="2">
        <f>SUM(BP$2:BP232)+AJ232*C232</f>
        <v>25493.300000000003</v>
      </c>
      <c r="BQ742" s="2">
        <f>SUM(BQ$2:BQ232)+AK232*D232</f>
        <v>131902.39999999997</v>
      </c>
      <c r="BR742" s="2">
        <f>SUM(BR$2:BR232)+AL232*E232</f>
        <v>53470.599999999977</v>
      </c>
      <c r="BS742" s="2">
        <f>SUM(BS$2:BS232)+AM232*F232</f>
        <v>8272.0000000000073</v>
      </c>
      <c r="BT742" s="2">
        <f>SUM(BT$2:BT232)+AN232*G232</f>
        <v>7004.9000000000233</v>
      </c>
      <c r="BU742" s="2">
        <f>SUM(BU$2:BU232)+AO232*H232</f>
        <v>-535.69999999999709</v>
      </c>
      <c r="BV742" s="2">
        <f>SUM(BV$2:BV232)+AP232*I232</f>
        <v>5060.0999999999767</v>
      </c>
      <c r="BW742" s="2">
        <f>SUM(BW$2:BW232)+AQ232*J232</f>
        <v>8960</v>
      </c>
      <c r="BX742" s="2">
        <f>SUM(BX$2:BX232)+AR232*K232</f>
        <v>13940</v>
      </c>
      <c r="BY742" s="2">
        <f>SUM(BY$2:BY232)+AS232*L232</f>
        <v>-6600</v>
      </c>
      <c r="BZ742" s="2">
        <f>SUM(BZ$2:BZ232)+AT232*M232</f>
        <v>740</v>
      </c>
      <c r="CA742" s="2">
        <f>SUM(CA$2:CA232)+AU232*N232</f>
        <v>25730</v>
      </c>
      <c r="CB742" s="2">
        <f>SUM(CB$2:CB232)+AV232*O232</f>
        <v>18660</v>
      </c>
      <c r="CC742" s="2">
        <f>SUM(CC$2:CC232)+AW232*P232</f>
        <v>-20</v>
      </c>
      <c r="CD742" s="2">
        <f>SUM(CD$2:CD232)+AX232*Q232</f>
        <v>14050</v>
      </c>
      <c r="CE742" s="2">
        <f>SUM(CE$2:CE232)+AY232*R232</f>
        <v>27020</v>
      </c>
      <c r="CF742" s="2">
        <f>SUM(CF$2:CF232)+AZ232*S232</f>
        <v>-3462.260000000002</v>
      </c>
      <c r="CG742" s="2">
        <f>SUM(CG$2:CG232)+BA232*T232</f>
        <v>22558.359999999979</v>
      </c>
      <c r="CH742" s="2">
        <f>SUM(CH$2:CH232)+BB232*U232</f>
        <v>9005.89</v>
      </c>
      <c r="CI742" s="2">
        <f>SUM(CI$2:CI232)+BC232*V232</f>
        <v>-6060</v>
      </c>
      <c r="CJ742" s="2">
        <f>SUM(CJ$2:CJ232)+BD232*W232</f>
        <v>-5209.9999999999418</v>
      </c>
      <c r="CK742" s="2">
        <f>SUM(CK$2:CK232)+BE232*X232</f>
        <v>83930</v>
      </c>
      <c r="CL742" s="2">
        <f>SUM(CL$2:CL232)+BF232*Y232</f>
        <v>203700</v>
      </c>
      <c r="CM742" s="2">
        <f>SUM(CM$2:CM232)+BG232*Z232</f>
        <v>65552.5</v>
      </c>
      <c r="CN742" s="2">
        <f>SUM(CN$2:CN232)+BH232*AA232</f>
        <v>110572.5</v>
      </c>
      <c r="CO742" s="2">
        <f>SUM(CO$2:CO232)+BI232*AB232</f>
        <v>-3200</v>
      </c>
      <c r="CP742" s="2">
        <f>SUM(CP$2:CP232)+BJ232*AC232</f>
        <v>9760</v>
      </c>
      <c r="CQ742" s="2">
        <f>SUM(CQ$2:CQ232)+BK232*AD232</f>
        <v>29100.000000000007</v>
      </c>
      <c r="CR742" s="2">
        <f>SUM(CR$2:CR232)+BL232*AE232</f>
        <v>-4050</v>
      </c>
      <c r="CV742" t="s">
        <v>64</v>
      </c>
      <c r="CW742" t="s">
        <v>815</v>
      </c>
      <c r="CX742" t="s">
        <v>18</v>
      </c>
      <c r="CY742" s="4">
        <v>43355</v>
      </c>
      <c r="CZ742" t="s">
        <v>67</v>
      </c>
      <c r="DA742" t="s">
        <v>68</v>
      </c>
      <c r="DB742">
        <v>30</v>
      </c>
      <c r="DC742">
        <v>68.900000000000006</v>
      </c>
      <c r="DD742" t="s">
        <v>69</v>
      </c>
      <c r="DE742" t="s">
        <v>70</v>
      </c>
      <c r="DF742">
        <v>2067</v>
      </c>
    </row>
    <row r="743" spans="66:110" x14ac:dyDescent="0.25">
      <c r="BN743" s="1">
        <f t="shared" si="338"/>
        <v>43070</v>
      </c>
      <c r="BO743" s="2">
        <f>SUM(BO$2:BO233)+AI233*B233</f>
        <v>176337.49999999988</v>
      </c>
      <c r="BP743" s="2">
        <f>SUM(BP$2:BP233)+AJ233*C233</f>
        <v>25667.299999999988</v>
      </c>
      <c r="BQ743" s="2">
        <f>SUM(BQ$2:BQ233)+AK233*D233</f>
        <v>125777.59999999992</v>
      </c>
      <c r="BR743" s="2">
        <f>SUM(BR$2:BR233)+AL233*E233</f>
        <v>53888.199999999953</v>
      </c>
      <c r="BS743" s="2">
        <f>SUM(BS$2:BS233)+AM233*F233</f>
        <v>8608.4000000000015</v>
      </c>
      <c r="BT743" s="2">
        <f>SUM(BT$2:BT233)+AN233*G233</f>
        <v>7584.9000000000233</v>
      </c>
      <c r="BU743" s="2">
        <f>SUM(BU$2:BU233)+AO233*H233</f>
        <v>-48.5</v>
      </c>
      <c r="BV743" s="2">
        <f>SUM(BV$2:BV233)+AP233*I233</f>
        <v>4092.8999999999942</v>
      </c>
      <c r="BW743" s="2">
        <f>SUM(BW$2:BW233)+AQ233*J233</f>
        <v>10250</v>
      </c>
      <c r="BX743" s="2">
        <f>SUM(BX$2:BX233)+AR233*K233</f>
        <v>13940</v>
      </c>
      <c r="BY743" s="2">
        <f>SUM(BY$2:BY233)+AS233*L233</f>
        <v>-5850</v>
      </c>
      <c r="BZ743" s="2">
        <f>SUM(BZ$2:BZ233)+AT233*M233</f>
        <v>740</v>
      </c>
      <c r="CA743" s="2">
        <f>SUM(CA$2:CA233)+AU233*N233</f>
        <v>26360</v>
      </c>
      <c r="CB743" s="2">
        <f>SUM(CB$2:CB233)+AV233*O233</f>
        <v>18920</v>
      </c>
      <c r="CC743" s="2">
        <f>SUM(CC$2:CC233)+AW233*P233</f>
        <v>-20</v>
      </c>
      <c r="CD743" s="2">
        <f>SUM(CD$2:CD233)+AX233*Q233</f>
        <v>14050</v>
      </c>
      <c r="CE743" s="2">
        <f>SUM(CE$2:CE233)+AY233*R233</f>
        <v>27020</v>
      </c>
      <c r="CF743" s="2">
        <f>SUM(CF$2:CF233)+AZ233*S233</f>
        <v>-2899.6600000000035</v>
      </c>
      <c r="CG743" s="2">
        <f>SUM(CG$2:CG233)+BA233*T233</f>
        <v>22639.629999999983</v>
      </c>
      <c r="CH743" s="2">
        <f>SUM(CH$2:CH233)+BB233*U233</f>
        <v>8637.330000000009</v>
      </c>
      <c r="CI743" s="2">
        <f>SUM(CI$2:CI233)+BC233*V233</f>
        <v>-6140</v>
      </c>
      <c r="CJ743" s="2">
        <f>SUM(CJ$2:CJ233)+BD233*W233</f>
        <v>-7009.9999999999418</v>
      </c>
      <c r="CK743" s="2">
        <f>SUM(CK$2:CK233)+BE233*X233</f>
        <v>87080</v>
      </c>
      <c r="CL743" s="2">
        <f>SUM(CL$2:CL233)+BF233*Y233</f>
        <v>199590</v>
      </c>
      <c r="CM743" s="2">
        <f>SUM(CM$2:CM233)+BG233*Z233</f>
        <v>59102.5</v>
      </c>
      <c r="CN743" s="2">
        <f>SUM(CN$2:CN233)+BH233*AA233</f>
        <v>101372.5</v>
      </c>
      <c r="CO743" s="2">
        <f>SUM(CO$2:CO233)+BI233*AB233</f>
        <v>-2180</v>
      </c>
      <c r="CP743" s="2">
        <f>SUM(CP$2:CP233)+BJ233*AC233</f>
        <v>11665.000000000015</v>
      </c>
      <c r="CQ743" s="2">
        <f>SUM(CQ$2:CQ233)+BK233*AD233</f>
        <v>29210.000000000007</v>
      </c>
      <c r="CR743" s="2">
        <f>SUM(CR$2:CR233)+BL233*AE233</f>
        <v>-3890</v>
      </c>
      <c r="CV743" t="s">
        <v>64</v>
      </c>
      <c r="CW743" t="s">
        <v>816</v>
      </c>
      <c r="CX743" t="s">
        <v>18</v>
      </c>
      <c r="CY743" s="4">
        <v>43356</v>
      </c>
      <c r="CZ743" t="s">
        <v>65</v>
      </c>
      <c r="DA743" t="s">
        <v>66</v>
      </c>
      <c r="DB743">
        <v>56</v>
      </c>
      <c r="DC743">
        <v>69.86</v>
      </c>
      <c r="DD743" t="s">
        <v>69</v>
      </c>
      <c r="DE743" t="s">
        <v>70</v>
      </c>
      <c r="DF743">
        <v>3912.16</v>
      </c>
    </row>
    <row r="744" spans="66:110" x14ac:dyDescent="0.25">
      <c r="BN744" s="1">
        <f t="shared" si="338"/>
        <v>43073</v>
      </c>
      <c r="BO744" s="2">
        <f>SUM(BO$2:BO234)+AI234*B234</f>
        <v>170187.49999999988</v>
      </c>
      <c r="BP744" s="2">
        <f>SUM(BP$2:BP234)+AJ234*C234</f>
        <v>26502.499999999985</v>
      </c>
      <c r="BQ744" s="2">
        <f>SUM(BQ$2:BQ234)+AK234*D234</f>
        <v>133236.39999999991</v>
      </c>
      <c r="BR744" s="2">
        <f>SUM(BR$2:BR234)+AL234*E234</f>
        <v>53864.999999999971</v>
      </c>
      <c r="BS744" s="2">
        <f>SUM(BS$2:BS234)+AM234*F234</f>
        <v>8747.5999999999985</v>
      </c>
      <c r="BT744" s="2">
        <f>SUM(BT$2:BT234)+AN234*G234</f>
        <v>9046.5</v>
      </c>
      <c r="BU744" s="2">
        <f>SUM(BU$2:BU234)+AO234*H234</f>
        <v>5577.4999999999854</v>
      </c>
      <c r="BV744" s="2">
        <f>SUM(BV$2:BV234)+AP234*I234</f>
        <v>5226.4999999999854</v>
      </c>
      <c r="BW744" s="2">
        <f>SUM(BW$2:BW234)+AQ234*J234</f>
        <v>11920</v>
      </c>
      <c r="BX744" s="2">
        <f>SUM(BX$2:BX234)+AR234*K234</f>
        <v>13940</v>
      </c>
      <c r="BY744" s="2">
        <f>SUM(BY$2:BY234)+AS234*L234</f>
        <v>-4240</v>
      </c>
      <c r="BZ744" s="2">
        <f>SUM(BZ$2:BZ234)+AT234*M234</f>
        <v>740</v>
      </c>
      <c r="CA744" s="2">
        <f>SUM(CA$2:CA234)+AU234*N234</f>
        <v>25420</v>
      </c>
      <c r="CB744" s="2">
        <f>SUM(CB$2:CB234)+AV234*O234</f>
        <v>21010</v>
      </c>
      <c r="CC744" s="2">
        <f>SUM(CC$2:CC234)+AW234*P234</f>
        <v>-20</v>
      </c>
      <c r="CD744" s="2">
        <f>SUM(CD$2:CD234)+AX234*Q234</f>
        <v>14050</v>
      </c>
      <c r="CE744" s="2">
        <f>SUM(CE$2:CE234)+AY234*R234</f>
        <v>27020</v>
      </c>
      <c r="CF744" s="2">
        <f>SUM(CF$2:CF234)+AZ234*S234</f>
        <v>-2558.9799999999959</v>
      </c>
      <c r="CG744" s="2">
        <f>SUM(CG$2:CG234)+BA234*T234</f>
        <v>19371.909999999974</v>
      </c>
      <c r="CH744" s="2">
        <f>SUM(CH$2:CH234)+BB234*U234</f>
        <v>8845.2300000000032</v>
      </c>
      <c r="CI744" s="2">
        <f>SUM(CI$2:CI234)+BC234*V234</f>
        <v>-5860</v>
      </c>
      <c r="CJ744" s="2">
        <f>SUM(CJ$2:CJ234)+BD234*W234</f>
        <v>-12009.999999999942</v>
      </c>
      <c r="CK744" s="2">
        <f>SUM(CK$2:CK234)+BE234*X234</f>
        <v>87780</v>
      </c>
      <c r="CL744" s="2">
        <f>SUM(CL$2:CL234)+BF234*Y234</f>
        <v>183720</v>
      </c>
      <c r="CM744" s="2">
        <f>SUM(CM$2:CM234)+BG234*Z234</f>
        <v>58702.5</v>
      </c>
      <c r="CN744" s="2">
        <f>SUM(CN$2:CN234)+BH234*AA234</f>
        <v>84972.5</v>
      </c>
      <c r="CO744" s="2">
        <f>SUM(CO$2:CO234)+BI234*AB234</f>
        <v>-830</v>
      </c>
      <c r="CP744" s="2">
        <f>SUM(CP$2:CP234)+BJ234*AC234</f>
        <v>11485</v>
      </c>
      <c r="CQ744" s="2">
        <f>SUM(CQ$2:CQ234)+BK234*AD234</f>
        <v>28880.000000000007</v>
      </c>
      <c r="CR744" s="2">
        <f>SUM(CR$2:CR234)+BL234*AE234</f>
        <v>-3790</v>
      </c>
      <c r="CV744" t="s">
        <v>64</v>
      </c>
      <c r="CW744" t="s">
        <v>817</v>
      </c>
      <c r="CX744" t="s">
        <v>18</v>
      </c>
      <c r="CY744" s="4">
        <v>43357</v>
      </c>
      <c r="CZ744" t="s">
        <v>67</v>
      </c>
      <c r="DA744" t="s">
        <v>68</v>
      </c>
      <c r="DB744">
        <v>11</v>
      </c>
      <c r="DC744">
        <v>69.489999999999995</v>
      </c>
      <c r="DD744" t="s">
        <v>69</v>
      </c>
      <c r="DE744" t="s">
        <v>70</v>
      </c>
      <c r="DF744">
        <v>764.39</v>
      </c>
    </row>
    <row r="745" spans="66:110" x14ac:dyDescent="0.25">
      <c r="BN745" s="1">
        <f t="shared" si="338"/>
        <v>43074</v>
      </c>
      <c r="BO745" s="2">
        <f>SUM(BO$2:BO235)+AI235*B235</f>
        <v>169437.49999999977</v>
      </c>
      <c r="BP745" s="2">
        <f>SUM(BP$2:BP235)+AJ235*C235</f>
        <v>26641.699999999997</v>
      </c>
      <c r="BQ745" s="2">
        <f>SUM(BQ$2:BQ235)+AK235*D235</f>
        <v>130487.1999999999</v>
      </c>
      <c r="BR745" s="2">
        <f>SUM(BR$2:BR235)+AL235*E235</f>
        <v>52333.799999999959</v>
      </c>
      <c r="BS745" s="2">
        <f>SUM(BS$2:BS235)+AM235*F235</f>
        <v>8283.6000000000058</v>
      </c>
      <c r="BT745" s="2">
        <f>SUM(BT$2:BT235)+AN235*G235</f>
        <v>8547.7000000000116</v>
      </c>
      <c r="BU745" s="2">
        <f>SUM(BU$2:BU235)+AO235*H235</f>
        <v>2178.6999999999971</v>
      </c>
      <c r="BV745" s="2">
        <f>SUM(BV$2:BV235)+AP235*I235</f>
        <v>4633.6999999999825</v>
      </c>
      <c r="BW745" s="2">
        <f>SUM(BW$2:BW235)+AQ235*J235</f>
        <v>9640</v>
      </c>
      <c r="BX745" s="2">
        <f>SUM(BX$2:BX235)+AR235*K235</f>
        <v>13940</v>
      </c>
      <c r="BY745" s="2">
        <f>SUM(BY$2:BY235)+AS235*L235</f>
        <v>-5290.0000000000118</v>
      </c>
      <c r="BZ745" s="2">
        <f>SUM(BZ$2:BZ235)+AT235*M235</f>
        <v>740</v>
      </c>
      <c r="CA745" s="2">
        <f>SUM(CA$2:CA235)+AU235*N235</f>
        <v>26060</v>
      </c>
      <c r="CB745" s="2">
        <f>SUM(CB$2:CB235)+AV235*O235</f>
        <v>19820</v>
      </c>
      <c r="CC745" s="2">
        <f>SUM(CC$2:CC235)+AW235*P235</f>
        <v>-20</v>
      </c>
      <c r="CD745" s="2">
        <f>SUM(CD$2:CD235)+AX235*Q235</f>
        <v>14050</v>
      </c>
      <c r="CE745" s="2">
        <f>SUM(CE$2:CE235)+AY235*R235</f>
        <v>27020</v>
      </c>
      <c r="CF745" s="2">
        <f>SUM(CF$2:CF235)+AZ235*S235</f>
        <v>-2991.9900000000052</v>
      </c>
      <c r="CG745" s="2">
        <f>SUM(CG$2:CG235)+BA235*T235</f>
        <v>19874.909999999974</v>
      </c>
      <c r="CH745" s="2">
        <f>SUM(CH$2:CH235)+BB235*U235</f>
        <v>9161.3900000000067</v>
      </c>
      <c r="CI745" s="2">
        <f>SUM(CI$2:CI235)+BC235*V235</f>
        <v>-5450</v>
      </c>
      <c r="CJ745" s="2">
        <f>SUM(CJ$2:CJ235)+BD235*W235</f>
        <v>-12009.999999999942</v>
      </c>
      <c r="CK745" s="2">
        <f>SUM(CK$2:CK235)+BE235*X235</f>
        <v>82730</v>
      </c>
      <c r="CL745" s="2">
        <f>SUM(CL$2:CL235)+BF235*Y235</f>
        <v>179790</v>
      </c>
      <c r="CM745" s="2">
        <f>SUM(CM$2:CM235)+BG235*Z235</f>
        <v>59902.5</v>
      </c>
      <c r="CN745" s="2">
        <f>SUM(CN$2:CN235)+BH235*AA235</f>
        <v>90672.5</v>
      </c>
      <c r="CO745" s="2">
        <f>SUM(CO$2:CO235)+BI235*AB235</f>
        <v>-3110</v>
      </c>
      <c r="CP745" s="2">
        <f>SUM(CP$2:CP235)+BJ235*AC235</f>
        <v>13510</v>
      </c>
      <c r="CQ745" s="2">
        <f>SUM(CQ$2:CQ235)+BK235*AD235</f>
        <v>29680.000000000007</v>
      </c>
      <c r="CR745" s="2">
        <f>SUM(CR$2:CR235)+BL235*AE235</f>
        <v>-4430</v>
      </c>
      <c r="CV745" t="s">
        <v>64</v>
      </c>
      <c r="CW745" t="s">
        <v>818</v>
      </c>
      <c r="CX745" t="s">
        <v>18</v>
      </c>
      <c r="CY745" s="4">
        <v>43360</v>
      </c>
      <c r="CZ745" t="s">
        <v>67</v>
      </c>
      <c r="DA745" t="s">
        <v>68</v>
      </c>
      <c r="DB745">
        <v>27</v>
      </c>
      <c r="DC745">
        <v>69.930000000000007</v>
      </c>
      <c r="DD745" t="s">
        <v>69</v>
      </c>
      <c r="DE745" t="s">
        <v>70</v>
      </c>
      <c r="DF745">
        <v>1888.1100000000001</v>
      </c>
    </row>
    <row r="746" spans="66:110" x14ac:dyDescent="0.25">
      <c r="BN746" s="1">
        <f t="shared" si="338"/>
        <v>43075</v>
      </c>
      <c r="BO746" s="2">
        <f>SUM(BO$2:BO236)+AI236*B236</f>
        <v>166337.49999999988</v>
      </c>
      <c r="BP746" s="2">
        <f>SUM(BP$2:BP236)+AJ236*C236</f>
        <v>26061.699999999997</v>
      </c>
      <c r="BQ746" s="2">
        <f>SUM(BQ$2:BQ236)+AK236*D236</f>
        <v>133572.79999999993</v>
      </c>
      <c r="BR746" s="2">
        <f>SUM(BR$2:BR236)+AL236*E236</f>
        <v>52554.199999999953</v>
      </c>
      <c r="BS746" s="2">
        <f>SUM(BS$2:BS236)+AM236*F236</f>
        <v>8399.6000000000058</v>
      </c>
      <c r="BT746" s="2">
        <f>SUM(BT$2:BT236)+AN236*G236</f>
        <v>7689.2999999999884</v>
      </c>
      <c r="BU746" s="2">
        <f>SUM(BU$2:BU236)+AO236*H236</f>
        <v>195.09999999999127</v>
      </c>
      <c r="BV746" s="2">
        <f>SUM(BV$2:BV236)+AP236*I236</f>
        <v>4165.6999999999825</v>
      </c>
      <c r="BW746" s="2">
        <f>SUM(BW$2:BW236)+AQ236*J236</f>
        <v>7290</v>
      </c>
      <c r="BX746" s="2">
        <f>SUM(BX$2:BX236)+AR236*K236</f>
        <v>13940</v>
      </c>
      <c r="BY746" s="2">
        <f>SUM(BY$2:BY236)+AS236*L236</f>
        <v>-5301.9000000000115</v>
      </c>
      <c r="BZ746" s="2">
        <f>SUM(BZ$2:BZ236)+AT236*M236</f>
        <v>740</v>
      </c>
      <c r="CA746" s="2">
        <f>SUM(CA$2:CA236)+AU236*N236</f>
        <v>27420</v>
      </c>
      <c r="CB746" s="2">
        <f>SUM(CB$2:CB236)+AV236*O236</f>
        <v>19050</v>
      </c>
      <c r="CC746" s="2">
        <f>SUM(CC$2:CC236)+AW236*P236</f>
        <v>-20</v>
      </c>
      <c r="CD746" s="2">
        <f>SUM(CD$2:CD236)+AX236*Q236</f>
        <v>14050</v>
      </c>
      <c r="CE746" s="2">
        <f>SUM(CE$2:CE236)+AY236*R236</f>
        <v>27020</v>
      </c>
      <c r="CF746" s="2">
        <f>SUM(CF$2:CF236)+AZ236*S236</f>
        <v>-4316.7799999999988</v>
      </c>
      <c r="CG746" s="2">
        <f>SUM(CG$2:CG236)+BA236*T236</f>
        <v>20957.159999999982</v>
      </c>
      <c r="CH746" s="2">
        <f>SUM(CH$2:CH236)+BB236*U236</f>
        <v>8466.989999999998</v>
      </c>
      <c r="CI746" s="2">
        <f>SUM(CI$2:CI236)+BC236*V236</f>
        <v>-5390</v>
      </c>
      <c r="CJ746" s="2">
        <f>SUM(CJ$2:CJ236)+BD236*W236</f>
        <v>-11259.999999999942</v>
      </c>
      <c r="CK746" s="2">
        <f>SUM(CK$2:CK236)+BE236*X236</f>
        <v>82930</v>
      </c>
      <c r="CL746" s="2">
        <f>SUM(CL$2:CL236)+BF236*Y236</f>
        <v>179340</v>
      </c>
      <c r="CM746" s="2">
        <f>SUM(CM$2:CM236)+BG236*Z236</f>
        <v>64352.5</v>
      </c>
      <c r="CN746" s="2">
        <f>SUM(CN$2:CN236)+BH236*AA236</f>
        <v>96422.5</v>
      </c>
      <c r="CO746" s="2">
        <f>SUM(CO$2:CO236)+BI236*AB236</f>
        <v>-3800</v>
      </c>
      <c r="CP746" s="2">
        <f>SUM(CP$2:CP236)+BJ236*AC236</f>
        <v>12250.000000000015</v>
      </c>
      <c r="CQ746" s="2">
        <f>SUM(CQ$2:CQ236)+BK236*AD236</f>
        <v>29150.000000000007</v>
      </c>
      <c r="CR746" s="2">
        <f>SUM(CR$2:CR236)+BL236*AE236</f>
        <v>-5010</v>
      </c>
      <c r="CV746" t="s">
        <v>64</v>
      </c>
      <c r="CW746" t="s">
        <v>819</v>
      </c>
      <c r="CX746" t="s">
        <v>18</v>
      </c>
      <c r="CY746" s="4">
        <v>43361</v>
      </c>
      <c r="CZ746" t="s">
        <v>67</v>
      </c>
      <c r="DA746" t="s">
        <v>68</v>
      </c>
      <c r="DB746">
        <v>11</v>
      </c>
      <c r="DC746">
        <v>69.930000000000007</v>
      </c>
      <c r="DD746" t="s">
        <v>69</v>
      </c>
      <c r="DE746" t="s">
        <v>70</v>
      </c>
      <c r="DF746">
        <v>769.23</v>
      </c>
    </row>
    <row r="747" spans="66:110" x14ac:dyDescent="0.25">
      <c r="BN747" s="1">
        <f t="shared" si="338"/>
        <v>43076</v>
      </c>
      <c r="BO747" s="2">
        <f>SUM(BO$2:BO237)+AI237*B237</f>
        <v>167837.49999999988</v>
      </c>
      <c r="BP747" s="2">
        <f>SUM(BP$2:BP237)+AJ237*C237</f>
        <v>26490.900000000009</v>
      </c>
      <c r="BQ747" s="2">
        <f>SUM(BQ$2:BQ237)+AK237*D237</f>
        <v>137760.39999999997</v>
      </c>
      <c r="BR747" s="2">
        <f>SUM(BR$2:BR237)+AL237*E237</f>
        <v>55430.999999999971</v>
      </c>
      <c r="BS747" s="2">
        <f>SUM(BS$2:BS237)+AM237*F237</f>
        <v>8388.0000000000073</v>
      </c>
      <c r="BT747" s="2">
        <f>SUM(BT$2:BT237)+AN237*G237</f>
        <v>7712.5</v>
      </c>
      <c r="BU747" s="2">
        <f>SUM(BU$2:BU237)+AO237*H237</f>
        <v>-36.899999999994179</v>
      </c>
      <c r="BV747" s="2">
        <f>SUM(BV$2:BV237)+AP237*I237</f>
        <v>4456.8999999999796</v>
      </c>
      <c r="BW747" s="2">
        <f>SUM(BW$2:BW237)+AQ237*J237</f>
        <v>9860</v>
      </c>
      <c r="BX747" s="2">
        <f>SUM(BX$2:BX237)+AR237*K237</f>
        <v>13940</v>
      </c>
      <c r="BY747" s="2">
        <f>SUM(BY$2:BY237)+AS237*L237</f>
        <v>-5306.9000000000115</v>
      </c>
      <c r="BZ747" s="2">
        <f>SUM(BZ$2:BZ237)+AT237*M237</f>
        <v>740</v>
      </c>
      <c r="CA747" s="2">
        <f>SUM(CA$2:CA237)+AU237*N237</f>
        <v>26390</v>
      </c>
      <c r="CB747" s="2">
        <f>SUM(CB$2:CB237)+AV237*O237</f>
        <v>18750</v>
      </c>
      <c r="CC747" s="2">
        <f>SUM(CC$2:CC237)+AW237*P237</f>
        <v>-20</v>
      </c>
      <c r="CD747" s="2">
        <f>SUM(CD$2:CD237)+AX237*Q237</f>
        <v>14050</v>
      </c>
      <c r="CE747" s="2">
        <f>SUM(CE$2:CE237)+AY237*R237</f>
        <v>27020</v>
      </c>
      <c r="CF747" s="2">
        <f>SUM(CF$2:CF237)+AZ237*S237</f>
        <v>-3915.5800000000017</v>
      </c>
      <c r="CG747" s="2">
        <f>SUM(CG$2:CG237)+BA237*T237</f>
        <v>20674.07999999998</v>
      </c>
      <c r="CH747" s="2">
        <f>SUM(CH$2:CH237)+BB237*U237</f>
        <v>9317.8500000000058</v>
      </c>
      <c r="CI747" s="2">
        <f>SUM(CI$2:CI237)+BC237*V237</f>
        <v>-5330</v>
      </c>
      <c r="CJ747" s="2">
        <f>SUM(CJ$2:CJ237)+BD237*W237</f>
        <v>-5759.9999999999418</v>
      </c>
      <c r="CK747" s="2">
        <f>SUM(CK$2:CK237)+BE237*X237</f>
        <v>77330</v>
      </c>
      <c r="CL747" s="2">
        <f>SUM(CL$2:CL237)+BF237*Y237</f>
        <v>179970</v>
      </c>
      <c r="CM747" s="2">
        <f>SUM(CM$2:CM237)+BG237*Z237</f>
        <v>70152.5</v>
      </c>
      <c r="CN747" s="2">
        <f>SUM(CN$2:CN237)+BH237*AA237</f>
        <v>104672.5</v>
      </c>
      <c r="CO747" s="2">
        <f>SUM(CO$2:CO237)+BI237*AB237</f>
        <v>-4520</v>
      </c>
      <c r="CP747" s="2">
        <f>SUM(CP$2:CP237)+BJ237*AC237</f>
        <v>14335.000000000015</v>
      </c>
      <c r="CQ747" s="2">
        <f>SUM(CQ$2:CQ237)+BK237*AD237</f>
        <v>29160.000000000007</v>
      </c>
      <c r="CR747" s="2">
        <f>SUM(CR$2:CR237)+BL237*AE237</f>
        <v>-4760</v>
      </c>
      <c r="CV747" t="s">
        <v>64</v>
      </c>
      <c r="CW747" t="s">
        <v>820</v>
      </c>
      <c r="CX747" t="s">
        <v>18</v>
      </c>
      <c r="CY747" s="4">
        <v>43362</v>
      </c>
      <c r="CZ747" t="s">
        <v>65</v>
      </c>
      <c r="DA747" t="s">
        <v>66</v>
      </c>
      <c r="DB747">
        <v>54</v>
      </c>
      <c r="DC747">
        <v>69.489999999999995</v>
      </c>
      <c r="DD747" t="s">
        <v>69</v>
      </c>
      <c r="DE747" t="s">
        <v>70</v>
      </c>
      <c r="DF747">
        <v>3752.4599999999996</v>
      </c>
    </row>
    <row r="748" spans="66:110" x14ac:dyDescent="0.25">
      <c r="BN748" s="1">
        <f t="shared" si="338"/>
        <v>43077</v>
      </c>
      <c r="BO748" s="2">
        <f>SUM(BO$2:BO238)+AI238*B238</f>
        <v>168087.49999999988</v>
      </c>
      <c r="BP748" s="2">
        <f>SUM(BP$2:BP238)+AJ238*C238</f>
        <v>26456.100000000006</v>
      </c>
      <c r="BQ748" s="2">
        <f>SUM(BQ$2:BQ238)+AK238*D238</f>
        <v>142214.79999999993</v>
      </c>
      <c r="BR748" s="2">
        <f>SUM(BR$2:BR238)+AL238*E238</f>
        <v>56521.399999999965</v>
      </c>
      <c r="BS748" s="2">
        <f>SUM(BS$2:BS238)+AM238*F238</f>
        <v>8620</v>
      </c>
      <c r="BT748" s="2">
        <f>SUM(BT$2:BT238)+AN238*G238</f>
        <v>8037.2999999999884</v>
      </c>
      <c r="BU748" s="2">
        <f>SUM(BU$2:BU238)+AO238*H238</f>
        <v>-257.30000000000291</v>
      </c>
      <c r="BV748" s="2">
        <f>SUM(BV$2:BV238)+AP238*I238</f>
        <v>3801.6999999999825</v>
      </c>
      <c r="BW748" s="2">
        <f>SUM(BW$2:BW238)+AQ238*J238</f>
        <v>11630</v>
      </c>
      <c r="BX748" s="2">
        <f>SUM(BX$2:BX238)+AR238*K238</f>
        <v>13940</v>
      </c>
      <c r="BY748" s="2">
        <f>SUM(BY$2:BY238)+AS238*L238</f>
        <v>-5295.2000000000116</v>
      </c>
      <c r="BZ748" s="2">
        <f>SUM(BZ$2:BZ238)+AT238*M238</f>
        <v>740</v>
      </c>
      <c r="CA748" s="2">
        <f>SUM(CA$2:CA238)+AU238*N238</f>
        <v>26960</v>
      </c>
      <c r="CB748" s="2">
        <f>SUM(CB$2:CB238)+AV238*O238</f>
        <v>20020</v>
      </c>
      <c r="CC748" s="2">
        <f>SUM(CC$2:CC238)+AW238*P238</f>
        <v>-20</v>
      </c>
      <c r="CD748" s="2">
        <f>SUM(CD$2:CD238)+AX238*Q238</f>
        <v>14050</v>
      </c>
      <c r="CE748" s="2">
        <f>SUM(CE$2:CE238)+AY238*R238</f>
        <v>27020</v>
      </c>
      <c r="CF748" s="2">
        <f>SUM(CF$2:CF238)+AZ238*S238</f>
        <v>-3127.0999999999985</v>
      </c>
      <c r="CG748" s="2">
        <f>SUM(CG$2:CG238)+BA238*T238</f>
        <v>22379.679999999978</v>
      </c>
      <c r="CH748" s="2">
        <f>SUM(CH$2:CH238)+BB238*U238</f>
        <v>10031.150000000001</v>
      </c>
      <c r="CI748" s="2">
        <f>SUM(CI$2:CI238)+BC238*V238</f>
        <v>-5560</v>
      </c>
      <c r="CJ748" s="2">
        <f>SUM(CJ$2:CJ238)+BD238*W238</f>
        <v>-7059.9999999999418</v>
      </c>
      <c r="CK748" s="2">
        <f>SUM(CK$2:CK238)+BE238*X238</f>
        <v>78630</v>
      </c>
      <c r="CL748" s="2">
        <f>SUM(CL$2:CL238)+BF238*Y238</f>
        <v>191100</v>
      </c>
      <c r="CM748" s="2">
        <f>SUM(CM$2:CM238)+BG238*Z238</f>
        <v>72152.5</v>
      </c>
      <c r="CN748" s="2">
        <f>SUM(CN$2:CN238)+BH238*AA238</f>
        <v>110622.5</v>
      </c>
      <c r="CO748" s="2">
        <f>SUM(CO$2:CO238)+BI238*AB238</f>
        <v>-2630</v>
      </c>
      <c r="CP748" s="2">
        <f>SUM(CP$2:CP238)+BJ238*AC238</f>
        <v>11515</v>
      </c>
      <c r="CQ748" s="2">
        <f>SUM(CQ$2:CQ238)+BK238*AD238</f>
        <v>28930.000000000007</v>
      </c>
      <c r="CR748" s="2">
        <f>SUM(CR$2:CR238)+BL238*AE238</f>
        <v>-4650</v>
      </c>
      <c r="CV748" t="s">
        <v>64</v>
      </c>
      <c r="CW748" t="s">
        <v>821</v>
      </c>
      <c r="CX748" t="s">
        <v>18</v>
      </c>
      <c r="CY748" s="4">
        <v>43363</v>
      </c>
      <c r="CZ748" t="s">
        <v>67</v>
      </c>
      <c r="DA748" t="s">
        <v>68</v>
      </c>
      <c r="DB748">
        <v>23</v>
      </c>
      <c r="DC748">
        <v>70.290000000000006</v>
      </c>
      <c r="DD748" t="s">
        <v>69</v>
      </c>
      <c r="DE748" t="s">
        <v>70</v>
      </c>
      <c r="DF748">
        <v>1616.67</v>
      </c>
    </row>
    <row r="749" spans="66:110" x14ac:dyDescent="0.25">
      <c r="BN749" s="1">
        <f t="shared" si="338"/>
        <v>43080</v>
      </c>
      <c r="BO749" s="2">
        <f>SUM(BO$2:BO239)+AI239*B239</f>
        <v>184287.49999999977</v>
      </c>
      <c r="BP749" s="2">
        <f>SUM(BP$2:BP239)+AJ239*C239</f>
        <v>26966.5</v>
      </c>
      <c r="BQ749" s="2">
        <f>SUM(BQ$2:BQ239)+AK239*D239</f>
        <v>139105.99999999994</v>
      </c>
      <c r="BR749" s="2">
        <f>SUM(BR$2:BR239)+AL239*E239</f>
        <v>56428.599999999948</v>
      </c>
      <c r="BS749" s="2">
        <f>SUM(BS$2:BS239)+AM239*F239</f>
        <v>9014.4000000000087</v>
      </c>
      <c r="BT749" s="2">
        <f>SUM(BT$2:BT239)+AN239*G239</f>
        <v>8582.5</v>
      </c>
      <c r="BU749" s="2">
        <f>SUM(BU$2:BU239)+AO239*H239</f>
        <v>2712.2999999999884</v>
      </c>
      <c r="BV749" s="2">
        <f>SUM(BV$2:BV239)+AP239*I239</f>
        <v>3884.8999999999796</v>
      </c>
      <c r="BW749" s="2">
        <f>SUM(BW$2:BW239)+AQ239*J239</f>
        <v>11410</v>
      </c>
      <c r="BX749" s="2">
        <f>SUM(BX$2:BX239)+AR239*K239</f>
        <v>13940</v>
      </c>
      <c r="BY749" s="2">
        <f>SUM(BY$2:BY239)+AS239*L239</f>
        <v>-5289.5000000000118</v>
      </c>
      <c r="BZ749" s="2">
        <f>SUM(BZ$2:BZ239)+AT239*M239</f>
        <v>740</v>
      </c>
      <c r="CA749" s="2">
        <f>SUM(CA$2:CA239)+AU239*N239</f>
        <v>27490</v>
      </c>
      <c r="CB749" s="2">
        <f>SUM(CB$2:CB239)+AV239*O239</f>
        <v>19720</v>
      </c>
      <c r="CC749" s="2">
        <f>SUM(CC$2:CC239)+AW239*P239</f>
        <v>-20</v>
      </c>
      <c r="CD749" s="2">
        <f>SUM(CD$2:CD239)+AX239*Q239</f>
        <v>14050</v>
      </c>
      <c r="CE749" s="2">
        <f>SUM(CE$2:CE239)+AY239*R239</f>
        <v>27020</v>
      </c>
      <c r="CF749" s="2">
        <f>SUM(CF$2:CF239)+AZ239*S239</f>
        <v>-2364.8999999999942</v>
      </c>
      <c r="CG749" s="2">
        <f>SUM(CG$2:CG239)+BA239*T239</f>
        <v>23473.779999999984</v>
      </c>
      <c r="CH749" s="2">
        <f>SUM(CH$2:CH239)+BB239*U239</f>
        <v>10615.550000000003</v>
      </c>
      <c r="CI749" s="2">
        <f>SUM(CI$2:CI239)+BC239*V239</f>
        <v>-6010</v>
      </c>
      <c r="CJ749" s="2">
        <f>SUM(CJ$2:CJ239)+BD239*W239</f>
        <v>-6359.9999999999418</v>
      </c>
      <c r="CK749" s="2">
        <f>SUM(CK$2:CK239)+BE239*X239</f>
        <v>75730.000000000116</v>
      </c>
      <c r="CL749" s="2">
        <f>SUM(CL$2:CL239)+BF239*Y239</f>
        <v>187740</v>
      </c>
      <c r="CM749" s="2">
        <f>SUM(CM$2:CM239)+BG239*Z239</f>
        <v>74552.5</v>
      </c>
      <c r="CN749" s="2">
        <f>SUM(CN$2:CN239)+BH239*AA239</f>
        <v>109472.5</v>
      </c>
      <c r="CO749" s="2">
        <f>SUM(CO$2:CO239)+BI239*AB239</f>
        <v>-500</v>
      </c>
      <c r="CP749" s="2">
        <f>SUM(CP$2:CP239)+BJ239*AC239</f>
        <v>11035</v>
      </c>
      <c r="CQ749" s="2">
        <f>SUM(CQ$2:CQ239)+BK239*AD239</f>
        <v>29300.000000000007</v>
      </c>
      <c r="CR749" s="2">
        <f>SUM(CR$2:CR239)+BL239*AE239</f>
        <v>-4300</v>
      </c>
      <c r="CV749" t="s">
        <v>64</v>
      </c>
      <c r="CW749" t="s">
        <v>822</v>
      </c>
      <c r="CX749" t="s">
        <v>18</v>
      </c>
      <c r="CY749" s="4">
        <v>43364</v>
      </c>
      <c r="CZ749" t="s">
        <v>67</v>
      </c>
      <c r="DA749" t="s">
        <v>68</v>
      </c>
      <c r="DB749">
        <v>32</v>
      </c>
      <c r="DC749">
        <v>70.61</v>
      </c>
      <c r="DD749" t="s">
        <v>69</v>
      </c>
      <c r="DE749" t="s">
        <v>70</v>
      </c>
      <c r="DF749">
        <v>2259.52</v>
      </c>
    </row>
    <row r="750" spans="66:110" x14ac:dyDescent="0.25">
      <c r="BN750" s="1">
        <f t="shared" si="338"/>
        <v>43081</v>
      </c>
      <c r="BO750" s="2">
        <f>SUM(BO$2:BO240)+AI240*B240</f>
        <v>179537.49999999988</v>
      </c>
      <c r="BP750" s="2">
        <f>SUM(BP$2:BP240)+AJ240*C240</f>
        <v>27395.699999999997</v>
      </c>
      <c r="BQ750" s="2">
        <f>SUM(BQ$2:BQ240)+AK240*D240</f>
        <v>146785.19999999992</v>
      </c>
      <c r="BR750" s="2">
        <f>SUM(BR$2:BR240)+AL240*E240</f>
        <v>56034.199999999953</v>
      </c>
      <c r="BS750" s="2">
        <f>SUM(BS$2:BS240)+AM240*F240</f>
        <v>8956.4000000000015</v>
      </c>
      <c r="BT750" s="2">
        <f>SUM(BT$2:BT240)+AN240*G240</f>
        <v>7770.5000000000291</v>
      </c>
      <c r="BU750" s="2">
        <f>SUM(BU$2:BU240)+AO240*H240</f>
        <v>3396.6999999999971</v>
      </c>
      <c r="BV750" s="2">
        <f>SUM(BV$2:BV240)+AP240*I240</f>
        <v>3864.0999999999913</v>
      </c>
      <c r="BW750" s="2">
        <f>SUM(BW$2:BW240)+AQ240*J240</f>
        <v>18860</v>
      </c>
      <c r="BX750" s="2">
        <f>SUM(BX$2:BX240)+AR240*K240</f>
        <v>13940</v>
      </c>
      <c r="BY750" s="2">
        <f>SUM(BY$2:BY240)+AS240*L240</f>
        <v>-5276.9000000000115</v>
      </c>
      <c r="BZ750" s="2">
        <f>SUM(BZ$2:BZ240)+AT240*M240</f>
        <v>740</v>
      </c>
      <c r="CA750" s="2">
        <f>SUM(CA$2:CA240)+AU240*N240</f>
        <v>28910</v>
      </c>
      <c r="CB750" s="2">
        <f>SUM(CB$2:CB240)+AV240*O240</f>
        <v>20920</v>
      </c>
      <c r="CC750" s="2">
        <f>SUM(CC$2:CC240)+AW240*P240</f>
        <v>-20</v>
      </c>
      <c r="CD750" s="2">
        <f>SUM(CD$2:CD240)+AX240*Q240</f>
        <v>14050</v>
      </c>
      <c r="CE750" s="2">
        <f>SUM(CE$2:CE240)+AY240*R240</f>
        <v>27020</v>
      </c>
      <c r="CF750" s="2">
        <f>SUM(CF$2:CF240)+AZ240*S240</f>
        <v>-1689.6900000000023</v>
      </c>
      <c r="CG750" s="2">
        <f>SUM(CG$2:CG240)+BA240*T240</f>
        <v>23794.399999999987</v>
      </c>
      <c r="CH750" s="2">
        <f>SUM(CH$2:CH240)+BB240*U240</f>
        <v>10860.21</v>
      </c>
      <c r="CI750" s="2">
        <f>SUM(CI$2:CI240)+BC240*V240</f>
        <v>-6360</v>
      </c>
      <c r="CJ750" s="2">
        <f>SUM(CJ$2:CJ240)+BD240*W240</f>
        <v>-4559.9999999999418</v>
      </c>
      <c r="CK750" s="2">
        <f>SUM(CK$2:CK240)+BE240*X240</f>
        <v>81530</v>
      </c>
      <c r="CL750" s="2">
        <f>SUM(CL$2:CL240)+BF240*Y240</f>
        <v>186900</v>
      </c>
      <c r="CM750" s="2">
        <f>SUM(CM$2:CM240)+BG240*Z240</f>
        <v>75402.5</v>
      </c>
      <c r="CN750" s="2">
        <f>SUM(CN$2:CN240)+BH240*AA240</f>
        <v>114872.5</v>
      </c>
      <c r="CO750" s="2">
        <f>SUM(CO$2:CO240)+BI240*AB240</f>
        <v>3340</v>
      </c>
      <c r="CP750" s="2">
        <f>SUM(CP$2:CP240)+BJ240*AC240</f>
        <v>10839.999999999985</v>
      </c>
      <c r="CQ750" s="2">
        <f>SUM(CQ$2:CQ240)+BK240*AD240</f>
        <v>29080.000000000007</v>
      </c>
      <c r="CR750" s="2">
        <f>SUM(CR$2:CR240)+BL240*AE240</f>
        <v>-4560</v>
      </c>
      <c r="CV750" t="s">
        <v>64</v>
      </c>
      <c r="CW750" t="s">
        <v>823</v>
      </c>
      <c r="CX750" t="s">
        <v>18</v>
      </c>
      <c r="CY750" s="4">
        <v>43367</v>
      </c>
      <c r="CZ750" t="s">
        <v>65</v>
      </c>
      <c r="DA750" t="s">
        <v>66</v>
      </c>
      <c r="DB750">
        <v>61</v>
      </c>
      <c r="DC750">
        <v>70.290000000000006</v>
      </c>
      <c r="DD750" t="s">
        <v>69</v>
      </c>
      <c r="DE750" t="s">
        <v>70</v>
      </c>
      <c r="DF750">
        <v>4287.6900000000005</v>
      </c>
    </row>
    <row r="751" spans="66:110" x14ac:dyDescent="0.25">
      <c r="BN751" s="1">
        <f t="shared" si="338"/>
        <v>43082</v>
      </c>
      <c r="BO751" s="2">
        <f>SUM(BO$2:BO241)+AI241*B241</f>
        <v>182337.49999999988</v>
      </c>
      <c r="BP751" s="2">
        <f>SUM(BP$2:BP241)+AJ241*C241</f>
        <v>25558.799999999988</v>
      </c>
      <c r="BQ751" s="2">
        <f>SUM(BQ$2:BQ241)+AK241*D241</f>
        <v>148949.69999999998</v>
      </c>
      <c r="BR751" s="2">
        <f>SUM(BR$2:BR241)+AL241*E241</f>
        <v>61884.199999999953</v>
      </c>
      <c r="BS751" s="2">
        <f>SUM(BS$2:BS241)+AM241*F241</f>
        <v>9225.5000000000073</v>
      </c>
      <c r="BT751" s="2">
        <f>SUM(BT$2:BT241)+AN241*G241</f>
        <v>8051.3000000000175</v>
      </c>
      <c r="BU751" s="2">
        <f>SUM(BU$2:BU241)+AO241*H241</f>
        <v>3607.3000000000029</v>
      </c>
      <c r="BV751" s="2">
        <f>SUM(BV$2:BV241)+AP241*I241</f>
        <v>3633.0999999999913</v>
      </c>
      <c r="BW751" s="2">
        <f>SUM(BW$2:BW241)+AQ241*J241</f>
        <v>16770</v>
      </c>
      <c r="BX751" s="2">
        <f>SUM(BX$2:BX241)+AR241*K241</f>
        <v>13940</v>
      </c>
      <c r="BY751" s="2">
        <f>SUM(BY$2:BY241)+AS241*L241</f>
        <v>-5303.7000000000116</v>
      </c>
      <c r="BZ751" s="2">
        <f>SUM(BZ$2:BZ241)+AT241*M241</f>
        <v>740</v>
      </c>
      <c r="CA751" s="2">
        <f>SUM(CA$2:CA241)+AU241*N241</f>
        <v>29200</v>
      </c>
      <c r="CB751" s="2">
        <f>SUM(CB$2:CB241)+AV241*O241</f>
        <v>19620</v>
      </c>
      <c r="CC751" s="2">
        <f>SUM(CC$2:CC241)+AW241*P241</f>
        <v>-20</v>
      </c>
      <c r="CD751" s="2">
        <f>SUM(CD$2:CD241)+AX241*Q241</f>
        <v>14050</v>
      </c>
      <c r="CE751" s="2">
        <f>SUM(CE$2:CE241)+AY241*R241</f>
        <v>27020</v>
      </c>
      <c r="CF751" s="2">
        <f>SUM(CF$2:CF241)+AZ241*S241</f>
        <v>-1849.3699999999953</v>
      </c>
      <c r="CG751" s="2">
        <f>SUM(CG$2:CG241)+BA241*T241</f>
        <v>23569.999999999985</v>
      </c>
      <c r="CH751" s="2">
        <f>SUM(CH$2:CH241)+BB241*U241</f>
        <v>13052.61</v>
      </c>
      <c r="CI751" s="2">
        <f>SUM(CI$2:CI241)+BC241*V241</f>
        <v>-6420</v>
      </c>
      <c r="CJ751" s="2">
        <f>SUM(CJ$2:CJ241)+BD241*W241</f>
        <v>-9509.9999999999418</v>
      </c>
      <c r="CK751" s="2">
        <f>SUM(CK$2:CK241)+BE241*X241</f>
        <v>77680</v>
      </c>
      <c r="CL751" s="2">
        <f>SUM(CL$2:CL241)+BF241*Y241</f>
        <v>192390</v>
      </c>
      <c r="CM751" s="2">
        <f>SUM(CM$2:CM241)+BG241*Z241</f>
        <v>79402.5</v>
      </c>
      <c r="CN751" s="2">
        <f>SUM(CN$2:CN241)+BH241*AA241</f>
        <v>114122.5</v>
      </c>
      <c r="CO751" s="2">
        <f>SUM(CO$2:CO241)+BI241*AB241</f>
        <v>2470</v>
      </c>
      <c r="CP751" s="2">
        <f>SUM(CP$2:CP241)+BJ241*AC241</f>
        <v>11275</v>
      </c>
      <c r="CQ751" s="2">
        <f>SUM(CQ$2:CQ241)+BK241*AD241</f>
        <v>30110.000000000007</v>
      </c>
      <c r="CR751" s="2">
        <f>SUM(CR$2:CR241)+BL241*AE241</f>
        <v>-4210</v>
      </c>
      <c r="CV751" t="s">
        <v>64</v>
      </c>
      <c r="CW751" t="s">
        <v>824</v>
      </c>
      <c r="CX751" t="s">
        <v>18</v>
      </c>
      <c r="CY751" s="4">
        <v>43368</v>
      </c>
      <c r="CZ751" t="s">
        <v>67</v>
      </c>
      <c r="DA751" t="s">
        <v>68</v>
      </c>
      <c r="DB751">
        <v>53</v>
      </c>
      <c r="DC751">
        <v>70.16</v>
      </c>
      <c r="DD751" t="s">
        <v>69</v>
      </c>
      <c r="DE751" t="s">
        <v>70</v>
      </c>
      <c r="DF751">
        <v>3718.48</v>
      </c>
    </row>
    <row r="752" spans="66:110" x14ac:dyDescent="0.25">
      <c r="BN752" s="1">
        <f t="shared" si="338"/>
        <v>43083</v>
      </c>
      <c r="BO752" s="2">
        <f>SUM(BO$2:BO242)+AI242*B242</f>
        <v>182087.49999999988</v>
      </c>
      <c r="BP752" s="2">
        <f>SUM(BP$2:BP242)+AJ242*C242</f>
        <v>24833.399999999994</v>
      </c>
      <c r="BQ752" s="2">
        <f>SUM(BQ$2:BQ242)+AK242*D242</f>
        <v>151277.99999999991</v>
      </c>
      <c r="BR752" s="2">
        <f>SUM(BR$2:BR242)+AL242*E242</f>
        <v>59286.799999999959</v>
      </c>
      <c r="BS752" s="2">
        <f>SUM(BS$2:BS242)+AM242*F242</f>
        <v>8944.7000000000044</v>
      </c>
      <c r="BT752" s="2">
        <f>SUM(BT$2:BT242)+AN242*G242</f>
        <v>7595</v>
      </c>
      <c r="BU752" s="2">
        <f>SUM(BU$2:BU242)+AO242*H242</f>
        <v>7012</v>
      </c>
      <c r="BV752" s="2">
        <f>SUM(BV$2:BV242)+AP242*I242</f>
        <v>3381.0999999999913</v>
      </c>
      <c r="BW752" s="2">
        <f>SUM(BW$2:BW242)+AQ242*J242</f>
        <v>16690</v>
      </c>
      <c r="BX752" s="2">
        <f>SUM(BX$2:BX242)+AR242*K242</f>
        <v>13940</v>
      </c>
      <c r="BY752" s="2">
        <f>SUM(BY$2:BY242)+AS242*L242</f>
        <v>-5302.800000000012</v>
      </c>
      <c r="BZ752" s="2">
        <f>SUM(BZ$2:BZ242)+AT242*M242</f>
        <v>740</v>
      </c>
      <c r="CA752" s="2">
        <f>SUM(CA$2:CA242)+AU242*N242</f>
        <v>27990</v>
      </c>
      <c r="CB752" s="2">
        <f>SUM(CB$2:CB242)+AV242*O242</f>
        <v>18790</v>
      </c>
      <c r="CC752" s="2">
        <f>SUM(CC$2:CC242)+AW242*P242</f>
        <v>-20</v>
      </c>
      <c r="CD752" s="2">
        <f>SUM(CD$2:CD242)+AX242*Q242</f>
        <v>14050</v>
      </c>
      <c r="CE752" s="2">
        <f>SUM(CE$2:CE242)+AY242*R242</f>
        <v>27020</v>
      </c>
      <c r="CF752" s="2">
        <f>SUM(CF$2:CF242)+AZ242*S242</f>
        <v>-2245.8399999999965</v>
      </c>
      <c r="CG752" s="2">
        <f>SUM(CG$2:CG242)+BA242*T242</f>
        <v>22860.199999999983</v>
      </c>
      <c r="CH752" s="2">
        <f>SUM(CH$2:CH242)+BB242*U242</f>
        <v>13280.080000000009</v>
      </c>
      <c r="CI752" s="2">
        <f>SUM(CI$2:CI242)+BC242*V242</f>
        <v>-6250</v>
      </c>
      <c r="CJ752" s="2">
        <f>SUM(CJ$2:CJ242)+BD242*W242</f>
        <v>-10059.999999999884</v>
      </c>
      <c r="CK752" s="2">
        <f>SUM(CK$2:CK242)+BE242*X242</f>
        <v>72880</v>
      </c>
      <c r="CL752" s="2">
        <f>SUM(CL$2:CL242)+BF242*Y242</f>
        <v>183240</v>
      </c>
      <c r="CM752" s="2">
        <f>SUM(CM$2:CM242)+BG242*Z242</f>
        <v>76802.5</v>
      </c>
      <c r="CN752" s="2">
        <f>SUM(CN$2:CN242)+BH242*AA242</f>
        <v>112222.5</v>
      </c>
      <c r="CO752" s="2">
        <f>SUM(CO$2:CO242)+BI242*AB242</f>
        <v>910</v>
      </c>
      <c r="CP752" s="2">
        <f>SUM(CP$2:CP242)+BJ242*AC242</f>
        <v>13254.999999999985</v>
      </c>
      <c r="CQ752" s="2">
        <f>SUM(CQ$2:CQ242)+BK242*AD242</f>
        <v>29500.000000000007</v>
      </c>
      <c r="CR752" s="2">
        <f>SUM(CR$2:CR242)+BL242*AE242</f>
        <v>-4420</v>
      </c>
      <c r="CV752" t="s">
        <v>64</v>
      </c>
      <c r="CW752" t="s">
        <v>825</v>
      </c>
      <c r="CX752" t="s">
        <v>18</v>
      </c>
      <c r="CY752" s="4">
        <v>43369</v>
      </c>
      <c r="CZ752" t="s">
        <v>65</v>
      </c>
      <c r="DA752" t="s">
        <v>66</v>
      </c>
      <c r="DB752">
        <v>48</v>
      </c>
      <c r="DC752">
        <v>69.84</v>
      </c>
      <c r="DD752" t="s">
        <v>69</v>
      </c>
      <c r="DE752" t="s">
        <v>70</v>
      </c>
      <c r="DF752">
        <v>3352.32</v>
      </c>
    </row>
    <row r="753" spans="66:110" x14ac:dyDescent="0.25">
      <c r="BN753" s="1">
        <f t="shared" si="338"/>
        <v>43084</v>
      </c>
      <c r="BO753" s="2">
        <f>SUM(BO$2:BO243)+AI243*B243</f>
        <v>190637.49999999988</v>
      </c>
      <c r="BP753" s="2">
        <f>SUM(BP$2:BP243)+AJ243*C243</f>
        <v>26412.899999999994</v>
      </c>
      <c r="BQ753" s="2">
        <f>SUM(BQ$2:BQ243)+AK243*D243</f>
        <v>151348.19999999992</v>
      </c>
      <c r="BR753" s="2">
        <f>SUM(BR$2:BR243)+AL243*E243</f>
        <v>59743.099999999977</v>
      </c>
      <c r="BS753" s="2">
        <f>SUM(BS$2:BS243)+AM243*F243</f>
        <v>9272.3000000000029</v>
      </c>
      <c r="BT753" s="2">
        <f>SUM(BT$2:BT243)+AN243*G243</f>
        <v>7829</v>
      </c>
      <c r="BU753" s="2">
        <f>SUM(BU$2:BU243)+AO243*H243</f>
        <v>7819.3000000000029</v>
      </c>
      <c r="BV753" s="2">
        <f>SUM(BV$2:BV243)+AP243*I243</f>
        <v>3055.5999999999913</v>
      </c>
      <c r="BW753" s="2">
        <f>SUM(BW$2:BW243)+AQ243*J243</f>
        <v>18360</v>
      </c>
      <c r="BX753" s="2">
        <f>SUM(BX$2:BX243)+AR243*K243</f>
        <v>13940</v>
      </c>
      <c r="BY753" s="2">
        <f>SUM(BY$2:BY243)+AS243*L243</f>
        <v>-5317.0000000000118</v>
      </c>
      <c r="BZ753" s="2">
        <f>SUM(BZ$2:BZ243)+AT243*M243</f>
        <v>740</v>
      </c>
      <c r="CA753" s="2">
        <f>SUM(CA$2:CA243)+AU243*N243</f>
        <v>28780</v>
      </c>
      <c r="CB753" s="2">
        <f>SUM(CB$2:CB243)+AV243*O243</f>
        <v>20230</v>
      </c>
      <c r="CC753" s="2">
        <f>SUM(CC$2:CC243)+AW243*P243</f>
        <v>-20</v>
      </c>
      <c r="CD753" s="2">
        <f>SUM(CD$2:CD243)+AX243*Q243</f>
        <v>14050</v>
      </c>
      <c r="CE753" s="2">
        <f>SUM(CE$2:CE243)+AY243*R243</f>
        <v>27020</v>
      </c>
      <c r="CF753" s="2">
        <f>SUM(CF$2:CF243)+AZ243*S243</f>
        <v>-2022.0499999999956</v>
      </c>
      <c r="CG753" s="2">
        <f>SUM(CG$2:CG243)+BA243*T243</f>
        <v>24952.639999999985</v>
      </c>
      <c r="CH753" s="2">
        <f>SUM(CH$2:CH243)+BB243*U243</f>
        <v>13546.319999999992</v>
      </c>
      <c r="CI753" s="2">
        <f>SUM(CI$2:CI243)+BC243*V243</f>
        <v>-6960</v>
      </c>
      <c r="CJ753" s="2">
        <f>SUM(CJ$2:CJ243)+BD243*W243</f>
        <v>-14309.999999999942</v>
      </c>
      <c r="CK753" s="2">
        <f>SUM(CK$2:CK243)+BE243*X243</f>
        <v>84180</v>
      </c>
      <c r="CL753" s="2">
        <f>SUM(CL$2:CL243)+BF243*Y243</f>
        <v>184920</v>
      </c>
      <c r="CM753" s="2">
        <f>SUM(CM$2:CM243)+BG243*Z243</f>
        <v>88502.5</v>
      </c>
      <c r="CN753" s="2">
        <f>SUM(CN$2:CN243)+BH243*AA243</f>
        <v>116672.5</v>
      </c>
      <c r="CO753" s="2">
        <f>SUM(CO$2:CO243)+BI243*AB243</f>
        <v>1840</v>
      </c>
      <c r="CP753" s="2">
        <f>SUM(CP$2:CP243)+BJ243*AC243</f>
        <v>10945</v>
      </c>
      <c r="CQ753" s="2">
        <f>SUM(CQ$2:CQ243)+BK243*AD243</f>
        <v>29480.000000000007</v>
      </c>
      <c r="CR753" s="2">
        <f>SUM(CR$2:CR243)+BL243*AE243</f>
        <v>-4300</v>
      </c>
      <c r="CV753" t="s">
        <v>64</v>
      </c>
      <c r="CW753" t="s">
        <v>826</v>
      </c>
      <c r="CX753" t="s">
        <v>18</v>
      </c>
      <c r="CY753" s="4">
        <v>43370</v>
      </c>
      <c r="CZ753" t="s">
        <v>67</v>
      </c>
      <c r="DA753" t="s">
        <v>68</v>
      </c>
      <c r="DB753">
        <v>14</v>
      </c>
      <c r="DC753">
        <v>70.23</v>
      </c>
      <c r="DD753" t="s">
        <v>69</v>
      </c>
      <c r="DE753" t="s">
        <v>70</v>
      </c>
      <c r="DF753">
        <v>983.22</v>
      </c>
    </row>
    <row r="754" spans="66:110" x14ac:dyDescent="0.25">
      <c r="BN754" s="1">
        <f t="shared" si="338"/>
        <v>43087</v>
      </c>
      <c r="BO754" s="2">
        <f>SUM(BO$2:BO244)+AI244*B244</f>
        <v>202687.49999999988</v>
      </c>
      <c r="BP754" s="2">
        <f>SUM(BP$2:BP244)+AJ244*C244</f>
        <v>27746.699999999997</v>
      </c>
      <c r="BQ754" s="2">
        <f>SUM(BQ$2:BQ244)+AK244*D244</f>
        <v>153863.69999999992</v>
      </c>
      <c r="BR754" s="2">
        <f>SUM(BR$2:BR244)+AL244*E244</f>
        <v>63253.099999999977</v>
      </c>
      <c r="BS754" s="2">
        <f>SUM(BS$2:BS244)+AM244*F244</f>
        <v>9599.9000000000087</v>
      </c>
      <c r="BT754" s="2">
        <f>SUM(BT$2:BT244)+AN244*G244</f>
        <v>7793.9000000000233</v>
      </c>
      <c r="BU754" s="2">
        <f>SUM(BU$2:BU244)+AO244*H244</f>
        <v>7550.1999999999971</v>
      </c>
      <c r="BV754" s="2">
        <f>SUM(BV$2:BV244)+AP244*I244</f>
        <v>4483.5999999999913</v>
      </c>
      <c r="BW754" s="2">
        <f>SUM(BW$2:BW244)+AQ244*J244</f>
        <v>21170</v>
      </c>
      <c r="BX754" s="2">
        <f>SUM(BX$2:BX244)+AR244*K244</f>
        <v>13940</v>
      </c>
      <c r="BY754" s="2">
        <f>SUM(BY$2:BY244)+AS244*L244</f>
        <v>-5309.1000000000113</v>
      </c>
      <c r="BZ754" s="2">
        <f>SUM(BZ$2:BZ244)+AT244*M244</f>
        <v>740</v>
      </c>
      <c r="CA754" s="2">
        <f>SUM(CA$2:CA244)+AU244*N244</f>
        <v>28140</v>
      </c>
      <c r="CB754" s="2">
        <f>SUM(CB$2:CB244)+AV244*O244</f>
        <v>21020</v>
      </c>
      <c r="CC754" s="2">
        <f>SUM(CC$2:CC244)+AW244*P244</f>
        <v>-20</v>
      </c>
      <c r="CD754" s="2">
        <f>SUM(CD$2:CD244)+AX244*Q244</f>
        <v>14050</v>
      </c>
      <c r="CE754" s="2">
        <f>SUM(CE$2:CE244)+AY244*R244</f>
        <v>27020</v>
      </c>
      <c r="CF754" s="2">
        <f>SUM(CF$2:CF244)+AZ244*S244</f>
        <v>-2041.5500000000029</v>
      </c>
      <c r="CG754" s="2">
        <f>SUM(CG$2:CG244)+BA244*T244</f>
        <v>24453.999999999971</v>
      </c>
      <c r="CH754" s="2">
        <f>SUM(CH$2:CH244)+BB244*U244</f>
        <v>13567.160000000003</v>
      </c>
      <c r="CI754" s="2">
        <f>SUM(CI$2:CI244)+BC244*V244</f>
        <v>-6890</v>
      </c>
      <c r="CJ754" s="2">
        <f>SUM(CJ$2:CJ244)+BD244*W244</f>
        <v>-14309.999999999942</v>
      </c>
      <c r="CK754" s="2">
        <f>SUM(CK$2:CK244)+BE244*X244</f>
        <v>85730.000000000116</v>
      </c>
      <c r="CL754" s="2">
        <f>SUM(CL$2:CL244)+BF244*Y244</f>
        <v>187440</v>
      </c>
      <c r="CM754" s="2">
        <f>SUM(CM$2:CM244)+BG244*Z244</f>
        <v>91102.5</v>
      </c>
      <c r="CN754" s="2">
        <f>SUM(CN$2:CN244)+BH244*AA244</f>
        <v>115322.5</v>
      </c>
      <c r="CO754" s="2">
        <f>SUM(CO$2:CO244)+BI244*AB244</f>
        <v>3490</v>
      </c>
      <c r="CP754" s="2">
        <f>SUM(CP$2:CP244)+BJ244*AC244</f>
        <v>10060</v>
      </c>
      <c r="CQ754" s="2">
        <f>SUM(CQ$2:CQ244)+BK244*AD244</f>
        <v>30250.000000000007</v>
      </c>
      <c r="CR754" s="2">
        <f>SUM(CR$2:CR244)+BL244*AE244</f>
        <v>-4380</v>
      </c>
      <c r="CV754" t="s">
        <v>64</v>
      </c>
      <c r="CW754" t="s">
        <v>827</v>
      </c>
      <c r="CX754" t="s">
        <v>18</v>
      </c>
      <c r="CY754" s="4">
        <v>43371</v>
      </c>
      <c r="CZ754" t="s">
        <v>65</v>
      </c>
      <c r="DA754" t="s">
        <v>66</v>
      </c>
      <c r="DB754">
        <v>4</v>
      </c>
      <c r="DC754">
        <v>70.45</v>
      </c>
      <c r="DD754" t="s">
        <v>69</v>
      </c>
      <c r="DE754" t="s">
        <v>70</v>
      </c>
      <c r="DF754">
        <v>281.8</v>
      </c>
    </row>
    <row r="755" spans="66:110" x14ac:dyDescent="0.25">
      <c r="BN755" s="1">
        <f t="shared" si="338"/>
        <v>43088</v>
      </c>
      <c r="BO755" s="2">
        <f>SUM(BO$2:BO245)+AI245*B245</f>
        <v>193437.49999999988</v>
      </c>
      <c r="BP755" s="2">
        <f>SUM(BP$2:BP245)+AJ245*C245</f>
        <v>27138.300000000003</v>
      </c>
      <c r="BQ755" s="2">
        <f>SUM(BQ$2:BQ245)+AK245*D245</f>
        <v>155127.2999999999</v>
      </c>
      <c r="BR755" s="2">
        <f>SUM(BR$2:BR245)+AL245*E245</f>
        <v>64551.799999999959</v>
      </c>
      <c r="BS755" s="2">
        <f>SUM(BS$2:BS245)+AM245*F245</f>
        <v>9389.3000000000102</v>
      </c>
      <c r="BT755" s="2">
        <f>SUM(BT$2:BT245)+AN245*G245</f>
        <v>7946</v>
      </c>
      <c r="BU755" s="2">
        <f>SUM(BU$2:BU245)+AO245*H245</f>
        <v>8439.3999999999942</v>
      </c>
      <c r="BV755" s="2">
        <f>SUM(BV$2:BV245)+AP245*I245</f>
        <v>4515.0999999999913</v>
      </c>
      <c r="BW755" s="2">
        <f>SUM(BW$2:BW245)+AQ245*J245</f>
        <v>17680</v>
      </c>
      <c r="BX755" s="2">
        <f>SUM(BX$2:BX245)+AR245*K245</f>
        <v>13940</v>
      </c>
      <c r="BY755" s="2">
        <f>SUM(BY$2:BY245)+AS245*L245</f>
        <v>-5310.1000000000113</v>
      </c>
      <c r="BZ755" s="2">
        <f>SUM(BZ$2:BZ245)+AT245*M245</f>
        <v>740</v>
      </c>
      <c r="CA755" s="2">
        <f>SUM(CA$2:CA245)+AU245*N245</f>
        <v>28120</v>
      </c>
      <c r="CB755" s="2">
        <f>SUM(CB$2:CB245)+AV245*O245</f>
        <v>20590</v>
      </c>
      <c r="CC755" s="2">
        <f>SUM(CC$2:CC245)+AW245*P245</f>
        <v>-20</v>
      </c>
      <c r="CD755" s="2">
        <f>SUM(CD$2:CD245)+AX245*Q245</f>
        <v>14050</v>
      </c>
      <c r="CE755" s="2">
        <f>SUM(CE$2:CE245)+AY245*R245</f>
        <v>27020</v>
      </c>
      <c r="CF755" s="2">
        <f>SUM(CF$2:CF245)+AZ245*S245</f>
        <v>-2031.1399999999994</v>
      </c>
      <c r="CG755" s="2">
        <f>SUM(CG$2:CG245)+BA245*T245</f>
        <v>23951.259999999987</v>
      </c>
      <c r="CH755" s="2">
        <f>SUM(CH$2:CH245)+BB245*U245</f>
        <v>12977.780000000013</v>
      </c>
      <c r="CI755" s="2">
        <f>SUM(CI$2:CI245)+BC245*V245</f>
        <v>-6710</v>
      </c>
      <c r="CJ755" s="2">
        <f>SUM(CJ$2:CJ245)+BD245*W245</f>
        <v>-13309.999999999942</v>
      </c>
      <c r="CK755" s="2">
        <f>SUM(CK$2:CK245)+BE245*X245</f>
        <v>87330</v>
      </c>
      <c r="CL755" s="2">
        <f>SUM(CL$2:CL245)+BF245*Y245</f>
        <v>185580</v>
      </c>
      <c r="CM755" s="2">
        <f>SUM(CM$2:CM245)+BG245*Z245</f>
        <v>91452.5</v>
      </c>
      <c r="CN755" s="2">
        <f>SUM(CN$2:CN245)+BH245*AA245</f>
        <v>108322.5</v>
      </c>
      <c r="CO755" s="2">
        <f>SUM(CO$2:CO245)+BI245*AB245</f>
        <v>2320</v>
      </c>
      <c r="CP755" s="2">
        <f>SUM(CP$2:CP245)+BJ245*AC245</f>
        <v>10585.000000000015</v>
      </c>
      <c r="CQ755" s="2">
        <f>SUM(CQ$2:CQ245)+BK245*AD245</f>
        <v>31130.000000000007</v>
      </c>
      <c r="CR755" s="2">
        <f>SUM(CR$2:CR245)+BL245*AE245</f>
        <v>-4860</v>
      </c>
      <c r="CV755" t="s">
        <v>64</v>
      </c>
      <c r="CW755" t="s">
        <v>828</v>
      </c>
      <c r="CX755" t="s">
        <v>18</v>
      </c>
      <c r="CY755" s="4">
        <v>43374</v>
      </c>
      <c r="CZ755" t="s">
        <v>67</v>
      </c>
      <c r="DA755" t="s">
        <v>68</v>
      </c>
      <c r="DB755">
        <v>55</v>
      </c>
      <c r="DC755">
        <v>71.03</v>
      </c>
      <c r="DD755" t="s">
        <v>69</v>
      </c>
      <c r="DE755" t="s">
        <v>70</v>
      </c>
      <c r="DF755">
        <v>3906.65</v>
      </c>
    </row>
    <row r="756" spans="66:110" x14ac:dyDescent="0.25">
      <c r="BN756" s="1">
        <f t="shared" si="338"/>
        <v>43089</v>
      </c>
      <c r="BO756" s="2">
        <f>SUM(BO$2:BO246)+AI246*B246</f>
        <v>192537.49999999988</v>
      </c>
      <c r="BP756" s="2">
        <f>SUM(BP$2:BP246)+AJ246*C246</f>
        <v>26401.199999999997</v>
      </c>
      <c r="BQ756" s="2">
        <f>SUM(BQ$2:BQ246)+AK246*D246</f>
        <v>155876.09999999989</v>
      </c>
      <c r="BR756" s="2">
        <f>SUM(BR$2:BR246)+AL246*E246</f>
        <v>66376.999999999942</v>
      </c>
      <c r="BS756" s="2">
        <f>SUM(BS$2:BS246)+AM246*F246</f>
        <v>9892.4000000000087</v>
      </c>
      <c r="BT756" s="2">
        <f>SUM(BT$2:BT246)+AN246*G246</f>
        <v>9116</v>
      </c>
      <c r="BU756" s="2">
        <f>SUM(BU$2:BU246)+AO246*H246</f>
        <v>6005.8000000000029</v>
      </c>
      <c r="BV756" s="2">
        <f>SUM(BV$2:BV246)+AP246*I246</f>
        <v>4357.5999999999913</v>
      </c>
      <c r="BW756" s="2">
        <f>SUM(BW$2:BW246)+AQ246*J246</f>
        <v>16390</v>
      </c>
      <c r="BX756" s="2">
        <f>SUM(BX$2:BX246)+AR246*K246</f>
        <v>13940</v>
      </c>
      <c r="BY756" s="2">
        <f>SUM(BY$2:BY246)+AS246*L246</f>
        <v>-5312.7000000000116</v>
      </c>
      <c r="BZ756" s="2">
        <f>SUM(BZ$2:BZ246)+AT246*M246</f>
        <v>740</v>
      </c>
      <c r="CA756" s="2">
        <f>SUM(CA$2:CA246)+AU246*N246</f>
        <v>27510</v>
      </c>
      <c r="CB756" s="2">
        <f>SUM(CB$2:CB246)+AV246*O246</f>
        <v>20230</v>
      </c>
      <c r="CC756" s="2">
        <f>SUM(CC$2:CC246)+AW246*P246</f>
        <v>-20</v>
      </c>
      <c r="CD756" s="2">
        <f>SUM(CD$2:CD246)+AX246*Q246</f>
        <v>14050</v>
      </c>
      <c r="CE756" s="2">
        <f>SUM(CE$2:CE246)+AY246*R246</f>
        <v>27020</v>
      </c>
      <c r="CF756" s="2">
        <f>SUM(CF$2:CF246)+AZ246*S246</f>
        <v>-2153.4200000000055</v>
      </c>
      <c r="CG756" s="2">
        <f>SUM(CG$2:CG246)+BA246*T246</f>
        <v>23662.339999999982</v>
      </c>
      <c r="CH756" s="2">
        <f>SUM(CH$2:CH246)+BB246*U246</f>
        <v>12275.060000000012</v>
      </c>
      <c r="CI756" s="2">
        <f>SUM(CI$2:CI246)+BC246*V246</f>
        <v>-6250</v>
      </c>
      <c r="CJ756" s="2">
        <f>SUM(CJ$2:CJ246)+BD246*W246</f>
        <v>-12609.999999999942</v>
      </c>
      <c r="CK756" s="2">
        <f>SUM(CK$2:CK246)+BE246*X246</f>
        <v>85980</v>
      </c>
      <c r="CL756" s="2">
        <f>SUM(CL$2:CL246)+BF246*Y246</f>
        <v>186570</v>
      </c>
      <c r="CM756" s="2">
        <f>SUM(CM$2:CM246)+BG246*Z246</f>
        <v>92552.5</v>
      </c>
      <c r="CN756" s="2">
        <f>SUM(CN$2:CN246)+BH246*AA246</f>
        <v>108222.5</v>
      </c>
      <c r="CO756" s="2">
        <f>SUM(CO$2:CO246)+BI246*AB246</f>
        <v>2140</v>
      </c>
      <c r="CP756" s="2">
        <f>SUM(CP$2:CP246)+BJ246*AC246</f>
        <v>9805</v>
      </c>
      <c r="CQ756" s="2">
        <f>SUM(CQ$2:CQ246)+BK246*AD246</f>
        <v>31080.000000000007</v>
      </c>
      <c r="CR756" s="2">
        <f>SUM(CR$2:CR246)+BL246*AE246</f>
        <v>-4450</v>
      </c>
      <c r="CV756" t="s">
        <v>64</v>
      </c>
      <c r="CW756" t="s">
        <v>829</v>
      </c>
      <c r="CX756" t="s">
        <v>18</v>
      </c>
      <c r="CY756" s="4">
        <v>43375</v>
      </c>
      <c r="CZ756" t="s">
        <v>65</v>
      </c>
      <c r="DA756" t="s">
        <v>66</v>
      </c>
      <c r="DB756">
        <v>32</v>
      </c>
      <c r="DC756">
        <v>71.25</v>
      </c>
      <c r="DD756" t="s">
        <v>69</v>
      </c>
      <c r="DE756" t="s">
        <v>70</v>
      </c>
      <c r="DF756">
        <v>2280</v>
      </c>
    </row>
    <row r="757" spans="66:110" x14ac:dyDescent="0.25">
      <c r="BN757" s="1">
        <f t="shared" si="338"/>
        <v>43090</v>
      </c>
      <c r="BO757" s="2">
        <f>SUM(BO$2:BO247)+AI247*B247</f>
        <v>195787.49999999988</v>
      </c>
      <c r="BP757" s="2">
        <f>SUM(BP$2:BP247)+AJ247*C247</f>
        <v>26389.5</v>
      </c>
      <c r="BQ757" s="2">
        <f>SUM(BQ$2:BQ247)+AK247*D247</f>
        <v>152588.39999999994</v>
      </c>
      <c r="BR757" s="2">
        <f>SUM(BR$2:BR247)+AL247*E247</f>
        <v>68787.199999999953</v>
      </c>
      <c r="BS757" s="2">
        <f>SUM(BS$2:BS247)+AM247*F247</f>
        <v>9658.4000000000015</v>
      </c>
      <c r="BT757" s="2">
        <f>SUM(BT$2:BT247)+AN247*G247</f>
        <v>13503.5</v>
      </c>
      <c r="BU757" s="2">
        <f>SUM(BU$2:BU247)+AO247*H247</f>
        <v>5865.3999999999942</v>
      </c>
      <c r="BV757" s="2">
        <f>SUM(BV$2:BV247)+AP247*I247</f>
        <v>4735.5999999999913</v>
      </c>
      <c r="BW757" s="2">
        <f>SUM(BW$2:BW247)+AQ247*J247</f>
        <v>22139.999999999971</v>
      </c>
      <c r="BX757" s="2">
        <f>SUM(BX$2:BX247)+AR247*K247</f>
        <v>13940</v>
      </c>
      <c r="BY757" s="2">
        <f>SUM(BY$2:BY247)+AS247*L247</f>
        <v>-5326.5000000000118</v>
      </c>
      <c r="BZ757" s="2">
        <f>SUM(BZ$2:BZ247)+AT247*M247</f>
        <v>740</v>
      </c>
      <c r="CA757" s="2">
        <f>SUM(CA$2:CA247)+AU247*N247</f>
        <v>27420</v>
      </c>
      <c r="CB757" s="2">
        <f>SUM(CB$2:CB247)+AV247*O247</f>
        <v>21870</v>
      </c>
      <c r="CC757" s="2">
        <f>SUM(CC$2:CC247)+AW247*P247</f>
        <v>-20</v>
      </c>
      <c r="CD757" s="2">
        <f>SUM(CD$2:CD247)+AX247*Q247</f>
        <v>14050</v>
      </c>
      <c r="CE757" s="2">
        <f>SUM(CE$2:CE247)+AY247*R247</f>
        <v>27020</v>
      </c>
      <c r="CF757" s="2">
        <f>SUM(CF$2:CF247)+AZ247*S247</f>
        <v>-1660.9400000000023</v>
      </c>
      <c r="CG757" s="2">
        <f>SUM(CG$2:CG247)+BA247*T247</f>
        <v>23652.169999999976</v>
      </c>
      <c r="CH757" s="2">
        <f>SUM(CH$2:CH247)+BB247*U247</f>
        <v>13549.190000000002</v>
      </c>
      <c r="CI757" s="2">
        <f>SUM(CI$2:CI247)+BC247*V247</f>
        <v>-6040</v>
      </c>
      <c r="CJ757" s="2">
        <f>SUM(CJ$2:CJ247)+BD247*W247</f>
        <v>-13259.999999999942</v>
      </c>
      <c r="CK757" s="2">
        <f>SUM(CK$2:CK247)+BE247*X247</f>
        <v>81980.000000000116</v>
      </c>
      <c r="CL757" s="2">
        <f>SUM(CL$2:CL247)+BF247*Y247</f>
        <v>184530</v>
      </c>
      <c r="CM757" s="2">
        <f>SUM(CM$2:CM247)+BG247*Z247</f>
        <v>94052.5</v>
      </c>
      <c r="CN757" s="2">
        <f>SUM(CN$2:CN247)+BH247*AA247</f>
        <v>109672.5</v>
      </c>
      <c r="CO757" s="2">
        <f>SUM(CO$2:CO247)+BI247*AB247</f>
        <v>2830</v>
      </c>
      <c r="CP757" s="2">
        <f>SUM(CP$2:CP247)+BJ247*AC247</f>
        <v>9040.0000000000146</v>
      </c>
      <c r="CQ757" s="2">
        <f>SUM(CQ$2:CQ247)+BK247*AD247</f>
        <v>30410.000000000007</v>
      </c>
      <c r="CR757" s="2">
        <f>SUM(CR$2:CR247)+BL247*AE247</f>
        <v>-3520</v>
      </c>
      <c r="CV757" t="s">
        <v>64</v>
      </c>
      <c r="CW757" t="s">
        <v>830</v>
      </c>
      <c r="CX757" t="s">
        <v>18</v>
      </c>
      <c r="CY757" s="4">
        <v>43376</v>
      </c>
      <c r="CZ757" t="s">
        <v>65</v>
      </c>
      <c r="DA757" t="s">
        <v>66</v>
      </c>
      <c r="DB757">
        <v>21</v>
      </c>
      <c r="DC757">
        <v>70.87</v>
      </c>
      <c r="DD757" t="s">
        <v>69</v>
      </c>
      <c r="DE757" t="s">
        <v>70</v>
      </c>
      <c r="DF757">
        <v>1488.27</v>
      </c>
    </row>
    <row r="758" spans="66:110" x14ac:dyDescent="0.25">
      <c r="BN758" s="1">
        <f t="shared" si="338"/>
        <v>43091</v>
      </c>
      <c r="BO758" s="2">
        <f>SUM(BO$2:BO248)+AI248*B248</f>
        <v>195787.49999999988</v>
      </c>
      <c r="BP758" s="2">
        <f>SUM(BP$2:BP248)+AJ248*C248</f>
        <v>26670.300000000003</v>
      </c>
      <c r="BQ758" s="2">
        <f>SUM(BQ$2:BQ248)+AK248*D248</f>
        <v>152670.29999999996</v>
      </c>
      <c r="BR758" s="2">
        <f>SUM(BR$2:BR248)+AL248*E248</f>
        <v>70050.799999999959</v>
      </c>
      <c r="BS758" s="2">
        <f>SUM(BS$2:BS248)+AM248*F248</f>
        <v>9681.8000000000102</v>
      </c>
      <c r="BT758" s="2">
        <f>SUM(BT$2:BT248)+AN248*G248</f>
        <v>13679</v>
      </c>
      <c r="BU758" s="2">
        <f>SUM(BU$2:BU248)+AO248*H248</f>
        <v>4824.0999999999913</v>
      </c>
      <c r="BV758" s="2">
        <f>SUM(BV$2:BV248)+AP248*I248</f>
        <v>5218.5999999999913</v>
      </c>
      <c r="BW758" s="2">
        <f>SUM(BW$2:BW248)+AQ248*J248</f>
        <v>20130</v>
      </c>
      <c r="BX758" s="2">
        <f>SUM(BX$2:BX248)+AR248*K248</f>
        <v>13940</v>
      </c>
      <c r="BY758" s="2">
        <f>SUM(BY$2:BY248)+AS248*L248</f>
        <v>-5317.0000000000118</v>
      </c>
      <c r="BZ758" s="2">
        <f>SUM(BZ$2:BZ248)+AT248*M248</f>
        <v>740</v>
      </c>
      <c r="CA758" s="2">
        <f>SUM(CA$2:CA248)+AU248*N248</f>
        <v>26500</v>
      </c>
      <c r="CB758" s="2">
        <f>SUM(CB$2:CB248)+AV248*O248</f>
        <v>21500</v>
      </c>
      <c r="CC758" s="2">
        <f>SUM(CC$2:CC248)+AW248*P248</f>
        <v>-20</v>
      </c>
      <c r="CD758" s="2">
        <f>SUM(CD$2:CD248)+AX248*Q248</f>
        <v>14050</v>
      </c>
      <c r="CE758" s="2">
        <f>SUM(CE$2:CE248)+AY248*R248</f>
        <v>27020</v>
      </c>
      <c r="CF758" s="2">
        <f>SUM(CF$2:CF248)+AZ248*S248</f>
        <v>-1911.9800000000032</v>
      </c>
      <c r="CG758" s="2">
        <f>SUM(CG$2:CG248)+BA248*T248</f>
        <v>23652.169999999976</v>
      </c>
      <c r="CH758" s="2">
        <f>SUM(CH$2:CH248)+BB248*U248</f>
        <v>12052.730000000003</v>
      </c>
      <c r="CI758" s="2">
        <f>SUM(CI$2:CI248)+BC248*V248</f>
        <v>-5940</v>
      </c>
      <c r="CJ758" s="2">
        <f>SUM(CJ$2:CJ248)+BD248*W248</f>
        <v>-15460</v>
      </c>
      <c r="CK758" s="2">
        <f>SUM(CK$2:CK248)+BE248*X248</f>
        <v>81730</v>
      </c>
      <c r="CL758" s="2">
        <f>SUM(CL$2:CL248)+BF248*Y248</f>
        <v>179520</v>
      </c>
      <c r="CM758" s="2">
        <f>SUM(CM$2:CM248)+BG248*Z248</f>
        <v>93652.5</v>
      </c>
      <c r="CN758" s="2">
        <f>SUM(CN$2:CN248)+BH248*AA248</f>
        <v>111072.5</v>
      </c>
      <c r="CO758" s="2">
        <f>SUM(CO$2:CO248)+BI248*AB248</f>
        <v>3340</v>
      </c>
      <c r="CP758" s="2">
        <f>SUM(CP$2:CP248)+BJ248*AC248</f>
        <v>9820</v>
      </c>
      <c r="CQ758" s="2">
        <f>SUM(CQ$2:CQ248)+BK248*AD248</f>
        <v>30550.000000000007</v>
      </c>
      <c r="CR758" s="2">
        <f>SUM(CR$2:CR248)+BL248*AE248</f>
        <v>-3410</v>
      </c>
      <c r="CV758" t="s">
        <v>64</v>
      </c>
      <c r="CW758" t="s">
        <v>831</v>
      </c>
      <c r="CX758" t="s">
        <v>18</v>
      </c>
      <c r="CY758" s="4">
        <v>43377</v>
      </c>
      <c r="CZ758" t="s">
        <v>67</v>
      </c>
      <c r="DA758" t="s">
        <v>68</v>
      </c>
      <c r="DB758">
        <v>63</v>
      </c>
      <c r="DC758">
        <v>70.72</v>
      </c>
      <c r="DD758" t="s">
        <v>69</v>
      </c>
      <c r="DE758" t="s">
        <v>70</v>
      </c>
      <c r="DF758">
        <v>4455.3599999999997</v>
      </c>
    </row>
    <row r="759" spans="66:110" x14ac:dyDescent="0.25">
      <c r="BN759" s="1">
        <f t="shared" si="338"/>
        <v>43095</v>
      </c>
      <c r="BO759" s="2">
        <f>SUM(BO$2:BO249)+AI249*B249</f>
        <v>173987.5</v>
      </c>
      <c r="BP759" s="2">
        <f>SUM(BP$2:BP249)+AJ249*C249</f>
        <v>26471.399999999994</v>
      </c>
      <c r="BQ759" s="2">
        <f>SUM(BQ$2:BQ249)+AK249*D249</f>
        <v>152974.49999999997</v>
      </c>
      <c r="BR759" s="2">
        <f>SUM(BR$2:BR249)+AL249*E249</f>
        <v>70834.699999999953</v>
      </c>
      <c r="BS759" s="2">
        <f>SUM(BS$2:BS249)+AM249*F249</f>
        <v>9599.9000000000087</v>
      </c>
      <c r="BT759" s="2">
        <f>SUM(BT$2:BT249)+AN249*G249</f>
        <v>14790.500000000029</v>
      </c>
      <c r="BU759" s="2">
        <f>SUM(BU$2:BU249)+AO249*H249</f>
        <v>4192.3000000000029</v>
      </c>
      <c r="BV759" s="2">
        <f>SUM(BV$2:BV249)+AP249*I249</f>
        <v>4536.0999999999913</v>
      </c>
      <c r="BW759" s="2">
        <f>SUM(BW$2:BW249)+AQ249*J249</f>
        <v>18900</v>
      </c>
      <c r="BX759" s="2">
        <f>SUM(BX$2:BX249)+AR249*K249</f>
        <v>13940</v>
      </c>
      <c r="BY759" s="2">
        <f>SUM(BY$2:BY249)+AS249*L249</f>
        <v>-5313.9000000000115</v>
      </c>
      <c r="BZ759" s="2">
        <f>SUM(BZ$2:BZ249)+AT249*M249</f>
        <v>740</v>
      </c>
      <c r="CA759" s="2">
        <f>SUM(CA$2:CA249)+AU249*N249</f>
        <v>26470</v>
      </c>
      <c r="CB759" s="2">
        <f>SUM(CB$2:CB249)+AV249*O249</f>
        <v>21080</v>
      </c>
      <c r="CC759" s="2">
        <f>SUM(CC$2:CC249)+AW249*P249</f>
        <v>-20</v>
      </c>
      <c r="CD759" s="2">
        <f>SUM(CD$2:CD249)+AX249*Q249</f>
        <v>14050</v>
      </c>
      <c r="CE759" s="2">
        <f>SUM(CE$2:CE249)+AY249*R249</f>
        <v>27020</v>
      </c>
      <c r="CF759" s="2">
        <f>SUM(CF$2:CF249)+AZ249*S249</f>
        <v>-1931.820000000007</v>
      </c>
      <c r="CG759" s="2">
        <f>SUM(CG$2:CG249)+BA249*T249</f>
        <v>23555.069999999971</v>
      </c>
      <c r="CH759" s="2">
        <f>SUM(CH$2:CH249)+BB249*U249</f>
        <v>12385.37000000001</v>
      </c>
      <c r="CI759" s="2">
        <f>SUM(CI$2:CI249)+BC249*V249</f>
        <v>-6010</v>
      </c>
      <c r="CJ759" s="2">
        <f>SUM(CJ$2:CJ249)+BD249*W249</f>
        <v>-17159.999999999942</v>
      </c>
      <c r="CK759" s="2">
        <f>SUM(CK$2:CK249)+BE249*X249</f>
        <v>83630</v>
      </c>
      <c r="CL759" s="2">
        <f>SUM(CL$2:CL249)+BF249*Y249</f>
        <v>178350</v>
      </c>
      <c r="CM759" s="2">
        <f>SUM(CM$2:CM249)+BG249*Z249</f>
        <v>93202.5</v>
      </c>
      <c r="CN759" s="2">
        <f>SUM(CN$2:CN249)+BH249*AA249</f>
        <v>112572.5</v>
      </c>
      <c r="CO759" s="2">
        <f>SUM(CO$2:CO249)+BI249*AB249</f>
        <v>3400</v>
      </c>
      <c r="CP759" s="2">
        <f>SUM(CP$2:CP249)+BJ249*AC249</f>
        <v>8964.9999999999854</v>
      </c>
      <c r="CQ759" s="2">
        <f>SUM(CQ$2:CQ249)+BK249*AD249</f>
        <v>31480.000000000007</v>
      </c>
      <c r="CR759" s="2">
        <f>SUM(CR$2:CR249)+BL249*AE249</f>
        <v>-3400</v>
      </c>
      <c r="CV759" t="s">
        <v>64</v>
      </c>
      <c r="CW759" t="s">
        <v>832</v>
      </c>
      <c r="CX759" t="s">
        <v>18</v>
      </c>
      <c r="CY759" s="4">
        <v>43378</v>
      </c>
      <c r="CZ759" t="s">
        <v>65</v>
      </c>
      <c r="DA759" t="s">
        <v>66</v>
      </c>
      <c r="DB759">
        <v>13</v>
      </c>
      <c r="DC759">
        <v>70.540000000000006</v>
      </c>
      <c r="DD759" t="s">
        <v>69</v>
      </c>
      <c r="DE759" t="s">
        <v>70</v>
      </c>
      <c r="DF759">
        <v>917.0200000000001</v>
      </c>
    </row>
    <row r="760" spans="66:110" x14ac:dyDescent="0.25">
      <c r="BN760" s="1">
        <f t="shared" si="338"/>
        <v>43096</v>
      </c>
      <c r="BO760" s="2">
        <f>SUM(BO$2:BO250)+AI250*B250</f>
        <v>174137.5</v>
      </c>
      <c r="BP760" s="2">
        <f>SUM(BP$2:BP250)+AJ250*C250</f>
        <v>27114.899999999994</v>
      </c>
      <c r="BQ760" s="2">
        <f>SUM(BQ$2:BQ250)+AK250*D250</f>
        <v>153266.99999999997</v>
      </c>
      <c r="BR760" s="2">
        <f>SUM(BR$2:BR250)+AL250*E250</f>
        <v>72063.199999999983</v>
      </c>
      <c r="BS760" s="2">
        <f>SUM(BS$2:BS250)+AM250*F250</f>
        <v>9693.5000000000073</v>
      </c>
      <c r="BT760" s="2">
        <f>SUM(BT$2:BT250)+AN250*G250</f>
        <v>14310.800000000017</v>
      </c>
      <c r="BU760" s="2">
        <f>SUM(BU$2:BU250)+AO250*H250</f>
        <v>3642.3999999999942</v>
      </c>
      <c r="BV760" s="2">
        <f>SUM(BV$2:BV250)+AP250*I250</f>
        <v>4536.0999999999913</v>
      </c>
      <c r="BW760" s="2">
        <f>SUM(BW$2:BW250)+AQ250*J250</f>
        <v>17150</v>
      </c>
      <c r="BX760" s="2">
        <f>SUM(BX$2:BX250)+AR250*K250</f>
        <v>13940</v>
      </c>
      <c r="BY760" s="2">
        <f>SUM(BY$2:BY250)+AS250*L250</f>
        <v>-5311.0000000000118</v>
      </c>
      <c r="BZ760" s="2">
        <f>SUM(BZ$2:BZ250)+AT250*M250</f>
        <v>740</v>
      </c>
      <c r="CA760" s="2">
        <f>SUM(CA$2:CA250)+AU250*N250</f>
        <v>26940</v>
      </c>
      <c r="CB760" s="2">
        <f>SUM(CB$2:CB250)+AV250*O250</f>
        <v>21270</v>
      </c>
      <c r="CC760" s="2">
        <f>SUM(CC$2:CC250)+AW250*P250</f>
        <v>-20</v>
      </c>
      <c r="CD760" s="2">
        <f>SUM(CD$2:CD250)+AX250*Q250</f>
        <v>14050</v>
      </c>
      <c r="CE760" s="2">
        <f>SUM(CE$2:CE250)+AY250*R250</f>
        <v>27020</v>
      </c>
      <c r="CF760" s="2">
        <f>SUM(CF$2:CF250)+AZ250*S250</f>
        <v>-1931.820000000007</v>
      </c>
      <c r="CG760" s="2">
        <f>SUM(CG$2:CG250)+BA250*T250</f>
        <v>23873.369999999974</v>
      </c>
      <c r="CH760" s="2">
        <f>SUM(CH$2:CH250)+BB250*U250</f>
        <v>11720.900000000009</v>
      </c>
      <c r="CI760" s="2">
        <f>SUM(CI$2:CI250)+BC250*V250</f>
        <v>-6120</v>
      </c>
      <c r="CJ760" s="2">
        <f>SUM(CJ$2:CJ250)+BD250*W250</f>
        <v>-15359.999999999942</v>
      </c>
      <c r="CK760" s="2">
        <f>SUM(CK$2:CK250)+BE250*X250</f>
        <v>83580</v>
      </c>
      <c r="CL760" s="2">
        <f>SUM(CL$2:CL250)+BF250*Y250</f>
        <v>180780</v>
      </c>
      <c r="CM760" s="2">
        <f>SUM(CM$2:CM250)+BG250*Z250</f>
        <v>95352.5</v>
      </c>
      <c r="CN760" s="2">
        <f>SUM(CN$2:CN250)+BH250*AA250</f>
        <v>117672.5</v>
      </c>
      <c r="CO760" s="2">
        <f>SUM(CO$2:CO250)+BI250*AB250</f>
        <v>3580</v>
      </c>
      <c r="CP760" s="2">
        <f>SUM(CP$2:CP250)+BJ250*AC250</f>
        <v>9610</v>
      </c>
      <c r="CQ760" s="2">
        <f>SUM(CQ$2:CQ250)+BK250*AD250</f>
        <v>31580.000000000007</v>
      </c>
      <c r="CR760" s="2">
        <f>SUM(CR$2:CR250)+BL250*AE250</f>
        <v>-3470</v>
      </c>
      <c r="CV760" t="s">
        <v>64</v>
      </c>
      <c r="CW760" t="s">
        <v>833</v>
      </c>
      <c r="CX760" t="s">
        <v>18</v>
      </c>
      <c r="CY760" s="4">
        <v>43381</v>
      </c>
      <c r="CZ760" t="s">
        <v>65</v>
      </c>
      <c r="DA760" t="s">
        <v>66</v>
      </c>
      <c r="DB760">
        <v>81</v>
      </c>
      <c r="DC760">
        <v>70.959999999999994</v>
      </c>
      <c r="DD760" t="s">
        <v>69</v>
      </c>
      <c r="DE760" t="s">
        <v>70</v>
      </c>
      <c r="DF760">
        <v>5747.7599999999993</v>
      </c>
    </row>
    <row r="761" spans="66:110" x14ac:dyDescent="0.25">
      <c r="BN761" s="1">
        <f t="shared" si="338"/>
        <v>43097</v>
      </c>
      <c r="BO761" s="2">
        <f>SUM(BO$2:BO251)+AI251*B251</f>
        <v>176487.5</v>
      </c>
      <c r="BP761" s="2">
        <f>SUM(BP$2:BP251)+AJ251*C251</f>
        <v>27770.099999999991</v>
      </c>
      <c r="BQ761" s="2">
        <f>SUM(BQ$2:BQ251)+AK251*D251</f>
        <v>154097.69999999992</v>
      </c>
      <c r="BR761" s="2">
        <f>SUM(BR$2:BR251)+AL251*E251</f>
        <v>73081.099999999977</v>
      </c>
      <c r="BS761" s="2">
        <f>SUM(BS$2:BS251)+AM251*F251</f>
        <v>9716.9000000000015</v>
      </c>
      <c r="BT761" s="2">
        <f>SUM(BT$2:BT251)+AN251*G251</f>
        <v>14345.899999999994</v>
      </c>
      <c r="BU761" s="2">
        <f>SUM(BU$2:BU251)+AO251*H251</f>
        <v>3794.5</v>
      </c>
      <c r="BV761" s="2">
        <f>SUM(BV$2:BV251)+AP251*I251</f>
        <v>4609.5999999999913</v>
      </c>
      <c r="BW761" s="2">
        <f>SUM(BW$2:BW251)+AQ251*J251</f>
        <v>17690</v>
      </c>
      <c r="BX761" s="2">
        <f>SUM(BX$2:BX251)+AR251*K251</f>
        <v>13940</v>
      </c>
      <c r="BY761" s="2">
        <f>SUM(BY$2:BY251)+AS251*L251</f>
        <v>-5302.4000000000115</v>
      </c>
      <c r="BZ761" s="2">
        <f>SUM(BZ$2:BZ251)+AT251*M251</f>
        <v>740</v>
      </c>
      <c r="CA761" s="2">
        <f>SUM(CA$2:CA251)+AU251*N251</f>
        <v>26930</v>
      </c>
      <c r="CB761" s="2">
        <f>SUM(CB$2:CB251)+AV251*O251</f>
        <v>21830</v>
      </c>
      <c r="CC761" s="2">
        <f>SUM(CC$2:CC251)+AW251*P251</f>
        <v>-20</v>
      </c>
      <c r="CD761" s="2">
        <f>SUM(CD$2:CD251)+AX251*Q251</f>
        <v>14050</v>
      </c>
      <c r="CE761" s="2">
        <f>SUM(CE$2:CE251)+AY251*R251</f>
        <v>27020</v>
      </c>
      <c r="CF761" s="2">
        <f>SUM(CF$2:CF251)+AZ251*S251</f>
        <v>-1673.9000000000015</v>
      </c>
      <c r="CG761" s="2">
        <f>SUM(CG$2:CG251)+BA251*T251</f>
        <v>23883.289999999979</v>
      </c>
      <c r="CH761" s="2">
        <f>SUM(CH$2:CH251)+BB251*U251</f>
        <v>11720.900000000009</v>
      </c>
      <c r="CI761" s="2">
        <f>SUM(CI$2:CI251)+BC251*V251</f>
        <v>-6160</v>
      </c>
      <c r="CJ761" s="2">
        <f>SUM(CJ$2:CJ251)+BD251*W251</f>
        <v>-15209.999999999942</v>
      </c>
      <c r="CK761" s="2">
        <f>SUM(CK$2:CK251)+BE251*X251</f>
        <v>87930</v>
      </c>
      <c r="CL761" s="2">
        <f>SUM(CL$2:CL251)+BF251*Y251</f>
        <v>187740</v>
      </c>
      <c r="CM761" s="2">
        <f>SUM(CM$2:CM251)+BG251*Z251</f>
        <v>98002.5</v>
      </c>
      <c r="CN761" s="2">
        <f>SUM(CN$2:CN251)+BH251*AA251</f>
        <v>119322.5</v>
      </c>
      <c r="CO761" s="2">
        <f>SUM(CO$2:CO251)+BI251*AB251</f>
        <v>4000</v>
      </c>
      <c r="CP761" s="2">
        <f>SUM(CP$2:CP251)+BJ251*AC251</f>
        <v>9490</v>
      </c>
      <c r="CQ761" s="2">
        <f>SUM(CQ$2:CQ251)+BK251*AD251</f>
        <v>31720.000000000007</v>
      </c>
      <c r="CR761" s="2">
        <f>SUM(CR$2:CR251)+BL251*AE251</f>
        <v>-3360</v>
      </c>
      <c r="CV761" t="s">
        <v>64</v>
      </c>
      <c r="CW761" t="s">
        <v>834</v>
      </c>
      <c r="CX761" t="s">
        <v>18</v>
      </c>
      <c r="CY761" s="4">
        <v>43382</v>
      </c>
      <c r="CZ761" t="s">
        <v>67</v>
      </c>
      <c r="DA761" t="s">
        <v>68</v>
      </c>
      <c r="DB761">
        <v>25</v>
      </c>
      <c r="DC761">
        <v>71.84</v>
      </c>
      <c r="DD761" t="s">
        <v>69</v>
      </c>
      <c r="DE761" t="s">
        <v>70</v>
      </c>
      <c r="DF761">
        <v>1796</v>
      </c>
    </row>
    <row r="762" spans="66:110" x14ac:dyDescent="0.25">
      <c r="BN762" s="1">
        <f t="shared" si="338"/>
        <v>43098</v>
      </c>
      <c r="BO762" s="2">
        <f>SUM(BO$2:BO252)+AI252*B252</f>
        <v>167387.49999999988</v>
      </c>
      <c r="BP762" s="2">
        <f>SUM(BP$2:BP252)+AJ252*C252</f>
        <v>27325.5</v>
      </c>
      <c r="BQ762" s="2">
        <f>SUM(BQ$2:BQ252)+AK252*D252</f>
        <v>152459.69999999998</v>
      </c>
      <c r="BR762" s="2">
        <f>SUM(BR$2:BR252)+AL252*E252</f>
        <v>72133.399999999965</v>
      </c>
      <c r="BS762" s="2">
        <f>SUM(BS$2:BS252)+AM252*F252</f>
        <v>9389.3000000000102</v>
      </c>
      <c r="BT762" s="2">
        <f>SUM(BT$2:BT252)+AN252*G252</f>
        <v>13913.000000000029</v>
      </c>
      <c r="BU762" s="2">
        <f>SUM(BU$2:BU252)+AO252*H252</f>
        <v>3490.2999999999884</v>
      </c>
      <c r="BV762" s="2">
        <f>SUM(BV$2:BV252)+AP252*I252</f>
        <v>4305.0999999999913</v>
      </c>
      <c r="BW762" s="2">
        <f>SUM(BW$2:BW252)+AQ252*J252</f>
        <v>15980</v>
      </c>
      <c r="BX762" s="2">
        <f>SUM(BX$2:BX252)+AR252*K252</f>
        <v>13940</v>
      </c>
      <c r="BY762" s="2">
        <f>SUM(BY$2:BY252)+AS252*L252</f>
        <v>-5308.300000000012</v>
      </c>
      <c r="BZ762" s="2">
        <f>SUM(BZ$2:BZ252)+AT252*M252</f>
        <v>740</v>
      </c>
      <c r="CA762" s="2">
        <f>SUM(CA$2:CA252)+AU252*N252</f>
        <v>26110</v>
      </c>
      <c r="CB762" s="2">
        <f>SUM(CB$2:CB252)+AV252*O252</f>
        <v>21000</v>
      </c>
      <c r="CC762" s="2">
        <f>SUM(CC$2:CC252)+AW252*P252</f>
        <v>-20</v>
      </c>
      <c r="CD762" s="2">
        <f>SUM(CD$2:CD252)+AX252*Q252</f>
        <v>14050</v>
      </c>
      <c r="CE762" s="2">
        <f>SUM(CE$2:CE252)+AY252*R252</f>
        <v>27020</v>
      </c>
      <c r="CF762" s="2">
        <f>SUM(CF$2:CF252)+AZ252*S252</f>
        <v>-1986.2199999999939</v>
      </c>
      <c r="CG762" s="2">
        <f>SUM(CG$2:CG252)+BA252*T252</f>
        <v>23705.449999999975</v>
      </c>
      <c r="CH762" s="2">
        <f>SUM(CH$2:CH252)+BB252*U252</f>
        <v>11360.100000000013</v>
      </c>
      <c r="CI762" s="2">
        <f>SUM(CI$2:CI252)+BC252*V252</f>
        <v>-6020</v>
      </c>
      <c r="CJ762" s="2">
        <f>SUM(CJ$2:CJ252)+BD252*W252</f>
        <v>-14309.999999999942</v>
      </c>
      <c r="CK762" s="2">
        <f>SUM(CK$2:CK252)+BE252*X252</f>
        <v>87830</v>
      </c>
      <c r="CL762" s="2">
        <f>SUM(CL$2:CL252)+BF252*Y252</f>
        <v>180900</v>
      </c>
      <c r="CM762" s="2">
        <f>SUM(CM$2:CM252)+BG252*Z252</f>
        <v>95302.5</v>
      </c>
      <c r="CN762" s="2">
        <f>SUM(CN$2:CN252)+BH252*AA252</f>
        <v>117672.5</v>
      </c>
      <c r="CO762" s="2">
        <f>SUM(CO$2:CO252)+BI252*AB252</f>
        <v>2590</v>
      </c>
      <c r="CP762" s="2">
        <f>SUM(CP$2:CP252)+BJ252*AC252</f>
        <v>9955.0000000000146</v>
      </c>
      <c r="CQ762" s="2">
        <f>SUM(CQ$2:CQ252)+BK252*AD252</f>
        <v>31080.000000000007</v>
      </c>
      <c r="CR762" s="2">
        <f>SUM(CR$2:CR252)+BL252*AE252</f>
        <v>-3720</v>
      </c>
      <c r="CV762" t="s">
        <v>64</v>
      </c>
      <c r="CW762" t="s">
        <v>835</v>
      </c>
      <c r="CX762" t="s">
        <v>18</v>
      </c>
      <c r="CY762" s="4">
        <v>43383</v>
      </c>
      <c r="CZ762" t="s">
        <v>65</v>
      </c>
      <c r="DA762" t="s">
        <v>66</v>
      </c>
      <c r="DB762">
        <v>9</v>
      </c>
      <c r="DC762">
        <v>69.959999999999994</v>
      </c>
      <c r="DD762" t="s">
        <v>69</v>
      </c>
      <c r="DE762" t="s">
        <v>70</v>
      </c>
      <c r="DF762">
        <v>629.64</v>
      </c>
    </row>
    <row r="763" spans="66:110" x14ac:dyDescent="0.25">
      <c r="BN763" s="1">
        <f t="shared" si="338"/>
        <v>43102</v>
      </c>
      <c r="BO763" s="2">
        <f>SUM(BO$2:BO253)+AI253*B253</f>
        <v>182287.49999999988</v>
      </c>
      <c r="BP763" s="2">
        <f>SUM(BP$2:BP253)+AJ253*C253</f>
        <v>26892.599999999991</v>
      </c>
      <c r="BQ763" s="2">
        <f>SUM(BQ$2:BQ253)+AK253*D253</f>
        <v>154659.29999999996</v>
      </c>
      <c r="BR763" s="2">
        <f>SUM(BR$2:BR253)+AL253*E253</f>
        <v>71513.299999999959</v>
      </c>
      <c r="BS763" s="2">
        <f>SUM(BS$2:BS253)+AM253*F253</f>
        <v>10021.100000000006</v>
      </c>
      <c r="BT763" s="2">
        <f>SUM(BT$2:BT253)+AN253*G253</f>
        <v>16580.600000000006</v>
      </c>
      <c r="BU763" s="2">
        <f>SUM(BU$2:BU253)+AO253*H253</f>
        <v>8427.6999999999971</v>
      </c>
      <c r="BV763" s="2">
        <f>SUM(BV$2:BV253)+AP253*I253</f>
        <v>5008.5999999999913</v>
      </c>
      <c r="BW763" s="2">
        <f>SUM(BW$2:BW253)+AQ253*J253</f>
        <v>16880</v>
      </c>
      <c r="BX763" s="2">
        <f>SUM(BX$2:BX253)+AR253*K253</f>
        <v>13940</v>
      </c>
      <c r="BY763" s="2">
        <f>SUM(BY$2:BY253)+AS253*L253</f>
        <v>-5300.4000000000115</v>
      </c>
      <c r="BZ763" s="2">
        <f>SUM(BZ$2:BZ253)+AT253*M253</f>
        <v>740</v>
      </c>
      <c r="CA763" s="2">
        <f>SUM(CA$2:CA253)+AU253*N253</f>
        <v>25630</v>
      </c>
      <c r="CB763" s="2">
        <f>SUM(CB$2:CB253)+AV253*O253</f>
        <v>21980</v>
      </c>
      <c r="CC763" s="2">
        <f>SUM(CC$2:CC253)+AW253*P253</f>
        <v>-20</v>
      </c>
      <c r="CD763" s="2">
        <f>SUM(CD$2:CD253)+AX253*Q253</f>
        <v>14050</v>
      </c>
      <c r="CE763" s="2">
        <f>SUM(CE$2:CE253)+AY253*R253</f>
        <v>27020</v>
      </c>
      <c r="CF763" s="2">
        <f>SUM(CF$2:CF253)+AZ253*S253</f>
        <v>-2035.8199999999997</v>
      </c>
      <c r="CG763" s="2">
        <f>SUM(CG$2:CG253)+BA253*T253</f>
        <v>24122.419999999962</v>
      </c>
      <c r="CH763" s="2">
        <f>SUM(CH$2:CH253)+BB253*U253</f>
        <v>12274.290000000008</v>
      </c>
      <c r="CI763" s="2">
        <f>SUM(CI$2:CI253)+BC253*V253</f>
        <v>-6230</v>
      </c>
      <c r="CJ763" s="2">
        <f>SUM(CJ$2:CJ253)+BD253*W253</f>
        <v>-8409.9999999999418</v>
      </c>
      <c r="CK763" s="2">
        <f>SUM(CK$2:CK253)+BE253*X253</f>
        <v>69980</v>
      </c>
      <c r="CL763" s="2">
        <f>SUM(CL$2:CL253)+BF253*Y253</f>
        <v>182970</v>
      </c>
      <c r="CM763" s="2">
        <f>SUM(CM$2:CM253)+BG253*Z253</f>
        <v>98152.5</v>
      </c>
      <c r="CN763" s="2">
        <f>SUM(CN$2:CN253)+BH253*AA253</f>
        <v>118872.5</v>
      </c>
      <c r="CO763" s="2">
        <f>SUM(CO$2:CO253)+BI253*AB253</f>
        <v>4300</v>
      </c>
      <c r="CP763" s="2">
        <f>SUM(CP$2:CP253)+BJ253*AC253</f>
        <v>6565</v>
      </c>
      <c r="CQ763" s="2">
        <f>SUM(CQ$2:CQ253)+BK253*AD253</f>
        <v>30920.000000000007</v>
      </c>
      <c r="CR763" s="2">
        <f>SUM(CR$2:CR253)+BL253*AE253</f>
        <v>-2400</v>
      </c>
      <c r="CV763" t="s">
        <v>64</v>
      </c>
      <c r="CW763" t="s">
        <v>836</v>
      </c>
      <c r="CX763" t="s">
        <v>18</v>
      </c>
      <c r="CY763" s="4">
        <v>43384</v>
      </c>
      <c r="CZ763" t="s">
        <v>65</v>
      </c>
      <c r="DA763" t="s">
        <v>66</v>
      </c>
      <c r="DB763">
        <v>5</v>
      </c>
      <c r="DC763">
        <v>67.89</v>
      </c>
      <c r="DD763" t="s">
        <v>69</v>
      </c>
      <c r="DE763" t="s">
        <v>70</v>
      </c>
      <c r="DF763">
        <v>339.45</v>
      </c>
    </row>
    <row r="764" spans="66:110" x14ac:dyDescent="0.25">
      <c r="BN764" s="1">
        <f t="shared" si="338"/>
        <v>43103</v>
      </c>
      <c r="BO764" s="2">
        <f>SUM(BO$2:BO254)+AI254*B254</f>
        <v>182137.49999999988</v>
      </c>
      <c r="BP764" s="2">
        <f>SUM(BP$2:BP254)+AJ254*C254</f>
        <v>27594.599999999991</v>
      </c>
      <c r="BQ764" s="2">
        <f>SUM(BQ$2:BQ254)+AK254*D254</f>
        <v>155759.09999999992</v>
      </c>
      <c r="BR764" s="2">
        <f>SUM(BR$2:BR254)+AL254*E254</f>
        <v>71794.099999999977</v>
      </c>
      <c r="BS764" s="2">
        <f>SUM(BS$2:BS254)+AM254*F254</f>
        <v>10372.100000000006</v>
      </c>
      <c r="BT764" s="2">
        <f>SUM(BT$2:BT254)+AN254*G254</f>
        <v>17610.200000000012</v>
      </c>
      <c r="BU764" s="2">
        <f>SUM(BU$2:BU254)+AO254*H254</f>
        <v>8989.2999999999884</v>
      </c>
      <c r="BV764" s="2">
        <f>SUM(BV$2:BV254)+AP254*I254</f>
        <v>6184.5999999999767</v>
      </c>
      <c r="BW764" s="2">
        <f>SUM(BW$2:BW254)+AQ254*J254</f>
        <v>14530</v>
      </c>
      <c r="BX764" s="2">
        <f>SUM(BX$2:BX254)+AR254*K254</f>
        <v>13940</v>
      </c>
      <c r="BY764" s="2">
        <f>SUM(BY$2:BY254)+AS254*L254</f>
        <v>-5260.300000000012</v>
      </c>
      <c r="BZ764" s="2">
        <f>SUM(BZ$2:BZ254)+AT254*M254</f>
        <v>740</v>
      </c>
      <c r="CA764" s="2">
        <f>SUM(CA$2:CA254)+AU254*N254</f>
        <v>26930</v>
      </c>
      <c r="CB764" s="2">
        <f>SUM(CB$2:CB254)+AV254*O254</f>
        <v>22090</v>
      </c>
      <c r="CC764" s="2">
        <f>SUM(CC$2:CC254)+AW254*P254</f>
        <v>-20</v>
      </c>
      <c r="CD764" s="2">
        <f>SUM(CD$2:CD254)+AX254*Q254</f>
        <v>14050</v>
      </c>
      <c r="CE764" s="2">
        <f>SUM(CE$2:CE254)+AY254*R254</f>
        <v>27020</v>
      </c>
      <c r="CF764" s="2">
        <f>SUM(CF$2:CF254)+AZ254*S254</f>
        <v>-2115.5800000000017</v>
      </c>
      <c r="CG764" s="2">
        <f>SUM(CG$2:CG254)+BA254*T254</f>
        <v>24507.349999999962</v>
      </c>
      <c r="CH764" s="2">
        <f>SUM(CH$2:CH254)+BB254*U254</f>
        <v>12264.780000000013</v>
      </c>
      <c r="CI764" s="2">
        <f>SUM(CI$2:CI254)+BC254*V254</f>
        <v>-6490</v>
      </c>
      <c r="CJ764" s="2">
        <f>SUM(CJ$2:CJ254)+BD254*W254</f>
        <v>-7859.9999999999418</v>
      </c>
      <c r="CK764" s="2">
        <f>SUM(CK$2:CK254)+BE254*X254</f>
        <v>72030</v>
      </c>
      <c r="CL764" s="2">
        <f>SUM(CL$2:CL254)+BF254*Y254</f>
        <v>189840</v>
      </c>
      <c r="CM764" s="2">
        <f>SUM(CM$2:CM254)+BG254*Z254</f>
        <v>107302.5</v>
      </c>
      <c r="CN764" s="2">
        <f>SUM(CN$2:CN254)+BH254*AA254</f>
        <v>121697.5</v>
      </c>
      <c r="CO764" s="2">
        <f>SUM(CO$2:CO254)+BI254*AB254</f>
        <v>1180</v>
      </c>
      <c r="CP764" s="2">
        <f>SUM(CP$2:CP254)+BJ254*AC254</f>
        <v>5754.9999999999854</v>
      </c>
      <c r="CQ764" s="2">
        <f>SUM(CQ$2:CQ254)+BK254*AD254</f>
        <v>31760.000000000007</v>
      </c>
      <c r="CR764" s="2">
        <f>SUM(CR$2:CR254)+BL254*AE254</f>
        <v>-810</v>
      </c>
      <c r="CV764" t="s">
        <v>64</v>
      </c>
      <c r="CW764" t="s">
        <v>837</v>
      </c>
      <c r="CX764" t="s">
        <v>18</v>
      </c>
      <c r="CY764" s="4">
        <v>43385</v>
      </c>
      <c r="CZ764" t="s">
        <v>67</v>
      </c>
      <c r="DA764" t="s">
        <v>68</v>
      </c>
      <c r="DB764">
        <v>66</v>
      </c>
      <c r="DC764">
        <v>69.319999999999993</v>
      </c>
      <c r="DD764" t="s">
        <v>69</v>
      </c>
      <c r="DE764" t="s">
        <v>70</v>
      </c>
      <c r="DF764">
        <v>4575.12</v>
      </c>
    </row>
    <row r="765" spans="66:110" x14ac:dyDescent="0.25">
      <c r="BN765" s="1">
        <f t="shared" si="338"/>
        <v>43104</v>
      </c>
      <c r="BO765" s="2">
        <f>SUM(BO$2:BO255)+AI255*B255</f>
        <v>186037.49999999988</v>
      </c>
      <c r="BP765" s="2">
        <f>SUM(BP$2:BP255)+AJ255*C255</f>
        <v>29529.799999999988</v>
      </c>
      <c r="BQ765" s="2">
        <f>SUM(BQ$2:BQ255)+AK255*D255</f>
        <v>154461.09999999992</v>
      </c>
      <c r="BR765" s="2">
        <f>SUM(BR$2:BR255)+AL255*E255</f>
        <v>74272.099999999977</v>
      </c>
      <c r="BS765" s="2">
        <f>SUM(BS$2:BS255)+AM255*F255</f>
        <v>10501.900000000009</v>
      </c>
      <c r="BT765" s="2">
        <f>SUM(BT$2:BT255)+AN255*G255</f>
        <v>17161.800000000017</v>
      </c>
      <c r="BU765" s="2">
        <f>SUM(BU$2:BU255)+AO255*H255</f>
        <v>8930.3000000000029</v>
      </c>
      <c r="BV765" s="2">
        <f>SUM(BV$2:BV255)+AP255*I255</f>
        <v>7636.7999999999884</v>
      </c>
      <c r="BW765" s="2">
        <f>SUM(BW$2:BW255)+AQ255*J255</f>
        <v>18020</v>
      </c>
      <c r="BX765" s="2">
        <f>SUM(BX$2:BX255)+AR255*K255</f>
        <v>13940</v>
      </c>
      <c r="BY765" s="2">
        <f>SUM(BY$2:BY255)+AS255*L255</f>
        <v>-5230.0000000000118</v>
      </c>
      <c r="BZ765" s="2">
        <f>SUM(BZ$2:BZ255)+AT255*M255</f>
        <v>740</v>
      </c>
      <c r="CA765" s="2">
        <f>SUM(CA$2:CA255)+AU255*N255</f>
        <v>26920</v>
      </c>
      <c r="CB765" s="2">
        <f>SUM(CB$2:CB255)+AV255*O255</f>
        <v>23590</v>
      </c>
      <c r="CC765" s="2">
        <f>SUM(CC$2:CC255)+AW255*P255</f>
        <v>-20</v>
      </c>
      <c r="CD765" s="2">
        <f>SUM(CD$2:CD255)+AX255*Q255</f>
        <v>14050</v>
      </c>
      <c r="CE765" s="2">
        <f>SUM(CE$2:CE255)+AY255*R255</f>
        <v>27020</v>
      </c>
      <c r="CF765" s="2">
        <f>SUM(CF$2:CF255)+AZ255*S255</f>
        <v>-1270.7799999999916</v>
      </c>
      <c r="CG765" s="2">
        <f>SUM(CG$2:CG255)+BA255*T255</f>
        <v>25326.349999999962</v>
      </c>
      <c r="CH765" s="2">
        <f>SUM(CH$2:CH255)+BB255*U255</f>
        <v>12228.580000000009</v>
      </c>
      <c r="CI765" s="2">
        <f>SUM(CI$2:CI255)+BC255*V255</f>
        <v>-6560</v>
      </c>
      <c r="CJ765" s="2">
        <f>SUM(CJ$2:CJ255)+BD255*W255</f>
        <v>-10909.999999999942</v>
      </c>
      <c r="CK765" s="2">
        <f>SUM(CK$2:CK255)+BE255*X255</f>
        <v>72030</v>
      </c>
      <c r="CL765" s="2">
        <f>SUM(CL$2:CL255)+BF255*Y255</f>
        <v>192690</v>
      </c>
      <c r="CM765" s="2">
        <f>SUM(CM$2:CM255)+BG255*Z255</f>
        <v>109302.5</v>
      </c>
      <c r="CN765" s="2">
        <f>SUM(CN$2:CN255)+BH255*AA255</f>
        <v>122772.5</v>
      </c>
      <c r="CO765" s="2">
        <f>SUM(CO$2:CO255)+BI255*AB255</f>
        <v>1660</v>
      </c>
      <c r="CP765" s="2">
        <f>SUM(CP$2:CP255)+BJ255*AC255</f>
        <v>11440</v>
      </c>
      <c r="CQ765" s="2">
        <f>SUM(CQ$2:CQ255)+BK255*AD255</f>
        <v>31850.000000000007</v>
      </c>
      <c r="CR765" s="2">
        <f>SUM(CR$2:CR255)+BL255*AE255</f>
        <v>-700</v>
      </c>
      <c r="CV765" t="s">
        <v>64</v>
      </c>
      <c r="CW765" t="s">
        <v>838</v>
      </c>
      <c r="CX765" t="s">
        <v>18</v>
      </c>
      <c r="CY765" s="4">
        <v>43388</v>
      </c>
      <c r="CZ765" t="s">
        <v>65</v>
      </c>
      <c r="DA765" t="s">
        <v>66</v>
      </c>
      <c r="DB765">
        <v>50</v>
      </c>
      <c r="DC765">
        <v>68.98</v>
      </c>
      <c r="DD765" t="s">
        <v>69</v>
      </c>
      <c r="DE765" t="s">
        <v>70</v>
      </c>
      <c r="DF765">
        <v>3449</v>
      </c>
    </row>
    <row r="766" spans="66:110" x14ac:dyDescent="0.25">
      <c r="BN766" s="1">
        <f t="shared" si="338"/>
        <v>43105</v>
      </c>
      <c r="BO766" s="2">
        <f>SUM(BO$2:BO256)+AI256*B256</f>
        <v>195737.49999999988</v>
      </c>
      <c r="BP766" s="2">
        <f>SUM(BP$2:BP256)+AJ256*C256</f>
        <v>29789.400000000009</v>
      </c>
      <c r="BQ766" s="2">
        <f>SUM(BQ$2:BQ256)+AK256*D256</f>
        <v>168467.69999999995</v>
      </c>
      <c r="BR766" s="2">
        <f>SUM(BR$2:BR256)+AL256*E256</f>
        <v>77151.299999999959</v>
      </c>
      <c r="BS766" s="2">
        <f>SUM(BS$2:BS256)+AM256*F256</f>
        <v>11115.500000000007</v>
      </c>
      <c r="BT766" s="2">
        <f>SUM(BT$2:BT256)+AN256*G256</f>
        <v>16925.800000000017</v>
      </c>
      <c r="BU766" s="2">
        <f>SUM(BU$2:BU256)+AO256*H256</f>
        <v>8222.2999999999884</v>
      </c>
      <c r="BV766" s="2">
        <f>SUM(BV$2:BV256)+AP256*I256</f>
        <v>8643.7999999999884</v>
      </c>
      <c r="BW766" s="2">
        <f>SUM(BW$2:BW256)+AQ256*J256</f>
        <v>16730</v>
      </c>
      <c r="BX766" s="2">
        <f>SUM(BX$2:BX256)+AR256*K256</f>
        <v>13940</v>
      </c>
      <c r="BY766" s="2">
        <f>SUM(BY$2:BY256)+AS256*L256</f>
        <v>-5222.5000000000118</v>
      </c>
      <c r="BZ766" s="2">
        <f>SUM(BZ$2:BZ256)+AT256*M256</f>
        <v>740</v>
      </c>
      <c r="CA766" s="2">
        <f>SUM(CA$2:CA256)+AU256*N256</f>
        <v>28050</v>
      </c>
      <c r="CB766" s="2">
        <f>SUM(CB$2:CB256)+AV256*O256</f>
        <v>22910</v>
      </c>
      <c r="CC766" s="2">
        <f>SUM(CC$2:CC256)+AW256*P256</f>
        <v>-20</v>
      </c>
      <c r="CD766" s="2">
        <f>SUM(CD$2:CD256)+AX256*Q256</f>
        <v>14050</v>
      </c>
      <c r="CE766" s="2">
        <f>SUM(CE$2:CE256)+AY256*R256</f>
        <v>27020</v>
      </c>
      <c r="CF766" s="2">
        <f>SUM(CF$2:CF256)+AZ256*S256</f>
        <v>-1318.3799999999974</v>
      </c>
      <c r="CG766" s="2">
        <f>SUM(CG$2:CG256)+BA256*T256</f>
        <v>26287.76999999996</v>
      </c>
      <c r="CH766" s="2">
        <f>SUM(CH$2:CH256)+BB256*U256</f>
        <v>12716.74000000002</v>
      </c>
      <c r="CI766" s="2">
        <f>SUM(CI$2:CI256)+BC256*V256</f>
        <v>-6630</v>
      </c>
      <c r="CJ766" s="2">
        <f>SUM(CJ$2:CJ256)+BD256*W256</f>
        <v>-11209.999999999942</v>
      </c>
      <c r="CK766" s="2">
        <f>SUM(CK$2:CK256)+BE256*X256</f>
        <v>70830</v>
      </c>
      <c r="CL766" s="2">
        <f>SUM(CL$2:CL256)+BF256*Y256</f>
        <v>205380</v>
      </c>
      <c r="CM766" s="2">
        <f>SUM(CM$2:CM256)+BG256*Z256</f>
        <v>114752.5</v>
      </c>
      <c r="CN766" s="2">
        <f>SUM(CN$2:CN256)+BH256*AA256</f>
        <v>129672.5</v>
      </c>
      <c r="CO766" s="2">
        <f>SUM(CO$2:CO256)+BI256*AB256</f>
        <v>1330</v>
      </c>
      <c r="CP766" s="2">
        <f>SUM(CP$2:CP256)+BJ256*AC256</f>
        <v>9520</v>
      </c>
      <c r="CQ766" s="2">
        <f>SUM(CQ$2:CQ256)+BK256*AD256</f>
        <v>32430.000000000007</v>
      </c>
      <c r="CR766" s="2">
        <f>SUM(CR$2:CR256)+BL256*AE256</f>
        <v>-770</v>
      </c>
      <c r="CV766" t="s">
        <v>64</v>
      </c>
      <c r="CW766" t="s">
        <v>839</v>
      </c>
      <c r="CX766" t="s">
        <v>18</v>
      </c>
      <c r="CY766" s="4">
        <v>43389</v>
      </c>
      <c r="CZ766" t="s">
        <v>67</v>
      </c>
      <c r="DA766" t="s">
        <v>68</v>
      </c>
      <c r="DB766">
        <v>30</v>
      </c>
      <c r="DC766">
        <v>70.72</v>
      </c>
      <c r="DD766" t="s">
        <v>69</v>
      </c>
      <c r="DE766" t="s">
        <v>70</v>
      </c>
      <c r="DF766">
        <v>2121.6</v>
      </c>
    </row>
    <row r="767" spans="66:110" x14ac:dyDescent="0.25">
      <c r="BN767" s="1">
        <f t="shared" si="338"/>
        <v>43108</v>
      </c>
      <c r="BO767" s="2">
        <f>SUM(BO$2:BO257)+AI257*B257</f>
        <v>192537.49999999988</v>
      </c>
      <c r="BP767" s="2">
        <f>SUM(BP$2:BP257)+AJ257*C257</f>
        <v>28703.800000000003</v>
      </c>
      <c r="BQ767" s="2">
        <f>SUM(BQ$2:BQ257)+AK257*D257</f>
        <v>169978.09999999998</v>
      </c>
      <c r="BR767" s="2">
        <f>SUM(BR$2:BR257)+AL257*E257</f>
        <v>81824.099999999977</v>
      </c>
      <c r="BS767" s="2">
        <f>SUM(BS$2:BS257)+AM257*F257</f>
        <v>11587.500000000007</v>
      </c>
      <c r="BT767" s="2">
        <f>SUM(BT$2:BT257)+AN257*G257</f>
        <v>17633.800000000017</v>
      </c>
      <c r="BU767" s="2">
        <f>SUM(BU$2:BU257)+AO257*H257</f>
        <v>6357.8999999999942</v>
      </c>
      <c r="BV767" s="2">
        <f>SUM(BV$2:BV257)+AP257*I257</f>
        <v>8368.1999999999825</v>
      </c>
      <c r="BW767" s="2">
        <f>SUM(BW$2:BW257)+AQ257*J257</f>
        <v>13070</v>
      </c>
      <c r="BX767" s="2">
        <f>SUM(BX$2:BX257)+AR257*K257</f>
        <v>13940</v>
      </c>
      <c r="BY767" s="2">
        <f>SUM(BY$2:BY257)+AS257*L257</f>
        <v>-5213.300000000012</v>
      </c>
      <c r="BZ767" s="2">
        <f>SUM(BZ$2:BZ257)+AT257*M257</f>
        <v>740</v>
      </c>
      <c r="CA767" s="2">
        <f>SUM(CA$2:CA257)+AU257*N257</f>
        <v>28220</v>
      </c>
      <c r="CB767" s="2">
        <f>SUM(CB$2:CB257)+AV257*O257</f>
        <v>23060</v>
      </c>
      <c r="CC767" s="2">
        <f>SUM(CC$2:CC257)+AW257*P257</f>
        <v>-20</v>
      </c>
      <c r="CD767" s="2">
        <f>SUM(CD$2:CD257)+AX257*Q257</f>
        <v>14050</v>
      </c>
      <c r="CE767" s="2">
        <f>SUM(CE$2:CE257)+AY257*R257</f>
        <v>27020</v>
      </c>
      <c r="CF767" s="2">
        <f>SUM(CF$2:CF257)+AZ257*S257</f>
        <v>-1631.0199999999968</v>
      </c>
      <c r="CG767" s="2">
        <f>SUM(CG$2:CG257)+BA257*T257</f>
        <v>26375.159999999967</v>
      </c>
      <c r="CH767" s="2">
        <f>SUM(CH$2:CH257)+BB257*U257</f>
        <v>13293.540000000015</v>
      </c>
      <c r="CI767" s="2">
        <f>SUM(CI$2:CI257)+BC257*V257</f>
        <v>-6240</v>
      </c>
      <c r="CJ767" s="2">
        <f>SUM(CJ$2:CJ257)+BD257*W257</f>
        <v>-13509.999999999942</v>
      </c>
      <c r="CK767" s="2">
        <f>SUM(CK$2:CK257)+BE257*X257</f>
        <v>67380</v>
      </c>
      <c r="CL767" s="2">
        <f>SUM(CL$2:CL257)+BF257*Y257</f>
        <v>193620</v>
      </c>
      <c r="CM767" s="2">
        <f>SUM(CM$2:CM257)+BG257*Z257</f>
        <v>120802.5</v>
      </c>
      <c r="CN767" s="2">
        <f>SUM(CN$2:CN257)+BH257*AA257</f>
        <v>130847.5</v>
      </c>
      <c r="CO767" s="2">
        <f>SUM(CO$2:CO257)+BI257*AB257</f>
        <v>1060</v>
      </c>
      <c r="CP767" s="2">
        <f>SUM(CP$2:CP257)+BJ257*AC257</f>
        <v>8169.9999999999854</v>
      </c>
      <c r="CQ767" s="2">
        <f>SUM(CQ$2:CQ257)+BK257*AD257</f>
        <v>33870.000000000007</v>
      </c>
      <c r="CR767" s="2">
        <f>SUM(CR$2:CR257)+BL257*AE257</f>
        <v>-400</v>
      </c>
      <c r="CV767" t="s">
        <v>64</v>
      </c>
      <c r="CW767" t="s">
        <v>840</v>
      </c>
      <c r="CX767" t="s">
        <v>18</v>
      </c>
      <c r="CY767" s="4">
        <v>43390</v>
      </c>
      <c r="CZ767" t="s">
        <v>65</v>
      </c>
      <c r="DA767" t="s">
        <v>66</v>
      </c>
      <c r="DB767">
        <v>18</v>
      </c>
      <c r="DC767">
        <v>71.319999999999993</v>
      </c>
      <c r="DD767" t="s">
        <v>69</v>
      </c>
      <c r="DE767" t="s">
        <v>70</v>
      </c>
      <c r="DF767">
        <v>1283.7599999999998</v>
      </c>
    </row>
    <row r="768" spans="66:110" x14ac:dyDescent="0.25">
      <c r="BN768" s="1">
        <f t="shared" si="338"/>
        <v>43109</v>
      </c>
      <c r="BO768" s="2">
        <f>SUM(BO$2:BO258)+AI258*B258</f>
        <v>192437.49999999988</v>
      </c>
      <c r="BP768" s="2">
        <f>SUM(BP$2:BP258)+AJ258*C258</f>
        <v>29140.399999999994</v>
      </c>
      <c r="BQ768" s="2">
        <f>SUM(BQ$2:BQ258)+AK258*D258</f>
        <v>179512.49999999994</v>
      </c>
      <c r="BR768" s="2">
        <f>SUM(BR$2:BR258)+AL258*E258</f>
        <v>82284.299999999959</v>
      </c>
      <c r="BS768" s="2">
        <f>SUM(BS$2:BS258)+AM258*F258</f>
        <v>11304.300000000003</v>
      </c>
      <c r="BT768" s="2">
        <f>SUM(BT$2:BT258)+AN258*G258</f>
        <v>16866.800000000017</v>
      </c>
      <c r="BU768" s="2">
        <f>SUM(BU$2:BU258)+AO258*H258</f>
        <v>6263.5</v>
      </c>
      <c r="BV768" s="2">
        <f>SUM(BV$2:BV258)+AP258*I258</f>
        <v>8559</v>
      </c>
      <c r="BW768" s="2">
        <f>SUM(BW$2:BW258)+AQ258*J258</f>
        <v>15170</v>
      </c>
      <c r="BX768" s="2">
        <f>SUM(BX$2:BX258)+AR258*K258</f>
        <v>13940</v>
      </c>
      <c r="BY768" s="2">
        <f>SUM(BY$2:BY258)+AS258*L258</f>
        <v>-5209.800000000012</v>
      </c>
      <c r="BZ768" s="2">
        <f>SUM(BZ$2:BZ258)+AT258*M258</f>
        <v>740</v>
      </c>
      <c r="CA768" s="2">
        <f>SUM(CA$2:CA258)+AU258*N258</f>
        <v>30410</v>
      </c>
      <c r="CB768" s="2">
        <f>SUM(CB$2:CB258)+AV258*O258</f>
        <v>23600</v>
      </c>
      <c r="CC768" s="2">
        <f>SUM(CC$2:CC258)+AW258*P258</f>
        <v>-20</v>
      </c>
      <c r="CD768" s="2">
        <f>SUM(CD$2:CD258)+AX258*Q258</f>
        <v>14050</v>
      </c>
      <c r="CE768" s="2">
        <f>SUM(CE$2:CE258)+AY258*R258</f>
        <v>27020</v>
      </c>
      <c r="CF768" s="2">
        <f>SUM(CF$2:CF258)+AZ258*S258</f>
        <v>-1498.9399999999951</v>
      </c>
      <c r="CG768" s="2">
        <f>SUM(CG$2:CG258)+BA258*T258</f>
        <v>26318.879999999976</v>
      </c>
      <c r="CH768" s="2">
        <f>SUM(CH$2:CH258)+BB258*U258</f>
        <v>12832.160000000018</v>
      </c>
      <c r="CI768" s="2">
        <f>SUM(CI$2:CI258)+BC258*V258</f>
        <v>-6200</v>
      </c>
      <c r="CJ768" s="2">
        <f>SUM(CJ$2:CJ258)+BD258*W258</f>
        <v>-10309.999999999942</v>
      </c>
      <c r="CK768" s="2">
        <f>SUM(CK$2:CK258)+BE258*X258</f>
        <v>72330</v>
      </c>
      <c r="CL768" s="2">
        <f>SUM(CL$2:CL258)+BF258*Y258</f>
        <v>196920</v>
      </c>
      <c r="CM768" s="2">
        <f>SUM(CM$2:CM258)+BG258*Z258</f>
        <v>127852.5</v>
      </c>
      <c r="CN768" s="2">
        <f>SUM(CN$2:CN258)+BH258*AA258</f>
        <v>130297.5</v>
      </c>
      <c r="CO768" s="2">
        <f>SUM(CO$2:CO258)+BI258*AB258</f>
        <v>520</v>
      </c>
      <c r="CP768" s="2">
        <f>SUM(CP$2:CP258)+BJ258*AC258</f>
        <v>8799.9999999999854</v>
      </c>
      <c r="CQ768" s="2">
        <f>SUM(CQ$2:CQ258)+BK258*AD258</f>
        <v>32680.000000000007</v>
      </c>
      <c r="CR768" s="2">
        <f>SUM(CR$2:CR258)+BL258*AE258</f>
        <v>-750</v>
      </c>
      <c r="CV768" t="s">
        <v>64</v>
      </c>
      <c r="CW768" t="s">
        <v>841</v>
      </c>
      <c r="CX768" t="s">
        <v>18</v>
      </c>
      <c r="CY768" s="4">
        <v>43391</v>
      </c>
      <c r="CZ768" t="s">
        <v>67</v>
      </c>
      <c r="DA768" t="s">
        <v>68</v>
      </c>
      <c r="DB768">
        <v>42</v>
      </c>
      <c r="DC768">
        <v>71.709999999999994</v>
      </c>
      <c r="DD768" t="s">
        <v>69</v>
      </c>
      <c r="DE768" t="s">
        <v>70</v>
      </c>
      <c r="DF768">
        <v>3011.8199999999997</v>
      </c>
    </row>
    <row r="769" spans="66:110" x14ac:dyDescent="0.25">
      <c r="BN769" s="1">
        <f t="shared" si="338"/>
        <v>43110</v>
      </c>
      <c r="BO769" s="2">
        <f>SUM(BO$2:BO259)+AI259*B259</f>
        <v>192237.49999999988</v>
      </c>
      <c r="BP769" s="2">
        <f>SUM(BP$2:BP259)+AJ259*C259</f>
        <v>29954.599999999991</v>
      </c>
      <c r="BQ769" s="2">
        <f>SUM(BQ$2:BQ259)+AK259*D259</f>
        <v>181624.6999999999</v>
      </c>
      <c r="BR769" s="2">
        <f>SUM(BR$2:BR259)+AL259*E259</f>
        <v>81635.299999999959</v>
      </c>
      <c r="BS769" s="2">
        <f>SUM(BS$2:BS259)+AM259*F259</f>
        <v>11552.100000000006</v>
      </c>
      <c r="BT769" s="2">
        <f>SUM(BT$2:BT259)+AN259*G259</f>
        <v>17787.200000000012</v>
      </c>
      <c r="BU769" s="2">
        <f>SUM(BU$2:BU259)+AO259*H259</f>
        <v>5720.6999999999971</v>
      </c>
      <c r="BV769" s="2">
        <f>SUM(BV$2:BV259)+AP259*I259</f>
        <v>7382.3999999999942</v>
      </c>
      <c r="BW769" s="2">
        <f>SUM(BW$2:BW259)+AQ259*J259</f>
        <v>15550</v>
      </c>
      <c r="BX769" s="2">
        <f>SUM(BX$2:BX259)+AR259*K259</f>
        <v>13940</v>
      </c>
      <c r="BY769" s="2">
        <f>SUM(BY$2:BY259)+AS259*L259</f>
        <v>-5206.5000000000118</v>
      </c>
      <c r="BZ769" s="2">
        <f>SUM(BZ$2:BZ259)+AT259*M259</f>
        <v>740</v>
      </c>
      <c r="CA769" s="2">
        <f>SUM(CA$2:CA259)+AU259*N259</f>
        <v>30250</v>
      </c>
      <c r="CB769" s="2">
        <f>SUM(CB$2:CB259)+AV259*O259</f>
        <v>24770</v>
      </c>
      <c r="CC769" s="2">
        <f>SUM(CC$2:CC259)+AW259*P259</f>
        <v>-20</v>
      </c>
      <c r="CD769" s="2">
        <f>SUM(CD$2:CD259)+AX259*Q259</f>
        <v>14050</v>
      </c>
      <c r="CE769" s="2">
        <f>SUM(CE$2:CE259)+AY259*R259</f>
        <v>27020</v>
      </c>
      <c r="CF769" s="2">
        <f>SUM(CF$2:CF259)+AZ259*S259</f>
        <v>-1014.3299999999945</v>
      </c>
      <c r="CG769" s="2">
        <f>SUM(CG$2:CG259)+BA259*T259</f>
        <v>25899.239999999969</v>
      </c>
      <c r="CH769" s="2">
        <f>SUM(CH$2:CH259)+BB259*U259</f>
        <v>12952.800000000017</v>
      </c>
      <c r="CI769" s="2">
        <f>SUM(CI$2:CI259)+BC259*V259</f>
        <v>-6260</v>
      </c>
      <c r="CJ769" s="2">
        <f>SUM(CJ$2:CJ259)+BD259*W259</f>
        <v>-7509.9999999999418</v>
      </c>
      <c r="CK769" s="2">
        <f>SUM(CK$2:CK259)+BE259*X259</f>
        <v>70580.000000000116</v>
      </c>
      <c r="CL769" s="2">
        <f>SUM(CL$2:CL259)+BF259*Y259</f>
        <v>191970</v>
      </c>
      <c r="CM769" s="2">
        <f>SUM(CM$2:CM259)+BG259*Z259</f>
        <v>130952.5</v>
      </c>
      <c r="CN769" s="2">
        <f>SUM(CN$2:CN259)+BH259*AA259</f>
        <v>129972.5</v>
      </c>
      <c r="CO769" s="2">
        <f>SUM(CO$2:CO259)+BI259*AB259</f>
        <v>760</v>
      </c>
      <c r="CP769" s="2">
        <f>SUM(CP$2:CP259)+BJ259*AC259</f>
        <v>7825</v>
      </c>
      <c r="CQ769" s="2">
        <f>SUM(CQ$2:CQ259)+BK259*AD259</f>
        <v>31980.000000000007</v>
      </c>
      <c r="CR769" s="2">
        <f>SUM(CR$2:CR259)+BL259*AE259</f>
        <v>-1400</v>
      </c>
      <c r="CV769" t="s">
        <v>64</v>
      </c>
      <c r="CW769" t="s">
        <v>842</v>
      </c>
      <c r="CX769" t="s">
        <v>18</v>
      </c>
      <c r="CY769" s="4">
        <v>43395</v>
      </c>
      <c r="CZ769" t="s">
        <v>65</v>
      </c>
      <c r="DA769" t="s">
        <v>66</v>
      </c>
      <c r="DB769">
        <v>7</v>
      </c>
      <c r="DC769">
        <v>72.06</v>
      </c>
      <c r="DD769" t="s">
        <v>69</v>
      </c>
      <c r="DE769" t="s">
        <v>70</v>
      </c>
      <c r="DF769">
        <v>504.42</v>
      </c>
    </row>
    <row r="770" spans="66:110" x14ac:dyDescent="0.25">
      <c r="BN770" s="1">
        <f t="shared" ref="BN770:BN833" si="339">A260</f>
        <v>43111</v>
      </c>
      <c r="BO770" s="2">
        <f>SUM(BO$2:BO260)+AI260*B260</f>
        <v>197087.49999999988</v>
      </c>
      <c r="BP770" s="2">
        <f>SUM(BP$2:BP260)+AJ260*C260</f>
        <v>29388.199999999997</v>
      </c>
      <c r="BQ770" s="2">
        <f>SUM(BQ$2:BQ260)+AK260*D260</f>
        <v>190675.29999999993</v>
      </c>
      <c r="BR770" s="2">
        <f>SUM(BR$2:BR260)+AL260*E260</f>
        <v>85458.499999999971</v>
      </c>
      <c r="BS770" s="2">
        <f>SUM(BS$2:BS260)+AM260*F260</f>
        <v>11776.300000000003</v>
      </c>
      <c r="BT770" s="2">
        <f>SUM(BT$2:BT260)+AN260*G260</f>
        <v>22188.600000000006</v>
      </c>
      <c r="BU770" s="2">
        <f>SUM(BU$2:BU260)+AO260*H260</f>
        <v>7490.6999999999971</v>
      </c>
      <c r="BV770" s="2">
        <f>SUM(BV$2:BV260)+AP260*I260</f>
        <v>8431.7999999999884</v>
      </c>
      <c r="BW770" s="2">
        <f>SUM(BW$2:BW260)+AQ260*J260</f>
        <v>16340</v>
      </c>
      <c r="BX770" s="2">
        <f>SUM(BX$2:BX260)+AR260*K260</f>
        <v>13940</v>
      </c>
      <c r="BY770" s="2">
        <f>SUM(BY$2:BY260)+AS260*L260</f>
        <v>-5206.300000000012</v>
      </c>
      <c r="BZ770" s="2">
        <f>SUM(BZ$2:BZ260)+AT260*M260</f>
        <v>740</v>
      </c>
      <c r="CA770" s="2">
        <f>SUM(CA$2:CA260)+AU260*N260</f>
        <v>31050</v>
      </c>
      <c r="CB770" s="2">
        <f>SUM(CB$2:CB260)+AV260*O260</f>
        <v>25340</v>
      </c>
      <c r="CC770" s="2">
        <f>SUM(CC$2:CC260)+AW260*P260</f>
        <v>-20</v>
      </c>
      <c r="CD770" s="2">
        <f>SUM(CD$2:CD260)+AX260*Q260</f>
        <v>14050</v>
      </c>
      <c r="CE770" s="2">
        <f>SUM(CE$2:CE260)+AY260*R260</f>
        <v>27020</v>
      </c>
      <c r="CF770" s="2">
        <f>SUM(CF$2:CF260)+AZ260*S260</f>
        <v>-731.86999999999534</v>
      </c>
      <c r="CG770" s="2">
        <f>SUM(CG$2:CG260)+BA260*T260</f>
        <v>26160.989999999976</v>
      </c>
      <c r="CH770" s="2">
        <f>SUM(CH$2:CH260)+BB260*U260</f>
        <v>13029.240000000027</v>
      </c>
      <c r="CI770" s="2">
        <f>SUM(CI$2:CI260)+BC260*V260</f>
        <v>-6340</v>
      </c>
      <c r="CJ770" s="2">
        <f>SUM(CJ$2:CJ260)+BD260*W260</f>
        <v>-6009.9999999999418</v>
      </c>
      <c r="CK770" s="2">
        <f>SUM(CK$2:CK260)+BE260*X260</f>
        <v>71730</v>
      </c>
      <c r="CL770" s="2">
        <f>SUM(CL$2:CL260)+BF260*Y260</f>
        <v>195480</v>
      </c>
      <c r="CM770" s="2">
        <f>SUM(CM$2:CM260)+BG260*Z260</f>
        <v>131352.5</v>
      </c>
      <c r="CN770" s="2">
        <f>SUM(CN$2:CN260)+BH260*AA260</f>
        <v>132097.5</v>
      </c>
      <c r="CO770" s="2">
        <f>SUM(CO$2:CO260)+BI260*AB260</f>
        <v>1960</v>
      </c>
      <c r="CP770" s="2">
        <f>SUM(CP$2:CP260)+BJ260*AC260</f>
        <v>5935</v>
      </c>
      <c r="CQ770" s="2">
        <f>SUM(CQ$2:CQ260)+BK260*AD260</f>
        <v>32320.000000000007</v>
      </c>
      <c r="CR770" s="2">
        <f>SUM(CR$2:CR260)+BL260*AE260</f>
        <v>-600</v>
      </c>
      <c r="CV770" t="s">
        <v>64</v>
      </c>
      <c r="CW770" t="s">
        <v>843</v>
      </c>
      <c r="CX770" t="s">
        <v>18</v>
      </c>
      <c r="CY770" s="4">
        <v>43396</v>
      </c>
      <c r="CZ770" t="s">
        <v>65</v>
      </c>
      <c r="DA770" t="s">
        <v>66</v>
      </c>
      <c r="DB770">
        <v>53</v>
      </c>
      <c r="DC770">
        <v>71.599999999999994</v>
      </c>
      <c r="DD770" t="s">
        <v>69</v>
      </c>
      <c r="DE770" t="s">
        <v>70</v>
      </c>
      <c r="DF770">
        <v>3794.7999999999997</v>
      </c>
    </row>
    <row r="771" spans="66:110" x14ac:dyDescent="0.25">
      <c r="BN771" s="1">
        <f t="shared" si="339"/>
        <v>43112</v>
      </c>
      <c r="BO771" s="2">
        <f>SUM(BO$2:BO261)+AI261*B261</f>
        <v>205987.49999999988</v>
      </c>
      <c r="BP771" s="2">
        <f>SUM(BP$2:BP261)+AJ261*C261</f>
        <v>29659.599999999991</v>
      </c>
      <c r="BQ771" s="2">
        <f>SUM(BQ$2:BQ261)+AK261*D261</f>
        <v>199985.49999999988</v>
      </c>
      <c r="BR771" s="2">
        <f>SUM(BR$2:BR261)+AL261*E261</f>
        <v>86721.099999999948</v>
      </c>
      <c r="BS771" s="2">
        <f>SUM(BS$2:BS261)+AM261*F261</f>
        <v>12649.500000000007</v>
      </c>
      <c r="BT771" s="2">
        <f>SUM(BT$2:BT261)+AN261*G261</f>
        <v>23345</v>
      </c>
      <c r="BU771" s="2">
        <f>SUM(BU$2:BU261)+AO261*H261</f>
        <v>9201.6999999999825</v>
      </c>
      <c r="BV771" s="2">
        <f>SUM(BV$2:BV261)+AP261*I261</f>
        <v>8633.1999999999825</v>
      </c>
      <c r="BW771" s="2">
        <f>SUM(BW$2:BW261)+AQ261*J261</f>
        <v>18220</v>
      </c>
      <c r="BX771" s="2">
        <f>SUM(BX$2:BX261)+AR261*K261</f>
        <v>13940</v>
      </c>
      <c r="BY771" s="2">
        <f>SUM(BY$2:BY261)+AS261*L261</f>
        <v>-5216.4000000000115</v>
      </c>
      <c r="BZ771" s="2">
        <f>SUM(BZ$2:BZ261)+AT261*M261</f>
        <v>740</v>
      </c>
      <c r="CA771" s="2">
        <f>SUM(CA$2:CA261)+AU261*N261</f>
        <v>31990</v>
      </c>
      <c r="CB771" s="2">
        <f>SUM(CB$2:CB261)+AV261*O261</f>
        <v>27130</v>
      </c>
      <c r="CC771" s="2">
        <f>SUM(CC$2:CC261)+AW261*P261</f>
        <v>-20</v>
      </c>
      <c r="CD771" s="2">
        <f>SUM(CD$2:CD261)+AX261*Q261</f>
        <v>14050</v>
      </c>
      <c r="CE771" s="2">
        <f>SUM(CE$2:CE261)+AY261*R261</f>
        <v>27020</v>
      </c>
      <c r="CF771" s="2">
        <f>SUM(CF$2:CF261)+AZ261*S261</f>
        <v>308.43000000000029</v>
      </c>
      <c r="CG771" s="2">
        <f>SUM(CG$2:CG261)+BA261*T261</f>
        <v>27783.989999999969</v>
      </c>
      <c r="CH771" s="2">
        <f>SUM(CH$2:CH261)+BB261*U261</f>
        <v>13437.360000000022</v>
      </c>
      <c r="CI771" s="2">
        <f>SUM(CI$2:CI261)+BC261*V261</f>
        <v>-6320</v>
      </c>
      <c r="CJ771" s="2">
        <f>SUM(CJ$2:CJ261)+BD261*W261</f>
        <v>-3409.9999999999418</v>
      </c>
      <c r="CK771" s="2">
        <f>SUM(CK$2:CK261)+BE261*X261</f>
        <v>83379.999999999884</v>
      </c>
      <c r="CL771" s="2">
        <f>SUM(CL$2:CL261)+BF261*Y261</f>
        <v>205110</v>
      </c>
      <c r="CM771" s="2">
        <f>SUM(CM$2:CM261)+BG261*Z261</f>
        <v>139102.5</v>
      </c>
      <c r="CN771" s="2">
        <f>SUM(CN$2:CN261)+BH261*AA261</f>
        <v>132722.5</v>
      </c>
      <c r="CO771" s="2">
        <f>SUM(CO$2:CO261)+BI261*AB261</f>
        <v>1240</v>
      </c>
      <c r="CP771" s="2">
        <f>SUM(CP$2:CP261)+BJ261*AC261</f>
        <v>4930</v>
      </c>
      <c r="CQ771" s="2">
        <f>SUM(CQ$2:CQ261)+BK261*AD261</f>
        <v>33150.000000000007</v>
      </c>
      <c r="CR771" s="2">
        <f>SUM(CR$2:CR261)+BL261*AE261</f>
        <v>-40</v>
      </c>
      <c r="CV771" t="s">
        <v>64</v>
      </c>
      <c r="CW771" t="s">
        <v>844</v>
      </c>
      <c r="CX771" t="s">
        <v>18</v>
      </c>
      <c r="CY771" s="4">
        <v>43397</v>
      </c>
      <c r="CZ771" t="s">
        <v>67</v>
      </c>
      <c r="DA771" t="s">
        <v>68</v>
      </c>
      <c r="DB771">
        <v>28</v>
      </c>
      <c r="DC771">
        <v>70.05</v>
      </c>
      <c r="DD771" t="s">
        <v>69</v>
      </c>
      <c r="DE771" t="s">
        <v>70</v>
      </c>
      <c r="DF771">
        <v>1961.3999999999999</v>
      </c>
    </row>
    <row r="772" spans="66:110" x14ac:dyDescent="0.25">
      <c r="BN772" s="1">
        <f t="shared" si="339"/>
        <v>43116</v>
      </c>
      <c r="BO772" s="2">
        <f>SUM(BO$2:BO262)+AI262*B262</f>
        <v>201537.49999999988</v>
      </c>
      <c r="BP772" s="2">
        <f>SUM(BP$2:BP262)+AJ262*C262</f>
        <v>28928</v>
      </c>
      <c r="BQ772" s="2">
        <f>SUM(BQ$2:BQ262)+AK262*D262</f>
        <v>198781.89999999991</v>
      </c>
      <c r="BR772" s="2">
        <f>SUM(BR$2:BR262)+AL262*E262</f>
        <v>85588.299999999959</v>
      </c>
      <c r="BS772" s="2">
        <f>SUM(BS$2:BS262)+AM262*F262</f>
        <v>12271.900000000009</v>
      </c>
      <c r="BT772" s="2">
        <f>SUM(BT$2:BT262)+AN262*G262</f>
        <v>21551.400000000023</v>
      </c>
      <c r="BU772" s="2">
        <f>SUM(BU$2:BU262)+AO262*H262</f>
        <v>7136.6999999999825</v>
      </c>
      <c r="BV772" s="2">
        <f>SUM(BV$2:BV262)+AP262*I262</f>
        <v>8156.1999999999825</v>
      </c>
      <c r="BW772" s="2">
        <f>SUM(BW$2:BW262)+AQ262*J262</f>
        <v>19630</v>
      </c>
      <c r="BX772" s="2">
        <f>SUM(BX$2:BX262)+AR262*K262</f>
        <v>13940</v>
      </c>
      <c r="BY772" s="2">
        <f>SUM(BY$2:BY262)+AS262*L262</f>
        <v>-5209.7000000000116</v>
      </c>
      <c r="BZ772" s="2">
        <f>SUM(BZ$2:BZ262)+AT262*M262</f>
        <v>740</v>
      </c>
      <c r="CA772" s="2">
        <f>SUM(CA$2:CA262)+AU262*N262</f>
        <v>33060</v>
      </c>
      <c r="CB772" s="2">
        <f>SUM(CB$2:CB262)+AV262*O262</f>
        <v>26740</v>
      </c>
      <c r="CC772" s="2">
        <f>SUM(CC$2:CC262)+AW262*P262</f>
        <v>-20</v>
      </c>
      <c r="CD772" s="2">
        <f>SUM(CD$2:CD262)+AX262*Q262</f>
        <v>14050</v>
      </c>
      <c r="CE772" s="2">
        <f>SUM(CE$2:CE262)+AY262*R262</f>
        <v>27020</v>
      </c>
      <c r="CF772" s="2">
        <f>SUM(CF$2:CF262)+AZ262*S262</f>
        <v>3773.4300000000003</v>
      </c>
      <c r="CG772" s="2">
        <f>SUM(CG$2:CG262)+BA262*T262</f>
        <v>26641.319999999971</v>
      </c>
      <c r="CH772" s="2">
        <f>SUM(CH$2:CH262)+BB262*U262</f>
        <v>12098.160000000025</v>
      </c>
      <c r="CI772" s="2">
        <f>SUM(CI$2:CI262)+BC262*V262</f>
        <v>-6380</v>
      </c>
      <c r="CJ772" s="2">
        <f>SUM(CJ$2:CJ262)+BD262*W262</f>
        <v>-6309.9999999998836</v>
      </c>
      <c r="CK772" s="2">
        <f>SUM(CK$2:CK262)+BE262*X262</f>
        <v>87230</v>
      </c>
      <c r="CL772" s="2">
        <f>SUM(CL$2:CL262)+BF262*Y262</f>
        <v>217710</v>
      </c>
      <c r="CM772" s="2">
        <f>SUM(CM$2:CM262)+BG262*Z262</f>
        <v>126402.5</v>
      </c>
      <c r="CN772" s="2">
        <f>SUM(CN$2:CN262)+BH262*AA262</f>
        <v>133447.5</v>
      </c>
      <c r="CO772" s="2">
        <f>SUM(CO$2:CO262)+BI262*AB262</f>
        <v>670</v>
      </c>
      <c r="CP772" s="2">
        <f>SUM(CP$2:CP262)+BJ262*AC262</f>
        <v>4990</v>
      </c>
      <c r="CQ772" s="2">
        <f>SUM(CQ$2:CQ262)+BK262*AD262</f>
        <v>32980.000000000007</v>
      </c>
      <c r="CR772" s="2">
        <f>SUM(CR$2:CR262)+BL262*AE262</f>
        <v>-560</v>
      </c>
      <c r="CV772" t="s">
        <v>64</v>
      </c>
      <c r="CW772" t="s">
        <v>845</v>
      </c>
      <c r="CX772" t="s">
        <v>18</v>
      </c>
      <c r="CY772" s="4">
        <v>43398</v>
      </c>
      <c r="CZ772" t="s">
        <v>67</v>
      </c>
      <c r="DA772" t="s">
        <v>68</v>
      </c>
      <c r="DB772">
        <v>24</v>
      </c>
      <c r="DC772">
        <v>69.47</v>
      </c>
      <c r="DD772" t="s">
        <v>69</v>
      </c>
      <c r="DE772" t="s">
        <v>70</v>
      </c>
      <c r="DF772">
        <v>1667.28</v>
      </c>
    </row>
    <row r="773" spans="66:110" x14ac:dyDescent="0.25">
      <c r="BN773" s="1">
        <f t="shared" si="339"/>
        <v>43117</v>
      </c>
      <c r="BO773" s="2">
        <f>SUM(BO$2:BO263)+AI263*B263</f>
        <v>215837.49999999988</v>
      </c>
      <c r="BP773" s="2">
        <f>SUM(BP$2:BP263)+AJ263*C263</f>
        <v>29423.600000000006</v>
      </c>
      <c r="BQ773" s="2">
        <f>SUM(BQ$2:BQ263)+AK263*D263</f>
        <v>217024.6999999999</v>
      </c>
      <c r="BR773" s="2">
        <f>SUM(BR$2:BR263)+AL263*E263</f>
        <v>84656.099999999948</v>
      </c>
      <c r="BS773" s="2">
        <f>SUM(BS$2:BS263)+AM263*F263</f>
        <v>13027.100000000006</v>
      </c>
      <c r="BT773" s="2">
        <f>SUM(BT$2:BT263)+AN263*G263</f>
        <v>21940.800000000017</v>
      </c>
      <c r="BU773" s="2">
        <f>SUM(BU$2:BU263)+AO263*H263</f>
        <v>8623.5</v>
      </c>
      <c r="BV773" s="2">
        <f>SUM(BV$2:BV263)+AP263*I263</f>
        <v>9004.1999999999971</v>
      </c>
      <c r="BW773" s="2">
        <f>SUM(BW$2:BW263)+AQ263*J263</f>
        <v>14880</v>
      </c>
      <c r="BX773" s="2">
        <f>SUM(BX$2:BX263)+AR263*K263</f>
        <v>13940</v>
      </c>
      <c r="BY773" s="2">
        <f>SUM(BY$2:BY263)+AS263*L263</f>
        <v>-5164.300000000012</v>
      </c>
      <c r="BZ773" s="2">
        <f>SUM(BZ$2:BZ263)+AT263*M263</f>
        <v>740</v>
      </c>
      <c r="CA773" s="2">
        <f>SUM(CA$2:CA263)+AU263*N263</f>
        <v>33180</v>
      </c>
      <c r="CB773" s="2">
        <f>SUM(CB$2:CB263)+AV263*O263</f>
        <v>26740</v>
      </c>
      <c r="CC773" s="2">
        <f>SUM(CC$2:CC263)+AW263*P263</f>
        <v>-20</v>
      </c>
      <c r="CD773" s="2">
        <f>SUM(CD$2:CD263)+AX263*Q263</f>
        <v>14050</v>
      </c>
      <c r="CE773" s="2">
        <f>SUM(CE$2:CE263)+AY263*R263</f>
        <v>27020</v>
      </c>
      <c r="CF773" s="2">
        <f>SUM(CF$2:CF263)+AZ263*S263</f>
        <v>3743.5799999999945</v>
      </c>
      <c r="CG773" s="2">
        <f>SUM(CG$2:CG263)+BA263*T263</f>
        <v>28334.439999999973</v>
      </c>
      <c r="CH773" s="2">
        <f>SUM(CH$2:CH263)+BB263*U263</f>
        <v>12487.380000000019</v>
      </c>
      <c r="CI773" s="2">
        <f>SUM(CI$2:CI263)+BC263*V263</f>
        <v>-6940</v>
      </c>
      <c r="CJ773" s="2">
        <f>SUM(CJ$2:CJ263)+BD263*W263</f>
        <v>-11009.999999999942</v>
      </c>
      <c r="CK773" s="2">
        <f>SUM(CK$2:CK263)+BE263*X263</f>
        <v>93780</v>
      </c>
      <c r="CL773" s="2">
        <f>SUM(CL$2:CL263)+BF263*Y263</f>
        <v>234090</v>
      </c>
      <c r="CM773" s="2">
        <f>SUM(CM$2:CM263)+BG263*Z263</f>
        <v>128602.5</v>
      </c>
      <c r="CN773" s="2">
        <f>SUM(CN$2:CN263)+BH263*AA263</f>
        <v>137397.5</v>
      </c>
      <c r="CO773" s="2">
        <f>SUM(CO$2:CO263)+BI263*AB263</f>
        <v>820</v>
      </c>
      <c r="CP773" s="2">
        <f>SUM(CP$2:CP263)+BJ263*AC263</f>
        <v>5350</v>
      </c>
      <c r="CQ773" s="2">
        <f>SUM(CQ$2:CQ263)+BK263*AD263</f>
        <v>34940.000000000007</v>
      </c>
      <c r="CR773" s="2">
        <f>SUM(CR$2:CR263)+BL263*AE263</f>
        <v>420</v>
      </c>
      <c r="CV773" t="s">
        <v>64</v>
      </c>
      <c r="CW773" t="s">
        <v>846</v>
      </c>
      <c r="CX773" t="s">
        <v>18</v>
      </c>
      <c r="CY773" s="4">
        <v>43399</v>
      </c>
      <c r="CZ773" t="s">
        <v>65</v>
      </c>
      <c r="DA773" t="s">
        <v>66</v>
      </c>
      <c r="DB773">
        <v>41</v>
      </c>
      <c r="DC773">
        <v>69.91</v>
      </c>
      <c r="DD773" t="s">
        <v>69</v>
      </c>
      <c r="DE773" t="s">
        <v>70</v>
      </c>
      <c r="DF773">
        <v>2866.31</v>
      </c>
    </row>
    <row r="774" spans="66:110" x14ac:dyDescent="0.25">
      <c r="BN774" s="1">
        <f t="shared" si="339"/>
        <v>43118</v>
      </c>
      <c r="BO774" s="2">
        <f>SUM(BO$2:BO264)+AI264*B264</f>
        <v>216587.49999999988</v>
      </c>
      <c r="BP774" s="2">
        <f>SUM(BP$2:BP264)+AJ264*C264</f>
        <v>28373.400000000009</v>
      </c>
      <c r="BQ774" s="2">
        <f>SUM(BQ$2:BQ264)+AK264*D264</f>
        <v>204528.49999999994</v>
      </c>
      <c r="BR774" s="2">
        <f>SUM(BR$2:BR264)+AL264*E264</f>
        <v>85033.699999999983</v>
      </c>
      <c r="BS774" s="2">
        <f>SUM(BS$2:BS264)+AM264*F264</f>
        <v>13145.100000000006</v>
      </c>
      <c r="BT774" s="2">
        <f>SUM(BT$2:BT264)+AN264*G264</f>
        <v>21079.400000000023</v>
      </c>
      <c r="BU774" s="2">
        <f>SUM(BU$2:BU264)+AO264*H264</f>
        <v>6829.8999999999942</v>
      </c>
      <c r="BV774" s="2">
        <f>SUM(BV$2:BV264)+AP264*I264</f>
        <v>9269.1999999999971</v>
      </c>
      <c r="BW774" s="2">
        <f>SUM(BW$2:BW264)+AQ264*J264</f>
        <v>12240</v>
      </c>
      <c r="BX774" s="2">
        <f>SUM(BX$2:BX264)+AR264*K264</f>
        <v>13940</v>
      </c>
      <c r="BY774" s="2">
        <f>SUM(BY$2:BY264)+AS264*L264</f>
        <v>-5159.800000000012</v>
      </c>
      <c r="BZ774" s="2">
        <f>SUM(BZ$2:BZ264)+AT264*M264</f>
        <v>740</v>
      </c>
      <c r="CA774" s="2">
        <f>SUM(CA$2:CA264)+AU264*N264</f>
        <v>33120</v>
      </c>
      <c r="CB774" s="2">
        <f>SUM(CB$2:CB264)+AV264*O264</f>
        <v>26740</v>
      </c>
      <c r="CC774" s="2">
        <f>SUM(CC$2:CC264)+AW264*P264</f>
        <v>-20</v>
      </c>
      <c r="CD774" s="2">
        <f>SUM(CD$2:CD264)+AX264*Q264</f>
        <v>14050</v>
      </c>
      <c r="CE774" s="2">
        <f>SUM(CE$2:CE264)+AY264*R264</f>
        <v>27020</v>
      </c>
      <c r="CF774" s="2">
        <f>SUM(CF$2:CF264)+AZ264*S264</f>
        <v>2878.5399999999936</v>
      </c>
      <c r="CG774" s="2">
        <f>SUM(CG$2:CG264)+BA264*T264</f>
        <v>28298.399999999965</v>
      </c>
      <c r="CH774" s="2">
        <f>SUM(CH$2:CH264)+BB264*U264</f>
        <v>12773.320000000022</v>
      </c>
      <c r="CI774" s="2">
        <f>SUM(CI$2:CI264)+BC264*V264</f>
        <v>-6750</v>
      </c>
      <c r="CJ774" s="2">
        <f>SUM(CJ$2:CJ264)+BD264*W264</f>
        <v>-9409.9999999999418</v>
      </c>
      <c r="CK774" s="2">
        <f>SUM(CK$2:CK264)+BE264*X264</f>
        <v>96130</v>
      </c>
      <c r="CL774" s="2">
        <f>SUM(CL$2:CL264)+BF264*Y264</f>
        <v>248070</v>
      </c>
      <c r="CM774" s="2">
        <f>SUM(CM$2:CM264)+BG264*Z264</f>
        <v>129552.5</v>
      </c>
      <c r="CN774" s="2">
        <f>SUM(CN$2:CN264)+BH264*AA264</f>
        <v>140197.5</v>
      </c>
      <c r="CO774" s="2">
        <f>SUM(CO$2:CO264)+BI264*AB264</f>
        <v>340</v>
      </c>
      <c r="CP774" s="2">
        <f>SUM(CP$2:CP264)+BJ264*AC264</f>
        <v>5035</v>
      </c>
      <c r="CQ774" s="2">
        <f>SUM(CQ$2:CQ264)+BK264*AD264</f>
        <v>36500.000000000007</v>
      </c>
      <c r="CR774" s="2">
        <f>SUM(CR$2:CR264)+BL264*AE264</f>
        <v>-120</v>
      </c>
      <c r="CV774" t="s">
        <v>64</v>
      </c>
      <c r="CW774" t="s">
        <v>847</v>
      </c>
      <c r="CX774" t="s">
        <v>18</v>
      </c>
      <c r="CY774" s="4">
        <v>43402</v>
      </c>
      <c r="CZ774" t="s">
        <v>65</v>
      </c>
      <c r="DA774" t="s">
        <v>66</v>
      </c>
      <c r="DB774">
        <v>2</v>
      </c>
      <c r="DC774">
        <v>70.95</v>
      </c>
      <c r="DD774" t="s">
        <v>69</v>
      </c>
      <c r="DE774" t="s">
        <v>70</v>
      </c>
      <c r="DF774">
        <v>141.9</v>
      </c>
    </row>
    <row r="775" spans="66:110" x14ac:dyDescent="0.25">
      <c r="BN775" s="1">
        <f t="shared" si="339"/>
        <v>43119</v>
      </c>
      <c r="BO775" s="2">
        <f>SUM(BO$2:BO265)+AI265*B265</f>
        <v>212687.49999999988</v>
      </c>
      <c r="BP775" s="2">
        <f>SUM(BP$2:BP265)+AJ265*C265</f>
        <v>26237.600000000006</v>
      </c>
      <c r="BQ775" s="2">
        <f>SUM(BQ$2:BQ265)+AK265*D265</f>
        <v>201731.89999999991</v>
      </c>
      <c r="BR775" s="2">
        <f>SUM(BR$2:BR265)+AL265*E265</f>
        <v>87759.499999999942</v>
      </c>
      <c r="BS775" s="2">
        <f>SUM(BS$2:BS265)+AM265*F265</f>
        <v>13133.30000000001</v>
      </c>
      <c r="BT775" s="2">
        <f>SUM(BT$2:BT265)+AN265*G265</f>
        <v>20749</v>
      </c>
      <c r="BU775" s="2">
        <f>SUM(BU$2:BU265)+AO265*H265</f>
        <v>7018.6999999999971</v>
      </c>
      <c r="BV775" s="2">
        <f>SUM(BV$2:BV265)+AP265*I265</f>
        <v>9247.9999999999854</v>
      </c>
      <c r="BW775" s="2">
        <f>SUM(BW$2:BW265)+AQ265*J265</f>
        <v>17320</v>
      </c>
      <c r="BX775" s="2">
        <f>SUM(BX$2:BX265)+AR265*K265</f>
        <v>13940</v>
      </c>
      <c r="BY775" s="2">
        <f>SUM(BY$2:BY265)+AS265*L265</f>
        <v>-5223.7000000000116</v>
      </c>
      <c r="BZ775" s="2">
        <f>SUM(BZ$2:BZ265)+AT265*M265</f>
        <v>740</v>
      </c>
      <c r="CA775" s="2">
        <f>SUM(CA$2:CA265)+AU265*N265</f>
        <v>33550</v>
      </c>
      <c r="CB775" s="2">
        <f>SUM(CB$2:CB265)+AV265*O265</f>
        <v>26740</v>
      </c>
      <c r="CC775" s="2">
        <f>SUM(CC$2:CC265)+AW265*P265</f>
        <v>-20</v>
      </c>
      <c r="CD775" s="2">
        <f>SUM(CD$2:CD265)+AX265*Q265</f>
        <v>14050</v>
      </c>
      <c r="CE775" s="2">
        <f>SUM(CE$2:CE265)+AY265*R265</f>
        <v>27020</v>
      </c>
      <c r="CF775" s="2">
        <f>SUM(CF$2:CF265)+AZ265*S265</f>
        <v>3023.8899999999921</v>
      </c>
      <c r="CG775" s="2">
        <f>SUM(CG$2:CG265)+BA265*T265</f>
        <v>28191.599999999977</v>
      </c>
      <c r="CH775" s="2">
        <f>SUM(CH$2:CH265)+BB265*U265</f>
        <v>15880.160000000011</v>
      </c>
      <c r="CI775" s="2">
        <f>SUM(CI$2:CI265)+BC265*V265</f>
        <v>-6710</v>
      </c>
      <c r="CJ775" s="2">
        <f>SUM(CJ$2:CJ265)+BD265*W265</f>
        <v>-13709.999999999942</v>
      </c>
      <c r="CK775" s="2">
        <f>SUM(CK$2:CK265)+BE265*X265</f>
        <v>98630</v>
      </c>
      <c r="CL775" s="2">
        <f>SUM(CL$2:CL265)+BF265*Y265</f>
        <v>248640</v>
      </c>
      <c r="CM775" s="2">
        <f>SUM(CM$2:CM265)+BG265*Z265</f>
        <v>135802.5</v>
      </c>
      <c r="CN775" s="2">
        <f>SUM(CN$2:CN265)+BH265*AA265</f>
        <v>139197.5</v>
      </c>
      <c r="CO775" s="2">
        <f>SUM(CO$2:CO265)+BI265*AB265</f>
        <v>1390</v>
      </c>
      <c r="CP775" s="2">
        <f>SUM(CP$2:CP265)+BJ265*AC265</f>
        <v>4345</v>
      </c>
      <c r="CQ775" s="2">
        <f>SUM(CQ$2:CQ265)+BK265*AD265</f>
        <v>36790.000000000007</v>
      </c>
      <c r="CR775" s="2">
        <f>SUM(CR$2:CR265)+BL265*AE265</f>
        <v>-390</v>
      </c>
      <c r="CV775" t="s">
        <v>64</v>
      </c>
      <c r="CW775" t="s">
        <v>848</v>
      </c>
      <c r="CX775" t="s">
        <v>18</v>
      </c>
      <c r="CY775" s="4">
        <v>43403</v>
      </c>
      <c r="CZ775" t="s">
        <v>65</v>
      </c>
      <c r="DA775" t="s">
        <v>66</v>
      </c>
      <c r="DB775">
        <v>28</v>
      </c>
      <c r="DC775">
        <v>72.36</v>
      </c>
      <c r="DD775" t="s">
        <v>69</v>
      </c>
      <c r="DE775" t="s">
        <v>70</v>
      </c>
      <c r="DF775">
        <v>2026.08</v>
      </c>
    </row>
    <row r="776" spans="66:110" x14ac:dyDescent="0.25">
      <c r="BN776" s="1">
        <f t="shared" si="339"/>
        <v>43122</v>
      </c>
      <c r="BO776" s="2">
        <f>SUM(BO$2:BO266)+AI266*B266</f>
        <v>205537.49999999977</v>
      </c>
      <c r="BP776" s="2">
        <f>SUM(BP$2:BP266)+AJ266*C266</f>
        <v>26568</v>
      </c>
      <c r="BQ776" s="2">
        <f>SUM(BQ$2:BQ266)+AK266*D266</f>
        <v>202050.49999999988</v>
      </c>
      <c r="BR776" s="2">
        <f>SUM(BR$2:BR266)+AL266*E266</f>
        <v>88302.299999999959</v>
      </c>
      <c r="BS776" s="2">
        <f>SUM(BS$2:BS266)+AM266*F266</f>
        <v>13558.100000000006</v>
      </c>
      <c r="BT776" s="2">
        <f>SUM(BT$2:BT266)+AN266*G266</f>
        <v>22176.800000000017</v>
      </c>
      <c r="BU776" s="2">
        <f>SUM(BU$2:BU266)+AO266*H266</f>
        <v>7620.5</v>
      </c>
      <c r="BV776" s="2">
        <f>SUM(BV$2:BV266)+AP266*I266</f>
        <v>9428.1999999999825</v>
      </c>
      <c r="BW776" s="2">
        <f>SUM(BW$2:BW266)+AQ266*J266</f>
        <v>22650.000000000029</v>
      </c>
      <c r="BX776" s="2">
        <f>SUM(BX$2:BX266)+AR266*K266</f>
        <v>13940</v>
      </c>
      <c r="BY776" s="2">
        <f>SUM(BY$2:BY266)+AS266*L266</f>
        <v>-5221.5000000000118</v>
      </c>
      <c r="BZ776" s="2">
        <f>SUM(BZ$2:BZ266)+AT266*M266</f>
        <v>740</v>
      </c>
      <c r="CA776" s="2">
        <f>SUM(CA$2:CA266)+AU266*N266</f>
        <v>34310</v>
      </c>
      <c r="CB776" s="2">
        <f>SUM(CB$2:CB266)+AV266*O266</f>
        <v>26740</v>
      </c>
      <c r="CC776" s="2">
        <f>SUM(CC$2:CC266)+AW266*P266</f>
        <v>-20</v>
      </c>
      <c r="CD776" s="2">
        <f>SUM(CD$2:CD266)+AX266*Q266</f>
        <v>14050</v>
      </c>
      <c r="CE776" s="2">
        <f>SUM(CE$2:CE266)+AY266*R266</f>
        <v>27020</v>
      </c>
      <c r="CF776" s="2">
        <f>SUM(CF$2:CF266)+AZ266*S266</f>
        <v>2992.4199999999837</v>
      </c>
      <c r="CG776" s="2">
        <f>SUM(CG$2:CG266)+BA266*T266</f>
        <v>29893.259999999966</v>
      </c>
      <c r="CH776" s="2">
        <f>SUM(CH$2:CH266)+BB266*U266</f>
        <v>15045.86000000003</v>
      </c>
      <c r="CI776" s="2">
        <f>SUM(CI$2:CI266)+BC266*V266</f>
        <v>-6700</v>
      </c>
      <c r="CJ776" s="2">
        <f>SUM(CJ$2:CJ266)+BD266*W266</f>
        <v>-17709.999999999942</v>
      </c>
      <c r="CK776" s="2">
        <f>SUM(CK$2:CK266)+BE266*X266</f>
        <v>105980</v>
      </c>
      <c r="CL776" s="2">
        <f>SUM(CL$2:CL266)+BF266*Y266</f>
        <v>249270</v>
      </c>
      <c r="CM776" s="2">
        <f>SUM(CM$2:CM266)+BG266*Z266</f>
        <v>132452.5</v>
      </c>
      <c r="CN776" s="2">
        <f>SUM(CN$2:CN266)+BH266*AA266</f>
        <v>143222.5</v>
      </c>
      <c r="CO776" s="2">
        <f>SUM(CO$2:CO266)+BI266*AB266</f>
        <v>5830</v>
      </c>
      <c r="CP776" s="2">
        <f>SUM(CP$2:CP266)+BJ266*AC266</f>
        <v>2995</v>
      </c>
      <c r="CQ776" s="2">
        <f>SUM(CQ$2:CQ266)+BK266*AD266</f>
        <v>37630.000000000007</v>
      </c>
      <c r="CR776" s="2">
        <f>SUM(CR$2:CR266)+BL266*AE266</f>
        <v>660</v>
      </c>
      <c r="CV776" t="s">
        <v>64</v>
      </c>
      <c r="CW776" t="s">
        <v>849</v>
      </c>
      <c r="CX776" t="s">
        <v>18</v>
      </c>
      <c r="CY776" s="4">
        <v>43404</v>
      </c>
      <c r="CZ776" t="s">
        <v>67</v>
      </c>
      <c r="DA776" t="s">
        <v>68</v>
      </c>
      <c r="DB776">
        <v>9</v>
      </c>
      <c r="DC776">
        <v>73.099999999999994</v>
      </c>
      <c r="DD776" t="s">
        <v>69</v>
      </c>
      <c r="DE776" t="s">
        <v>70</v>
      </c>
      <c r="DF776">
        <v>657.9</v>
      </c>
    </row>
    <row r="777" spans="66:110" x14ac:dyDescent="0.25">
      <c r="BN777" s="1">
        <f t="shared" si="339"/>
        <v>43123</v>
      </c>
      <c r="BO777" s="2">
        <f>SUM(BO$2:BO267)+AI267*B267</f>
        <v>205737.49999999988</v>
      </c>
      <c r="BP777" s="2">
        <f>SUM(BP$2:BP267)+AJ267*C267</f>
        <v>26178.600000000006</v>
      </c>
      <c r="BQ777" s="2">
        <f>SUM(BQ$2:BQ267)+AK267*D267</f>
        <v>199277.49999999994</v>
      </c>
      <c r="BR777" s="2">
        <f>SUM(BR$2:BR267)+AL267*E267</f>
        <v>86626.699999999953</v>
      </c>
      <c r="BS777" s="2">
        <f>SUM(BS$2:BS267)+AM267*F267</f>
        <v>14065.500000000007</v>
      </c>
      <c r="BT777" s="2">
        <f>SUM(BT$2:BT267)+AN267*G267</f>
        <v>20442.200000000012</v>
      </c>
      <c r="BU777" s="2">
        <f>SUM(BU$2:BU267)+AO267*H267</f>
        <v>6818.0999999999913</v>
      </c>
      <c r="BV777" s="2">
        <f>SUM(BV$2:BV267)+AP267*I267</f>
        <v>9385.7999999999884</v>
      </c>
      <c r="BW777" s="2">
        <f>SUM(BW$2:BW267)+AQ267*J267</f>
        <v>21240</v>
      </c>
      <c r="BX777" s="2">
        <f>SUM(BX$2:BX267)+AR267*K267</f>
        <v>13940</v>
      </c>
      <c r="BY777" s="2">
        <f>SUM(BY$2:BY267)+AS267*L267</f>
        <v>-5187.0000000000118</v>
      </c>
      <c r="BZ777" s="2">
        <f>SUM(BZ$2:BZ267)+AT267*M267</f>
        <v>740</v>
      </c>
      <c r="CA777" s="2">
        <f>SUM(CA$2:CA267)+AU267*N267</f>
        <v>28160</v>
      </c>
      <c r="CB777" s="2">
        <f>SUM(CB$2:CB267)+AV267*O267</f>
        <v>26740</v>
      </c>
      <c r="CC777" s="2">
        <f>SUM(CC$2:CC267)+AW267*P267</f>
        <v>-20</v>
      </c>
      <c r="CD777" s="2">
        <f>SUM(CD$2:CD267)+AX267*Q267</f>
        <v>14050</v>
      </c>
      <c r="CE777" s="2">
        <f>SUM(CE$2:CE267)+AY267*R267</f>
        <v>27020</v>
      </c>
      <c r="CF777" s="2">
        <f>SUM(CF$2:CF267)+AZ267*S267</f>
        <v>3416.1399999999849</v>
      </c>
      <c r="CG777" s="2">
        <f>SUM(CG$2:CG267)+BA267*T267</f>
        <v>30180.939999999973</v>
      </c>
      <c r="CH777" s="2">
        <f>SUM(CH$2:CH267)+BB267*U267</f>
        <v>15715.560000000027</v>
      </c>
      <c r="CI777" s="2">
        <f>SUM(CI$2:CI267)+BC267*V267</f>
        <v>-6590</v>
      </c>
      <c r="CJ777" s="2">
        <f>SUM(CJ$2:CJ267)+BD267*W267</f>
        <v>-3959.9999999999418</v>
      </c>
      <c r="CK777" s="2">
        <f>SUM(CK$2:CK267)+BE267*X267</f>
        <v>139730</v>
      </c>
      <c r="CL777" s="2">
        <f>SUM(CL$2:CL267)+BF267*Y267</f>
        <v>254160</v>
      </c>
      <c r="CM777" s="2">
        <f>SUM(CM$2:CM267)+BG267*Z267</f>
        <v>136452.5</v>
      </c>
      <c r="CN777" s="2">
        <f>SUM(CN$2:CN267)+BH267*AA267</f>
        <v>144022.5</v>
      </c>
      <c r="CO777" s="2">
        <f>SUM(CO$2:CO267)+BI267*AB267</f>
        <v>5170</v>
      </c>
      <c r="CP777" s="2">
        <f>SUM(CP$2:CP267)+BJ267*AC267</f>
        <v>3549.9999999999854</v>
      </c>
      <c r="CQ777" s="2">
        <f>SUM(CQ$2:CQ267)+BK267*AD267</f>
        <v>38060.000000000007</v>
      </c>
      <c r="CR777" s="2">
        <f>SUM(CR$2:CR267)+BL267*AE267</f>
        <v>710</v>
      </c>
      <c r="CV777" t="s">
        <v>64</v>
      </c>
      <c r="CW777" t="s">
        <v>850</v>
      </c>
      <c r="CX777" t="s">
        <v>18</v>
      </c>
      <c r="CY777" s="4">
        <v>43405</v>
      </c>
      <c r="CZ777" t="s">
        <v>67</v>
      </c>
      <c r="DA777" t="s">
        <v>68</v>
      </c>
      <c r="DB777">
        <v>39</v>
      </c>
      <c r="DC777">
        <v>72.61</v>
      </c>
      <c r="DD777" t="s">
        <v>69</v>
      </c>
      <c r="DE777" t="s">
        <v>70</v>
      </c>
      <c r="DF777">
        <v>2831.79</v>
      </c>
    </row>
    <row r="778" spans="66:110" x14ac:dyDescent="0.25">
      <c r="BN778" s="1">
        <f t="shared" si="339"/>
        <v>43124</v>
      </c>
      <c r="BO778" s="2">
        <f>SUM(BO$2:BO268)+AI268*B268</f>
        <v>191887.49999999988</v>
      </c>
      <c r="BP778" s="2">
        <f>SUM(BP$2:BP268)+AJ268*C268</f>
        <v>27712.600000000006</v>
      </c>
      <c r="BQ778" s="2">
        <f>SUM(BQ$2:BQ268)+AK268*D268</f>
        <v>198239.09999999995</v>
      </c>
      <c r="BR778" s="2">
        <f>SUM(BR$2:BR268)+AL268*E268</f>
        <v>85364.099999999977</v>
      </c>
      <c r="BS778" s="2">
        <f>SUM(BS$2:BS268)+AM268*F268</f>
        <v>14136.300000000003</v>
      </c>
      <c r="BT778" s="2">
        <f>SUM(BT$2:BT268)+AN268*G268</f>
        <v>20855.200000000012</v>
      </c>
      <c r="BU778" s="2">
        <f>SUM(BU$2:BU268)+AO268*H268</f>
        <v>6924.2999999999884</v>
      </c>
      <c r="BV778" s="2">
        <f>SUM(BV$2:BV268)+AP268*I268</f>
        <v>9247.9999999999854</v>
      </c>
      <c r="BW778" s="2">
        <f>SUM(BW$2:BW268)+AQ268*J268</f>
        <v>26750</v>
      </c>
      <c r="BX778" s="2">
        <f>SUM(BX$2:BX268)+AR268*K268</f>
        <v>13940</v>
      </c>
      <c r="BY778" s="2">
        <f>SUM(BY$2:BY268)+AS268*L268</f>
        <v>-5195.300000000012</v>
      </c>
      <c r="BZ778" s="2">
        <f>SUM(BZ$2:BZ268)+AT268*M268</f>
        <v>740</v>
      </c>
      <c r="CA778" s="2">
        <f>SUM(CA$2:CA268)+AU268*N268</f>
        <v>28400</v>
      </c>
      <c r="CB778" s="2">
        <f>SUM(CB$2:CB268)+AV268*O268</f>
        <v>26740</v>
      </c>
      <c r="CC778" s="2">
        <f>SUM(CC$2:CC268)+AW268*P268</f>
        <v>-20</v>
      </c>
      <c r="CD778" s="2">
        <f>SUM(CD$2:CD268)+AX268*Q268</f>
        <v>14050</v>
      </c>
      <c r="CE778" s="2">
        <f>SUM(CE$2:CE268)+AY268*R268</f>
        <v>27020</v>
      </c>
      <c r="CF778" s="2">
        <f>SUM(CF$2:CF268)+AZ268*S268</f>
        <v>2889.3099999999831</v>
      </c>
      <c r="CG778" s="2">
        <f>SUM(CG$2:CG268)+BA268*T268</f>
        <v>30094.939999999981</v>
      </c>
      <c r="CH778" s="2">
        <f>SUM(CH$2:CH268)+BB268*U268</f>
        <v>16564.710000000021</v>
      </c>
      <c r="CI778" s="2">
        <f>SUM(CI$2:CI268)+BC268*V268</f>
        <v>-6700</v>
      </c>
      <c r="CJ778" s="2">
        <f>SUM(CJ$2:CJ268)+BD268*W268</f>
        <v>-409.99999999994179</v>
      </c>
      <c r="CK778" s="2">
        <f>SUM(CK$2:CK268)+BE268*X268</f>
        <v>146380</v>
      </c>
      <c r="CL778" s="2">
        <f>SUM(CL$2:CL268)+BF268*Y268</f>
        <v>253080</v>
      </c>
      <c r="CM778" s="2">
        <f>SUM(CM$2:CM268)+BG268*Z268</f>
        <v>134752.49999999988</v>
      </c>
      <c r="CN778" s="2">
        <f>SUM(CN$2:CN268)+BH268*AA268</f>
        <v>143772.5</v>
      </c>
      <c r="CO778" s="2">
        <f>SUM(CO$2:CO268)+BI268*AB268</f>
        <v>7990</v>
      </c>
      <c r="CP778" s="2">
        <f>SUM(CP$2:CP268)+BJ268*AC268</f>
        <v>3100</v>
      </c>
      <c r="CQ778" s="2">
        <f>SUM(CQ$2:CQ268)+BK268*AD268</f>
        <v>37960.000000000007</v>
      </c>
      <c r="CR778" s="2">
        <f>SUM(CR$2:CR268)+BL268*AE268</f>
        <v>920</v>
      </c>
      <c r="CV778" t="s">
        <v>64</v>
      </c>
      <c r="CW778" t="s">
        <v>851</v>
      </c>
      <c r="CX778" t="s">
        <v>18</v>
      </c>
      <c r="CY778" s="4">
        <v>43406</v>
      </c>
      <c r="CZ778" t="s">
        <v>67</v>
      </c>
      <c r="DA778" t="s">
        <v>68</v>
      </c>
      <c r="DB778">
        <v>35</v>
      </c>
      <c r="DC778">
        <v>71.77</v>
      </c>
      <c r="DD778" t="s">
        <v>69</v>
      </c>
      <c r="DE778" t="s">
        <v>70</v>
      </c>
      <c r="DF778">
        <v>2511.9499999999998</v>
      </c>
    </row>
    <row r="779" spans="66:110" x14ac:dyDescent="0.25">
      <c r="BN779" s="1">
        <f t="shared" si="339"/>
        <v>43125</v>
      </c>
      <c r="BO779" s="2">
        <f>SUM(BO$2:BO269)+AI269*B269</f>
        <v>176637.5</v>
      </c>
      <c r="BP779" s="2">
        <f>SUM(BP$2:BP269)+AJ269*C269</f>
        <v>28176.700000000012</v>
      </c>
      <c r="BQ779" s="2">
        <f>SUM(BQ$2:BQ269)+AK269*D269</f>
        <v>208008.99999999991</v>
      </c>
      <c r="BR779" s="2">
        <f>SUM(BR$2:BR269)+AL269*E269</f>
        <v>86565.999999999971</v>
      </c>
      <c r="BS779" s="2">
        <f>SUM(BS$2:BS269)+AM269*F269</f>
        <v>13826.900000000009</v>
      </c>
      <c r="BT779" s="2">
        <f>SUM(BT$2:BT269)+AN269*G269</f>
        <v>20010.300000000017</v>
      </c>
      <c r="BU779" s="2">
        <f>SUM(BU$2:BU269)+AO269*H269</f>
        <v>6971.8999999999796</v>
      </c>
      <c r="BV779" s="2">
        <f>SUM(BV$2:BV269)+AP269*I269</f>
        <v>9922.0999999999913</v>
      </c>
      <c r="BW779" s="2">
        <f>SUM(BW$2:BW269)+AQ269*J269</f>
        <v>30050</v>
      </c>
      <c r="BX779" s="2">
        <f>SUM(BX$2:BX269)+AR269*K269</f>
        <v>13940</v>
      </c>
      <c r="BY779" s="2">
        <f>SUM(BY$2:BY269)+AS269*L269</f>
        <v>-5194.300000000012</v>
      </c>
      <c r="BZ779" s="2">
        <f>SUM(BZ$2:BZ269)+AT269*M269</f>
        <v>740</v>
      </c>
      <c r="CA779" s="2">
        <f>SUM(CA$2:CA269)+AU269*N269</f>
        <v>30670</v>
      </c>
      <c r="CB779" s="2">
        <f>SUM(CB$2:CB269)+AV269*O269</f>
        <v>26740</v>
      </c>
      <c r="CC779" s="2">
        <f>SUM(CC$2:CC269)+AW269*P269</f>
        <v>-20</v>
      </c>
      <c r="CD779" s="2">
        <f>SUM(CD$2:CD269)+AX269*Q269</f>
        <v>14050</v>
      </c>
      <c r="CE779" s="2">
        <f>SUM(CE$2:CE269)+AY269*R269</f>
        <v>27020</v>
      </c>
      <c r="CF779" s="2">
        <f>SUM(CF$2:CF269)+AZ269*S269</f>
        <v>3003.3099999999831</v>
      </c>
      <c r="CG779" s="2">
        <f>SUM(CG$2:CG269)+BA269*T269</f>
        <v>30562.439999999973</v>
      </c>
      <c r="CH779" s="2">
        <f>SUM(CH$2:CH269)+BB269*U269</f>
        <v>16262.240000000034</v>
      </c>
      <c r="CI779" s="2">
        <f>SUM(CI$2:CI269)+BC269*V269</f>
        <v>-6980</v>
      </c>
      <c r="CJ779" s="2">
        <f>SUM(CJ$2:CJ269)+BD269*W269</f>
        <v>-559.99999999994179</v>
      </c>
      <c r="CK779" s="2">
        <f>SUM(CK$2:CK269)+BE269*X269</f>
        <v>150530</v>
      </c>
      <c r="CL779" s="2">
        <f>SUM(CL$2:CL269)+BF269*Y269</f>
        <v>254070</v>
      </c>
      <c r="CM779" s="2">
        <f>SUM(CM$2:CM269)+BG269*Z269</f>
        <v>144802.5</v>
      </c>
      <c r="CN779" s="2">
        <f>SUM(CN$2:CN269)+BH269*AA269</f>
        <v>145422.5</v>
      </c>
      <c r="CO779" s="2">
        <f>SUM(CO$2:CO269)+BI269*AB269</f>
        <v>8200</v>
      </c>
      <c r="CP779" s="2">
        <f>SUM(CP$2:CP269)+BJ269*AC269</f>
        <v>1735</v>
      </c>
      <c r="CQ779" s="2">
        <f>SUM(CQ$2:CQ269)+BK269*AD269</f>
        <v>38750.000000000007</v>
      </c>
      <c r="CR779" s="2">
        <f>SUM(CR$2:CR269)+BL269*AE269</f>
        <v>770</v>
      </c>
      <c r="CV779" t="s">
        <v>64</v>
      </c>
      <c r="CW779" t="s">
        <v>852</v>
      </c>
      <c r="CX779" t="s">
        <v>18</v>
      </c>
      <c r="CY779" s="4">
        <v>43409</v>
      </c>
      <c r="CZ779" t="s">
        <v>65</v>
      </c>
      <c r="DA779" t="s">
        <v>66</v>
      </c>
      <c r="DB779">
        <v>47</v>
      </c>
      <c r="DC779">
        <v>72.61</v>
      </c>
      <c r="DD779" t="s">
        <v>69</v>
      </c>
      <c r="DE779" t="s">
        <v>70</v>
      </c>
      <c r="DF779">
        <v>3412.67</v>
      </c>
    </row>
    <row r="780" spans="66:110" x14ac:dyDescent="0.25">
      <c r="BN780" s="1">
        <f t="shared" si="339"/>
        <v>43126</v>
      </c>
      <c r="BO780" s="2">
        <f>SUM(BO$2:BO270)+AI270*B270</f>
        <v>178587.49999999988</v>
      </c>
      <c r="BP780" s="2">
        <f>SUM(BP$2:BP270)+AJ270*C270</f>
        <v>28105.300000000003</v>
      </c>
      <c r="BQ780" s="2">
        <f>SUM(BQ$2:BQ270)+AK270*D270</f>
        <v>208139.89999999994</v>
      </c>
      <c r="BR780" s="2">
        <f>SUM(BR$2:BR270)+AL270*E270</f>
        <v>83876.599999999977</v>
      </c>
      <c r="BS780" s="2">
        <f>SUM(BS$2:BS270)+AM270*F270</f>
        <v>14588.500000000007</v>
      </c>
      <c r="BT780" s="2">
        <f>SUM(BT$2:BT270)+AN270*G270</f>
        <v>20629.100000000006</v>
      </c>
      <c r="BU780" s="2">
        <f>SUM(BU$2:BU270)+AO270*H270</f>
        <v>8899.6999999999971</v>
      </c>
      <c r="BV780" s="2">
        <f>SUM(BV$2:BV270)+AP270*I270</f>
        <v>10307.300000000003</v>
      </c>
      <c r="BW780" s="2">
        <f>SUM(BW$2:BW270)+AQ270*J270</f>
        <v>29180</v>
      </c>
      <c r="BX780" s="2">
        <f>SUM(BX$2:BX270)+AR270*K270</f>
        <v>13940</v>
      </c>
      <c r="BY780" s="2">
        <f>SUM(BY$2:BY270)+AS270*L270</f>
        <v>-5176.7000000000116</v>
      </c>
      <c r="BZ780" s="2">
        <f>SUM(BZ$2:BZ270)+AT270*M270</f>
        <v>740</v>
      </c>
      <c r="CA780" s="2">
        <f>SUM(CA$2:CA270)+AU270*N270</f>
        <v>31570</v>
      </c>
      <c r="CB780" s="2">
        <f>SUM(CB$2:CB270)+AV270*O270</f>
        <v>26740</v>
      </c>
      <c r="CC780" s="2">
        <f>SUM(CC$2:CC270)+AW270*P270</f>
        <v>-20</v>
      </c>
      <c r="CD780" s="2">
        <f>SUM(CD$2:CD270)+AX270*Q270</f>
        <v>14050</v>
      </c>
      <c r="CE780" s="2">
        <f>SUM(CE$2:CE270)+AY270*R270</f>
        <v>27020</v>
      </c>
      <c r="CF780" s="2">
        <f>SUM(CF$2:CF270)+AZ270*S270</f>
        <v>3704.5899999999892</v>
      </c>
      <c r="CG780" s="2">
        <f>SUM(CG$2:CG270)+BA270*T270</f>
        <v>32177.439999999973</v>
      </c>
      <c r="CH780" s="2">
        <f>SUM(CH$2:CH270)+BB270*U270</f>
        <v>16588.61000000003</v>
      </c>
      <c r="CI780" s="2">
        <f>SUM(CI$2:CI270)+BC270*V270</f>
        <v>-8690</v>
      </c>
      <c r="CJ780" s="2">
        <f>SUM(CJ$2:CJ270)+BD270*W270</f>
        <v>2390.0000000000582</v>
      </c>
      <c r="CK780" s="2">
        <f>SUM(CK$2:CK270)+BE270*X270</f>
        <v>155180</v>
      </c>
      <c r="CL780" s="2">
        <f>SUM(CL$2:CL270)+BF270*Y270</f>
        <v>263790</v>
      </c>
      <c r="CM780" s="2">
        <f>SUM(CM$2:CM270)+BG270*Z270</f>
        <v>145902.5</v>
      </c>
      <c r="CN780" s="2">
        <f>SUM(CN$2:CN270)+BH270*AA270</f>
        <v>148172.5</v>
      </c>
      <c r="CO780" s="2">
        <f>SUM(CO$2:CO270)+BI270*AB270</f>
        <v>9430</v>
      </c>
      <c r="CP780" s="2">
        <f>SUM(CP$2:CP270)+BJ270*AC270</f>
        <v>445</v>
      </c>
      <c r="CQ780" s="2">
        <f>SUM(CQ$2:CQ270)+BK270*AD270</f>
        <v>40500.000000000007</v>
      </c>
      <c r="CR780" s="2">
        <f>SUM(CR$2:CR270)+BL270*AE270</f>
        <v>1370</v>
      </c>
      <c r="CV780" t="s">
        <v>64</v>
      </c>
      <c r="CW780" t="s">
        <v>853</v>
      </c>
      <c r="CX780" t="s">
        <v>18</v>
      </c>
      <c r="CY780" s="4">
        <v>43410</v>
      </c>
      <c r="CZ780" t="s">
        <v>67</v>
      </c>
      <c r="DA780" t="s">
        <v>68</v>
      </c>
      <c r="DB780">
        <v>20</v>
      </c>
      <c r="DC780">
        <v>72.8</v>
      </c>
      <c r="DD780" t="s">
        <v>69</v>
      </c>
      <c r="DE780" t="s">
        <v>70</v>
      </c>
      <c r="DF780">
        <v>1456</v>
      </c>
    </row>
    <row r="781" spans="66:110" x14ac:dyDescent="0.25">
      <c r="BN781" s="1">
        <f t="shared" si="339"/>
        <v>43129</v>
      </c>
      <c r="BO781" s="2">
        <f>SUM(BO$2:BO271)+AI271*B271</f>
        <v>161187.49999999988</v>
      </c>
      <c r="BP781" s="2">
        <f>SUM(BP$2:BP271)+AJ271*C271</f>
        <v>27843.5</v>
      </c>
      <c r="BQ781" s="2">
        <f>SUM(BQ$2:BQ271)+AK271*D271</f>
        <v>205355.2999999999</v>
      </c>
      <c r="BR781" s="2">
        <f>SUM(BR$2:BR271)+AL271*E271</f>
        <v>78676.299999999959</v>
      </c>
      <c r="BS781" s="2">
        <f>SUM(BS$2:BS271)+AM271*F271</f>
        <v>14921.700000000012</v>
      </c>
      <c r="BT781" s="2">
        <f>SUM(BT$2:BT271)+AN271*G271</f>
        <v>17558.900000000023</v>
      </c>
      <c r="BU781" s="2">
        <f>SUM(BU$2:BU271)+AO271*H271</f>
        <v>8138.0999999999913</v>
      </c>
      <c r="BV781" s="2">
        <f>SUM(BV$2:BV271)+AP271*I271</f>
        <v>9108.8999999999942</v>
      </c>
      <c r="BW781" s="2">
        <f>SUM(BW$2:BW271)+AQ271*J271</f>
        <v>33460</v>
      </c>
      <c r="BX781" s="2">
        <f>SUM(BX$2:BX271)+AR271*K271</f>
        <v>13940</v>
      </c>
      <c r="BY781" s="2">
        <f>SUM(BY$2:BY271)+AS271*L271</f>
        <v>-5181.800000000012</v>
      </c>
      <c r="BZ781" s="2">
        <f>SUM(BZ$2:BZ271)+AT271*M271</f>
        <v>740</v>
      </c>
      <c r="CA781" s="2">
        <f>SUM(CA$2:CA271)+AU271*N271</f>
        <v>29970</v>
      </c>
      <c r="CB781" s="2">
        <f>SUM(CB$2:CB271)+AV271*O271</f>
        <v>26740</v>
      </c>
      <c r="CC781" s="2">
        <f>SUM(CC$2:CC271)+AW271*P271</f>
        <v>-20</v>
      </c>
      <c r="CD781" s="2">
        <f>SUM(CD$2:CD271)+AX271*Q271</f>
        <v>14050</v>
      </c>
      <c r="CE781" s="2">
        <f>SUM(CE$2:CE271)+AY271*R271</f>
        <v>27020</v>
      </c>
      <c r="CF781" s="2">
        <f>SUM(CF$2:CF271)+AZ271*S271</f>
        <v>3304.1899999999878</v>
      </c>
      <c r="CG781" s="2">
        <f>SUM(CG$2:CG271)+BA271*T271</f>
        <v>32023.439999999959</v>
      </c>
      <c r="CH781" s="2">
        <f>SUM(CH$2:CH271)+BB271*U271</f>
        <v>16099.010000000031</v>
      </c>
      <c r="CI781" s="2">
        <f>SUM(CI$2:CI271)+BC271*V271</f>
        <v>-8700</v>
      </c>
      <c r="CJ781" s="2">
        <f>SUM(CJ$2:CJ271)+BD271*W271</f>
        <v>6590.0000000000582</v>
      </c>
      <c r="CK781" s="2">
        <f>SUM(CK$2:CK271)+BE271*X271</f>
        <v>152930</v>
      </c>
      <c r="CL781" s="2">
        <f>SUM(CL$2:CL271)+BF271*Y271</f>
        <v>260670</v>
      </c>
      <c r="CM781" s="2">
        <f>SUM(CM$2:CM271)+BG271*Z271</f>
        <v>139552.5</v>
      </c>
      <c r="CN781" s="2">
        <f>SUM(CN$2:CN271)+BH271*AA271</f>
        <v>144497.5</v>
      </c>
      <c r="CO781" s="2">
        <f>SUM(CO$2:CO271)+BI271*AB271</f>
        <v>7750</v>
      </c>
      <c r="CP781" s="2">
        <f>SUM(CP$2:CP271)+BJ271*AC271</f>
        <v>-1175</v>
      </c>
      <c r="CQ781" s="2">
        <f>SUM(CQ$2:CQ271)+BK271*AD271</f>
        <v>41630.000000000007</v>
      </c>
      <c r="CR781" s="2">
        <f>SUM(CR$2:CR271)+BL271*AE271</f>
        <v>430</v>
      </c>
      <c r="CV781" t="s">
        <v>64</v>
      </c>
      <c r="CW781" t="s">
        <v>854</v>
      </c>
      <c r="CX781" t="s">
        <v>18</v>
      </c>
      <c r="CY781" s="4">
        <v>43411</v>
      </c>
      <c r="CZ781" t="s">
        <v>65</v>
      </c>
      <c r="DA781" t="s">
        <v>66</v>
      </c>
      <c r="DB781">
        <v>37</v>
      </c>
      <c r="DC781">
        <v>74.56</v>
      </c>
      <c r="DD781" t="s">
        <v>69</v>
      </c>
      <c r="DE781" t="s">
        <v>70</v>
      </c>
      <c r="DF781">
        <v>2758.7200000000003</v>
      </c>
    </row>
    <row r="782" spans="66:110" x14ac:dyDescent="0.25">
      <c r="BN782" s="1">
        <f t="shared" si="339"/>
        <v>43130</v>
      </c>
      <c r="BO782" s="2">
        <f>SUM(BO$2:BO272)+AI272*B272</f>
        <v>156337.49999999988</v>
      </c>
      <c r="BP782" s="2">
        <f>SUM(BP$2:BP272)+AJ272*C272</f>
        <v>27022.400000000009</v>
      </c>
      <c r="BQ782" s="2">
        <f>SUM(BQ$2:BQ272)+AK272*D272</f>
        <v>201737.69999999992</v>
      </c>
      <c r="BR782" s="2">
        <f>SUM(BR$2:BR272)+AL272*E272</f>
        <v>80044.79999999993</v>
      </c>
      <c r="BS782" s="2">
        <f>SUM(BS$2:BS272)+AM272*F272</f>
        <v>14231.500000000015</v>
      </c>
      <c r="BT782" s="2">
        <f>SUM(BT$2:BT272)+AN272*G272</f>
        <v>13869.899999999994</v>
      </c>
      <c r="BU782" s="2">
        <f>SUM(BU$2:BU272)+AO272*H272</f>
        <v>6460.1999999999971</v>
      </c>
      <c r="BV782" s="2">
        <f>SUM(BV$2:BV272)+AP272*I272</f>
        <v>8327.7999999999884</v>
      </c>
      <c r="BW782" s="2">
        <f>SUM(BW$2:BW272)+AQ272*J272</f>
        <v>29970</v>
      </c>
      <c r="BX782" s="2">
        <f>SUM(BX$2:BX272)+AR272*K272</f>
        <v>13940</v>
      </c>
      <c r="BY782" s="2">
        <f>SUM(BY$2:BY272)+AS272*L272</f>
        <v>-5211.800000000012</v>
      </c>
      <c r="BZ782" s="2">
        <f>SUM(BZ$2:BZ272)+AT272*M272</f>
        <v>740</v>
      </c>
      <c r="CA782" s="2">
        <f>SUM(CA$2:CA272)+AU272*N272</f>
        <v>28750</v>
      </c>
      <c r="CB782" s="2">
        <f>SUM(CB$2:CB272)+AV272*O272</f>
        <v>26740</v>
      </c>
      <c r="CC782" s="2">
        <f>SUM(CC$2:CC272)+AW272*P272</f>
        <v>-20</v>
      </c>
      <c r="CD782" s="2">
        <f>SUM(CD$2:CD272)+AX272*Q272</f>
        <v>14050</v>
      </c>
      <c r="CE782" s="2">
        <f>SUM(CE$2:CE272)+AY272*R272</f>
        <v>27020</v>
      </c>
      <c r="CF782" s="2">
        <f>SUM(CF$2:CF272)+AZ272*S272</f>
        <v>2335.1899999999878</v>
      </c>
      <c r="CG782" s="2">
        <f>SUM(CG$2:CG272)+BA272*T272</f>
        <v>30788.039999999972</v>
      </c>
      <c r="CH782" s="2">
        <f>SUM(CH$2:CH272)+BB272*U272</f>
        <v>15838.510000000031</v>
      </c>
      <c r="CI782" s="2">
        <f>SUM(CI$2:CI272)+BC272*V272</f>
        <v>-7530</v>
      </c>
      <c r="CJ782" s="2">
        <f>SUM(CJ$2:CJ272)+BD272*W272</f>
        <v>6140.0000000000582</v>
      </c>
      <c r="CK782" s="2">
        <f>SUM(CK$2:CK272)+BE272*X272</f>
        <v>151730</v>
      </c>
      <c r="CL782" s="2">
        <f>SUM(CL$2:CL272)+BF272*Y272</f>
        <v>228810</v>
      </c>
      <c r="CM782" s="2">
        <f>SUM(CM$2:CM272)+BG272*Z272</f>
        <v>138702.5</v>
      </c>
      <c r="CN782" s="2">
        <f>SUM(CN$2:CN272)+BH272*AA272</f>
        <v>138097.5</v>
      </c>
      <c r="CO782" s="2">
        <f>SUM(CO$2:CO272)+BI272*AB272</f>
        <v>7090</v>
      </c>
      <c r="CP782" s="2">
        <f>SUM(CP$2:CP272)+BJ272*AC272</f>
        <v>4839.9999999999854</v>
      </c>
      <c r="CQ782" s="2">
        <f>SUM(CQ$2:CQ272)+BK272*AD272</f>
        <v>39850.000000000007</v>
      </c>
      <c r="CR782" s="2">
        <f>SUM(CR$2:CR272)+BL272*AE272</f>
        <v>-740</v>
      </c>
      <c r="CV782" t="s">
        <v>64</v>
      </c>
      <c r="CW782" t="s">
        <v>855</v>
      </c>
      <c r="CX782" t="s">
        <v>18</v>
      </c>
      <c r="CY782" s="4">
        <v>43412</v>
      </c>
      <c r="CZ782" t="s">
        <v>67</v>
      </c>
      <c r="DA782" t="s">
        <v>68</v>
      </c>
      <c r="DB782">
        <v>32</v>
      </c>
      <c r="DC782">
        <v>74.95</v>
      </c>
      <c r="DD782" t="s">
        <v>69</v>
      </c>
      <c r="DE782" t="s">
        <v>70</v>
      </c>
      <c r="DF782">
        <v>2398.4</v>
      </c>
    </row>
    <row r="783" spans="66:110" x14ac:dyDescent="0.25">
      <c r="BN783" s="1">
        <f t="shared" si="339"/>
        <v>43131</v>
      </c>
      <c r="BO783" s="2">
        <f>SUM(BO$2:BO273)+AI273*B273</f>
        <v>158587.49999999988</v>
      </c>
      <c r="BP783" s="2">
        <f>SUM(BP$2:BP273)+AJ273*C273</f>
        <v>27831.599999999991</v>
      </c>
      <c r="BQ783" s="2">
        <f>SUM(BQ$2:BQ273)+AK273*D273</f>
        <v>221087.09999999995</v>
      </c>
      <c r="BR783" s="2">
        <f>SUM(BR$2:BR273)+AL273*E273</f>
        <v>78914.299999999959</v>
      </c>
      <c r="BS783" s="2">
        <f>SUM(BS$2:BS273)+AM273*F273</f>
        <v>13410.400000000009</v>
      </c>
      <c r="BT783" s="2">
        <f>SUM(BT$2:BT273)+AN273*G273</f>
        <v>14000.800000000017</v>
      </c>
      <c r="BU783" s="2">
        <f>SUM(BU$2:BU273)+AO273*H273</f>
        <v>4770.3999999999942</v>
      </c>
      <c r="BV783" s="2">
        <f>SUM(BV$2:BV273)+AP273*I273</f>
        <v>8798.5999999999913</v>
      </c>
      <c r="BW783" s="2">
        <f>SUM(BW$2:BW273)+AQ273*J273</f>
        <v>28930</v>
      </c>
      <c r="BX783" s="2">
        <f>SUM(BX$2:BX273)+AR273*K273</f>
        <v>13940</v>
      </c>
      <c r="BY783" s="2">
        <f>SUM(BY$2:BY273)+AS273*L273</f>
        <v>-5211.1000000000113</v>
      </c>
      <c r="BZ783" s="2">
        <f>SUM(BZ$2:BZ273)+AT273*M273</f>
        <v>740</v>
      </c>
      <c r="CA783" s="2">
        <f>SUM(CA$2:CA273)+AU273*N273</f>
        <v>24620</v>
      </c>
      <c r="CB783" s="2">
        <f>SUM(CB$2:CB273)+AV273*O273</f>
        <v>26740</v>
      </c>
      <c r="CC783" s="2">
        <f>SUM(CC$2:CC273)+AW273*P273</f>
        <v>-20</v>
      </c>
      <c r="CD783" s="2">
        <f>SUM(CD$2:CD273)+AX273*Q273</f>
        <v>14050</v>
      </c>
      <c r="CE783" s="2">
        <f>SUM(CE$2:CE273)+AY273*R273</f>
        <v>27020</v>
      </c>
      <c r="CF783" s="2">
        <f>SUM(CF$2:CF273)+AZ273*S273</f>
        <v>934.38999999999214</v>
      </c>
      <c r="CG783" s="2">
        <f>SUM(CG$2:CG273)+BA273*T273</f>
        <v>32803.95999999997</v>
      </c>
      <c r="CH783" s="2">
        <f>SUM(CH$2:CH273)+BB273*U273</f>
        <v>16756.35000000002</v>
      </c>
      <c r="CI783" s="2">
        <f>SUM(CI$2:CI273)+BC273*V273</f>
        <v>-6800</v>
      </c>
      <c r="CJ783" s="2">
        <f>SUM(CJ$2:CJ273)+BD273*W273</f>
        <v>9090.0000000000582</v>
      </c>
      <c r="CK783" s="2">
        <f>SUM(CK$2:CK273)+BE273*X273</f>
        <v>157580</v>
      </c>
      <c r="CL783" s="2">
        <f>SUM(CL$2:CL273)+BF273*Y273</f>
        <v>229200</v>
      </c>
      <c r="CM783" s="2">
        <f>SUM(CM$2:CM273)+BG273*Z273</f>
        <v>142377.5</v>
      </c>
      <c r="CN783" s="2">
        <f>SUM(CN$2:CN273)+BH273*AA273</f>
        <v>141447.5</v>
      </c>
      <c r="CO783" s="2">
        <f>SUM(CO$2:CO273)+BI273*AB273</f>
        <v>7570</v>
      </c>
      <c r="CP783" s="2">
        <f>SUM(CP$2:CP273)+BJ273*AC273</f>
        <v>6115</v>
      </c>
      <c r="CQ783" s="2">
        <f>SUM(CQ$2:CQ273)+BK273*AD273</f>
        <v>38750.000000000007</v>
      </c>
      <c r="CR783" s="2">
        <f>SUM(CR$2:CR273)+BL273*AE273</f>
        <v>-240</v>
      </c>
      <c r="CV783" t="s">
        <v>64</v>
      </c>
      <c r="CW783" t="s">
        <v>856</v>
      </c>
      <c r="CX783" t="s">
        <v>18</v>
      </c>
      <c r="CY783" s="4">
        <v>43413</v>
      </c>
      <c r="CZ783" t="s">
        <v>67</v>
      </c>
      <c r="DA783" t="s">
        <v>68</v>
      </c>
      <c r="DB783">
        <v>19</v>
      </c>
      <c r="DC783">
        <v>74.34</v>
      </c>
      <c r="DD783" t="s">
        <v>69</v>
      </c>
      <c r="DE783" t="s">
        <v>70</v>
      </c>
      <c r="DF783">
        <v>1412.46</v>
      </c>
    </row>
    <row r="784" spans="66:110" x14ac:dyDescent="0.25">
      <c r="BN784" s="1">
        <f t="shared" si="339"/>
        <v>43132</v>
      </c>
      <c r="BO784" s="2">
        <f>SUM(BO$2:BO274)+AI274*B274</f>
        <v>160287.49999999988</v>
      </c>
      <c r="BP784" s="2">
        <f>SUM(BP$2:BP274)+AJ274*C274</f>
        <v>28545.600000000006</v>
      </c>
      <c r="BQ784" s="2">
        <f>SUM(BQ$2:BQ274)+AK274*D274</f>
        <v>224073.99999999991</v>
      </c>
      <c r="BR784" s="2">
        <f>SUM(BR$2:BR274)+AL274*E274</f>
        <v>78283.599999999948</v>
      </c>
      <c r="BS784" s="2">
        <f>SUM(BS$2:BS274)+AM274*F274</f>
        <v>13600.80000000001</v>
      </c>
      <c r="BT784" s="2">
        <f>SUM(BT$2:BT274)+AN274*G274</f>
        <v>14250.700000000012</v>
      </c>
      <c r="BU784" s="2">
        <f>SUM(BU$2:BU274)+AO274*H274</f>
        <v>6912.3999999999796</v>
      </c>
      <c r="BV784" s="2">
        <f>SUM(BV$2:BV274)+AP274*I274</f>
        <v>6626.4999999999854</v>
      </c>
      <c r="BW784" s="2">
        <f>SUM(BW$2:BW274)+AQ274*J274</f>
        <v>33210</v>
      </c>
      <c r="BX784" s="2">
        <f>SUM(BX$2:BX274)+AR274*K274</f>
        <v>13940</v>
      </c>
      <c r="BY784" s="2">
        <f>SUM(BY$2:BY274)+AS274*L274</f>
        <v>-5223.4000000000115</v>
      </c>
      <c r="BZ784" s="2">
        <f>SUM(BZ$2:BZ274)+AT274*M274</f>
        <v>740</v>
      </c>
      <c r="CA784" s="2">
        <f>SUM(CA$2:CA274)+AU274*N274</f>
        <v>26400</v>
      </c>
      <c r="CB784" s="2">
        <f>SUM(CB$2:CB274)+AV274*O274</f>
        <v>26740</v>
      </c>
      <c r="CC784" s="2">
        <f>SUM(CC$2:CC274)+AW274*P274</f>
        <v>-20</v>
      </c>
      <c r="CD784" s="2">
        <f>SUM(CD$2:CD274)+AX274*Q274</f>
        <v>14050</v>
      </c>
      <c r="CE784" s="2">
        <f>SUM(CE$2:CE274)+AY274*R274</f>
        <v>27020</v>
      </c>
      <c r="CF784" s="2">
        <f>SUM(CF$2:CF274)+AZ274*S274</f>
        <v>1529.6999999999825</v>
      </c>
      <c r="CG784" s="2">
        <f>SUM(CG$2:CG274)+BA274*T274</f>
        <v>32086.369999999974</v>
      </c>
      <c r="CH784" s="2">
        <f>SUM(CH$2:CH274)+BB274*U274</f>
        <v>16214.280000000035</v>
      </c>
      <c r="CI784" s="2">
        <f>SUM(CI$2:CI274)+BC274*V274</f>
        <v>-6930</v>
      </c>
      <c r="CJ784" s="2">
        <f>SUM(CJ$2:CJ274)+BD274*W274</f>
        <v>11490.000000000058</v>
      </c>
      <c r="CK784" s="2">
        <f>SUM(CK$2:CK274)+BE274*X274</f>
        <v>157980</v>
      </c>
      <c r="CL784" s="2">
        <f>SUM(CL$2:CL274)+BF274*Y274</f>
        <v>224580</v>
      </c>
      <c r="CM784" s="2">
        <f>SUM(CM$2:CM274)+BG274*Z274</f>
        <v>143127.5</v>
      </c>
      <c r="CN784" s="2">
        <f>SUM(CN$2:CN274)+BH274*AA274</f>
        <v>148847.5</v>
      </c>
      <c r="CO784" s="2">
        <f>SUM(CO$2:CO274)+BI274*AB274</f>
        <v>8230</v>
      </c>
      <c r="CP784" s="2">
        <f>SUM(CP$2:CP274)+BJ274*AC274</f>
        <v>4945</v>
      </c>
      <c r="CQ784" s="2">
        <f>SUM(CQ$2:CQ274)+BK274*AD274</f>
        <v>37690.000000000007</v>
      </c>
      <c r="CR784" s="2">
        <f>SUM(CR$2:CR274)+BL274*AE274</f>
        <v>1440</v>
      </c>
      <c r="CV784" t="s">
        <v>64</v>
      </c>
      <c r="CW784" t="s">
        <v>857</v>
      </c>
      <c r="CX784" t="s">
        <v>18</v>
      </c>
      <c r="CY784" s="4">
        <v>43416</v>
      </c>
      <c r="CZ784" t="s">
        <v>65</v>
      </c>
      <c r="DA784" t="s">
        <v>66</v>
      </c>
      <c r="DB784">
        <v>15</v>
      </c>
      <c r="DC784">
        <v>74.17</v>
      </c>
      <c r="DD784" t="s">
        <v>69</v>
      </c>
      <c r="DE784" t="s">
        <v>70</v>
      </c>
      <c r="DF784">
        <v>1112.55</v>
      </c>
    </row>
    <row r="785" spans="66:110" x14ac:dyDescent="0.25">
      <c r="BN785" s="1">
        <f t="shared" si="339"/>
        <v>43133</v>
      </c>
      <c r="BO785" s="2">
        <f>SUM(BO$2:BO275)+AI275*B275</f>
        <v>124587.49999999988</v>
      </c>
      <c r="BP785" s="2">
        <f>SUM(BP$2:BP275)+AJ275*C275</f>
        <v>24630.5</v>
      </c>
      <c r="BQ785" s="2">
        <f>SUM(BQ$2:BQ275)+AK275*D275</f>
        <v>214744.39999999994</v>
      </c>
      <c r="BR785" s="2">
        <f>SUM(BR$2:BR275)+AL275*E275</f>
        <v>72761.999999999971</v>
      </c>
      <c r="BS785" s="2">
        <f>SUM(BS$2:BS275)+AM275*F275</f>
        <v>12708.30000000001</v>
      </c>
      <c r="BT785" s="2">
        <f>SUM(BT$2:BT275)+AN275*G275</f>
        <v>6325.3000000000175</v>
      </c>
      <c r="BU785" s="2">
        <f>SUM(BU$2:BU275)+AO275*H275</f>
        <v>4806.0999999999913</v>
      </c>
      <c r="BV785" s="2">
        <f>SUM(BV$2:BV275)+AP275*I275</f>
        <v>3897.9999999999854</v>
      </c>
      <c r="BW785" s="2">
        <f>SUM(BW$2:BW275)+AQ275*J275</f>
        <v>21190</v>
      </c>
      <c r="BX785" s="2">
        <f>SUM(BX$2:BX275)+AR275*K275</f>
        <v>13940</v>
      </c>
      <c r="BY785" s="2">
        <f>SUM(BY$2:BY275)+AS275*L275</f>
        <v>-5255.2000000000116</v>
      </c>
      <c r="BZ785" s="2">
        <f>SUM(BZ$2:BZ275)+AT275*M275</f>
        <v>740</v>
      </c>
      <c r="CA785" s="2">
        <f>SUM(CA$2:CA275)+AU275*N275</f>
        <v>24120</v>
      </c>
      <c r="CB785" s="2">
        <f>SUM(CB$2:CB275)+AV275*O275</f>
        <v>26740</v>
      </c>
      <c r="CC785" s="2">
        <f>SUM(CC$2:CC275)+AW275*P275</f>
        <v>-20</v>
      </c>
      <c r="CD785" s="2">
        <f>SUM(CD$2:CD275)+AX275*Q275</f>
        <v>14050</v>
      </c>
      <c r="CE785" s="2">
        <f>SUM(CE$2:CE275)+AY275*R275</f>
        <v>27020</v>
      </c>
      <c r="CF785" s="2">
        <f>SUM(CF$2:CF275)+AZ275*S275</f>
        <v>320.09999999998399</v>
      </c>
      <c r="CG785" s="2">
        <f>SUM(CG$2:CG275)+BA275*T275</f>
        <v>29604.889999999978</v>
      </c>
      <c r="CH785" s="2">
        <f>SUM(CH$2:CH275)+BB275*U275</f>
        <v>15766.980000000032</v>
      </c>
      <c r="CI785" s="2">
        <f>SUM(CI$2:CI275)+BC275*V275</f>
        <v>-6720</v>
      </c>
      <c r="CJ785" s="2">
        <f>SUM(CJ$2:CJ275)+BD275*W275</f>
        <v>19190.000000000058</v>
      </c>
      <c r="CK785" s="2">
        <f>SUM(CK$2:CK275)+BE275*X275</f>
        <v>147980</v>
      </c>
      <c r="CL785" s="2">
        <f>SUM(CL$2:CL275)+BF275*Y275</f>
        <v>214680</v>
      </c>
      <c r="CM785" s="2">
        <f>SUM(CM$2:CM275)+BG275*Z275</f>
        <v>134127.5</v>
      </c>
      <c r="CN785" s="2">
        <f>SUM(CN$2:CN275)+BH275*AA275</f>
        <v>124997.5</v>
      </c>
      <c r="CO785" s="2">
        <f>SUM(CO$2:CO275)+BI275*AB275</f>
        <v>4450</v>
      </c>
      <c r="CP785" s="2">
        <f>SUM(CP$2:CP275)+BJ275*AC275</f>
        <v>8589.9999999999854</v>
      </c>
      <c r="CQ785" s="2">
        <f>SUM(CQ$2:CQ275)+BK275*AD275</f>
        <v>36680.000000000007</v>
      </c>
      <c r="CR785" s="2">
        <f>SUM(CR$2:CR275)+BL275*AE275</f>
        <v>-2870</v>
      </c>
      <c r="CV785" t="s">
        <v>64</v>
      </c>
      <c r="CW785" t="s">
        <v>858</v>
      </c>
      <c r="CX785" t="s">
        <v>18</v>
      </c>
      <c r="CY785" s="4">
        <v>43417</v>
      </c>
      <c r="CZ785" t="s">
        <v>65</v>
      </c>
      <c r="DA785" t="s">
        <v>66</v>
      </c>
      <c r="DB785">
        <v>44</v>
      </c>
      <c r="DC785">
        <v>74.09</v>
      </c>
      <c r="DD785" t="s">
        <v>69</v>
      </c>
      <c r="DE785" t="s">
        <v>70</v>
      </c>
      <c r="DF785">
        <v>3259.96</v>
      </c>
    </row>
    <row r="786" spans="66:110" x14ac:dyDescent="0.25">
      <c r="BN786" s="1">
        <f t="shared" si="339"/>
        <v>43136</v>
      </c>
      <c r="BO786" s="2">
        <f>SUM(BO$2:BO276)+AI276*B276</f>
        <v>104937.49999999988</v>
      </c>
      <c r="BP786" s="2">
        <f>SUM(BP$2:BP276)+AJ276*C276</f>
        <v>19144.600000000006</v>
      </c>
      <c r="BQ786" s="2">
        <f>SUM(BQ$2:BQ276)+AK276*D276</f>
        <v>191491.7999999999</v>
      </c>
      <c r="BR786" s="2">
        <f>SUM(BR$2:BR276)+AL276*E276</f>
        <v>65312.599999999948</v>
      </c>
      <c r="BS786" s="2">
        <f>SUM(BS$2:BS276)+AM276*F276</f>
        <v>10233.100000000013</v>
      </c>
      <c r="BT786" s="2">
        <f>SUM(BT$2:BT276)+AN276*G276</f>
        <v>-433.89999999999418</v>
      </c>
      <c r="BU786" s="2">
        <f>SUM(BU$2:BU276)+AO276*H276</f>
        <v>129.39999999997963</v>
      </c>
      <c r="BV786" s="2">
        <f>SUM(BV$2:BV276)+AP276*I276</f>
        <v>709.39999999999418</v>
      </c>
      <c r="BW786" s="2">
        <f>SUM(BW$2:BW276)+AQ276*J276</f>
        <v>10410</v>
      </c>
      <c r="BX786" s="2">
        <f>SUM(BX$2:BX276)+AR276*K276</f>
        <v>13940</v>
      </c>
      <c r="BY786" s="2">
        <f>SUM(BY$2:BY276)+AS276*L276</f>
        <v>-5316.7000000000116</v>
      </c>
      <c r="BZ786" s="2">
        <f>SUM(BZ$2:BZ276)+AT276*M276</f>
        <v>740</v>
      </c>
      <c r="CA786" s="2">
        <f>SUM(CA$2:CA276)+AU276*N276</f>
        <v>17030</v>
      </c>
      <c r="CB786" s="2">
        <f>SUM(CB$2:CB276)+AV276*O276</f>
        <v>26740</v>
      </c>
      <c r="CC786" s="2">
        <f>SUM(CC$2:CC276)+AW276*P276</f>
        <v>-20</v>
      </c>
      <c r="CD786" s="2">
        <f>SUM(CD$2:CD276)+AX276*Q276</f>
        <v>14050</v>
      </c>
      <c r="CE786" s="2">
        <f>SUM(CE$2:CE276)+AY276*R276</f>
        <v>27020</v>
      </c>
      <c r="CF786" s="2">
        <f>SUM(CF$2:CF276)+AZ276*S276</f>
        <v>-1798.8000000000102</v>
      </c>
      <c r="CG786" s="2">
        <f>SUM(CG$2:CG276)+BA276*T276</f>
        <v>26059.729999999981</v>
      </c>
      <c r="CH786" s="2">
        <f>SUM(CH$2:CH276)+BB276*U276</f>
        <v>13157.380000000034</v>
      </c>
      <c r="CI786" s="2">
        <f>SUM(CI$2:CI276)+BC276*V276</f>
        <v>-4840</v>
      </c>
      <c r="CJ786" s="2">
        <f>SUM(CJ$2:CJ276)+BD276*W276</f>
        <v>34590.000000000058</v>
      </c>
      <c r="CK786" s="2">
        <f>SUM(CK$2:CK276)+BE276*X276</f>
        <v>116580</v>
      </c>
      <c r="CL786" s="2">
        <f>SUM(CL$2:CL276)+BF276*Y276</f>
        <v>179580</v>
      </c>
      <c r="CM786" s="2">
        <f>SUM(CM$2:CM276)+BG276*Z276</f>
        <v>134127.5</v>
      </c>
      <c r="CN786" s="2">
        <f>SUM(CN$2:CN276)+BH276*AA276</f>
        <v>101997.5</v>
      </c>
      <c r="CO786" s="2">
        <f>SUM(CO$2:CO276)+BI276*AB276</f>
        <v>-2660</v>
      </c>
      <c r="CP786" s="2">
        <f>SUM(CP$2:CP276)+BJ276*AC276</f>
        <v>13150</v>
      </c>
      <c r="CQ786" s="2">
        <f>SUM(CQ$2:CQ276)+BK276*AD276</f>
        <v>32390.000000000007</v>
      </c>
      <c r="CR786" s="2">
        <f>SUM(CR$2:CR276)+BL276*AE276</f>
        <v>-7440</v>
      </c>
      <c r="CV786" t="s">
        <v>64</v>
      </c>
      <c r="CW786" t="s">
        <v>859</v>
      </c>
      <c r="CX786" t="s">
        <v>18</v>
      </c>
      <c r="CY786" s="4">
        <v>43418</v>
      </c>
      <c r="CZ786" t="s">
        <v>67</v>
      </c>
      <c r="DA786" t="s">
        <v>68</v>
      </c>
      <c r="DB786">
        <v>55</v>
      </c>
      <c r="DC786">
        <v>73.569999999999993</v>
      </c>
      <c r="DD786" t="s">
        <v>69</v>
      </c>
      <c r="DE786" t="s">
        <v>70</v>
      </c>
      <c r="DF786">
        <v>4046.3499999999995</v>
      </c>
    </row>
    <row r="787" spans="66:110" x14ac:dyDescent="0.25">
      <c r="BN787" s="1">
        <f t="shared" si="339"/>
        <v>43137</v>
      </c>
      <c r="BO787" s="2">
        <f>SUM(BO$2:BO277)+AI277*B277</f>
        <v>136987.49999999988</v>
      </c>
      <c r="BP787" s="2">
        <f>SUM(BP$2:BP277)+AJ277*C277</f>
        <v>21691.199999999997</v>
      </c>
      <c r="BQ787" s="2">
        <f>SUM(BQ$2:BQ277)+AK277*D277</f>
        <v>205462.39999999994</v>
      </c>
      <c r="BR787" s="2">
        <f>SUM(BR$2:BR277)+AL277*E277</f>
        <v>71512.499999999942</v>
      </c>
      <c r="BS787" s="2">
        <f>SUM(BS$2:BS277)+AM277*F277</f>
        <v>11827.700000000004</v>
      </c>
      <c r="BT787" s="2">
        <f>SUM(BT$2:BT277)+AN277*G277</f>
        <v>4730.7000000000116</v>
      </c>
      <c r="BU787" s="2">
        <f>SUM(BU$2:BU277)+AO277*H277</f>
        <v>1843</v>
      </c>
      <c r="BV787" s="2">
        <f>SUM(BV$2:BV277)+AP277*I277</f>
        <v>4946.5999999999913</v>
      </c>
      <c r="BW787" s="2">
        <f>SUM(BW$2:BW277)+AQ277*J277</f>
        <v>19860</v>
      </c>
      <c r="BX787" s="2">
        <f>SUM(BX$2:BX277)+AR277*K277</f>
        <v>13940</v>
      </c>
      <c r="BY787" s="2">
        <f>SUM(BY$2:BY277)+AS277*L277</f>
        <v>-5290.1000000000113</v>
      </c>
      <c r="BZ787" s="2">
        <f>SUM(BZ$2:BZ277)+AT277*M277</f>
        <v>740</v>
      </c>
      <c r="CA787" s="2">
        <f>SUM(CA$2:CA277)+AU277*N277</f>
        <v>18430</v>
      </c>
      <c r="CB787" s="2">
        <f>SUM(CB$2:CB277)+AV277*O277</f>
        <v>26740</v>
      </c>
      <c r="CC787" s="2">
        <f>SUM(CC$2:CC277)+AW277*P277</f>
        <v>-20</v>
      </c>
      <c r="CD787" s="2">
        <f>SUM(CD$2:CD277)+AX277*Q277</f>
        <v>14050</v>
      </c>
      <c r="CE787" s="2">
        <f>SUM(CE$2:CE277)+AY277*R277</f>
        <v>27020</v>
      </c>
      <c r="CF787" s="2">
        <f>SUM(CF$2:CF277)+AZ277*S277</f>
        <v>-2686.0500000000102</v>
      </c>
      <c r="CG787" s="2">
        <f>SUM(CG$2:CG277)+BA277*T277</f>
        <v>29661.169999999991</v>
      </c>
      <c r="CH787" s="2">
        <f>SUM(CH$2:CH277)+BB277*U277</f>
        <v>14029.040000000023</v>
      </c>
      <c r="CI787" s="2">
        <f>SUM(CI$2:CI277)+BC277*V277</f>
        <v>-5430</v>
      </c>
      <c r="CJ787" s="2">
        <f>SUM(CJ$2:CJ277)+BD277*W277</f>
        <v>28240.000000000058</v>
      </c>
      <c r="CK787" s="2">
        <f>SUM(CK$2:CK277)+BE277*X277</f>
        <v>113280</v>
      </c>
      <c r="CL787" s="2">
        <f>SUM(CL$2:CL277)+BF277*Y277</f>
        <v>194850</v>
      </c>
      <c r="CM787" s="2">
        <f>SUM(CM$2:CM277)+BG277*Z277</f>
        <v>134127.5</v>
      </c>
      <c r="CN787" s="2">
        <f>SUM(CN$2:CN277)+BH277*AA277</f>
        <v>92822.5</v>
      </c>
      <c r="CO787" s="2">
        <f>SUM(CO$2:CO277)+BI277*AB277</f>
        <v>-1730</v>
      </c>
      <c r="CP787" s="2">
        <f>SUM(CP$2:CP277)+BJ277*AC277</f>
        <v>11169.999999999985</v>
      </c>
      <c r="CQ787" s="2">
        <f>SUM(CQ$2:CQ277)+BK277*AD277</f>
        <v>33180.000000000007</v>
      </c>
      <c r="CR787" s="2">
        <f>SUM(CR$2:CR277)+BL277*AE277</f>
        <v>-8740</v>
      </c>
      <c r="CV787" t="s">
        <v>64</v>
      </c>
      <c r="CW787" t="s">
        <v>860</v>
      </c>
      <c r="CX787" t="s">
        <v>18</v>
      </c>
      <c r="CY787" s="4">
        <v>43419</v>
      </c>
      <c r="CZ787" t="s">
        <v>65</v>
      </c>
      <c r="DA787" t="s">
        <v>66</v>
      </c>
      <c r="DB787">
        <v>47</v>
      </c>
      <c r="DC787">
        <v>74.319999999999993</v>
      </c>
      <c r="DD787" t="s">
        <v>69</v>
      </c>
      <c r="DE787" t="s">
        <v>70</v>
      </c>
      <c r="DF787">
        <v>3493.0399999999995</v>
      </c>
    </row>
    <row r="788" spans="66:110" x14ac:dyDescent="0.25">
      <c r="BN788" s="1">
        <f t="shared" si="339"/>
        <v>43138</v>
      </c>
      <c r="BO788" s="2">
        <f>SUM(BO$2:BO278)+AI278*B278</f>
        <v>119887.49999999988</v>
      </c>
      <c r="BP788" s="2">
        <f>SUM(BP$2:BP278)+AJ278*C278</f>
        <v>21024.800000000003</v>
      </c>
      <c r="BQ788" s="2">
        <f>SUM(BQ$2:BQ278)+AK278*D278</f>
        <v>213828.09999999989</v>
      </c>
      <c r="BR788" s="2">
        <f>SUM(BR$2:BR278)+AL278*E278</f>
        <v>69096.799999999959</v>
      </c>
      <c r="BS788" s="2">
        <f>SUM(BS$2:BS278)+AM278*F278</f>
        <v>12030.000000000007</v>
      </c>
      <c r="BT788" s="2">
        <f>SUM(BT$2:BT278)+AN278*G278</f>
        <v>2588.7000000000116</v>
      </c>
      <c r="BU788" s="2">
        <f>SUM(BU$2:BU278)+AO278*H278</f>
        <v>188.89999999999418</v>
      </c>
      <c r="BV788" s="2">
        <f>SUM(BV$2:BV278)+AP278*I278</f>
        <v>3598.3999999999796</v>
      </c>
      <c r="BW788" s="2">
        <f>SUM(BW$2:BW278)+AQ278*J278</f>
        <v>18290</v>
      </c>
      <c r="BX788" s="2">
        <f>SUM(BX$2:BX278)+AR278*K278</f>
        <v>13940</v>
      </c>
      <c r="BY788" s="2">
        <f>SUM(BY$2:BY278)+AS278*L278</f>
        <v>-5304.2000000000116</v>
      </c>
      <c r="BZ788" s="2">
        <f>SUM(BZ$2:BZ278)+AT278*M278</f>
        <v>740</v>
      </c>
      <c r="CA788" s="2">
        <f>SUM(CA$2:CA278)+AU278*N278</f>
        <v>18030</v>
      </c>
      <c r="CB788" s="2">
        <f>SUM(CB$2:CB278)+AV278*O278</f>
        <v>26740</v>
      </c>
      <c r="CC788" s="2">
        <f>SUM(CC$2:CC278)+AW278*P278</f>
        <v>-20</v>
      </c>
      <c r="CD788" s="2">
        <f>SUM(CD$2:CD278)+AX278*Q278</f>
        <v>14050</v>
      </c>
      <c r="CE788" s="2">
        <f>SUM(CE$2:CE278)+AY278*R278</f>
        <v>27020</v>
      </c>
      <c r="CF788" s="2">
        <f>SUM(CF$2:CF278)+AZ278*S278</f>
        <v>-2270.7200000000084</v>
      </c>
      <c r="CG788" s="2">
        <f>SUM(CG$2:CG278)+BA278*T278</f>
        <v>28067.499999999978</v>
      </c>
      <c r="CH788" s="2">
        <f>SUM(CH$2:CH278)+BB278*U278</f>
        <v>14405.420000000035</v>
      </c>
      <c r="CI788" s="2">
        <f>SUM(CI$2:CI278)+BC278*V278</f>
        <v>-5140</v>
      </c>
      <c r="CJ788" s="2">
        <f>SUM(CJ$2:CJ278)+BD278*W278</f>
        <v>30840.000000000058</v>
      </c>
      <c r="CK788" s="2">
        <f>SUM(CK$2:CK278)+BE278*X278</f>
        <v>119580</v>
      </c>
      <c r="CL788" s="2">
        <f>SUM(CL$2:CL278)+BF278*Y278</f>
        <v>196770</v>
      </c>
      <c r="CM788" s="2">
        <f>SUM(CM$2:CM278)+BG278*Z278</f>
        <v>134127.5</v>
      </c>
      <c r="CN788" s="2">
        <f>SUM(CN$2:CN278)+BH278*AA278</f>
        <v>93622.5</v>
      </c>
      <c r="CO788" s="2">
        <f>SUM(CO$2:CO278)+BI278*AB278</f>
        <v>-1190</v>
      </c>
      <c r="CP788" s="2">
        <f>SUM(CP$2:CP278)+BJ278*AC278</f>
        <v>11544.999999999985</v>
      </c>
      <c r="CQ788" s="2">
        <f>SUM(CQ$2:CQ278)+BK278*AD278</f>
        <v>35090.000000000007</v>
      </c>
      <c r="CR788" s="2">
        <f>SUM(CR$2:CR278)+BL278*AE278</f>
        <v>-10080</v>
      </c>
      <c r="CV788" t="s">
        <v>64</v>
      </c>
      <c r="CW788" t="s">
        <v>861</v>
      </c>
      <c r="CX788" t="s">
        <v>18</v>
      </c>
      <c r="CY788" s="4">
        <v>43420</v>
      </c>
      <c r="CZ788" t="s">
        <v>67</v>
      </c>
      <c r="DA788" t="s">
        <v>68</v>
      </c>
      <c r="DB788">
        <v>26</v>
      </c>
      <c r="DC788">
        <v>75.53</v>
      </c>
      <c r="DD788" t="s">
        <v>69</v>
      </c>
      <c r="DE788" t="s">
        <v>70</v>
      </c>
      <c r="DF788">
        <v>1963.78</v>
      </c>
    </row>
    <row r="789" spans="66:110" x14ac:dyDescent="0.25">
      <c r="BN789" s="1">
        <f t="shared" si="339"/>
        <v>43139</v>
      </c>
      <c r="BO789" s="2">
        <f>SUM(BO$2:BO279)+AI279*B279</f>
        <v>98337.499999999884</v>
      </c>
      <c r="BP789" s="2">
        <f>SUM(BP$2:BP279)+AJ279*C279</f>
        <v>14824.900000000009</v>
      </c>
      <c r="BQ789" s="2">
        <f>SUM(BQ$2:BQ279)+AK279*D279</f>
        <v>194288.29999999996</v>
      </c>
      <c r="BR789" s="2">
        <f>SUM(BR$2:BR279)+AL279*E279</f>
        <v>59398.29999999993</v>
      </c>
      <c r="BS789" s="2">
        <f>SUM(BS$2:BS279)+AM279*F279</f>
        <v>10221.200000000004</v>
      </c>
      <c r="BT789" s="2">
        <f>SUM(BT$2:BT279)+AN279*G279</f>
        <v>-802.79999999998836</v>
      </c>
      <c r="BU789" s="2">
        <f>SUM(BU$2:BU279)+AO279*H279</f>
        <v>-3797.6000000000204</v>
      </c>
      <c r="BV789" s="2">
        <f>SUM(BV$2:BV279)+AP279*I279</f>
        <v>1094.5999999999913</v>
      </c>
      <c r="BW789" s="2">
        <f>SUM(BW$2:BW279)+AQ279*J279</f>
        <v>7680</v>
      </c>
      <c r="BX789" s="2">
        <f>SUM(BX$2:BX279)+AR279*K279</f>
        <v>13940</v>
      </c>
      <c r="BY789" s="2">
        <f>SUM(BY$2:BY279)+AS279*L279</f>
        <v>-5349.7000000000116</v>
      </c>
      <c r="BZ789" s="2">
        <f>SUM(BZ$2:BZ279)+AT279*M279</f>
        <v>740</v>
      </c>
      <c r="CA789" s="2">
        <f>SUM(CA$2:CA279)+AU279*N279</f>
        <v>13100</v>
      </c>
      <c r="CB789" s="2">
        <f>SUM(CB$2:CB279)+AV279*O279</f>
        <v>26740</v>
      </c>
      <c r="CC789" s="2">
        <f>SUM(CC$2:CC279)+AW279*P279</f>
        <v>-20</v>
      </c>
      <c r="CD789" s="2">
        <f>SUM(CD$2:CD279)+AX279*Q279</f>
        <v>14050</v>
      </c>
      <c r="CE789" s="2">
        <f>SUM(CE$2:CE279)+AY279*R279</f>
        <v>27020</v>
      </c>
      <c r="CF789" s="2">
        <f>SUM(CF$2:CF279)+AZ279*S279</f>
        <v>-3348.1600000000108</v>
      </c>
      <c r="CG789" s="2">
        <f>SUM(CG$2:CG279)+BA279*T279</f>
        <v>23723.229999999981</v>
      </c>
      <c r="CH789" s="2">
        <f>SUM(CH$2:CH279)+BB279*U279</f>
        <v>11485.130000000026</v>
      </c>
      <c r="CI789" s="2">
        <f>SUM(CI$2:CI279)+BC279*V279</f>
        <v>-3840.0000000000036</v>
      </c>
      <c r="CJ789" s="2">
        <f>SUM(CJ$2:CJ279)+BD279*W279</f>
        <v>38640.000000000058</v>
      </c>
      <c r="CK789" s="2">
        <f>SUM(CK$2:CK279)+BE279*X279</f>
        <v>84779.999999999884</v>
      </c>
      <c r="CL789" s="2">
        <f>SUM(CL$2:CL279)+BF279*Y279</f>
        <v>169050</v>
      </c>
      <c r="CM789" s="2">
        <f>SUM(CM$2:CM279)+BG279*Z279</f>
        <v>134127.5</v>
      </c>
      <c r="CN789" s="2">
        <f>SUM(CN$2:CN279)+BH279*AA279</f>
        <v>107972.5</v>
      </c>
      <c r="CO789" s="2">
        <f>SUM(CO$2:CO279)+BI279*AB279</f>
        <v>-6860</v>
      </c>
      <c r="CP789" s="2">
        <f>SUM(CP$2:CP279)+BJ279*AC279</f>
        <v>16360</v>
      </c>
      <c r="CQ789" s="2">
        <f>SUM(CQ$2:CQ279)+BK279*AD279</f>
        <v>32320.000000000007</v>
      </c>
      <c r="CR789" s="2">
        <f>SUM(CR$2:CR279)+BL279*AE279</f>
        <v>-10910</v>
      </c>
      <c r="CV789" t="s">
        <v>64</v>
      </c>
      <c r="CW789" t="s">
        <v>862</v>
      </c>
      <c r="CX789" t="s">
        <v>18</v>
      </c>
      <c r="CY789" s="4">
        <v>43423</v>
      </c>
      <c r="CZ789" t="s">
        <v>65</v>
      </c>
      <c r="DA789" t="s">
        <v>66</v>
      </c>
      <c r="DB789">
        <v>19</v>
      </c>
      <c r="DC789">
        <v>75.819999999999993</v>
      </c>
      <c r="DD789" t="s">
        <v>69</v>
      </c>
      <c r="DE789" t="s">
        <v>70</v>
      </c>
      <c r="DF789">
        <v>1440.58</v>
      </c>
    </row>
    <row r="790" spans="66:110" x14ac:dyDescent="0.25">
      <c r="BN790" s="1">
        <f t="shared" si="339"/>
        <v>43140</v>
      </c>
      <c r="BO790" s="2">
        <f>SUM(BO$2:BO280)+AI280*B280</f>
        <v>107637.49999999988</v>
      </c>
      <c r="BP790" s="2">
        <f>SUM(BP$2:BP280)+AJ280*C280</f>
        <v>18799.500000000015</v>
      </c>
      <c r="BQ790" s="2">
        <f>SUM(BQ$2:BQ280)+AK280*D280</f>
        <v>197989.19999999992</v>
      </c>
      <c r="BR790" s="2">
        <f>SUM(BR$2:BR280)+AL280*E280</f>
        <v>63146.799999999959</v>
      </c>
      <c r="BS790" s="2">
        <f>SUM(BS$2:BS280)+AM280*F280</f>
        <v>11089.900000000009</v>
      </c>
      <c r="BT790" s="2">
        <f>SUM(BT$2:BT280)+AN280*G280</f>
        <v>565.70000000001164</v>
      </c>
      <c r="BU790" s="2">
        <f>SUM(BU$2:BU280)+AO280*H280</f>
        <v>-1762.6999999999971</v>
      </c>
      <c r="BV790" s="2">
        <f>SUM(BV$2:BV280)+AP280*I280</f>
        <v>2421.3999999999942</v>
      </c>
      <c r="BW790" s="2">
        <f>SUM(BW$2:BW280)+AQ280*J280</f>
        <v>10590</v>
      </c>
      <c r="BX790" s="2">
        <f>SUM(BX$2:BX280)+AR280*K280</f>
        <v>13940</v>
      </c>
      <c r="BY790" s="2">
        <f>SUM(BY$2:BY280)+AS280*L280</f>
        <v>-5331.4000000000115</v>
      </c>
      <c r="BZ790" s="2">
        <f>SUM(BZ$2:BZ280)+AT280*M280</f>
        <v>740</v>
      </c>
      <c r="CA790" s="2">
        <f>SUM(CA$2:CA280)+AU280*N280</f>
        <v>16190</v>
      </c>
      <c r="CB790" s="2">
        <f>SUM(CB$2:CB280)+AV280*O280</f>
        <v>26740</v>
      </c>
      <c r="CC790" s="2">
        <f>SUM(CC$2:CC280)+AW280*P280</f>
        <v>-20</v>
      </c>
      <c r="CD790" s="2">
        <f>SUM(CD$2:CD280)+AX280*Q280</f>
        <v>14050</v>
      </c>
      <c r="CE790" s="2">
        <f>SUM(CE$2:CE280)+AY280*R280</f>
        <v>27020</v>
      </c>
      <c r="CF790" s="2">
        <f>SUM(CF$2:CF280)+AZ280*S280</f>
        <v>-3204.6600000000035</v>
      </c>
      <c r="CG790" s="2">
        <f>SUM(CG$2:CG280)+BA280*T280</f>
        <v>26727.789999999994</v>
      </c>
      <c r="CH790" s="2">
        <f>SUM(CH$2:CH280)+BB280*U280</f>
        <v>14603.630000000026</v>
      </c>
      <c r="CI790" s="2">
        <f>SUM(CI$2:CI280)+BC280*V280</f>
        <v>-4350</v>
      </c>
      <c r="CJ790" s="2">
        <f>SUM(CJ$2:CJ280)+BD280*W280</f>
        <v>40090</v>
      </c>
      <c r="CK790" s="2">
        <f>SUM(CK$2:CK280)+BE280*X280</f>
        <v>94880</v>
      </c>
      <c r="CL790" s="2">
        <f>SUM(CL$2:CL280)+BF280*Y280</f>
        <v>182370</v>
      </c>
      <c r="CM790" s="2">
        <f>SUM(CM$2:CM280)+BG280*Z280</f>
        <v>134127.5</v>
      </c>
      <c r="CN790" s="2">
        <f>SUM(CN$2:CN280)+BH280*AA280</f>
        <v>101872.5</v>
      </c>
      <c r="CO790" s="2">
        <f>SUM(CO$2:CO280)+BI280*AB280</f>
        <v>-4430</v>
      </c>
      <c r="CP790" s="2">
        <f>SUM(CP$2:CP280)+BJ280*AC280</f>
        <v>16015</v>
      </c>
      <c r="CQ790" s="2">
        <f>SUM(CQ$2:CQ280)+BK280*AD280</f>
        <v>31690.000000000007</v>
      </c>
      <c r="CR790" s="2">
        <f>SUM(CR$2:CR280)+BL280*AE280</f>
        <v>-10450</v>
      </c>
      <c r="CV790" t="s">
        <v>64</v>
      </c>
      <c r="CW790" t="s">
        <v>863</v>
      </c>
      <c r="CX790" t="s">
        <v>18</v>
      </c>
      <c r="CY790" s="4">
        <v>43424</v>
      </c>
      <c r="CZ790" t="s">
        <v>67</v>
      </c>
      <c r="DA790" t="s">
        <v>68</v>
      </c>
      <c r="DB790">
        <v>50</v>
      </c>
      <c r="DC790">
        <v>74.260000000000005</v>
      </c>
      <c r="DD790" t="s">
        <v>69</v>
      </c>
      <c r="DE790" t="s">
        <v>70</v>
      </c>
      <c r="DF790">
        <v>3713.0000000000005</v>
      </c>
    </row>
    <row r="791" spans="66:110" x14ac:dyDescent="0.25">
      <c r="BN791" s="1">
        <f t="shared" si="339"/>
        <v>43143</v>
      </c>
      <c r="BO791" s="2">
        <f>SUM(BO$2:BO281)+AI281*B281</f>
        <v>138687.49999999988</v>
      </c>
      <c r="BP791" s="2">
        <f>SUM(BP$2:BP281)+AJ281*C281</f>
        <v>22310</v>
      </c>
      <c r="BQ791" s="2">
        <f>SUM(BQ$2:BQ281)+AK281*D281</f>
        <v>210781.69999999992</v>
      </c>
      <c r="BR791" s="2">
        <f>SUM(BR$2:BR281)+AL281*E281</f>
        <v>66716.799999999959</v>
      </c>
      <c r="BS791" s="2">
        <f>SUM(BS$2:BS281)+AM281*F281</f>
        <v>12327.500000000007</v>
      </c>
      <c r="BT791" s="2">
        <f>SUM(BT$2:BT281)+AN281*G281</f>
        <v>1101.2000000000116</v>
      </c>
      <c r="BU791" s="2">
        <f>SUM(BU$2:BU281)+AO281*H281</f>
        <v>-1405.7000000000116</v>
      </c>
      <c r="BV791" s="2">
        <f>SUM(BV$2:BV281)+AP281*I281</f>
        <v>4893.0999999999913</v>
      </c>
      <c r="BW791" s="2">
        <f>SUM(BW$2:BW281)+AQ281*J281</f>
        <v>14400</v>
      </c>
      <c r="BX791" s="2">
        <f>SUM(BX$2:BX281)+AR281*K281</f>
        <v>13940</v>
      </c>
      <c r="BY791" s="2">
        <f>SUM(BY$2:BY281)+AS281*L281</f>
        <v>-5313.300000000012</v>
      </c>
      <c r="BZ791" s="2">
        <f>SUM(BZ$2:BZ281)+AT281*M281</f>
        <v>740</v>
      </c>
      <c r="CA791" s="2">
        <f>SUM(CA$2:CA281)+AU281*N281</f>
        <v>16910</v>
      </c>
      <c r="CB791" s="2">
        <f>SUM(CB$2:CB281)+AV281*O281</f>
        <v>26740</v>
      </c>
      <c r="CC791" s="2">
        <f>SUM(CC$2:CC281)+AW281*P281</f>
        <v>-20</v>
      </c>
      <c r="CD791" s="2">
        <f>SUM(CD$2:CD281)+AX281*Q281</f>
        <v>14050</v>
      </c>
      <c r="CE791" s="2">
        <f>SUM(CE$2:CE281)+AY281*R281</f>
        <v>27020</v>
      </c>
      <c r="CF791" s="2">
        <f>SUM(CF$2:CF281)+AZ281*S281</f>
        <v>-2685.1800000000076</v>
      </c>
      <c r="CG791" s="2">
        <f>SUM(CG$2:CG281)+BA281*T281</f>
        <v>27590.82999999998</v>
      </c>
      <c r="CH791" s="2">
        <f>SUM(CH$2:CH281)+BB281*U281</f>
        <v>15036.11000000003</v>
      </c>
      <c r="CI791" s="2">
        <f>SUM(CI$2:CI281)+BC281*V281</f>
        <v>-4830</v>
      </c>
      <c r="CJ791" s="2">
        <f>SUM(CJ$2:CJ281)+BD281*W281</f>
        <v>33290</v>
      </c>
      <c r="CK791" s="2">
        <f>SUM(CK$2:CK281)+BE281*X281</f>
        <v>100030</v>
      </c>
      <c r="CL791" s="2">
        <f>SUM(CL$2:CL281)+BF281*Y281</f>
        <v>196380</v>
      </c>
      <c r="CM791" s="2">
        <f>SUM(CM$2:CM281)+BG281*Z281</f>
        <v>139852.5</v>
      </c>
      <c r="CN791" s="2">
        <f>SUM(CN$2:CN281)+BH281*AA281</f>
        <v>96547.5</v>
      </c>
      <c r="CO791" s="2">
        <f>SUM(CO$2:CO281)+BI281*AB281</f>
        <v>-3770</v>
      </c>
      <c r="CP791" s="2">
        <f>SUM(CP$2:CP281)+BJ281*AC281</f>
        <v>16015</v>
      </c>
      <c r="CQ791" s="2">
        <f>SUM(CQ$2:CQ281)+BK281*AD281</f>
        <v>31860.000000000007</v>
      </c>
      <c r="CR791" s="2">
        <f>SUM(CR$2:CR281)+BL281*AE281</f>
        <v>-9830</v>
      </c>
      <c r="CV791" t="s">
        <v>64</v>
      </c>
      <c r="CW791" t="s">
        <v>864</v>
      </c>
      <c r="CX791" t="s">
        <v>18</v>
      </c>
      <c r="CY791" s="4">
        <v>43425</v>
      </c>
      <c r="CZ791" t="s">
        <v>65</v>
      </c>
      <c r="DA791" t="s">
        <v>66</v>
      </c>
      <c r="DB791">
        <v>30</v>
      </c>
      <c r="DC791">
        <v>74.27</v>
      </c>
      <c r="DD791" t="s">
        <v>69</v>
      </c>
      <c r="DE791" t="s">
        <v>70</v>
      </c>
      <c r="DF791">
        <v>2228.1</v>
      </c>
    </row>
    <row r="792" spans="66:110" x14ac:dyDescent="0.25">
      <c r="BN792" s="1">
        <f t="shared" si="339"/>
        <v>43144</v>
      </c>
      <c r="BO792" s="2">
        <f>SUM(BO$2:BO282)+AI282*B282</f>
        <v>146737.49999999988</v>
      </c>
      <c r="BP792" s="2">
        <f>SUM(BP$2:BP282)+AJ282*C282</f>
        <v>22143.400000000009</v>
      </c>
      <c r="BQ792" s="2">
        <f>SUM(BQ$2:BQ282)+AK282*D282</f>
        <v>210043.89999999988</v>
      </c>
      <c r="BR792" s="2">
        <f>SUM(BR$2:BR282)+AL282*E282</f>
        <v>68668.39999999998</v>
      </c>
      <c r="BS792" s="2">
        <f>SUM(BS$2:BS282)+AM282*F282</f>
        <v>13053.400000000009</v>
      </c>
      <c r="BT792" s="2">
        <f>SUM(BT$2:BT282)+AN282*G282</f>
        <v>327.70000000001164</v>
      </c>
      <c r="BU792" s="2">
        <f>SUM(BU$2:BU282)+AO282*H282</f>
        <v>-560.80000000000291</v>
      </c>
      <c r="BV792" s="2">
        <f>SUM(BV$2:BV282)+AP282*I282</f>
        <v>3748.1999999999825</v>
      </c>
      <c r="BW792" s="2">
        <f>SUM(BW$2:BW282)+AQ282*J282</f>
        <v>16740</v>
      </c>
      <c r="BX792" s="2">
        <f>SUM(BX$2:BX282)+AR282*K282</f>
        <v>13940</v>
      </c>
      <c r="BY792" s="2">
        <f>SUM(BY$2:BY282)+AS282*L282</f>
        <v>-5319.5000000000118</v>
      </c>
      <c r="BZ792" s="2">
        <f>SUM(BZ$2:BZ282)+AT282*M282</f>
        <v>740</v>
      </c>
      <c r="CA792" s="2">
        <f>SUM(CA$2:CA282)+AU282*N282</f>
        <v>16610</v>
      </c>
      <c r="CB792" s="2">
        <f>SUM(CB$2:CB282)+AV282*O282</f>
        <v>26740</v>
      </c>
      <c r="CC792" s="2">
        <f>SUM(CC$2:CC282)+AW282*P282</f>
        <v>-20</v>
      </c>
      <c r="CD792" s="2">
        <f>SUM(CD$2:CD282)+AX282*Q282</f>
        <v>14050</v>
      </c>
      <c r="CE792" s="2">
        <f>SUM(CE$2:CE282)+AY282*R282</f>
        <v>27020</v>
      </c>
      <c r="CF792" s="2">
        <f>SUM(CF$2:CF282)+AZ282*S282</f>
        <v>-3175.2900000000009</v>
      </c>
      <c r="CG792" s="2">
        <f>SUM(CG$2:CG282)+BA282*T282</f>
        <v>28226.319999999985</v>
      </c>
      <c r="CH792" s="2">
        <f>SUM(CH$2:CH282)+BB282*U282</f>
        <v>14920.280000000028</v>
      </c>
      <c r="CI792" s="2">
        <f>SUM(CI$2:CI282)+BC282*V282</f>
        <v>-5100</v>
      </c>
      <c r="CJ792" s="2">
        <f>SUM(CJ$2:CJ282)+BD282*W282</f>
        <v>32490.000000000058</v>
      </c>
      <c r="CK792" s="2">
        <f>SUM(CK$2:CK282)+BE282*X282</f>
        <v>102180</v>
      </c>
      <c r="CL792" s="2">
        <f>SUM(CL$2:CL282)+BF282*Y282</f>
        <v>199170</v>
      </c>
      <c r="CM792" s="2">
        <f>SUM(CM$2:CM282)+BG282*Z282</f>
        <v>135927.5</v>
      </c>
      <c r="CN792" s="2">
        <f>SUM(CN$2:CN282)+BH282*AA282</f>
        <v>96697.5</v>
      </c>
      <c r="CO792" s="2">
        <f>SUM(CO$2:CO282)+BI282*AB282</f>
        <v>-3860</v>
      </c>
      <c r="CP792" s="2">
        <f>SUM(CP$2:CP282)+BJ282*AC282</f>
        <v>16254.999999999985</v>
      </c>
      <c r="CQ792" s="2">
        <f>SUM(CQ$2:CQ282)+BK282*AD282</f>
        <v>33260.000000000007</v>
      </c>
      <c r="CR792" s="2">
        <f>SUM(CR$2:CR282)+BL282*AE282</f>
        <v>-9950</v>
      </c>
      <c r="CV792" t="s">
        <v>64</v>
      </c>
      <c r="CW792" t="s">
        <v>865</v>
      </c>
      <c r="CX792" t="s">
        <v>18</v>
      </c>
      <c r="CY792" s="4">
        <v>43427</v>
      </c>
      <c r="CZ792" t="s">
        <v>67</v>
      </c>
      <c r="DA792" t="s">
        <v>68</v>
      </c>
      <c r="DB792">
        <v>16</v>
      </c>
      <c r="DC792">
        <v>74.150000000000006</v>
      </c>
      <c r="DD792" t="s">
        <v>69</v>
      </c>
      <c r="DE792" t="s">
        <v>70</v>
      </c>
      <c r="DF792">
        <v>1186.4000000000001</v>
      </c>
    </row>
    <row r="793" spans="66:110" x14ac:dyDescent="0.25">
      <c r="BN793" s="1">
        <f t="shared" si="339"/>
        <v>43145</v>
      </c>
      <c r="BO793" s="2">
        <f>SUM(BO$2:BO283)+AI283*B283</f>
        <v>161637.5</v>
      </c>
      <c r="BP793" s="2">
        <f>SUM(BP$2:BP283)+AJ283*C283</f>
        <v>24123.400000000009</v>
      </c>
      <c r="BQ793" s="2">
        <f>SUM(BQ$2:BQ283)+AK283*D283</f>
        <v>212023.89999999994</v>
      </c>
      <c r="BR793" s="2">
        <f>SUM(BR$2:BR283)+AL283*E283</f>
        <v>73468.39999999998</v>
      </c>
      <c r="BS793" s="2">
        <f>SUM(BS$2:BS283)+AM283*F283</f>
        <v>14061.400000000016</v>
      </c>
      <c r="BT793" s="2">
        <f>SUM(BT$2:BT283)+AN283*G283</f>
        <v>711.69999999999709</v>
      </c>
      <c r="BU793" s="2">
        <f>SUM(BU$2:BU283)+AO283*H283</f>
        <v>15.19999999999709</v>
      </c>
      <c r="BV793" s="2">
        <f>SUM(BV$2:BV283)+AP283*I283</f>
        <v>4363.7999999999884</v>
      </c>
      <c r="BW793" s="2">
        <f>SUM(BW$2:BW283)+AQ283*J283</f>
        <v>23690</v>
      </c>
      <c r="BX793" s="2">
        <f>SUM(BX$2:BX283)+AR283*K283</f>
        <v>13940</v>
      </c>
      <c r="BY793" s="2">
        <f>SUM(BY$2:BY283)+AS283*L283</f>
        <v>-5281.2000000000116</v>
      </c>
      <c r="BZ793" s="2">
        <f>SUM(BZ$2:BZ283)+AT283*M283</f>
        <v>740</v>
      </c>
      <c r="CA793" s="2">
        <f>SUM(CA$2:CA283)+AU283*N283</f>
        <v>16330</v>
      </c>
      <c r="CB793" s="2">
        <f>SUM(CB$2:CB283)+AV283*O283</f>
        <v>26740</v>
      </c>
      <c r="CC793" s="2">
        <f>SUM(CC$2:CC283)+AW283*P283</f>
        <v>-20</v>
      </c>
      <c r="CD793" s="2">
        <f>SUM(CD$2:CD283)+AX283*Q283</f>
        <v>14050</v>
      </c>
      <c r="CE793" s="2">
        <f>SUM(CE$2:CE283)+AY283*R283</f>
        <v>27020</v>
      </c>
      <c r="CF793" s="2">
        <f>SUM(CF$2:CF283)+AZ283*S283</f>
        <v>-3175.2900000000009</v>
      </c>
      <c r="CG793" s="2">
        <f>SUM(CG$2:CG283)+BA283*T283</f>
        <v>29683.599999999991</v>
      </c>
      <c r="CH793" s="2">
        <f>SUM(CH$2:CH283)+BB283*U283</f>
        <v>16963.370000000039</v>
      </c>
      <c r="CI793" s="2">
        <f>SUM(CI$2:CI283)+BC283*V283</f>
        <v>-5340</v>
      </c>
      <c r="CJ793" s="2">
        <f>SUM(CJ$2:CJ283)+BD283*W283</f>
        <v>36440.000000000058</v>
      </c>
      <c r="CK793" s="2">
        <f>SUM(CK$2:CK283)+BE283*X283</f>
        <v>112080</v>
      </c>
      <c r="CL793" s="2">
        <f>SUM(CL$2:CL283)+BF283*Y283</f>
        <v>205530</v>
      </c>
      <c r="CM793" s="2">
        <f>SUM(CM$2:CM283)+BG283*Z283</f>
        <v>138177.5</v>
      </c>
      <c r="CN793" s="2">
        <f>SUM(CN$2:CN283)+BH283*AA283</f>
        <v>96697.5</v>
      </c>
      <c r="CO793" s="2">
        <f>SUM(CO$2:CO283)+BI283*AB283</f>
        <v>-5510</v>
      </c>
      <c r="CP793" s="2">
        <f>SUM(CP$2:CP283)+BJ283*AC283</f>
        <v>15385</v>
      </c>
      <c r="CQ793" s="2">
        <f>SUM(CQ$2:CQ283)+BK283*AD283</f>
        <v>33960.000000000007</v>
      </c>
      <c r="CR793" s="2">
        <f>SUM(CR$2:CR283)+BL283*AE283</f>
        <v>-9800</v>
      </c>
      <c r="CV793" t="s">
        <v>64</v>
      </c>
      <c r="CW793" t="s">
        <v>866</v>
      </c>
      <c r="CX793" t="s">
        <v>18</v>
      </c>
      <c r="CY793" s="4">
        <v>43430</v>
      </c>
      <c r="CZ793" t="s">
        <v>65</v>
      </c>
      <c r="DA793" t="s">
        <v>66</v>
      </c>
      <c r="DB793">
        <v>37</v>
      </c>
      <c r="DC793">
        <v>74.91</v>
      </c>
      <c r="DD793" t="s">
        <v>69</v>
      </c>
      <c r="DE793" t="s">
        <v>70</v>
      </c>
      <c r="DF793">
        <v>2771.67</v>
      </c>
    </row>
    <row r="794" spans="66:110" x14ac:dyDescent="0.25">
      <c r="BN794" s="1">
        <f t="shared" si="339"/>
        <v>43146</v>
      </c>
      <c r="BO794" s="2">
        <f>SUM(BO$2:BO284)+AI284*B284</f>
        <v>189337.49999999988</v>
      </c>
      <c r="BP794" s="2">
        <f>SUM(BP$2:BP284)+AJ284*C284</f>
        <v>24507.399999999994</v>
      </c>
      <c r="BQ794" s="2">
        <f>SUM(BQ$2:BQ284)+AK284*D284</f>
        <v>225691.89999999994</v>
      </c>
      <c r="BR794" s="2">
        <f>SUM(BR$2:BR284)+AL284*E284</f>
        <v>75712.399999999951</v>
      </c>
      <c r="BS794" s="2">
        <f>SUM(BS$2:BS284)+AM284*F284</f>
        <v>16377.400000000016</v>
      </c>
      <c r="BT794" s="2">
        <f>SUM(BT$2:BT284)+AN284*G284</f>
        <v>735.70000000001164</v>
      </c>
      <c r="BU794" s="2">
        <f>SUM(BU$2:BU284)+AO284*H284</f>
        <v>699.20000000001164</v>
      </c>
      <c r="BV794" s="2">
        <f>SUM(BV$2:BV284)+AP284*I284</f>
        <v>4914.5999999999767</v>
      </c>
      <c r="BW794" s="2">
        <f>SUM(BW$2:BW284)+AQ284*J284</f>
        <v>28720</v>
      </c>
      <c r="BX794" s="2">
        <f>SUM(BX$2:BX284)+AR284*K284</f>
        <v>13940</v>
      </c>
      <c r="BY794" s="2">
        <f>SUM(BY$2:BY284)+AS284*L284</f>
        <v>-5269.300000000012</v>
      </c>
      <c r="BZ794" s="2">
        <f>SUM(BZ$2:BZ284)+AT284*M284</f>
        <v>740</v>
      </c>
      <c r="CA794" s="2">
        <f>SUM(CA$2:CA284)+AU284*N284</f>
        <v>17840</v>
      </c>
      <c r="CB794" s="2">
        <f>SUM(CB$2:CB284)+AV284*O284</f>
        <v>26740</v>
      </c>
      <c r="CC794" s="2">
        <f>SUM(CC$2:CC284)+AW284*P284</f>
        <v>-20</v>
      </c>
      <c r="CD794" s="2">
        <f>SUM(CD$2:CD284)+AX284*Q284</f>
        <v>14050</v>
      </c>
      <c r="CE794" s="2">
        <f>SUM(CE$2:CE284)+AY284*R284</f>
        <v>27020</v>
      </c>
      <c r="CF794" s="2">
        <f>SUM(CF$2:CF284)+AZ284*S284</f>
        <v>-2156.7900000000009</v>
      </c>
      <c r="CG794" s="2">
        <f>SUM(CG$2:CG284)+BA284*T284</f>
        <v>31557.51999999999</v>
      </c>
      <c r="CH794" s="2">
        <f>SUM(CH$2:CH284)+BB284*U284</f>
        <v>17297.330000000031</v>
      </c>
      <c r="CI794" s="2">
        <f>SUM(CI$2:CI284)+BC284*V284</f>
        <v>-5850</v>
      </c>
      <c r="CJ794" s="2">
        <f>SUM(CJ$2:CJ284)+BD284*W284</f>
        <v>28090.000000000058</v>
      </c>
      <c r="CK794" s="2">
        <f>SUM(CK$2:CK284)+BE284*X284</f>
        <v>113430</v>
      </c>
      <c r="CL794" s="2">
        <f>SUM(CL$2:CL284)+BF284*Y284</f>
        <v>197340</v>
      </c>
      <c r="CM794" s="2">
        <f>SUM(CM$2:CM284)+BG284*Z284</f>
        <v>147977.5</v>
      </c>
      <c r="CN794" s="2">
        <f>SUM(CN$2:CN284)+BH284*AA284</f>
        <v>100822.5</v>
      </c>
      <c r="CO794" s="2">
        <f>SUM(CO$2:CO284)+BI284*AB284</f>
        <v>-4850</v>
      </c>
      <c r="CP794" s="2">
        <f>SUM(CP$2:CP284)+BJ284*AC284</f>
        <v>13495</v>
      </c>
      <c r="CQ794" s="2">
        <f>SUM(CQ$2:CQ284)+BK284*AD284</f>
        <v>35460.000000000007</v>
      </c>
      <c r="CR794" s="2">
        <f>SUM(CR$2:CR284)+BL284*AE284</f>
        <v>-10040</v>
      </c>
      <c r="CV794" t="s">
        <v>64</v>
      </c>
      <c r="CW794" t="s">
        <v>867</v>
      </c>
      <c r="CX794" t="s">
        <v>18</v>
      </c>
      <c r="CY794" s="4">
        <v>43431</v>
      </c>
      <c r="CZ794" t="s">
        <v>65</v>
      </c>
      <c r="DA794" t="s">
        <v>66</v>
      </c>
      <c r="DB794">
        <v>15</v>
      </c>
      <c r="DC794">
        <v>75.81</v>
      </c>
      <c r="DD794" t="s">
        <v>69</v>
      </c>
      <c r="DE794" t="s">
        <v>70</v>
      </c>
      <c r="DF794">
        <v>1137.1500000000001</v>
      </c>
    </row>
    <row r="795" spans="66:110" x14ac:dyDescent="0.25">
      <c r="BN795" s="1">
        <f t="shared" si="339"/>
        <v>43147</v>
      </c>
      <c r="BO795" s="2">
        <f>SUM(BO$2:BO285)+AI285*B285</f>
        <v>186537.49999999988</v>
      </c>
      <c r="BP795" s="2">
        <f>SUM(BP$2:BP285)+AJ285*C285</f>
        <v>24783.400000000009</v>
      </c>
      <c r="BQ795" s="2">
        <f>SUM(BQ$2:BQ285)+AK285*D285</f>
        <v>224023.89999999994</v>
      </c>
      <c r="BR795" s="2">
        <f>SUM(BR$2:BR285)+AL285*E285</f>
        <v>71392.399999999951</v>
      </c>
      <c r="BS795" s="2">
        <f>SUM(BS$2:BS285)+AM285*F285</f>
        <v>16665.400000000009</v>
      </c>
      <c r="BT795" s="2">
        <f>SUM(BT$2:BT285)+AN285*G285</f>
        <v>279.69999999999709</v>
      </c>
      <c r="BU795" s="2">
        <f>SUM(BU$2:BU285)+AO285*H285</f>
        <v>2295.1999999999971</v>
      </c>
      <c r="BV795" s="2">
        <f>SUM(BV$2:BV285)+AP285*I285</f>
        <v>5022.5999999999913</v>
      </c>
      <c r="BW795" s="2">
        <f>SUM(BW$2:BW285)+AQ285*J285</f>
        <v>28660</v>
      </c>
      <c r="BX795" s="2">
        <f>SUM(BX$2:BX285)+AR285*K285</f>
        <v>13940</v>
      </c>
      <c r="BY795" s="2">
        <f>SUM(BY$2:BY285)+AS285*L285</f>
        <v>-5267.7000000000116</v>
      </c>
      <c r="BZ795" s="2">
        <f>SUM(BZ$2:BZ285)+AT285*M285</f>
        <v>740</v>
      </c>
      <c r="CA795" s="2">
        <f>SUM(CA$2:CA285)+AU285*N285</f>
        <v>19710</v>
      </c>
      <c r="CB795" s="2">
        <f>SUM(CB$2:CB285)+AV285*O285</f>
        <v>26740</v>
      </c>
      <c r="CC795" s="2">
        <f>SUM(CC$2:CC285)+AW285*P285</f>
        <v>-20</v>
      </c>
      <c r="CD795" s="2">
        <f>SUM(CD$2:CD285)+AX285*Q285</f>
        <v>14050</v>
      </c>
      <c r="CE795" s="2">
        <f>SUM(CE$2:CE285)+AY285*R285</f>
        <v>27020</v>
      </c>
      <c r="CF795" s="2">
        <f>SUM(CF$2:CF285)+AZ285*S285</f>
        <v>-1864.8900000000067</v>
      </c>
      <c r="CG795" s="2">
        <f>SUM(CG$2:CG285)+BA285*T285</f>
        <v>30954.969999999979</v>
      </c>
      <c r="CH795" s="2">
        <f>SUM(CH$2:CH285)+BB285*U285</f>
        <v>17306.41000000004</v>
      </c>
      <c r="CI795" s="2">
        <f>SUM(CI$2:CI285)+BC285*V285</f>
        <v>-6380</v>
      </c>
      <c r="CJ795" s="2">
        <f>SUM(CJ$2:CJ285)+BD285*W285</f>
        <v>27190.000000000058</v>
      </c>
      <c r="CK795" s="2">
        <f>SUM(CK$2:CK285)+BE285*X285</f>
        <v>114830</v>
      </c>
      <c r="CL795" s="2">
        <f>SUM(CL$2:CL285)+BF285*Y285</f>
        <v>207270</v>
      </c>
      <c r="CM795" s="2">
        <f>SUM(CM$2:CM285)+BG285*Z285</f>
        <v>146152.5</v>
      </c>
      <c r="CN795" s="2">
        <f>SUM(CN$2:CN285)+BH285*AA285</f>
        <v>98672.5</v>
      </c>
      <c r="CO795" s="2">
        <f>SUM(CO$2:CO285)+BI285*AB285</f>
        <v>-3680</v>
      </c>
      <c r="CP795" s="2">
        <f>SUM(CP$2:CP285)+BJ285*AC285</f>
        <v>11830.000000000015</v>
      </c>
      <c r="CQ795" s="2">
        <f>SUM(CQ$2:CQ285)+BK285*AD285</f>
        <v>36970.000000000007</v>
      </c>
      <c r="CR795" s="2">
        <f>SUM(CR$2:CR285)+BL285*AE285</f>
        <v>-9720</v>
      </c>
      <c r="CV795" t="s">
        <v>64</v>
      </c>
      <c r="CW795" t="s">
        <v>868</v>
      </c>
      <c r="CX795" t="s">
        <v>18</v>
      </c>
      <c r="CY795" s="4">
        <v>43432</v>
      </c>
      <c r="CZ795" t="s">
        <v>67</v>
      </c>
      <c r="DA795" t="s">
        <v>68</v>
      </c>
      <c r="DB795">
        <v>47</v>
      </c>
      <c r="DC795">
        <v>76.69</v>
      </c>
      <c r="DD795" t="s">
        <v>69</v>
      </c>
      <c r="DE795" t="s">
        <v>70</v>
      </c>
      <c r="DF795">
        <v>3604.43</v>
      </c>
    </row>
    <row r="796" spans="66:110" x14ac:dyDescent="0.25">
      <c r="BN796" s="1">
        <f t="shared" si="339"/>
        <v>43151</v>
      </c>
      <c r="BO796" s="2">
        <f>SUM(BO$2:BO286)+AI286*B286</f>
        <v>183687.49999999988</v>
      </c>
      <c r="BP796" s="2">
        <f>SUM(BP$2:BP286)+AJ286*C286</f>
        <v>25263.400000000009</v>
      </c>
      <c r="BQ796" s="2">
        <f>SUM(BQ$2:BQ286)+AK286*D286</f>
        <v>222031.89999999994</v>
      </c>
      <c r="BR796" s="2">
        <f>SUM(BR$2:BR286)+AL286*E286</f>
        <v>70540.399999999921</v>
      </c>
      <c r="BS796" s="2">
        <f>SUM(BS$2:BS286)+AM286*F286</f>
        <v>16353.400000000009</v>
      </c>
      <c r="BT796" s="2">
        <f>SUM(BT$2:BT286)+AN286*G286</f>
        <v>-1052.2999999999884</v>
      </c>
      <c r="BU796" s="2">
        <f>SUM(BU$2:BU286)+AO286*H286</f>
        <v>1647.1999999999971</v>
      </c>
      <c r="BV796" s="2">
        <f>SUM(BV$2:BV286)+AP286*I286</f>
        <v>4666.1999999999971</v>
      </c>
      <c r="BW796" s="2">
        <f>SUM(BW$2:BW286)+AQ286*J286</f>
        <v>25970.000000000029</v>
      </c>
      <c r="BX796" s="2">
        <f>SUM(BX$2:BX286)+AR286*K286</f>
        <v>13940</v>
      </c>
      <c r="BY796" s="2">
        <f>SUM(BY$2:BY286)+AS286*L286</f>
        <v>-5277.4000000000115</v>
      </c>
      <c r="BZ796" s="2">
        <f>SUM(BZ$2:BZ286)+AT286*M286</f>
        <v>740</v>
      </c>
      <c r="CA796" s="2">
        <f>SUM(CA$2:CA286)+AU286*N286</f>
        <v>17490</v>
      </c>
      <c r="CB796" s="2">
        <f>SUM(CB$2:CB286)+AV286*O286</f>
        <v>26740</v>
      </c>
      <c r="CC796" s="2">
        <f>SUM(CC$2:CC286)+AW286*P286</f>
        <v>-20</v>
      </c>
      <c r="CD796" s="2">
        <f>SUM(CD$2:CD286)+AX286*Q286</f>
        <v>14050</v>
      </c>
      <c r="CE796" s="2">
        <f>SUM(CE$2:CE286)+AY286*R286</f>
        <v>27020</v>
      </c>
      <c r="CF796" s="2">
        <f>SUM(CF$2:CF286)+AZ286*S286</f>
        <v>-3161.5299999999988</v>
      </c>
      <c r="CG796" s="2">
        <f>SUM(CG$2:CG286)+BA286*T286</f>
        <v>31606.039999999972</v>
      </c>
      <c r="CH796" s="2">
        <f>SUM(CH$2:CH286)+BB286*U286</f>
        <v>16444.010000000024</v>
      </c>
      <c r="CI796" s="2">
        <f>SUM(CI$2:CI286)+BC286*V286</f>
        <v>-6140</v>
      </c>
      <c r="CJ796" s="2">
        <f>SUM(CJ$2:CJ286)+BD286*W286</f>
        <v>33240.000000000058</v>
      </c>
      <c r="CK796" s="2">
        <f>SUM(CK$2:CK286)+BE286*X286</f>
        <v>104580</v>
      </c>
      <c r="CL796" s="2">
        <f>SUM(CL$2:CL286)+BF286*Y286</f>
        <v>199230</v>
      </c>
      <c r="CM796" s="2">
        <f>SUM(CM$2:CM286)+BG286*Z286</f>
        <v>139302.5</v>
      </c>
      <c r="CN796" s="2">
        <f>SUM(CN$2:CN286)+BH286*AA286</f>
        <v>99472.5</v>
      </c>
      <c r="CO796" s="2">
        <f>SUM(CO$2:CO286)+BI286*AB286</f>
        <v>-7190</v>
      </c>
      <c r="CP796" s="2">
        <f>SUM(CP$2:CP286)+BJ286*AC286</f>
        <v>11845</v>
      </c>
      <c r="CQ796" s="2">
        <f>SUM(CQ$2:CQ286)+BK286*AD286</f>
        <v>26550.000000000007</v>
      </c>
      <c r="CR796" s="2">
        <f>SUM(CR$2:CR286)+BL286*AE286</f>
        <v>-10480</v>
      </c>
      <c r="CV796" t="s">
        <v>64</v>
      </c>
      <c r="CW796" t="s">
        <v>869</v>
      </c>
      <c r="CX796" t="s">
        <v>18</v>
      </c>
      <c r="CY796" s="4">
        <v>43433</v>
      </c>
      <c r="CZ796" t="s">
        <v>67</v>
      </c>
      <c r="DA796" t="s">
        <v>68</v>
      </c>
      <c r="DB796">
        <v>24</v>
      </c>
      <c r="DC796">
        <v>77.37</v>
      </c>
      <c r="DD796" t="s">
        <v>69</v>
      </c>
      <c r="DE796" t="s">
        <v>70</v>
      </c>
      <c r="DF796">
        <v>1856.88</v>
      </c>
    </row>
    <row r="797" spans="66:110" x14ac:dyDescent="0.25">
      <c r="BN797" s="1">
        <f t="shared" si="339"/>
        <v>43152</v>
      </c>
      <c r="BO797" s="2">
        <f>SUM(BO$2:BO287)+AI287*B287</f>
        <v>179837.49999999988</v>
      </c>
      <c r="BP797" s="2">
        <f>SUM(BP$2:BP287)+AJ287*C287</f>
        <v>25623.400000000009</v>
      </c>
      <c r="BQ797" s="2">
        <f>SUM(BQ$2:BQ287)+AK287*D287</f>
        <v>220879.89999999994</v>
      </c>
      <c r="BR797" s="2">
        <f>SUM(BR$2:BR287)+AL287*E287</f>
        <v>70144.399999999951</v>
      </c>
      <c r="BS797" s="2">
        <f>SUM(BS$2:BS287)+AM287*F287</f>
        <v>15477.400000000016</v>
      </c>
      <c r="BT797" s="2">
        <f>SUM(BT$2:BT287)+AN287*G287</f>
        <v>-3272.2999999999884</v>
      </c>
      <c r="BU797" s="2">
        <f>SUM(BU$2:BU287)+AO287*H287</f>
        <v>543.19999999999709</v>
      </c>
      <c r="BV797" s="2">
        <f>SUM(BV$2:BV287)+AP287*I287</f>
        <v>3974.9999999999854</v>
      </c>
      <c r="BW797" s="2">
        <f>SUM(BW$2:BW287)+AQ287*J287</f>
        <v>24500</v>
      </c>
      <c r="BX797" s="2">
        <f>SUM(BX$2:BX287)+AR287*K287</f>
        <v>13940</v>
      </c>
      <c r="BY797" s="2">
        <f>SUM(BY$2:BY287)+AS287*L287</f>
        <v>-5288.9000000000115</v>
      </c>
      <c r="BZ797" s="2">
        <f>SUM(BZ$2:BZ287)+AT287*M287</f>
        <v>740</v>
      </c>
      <c r="CA797" s="2">
        <f>SUM(CA$2:CA287)+AU287*N287</f>
        <v>16560</v>
      </c>
      <c r="CB797" s="2">
        <f>SUM(CB$2:CB287)+AV287*O287</f>
        <v>26740</v>
      </c>
      <c r="CC797" s="2">
        <f>SUM(CC$2:CC287)+AW287*P287</f>
        <v>-20</v>
      </c>
      <c r="CD797" s="2">
        <f>SUM(CD$2:CD287)+AX287*Q287</f>
        <v>14050</v>
      </c>
      <c r="CE797" s="2">
        <f>SUM(CE$2:CE287)+AY287*R287</f>
        <v>27020</v>
      </c>
      <c r="CF797" s="2">
        <f>SUM(CF$2:CF287)+AZ287*S287</f>
        <v>-3558.820000000007</v>
      </c>
      <c r="CG797" s="2">
        <f>SUM(CG$2:CG287)+BA287*T287</f>
        <v>30345.219999999987</v>
      </c>
      <c r="CH797" s="2">
        <f>SUM(CH$2:CH287)+BB287*U287</f>
        <v>16027.770000000026</v>
      </c>
      <c r="CI797" s="2">
        <f>SUM(CI$2:CI287)+BC287*V287</f>
        <v>-5890</v>
      </c>
      <c r="CJ797" s="2">
        <f>SUM(CJ$2:CJ287)+BD287*W287</f>
        <v>38540.000000000058</v>
      </c>
      <c r="CK797" s="2">
        <f>SUM(CK$2:CK287)+BE287*X287</f>
        <v>102030</v>
      </c>
      <c r="CL797" s="2">
        <f>SUM(CL$2:CL287)+BF287*Y287</f>
        <v>194700</v>
      </c>
      <c r="CM797" s="2">
        <f>SUM(CM$2:CM287)+BG287*Z287</f>
        <v>149577.5</v>
      </c>
      <c r="CN797" s="2">
        <f>SUM(CN$2:CN287)+BH287*AA287</f>
        <v>91622.5</v>
      </c>
      <c r="CO797" s="2">
        <f>SUM(CO$2:CO287)+BI287*AB287</f>
        <v>-9950</v>
      </c>
      <c r="CP797" s="2">
        <f>SUM(CP$2:CP287)+BJ287*AC287</f>
        <v>13720</v>
      </c>
      <c r="CQ797" s="2">
        <f>SUM(CQ$2:CQ287)+BK287*AD287</f>
        <v>24020.000000000007</v>
      </c>
      <c r="CR797" s="2">
        <f>SUM(CR$2:CR287)+BL287*AE287</f>
        <v>-11300</v>
      </c>
      <c r="CV797" t="s">
        <v>64</v>
      </c>
      <c r="CW797" t="s">
        <v>870</v>
      </c>
      <c r="CX797" t="s">
        <v>18</v>
      </c>
      <c r="CY797" s="4">
        <v>43434</v>
      </c>
      <c r="CZ797" t="s">
        <v>65</v>
      </c>
      <c r="DA797" t="s">
        <v>66</v>
      </c>
      <c r="DB797">
        <v>51</v>
      </c>
      <c r="DC797">
        <v>78.790000000000006</v>
      </c>
      <c r="DD797" t="s">
        <v>69</v>
      </c>
      <c r="DE797" t="s">
        <v>70</v>
      </c>
      <c r="DF797">
        <v>4018.2900000000004</v>
      </c>
    </row>
    <row r="798" spans="66:110" x14ac:dyDescent="0.25">
      <c r="BN798" s="1">
        <f t="shared" si="339"/>
        <v>43153</v>
      </c>
      <c r="BO798" s="2">
        <f>SUM(BO$2:BO288)+AI288*B288</f>
        <v>186887.49999999988</v>
      </c>
      <c r="BP798" s="2">
        <f>SUM(BP$2:BP288)+AJ288*C288</f>
        <v>25455.400000000009</v>
      </c>
      <c r="BQ798" s="2">
        <f>SUM(BQ$2:BQ288)+AK288*D288</f>
        <v>225055.89999999994</v>
      </c>
      <c r="BR798" s="2">
        <f>SUM(BR$2:BR288)+AL288*E288</f>
        <v>74404.39999999998</v>
      </c>
      <c r="BS798" s="2">
        <f>SUM(BS$2:BS288)+AM288*F288</f>
        <v>15045.400000000001</v>
      </c>
      <c r="BT798" s="2">
        <f>SUM(BT$2:BT288)+AN288*G288</f>
        <v>-2312.2999999999884</v>
      </c>
      <c r="BU798" s="2">
        <f>SUM(BU$2:BU288)+AO288*H288</f>
        <v>771.19999999999709</v>
      </c>
      <c r="BV798" s="2">
        <f>SUM(BV$2:BV288)+AP288*I288</f>
        <v>5001</v>
      </c>
      <c r="BW798" s="2">
        <f>SUM(BW$2:BW288)+AQ288*J288</f>
        <v>22560</v>
      </c>
      <c r="BX798" s="2">
        <f>SUM(BX$2:BX288)+AR288*K288</f>
        <v>13940</v>
      </c>
      <c r="BY798" s="2">
        <f>SUM(BY$2:BY288)+AS288*L288</f>
        <v>-5296.300000000012</v>
      </c>
      <c r="BZ798" s="2">
        <f>SUM(BZ$2:BZ288)+AT288*M288</f>
        <v>740</v>
      </c>
      <c r="CA798" s="2">
        <f>SUM(CA$2:CA288)+AU288*N288</f>
        <v>16560</v>
      </c>
      <c r="CB798" s="2">
        <f>SUM(CB$2:CB288)+AV288*O288</f>
        <v>26740</v>
      </c>
      <c r="CC798" s="2">
        <f>SUM(CC$2:CC288)+AW288*P288</f>
        <v>-20</v>
      </c>
      <c r="CD798" s="2">
        <f>SUM(CD$2:CD288)+AX288*Q288</f>
        <v>14050</v>
      </c>
      <c r="CE798" s="2">
        <f>SUM(CE$2:CE288)+AY288*R288</f>
        <v>27020</v>
      </c>
      <c r="CF798" s="2">
        <f>SUM(CF$2:CF288)+AZ288*S288</f>
        <v>-3539.7400000000052</v>
      </c>
      <c r="CG798" s="2">
        <f>SUM(CG$2:CG288)+BA288*T288</f>
        <v>30552.909999999989</v>
      </c>
      <c r="CH798" s="2">
        <f>SUM(CH$2:CH288)+BB288*U288</f>
        <v>16100.810000000027</v>
      </c>
      <c r="CI798" s="2">
        <f>SUM(CI$2:CI288)+BC288*V288</f>
        <v>-5880</v>
      </c>
      <c r="CJ798" s="2">
        <f>SUM(CJ$2:CJ288)+BD288*W288</f>
        <v>35690.000000000058</v>
      </c>
      <c r="CK798" s="2">
        <f>SUM(CK$2:CK288)+BE288*X288</f>
        <v>97630</v>
      </c>
      <c r="CL798" s="2">
        <f>SUM(CL$2:CL288)+BF288*Y288</f>
        <v>200520</v>
      </c>
      <c r="CM798" s="2">
        <f>SUM(CM$2:CM288)+BG288*Z288</f>
        <v>165440</v>
      </c>
      <c r="CN798" s="2">
        <f>SUM(CN$2:CN288)+BH288*AA288</f>
        <v>91372.5</v>
      </c>
      <c r="CO798" s="2">
        <f>SUM(CO$2:CO288)+BI288*AB288</f>
        <v>-10220</v>
      </c>
      <c r="CP798" s="2">
        <f>SUM(CP$2:CP288)+BJ288*AC288</f>
        <v>13660</v>
      </c>
      <c r="CQ798" s="2">
        <f>SUM(CQ$2:CQ288)+BK288*AD288</f>
        <v>25240.000000000007</v>
      </c>
      <c r="CR798" s="2">
        <f>SUM(CR$2:CR288)+BL288*AE288</f>
        <v>-10370</v>
      </c>
      <c r="CV798" t="s">
        <v>64</v>
      </c>
      <c r="CW798" t="s">
        <v>871</v>
      </c>
      <c r="CX798" t="s">
        <v>18</v>
      </c>
      <c r="CY798" s="4">
        <v>43437</v>
      </c>
      <c r="CZ798" t="s">
        <v>67</v>
      </c>
      <c r="DA798" t="s">
        <v>68</v>
      </c>
      <c r="DB798">
        <v>65</v>
      </c>
      <c r="DC798">
        <v>78.67</v>
      </c>
      <c r="DD798" t="s">
        <v>69</v>
      </c>
      <c r="DE798" t="s">
        <v>70</v>
      </c>
      <c r="DF798">
        <v>5113.55</v>
      </c>
    </row>
    <row r="799" spans="66:110" x14ac:dyDescent="0.25">
      <c r="BN799" s="1">
        <f t="shared" si="339"/>
        <v>43154</v>
      </c>
      <c r="BO799" s="2">
        <f>SUM(BO$2:BO289)+AI289*B289</f>
        <v>201687.49999999988</v>
      </c>
      <c r="BP799" s="2">
        <f>SUM(BP$2:BP289)+AJ289*C289</f>
        <v>27171.400000000023</v>
      </c>
      <c r="BQ799" s="2">
        <f>SUM(BQ$2:BQ289)+AK289*D289</f>
        <v>225919.89999999994</v>
      </c>
      <c r="BR799" s="2">
        <f>SUM(BR$2:BR289)+AL289*E289</f>
        <v>78556.399999999951</v>
      </c>
      <c r="BS799" s="2">
        <f>SUM(BS$2:BS289)+AM289*F289</f>
        <v>16281.400000000009</v>
      </c>
      <c r="BT799" s="2">
        <f>SUM(BT$2:BT289)+AN289*G289</f>
        <v>807.70000000001164</v>
      </c>
      <c r="BU799" s="2">
        <f>SUM(BU$2:BU289)+AO289*H289</f>
        <v>3147.1999999999971</v>
      </c>
      <c r="BV799" s="2">
        <f>SUM(BV$2:BV289)+AP289*I289</f>
        <v>6404.9999999999854</v>
      </c>
      <c r="BW799" s="2">
        <f>SUM(BW$2:BW289)+AQ289*J289</f>
        <v>27830</v>
      </c>
      <c r="BX799" s="2">
        <f>SUM(BX$2:BX289)+AR289*K289</f>
        <v>13940</v>
      </c>
      <c r="BY799" s="2">
        <f>SUM(BY$2:BY289)+AS289*L289</f>
        <v>-5274.0000000000118</v>
      </c>
      <c r="BZ799" s="2">
        <f>SUM(BZ$2:BZ289)+AT289*M289</f>
        <v>740</v>
      </c>
      <c r="CA799" s="2">
        <f>SUM(CA$2:CA289)+AU289*N289</f>
        <v>18610</v>
      </c>
      <c r="CB799" s="2">
        <f>SUM(CB$2:CB289)+AV289*O289</f>
        <v>26740</v>
      </c>
      <c r="CC799" s="2">
        <f>SUM(CC$2:CC289)+AW289*P289</f>
        <v>-20</v>
      </c>
      <c r="CD799" s="2">
        <f>SUM(CD$2:CD289)+AX289*Q289</f>
        <v>14050</v>
      </c>
      <c r="CE799" s="2">
        <f>SUM(CE$2:CE289)+AY289*R289</f>
        <v>27020</v>
      </c>
      <c r="CF799" s="2">
        <f>SUM(CF$2:CF289)+AZ289*S289</f>
        <v>-3246.2600000000093</v>
      </c>
      <c r="CG799" s="2">
        <f>SUM(CG$2:CG289)+BA289*T289</f>
        <v>32648.209999999977</v>
      </c>
      <c r="CH799" s="2">
        <f>SUM(CH$2:CH289)+BB289*U289</f>
        <v>17133.050000000039</v>
      </c>
      <c r="CI799" s="2">
        <f>SUM(CI$2:CI289)+BC289*V289</f>
        <v>-6380</v>
      </c>
      <c r="CJ799" s="2">
        <f>SUM(CJ$2:CJ289)+BD289*W289</f>
        <v>34640.000000000058</v>
      </c>
      <c r="CK799" s="2">
        <f>SUM(CK$2:CK289)+BE289*X289</f>
        <v>107880</v>
      </c>
      <c r="CL799" s="2">
        <f>SUM(CL$2:CL289)+BF289*Y289</f>
        <v>209610</v>
      </c>
      <c r="CM799" s="2">
        <f>SUM(CM$2:CM289)+BG289*Z289</f>
        <v>163550</v>
      </c>
      <c r="CN799" s="2">
        <f>SUM(CN$2:CN289)+BH289*AA289</f>
        <v>102802.5</v>
      </c>
      <c r="CO799" s="2">
        <f>SUM(CO$2:CO289)+BI289*AB289</f>
        <v>-8990</v>
      </c>
      <c r="CP799" s="2">
        <f>SUM(CP$2:CP289)+BJ289*AC289</f>
        <v>12640</v>
      </c>
      <c r="CQ799" s="2">
        <f>SUM(CQ$2:CQ289)+BK289*AD289</f>
        <v>25360.000000000007</v>
      </c>
      <c r="CR799" s="2">
        <f>SUM(CR$2:CR289)+BL289*AE289</f>
        <v>-8770</v>
      </c>
      <c r="CV799" t="s">
        <v>64</v>
      </c>
      <c r="CW799" t="s">
        <v>872</v>
      </c>
      <c r="CX799" t="s">
        <v>18</v>
      </c>
      <c r="CY799" s="4">
        <v>43438</v>
      </c>
      <c r="CZ799" t="s">
        <v>65</v>
      </c>
      <c r="DA799" t="s">
        <v>66</v>
      </c>
      <c r="DB799">
        <v>62</v>
      </c>
      <c r="DC799">
        <v>77.67</v>
      </c>
      <c r="DD799" t="s">
        <v>69</v>
      </c>
      <c r="DE799" t="s">
        <v>70</v>
      </c>
      <c r="DF799">
        <v>4815.54</v>
      </c>
    </row>
    <row r="800" spans="66:110" x14ac:dyDescent="0.25">
      <c r="BN800" s="1">
        <f t="shared" si="339"/>
        <v>43157</v>
      </c>
      <c r="BO800" s="2">
        <f>SUM(BO$2:BO290)+AI290*B290</f>
        <v>218787.49999999988</v>
      </c>
      <c r="BP800" s="2">
        <f>SUM(BP$2:BP290)+AJ290*C290</f>
        <v>30543.400000000009</v>
      </c>
      <c r="BQ800" s="2">
        <f>SUM(BQ$2:BQ290)+AK290*D290</f>
        <v>233947.89999999994</v>
      </c>
      <c r="BR800" s="2">
        <f>SUM(BR$2:BR290)+AL290*E290</f>
        <v>80056.399999999951</v>
      </c>
      <c r="BS800" s="2">
        <f>SUM(BS$2:BS290)+AM290*F290</f>
        <v>17865.400000000009</v>
      </c>
      <c r="BT800" s="2">
        <f>SUM(BT$2:BT290)+AN290*G290</f>
        <v>3123.7000000000116</v>
      </c>
      <c r="BU800" s="2">
        <f>SUM(BU$2:BU290)+AO290*H290</f>
        <v>6171.1999999999971</v>
      </c>
      <c r="BV800" s="2">
        <f>SUM(BV$2:BV290)+AP290*I290</f>
        <v>7247.3999999999942</v>
      </c>
      <c r="BW800" s="2">
        <f>SUM(BW$2:BW290)+AQ290*J290</f>
        <v>32250</v>
      </c>
      <c r="BX800" s="2">
        <f>SUM(BX$2:BX290)+AR290*K290</f>
        <v>13940</v>
      </c>
      <c r="BY800" s="2">
        <f>SUM(BY$2:BY290)+AS290*L290</f>
        <v>-5244.7000000000116</v>
      </c>
      <c r="BZ800" s="2">
        <f>SUM(BZ$2:BZ290)+AT290*M290</f>
        <v>740</v>
      </c>
      <c r="CA800" s="2">
        <f>SUM(CA$2:CA290)+AU290*N290</f>
        <v>19490</v>
      </c>
      <c r="CB800" s="2">
        <f>SUM(CB$2:CB290)+AV290*O290</f>
        <v>26740</v>
      </c>
      <c r="CC800" s="2">
        <f>SUM(CC$2:CC290)+AW290*P290</f>
        <v>-20</v>
      </c>
      <c r="CD800" s="2">
        <f>SUM(CD$2:CD290)+AX290*Q290</f>
        <v>14050</v>
      </c>
      <c r="CE800" s="2">
        <f>SUM(CE$2:CE290)+AY290*R290</f>
        <v>27020</v>
      </c>
      <c r="CF800" s="2">
        <f>SUM(CF$2:CF290)+AZ290*S290</f>
        <v>-2079.0100000000093</v>
      </c>
      <c r="CG800" s="2">
        <f>SUM(CG$2:CG290)+BA290*T290</f>
        <v>33977.959999999985</v>
      </c>
      <c r="CH800" s="2">
        <f>SUM(CH$2:CH290)+BB290*U290</f>
        <v>18703.010000000038</v>
      </c>
      <c r="CI800" s="2">
        <f>SUM(CI$2:CI290)+BC290*V290</f>
        <v>-7180</v>
      </c>
      <c r="CJ800" s="2">
        <f>SUM(CJ$2:CJ290)+BD290*W290</f>
        <v>31840.000000000058</v>
      </c>
      <c r="CK800" s="2">
        <f>SUM(CK$2:CK290)+BE290*X290</f>
        <v>121730</v>
      </c>
      <c r="CL800" s="2">
        <f>SUM(CL$2:CL290)+BF290*Y290</f>
        <v>221160</v>
      </c>
      <c r="CM800" s="2">
        <f>SUM(CM$2:CM290)+BG290*Z290</f>
        <v>174850</v>
      </c>
      <c r="CN800" s="2">
        <f>SUM(CN$2:CN290)+BH290*AA290</f>
        <v>109362.5</v>
      </c>
      <c r="CO800" s="2">
        <f>SUM(CO$2:CO290)+BI290*AB290</f>
        <v>-6710</v>
      </c>
      <c r="CP800" s="2">
        <f>SUM(CP$2:CP290)+BJ290*AC290</f>
        <v>12294.999999999985</v>
      </c>
      <c r="CQ800" s="2">
        <f>SUM(CQ$2:CQ290)+BK290*AD290</f>
        <v>25580.000000000007</v>
      </c>
      <c r="CR800" s="2">
        <f>SUM(CR$2:CR290)+BL290*AE290</f>
        <v>-7510</v>
      </c>
      <c r="CV800" t="s">
        <v>64</v>
      </c>
      <c r="CW800" t="s">
        <v>873</v>
      </c>
      <c r="CX800" t="s">
        <v>18</v>
      </c>
      <c r="CY800" s="4">
        <v>43440</v>
      </c>
      <c r="CZ800" t="s">
        <v>67</v>
      </c>
      <c r="DA800" t="s">
        <v>68</v>
      </c>
      <c r="DB800">
        <v>11</v>
      </c>
      <c r="DC800">
        <v>77.819999999999993</v>
      </c>
      <c r="DD800" t="s">
        <v>69</v>
      </c>
      <c r="DE800" t="s">
        <v>70</v>
      </c>
      <c r="DF800">
        <v>856.02</v>
      </c>
    </row>
    <row r="801" spans="66:110" x14ac:dyDescent="0.25">
      <c r="BN801" s="1">
        <f t="shared" si="339"/>
        <v>43158</v>
      </c>
      <c r="BO801" s="2">
        <f>SUM(BO$2:BO291)+AI291*B291</f>
        <v>215887.49999999988</v>
      </c>
      <c r="BP801" s="2">
        <f>SUM(BP$2:BP291)+AJ291*C291</f>
        <v>28095.400000000009</v>
      </c>
      <c r="BQ801" s="2">
        <f>SUM(BQ$2:BQ291)+AK291*D291</f>
        <v>235315.89999999988</v>
      </c>
      <c r="BR801" s="2">
        <f>SUM(BR$2:BR291)+AL291*E291</f>
        <v>77212.399999999951</v>
      </c>
      <c r="BS801" s="2">
        <f>SUM(BS$2:BS291)+AM291*F291</f>
        <v>17493.400000000009</v>
      </c>
      <c r="BT801" s="2">
        <f>SUM(BT$2:BT291)+AN291*G291</f>
        <v>1983.7000000000116</v>
      </c>
      <c r="BU801" s="2">
        <f>SUM(BU$2:BU291)+AO291*H291</f>
        <v>327.19999999999709</v>
      </c>
      <c r="BV801" s="2">
        <f>SUM(BV$2:BV291)+AP291*I291</f>
        <v>5843.3999999999796</v>
      </c>
      <c r="BW801" s="2">
        <f>SUM(BW$2:BW291)+AQ291*J291</f>
        <v>28970</v>
      </c>
      <c r="BX801" s="2">
        <f>SUM(BX$2:BX291)+AR291*K291</f>
        <v>13940</v>
      </c>
      <c r="BY801" s="2">
        <f>SUM(BY$2:BY291)+AS291*L291</f>
        <v>-5264.1000000000113</v>
      </c>
      <c r="BZ801" s="2">
        <f>SUM(BZ$2:BZ291)+AT291*M291</f>
        <v>740</v>
      </c>
      <c r="CA801" s="2">
        <f>SUM(CA$2:CA291)+AU291*N291</f>
        <v>19089.999999999985</v>
      </c>
      <c r="CB801" s="2">
        <f>SUM(CB$2:CB291)+AV291*O291</f>
        <v>26740</v>
      </c>
      <c r="CC801" s="2">
        <f>SUM(CC$2:CC291)+AW291*P291</f>
        <v>-20</v>
      </c>
      <c r="CD801" s="2">
        <f>SUM(CD$2:CD291)+AX291*Q291</f>
        <v>14050</v>
      </c>
      <c r="CE801" s="2">
        <f>SUM(CE$2:CE291)+AY291*R291</f>
        <v>27020</v>
      </c>
      <c r="CF801" s="2">
        <f>SUM(CF$2:CF291)+AZ291*S291</f>
        <v>-3408.9100000000108</v>
      </c>
      <c r="CG801" s="2">
        <f>SUM(CG$2:CG291)+BA291*T291</f>
        <v>32751.019999999975</v>
      </c>
      <c r="CH801" s="2">
        <f>SUM(CH$2:CH291)+BB291*U291</f>
        <v>17016.610000000022</v>
      </c>
      <c r="CI801" s="2">
        <f>SUM(CI$2:CI291)+BC291*V291</f>
        <v>-6900</v>
      </c>
      <c r="CJ801" s="2">
        <f>SUM(CJ$2:CJ291)+BD291*W291</f>
        <v>37090.000000000058</v>
      </c>
      <c r="CK801" s="2">
        <f>SUM(CK$2:CK291)+BE291*X291</f>
        <v>116680</v>
      </c>
      <c r="CL801" s="2">
        <f>SUM(CL$2:CL291)+BF291*Y291</f>
        <v>216600</v>
      </c>
      <c r="CM801" s="2">
        <f>SUM(CM$2:CM291)+BG291*Z291</f>
        <v>167249.99999999988</v>
      </c>
      <c r="CN801" s="2">
        <f>SUM(CN$2:CN291)+BH291*AA291</f>
        <v>104522.5</v>
      </c>
      <c r="CO801" s="2">
        <f>SUM(CO$2:CO291)+BI291*AB291</f>
        <v>-9710</v>
      </c>
      <c r="CP801" s="2">
        <f>SUM(CP$2:CP291)+BJ291*AC291</f>
        <v>14424.999999999985</v>
      </c>
      <c r="CQ801" s="2">
        <f>SUM(CQ$2:CQ291)+BK291*AD291</f>
        <v>24020.000000000007</v>
      </c>
      <c r="CR801" s="2">
        <f>SUM(CR$2:CR291)+BL291*AE291</f>
        <v>-8800</v>
      </c>
      <c r="CV801" t="s">
        <v>64</v>
      </c>
      <c r="CW801" t="s">
        <v>874</v>
      </c>
      <c r="CX801" t="s">
        <v>18</v>
      </c>
      <c r="CY801" s="4">
        <v>43441</v>
      </c>
      <c r="CZ801" t="s">
        <v>67</v>
      </c>
      <c r="DA801" t="s">
        <v>68</v>
      </c>
      <c r="DB801">
        <v>28</v>
      </c>
      <c r="DC801">
        <v>76.19</v>
      </c>
      <c r="DD801" t="s">
        <v>69</v>
      </c>
      <c r="DE801" t="s">
        <v>70</v>
      </c>
      <c r="DF801">
        <v>2133.3199999999997</v>
      </c>
    </row>
    <row r="802" spans="66:110" x14ac:dyDescent="0.25">
      <c r="BN802" s="1">
        <f t="shared" si="339"/>
        <v>43159</v>
      </c>
      <c r="BO802" s="2">
        <f>SUM(BO$2:BO292)+AI292*B292</f>
        <v>214587.49999999988</v>
      </c>
      <c r="BP802" s="2">
        <f>SUM(BP$2:BP292)+AJ292*C292</f>
        <v>25635.400000000009</v>
      </c>
      <c r="BQ802" s="2">
        <f>SUM(BQ$2:BQ292)+AK292*D292</f>
        <v>232459.89999999994</v>
      </c>
      <c r="BR802" s="2">
        <f>SUM(BR$2:BR292)+AL292*E292</f>
        <v>69448.399999999951</v>
      </c>
      <c r="BS802" s="2">
        <f>SUM(BS$2:BS292)+AM292*F292</f>
        <v>17193.400000000009</v>
      </c>
      <c r="BT802" s="2">
        <f>SUM(BT$2:BT292)+AN292*G292</f>
        <v>27.700000000011642</v>
      </c>
      <c r="BU802" s="2">
        <f>SUM(BU$2:BU292)+AO292*H292</f>
        <v>-1688.8000000000029</v>
      </c>
      <c r="BV802" s="2">
        <f>SUM(BV$2:BV292)+AP292*I292</f>
        <v>3661.7999999999884</v>
      </c>
      <c r="BW802" s="2">
        <f>SUM(BW$2:BW292)+AQ292*J292</f>
        <v>24769.999999999971</v>
      </c>
      <c r="BX802" s="2">
        <f>SUM(BX$2:BX292)+AR292*K292</f>
        <v>13940</v>
      </c>
      <c r="BY802" s="2">
        <f>SUM(BY$2:BY292)+AS292*L292</f>
        <v>-5271.0000000000118</v>
      </c>
      <c r="BZ802" s="2">
        <f>SUM(BZ$2:BZ292)+AT292*M292</f>
        <v>740</v>
      </c>
      <c r="CA802" s="2">
        <f>SUM(CA$2:CA292)+AU292*N292</f>
        <v>17340</v>
      </c>
      <c r="CB802" s="2">
        <f>SUM(CB$2:CB292)+AV292*O292</f>
        <v>26740</v>
      </c>
      <c r="CC802" s="2">
        <f>SUM(CC$2:CC292)+AW292*P292</f>
        <v>-20</v>
      </c>
      <c r="CD802" s="2">
        <f>SUM(CD$2:CD292)+AX292*Q292</f>
        <v>14050</v>
      </c>
      <c r="CE802" s="2">
        <f>SUM(CE$2:CE292)+AY292*R292</f>
        <v>27020</v>
      </c>
      <c r="CF802" s="2">
        <f>SUM(CF$2:CF292)+AZ292*S292</f>
        <v>-3877.8700000000099</v>
      </c>
      <c r="CG802" s="2">
        <f>SUM(CG$2:CG292)+BA292*T292</f>
        <v>32307.919999999976</v>
      </c>
      <c r="CH802" s="2">
        <f>SUM(CH$2:CH292)+BB292*U292</f>
        <v>15960.280000000028</v>
      </c>
      <c r="CI802" s="2">
        <f>SUM(CI$2:CI292)+BC292*V292</f>
        <v>-6430</v>
      </c>
      <c r="CJ802" s="2">
        <f>SUM(CJ$2:CJ292)+BD292*W292</f>
        <v>46890.000000000116</v>
      </c>
      <c r="CK802" s="2">
        <f>SUM(CK$2:CK292)+BE292*X292</f>
        <v>104280</v>
      </c>
      <c r="CL802" s="2">
        <f>SUM(CL$2:CL292)+BF292*Y292</f>
        <v>197760</v>
      </c>
      <c r="CM802" s="2">
        <f>SUM(CM$2:CM292)+BG292*Z292</f>
        <v>171300</v>
      </c>
      <c r="CN802" s="2">
        <f>SUM(CN$2:CN292)+BH292*AA292</f>
        <v>102842.5</v>
      </c>
      <c r="CO802" s="2">
        <f>SUM(CO$2:CO292)+BI292*AB292</f>
        <v>-10580</v>
      </c>
      <c r="CP802" s="2">
        <f>SUM(CP$2:CP292)+BJ292*AC292</f>
        <v>14799.999999999985</v>
      </c>
      <c r="CQ802" s="2">
        <f>SUM(CQ$2:CQ292)+BK292*AD292</f>
        <v>22540.000000000007</v>
      </c>
      <c r="CR802" s="2">
        <f>SUM(CR$2:CR292)+BL292*AE292</f>
        <v>-10490</v>
      </c>
      <c r="CV802" t="s">
        <v>64</v>
      </c>
      <c r="CW802" t="s">
        <v>875</v>
      </c>
      <c r="CX802" t="s">
        <v>18</v>
      </c>
      <c r="CY802" s="4">
        <v>43444</v>
      </c>
      <c r="CZ802" t="s">
        <v>65</v>
      </c>
      <c r="DA802" t="s">
        <v>66</v>
      </c>
      <c r="DB802">
        <v>52</v>
      </c>
      <c r="DC802">
        <v>76.88</v>
      </c>
      <c r="DD802" t="s">
        <v>69</v>
      </c>
      <c r="DE802" t="s">
        <v>70</v>
      </c>
      <c r="DF802">
        <v>3997.7599999999998</v>
      </c>
    </row>
    <row r="803" spans="66:110" x14ac:dyDescent="0.25">
      <c r="BN803" s="1">
        <f t="shared" si="339"/>
        <v>43160</v>
      </c>
      <c r="BO803" s="2">
        <f>SUM(BO$2:BO293)+AI293*B293</f>
        <v>199237.49999999988</v>
      </c>
      <c r="BP803" s="2">
        <f>SUM(BP$2:BP293)+AJ293*C293</f>
        <v>22827.400000000009</v>
      </c>
      <c r="BQ803" s="2">
        <f>SUM(BQ$2:BQ293)+AK293*D293</f>
        <v>217723.89999999994</v>
      </c>
      <c r="BR803" s="2">
        <f>SUM(BR$2:BR293)+AL293*E293</f>
        <v>64288.399999999951</v>
      </c>
      <c r="BS803" s="2">
        <f>SUM(BS$2:BS293)+AM293*F293</f>
        <v>16053.400000000009</v>
      </c>
      <c r="BT803" s="2">
        <f>SUM(BT$2:BT293)+AN293*G293</f>
        <v>171.70000000001164</v>
      </c>
      <c r="BU803" s="2">
        <f>SUM(BU$2:BU293)+AO293*H293</f>
        <v>-2384.8000000000029</v>
      </c>
      <c r="BV803" s="2">
        <f>SUM(BV$2:BV293)+AP293*I293</f>
        <v>2031</v>
      </c>
      <c r="BW803" s="2">
        <f>SUM(BW$2:BW293)+AQ293*J293</f>
        <v>18680</v>
      </c>
      <c r="BX803" s="2">
        <f>SUM(BX$2:BX293)+AR293*K293</f>
        <v>13940</v>
      </c>
      <c r="BY803" s="2">
        <f>SUM(BY$2:BY293)+AS293*L293</f>
        <v>-5290.300000000012</v>
      </c>
      <c r="BZ803" s="2">
        <f>SUM(BZ$2:BZ293)+AT293*M293</f>
        <v>740</v>
      </c>
      <c r="CA803" s="2">
        <f>SUM(CA$2:CA293)+AU293*N293</f>
        <v>14790</v>
      </c>
      <c r="CB803" s="2">
        <f>SUM(CB$2:CB293)+AV293*O293</f>
        <v>26740</v>
      </c>
      <c r="CC803" s="2">
        <f>SUM(CC$2:CC293)+AW293*P293</f>
        <v>-20</v>
      </c>
      <c r="CD803" s="2">
        <f>SUM(CD$2:CD293)+AX293*Q293</f>
        <v>14050</v>
      </c>
      <c r="CE803" s="2">
        <f>SUM(CE$2:CE293)+AY293*R293</f>
        <v>27020</v>
      </c>
      <c r="CF803" s="2">
        <f>SUM(CF$2:CF293)+AZ293*S293</f>
        <v>-4380.2200000000084</v>
      </c>
      <c r="CG803" s="2">
        <f>SUM(CG$2:CG293)+BA293*T293</f>
        <v>31384.269999999975</v>
      </c>
      <c r="CH803" s="2">
        <f>SUM(CH$2:CH293)+BB293*U293</f>
        <v>15254.680000000022</v>
      </c>
      <c r="CI803" s="2">
        <f>SUM(CI$2:CI293)+BC293*V293</f>
        <v>-5770</v>
      </c>
      <c r="CJ803" s="2">
        <f>SUM(CJ$2:CJ293)+BD293*W293</f>
        <v>45990.000000000058</v>
      </c>
      <c r="CK803" s="2">
        <f>SUM(CK$2:CK293)+BE293*X293</f>
        <v>104130</v>
      </c>
      <c r="CL803" s="2">
        <f>SUM(CL$2:CL293)+BF293*Y293</f>
        <v>192690</v>
      </c>
      <c r="CM803" s="2">
        <f>SUM(CM$2:CM293)+BG293*Z293</f>
        <v>149600</v>
      </c>
      <c r="CN803" s="2">
        <f>SUM(CN$2:CN293)+BH293*AA293</f>
        <v>92722.5</v>
      </c>
      <c r="CO803" s="2">
        <f>SUM(CO$2:CO293)+BI293*AB293</f>
        <v>-9950</v>
      </c>
      <c r="CP803" s="2">
        <f>SUM(CP$2:CP293)+BJ293*AC293</f>
        <v>12879.999999999985</v>
      </c>
      <c r="CQ803" s="2">
        <f>SUM(CQ$2:CQ293)+BK293*AD293</f>
        <v>21630.000000000007</v>
      </c>
      <c r="CR803" s="2">
        <f>SUM(CR$2:CR293)+BL293*AE293</f>
        <v>-11000</v>
      </c>
      <c r="CV803" t="s">
        <v>64</v>
      </c>
      <c r="CW803" t="s">
        <v>876</v>
      </c>
      <c r="CX803" t="s">
        <v>18</v>
      </c>
      <c r="CY803" s="4">
        <v>43445</v>
      </c>
      <c r="CZ803" t="s">
        <v>67</v>
      </c>
      <c r="DA803" t="s">
        <v>68</v>
      </c>
      <c r="DB803">
        <v>75</v>
      </c>
      <c r="DC803">
        <v>76.569999999999993</v>
      </c>
      <c r="DD803" t="s">
        <v>69</v>
      </c>
      <c r="DE803" t="s">
        <v>70</v>
      </c>
      <c r="DF803">
        <v>5742.7499999999991</v>
      </c>
    </row>
    <row r="804" spans="66:110" x14ac:dyDescent="0.25">
      <c r="BN804" s="1">
        <f t="shared" si="339"/>
        <v>43161</v>
      </c>
      <c r="BO804" s="2">
        <f>SUM(BO$2:BO294)+AI294*B294</f>
        <v>205187.49999999988</v>
      </c>
      <c r="BP804" s="2">
        <f>SUM(BP$2:BP294)+AJ294*C294</f>
        <v>23367.400000000009</v>
      </c>
      <c r="BQ804" s="2">
        <f>SUM(BQ$2:BQ294)+AK294*D294</f>
        <v>211819.89999999994</v>
      </c>
      <c r="BR804" s="2">
        <f>SUM(BR$2:BR294)+AL294*E294</f>
        <v>59776.399999999921</v>
      </c>
      <c r="BS804" s="2">
        <f>SUM(BS$2:BS294)+AM294*F294</f>
        <v>16353.400000000009</v>
      </c>
      <c r="BT804" s="2">
        <f>SUM(BT$2:BT294)+AN294*G294</f>
        <v>-296.29999999998836</v>
      </c>
      <c r="BU804" s="2">
        <f>SUM(BU$2:BU294)+AO294*H294</f>
        <v>-1892.8000000000029</v>
      </c>
      <c r="BV804" s="2">
        <f>SUM(BV$2:BV294)+AP294*I294</f>
        <v>1674.5999999999767</v>
      </c>
      <c r="BW804" s="2">
        <f>SUM(BW$2:BW294)+AQ294*J294</f>
        <v>20010</v>
      </c>
      <c r="BX804" s="2">
        <f>SUM(BX$2:BX294)+AR294*K294</f>
        <v>13940</v>
      </c>
      <c r="BY804" s="2">
        <f>SUM(BY$2:BY294)+AS294*L294</f>
        <v>-5283.800000000012</v>
      </c>
      <c r="BZ804" s="2">
        <f>SUM(BZ$2:BZ294)+AT294*M294</f>
        <v>740</v>
      </c>
      <c r="CA804" s="2">
        <f>SUM(CA$2:CA294)+AU294*N294</f>
        <v>16300</v>
      </c>
      <c r="CB804" s="2">
        <f>SUM(CB$2:CB294)+AV294*O294</f>
        <v>26740</v>
      </c>
      <c r="CC804" s="2">
        <f>SUM(CC$2:CC294)+AW294*P294</f>
        <v>-20</v>
      </c>
      <c r="CD804" s="2">
        <f>SUM(CD$2:CD294)+AX294*Q294</f>
        <v>14050</v>
      </c>
      <c r="CE804" s="2">
        <f>SUM(CE$2:CE294)+AY294*R294</f>
        <v>27020</v>
      </c>
      <c r="CF804" s="2">
        <f>SUM(CF$2:CF294)+AZ294*S294</f>
        <v>-3724.8600000000079</v>
      </c>
      <c r="CG804" s="2">
        <f>SUM(CG$2:CG294)+BA294*T294</f>
        <v>31601.469999999987</v>
      </c>
      <c r="CH804" s="2">
        <f>SUM(CH$2:CH294)+BB294*U294</f>
        <v>15038.480000000025</v>
      </c>
      <c r="CI804" s="2">
        <f>SUM(CI$2:CI294)+BC294*V294</f>
        <v>-6080</v>
      </c>
      <c r="CJ804" s="2">
        <f>SUM(CJ$2:CJ294)+BD294*W294</f>
        <v>42140.000000000058</v>
      </c>
      <c r="CK804" s="2">
        <f>SUM(CK$2:CK294)+BE294*X294</f>
        <v>98780</v>
      </c>
      <c r="CL804" s="2">
        <f>SUM(CL$2:CL294)+BF294*Y294</f>
        <v>194880</v>
      </c>
      <c r="CM804" s="2">
        <f>SUM(CM$2:CM294)+BG294*Z294</f>
        <v>147850</v>
      </c>
      <c r="CN804" s="2">
        <f>SUM(CN$2:CN294)+BH294*AA294</f>
        <v>94202.5</v>
      </c>
      <c r="CO804" s="2">
        <f>SUM(CO$2:CO294)+BI294*AB294</f>
        <v>-9080</v>
      </c>
      <c r="CP804" s="2">
        <f>SUM(CP$2:CP294)+BJ294*AC294</f>
        <v>12325</v>
      </c>
      <c r="CQ804" s="2">
        <f>SUM(CQ$2:CQ294)+BK294*AD294</f>
        <v>21330.000000000007</v>
      </c>
      <c r="CR804" s="2">
        <f>SUM(CR$2:CR294)+BL294*AE294</f>
        <v>-10670</v>
      </c>
      <c r="CV804" t="s">
        <v>64</v>
      </c>
      <c r="CW804" t="s">
        <v>877</v>
      </c>
      <c r="CX804" t="s">
        <v>18</v>
      </c>
      <c r="CY804" s="4">
        <v>43446</v>
      </c>
      <c r="CZ804" t="s">
        <v>65</v>
      </c>
      <c r="DA804" t="s">
        <v>66</v>
      </c>
      <c r="DB804">
        <v>63</v>
      </c>
      <c r="DC804">
        <v>77.47</v>
      </c>
      <c r="DD804" t="s">
        <v>69</v>
      </c>
      <c r="DE804" t="s">
        <v>70</v>
      </c>
      <c r="DF804">
        <v>4880.6099999999997</v>
      </c>
    </row>
    <row r="805" spans="66:110" x14ac:dyDescent="0.25">
      <c r="BN805" s="1">
        <f t="shared" si="339"/>
        <v>43164</v>
      </c>
      <c r="BO805" s="2">
        <f>SUM(BO$2:BO295)+AI295*B295</f>
        <v>205187.49999999988</v>
      </c>
      <c r="BP805" s="2">
        <f>SUM(BP$2:BP295)+AJ295*C295</f>
        <v>24627.400000000009</v>
      </c>
      <c r="BQ805" s="2">
        <f>SUM(BQ$2:BQ295)+AK295*D295</f>
        <v>221323.89999999994</v>
      </c>
      <c r="BR805" s="2">
        <f>SUM(BR$2:BR295)+AL295*E295</f>
        <v>65332.399999999951</v>
      </c>
      <c r="BS805" s="2">
        <f>SUM(BS$2:BS295)+AM295*F295</f>
        <v>16881.400000000009</v>
      </c>
      <c r="BT805" s="2">
        <f>SUM(BT$2:BT295)+AN295*G295</f>
        <v>1455.7000000000116</v>
      </c>
      <c r="BU805" s="2">
        <f>SUM(BU$2:BU295)+AO295*H295</f>
        <v>-1388.8000000000029</v>
      </c>
      <c r="BV805" s="2">
        <f>SUM(BV$2:BV295)+AP295*I295</f>
        <v>2981.3999999999942</v>
      </c>
      <c r="BW805" s="2">
        <f>SUM(BW$2:BW295)+AQ295*J295</f>
        <v>24949.999999999971</v>
      </c>
      <c r="BX805" s="2">
        <f>SUM(BX$2:BX295)+AR295*K295</f>
        <v>13940</v>
      </c>
      <c r="BY805" s="2">
        <f>SUM(BY$2:BY295)+AS295*L295</f>
        <v>-5260.300000000012</v>
      </c>
      <c r="BZ805" s="2">
        <f>SUM(BZ$2:BZ295)+AT295*M295</f>
        <v>740</v>
      </c>
      <c r="CA805" s="2">
        <f>SUM(CA$2:CA295)+AU295*N295</f>
        <v>17250</v>
      </c>
      <c r="CB805" s="2">
        <f>SUM(CB$2:CB295)+AV295*O295</f>
        <v>26740</v>
      </c>
      <c r="CC805" s="2">
        <f>SUM(CC$2:CC295)+AW295*P295</f>
        <v>-20</v>
      </c>
      <c r="CD805" s="2">
        <f>SUM(CD$2:CD295)+AX295*Q295</f>
        <v>14050</v>
      </c>
      <c r="CE805" s="2">
        <f>SUM(CE$2:CE295)+AY295*R295</f>
        <v>27020</v>
      </c>
      <c r="CF805" s="2">
        <f>SUM(CF$2:CF295)+AZ295*S295</f>
        <v>-3682.8600000000079</v>
      </c>
      <c r="CG805" s="2">
        <f>SUM(CG$2:CG295)+BA295*T295</f>
        <v>32215.109999999979</v>
      </c>
      <c r="CH805" s="2">
        <f>SUM(CH$2:CH295)+BB295*U295</f>
        <v>14173.620000000024</v>
      </c>
      <c r="CI805" s="2">
        <f>SUM(CI$2:CI295)+BC295*V295</f>
        <v>-6240</v>
      </c>
      <c r="CJ805" s="2">
        <f>SUM(CJ$2:CJ295)+BD295*W295</f>
        <v>38340.000000000058</v>
      </c>
      <c r="CK805" s="2">
        <f>SUM(CK$2:CK295)+BE295*X295</f>
        <v>107080</v>
      </c>
      <c r="CL805" s="2">
        <f>SUM(CL$2:CL295)+BF295*Y295</f>
        <v>204330</v>
      </c>
      <c r="CM805" s="2">
        <f>SUM(CM$2:CM295)+BG295*Z295</f>
        <v>156500</v>
      </c>
      <c r="CN805" s="2">
        <f>SUM(CN$2:CN295)+BH295*AA295</f>
        <v>98602.5</v>
      </c>
      <c r="CO805" s="2">
        <f>SUM(CO$2:CO295)+BI295*AB295</f>
        <v>-7790</v>
      </c>
      <c r="CP805" s="2">
        <f>SUM(CP$2:CP295)+BJ295*AC295</f>
        <v>12370</v>
      </c>
      <c r="CQ805" s="2">
        <f>SUM(CQ$2:CQ295)+BK295*AD295</f>
        <v>22510.000000000007</v>
      </c>
      <c r="CR805" s="2">
        <f>SUM(CR$2:CR295)+BL295*AE295</f>
        <v>-9980</v>
      </c>
      <c r="CV805" t="s">
        <v>64</v>
      </c>
      <c r="CW805" t="s">
        <v>878</v>
      </c>
      <c r="CX805" t="s">
        <v>18</v>
      </c>
      <c r="CY805" s="4">
        <v>43447</v>
      </c>
      <c r="CZ805" t="s">
        <v>67</v>
      </c>
      <c r="DA805" t="s">
        <v>68</v>
      </c>
      <c r="DB805">
        <v>63</v>
      </c>
      <c r="DC805">
        <v>78.459999999999994</v>
      </c>
      <c r="DD805" t="s">
        <v>69</v>
      </c>
      <c r="DE805" t="s">
        <v>70</v>
      </c>
      <c r="DF805">
        <v>4942.9799999999996</v>
      </c>
    </row>
    <row r="806" spans="66:110" x14ac:dyDescent="0.25">
      <c r="BN806" s="1">
        <f t="shared" si="339"/>
        <v>43165</v>
      </c>
      <c r="BO806" s="2">
        <f>SUM(BO$2:BO296)+AI296*B296</f>
        <v>205187.49999999988</v>
      </c>
      <c r="BP806" s="2">
        <f>SUM(BP$2:BP296)+AJ296*C296</f>
        <v>23931.400000000009</v>
      </c>
      <c r="BQ806" s="2">
        <f>SUM(BQ$2:BQ296)+AK296*D296</f>
        <v>216811.89999999994</v>
      </c>
      <c r="BR806" s="2">
        <f>SUM(BR$2:BR296)+AL296*E296</f>
        <v>68416.399999999965</v>
      </c>
      <c r="BS806" s="2">
        <f>SUM(BS$2:BS296)+AM296*F296</f>
        <v>16617.400000000009</v>
      </c>
      <c r="BT806" s="2">
        <f>SUM(BT$2:BT296)+AN296*G296</f>
        <v>2031.7000000000262</v>
      </c>
      <c r="BU806" s="2">
        <f>SUM(BU$2:BU296)+AO296*H296</f>
        <v>411.19999999999709</v>
      </c>
      <c r="BV806" s="2">
        <f>SUM(BV$2:BV296)+AP296*I296</f>
        <v>4180.1999999999825</v>
      </c>
      <c r="BW806" s="2">
        <f>SUM(BW$2:BW296)+AQ296*J296</f>
        <v>28720</v>
      </c>
      <c r="BX806" s="2">
        <f>SUM(BX$2:BX296)+AR296*K296</f>
        <v>13940</v>
      </c>
      <c r="BY806" s="2">
        <f>SUM(BY$2:BY296)+AS296*L296</f>
        <v>-5272.0000000000118</v>
      </c>
      <c r="BZ806" s="2">
        <f>SUM(BZ$2:BZ296)+AT296*M296</f>
        <v>740</v>
      </c>
      <c r="CA806" s="2">
        <f>SUM(CA$2:CA296)+AU296*N296</f>
        <v>15710</v>
      </c>
      <c r="CB806" s="2">
        <f>SUM(CB$2:CB296)+AV296*O296</f>
        <v>26740</v>
      </c>
      <c r="CC806" s="2">
        <f>SUM(CC$2:CC296)+AW296*P296</f>
        <v>-20</v>
      </c>
      <c r="CD806" s="2">
        <f>SUM(CD$2:CD296)+AX296*Q296</f>
        <v>14050</v>
      </c>
      <c r="CE806" s="2">
        <f>SUM(CE$2:CE296)+AY296*R296</f>
        <v>27020</v>
      </c>
      <c r="CF806" s="2">
        <f>SUM(CF$2:CF296)+AZ296*S296</f>
        <v>-3773.7600000000093</v>
      </c>
      <c r="CG806" s="2">
        <f>SUM(CG$2:CG296)+BA296*T296</f>
        <v>31911.429999999971</v>
      </c>
      <c r="CH806" s="2">
        <f>SUM(CH$2:CH296)+BB296*U296</f>
        <v>14359.440000000017</v>
      </c>
      <c r="CI806" s="2">
        <f>SUM(CI$2:CI296)+BC296*V296</f>
        <v>-6010</v>
      </c>
      <c r="CJ806" s="2">
        <f>SUM(CJ$2:CJ296)+BD296*W296</f>
        <v>39640.000000000058</v>
      </c>
      <c r="CK806" s="2">
        <f>SUM(CK$2:CK296)+BE296*X296</f>
        <v>115930</v>
      </c>
      <c r="CL806" s="2">
        <f>SUM(CL$2:CL296)+BF296*Y296</f>
        <v>197820</v>
      </c>
      <c r="CM806" s="2">
        <f>SUM(CM$2:CM296)+BG296*Z296</f>
        <v>155999.99999999988</v>
      </c>
      <c r="CN806" s="2">
        <f>SUM(CN$2:CN296)+BH296*AA296</f>
        <v>95362.5</v>
      </c>
      <c r="CO806" s="2">
        <f>SUM(CO$2:CO296)+BI296*AB296</f>
        <v>-7280</v>
      </c>
      <c r="CP806" s="2">
        <f>SUM(CP$2:CP296)+BJ296*AC296</f>
        <v>13480</v>
      </c>
      <c r="CQ806" s="2">
        <f>SUM(CQ$2:CQ296)+BK296*AD296</f>
        <v>21620.000000000007</v>
      </c>
      <c r="CR806" s="2">
        <f>SUM(CR$2:CR296)+BL296*AE296</f>
        <v>-10060</v>
      </c>
      <c r="CV806" t="s">
        <v>64</v>
      </c>
      <c r="CW806" t="s">
        <v>879</v>
      </c>
      <c r="CX806" t="s">
        <v>18</v>
      </c>
      <c r="CY806" s="4">
        <v>43448</v>
      </c>
      <c r="CZ806" t="s">
        <v>65</v>
      </c>
      <c r="DA806" t="s">
        <v>66</v>
      </c>
      <c r="DB806">
        <v>2</v>
      </c>
      <c r="DC806">
        <v>76.48</v>
      </c>
      <c r="DD806" t="s">
        <v>69</v>
      </c>
      <c r="DE806" t="s">
        <v>70</v>
      </c>
      <c r="DF806">
        <v>152.96</v>
      </c>
    </row>
    <row r="807" spans="66:110" x14ac:dyDescent="0.25">
      <c r="BN807" s="1">
        <f t="shared" si="339"/>
        <v>43166</v>
      </c>
      <c r="BO807" s="2">
        <f>SUM(BO$2:BO297)+AI297*B297</f>
        <v>205187.49999999988</v>
      </c>
      <c r="BP807" s="2">
        <f>SUM(BP$2:BP297)+AJ297*C297</f>
        <v>23411.100000000006</v>
      </c>
      <c r="BQ807" s="2">
        <f>SUM(BQ$2:BQ297)+AK297*D297</f>
        <v>214585.49999999991</v>
      </c>
      <c r="BR807" s="2">
        <f>SUM(BR$2:BR297)+AL297*E297</f>
        <v>65766.499999999971</v>
      </c>
      <c r="BS807" s="2">
        <f>SUM(BS$2:BS297)+AM297*F297</f>
        <v>16508.500000000015</v>
      </c>
      <c r="BT807" s="2">
        <f>SUM(BT$2:BT297)+AN297*G297</f>
        <v>2249.5000000000146</v>
      </c>
      <c r="BU807" s="2">
        <f>SUM(BU$2:BU297)+AO297*H297</f>
        <v>-1198.1000000000058</v>
      </c>
      <c r="BV807" s="2">
        <f>SUM(BV$2:BV297)+AP297*I297</f>
        <v>3515.2999999999884</v>
      </c>
      <c r="BW807" s="2">
        <f>SUM(BW$2:BW297)+AQ297*J297</f>
        <v>27160</v>
      </c>
      <c r="BX807" s="2">
        <f>SUM(BX$2:BX297)+AR297*K297</f>
        <v>13940</v>
      </c>
      <c r="BY807" s="2">
        <f>SUM(BY$2:BY297)+AS297*L297</f>
        <v>-5247.2000000000116</v>
      </c>
      <c r="BZ807" s="2">
        <f>SUM(BZ$2:BZ297)+AT297*M297</f>
        <v>740</v>
      </c>
      <c r="CA807" s="2">
        <f>SUM(CA$2:CA297)+AU297*N297</f>
        <v>16520</v>
      </c>
      <c r="CB807" s="2">
        <f>SUM(CB$2:CB297)+AV297*O297</f>
        <v>26740</v>
      </c>
      <c r="CC807" s="2">
        <f>SUM(CC$2:CC297)+AW297*P297</f>
        <v>-20</v>
      </c>
      <c r="CD807" s="2">
        <f>SUM(CD$2:CD297)+AX297*Q297</f>
        <v>14050</v>
      </c>
      <c r="CE807" s="2">
        <f>SUM(CE$2:CE297)+AY297*R297</f>
        <v>27020</v>
      </c>
      <c r="CF807" s="2">
        <f>SUM(CF$2:CF297)+AZ297*S297</f>
        <v>-3606.2400000000052</v>
      </c>
      <c r="CG807" s="2">
        <f>SUM(CG$2:CG297)+BA297*T297</f>
        <v>32440.089999999975</v>
      </c>
      <c r="CH807" s="2">
        <f>SUM(CH$2:CH297)+BB297*U297</f>
        <v>13315.340000000026</v>
      </c>
      <c r="CI807" s="2">
        <f>SUM(CI$2:CI297)+BC297*V297</f>
        <v>-6060</v>
      </c>
      <c r="CJ807" s="2">
        <f>SUM(CJ$2:CJ297)+BD297*W297</f>
        <v>43790.000000000058</v>
      </c>
      <c r="CK807" s="2">
        <f>SUM(CK$2:CK297)+BE297*X297</f>
        <v>103680</v>
      </c>
      <c r="CL807" s="2">
        <f>SUM(CL$2:CL297)+BF297*Y297</f>
        <v>201060</v>
      </c>
      <c r="CM807" s="2">
        <f>SUM(CM$2:CM297)+BG297*Z297</f>
        <v>152650</v>
      </c>
      <c r="CN807" s="2">
        <f>SUM(CN$2:CN297)+BH297*AA297</f>
        <v>98482.5</v>
      </c>
      <c r="CO807" s="2">
        <f>SUM(CO$2:CO297)+BI297*AB297</f>
        <v>-7430</v>
      </c>
      <c r="CP807" s="2">
        <f>SUM(CP$2:CP297)+BJ297*AC297</f>
        <v>13900</v>
      </c>
      <c r="CQ807" s="2">
        <f>SUM(CQ$2:CQ297)+BK297*AD297</f>
        <v>20330.000000000007</v>
      </c>
      <c r="CR807" s="2">
        <f>SUM(CR$2:CR297)+BL297*AE297</f>
        <v>-11910</v>
      </c>
      <c r="CV807" t="s">
        <v>64</v>
      </c>
      <c r="CW807" t="s">
        <v>880</v>
      </c>
      <c r="CX807" t="s">
        <v>18</v>
      </c>
      <c r="CY807" s="4">
        <v>43451</v>
      </c>
      <c r="CZ807" t="s">
        <v>67</v>
      </c>
      <c r="DA807" t="s">
        <v>68</v>
      </c>
      <c r="DB807">
        <v>5</v>
      </c>
      <c r="DC807">
        <v>75.23</v>
      </c>
      <c r="DD807" t="s">
        <v>69</v>
      </c>
      <c r="DE807" t="s">
        <v>70</v>
      </c>
      <c r="DF807">
        <v>376.15000000000003</v>
      </c>
    </row>
    <row r="808" spans="66:110" x14ac:dyDescent="0.25">
      <c r="BN808" s="1">
        <f t="shared" si="339"/>
        <v>43167</v>
      </c>
      <c r="BO808" s="2">
        <f>SUM(BO$2:BO298)+AI298*B298</f>
        <v>205187.49999999988</v>
      </c>
      <c r="BP808" s="2">
        <f>SUM(BP$2:BP298)+AJ298*C298</f>
        <v>24548.5</v>
      </c>
      <c r="BQ808" s="2">
        <f>SUM(BQ$2:BQ298)+AK298*D298</f>
        <v>216594.09999999995</v>
      </c>
      <c r="BR808" s="2">
        <f>SUM(BR$2:BR298)+AL298*E298</f>
        <v>68222.799999999959</v>
      </c>
      <c r="BS808" s="2">
        <f>SUM(BS$2:BS298)+AM298*F298</f>
        <v>16677.900000000016</v>
      </c>
      <c r="BT808" s="2">
        <f>SUM(BT$2:BT298)+AN298*G298</f>
        <v>1680.8000000000029</v>
      </c>
      <c r="BU808" s="2">
        <f>SUM(BU$2:BU298)+AO298*H298</f>
        <v>-665.70000000001164</v>
      </c>
      <c r="BV808" s="2">
        <f>SUM(BV$2:BV298)+AP298*I298</f>
        <v>3951.2999999999738</v>
      </c>
      <c r="BW808" s="2">
        <f>SUM(BW$2:BW298)+AQ298*J298</f>
        <v>28140</v>
      </c>
      <c r="BX808" s="2">
        <f>SUM(BX$2:BX298)+AR298*K298</f>
        <v>13940</v>
      </c>
      <c r="BY808" s="2">
        <f>SUM(BY$2:BY298)+AS298*L298</f>
        <v>-5267.4000000000115</v>
      </c>
      <c r="BZ808" s="2">
        <f>SUM(BZ$2:BZ298)+AT298*M298</f>
        <v>740</v>
      </c>
      <c r="CA808" s="2">
        <f>SUM(CA$2:CA298)+AU298*N298</f>
        <v>19480</v>
      </c>
      <c r="CB808" s="2">
        <f>SUM(CB$2:CB298)+AV298*O298</f>
        <v>26740</v>
      </c>
      <c r="CC808" s="2">
        <f>SUM(CC$2:CC298)+AW298*P298</f>
        <v>-20</v>
      </c>
      <c r="CD808" s="2">
        <f>SUM(CD$2:CD298)+AX298*Q298</f>
        <v>14050</v>
      </c>
      <c r="CE808" s="2">
        <f>SUM(CE$2:CE298)+AY298*R298</f>
        <v>27020</v>
      </c>
      <c r="CF808" s="2">
        <f>SUM(CF$2:CF298)+AZ298*S298</f>
        <v>-3329.6000000000058</v>
      </c>
      <c r="CG808" s="2">
        <f>SUM(CG$2:CG298)+BA298*T298</f>
        <v>32974.32999999998</v>
      </c>
      <c r="CH808" s="2">
        <f>SUM(CH$2:CH298)+BB298*U298</f>
        <v>14287.190000000024</v>
      </c>
      <c r="CI808" s="2">
        <f>SUM(CI$2:CI298)+BC298*V298</f>
        <v>-6610</v>
      </c>
      <c r="CJ808" s="2">
        <f>SUM(CJ$2:CJ298)+BD298*W298</f>
        <v>39890.000000000058</v>
      </c>
      <c r="CK808" s="2">
        <f>SUM(CK$2:CK298)+BE298*X298</f>
        <v>111080</v>
      </c>
      <c r="CL808" s="2">
        <f>SUM(CL$2:CL298)+BF298*Y298</f>
        <v>195720</v>
      </c>
      <c r="CM808" s="2">
        <f>SUM(CM$2:CM298)+BG298*Z298</f>
        <v>154300.00000000012</v>
      </c>
      <c r="CN808" s="2">
        <f>SUM(CN$2:CN298)+BH298*AA298</f>
        <v>100332.5</v>
      </c>
      <c r="CO808" s="2">
        <f>SUM(CO$2:CO298)+BI298*AB298</f>
        <v>-6950</v>
      </c>
      <c r="CP808" s="2">
        <f>SUM(CP$2:CP298)+BJ298*AC298</f>
        <v>14680</v>
      </c>
      <c r="CQ808" s="2">
        <f>SUM(CQ$2:CQ298)+BK298*AD298</f>
        <v>21010.000000000007</v>
      </c>
      <c r="CR808" s="2">
        <f>SUM(CR$2:CR298)+BL298*AE298</f>
        <v>-12040</v>
      </c>
      <c r="CV808" t="s">
        <v>64</v>
      </c>
      <c r="CW808" t="s">
        <v>881</v>
      </c>
      <c r="CX808" t="s">
        <v>18</v>
      </c>
      <c r="CY808" s="4">
        <v>43452</v>
      </c>
      <c r="CZ808" t="s">
        <v>65</v>
      </c>
      <c r="DA808" t="s">
        <v>66</v>
      </c>
      <c r="DB808">
        <v>35</v>
      </c>
      <c r="DC808">
        <v>74.33</v>
      </c>
      <c r="DD808" t="s">
        <v>69</v>
      </c>
      <c r="DE808" t="s">
        <v>70</v>
      </c>
      <c r="DF808">
        <v>2601.5499999999997</v>
      </c>
    </row>
    <row r="809" spans="66:110" x14ac:dyDescent="0.25">
      <c r="BN809" s="1">
        <f t="shared" si="339"/>
        <v>43168</v>
      </c>
      <c r="BO809" s="2">
        <f>SUM(BO$2:BO299)+AI299*B299</f>
        <v>205187.49999999988</v>
      </c>
      <c r="BP809" s="2">
        <f>SUM(BP$2:BP299)+AJ299*C299</f>
        <v>27500.900000000009</v>
      </c>
      <c r="BQ809" s="2">
        <f>SUM(BQ$2:BQ299)+AK299*D299</f>
        <v>223466.89999999994</v>
      </c>
      <c r="BR809" s="2">
        <f>SUM(BR$2:BR299)+AL299*E299</f>
        <v>73728.29999999993</v>
      </c>
      <c r="BS809" s="2">
        <f>SUM(BS$2:BS299)+AM299*F299</f>
        <v>17887.900000000016</v>
      </c>
      <c r="BT809" s="2">
        <f>SUM(BT$2:BT299)+AN299*G299</f>
        <v>6182.0000000000146</v>
      </c>
      <c r="BU809" s="2">
        <f>SUM(BU$2:BU299)+AO299*H299</f>
        <v>169.19999999999709</v>
      </c>
      <c r="BV809" s="2">
        <f>SUM(BV$2:BV299)+AP299*I299</f>
        <v>5717.0999999999767</v>
      </c>
      <c r="BW809" s="2">
        <f>SUM(BW$2:BW299)+AQ299*J299</f>
        <v>32520</v>
      </c>
      <c r="BX809" s="2">
        <f>SUM(BX$2:BX299)+AR299*K299</f>
        <v>13940</v>
      </c>
      <c r="BY809" s="2">
        <f>SUM(BY$2:BY299)+AS299*L299</f>
        <v>-5237.800000000012</v>
      </c>
      <c r="BZ809" s="2">
        <f>SUM(BZ$2:BZ299)+AT299*M299</f>
        <v>740</v>
      </c>
      <c r="CA809" s="2">
        <f>SUM(CA$2:CA299)+AU299*N299</f>
        <v>21180</v>
      </c>
      <c r="CB809" s="2">
        <f>SUM(CB$2:CB299)+AV299*O299</f>
        <v>26740</v>
      </c>
      <c r="CC809" s="2">
        <f>SUM(CC$2:CC299)+AW299*P299</f>
        <v>-20</v>
      </c>
      <c r="CD809" s="2">
        <f>SUM(CD$2:CD299)+AX299*Q299</f>
        <v>14050</v>
      </c>
      <c r="CE809" s="2">
        <f>SUM(CE$2:CE299)+AY299*R299</f>
        <v>27020</v>
      </c>
      <c r="CF809" s="2">
        <f>SUM(CF$2:CF299)+AZ299*S299</f>
        <v>-2964.7800000000061</v>
      </c>
      <c r="CG809" s="2">
        <f>SUM(CG$2:CG299)+BA299*T299</f>
        <v>34939.929999999964</v>
      </c>
      <c r="CH809" s="2">
        <f>SUM(CH$2:CH299)+BB299*U299</f>
        <v>15461.29000000003</v>
      </c>
      <c r="CI809" s="2">
        <f>SUM(CI$2:CI299)+BC299*V299</f>
        <v>-6870</v>
      </c>
      <c r="CJ809" s="2">
        <f>SUM(CJ$2:CJ299)+BD299*W299</f>
        <v>38340.000000000058</v>
      </c>
      <c r="CK809" s="2">
        <f>SUM(CK$2:CK299)+BE299*X299</f>
        <v>123980</v>
      </c>
      <c r="CL809" s="2">
        <f>SUM(CL$2:CL299)+BF299*Y299</f>
        <v>197820</v>
      </c>
      <c r="CM809" s="2">
        <f>SUM(CM$2:CM299)+BG299*Z299</f>
        <v>168000</v>
      </c>
      <c r="CN809" s="2">
        <f>SUM(CN$2:CN299)+BH299*AA299</f>
        <v>111732.5</v>
      </c>
      <c r="CO809" s="2">
        <f>SUM(CO$2:CO299)+BI299*AB299</f>
        <v>-6950</v>
      </c>
      <c r="CP809" s="2">
        <f>SUM(CP$2:CP299)+BJ299*AC299</f>
        <v>12294.999999999985</v>
      </c>
      <c r="CQ809" s="2">
        <f>SUM(CQ$2:CQ299)+BK299*AD299</f>
        <v>21800.000000000007</v>
      </c>
      <c r="CR809" s="2">
        <f>SUM(CR$2:CR299)+BL299*AE299</f>
        <v>-11620</v>
      </c>
      <c r="CV809" t="s">
        <v>64</v>
      </c>
      <c r="CW809" t="s">
        <v>882</v>
      </c>
      <c r="CX809" t="s">
        <v>18</v>
      </c>
      <c r="CY809" s="4">
        <v>43453</v>
      </c>
      <c r="CZ809" t="s">
        <v>65</v>
      </c>
      <c r="DA809" t="s">
        <v>66</v>
      </c>
      <c r="DB809">
        <v>28</v>
      </c>
      <c r="DC809">
        <v>73.77</v>
      </c>
      <c r="DD809" t="s">
        <v>69</v>
      </c>
      <c r="DE809" t="s">
        <v>70</v>
      </c>
      <c r="DF809">
        <v>2065.56</v>
      </c>
    </row>
    <row r="810" spans="66:110" x14ac:dyDescent="0.25">
      <c r="BN810" s="1">
        <f t="shared" si="339"/>
        <v>43171</v>
      </c>
      <c r="BO810" s="2">
        <f>SUM(BO$2:BO300)+AI300*B300</f>
        <v>205187.49999999988</v>
      </c>
      <c r="BP810" s="2">
        <f>SUM(BP$2:BP300)+AJ300*C300</f>
        <v>25843.200000000012</v>
      </c>
      <c r="BQ810" s="2">
        <f>SUM(BQ$2:BQ300)+AK300*D300</f>
        <v>211209.59999999995</v>
      </c>
      <c r="BR810" s="2">
        <f>SUM(BR$2:BR300)+AL300*E300</f>
        <v>69299.699999999953</v>
      </c>
      <c r="BS810" s="2">
        <f>SUM(BS$2:BS300)+AM300*F300</f>
        <v>18093.600000000006</v>
      </c>
      <c r="BT810" s="2">
        <f>SUM(BT$2:BT300)+AN300*G300</f>
        <v>5685.9000000000087</v>
      </c>
      <c r="BU810" s="2">
        <f>SUM(BU$2:BU300)+AO300*H300</f>
        <v>689.5</v>
      </c>
      <c r="BV810" s="2">
        <f>SUM(BV$2:BV300)+AP300*I300</f>
        <v>4768.7999999999738</v>
      </c>
      <c r="BW810" s="2">
        <f>SUM(BW$2:BW300)+AQ300*J300</f>
        <v>35100</v>
      </c>
      <c r="BX810" s="2">
        <f>SUM(BX$2:BX300)+AR300*K300</f>
        <v>13940</v>
      </c>
      <c r="BY810" s="2">
        <f>SUM(BY$2:BY300)+AS300*L300</f>
        <v>-5228.7000000000116</v>
      </c>
      <c r="BZ810" s="2">
        <f>SUM(BZ$2:BZ300)+AT300*M300</f>
        <v>740</v>
      </c>
      <c r="CA810" s="2">
        <f>SUM(CA$2:CA300)+AU300*N300</f>
        <v>20029.999999999985</v>
      </c>
      <c r="CB810" s="2">
        <f>SUM(CB$2:CB300)+AV300*O300</f>
        <v>26740</v>
      </c>
      <c r="CC810" s="2">
        <f>SUM(CC$2:CC300)+AW300*P300</f>
        <v>-20</v>
      </c>
      <c r="CD810" s="2">
        <f>SUM(CD$2:CD300)+AX300*Q300</f>
        <v>14050</v>
      </c>
      <c r="CE810" s="2">
        <f>SUM(CE$2:CE300)+AY300*R300</f>
        <v>27020</v>
      </c>
      <c r="CF810" s="2">
        <f>SUM(CF$2:CF300)+AZ300*S300</f>
        <v>-2744.9100000000035</v>
      </c>
      <c r="CG810" s="2">
        <f>SUM(CG$2:CG300)+BA300*T300</f>
        <v>35170.15999999996</v>
      </c>
      <c r="CH810" s="2">
        <f>SUM(CH$2:CH300)+BB300*U300</f>
        <v>15933.040000000015</v>
      </c>
      <c r="CI810" s="2">
        <f>SUM(CI$2:CI300)+BC300*V300</f>
        <v>-6720</v>
      </c>
      <c r="CJ810" s="2">
        <f>SUM(CJ$2:CJ300)+BD300*W300</f>
        <v>40390.000000000058</v>
      </c>
      <c r="CK810" s="2">
        <f>SUM(CK$2:CK300)+BE300*X300</f>
        <v>120030</v>
      </c>
      <c r="CL810" s="2">
        <f>SUM(CL$2:CL300)+BF300*Y300</f>
        <v>189900</v>
      </c>
      <c r="CM810" s="2">
        <f>SUM(CM$2:CM300)+BG300*Z300</f>
        <v>155450</v>
      </c>
      <c r="CN810" s="2">
        <f>SUM(CN$2:CN300)+BH300*AA300</f>
        <v>110382.5</v>
      </c>
      <c r="CO810" s="2">
        <f>SUM(CO$2:CO300)+BI300*AB300</f>
        <v>-7550</v>
      </c>
      <c r="CP810" s="2">
        <f>SUM(CP$2:CP300)+BJ300*AC300</f>
        <v>12955.000000000015</v>
      </c>
      <c r="CQ810" s="2">
        <f>SUM(CQ$2:CQ300)+BK300*AD300</f>
        <v>21160.000000000007</v>
      </c>
      <c r="CR810" s="2">
        <f>SUM(CR$2:CR300)+BL300*AE300</f>
        <v>-10970</v>
      </c>
      <c r="CV810" t="s">
        <v>64</v>
      </c>
      <c r="CW810" t="s">
        <v>883</v>
      </c>
      <c r="CX810" t="s">
        <v>18</v>
      </c>
      <c r="CY810" s="4">
        <v>43454</v>
      </c>
      <c r="CZ810" t="s">
        <v>67</v>
      </c>
      <c r="DA810" t="s">
        <v>68</v>
      </c>
      <c r="DB810">
        <v>34</v>
      </c>
      <c r="DC810">
        <v>73.489999999999995</v>
      </c>
      <c r="DD810" t="s">
        <v>69</v>
      </c>
      <c r="DE810" t="s">
        <v>70</v>
      </c>
      <c r="DF810">
        <v>2498.66</v>
      </c>
    </row>
    <row r="811" spans="66:110" x14ac:dyDescent="0.25">
      <c r="BN811" s="1">
        <f t="shared" si="339"/>
        <v>43172</v>
      </c>
      <c r="BO811" s="2">
        <f>SUM(BO$2:BO301)+AI301*B301</f>
        <v>205187.49999999988</v>
      </c>
      <c r="BP811" s="2">
        <f>SUM(BP$2:BP301)+AJ301*C301</f>
        <v>23096.500000000015</v>
      </c>
      <c r="BQ811" s="2">
        <f>SUM(BQ$2:BQ301)+AK301*D301</f>
        <v>204651.39999999994</v>
      </c>
      <c r="BR811" s="2">
        <f>SUM(BR$2:BR301)+AL301*E301</f>
        <v>68343.799999999959</v>
      </c>
      <c r="BS811" s="2">
        <f>SUM(BS$2:BS301)+AM301*F301</f>
        <v>17645.900000000009</v>
      </c>
      <c r="BT811" s="2">
        <f>SUM(BT$2:BT301)+AN301*G301</f>
        <v>5298.7000000000262</v>
      </c>
      <c r="BU811" s="2">
        <f>SUM(BU$2:BU301)+AO301*H301</f>
        <v>-1028.6999999999971</v>
      </c>
      <c r="BV811" s="2">
        <f>SUM(BV$2:BV301)+AP301*I301</f>
        <v>3940.3999999999942</v>
      </c>
      <c r="BW811" s="2">
        <f>SUM(BW$2:BW301)+AQ301*J301</f>
        <v>30300</v>
      </c>
      <c r="BX811" s="2">
        <f>SUM(BX$2:BX301)+AR301*K301</f>
        <v>13940</v>
      </c>
      <c r="BY811" s="2">
        <f>SUM(BY$2:BY301)+AS301*L301</f>
        <v>-5237.7000000000116</v>
      </c>
      <c r="BZ811" s="2">
        <f>SUM(BZ$2:BZ301)+AT301*M301</f>
        <v>740</v>
      </c>
      <c r="CA811" s="2">
        <f>SUM(CA$2:CA301)+AU301*N301</f>
        <v>21720</v>
      </c>
      <c r="CB811" s="2">
        <f>SUM(CB$2:CB301)+AV301*O301</f>
        <v>26740</v>
      </c>
      <c r="CC811" s="2">
        <f>SUM(CC$2:CC301)+AW301*P301</f>
        <v>-20</v>
      </c>
      <c r="CD811" s="2">
        <f>SUM(CD$2:CD301)+AX301*Q301</f>
        <v>14050</v>
      </c>
      <c r="CE811" s="2">
        <f>SUM(CE$2:CE301)+AY301*R301</f>
        <v>27020</v>
      </c>
      <c r="CF811" s="2">
        <f>SUM(CF$2:CF301)+AZ301*S301</f>
        <v>-2735.2500000000073</v>
      </c>
      <c r="CG811" s="2">
        <f>SUM(CG$2:CG301)+BA301*T301</f>
        <v>32833.169999999969</v>
      </c>
      <c r="CH811" s="2">
        <f>SUM(CH$2:CH301)+BB301*U301</f>
        <v>15298.800000000017</v>
      </c>
      <c r="CI811" s="2">
        <f>SUM(CI$2:CI301)+BC301*V301</f>
        <v>-6850</v>
      </c>
      <c r="CJ811" s="2">
        <f>SUM(CJ$2:CJ301)+BD301*W301</f>
        <v>41090.000000000058</v>
      </c>
      <c r="CK811" s="2">
        <f>SUM(CK$2:CK301)+BE301*X301</f>
        <v>116080</v>
      </c>
      <c r="CL811" s="2">
        <f>SUM(CL$2:CL301)+BF301*Y301</f>
        <v>202290</v>
      </c>
      <c r="CM811" s="2">
        <f>SUM(CM$2:CM301)+BG301*Z301</f>
        <v>148850</v>
      </c>
      <c r="CN811" s="2">
        <f>SUM(CN$2:CN301)+BH301*AA301</f>
        <v>106742.5</v>
      </c>
      <c r="CO811" s="2">
        <f>SUM(CO$2:CO301)+BI301*AB301</f>
        <v>-7970</v>
      </c>
      <c r="CP811" s="2">
        <f>SUM(CP$2:CP301)+BJ301*AC301</f>
        <v>13375.000000000015</v>
      </c>
      <c r="CQ811" s="2">
        <f>SUM(CQ$2:CQ301)+BK301*AD301</f>
        <v>21390.000000000007</v>
      </c>
      <c r="CR811" s="2">
        <f>SUM(CR$2:CR301)+BL301*AE301</f>
        <v>-11650</v>
      </c>
      <c r="CV811" t="s">
        <v>64</v>
      </c>
      <c r="CW811" t="s">
        <v>884</v>
      </c>
      <c r="CX811" t="s">
        <v>18</v>
      </c>
      <c r="CY811" s="4">
        <v>43455</v>
      </c>
      <c r="CZ811" t="s">
        <v>65</v>
      </c>
      <c r="DA811" t="s">
        <v>66</v>
      </c>
      <c r="DB811">
        <v>49</v>
      </c>
      <c r="DC811">
        <v>72.900000000000006</v>
      </c>
      <c r="DD811" t="s">
        <v>69</v>
      </c>
      <c r="DE811" t="s">
        <v>70</v>
      </c>
      <c r="DF811">
        <v>3572.1000000000004</v>
      </c>
    </row>
    <row r="812" spans="66:110" x14ac:dyDescent="0.25">
      <c r="BN812" s="1">
        <f t="shared" si="339"/>
        <v>43173</v>
      </c>
      <c r="BO812" s="2">
        <f>SUM(BO$2:BO302)+AI302*B302</f>
        <v>205187.49999999988</v>
      </c>
      <c r="BP812" s="2">
        <f>SUM(BP$2:BP302)+AJ302*C302</f>
        <v>22092.199999999997</v>
      </c>
      <c r="BQ812" s="2">
        <f>SUM(BQ$2:BQ302)+AK302*D302</f>
        <v>194668.89999999994</v>
      </c>
      <c r="BR812" s="2">
        <f>SUM(BR$2:BR302)+AL302*E302</f>
        <v>66988.599999999948</v>
      </c>
      <c r="BS812" s="2">
        <f>SUM(BS$2:BS302)+AM302*F302</f>
        <v>17779.000000000015</v>
      </c>
      <c r="BT812" s="2">
        <f>SUM(BT$2:BT302)+AN302*G302</f>
        <v>3749.9000000000087</v>
      </c>
      <c r="BU812" s="2">
        <f>SUM(BU$2:BU302)+AO302*H302</f>
        <v>-823</v>
      </c>
      <c r="BV812" s="2">
        <f>SUM(BV$2:BV302)+AP302*I302</f>
        <v>2250.8999999999942</v>
      </c>
      <c r="BW812" s="2">
        <f>SUM(BW$2:BW302)+AQ302*J302</f>
        <v>26250</v>
      </c>
      <c r="BX812" s="2">
        <f>SUM(BX$2:BX302)+AR302*K302</f>
        <v>13940</v>
      </c>
      <c r="BY812" s="2">
        <f>SUM(BY$2:BY302)+AS302*L302</f>
        <v>-5249.1000000000113</v>
      </c>
      <c r="BZ812" s="2">
        <f>SUM(BZ$2:BZ302)+AT302*M302</f>
        <v>740</v>
      </c>
      <c r="CA812" s="2">
        <f>SUM(CA$2:CA302)+AU302*N302</f>
        <v>19730</v>
      </c>
      <c r="CB812" s="2">
        <f>SUM(CB$2:CB302)+AV302*O302</f>
        <v>26740</v>
      </c>
      <c r="CC812" s="2">
        <f>SUM(CC$2:CC302)+AW302*P302</f>
        <v>-20</v>
      </c>
      <c r="CD812" s="2">
        <f>SUM(CD$2:CD302)+AX302*Q302</f>
        <v>14050</v>
      </c>
      <c r="CE812" s="2">
        <f>SUM(CE$2:CE302)+AY302*R302</f>
        <v>27020</v>
      </c>
      <c r="CF812" s="2">
        <f>SUM(CF$2:CF302)+AZ302*S302</f>
        <v>-2814.7700000000114</v>
      </c>
      <c r="CG812" s="2">
        <f>SUM(CG$2:CG302)+BA302*T302</f>
        <v>32283.169999999969</v>
      </c>
      <c r="CH812" s="2">
        <f>SUM(CH$2:CH302)+BB302*U302</f>
        <v>15328.860000000015</v>
      </c>
      <c r="CI812" s="2">
        <f>SUM(CI$2:CI302)+BC302*V302</f>
        <v>-6460</v>
      </c>
      <c r="CJ812" s="2">
        <f>SUM(CJ$2:CJ302)+BD302*W302</f>
        <v>44540</v>
      </c>
      <c r="CK812" s="2">
        <f>SUM(CK$2:CK302)+BE302*X302</f>
        <v>110330</v>
      </c>
      <c r="CL812" s="2">
        <f>SUM(CL$2:CL302)+BF302*Y302</f>
        <v>197670</v>
      </c>
      <c r="CM812" s="2">
        <f>SUM(CM$2:CM302)+BG302*Z302</f>
        <v>146050</v>
      </c>
      <c r="CN812" s="2">
        <f>SUM(CN$2:CN302)+BH302*AA302</f>
        <v>106132.5</v>
      </c>
      <c r="CO812" s="2">
        <f>SUM(CO$2:CO302)+BI302*AB302</f>
        <v>-8540</v>
      </c>
      <c r="CP812" s="2">
        <f>SUM(CP$2:CP302)+BJ302*AC302</f>
        <v>15294.999999999985</v>
      </c>
      <c r="CQ812" s="2">
        <f>SUM(CQ$2:CQ302)+BK302*AD302</f>
        <v>20770.000000000007</v>
      </c>
      <c r="CR812" s="2">
        <f>SUM(CR$2:CR302)+BL302*AE302</f>
        <v>-12540</v>
      </c>
      <c r="CV812" t="s">
        <v>64</v>
      </c>
      <c r="CW812" t="s">
        <v>885</v>
      </c>
      <c r="CX812" t="s">
        <v>18</v>
      </c>
      <c r="CY812" s="4">
        <v>43458</v>
      </c>
      <c r="CZ812" t="s">
        <v>67</v>
      </c>
      <c r="DA812" t="s">
        <v>68</v>
      </c>
      <c r="DB812">
        <v>44</v>
      </c>
      <c r="DC812">
        <v>71.150000000000006</v>
      </c>
      <c r="DD812" t="s">
        <v>69</v>
      </c>
      <c r="DE812" t="s">
        <v>70</v>
      </c>
      <c r="DF812">
        <v>3130.6000000000004</v>
      </c>
    </row>
    <row r="813" spans="66:110" x14ac:dyDescent="0.25">
      <c r="BN813" s="1">
        <f t="shared" si="339"/>
        <v>43174</v>
      </c>
      <c r="BO813" s="2">
        <f>SUM(BO$2:BO303)+AI303*B303</f>
        <v>205187.49999999988</v>
      </c>
      <c r="BP813" s="2">
        <f>SUM(BP$2:BP303)+AJ303*C303</f>
        <v>21922.800000000003</v>
      </c>
      <c r="BQ813" s="2">
        <f>SUM(BQ$2:BQ303)+AK303*D303</f>
        <v>194342.19999999992</v>
      </c>
      <c r="BR813" s="2">
        <f>SUM(BR$2:BR303)+AL303*E303</f>
        <v>69384.399999999936</v>
      </c>
      <c r="BS813" s="2">
        <f>SUM(BS$2:BS303)+AM303*F303</f>
        <v>17839.500000000007</v>
      </c>
      <c r="BT813" s="2">
        <f>SUM(BT$2:BT303)+AN303*G303</f>
        <v>4282.3000000000029</v>
      </c>
      <c r="BU813" s="2">
        <f>SUM(BU$2:BU303)+AO303*H303</f>
        <v>-1609.5000000000146</v>
      </c>
      <c r="BV813" s="2">
        <f>SUM(BV$2:BV303)+AP303*I303</f>
        <v>1062.7999999999884</v>
      </c>
      <c r="BW813" s="2">
        <f>SUM(BW$2:BW303)+AQ303*J303</f>
        <v>28410</v>
      </c>
      <c r="BX813" s="2">
        <f>SUM(BX$2:BX303)+AR303*K303</f>
        <v>13940</v>
      </c>
      <c r="BY813" s="2">
        <f>SUM(BY$2:BY303)+AS303*L303</f>
        <v>-5234.9000000000115</v>
      </c>
      <c r="BZ813" s="2">
        <f>SUM(BZ$2:BZ303)+AT303*M303</f>
        <v>740</v>
      </c>
      <c r="CA813" s="2">
        <f>SUM(CA$2:CA303)+AU303*N303</f>
        <v>20460</v>
      </c>
      <c r="CB813" s="2">
        <f>SUM(CB$2:CB303)+AV303*O303</f>
        <v>26740</v>
      </c>
      <c r="CC813" s="2">
        <f>SUM(CC$2:CC303)+AW303*P303</f>
        <v>-20</v>
      </c>
      <c r="CD813" s="2">
        <f>SUM(CD$2:CD303)+AX303*Q303</f>
        <v>14050</v>
      </c>
      <c r="CE813" s="2">
        <f>SUM(CE$2:CE303)+AY303*R303</f>
        <v>27020</v>
      </c>
      <c r="CF813" s="2">
        <f>SUM(CF$2:CF303)+AZ303*S303</f>
        <v>-2369.0500000000102</v>
      </c>
      <c r="CG813" s="2">
        <f>SUM(CG$2:CG303)+BA303*T303</f>
        <v>32577.569999999978</v>
      </c>
      <c r="CH813" s="2">
        <f>SUM(CH$2:CH303)+BB303*U303</f>
        <v>15532.540000000023</v>
      </c>
      <c r="CI813" s="2">
        <f>SUM(CI$2:CI303)+BC303*V303</f>
        <v>-6690</v>
      </c>
      <c r="CJ813" s="2">
        <f>SUM(CJ$2:CJ303)+BD303*W303</f>
        <v>46140.000000000058</v>
      </c>
      <c r="CK813" s="2">
        <f>SUM(CK$2:CK303)+BE303*X303</f>
        <v>115030</v>
      </c>
      <c r="CL813" s="2">
        <f>SUM(CL$2:CL303)+BF303*Y303</f>
        <v>209850</v>
      </c>
      <c r="CM813" s="2">
        <f>SUM(CM$2:CM303)+BG303*Z303</f>
        <v>144450</v>
      </c>
      <c r="CN813" s="2">
        <f>SUM(CN$2:CN303)+BH303*AA303</f>
        <v>106132.5</v>
      </c>
      <c r="CO813" s="2">
        <f>SUM(CO$2:CO303)+BI303*AB303</f>
        <v>-8990</v>
      </c>
      <c r="CP813" s="2">
        <f>SUM(CP$2:CP303)+BJ303*AC303</f>
        <v>17004.999999999985</v>
      </c>
      <c r="CQ813" s="2">
        <f>SUM(CQ$2:CQ303)+BK303*AD303</f>
        <v>20610.000000000007</v>
      </c>
      <c r="CR813" s="2">
        <f>SUM(CR$2:CR303)+BL303*AE303</f>
        <v>-11750</v>
      </c>
      <c r="CV813" t="s">
        <v>64</v>
      </c>
      <c r="CW813" t="s">
        <v>886</v>
      </c>
      <c r="CX813" t="s">
        <v>18</v>
      </c>
      <c r="CY813" s="4">
        <v>43460</v>
      </c>
      <c r="CZ813" t="s">
        <v>65</v>
      </c>
      <c r="DA813" t="s">
        <v>66</v>
      </c>
      <c r="DB813">
        <v>55</v>
      </c>
      <c r="DC813">
        <v>74</v>
      </c>
      <c r="DD813" t="s">
        <v>69</v>
      </c>
      <c r="DE813" t="s">
        <v>70</v>
      </c>
      <c r="DF813">
        <v>4070</v>
      </c>
    </row>
    <row r="814" spans="66:110" x14ac:dyDescent="0.25">
      <c r="BN814" s="1">
        <f t="shared" si="339"/>
        <v>43175</v>
      </c>
      <c r="BO814" s="2">
        <f>SUM(BO$2:BO304)+AI304*B304</f>
        <v>205187.49999999988</v>
      </c>
      <c r="BP814" s="2">
        <f>SUM(BP$2:BP304)+AJ304*C304</f>
        <v>23374.800000000003</v>
      </c>
      <c r="BQ814" s="2">
        <f>SUM(BQ$2:BQ304)+AK304*D304</f>
        <v>194922.99999999991</v>
      </c>
      <c r="BR814" s="2">
        <f>SUM(BR$2:BR304)+AL304*E304</f>
        <v>71610.79999999993</v>
      </c>
      <c r="BS814" s="2">
        <f>SUM(BS$2:BS304)+AM304*F304</f>
        <v>17464.400000000016</v>
      </c>
      <c r="BT814" s="2">
        <f>SUM(BT$2:BT304)+AN304*G304</f>
        <v>4064.5000000000146</v>
      </c>
      <c r="BU814" s="2">
        <f>SUM(BU$2:BU304)+AO304*H304</f>
        <v>-2057.1999999999971</v>
      </c>
      <c r="BV814" s="2">
        <f>SUM(BV$2:BV304)+AP304*I304</f>
        <v>1149.9999999999854</v>
      </c>
      <c r="BW814" s="2">
        <f>SUM(BW$2:BW304)+AQ304*J304</f>
        <v>29380</v>
      </c>
      <c r="BX814" s="2">
        <f>SUM(BX$2:BX304)+AR304*K304</f>
        <v>13940</v>
      </c>
      <c r="BY814" s="2">
        <f>SUM(BY$2:BY304)+AS304*L304</f>
        <v>-5228.7000000000116</v>
      </c>
      <c r="BZ814" s="2">
        <f>SUM(BZ$2:BZ304)+AT304*M304</f>
        <v>740</v>
      </c>
      <c r="CA814" s="2">
        <f>SUM(CA$2:CA304)+AU304*N304</f>
        <v>21059.999999999985</v>
      </c>
      <c r="CB814" s="2">
        <f>SUM(CB$2:CB304)+AV304*O304</f>
        <v>26740</v>
      </c>
      <c r="CC814" s="2">
        <f>SUM(CC$2:CC304)+AW304*P304</f>
        <v>-20</v>
      </c>
      <c r="CD814" s="2">
        <f>SUM(CD$2:CD304)+AX304*Q304</f>
        <v>14050</v>
      </c>
      <c r="CE814" s="2">
        <f>SUM(CE$2:CE304)+AY304*R304</f>
        <v>27020</v>
      </c>
      <c r="CF814" s="2">
        <f>SUM(CF$2:CF304)+AZ304*S304</f>
        <v>-1938.9600000000064</v>
      </c>
      <c r="CG814" s="2">
        <f>SUM(CG$2:CG304)+BA304*T304</f>
        <v>32990.849999999977</v>
      </c>
      <c r="CH814" s="2">
        <f>SUM(CH$2:CH304)+BB304*U304</f>
        <v>15043.420000000035</v>
      </c>
      <c r="CI814" s="2">
        <f>SUM(CI$2:CI304)+BC304*V304</f>
        <v>-6880</v>
      </c>
      <c r="CJ814" s="2">
        <f>SUM(CJ$2:CJ304)+BD304*W304</f>
        <v>44690.000000000058</v>
      </c>
      <c r="CK814" s="2">
        <f>SUM(CK$2:CK304)+BE304*X304</f>
        <v>119180</v>
      </c>
      <c r="CL814" s="2">
        <f>SUM(CL$2:CL304)+BF304*Y304</f>
        <v>205020</v>
      </c>
      <c r="CM814" s="2">
        <f>SUM(CM$2:CM304)+BG304*Z304</f>
        <v>139950</v>
      </c>
      <c r="CN814" s="2">
        <f>SUM(CN$2:CN304)+BH304*AA304</f>
        <v>106132.5</v>
      </c>
      <c r="CO814" s="2">
        <f>SUM(CO$2:CO304)+BI304*AB304</f>
        <v>-8240</v>
      </c>
      <c r="CP814" s="2">
        <f>SUM(CP$2:CP304)+BJ304*AC304</f>
        <v>16735</v>
      </c>
      <c r="CQ814" s="2">
        <f>SUM(CQ$2:CQ304)+BK304*AD304</f>
        <v>22240.000000000007</v>
      </c>
      <c r="CR814" s="2">
        <f>SUM(CR$2:CR304)+BL304*AE304</f>
        <v>-11080</v>
      </c>
      <c r="CV814" t="s">
        <v>64</v>
      </c>
      <c r="CW814" t="s">
        <v>887</v>
      </c>
      <c r="CX814" t="s">
        <v>18</v>
      </c>
      <c r="CY814" s="4">
        <v>43461</v>
      </c>
      <c r="CZ814" t="s">
        <v>67</v>
      </c>
      <c r="DA814" t="s">
        <v>68</v>
      </c>
      <c r="DB814">
        <v>10</v>
      </c>
      <c r="DC814">
        <v>75.38</v>
      </c>
      <c r="DD814" t="s">
        <v>69</v>
      </c>
      <c r="DE814" t="s">
        <v>70</v>
      </c>
      <c r="DF814">
        <v>753.8</v>
      </c>
    </row>
    <row r="815" spans="66:110" x14ac:dyDescent="0.25">
      <c r="BN815" s="1">
        <f t="shared" si="339"/>
        <v>43178</v>
      </c>
      <c r="BO815" s="2">
        <f>SUM(BO$2:BO305)+AI305*B305</f>
        <v>191787.49999999977</v>
      </c>
      <c r="BP815" s="2">
        <f>SUM(BP$2:BP305)+AJ305*C305</f>
        <v>22455.200000000012</v>
      </c>
      <c r="BQ815" s="2">
        <f>SUM(BQ$2:BQ305)+AK305*D305</f>
        <v>196459.69999999992</v>
      </c>
      <c r="BR815" s="2">
        <f>SUM(BR$2:BR305)+AL305*E305</f>
        <v>66528.799999999959</v>
      </c>
      <c r="BS815" s="2">
        <f>SUM(BS$2:BS305)+AM305*F305</f>
        <v>16593.200000000012</v>
      </c>
      <c r="BT815" s="2">
        <f>SUM(BT$2:BT305)+AN305*G305</f>
        <v>2310.0000000000146</v>
      </c>
      <c r="BU815" s="2">
        <f>SUM(BU$2:BU305)+AO305*H305</f>
        <v>-3702.8000000000029</v>
      </c>
      <c r="BV815" s="2">
        <f>SUM(BV$2:BV305)+AP305*I305</f>
        <v>-343.30000000001746</v>
      </c>
      <c r="BW815" s="2">
        <f>SUM(BW$2:BW305)+AQ305*J305</f>
        <v>24370</v>
      </c>
      <c r="BX815" s="2">
        <f>SUM(BX$2:BX305)+AR305*K305</f>
        <v>13940</v>
      </c>
      <c r="BY815" s="2">
        <f>SUM(BY$2:BY305)+AS305*L305</f>
        <v>-5256.5000000000118</v>
      </c>
      <c r="BZ815" s="2">
        <f>SUM(BZ$2:BZ305)+AT305*M305</f>
        <v>740</v>
      </c>
      <c r="CA815" s="2">
        <f>SUM(CA$2:CA305)+AU305*N305</f>
        <v>17690</v>
      </c>
      <c r="CB815" s="2">
        <f>SUM(CB$2:CB305)+AV305*O305</f>
        <v>26740</v>
      </c>
      <c r="CC815" s="2">
        <f>SUM(CC$2:CC305)+AW305*P305</f>
        <v>-20</v>
      </c>
      <c r="CD815" s="2">
        <f>SUM(CD$2:CD305)+AX305*Q305</f>
        <v>14050</v>
      </c>
      <c r="CE815" s="2">
        <f>SUM(CE$2:CE305)+AY305*R305</f>
        <v>27020</v>
      </c>
      <c r="CF815" s="2">
        <f>SUM(CF$2:CF305)+AZ305*S305</f>
        <v>-2935.5000000000146</v>
      </c>
      <c r="CG815" s="2">
        <f>SUM(CG$2:CG305)+BA305*T305</f>
        <v>31155.509999999951</v>
      </c>
      <c r="CH815" s="2">
        <f>SUM(CH$2:CH305)+BB305*U305</f>
        <v>14823.620000000032</v>
      </c>
      <c r="CI815" s="2">
        <f>SUM(CI$2:CI305)+BC305*V305</f>
        <v>-6450</v>
      </c>
      <c r="CJ815" s="2">
        <f>SUM(CJ$2:CJ305)+BD305*W305</f>
        <v>46190.000000000116</v>
      </c>
      <c r="CK815" s="2">
        <f>SUM(CK$2:CK305)+BE305*X305</f>
        <v>112780</v>
      </c>
      <c r="CL815" s="2">
        <f>SUM(CL$2:CL305)+BF305*Y305</f>
        <v>196680</v>
      </c>
      <c r="CM815" s="2">
        <f>SUM(CM$2:CM305)+BG305*Z305</f>
        <v>134450</v>
      </c>
      <c r="CN815" s="2">
        <f>SUM(CN$2:CN305)+BH305*AA305</f>
        <v>106132.5</v>
      </c>
      <c r="CO815" s="2">
        <f>SUM(CO$2:CO305)+BI305*AB305</f>
        <v>-8930</v>
      </c>
      <c r="CP815" s="2">
        <f>SUM(CP$2:CP305)+BJ305*AC305</f>
        <v>18115</v>
      </c>
      <c r="CQ815" s="2">
        <f>SUM(CQ$2:CQ305)+BK305*AD305</f>
        <v>20550.000000000007</v>
      </c>
      <c r="CR815" s="2">
        <f>SUM(CR$2:CR305)+BL305*AE305</f>
        <v>-12010</v>
      </c>
      <c r="CV815" t="s">
        <v>64</v>
      </c>
      <c r="CW815" t="s">
        <v>888</v>
      </c>
      <c r="CX815" t="s">
        <v>18</v>
      </c>
      <c r="CY815" s="4">
        <v>43462</v>
      </c>
      <c r="CZ815" t="s">
        <v>67</v>
      </c>
      <c r="DA815" t="s">
        <v>68</v>
      </c>
      <c r="DB815">
        <v>4</v>
      </c>
      <c r="DC815">
        <v>75.37</v>
      </c>
      <c r="DD815" t="s">
        <v>69</v>
      </c>
      <c r="DE815" t="s">
        <v>70</v>
      </c>
      <c r="DF815">
        <v>301.48</v>
      </c>
    </row>
    <row r="816" spans="66:110" x14ac:dyDescent="0.25">
      <c r="BN816" s="1">
        <f t="shared" si="339"/>
        <v>43179</v>
      </c>
      <c r="BO816" s="2">
        <f>SUM(BO$2:BO306)+AI306*B306</f>
        <v>191487.5</v>
      </c>
      <c r="BP816" s="2">
        <f>SUM(BP$2:BP306)+AJ306*C306</f>
        <v>22588.300000000017</v>
      </c>
      <c r="BQ816" s="2">
        <f>SUM(BQ$2:BQ306)+AK306*D306</f>
        <v>203417.19999999992</v>
      </c>
      <c r="BR816" s="2">
        <f>SUM(BR$2:BR306)+AL306*E306</f>
        <v>68779.399999999936</v>
      </c>
      <c r="BS816" s="2">
        <f>SUM(BS$2:BS306)+AM306*F306</f>
        <v>16714.200000000012</v>
      </c>
      <c r="BT816" s="2">
        <f>SUM(BT$2:BT306)+AN306*G306</f>
        <v>3023.9000000000087</v>
      </c>
      <c r="BU816" s="2">
        <f>SUM(BU$2:BU306)+AO306*H306</f>
        <v>-3860.1000000000058</v>
      </c>
      <c r="BV816" s="2">
        <f>SUM(BV$2:BV306)+AP306*I306</f>
        <v>-528.60000000002037</v>
      </c>
      <c r="BW816" s="2">
        <f>SUM(BW$2:BW306)+AQ306*J306</f>
        <v>25019.999999999971</v>
      </c>
      <c r="BX816" s="2">
        <f>SUM(BX$2:BX306)+AR306*K306</f>
        <v>13940</v>
      </c>
      <c r="BY816" s="2">
        <f>SUM(BY$2:BY306)+AS306*L306</f>
        <v>-5267.5000000000118</v>
      </c>
      <c r="BZ816" s="2">
        <f>SUM(BZ$2:BZ306)+AT306*M306</f>
        <v>740</v>
      </c>
      <c r="CA816" s="2">
        <f>SUM(CA$2:CA306)+AU306*N306</f>
        <v>18640</v>
      </c>
      <c r="CB816" s="2">
        <f>SUM(CB$2:CB306)+AV306*O306</f>
        <v>26740</v>
      </c>
      <c r="CC816" s="2">
        <f>SUM(CC$2:CC306)+AW306*P306</f>
        <v>-20</v>
      </c>
      <c r="CD816" s="2">
        <f>SUM(CD$2:CD306)+AX306*Q306</f>
        <v>14050</v>
      </c>
      <c r="CE816" s="2">
        <f>SUM(CE$2:CE306)+AY306*R306</f>
        <v>27020</v>
      </c>
      <c r="CF816" s="2">
        <f>SUM(CF$2:CF306)+AZ306*S306</f>
        <v>-2925.910000000018</v>
      </c>
      <c r="CG816" s="2">
        <f>SUM(CG$2:CG306)+BA306*T306</f>
        <v>31402.949999999961</v>
      </c>
      <c r="CH816" s="2">
        <f>SUM(CH$2:CH306)+BB306*U306</f>
        <v>15888.500000000029</v>
      </c>
      <c r="CI816" s="2">
        <f>SUM(CI$2:CI306)+BC306*V306</f>
        <v>-6450</v>
      </c>
      <c r="CJ816" s="2">
        <f>SUM(CJ$2:CJ306)+BD306*W306</f>
        <v>47890.000000000058</v>
      </c>
      <c r="CK816" s="2">
        <f>SUM(CK$2:CK306)+BE306*X306</f>
        <v>119980</v>
      </c>
      <c r="CL816" s="2">
        <f>SUM(CL$2:CL306)+BF306*Y306</f>
        <v>201810</v>
      </c>
      <c r="CM816" s="2">
        <f>SUM(CM$2:CM306)+BG306*Z306</f>
        <v>134250</v>
      </c>
      <c r="CN816" s="2">
        <f>SUM(CN$2:CN306)+BH306*AA306</f>
        <v>106132.5</v>
      </c>
      <c r="CO816" s="2">
        <f>SUM(CO$2:CO306)+BI306*AB306</f>
        <v>-10730</v>
      </c>
      <c r="CP816" s="2">
        <f>SUM(CP$2:CP306)+BJ306*AC306</f>
        <v>18955.000000000015</v>
      </c>
      <c r="CQ816" s="2">
        <f>SUM(CQ$2:CQ306)+BK306*AD306</f>
        <v>21040.000000000007</v>
      </c>
      <c r="CR816" s="2">
        <f>SUM(CR$2:CR306)+BL306*AE306</f>
        <v>-12170</v>
      </c>
      <c r="CV816" t="s">
        <v>64</v>
      </c>
      <c r="CW816" t="s">
        <v>889</v>
      </c>
      <c r="CX816" t="s">
        <v>18</v>
      </c>
      <c r="CY816" s="4">
        <v>43465</v>
      </c>
      <c r="CZ816" t="s">
        <v>67</v>
      </c>
      <c r="DA816" t="s">
        <v>68</v>
      </c>
      <c r="DB816">
        <v>14</v>
      </c>
      <c r="DC816">
        <v>76.41</v>
      </c>
      <c r="DD816" t="s">
        <v>69</v>
      </c>
      <c r="DE816" t="s">
        <v>70</v>
      </c>
      <c r="DF816">
        <v>1069.74</v>
      </c>
    </row>
    <row r="817" spans="66:110" x14ac:dyDescent="0.25">
      <c r="BN817" s="1">
        <f t="shared" si="339"/>
        <v>43180</v>
      </c>
      <c r="BO817" s="2">
        <f>SUM(BO$2:BO307)+AI307*B307</f>
        <v>171937.49999999988</v>
      </c>
      <c r="BP817" s="2">
        <f>SUM(BP$2:BP307)+AJ307*C307</f>
        <v>22334.199999999997</v>
      </c>
      <c r="BQ817" s="2">
        <f>SUM(BQ$2:BQ307)+AK307*D307</f>
        <v>202787.99999999991</v>
      </c>
      <c r="BR817" s="2">
        <f>SUM(BR$2:BR307)+AL307*E307</f>
        <v>70836.399999999965</v>
      </c>
      <c r="BS817" s="2">
        <f>SUM(BS$2:BS307)+AM307*F307</f>
        <v>16641.600000000013</v>
      </c>
      <c r="BT817" s="2">
        <f>SUM(BT$2:BT307)+AN307*G307</f>
        <v>5976.300000000032</v>
      </c>
      <c r="BU817" s="2">
        <f>SUM(BU$2:BU307)+AO307*H307</f>
        <v>-3303.5</v>
      </c>
      <c r="BV817" s="2">
        <f>SUM(BV$2:BV307)+AP307*I307</f>
        <v>583.19999999998254</v>
      </c>
      <c r="BW817" s="2">
        <f>SUM(BW$2:BW307)+AQ307*J307</f>
        <v>23699.999999999971</v>
      </c>
      <c r="BX817" s="2">
        <f>SUM(BX$2:BX307)+AR307*K307</f>
        <v>13940</v>
      </c>
      <c r="BY817" s="2">
        <f>SUM(BY$2:BY307)+AS307*L307</f>
        <v>-5262.800000000012</v>
      </c>
      <c r="BZ817" s="2">
        <f>SUM(BZ$2:BZ307)+AT307*M307</f>
        <v>740</v>
      </c>
      <c r="CA817" s="2">
        <f>SUM(CA$2:CA307)+AU307*N307</f>
        <v>18619.999999999985</v>
      </c>
      <c r="CB817" s="2">
        <f>SUM(CB$2:CB307)+AV307*O307</f>
        <v>26740</v>
      </c>
      <c r="CC817" s="2">
        <f>SUM(CC$2:CC307)+AW307*P307</f>
        <v>-20</v>
      </c>
      <c r="CD817" s="2">
        <f>SUM(CD$2:CD307)+AX307*Q307</f>
        <v>14050</v>
      </c>
      <c r="CE817" s="2">
        <f>SUM(CE$2:CE307)+AY307*R307</f>
        <v>27020</v>
      </c>
      <c r="CF817" s="2">
        <f>SUM(CF$2:CF307)+AZ307*S307</f>
        <v>-2875.410000000018</v>
      </c>
      <c r="CG817" s="2">
        <f>SUM(CG$2:CG307)+BA307*T307</f>
        <v>30738.649999999965</v>
      </c>
      <c r="CH817" s="2">
        <f>SUM(CH$2:CH307)+BB307*U307</f>
        <v>15471.820000000036</v>
      </c>
      <c r="CI817" s="2">
        <f>SUM(CI$2:CI307)+BC307*V307</f>
        <v>-6390</v>
      </c>
      <c r="CJ817" s="2">
        <f>SUM(CJ$2:CJ307)+BD307*W307</f>
        <v>53990</v>
      </c>
      <c r="CK817" s="2">
        <f>SUM(CK$2:CK307)+BE307*X307</f>
        <v>118130</v>
      </c>
      <c r="CL817" s="2">
        <f>SUM(CL$2:CL307)+BF307*Y307</f>
        <v>190050</v>
      </c>
      <c r="CM817" s="2">
        <f>SUM(CM$2:CM307)+BG307*Z307</f>
        <v>133450</v>
      </c>
      <c r="CN817" s="2">
        <f>SUM(CN$2:CN307)+BH307*AA307</f>
        <v>106132.5</v>
      </c>
      <c r="CO817" s="2">
        <f>SUM(CO$2:CO307)+BI307*AB307</f>
        <v>-11900</v>
      </c>
      <c r="CP817" s="2">
        <f>SUM(CP$2:CP307)+BJ307*AC307</f>
        <v>18640</v>
      </c>
      <c r="CQ817" s="2">
        <f>SUM(CQ$2:CQ307)+BK307*AD307</f>
        <v>21270.000000000007</v>
      </c>
      <c r="CR817" s="2">
        <f>SUM(CR$2:CR307)+BL307*AE307</f>
        <v>-11160</v>
      </c>
      <c r="CV817" t="s">
        <v>64</v>
      </c>
      <c r="CW817" t="s">
        <v>890</v>
      </c>
      <c r="CX817" t="s">
        <v>19</v>
      </c>
      <c r="CY817" s="4">
        <v>42738</v>
      </c>
      <c r="CZ817" t="s">
        <v>65</v>
      </c>
      <c r="DA817" t="s">
        <v>66</v>
      </c>
      <c r="DB817">
        <v>1000</v>
      </c>
      <c r="DC817">
        <v>60.17</v>
      </c>
      <c r="DD817" t="s">
        <v>69</v>
      </c>
      <c r="DE817" t="s">
        <v>70</v>
      </c>
      <c r="DF817">
        <v>60170</v>
      </c>
    </row>
    <row r="818" spans="66:110" x14ac:dyDescent="0.25">
      <c r="BN818" s="1">
        <f t="shared" si="339"/>
        <v>43181</v>
      </c>
      <c r="BO818" s="2">
        <f>SUM(BO$2:BO308)+AI308*B308</f>
        <v>160037.49999999988</v>
      </c>
      <c r="BP818" s="2">
        <f>SUM(BP$2:BP308)+AJ308*C308</f>
        <v>18353.300000000017</v>
      </c>
      <c r="BQ818" s="2">
        <f>SUM(BQ$2:BQ308)+AK308*D308</f>
        <v>182036.49999999991</v>
      </c>
      <c r="BR818" s="2">
        <f>SUM(BR$2:BR308)+AL308*E308</f>
        <v>60321.499999999971</v>
      </c>
      <c r="BS818" s="2">
        <f>SUM(BS$2:BS308)+AM308*F308</f>
        <v>15189.600000000013</v>
      </c>
      <c r="BT818" s="2">
        <f>SUM(BT$2:BT308)+AN308*G308</f>
        <v>2092.2000000000262</v>
      </c>
      <c r="BU818" s="2">
        <f>SUM(BU$2:BU308)+AO308*H308</f>
        <v>-4755.5</v>
      </c>
      <c r="BV818" s="2">
        <f>SUM(BV$2:BV308)+AP308*I308</f>
        <v>-1357.0000000000146</v>
      </c>
      <c r="BW818" s="2">
        <f>SUM(BW$2:BW308)+AQ308*J308</f>
        <v>14550</v>
      </c>
      <c r="BX818" s="2">
        <f>SUM(BX$2:BX308)+AR308*K308</f>
        <v>13940</v>
      </c>
      <c r="BY818" s="2">
        <f>SUM(BY$2:BY308)+AS308*L308</f>
        <v>-5306.7000000000116</v>
      </c>
      <c r="BZ818" s="2">
        <f>SUM(BZ$2:BZ308)+AT308*M308</f>
        <v>740</v>
      </c>
      <c r="CA818" s="2">
        <f>SUM(CA$2:CA308)+AU308*N308</f>
        <v>14890</v>
      </c>
      <c r="CB818" s="2">
        <f>SUM(CB$2:CB308)+AV308*O308</f>
        <v>26740</v>
      </c>
      <c r="CC818" s="2">
        <f>SUM(CC$2:CC308)+AW308*P308</f>
        <v>-20</v>
      </c>
      <c r="CD818" s="2">
        <f>SUM(CD$2:CD308)+AX308*Q308</f>
        <v>14050</v>
      </c>
      <c r="CE818" s="2">
        <f>SUM(CE$2:CE308)+AY308*R308</f>
        <v>27020</v>
      </c>
      <c r="CF818" s="2">
        <f>SUM(CF$2:CF308)+AZ308*S308</f>
        <v>-3453.890000000014</v>
      </c>
      <c r="CG818" s="2">
        <f>SUM(CG$2:CG308)+BA308*T308</f>
        <v>28014.449999999961</v>
      </c>
      <c r="CH818" s="2">
        <f>SUM(CH$2:CH308)+BB308*U308</f>
        <v>13386.700000000033</v>
      </c>
      <c r="CI818" s="2">
        <f>SUM(CI$2:CI308)+BC308*V308</f>
        <v>-5740</v>
      </c>
      <c r="CJ818" s="2">
        <f>SUM(CJ$2:CJ308)+BD308*W308</f>
        <v>58565</v>
      </c>
      <c r="CK818" s="2">
        <f>SUM(CK$2:CK308)+BE308*X308</f>
        <v>103630</v>
      </c>
      <c r="CL818" s="2">
        <f>SUM(CL$2:CL308)+BF308*Y308</f>
        <v>167460</v>
      </c>
      <c r="CM818" s="2">
        <f>SUM(CM$2:CM308)+BG308*Z308</f>
        <v>119150</v>
      </c>
      <c r="CN818" s="2">
        <f>SUM(CN$2:CN308)+BH308*AA308</f>
        <v>106132.5</v>
      </c>
      <c r="CO818" s="2">
        <f>SUM(CO$2:CO308)+BI308*AB308</f>
        <v>-13040</v>
      </c>
      <c r="CP818" s="2">
        <f>SUM(CP$2:CP308)+BJ308*AC308</f>
        <v>19285</v>
      </c>
      <c r="CQ818" s="2">
        <f>SUM(CQ$2:CQ308)+BK308*AD308</f>
        <v>20250.000000000007</v>
      </c>
      <c r="CR818" s="2">
        <f>SUM(CR$2:CR308)+BL308*AE308</f>
        <v>-12640</v>
      </c>
      <c r="CV818" t="s">
        <v>64</v>
      </c>
      <c r="CW818" t="s">
        <v>891</v>
      </c>
      <c r="CX818" t="s">
        <v>19</v>
      </c>
      <c r="CY818" s="4">
        <v>42739</v>
      </c>
      <c r="CZ818" t="s">
        <v>65</v>
      </c>
      <c r="DA818" t="s">
        <v>66</v>
      </c>
      <c r="DB818">
        <v>46</v>
      </c>
      <c r="DC818">
        <v>59.9</v>
      </c>
      <c r="DD818" t="s">
        <v>69</v>
      </c>
      <c r="DE818" t="s">
        <v>70</v>
      </c>
      <c r="DF818">
        <v>2755.4</v>
      </c>
    </row>
    <row r="819" spans="66:110" x14ac:dyDescent="0.25">
      <c r="BN819" s="1">
        <f t="shared" si="339"/>
        <v>43182</v>
      </c>
      <c r="BO819" s="2">
        <f>SUM(BO$2:BO309)+AI309*B309</f>
        <v>140787.49999999988</v>
      </c>
      <c r="BP819" s="2">
        <f>SUM(BP$2:BP309)+AJ309*C309</f>
        <v>17203.800000000003</v>
      </c>
      <c r="BQ819" s="2">
        <f>SUM(BQ$2:BQ309)+AK309*D309</f>
        <v>183682.09999999995</v>
      </c>
      <c r="BR819" s="2">
        <f>SUM(BR$2:BR309)+AL309*E309</f>
        <v>57235.999999999942</v>
      </c>
      <c r="BS819" s="2">
        <f>SUM(BS$2:BS309)+AM309*F309</f>
        <v>14427.30000000001</v>
      </c>
      <c r="BT819" s="2">
        <f>SUM(BT$2:BT309)+AN309*G309</f>
        <v>1245.1999999999971</v>
      </c>
      <c r="BU819" s="2">
        <f>SUM(BU$2:BU309)+AO309*H309</f>
        <v>-7211.8000000000029</v>
      </c>
      <c r="BV819" s="2">
        <f>SUM(BV$2:BV309)+AP309*I309</f>
        <v>-4092.9000000000233</v>
      </c>
      <c r="BW819" s="2">
        <f>SUM(BW$2:BW309)+AQ309*J309</f>
        <v>7290</v>
      </c>
      <c r="BX819" s="2">
        <f>SUM(BX$2:BX309)+AR309*K309</f>
        <v>13940</v>
      </c>
      <c r="BY819" s="2">
        <f>SUM(BY$2:BY309)+AS309*L309</f>
        <v>-5337.300000000012</v>
      </c>
      <c r="BZ819" s="2">
        <f>SUM(BZ$2:BZ309)+AT309*M309</f>
        <v>740</v>
      </c>
      <c r="CA819" s="2">
        <f>SUM(CA$2:CA309)+AU309*N309</f>
        <v>12660</v>
      </c>
      <c r="CB819" s="2">
        <f>SUM(CB$2:CB309)+AV309*O309</f>
        <v>26740</v>
      </c>
      <c r="CC819" s="2">
        <f>SUM(CC$2:CC309)+AW309*P309</f>
        <v>-20</v>
      </c>
      <c r="CD819" s="2">
        <f>SUM(CD$2:CD309)+AX309*Q309</f>
        <v>14050</v>
      </c>
      <c r="CE819" s="2">
        <f>SUM(CE$2:CE309)+AY309*R309</f>
        <v>27020</v>
      </c>
      <c r="CF819" s="2">
        <f>SUM(CF$2:CF309)+AZ309*S309</f>
        <v>-4172.0900000000111</v>
      </c>
      <c r="CG819" s="2">
        <f>SUM(CG$2:CG309)+BA309*T309</f>
        <v>25408.649999999951</v>
      </c>
      <c r="CH819" s="2">
        <f>SUM(CH$2:CH309)+BB309*U309</f>
        <v>13582.630000000026</v>
      </c>
      <c r="CI819" s="2">
        <f>SUM(CI$2:CI309)+BC309*V309</f>
        <v>-4670</v>
      </c>
      <c r="CJ819" s="2">
        <f>SUM(CJ$2:CJ309)+BD309*W309</f>
        <v>62240</v>
      </c>
      <c r="CK819" s="2">
        <f>SUM(CK$2:CK309)+BE309*X309</f>
        <v>87680</v>
      </c>
      <c r="CL819" s="2">
        <f>SUM(CL$2:CL309)+BF309*Y309</f>
        <v>159570</v>
      </c>
      <c r="CM819" s="2">
        <f>SUM(CM$2:CM309)+BG309*Z309</f>
        <v>110550</v>
      </c>
      <c r="CN819" s="2">
        <f>SUM(CN$2:CN309)+BH309*AA309</f>
        <v>106132.5</v>
      </c>
      <c r="CO819" s="2">
        <f>SUM(CO$2:CO309)+BI309*AB309</f>
        <v>-14750</v>
      </c>
      <c r="CP819" s="2">
        <f>SUM(CP$2:CP309)+BJ309*AC309</f>
        <v>19870</v>
      </c>
      <c r="CQ819" s="2">
        <f>SUM(CQ$2:CQ309)+BK309*AD309</f>
        <v>18560.000000000007</v>
      </c>
      <c r="CR819" s="2">
        <f>SUM(CR$2:CR309)+BL309*AE309</f>
        <v>-13220</v>
      </c>
      <c r="CV819" t="s">
        <v>64</v>
      </c>
      <c r="CW819" t="s">
        <v>892</v>
      </c>
      <c r="CX819" t="s">
        <v>19</v>
      </c>
      <c r="CY819" s="4">
        <v>42740</v>
      </c>
      <c r="CZ819" t="s">
        <v>67</v>
      </c>
      <c r="DA819" t="s">
        <v>68</v>
      </c>
      <c r="DB819">
        <v>76</v>
      </c>
      <c r="DC819">
        <v>59.9</v>
      </c>
      <c r="DD819" t="s">
        <v>69</v>
      </c>
      <c r="DE819" t="s">
        <v>70</v>
      </c>
      <c r="DF819">
        <v>4552.3999999999996</v>
      </c>
    </row>
    <row r="820" spans="66:110" x14ac:dyDescent="0.25">
      <c r="BN820" s="1">
        <f t="shared" si="339"/>
        <v>43185</v>
      </c>
      <c r="BO820" s="2">
        <f>SUM(BO$2:BO310)+AI310*B310</f>
        <v>179337.49999999988</v>
      </c>
      <c r="BP820" s="2">
        <f>SUM(BP$2:BP310)+AJ310*C310</f>
        <v>19805.300000000003</v>
      </c>
      <c r="BQ820" s="2">
        <f>SUM(BQ$2:BQ310)+AK310*D310</f>
        <v>193144.29999999993</v>
      </c>
      <c r="BR820" s="2">
        <f>SUM(BR$2:BR310)+AL310*E310</f>
        <v>63031.899999999951</v>
      </c>
      <c r="BS820" s="2">
        <f>SUM(BS$2:BS310)+AM310*F310</f>
        <v>16351.200000000012</v>
      </c>
      <c r="BT820" s="2">
        <f>SUM(BT$2:BT310)+AN310*G310</f>
        <v>4004</v>
      </c>
      <c r="BU820" s="2">
        <f>SUM(BU$2:BU310)+AO310*H310</f>
        <v>-4695.0000000000146</v>
      </c>
      <c r="BV820" s="2">
        <f>SUM(BV$2:BV310)+AP310*I310</f>
        <v>-2577.8000000000175</v>
      </c>
      <c r="BW820" s="2">
        <f>SUM(BW$2:BW310)+AQ310*J310</f>
        <v>16800</v>
      </c>
      <c r="BX820" s="2">
        <f>SUM(BX$2:BX310)+AR310*K310</f>
        <v>13940</v>
      </c>
      <c r="BY820" s="2">
        <f>SUM(BY$2:BY310)+AS310*L310</f>
        <v>-5294.5000000000118</v>
      </c>
      <c r="BZ820" s="2">
        <f>SUM(BZ$2:BZ310)+AT310*M310</f>
        <v>740</v>
      </c>
      <c r="CA820" s="2">
        <f>SUM(CA$2:CA310)+AU310*N310</f>
        <v>12660</v>
      </c>
      <c r="CB820" s="2">
        <f>SUM(CB$2:CB310)+AV310*O310</f>
        <v>26740</v>
      </c>
      <c r="CC820" s="2">
        <f>SUM(CC$2:CC310)+AW310*P310</f>
        <v>-20</v>
      </c>
      <c r="CD820" s="2">
        <f>SUM(CD$2:CD310)+AX310*Q310</f>
        <v>14050</v>
      </c>
      <c r="CE820" s="2">
        <f>SUM(CE$2:CE310)+AY310*R310</f>
        <v>27020</v>
      </c>
      <c r="CF820" s="2">
        <f>SUM(CF$2:CF310)+AZ310*S310</f>
        <v>-3566.3500000000131</v>
      </c>
      <c r="CG820" s="2">
        <f>SUM(CG$2:CG310)+BA310*T310</f>
        <v>31902.569999999971</v>
      </c>
      <c r="CH820" s="2">
        <f>SUM(CH$2:CH310)+BB310*U310</f>
        <v>14798.530000000028</v>
      </c>
      <c r="CI820" s="2">
        <f>SUM(CI$2:CI310)+BC310*V310</f>
        <v>-5200</v>
      </c>
      <c r="CJ820" s="2">
        <f>SUM(CJ$2:CJ310)+BD310*W310</f>
        <v>58565</v>
      </c>
      <c r="CK820" s="2">
        <f>SUM(CK$2:CK310)+BE310*X310</f>
        <v>103980</v>
      </c>
      <c r="CL820" s="2">
        <f>SUM(CL$2:CL310)+BF310*Y310</f>
        <v>178920</v>
      </c>
      <c r="CM820" s="2">
        <f>SUM(CM$2:CM310)+BG310*Z310</f>
        <v>131700</v>
      </c>
      <c r="CN820" s="2">
        <f>SUM(CN$2:CN310)+BH310*AA310</f>
        <v>106132.5</v>
      </c>
      <c r="CO820" s="2">
        <f>SUM(CO$2:CO310)+BI310*AB310</f>
        <v>-12500</v>
      </c>
      <c r="CP820" s="2">
        <f>SUM(CP$2:CP310)+BJ310*AC310</f>
        <v>16870</v>
      </c>
      <c r="CQ820" s="2">
        <f>SUM(CQ$2:CQ310)+BK310*AD310</f>
        <v>20600.000000000007</v>
      </c>
      <c r="CR820" s="2">
        <f>SUM(CR$2:CR310)+BL310*AE310</f>
        <v>-12160</v>
      </c>
      <c r="CV820" t="s">
        <v>64</v>
      </c>
      <c r="CW820" t="s">
        <v>893</v>
      </c>
      <c r="CX820" t="s">
        <v>19</v>
      </c>
      <c r="CY820" s="4">
        <v>42741</v>
      </c>
      <c r="CZ820" t="s">
        <v>67</v>
      </c>
      <c r="DA820" t="s">
        <v>68</v>
      </c>
      <c r="DB820">
        <v>51</v>
      </c>
      <c r="DC820">
        <v>60.42</v>
      </c>
      <c r="DD820" t="s">
        <v>69</v>
      </c>
      <c r="DE820" t="s">
        <v>70</v>
      </c>
      <c r="DF820">
        <v>3081.42</v>
      </c>
    </row>
    <row r="821" spans="66:110" x14ac:dyDescent="0.25">
      <c r="BN821" s="1">
        <f t="shared" si="339"/>
        <v>43186</v>
      </c>
      <c r="BO821" s="2">
        <f>SUM(BO$2:BO311)+AI311*B311</f>
        <v>157537.49999999988</v>
      </c>
      <c r="BP821" s="2">
        <f>SUM(BP$2:BP311)+AJ311*C311</f>
        <v>18353.5</v>
      </c>
      <c r="BQ821" s="2">
        <f>SUM(BQ$2:BQ311)+AK311*D311</f>
        <v>183750.29999999993</v>
      </c>
      <c r="BR821" s="2">
        <f>SUM(BR$2:BR311)+AL311*E311</f>
        <v>60408.89999999998</v>
      </c>
      <c r="BS821" s="2">
        <f>SUM(BS$2:BS311)+AM311*F311</f>
        <v>14716.400000000009</v>
      </c>
      <c r="BT821" s="2">
        <f>SUM(BT$2:BT311)+AN311*G311</f>
        <v>3198.7999999999884</v>
      </c>
      <c r="BU821" s="2">
        <f>SUM(BU$2:BU311)+AO311*H311</f>
        <v>-6244.4000000000087</v>
      </c>
      <c r="BV821" s="2">
        <f>SUM(BV$2:BV311)+AP311*I311</f>
        <v>-3479.8000000000175</v>
      </c>
      <c r="BW821" s="2">
        <f>SUM(BW$2:BW311)+AQ311*J311</f>
        <v>9270</v>
      </c>
      <c r="BX821" s="2">
        <f>SUM(BX$2:BX311)+AR311*K311</f>
        <v>13940</v>
      </c>
      <c r="BY821" s="2">
        <f>SUM(BY$2:BY311)+AS311*L311</f>
        <v>-5308.4000000000115</v>
      </c>
      <c r="BZ821" s="2">
        <f>SUM(BZ$2:BZ311)+AT311*M311</f>
        <v>740</v>
      </c>
      <c r="CA821" s="2">
        <f>SUM(CA$2:CA311)+AU311*N311</f>
        <v>12660</v>
      </c>
      <c r="CB821" s="2">
        <f>SUM(CB$2:CB311)+AV311*O311</f>
        <v>26740</v>
      </c>
      <c r="CC821" s="2">
        <f>SUM(CC$2:CC311)+AW311*P311</f>
        <v>-20</v>
      </c>
      <c r="CD821" s="2">
        <f>SUM(CD$2:CD311)+AX311*Q311</f>
        <v>14050</v>
      </c>
      <c r="CE821" s="2">
        <f>SUM(CE$2:CE311)+AY311*R311</f>
        <v>27020</v>
      </c>
      <c r="CF821" s="2">
        <f>SUM(CF$2:CF311)+AZ311*S311</f>
        <v>-3853.0700000000143</v>
      </c>
      <c r="CG821" s="2">
        <f>SUM(CG$2:CG311)+BA311*T311</f>
        <v>27770.369999999966</v>
      </c>
      <c r="CH821" s="2">
        <f>SUM(CH$2:CH311)+BB311*U311</f>
        <v>15086.080000000031</v>
      </c>
      <c r="CI821" s="2">
        <f>SUM(CI$2:CI311)+BC311*V311</f>
        <v>-5170</v>
      </c>
      <c r="CJ821" s="2">
        <f>SUM(CJ$2:CJ311)+BD311*W311</f>
        <v>48590</v>
      </c>
      <c r="CK821" s="2">
        <f>SUM(CK$2:CK311)+BE311*X311</f>
        <v>96730</v>
      </c>
      <c r="CL821" s="2">
        <f>SUM(CL$2:CL311)+BF311*Y311</f>
        <v>175620</v>
      </c>
      <c r="CM821" s="2">
        <f>SUM(CM$2:CM311)+BG311*Z311</f>
        <v>125050</v>
      </c>
      <c r="CN821" s="2">
        <f>SUM(CN$2:CN311)+BH311*AA311</f>
        <v>106132.5</v>
      </c>
      <c r="CO821" s="2">
        <f>SUM(CO$2:CO311)+BI311*AB311</f>
        <v>-11810</v>
      </c>
      <c r="CP821" s="2">
        <f>SUM(CP$2:CP311)+BJ311*AC311</f>
        <v>19089.999999999985</v>
      </c>
      <c r="CQ821" s="2">
        <f>SUM(CQ$2:CQ311)+BK311*AD311</f>
        <v>19180.000000000007</v>
      </c>
      <c r="CR821" s="2">
        <f>SUM(CR$2:CR311)+BL311*AE311</f>
        <v>-12440</v>
      </c>
      <c r="CV821" t="s">
        <v>64</v>
      </c>
      <c r="CW821" t="s">
        <v>894</v>
      </c>
      <c r="CX821" t="s">
        <v>19</v>
      </c>
      <c r="CY821" s="4">
        <v>42744</v>
      </c>
      <c r="CZ821" t="s">
        <v>65</v>
      </c>
      <c r="DA821" t="s">
        <v>66</v>
      </c>
      <c r="DB821">
        <v>96</v>
      </c>
      <c r="DC821">
        <v>60.23</v>
      </c>
      <c r="DD821" t="s">
        <v>69</v>
      </c>
      <c r="DE821" t="s">
        <v>70</v>
      </c>
      <c r="DF821">
        <v>5782.08</v>
      </c>
    </row>
    <row r="822" spans="66:110" x14ac:dyDescent="0.25">
      <c r="BN822" s="1">
        <f t="shared" si="339"/>
        <v>43187</v>
      </c>
      <c r="BO822" s="2">
        <f>SUM(BO$2:BO312)+AI312*B312</f>
        <v>148337.49999999988</v>
      </c>
      <c r="BP822" s="2">
        <f>SUM(BP$2:BP312)+AJ312*C312</f>
        <v>19305.100000000006</v>
      </c>
      <c r="BQ822" s="2">
        <f>SUM(BQ$2:BQ312)+AK312*D312</f>
        <v>182432.6999999999</v>
      </c>
      <c r="BR822" s="2">
        <f>SUM(BR$2:BR312)+AL312*E312</f>
        <v>58225.099999999933</v>
      </c>
      <c r="BS822" s="2">
        <f>SUM(BS$2:BS312)+AM312*F312</f>
        <v>13508.600000000013</v>
      </c>
      <c r="BT822" s="2">
        <f>SUM(BT$2:BT312)+AN312*G312</f>
        <v>197.60000000000582</v>
      </c>
      <c r="BU822" s="2">
        <f>SUM(BU$2:BU312)+AO312*H312</f>
        <v>-7232.6000000000058</v>
      </c>
      <c r="BV822" s="2">
        <f>SUM(BV$2:BV312)+AP312*I312</f>
        <v>-4810.8000000000175</v>
      </c>
      <c r="BW822" s="2">
        <f>SUM(BW$2:BW312)+AQ312*J312</f>
        <v>11350</v>
      </c>
      <c r="BX822" s="2">
        <f>SUM(BX$2:BX312)+AR312*K312</f>
        <v>13940</v>
      </c>
      <c r="BY822" s="2">
        <f>SUM(BY$2:BY312)+AS312*L312</f>
        <v>-5302.6000000000113</v>
      </c>
      <c r="BZ822" s="2">
        <f>SUM(BZ$2:BZ312)+AT312*M312</f>
        <v>740</v>
      </c>
      <c r="CA822" s="2">
        <f>SUM(CA$2:CA312)+AU312*N312</f>
        <v>12660</v>
      </c>
      <c r="CB822" s="2">
        <f>SUM(CB$2:CB312)+AV312*O312</f>
        <v>26740</v>
      </c>
      <c r="CC822" s="2">
        <f>SUM(CC$2:CC312)+AW312*P312</f>
        <v>-20</v>
      </c>
      <c r="CD822" s="2">
        <f>SUM(CD$2:CD312)+AX312*Q312</f>
        <v>14050</v>
      </c>
      <c r="CE822" s="2">
        <f>SUM(CE$2:CE312)+AY312*R312</f>
        <v>27020</v>
      </c>
      <c r="CF822" s="2">
        <f>SUM(CF$2:CF312)+AZ312*S312</f>
        <v>-2558.7900000000081</v>
      </c>
      <c r="CG822" s="2">
        <f>SUM(CG$2:CG312)+BA312*T312</f>
        <v>27686.049999999967</v>
      </c>
      <c r="CH822" s="2">
        <f>SUM(CH$2:CH312)+BB312*U312</f>
        <v>14367.030000000042</v>
      </c>
      <c r="CI822" s="2">
        <f>SUM(CI$2:CI312)+BC312*V312</f>
        <v>-5450</v>
      </c>
      <c r="CJ822" s="2">
        <f>SUM(CJ$2:CJ312)+BD312*W312</f>
        <v>41015</v>
      </c>
      <c r="CK822" s="2">
        <f>SUM(CK$2:CK312)+BE312*X312</f>
        <v>106780</v>
      </c>
      <c r="CL822" s="2">
        <f>SUM(CL$2:CL312)+BF312*Y312</f>
        <v>177240</v>
      </c>
      <c r="CM822" s="2">
        <f>SUM(CM$2:CM312)+BG312*Z312</f>
        <v>121000</v>
      </c>
      <c r="CN822" s="2">
        <f>SUM(CN$2:CN312)+BH312*AA312</f>
        <v>106132.5</v>
      </c>
      <c r="CO822" s="2">
        <f>SUM(CO$2:CO312)+BI312*AB312</f>
        <v>-9830</v>
      </c>
      <c r="CP822" s="2">
        <f>SUM(CP$2:CP312)+BJ312*AC312</f>
        <v>16705.000000000015</v>
      </c>
      <c r="CQ822" s="2">
        <f>SUM(CQ$2:CQ312)+BK312*AD312</f>
        <v>20870.000000000007</v>
      </c>
      <c r="CR822" s="2">
        <f>SUM(CR$2:CR312)+BL312*AE312</f>
        <v>-13300</v>
      </c>
      <c r="CV822" t="s">
        <v>64</v>
      </c>
      <c r="CW822" t="s">
        <v>895</v>
      </c>
      <c r="CX822" t="s">
        <v>19</v>
      </c>
      <c r="CY822" s="4">
        <v>42745</v>
      </c>
      <c r="CZ822" t="s">
        <v>67</v>
      </c>
      <c r="DA822" t="s">
        <v>68</v>
      </c>
      <c r="DB822">
        <v>17</v>
      </c>
      <c r="DC822">
        <v>60.21</v>
      </c>
      <c r="DD822" t="s">
        <v>69</v>
      </c>
      <c r="DE822" t="s">
        <v>70</v>
      </c>
      <c r="DF822">
        <v>1023.57</v>
      </c>
    </row>
    <row r="823" spans="66:110" x14ac:dyDescent="0.25">
      <c r="BN823" s="1">
        <f t="shared" si="339"/>
        <v>43188</v>
      </c>
      <c r="BO823" s="2">
        <f>SUM(BO$2:BO313)+AI313*B313</f>
        <v>154737.49999999988</v>
      </c>
      <c r="BP823" s="2">
        <f>SUM(BP$2:BP313)+AJ313*C313</f>
        <v>20598.300000000003</v>
      </c>
      <c r="BQ823" s="2">
        <f>SUM(BQ$2:BQ313)+AK313*D313</f>
        <v>191838.89999999997</v>
      </c>
      <c r="BR823" s="2">
        <f>SUM(BR$2:BR313)+AL313*E313</f>
        <v>60872.499999999956</v>
      </c>
      <c r="BS823" s="2">
        <f>SUM(BS$2:BS313)+AM313*F313</f>
        <v>14960.400000000009</v>
      </c>
      <c r="BT823" s="2">
        <f>SUM(BT$2:BT313)+AN313*G313</f>
        <v>2466.8000000000175</v>
      </c>
      <c r="BU823" s="2">
        <f>SUM(BU$2:BU313)+AO313*H313</f>
        <v>-4951.1999999999971</v>
      </c>
      <c r="BV823" s="2">
        <f>SUM(BV$2:BV313)+AP313*I313</f>
        <v>-3402.8000000000175</v>
      </c>
      <c r="BW823" s="2">
        <f>SUM(BW$2:BW313)+AQ313*J313</f>
        <v>13820</v>
      </c>
      <c r="BX823" s="2">
        <f>SUM(BX$2:BX313)+AR313*K313</f>
        <v>13940</v>
      </c>
      <c r="BY823" s="2">
        <f>SUM(BY$2:BY313)+AS313*L313</f>
        <v>-5293.9000000000115</v>
      </c>
      <c r="BZ823" s="2">
        <f>SUM(BZ$2:BZ313)+AT313*M313</f>
        <v>740</v>
      </c>
      <c r="CA823" s="2">
        <f>SUM(CA$2:CA313)+AU313*N313</f>
        <v>12660</v>
      </c>
      <c r="CB823" s="2">
        <f>SUM(CB$2:CB313)+AV313*O313</f>
        <v>26740</v>
      </c>
      <c r="CC823" s="2">
        <f>SUM(CC$2:CC313)+AW313*P313</f>
        <v>-20</v>
      </c>
      <c r="CD823" s="2">
        <f>SUM(CD$2:CD313)+AX313*Q313</f>
        <v>14050</v>
      </c>
      <c r="CE823" s="2">
        <f>SUM(CE$2:CE313)+AY313*R313</f>
        <v>27020</v>
      </c>
      <c r="CF823" s="2">
        <f>SUM(CF$2:CF313)+AZ313*S313</f>
        <v>-3144.390000000014</v>
      </c>
      <c r="CG823" s="2">
        <f>SUM(CG$2:CG313)+BA313*T313</f>
        <v>29639.049999999967</v>
      </c>
      <c r="CH823" s="2">
        <f>SUM(CH$2:CH313)+BB313*U313</f>
        <v>15372.030000000042</v>
      </c>
      <c r="CI823" s="2">
        <f>SUM(CI$2:CI313)+BC313*V313</f>
        <v>-5630</v>
      </c>
      <c r="CJ823" s="2">
        <f>SUM(CJ$2:CJ313)+BD313*W313</f>
        <v>37790</v>
      </c>
      <c r="CK823" s="2">
        <f>SUM(CK$2:CK313)+BE313*X313</f>
        <v>107129.99999999988</v>
      </c>
      <c r="CL823" s="2">
        <f>SUM(CL$2:CL313)+BF313*Y313</f>
        <v>163860</v>
      </c>
      <c r="CM823" s="2">
        <f>SUM(CM$2:CM313)+BG313*Z313</f>
        <v>127700</v>
      </c>
      <c r="CN823" s="2">
        <f>SUM(CN$2:CN313)+BH313*AA313</f>
        <v>112657.5</v>
      </c>
      <c r="CO823" s="2">
        <f>SUM(CO$2:CO313)+BI313*AB313</f>
        <v>-10340</v>
      </c>
      <c r="CP823" s="2">
        <f>SUM(CP$2:CP313)+BJ313*AC313</f>
        <v>19810</v>
      </c>
      <c r="CQ823" s="2">
        <f>SUM(CQ$2:CQ313)+BK313*AD313</f>
        <v>22050.000000000007</v>
      </c>
      <c r="CR823" s="2">
        <f>SUM(CR$2:CR313)+BL313*AE313</f>
        <v>-11570</v>
      </c>
      <c r="CV823" t="s">
        <v>64</v>
      </c>
      <c r="CW823" t="s">
        <v>896</v>
      </c>
      <c r="CX823" t="s">
        <v>19</v>
      </c>
      <c r="CY823" s="4">
        <v>42746</v>
      </c>
      <c r="CZ823" t="s">
        <v>65</v>
      </c>
      <c r="DA823" t="s">
        <v>66</v>
      </c>
      <c r="DB823">
        <v>75</v>
      </c>
      <c r="DC823">
        <v>60.76</v>
      </c>
      <c r="DD823" t="s">
        <v>69</v>
      </c>
      <c r="DE823" t="s">
        <v>70</v>
      </c>
      <c r="DF823">
        <v>4557</v>
      </c>
    </row>
    <row r="824" spans="66:110" x14ac:dyDescent="0.25">
      <c r="BN824" s="1">
        <f t="shared" si="339"/>
        <v>43192</v>
      </c>
      <c r="BO824" s="2">
        <f>SUM(BO$2:BO314)+AI314*B314</f>
        <v>149337.49999999988</v>
      </c>
      <c r="BP824" s="2">
        <f>SUM(BP$2:BP314)+AJ314*C314</f>
        <v>17853.300000000003</v>
      </c>
      <c r="BQ824" s="2">
        <f>SUM(BQ$2:BQ314)+AK314*D314</f>
        <v>185336.29999999987</v>
      </c>
      <c r="BR824" s="2">
        <f>SUM(BR$2:BR314)+AL314*E314</f>
        <v>56712.299999999974</v>
      </c>
      <c r="BS824" s="2">
        <f>SUM(BS$2:BS314)+AM314*F314</f>
        <v>12740.000000000007</v>
      </c>
      <c r="BT824" s="2">
        <f>SUM(BT$2:BT314)+AN314*G314</f>
        <v>356.20000000001164</v>
      </c>
      <c r="BU824" s="2">
        <f>SUM(BU$2:BU314)+AO314*H314</f>
        <v>-7086.1999999999971</v>
      </c>
      <c r="BV824" s="2">
        <f>SUM(BV$2:BV314)+AP314*I314</f>
        <v>-5206.8000000000175</v>
      </c>
      <c r="BW824" s="2">
        <f>SUM(BW$2:BW314)+AQ314*J314</f>
        <v>9350</v>
      </c>
      <c r="BX824" s="2">
        <f>SUM(BX$2:BX314)+AR314*K314</f>
        <v>13940</v>
      </c>
      <c r="BY824" s="2">
        <f>SUM(BY$2:BY314)+AS314*L314</f>
        <v>-5326.0000000000118</v>
      </c>
      <c r="BZ824" s="2">
        <f>SUM(BZ$2:BZ314)+AT314*M314</f>
        <v>740</v>
      </c>
      <c r="CA824" s="2">
        <f>SUM(CA$2:CA314)+AU314*N314</f>
        <v>12660</v>
      </c>
      <c r="CB824" s="2">
        <f>SUM(CB$2:CB314)+AV314*O314</f>
        <v>26740</v>
      </c>
      <c r="CC824" s="2">
        <f>SUM(CC$2:CC314)+AW314*P314</f>
        <v>-20</v>
      </c>
      <c r="CD824" s="2">
        <f>SUM(CD$2:CD314)+AX314*Q314</f>
        <v>14050</v>
      </c>
      <c r="CE824" s="2">
        <f>SUM(CE$2:CE314)+AY314*R314</f>
        <v>27020</v>
      </c>
      <c r="CF824" s="2">
        <f>SUM(CF$2:CF314)+AZ314*S314</f>
        <v>-4313.2200000000157</v>
      </c>
      <c r="CG824" s="2">
        <f>SUM(CG$2:CG314)+BA314*T314</f>
        <v>26834.729999999974</v>
      </c>
      <c r="CH824" s="2">
        <f>SUM(CH$2:CH314)+BB314*U314</f>
        <v>13122.630000000041</v>
      </c>
      <c r="CI824" s="2">
        <f>SUM(CI$2:CI314)+BC314*V314</f>
        <v>-5210</v>
      </c>
      <c r="CJ824" s="2">
        <f>SUM(CJ$2:CJ314)+BD314*W314</f>
        <v>51440</v>
      </c>
      <c r="CK824" s="2">
        <f>SUM(CK$2:CK314)+BE314*X314</f>
        <v>87380</v>
      </c>
      <c r="CL824" s="2">
        <f>SUM(CL$2:CL314)+BF314*Y314</f>
        <v>173370</v>
      </c>
      <c r="CM824" s="2">
        <f>SUM(CM$2:CM314)+BG314*Z314</f>
        <v>116250</v>
      </c>
      <c r="CN824" s="2">
        <f>SUM(CN$2:CN314)+BH314*AA314</f>
        <v>110217.5</v>
      </c>
      <c r="CO824" s="2">
        <f>SUM(CO$2:CO314)+BI314*AB314</f>
        <v>-12230</v>
      </c>
      <c r="CP824" s="2">
        <f>SUM(CP$2:CP314)+BJ314*AC314</f>
        <v>23275</v>
      </c>
      <c r="CQ824" s="2">
        <f>SUM(CQ$2:CQ314)+BK314*AD314</f>
        <v>18680.000000000007</v>
      </c>
      <c r="CR824" s="2">
        <f>SUM(CR$2:CR314)+BL314*AE314</f>
        <v>-12900</v>
      </c>
      <c r="CV824" t="s">
        <v>64</v>
      </c>
      <c r="CW824" t="s">
        <v>897</v>
      </c>
      <c r="CX824" t="s">
        <v>19</v>
      </c>
      <c r="CY824" s="4">
        <v>42747</v>
      </c>
      <c r="CZ824" t="s">
        <v>67</v>
      </c>
      <c r="DA824" t="s">
        <v>68</v>
      </c>
      <c r="DB824">
        <v>92</v>
      </c>
      <c r="DC824">
        <v>60.2</v>
      </c>
      <c r="DD824" t="s">
        <v>69</v>
      </c>
      <c r="DE824" t="s">
        <v>70</v>
      </c>
      <c r="DF824">
        <v>5538.4000000000005</v>
      </c>
    </row>
    <row r="825" spans="66:110" x14ac:dyDescent="0.25">
      <c r="BN825" s="1">
        <f t="shared" si="339"/>
        <v>43193</v>
      </c>
      <c r="BO825" s="2">
        <f>SUM(BO$2:BO315)+AI315*B315</f>
        <v>157737.5</v>
      </c>
      <c r="BP825" s="2">
        <f>SUM(BP$2:BP315)+AJ315*C315</f>
        <v>19951.700000000012</v>
      </c>
      <c r="BQ825" s="2">
        <f>SUM(BQ$2:BQ315)+AK315*D315</f>
        <v>195352.49999999994</v>
      </c>
      <c r="BR825" s="2">
        <f>SUM(BR$2:BR315)+AL315*E315</f>
        <v>58103.099999999962</v>
      </c>
      <c r="BS825" s="2">
        <f>SUM(BS$2:BS315)+AM315*F315</f>
        <v>13179.200000000012</v>
      </c>
      <c r="BT825" s="2">
        <f>SUM(BT$2:BT315)+AN315*G315</f>
        <v>3394</v>
      </c>
      <c r="BU825" s="2">
        <f>SUM(BU$2:BU315)+AO315*H315</f>
        <v>-6171.1999999999971</v>
      </c>
      <c r="BV825" s="2">
        <f>SUM(BV$2:BV315)+AP315*I315</f>
        <v>-3831.8000000000175</v>
      </c>
      <c r="BW825" s="2">
        <f>SUM(BW$2:BW315)+AQ315*J315</f>
        <v>12550</v>
      </c>
      <c r="BX825" s="2">
        <f>SUM(BX$2:BX315)+AR315*K315</f>
        <v>13940</v>
      </c>
      <c r="BY825" s="2">
        <f>SUM(BY$2:BY315)+AS315*L315</f>
        <v>-5328.1000000000113</v>
      </c>
      <c r="BZ825" s="2">
        <f>SUM(BZ$2:BZ315)+AT315*M315</f>
        <v>740</v>
      </c>
      <c r="CA825" s="2">
        <f>SUM(CA$2:CA315)+AU315*N315</f>
        <v>12660</v>
      </c>
      <c r="CB825" s="2">
        <f>SUM(CB$2:CB315)+AV315*O315</f>
        <v>26740</v>
      </c>
      <c r="CC825" s="2">
        <f>SUM(CC$2:CC315)+AW315*P315</f>
        <v>-20</v>
      </c>
      <c r="CD825" s="2">
        <f>SUM(CD$2:CD315)+AX315*Q315</f>
        <v>14050</v>
      </c>
      <c r="CE825" s="2">
        <f>SUM(CE$2:CE315)+AY315*R315</f>
        <v>27020</v>
      </c>
      <c r="CF825" s="2">
        <f>SUM(CF$2:CF315)+AZ315*S315</f>
        <v>-3530.0200000000186</v>
      </c>
      <c r="CG825" s="2">
        <f>SUM(CG$2:CG315)+BA315*T315</f>
        <v>27953.369999999966</v>
      </c>
      <c r="CH825" s="2">
        <f>SUM(CH$2:CH315)+BB315*U315</f>
        <v>15682.830000000045</v>
      </c>
      <c r="CI825" s="2">
        <f>SUM(CI$2:CI315)+BC315*V315</f>
        <v>-5820</v>
      </c>
      <c r="CJ825" s="2">
        <f>SUM(CJ$2:CJ315)+BD315*W315</f>
        <v>43715</v>
      </c>
      <c r="CK825" s="2">
        <f>SUM(CK$2:CK315)+BE315*X315</f>
        <v>97930</v>
      </c>
      <c r="CL825" s="2">
        <f>SUM(CL$2:CL315)+BF315*Y315</f>
        <v>195300</v>
      </c>
      <c r="CM825" s="2">
        <f>SUM(CM$2:CM315)+BG315*Z315</f>
        <v>123250</v>
      </c>
      <c r="CN825" s="2">
        <f>SUM(CN$2:CN315)+BH315*AA315</f>
        <v>112217.5</v>
      </c>
      <c r="CO825" s="2">
        <f>SUM(CO$2:CO315)+BI315*AB315</f>
        <v>-11270</v>
      </c>
      <c r="CP825" s="2">
        <f>SUM(CP$2:CP315)+BJ315*AC315</f>
        <v>23170</v>
      </c>
      <c r="CQ825" s="2">
        <f>SUM(CQ$2:CQ315)+BK315*AD315</f>
        <v>19910.000000000007</v>
      </c>
      <c r="CR825" s="2">
        <f>SUM(CR$2:CR315)+BL315*AE315</f>
        <v>-11180</v>
      </c>
      <c r="CV825" t="s">
        <v>64</v>
      </c>
      <c r="CW825" t="s">
        <v>898</v>
      </c>
      <c r="CX825" t="s">
        <v>19</v>
      </c>
      <c r="CY825" s="4">
        <v>42748</v>
      </c>
      <c r="CZ825" t="s">
        <v>67</v>
      </c>
      <c r="DA825" t="s">
        <v>68</v>
      </c>
      <c r="DB825">
        <v>1</v>
      </c>
      <c r="DC825">
        <v>60.29</v>
      </c>
      <c r="DD825" t="s">
        <v>69</v>
      </c>
      <c r="DE825" t="s">
        <v>70</v>
      </c>
      <c r="DF825">
        <v>60.29</v>
      </c>
    </row>
    <row r="826" spans="66:110" x14ac:dyDescent="0.25">
      <c r="BN826" s="1">
        <f t="shared" si="339"/>
        <v>43194</v>
      </c>
      <c r="BO826" s="2">
        <f>SUM(BO$2:BO316)+AI316*B316</f>
        <v>173637.49999999988</v>
      </c>
      <c r="BP826" s="2">
        <f>SUM(BP$2:BP316)+AJ316*C316</f>
        <v>20964.300000000003</v>
      </c>
      <c r="BQ826" s="2">
        <f>SUM(BQ$2:BQ316)+AK316*D316</f>
        <v>191314.29999999993</v>
      </c>
      <c r="BR826" s="2">
        <f>SUM(BR$2:BR316)+AL316*E316</f>
        <v>58249.499999999956</v>
      </c>
      <c r="BS826" s="2">
        <f>SUM(BS$2:BS316)+AM316*F316</f>
        <v>13350.000000000007</v>
      </c>
      <c r="BT826" s="2">
        <f>SUM(BT$2:BT316)+AN316*G316</f>
        <v>2991.3999999999942</v>
      </c>
      <c r="BU826" s="2">
        <f>SUM(BU$2:BU316)+AO316*H316</f>
        <v>-4341.1999999999971</v>
      </c>
      <c r="BV826" s="2">
        <f>SUM(BV$2:BV316)+AP316*I316</f>
        <v>-3424.8000000000175</v>
      </c>
      <c r="BW826" s="2">
        <f>SUM(BW$2:BW316)+AQ316*J316</f>
        <v>14570</v>
      </c>
      <c r="BX826" s="2">
        <f>SUM(BX$2:BX316)+AR316*K316</f>
        <v>13940</v>
      </c>
      <c r="BY826" s="2">
        <f>SUM(BY$2:BY316)+AS316*L316</f>
        <v>-5287.300000000012</v>
      </c>
      <c r="BZ826" s="2">
        <f>SUM(BZ$2:BZ316)+AT316*M316</f>
        <v>740</v>
      </c>
      <c r="CA826" s="2">
        <f>SUM(CA$2:CA316)+AU316*N316</f>
        <v>12660</v>
      </c>
      <c r="CB826" s="2">
        <f>SUM(CB$2:CB316)+AV316*O316</f>
        <v>26740</v>
      </c>
      <c r="CC826" s="2">
        <f>SUM(CC$2:CC316)+AW316*P316</f>
        <v>-20</v>
      </c>
      <c r="CD826" s="2">
        <f>SUM(CD$2:CD316)+AX316*Q316</f>
        <v>14050</v>
      </c>
      <c r="CE826" s="2">
        <f>SUM(CE$2:CE316)+AY316*R316</f>
        <v>27020</v>
      </c>
      <c r="CF826" s="2">
        <f>SUM(CF$2:CF316)+AZ316*S316</f>
        <v>-3101.9000000000087</v>
      </c>
      <c r="CG826" s="2">
        <f>SUM(CG$2:CG316)+BA316*T316</f>
        <v>30496.749999999971</v>
      </c>
      <c r="CH826" s="2">
        <f>SUM(CH$2:CH316)+BB316*U316</f>
        <v>17317.590000000033</v>
      </c>
      <c r="CI826" s="2">
        <f>SUM(CI$2:CI316)+BC316*V316</f>
        <v>-6250</v>
      </c>
      <c r="CJ826" s="2">
        <f>SUM(CJ$2:CJ316)+BD316*W316</f>
        <v>39440</v>
      </c>
      <c r="CK826" s="2">
        <f>SUM(CK$2:CK316)+BE316*X316</f>
        <v>105980</v>
      </c>
      <c r="CL826" s="2">
        <f>SUM(CL$2:CL316)+BF316*Y316</f>
        <v>207780</v>
      </c>
      <c r="CM826" s="2">
        <f>SUM(CM$2:CM316)+BG316*Z316</f>
        <v>127450</v>
      </c>
      <c r="CN826" s="2">
        <f>SUM(CN$2:CN316)+BH316*AA316</f>
        <v>114657.5</v>
      </c>
      <c r="CO826" s="2">
        <f>SUM(CO$2:CO316)+BI316*AB316</f>
        <v>-10040</v>
      </c>
      <c r="CP826" s="2">
        <f>SUM(CP$2:CP316)+BJ316*AC316</f>
        <v>19750</v>
      </c>
      <c r="CQ826" s="2">
        <f>SUM(CQ$2:CQ316)+BK316*AD316</f>
        <v>20330.000000000007</v>
      </c>
      <c r="CR826" s="2">
        <f>SUM(CR$2:CR316)+BL316*AE316</f>
        <v>-11320</v>
      </c>
      <c r="CV826" t="s">
        <v>64</v>
      </c>
      <c r="CW826" t="s">
        <v>899</v>
      </c>
      <c r="CX826" t="s">
        <v>19</v>
      </c>
      <c r="CY826" s="4">
        <v>42752</v>
      </c>
      <c r="CZ826" t="s">
        <v>67</v>
      </c>
      <c r="DA826" t="s">
        <v>68</v>
      </c>
      <c r="DB826">
        <v>11</v>
      </c>
      <c r="DC826">
        <v>60.12</v>
      </c>
      <c r="DD826" t="s">
        <v>69</v>
      </c>
      <c r="DE826" t="s">
        <v>70</v>
      </c>
      <c r="DF826">
        <v>661.31999999999994</v>
      </c>
    </row>
    <row r="827" spans="66:110" x14ac:dyDescent="0.25">
      <c r="BN827" s="1">
        <f t="shared" si="339"/>
        <v>43195</v>
      </c>
      <c r="BO827" s="2">
        <f>SUM(BO$2:BO317)+AI317*B317</f>
        <v>179487.49999999988</v>
      </c>
      <c r="BP827" s="2">
        <f>SUM(BP$2:BP317)+AJ317*C317</f>
        <v>22135.500000000015</v>
      </c>
      <c r="BQ827" s="2">
        <f>SUM(BQ$2:BQ317)+AK317*D317</f>
        <v>202038.09999999992</v>
      </c>
      <c r="BR827" s="2">
        <f>SUM(BR$2:BR317)+AL317*E317</f>
        <v>61763.099999999962</v>
      </c>
      <c r="BS827" s="2">
        <f>SUM(BS$2:BS317)+AM317*F317</f>
        <v>14094.200000000012</v>
      </c>
      <c r="BT827" s="2">
        <f>SUM(BT$2:BT317)+AN317*G317</f>
        <v>6285.3999999999942</v>
      </c>
      <c r="BU827" s="2">
        <f>SUM(BU$2:BU317)+AO317*H317</f>
        <v>-2938.2000000000116</v>
      </c>
      <c r="BV827" s="2">
        <f>SUM(BV$2:BV317)+AP317*I317</f>
        <v>-1532.8000000000175</v>
      </c>
      <c r="BW827" s="2">
        <f>SUM(BW$2:BW317)+AQ317*J317</f>
        <v>17720</v>
      </c>
      <c r="BX827" s="2">
        <f>SUM(BX$2:BX317)+AR317*K317</f>
        <v>13940</v>
      </c>
      <c r="BY827" s="2">
        <f>SUM(BY$2:BY317)+AS317*L317</f>
        <v>-5288.2000000000116</v>
      </c>
      <c r="BZ827" s="2">
        <f>SUM(BZ$2:BZ317)+AT317*M317</f>
        <v>740</v>
      </c>
      <c r="CA827" s="2">
        <f>SUM(CA$2:CA317)+AU317*N317</f>
        <v>12660</v>
      </c>
      <c r="CB827" s="2">
        <f>SUM(CB$2:CB317)+AV317*O317</f>
        <v>26740</v>
      </c>
      <c r="CC827" s="2">
        <f>SUM(CC$2:CC317)+AW317*P317</f>
        <v>-20</v>
      </c>
      <c r="CD827" s="2">
        <f>SUM(CD$2:CD317)+AX317*Q317</f>
        <v>14050</v>
      </c>
      <c r="CE827" s="2">
        <f>SUM(CE$2:CE317)+AY317*R317</f>
        <v>27020</v>
      </c>
      <c r="CF827" s="2">
        <f>SUM(CF$2:CF317)+AZ317*S317</f>
        <v>-3112.2500000000146</v>
      </c>
      <c r="CG827" s="2">
        <f>SUM(CG$2:CG317)+BA317*T317</f>
        <v>30533.789999999979</v>
      </c>
      <c r="CH827" s="2">
        <f>SUM(CH$2:CH317)+BB317*U317</f>
        <v>18493.830000000031</v>
      </c>
      <c r="CI827" s="2">
        <f>SUM(CI$2:CI317)+BC317*V317</f>
        <v>-5870</v>
      </c>
      <c r="CJ827" s="2">
        <f>SUM(CJ$2:CJ317)+BD317*W317</f>
        <v>41315</v>
      </c>
      <c r="CK827" s="2">
        <f>SUM(CK$2:CK317)+BE317*X317</f>
        <v>109230</v>
      </c>
      <c r="CL827" s="2">
        <f>SUM(CL$2:CL317)+BF317*Y317</f>
        <v>208620</v>
      </c>
      <c r="CM827" s="2">
        <f>SUM(CM$2:CM317)+BG317*Z317</f>
        <v>127400</v>
      </c>
      <c r="CN827" s="2">
        <f>SUM(CN$2:CN317)+BH317*AA317</f>
        <v>120137.5</v>
      </c>
      <c r="CO827" s="2">
        <f>SUM(CO$2:CO317)+BI317*AB317</f>
        <v>-9140</v>
      </c>
      <c r="CP827" s="2">
        <f>SUM(CP$2:CP317)+BJ317*AC317</f>
        <v>21010</v>
      </c>
      <c r="CQ827" s="2">
        <f>SUM(CQ$2:CQ317)+BK317*AD317</f>
        <v>20910.000000000007</v>
      </c>
      <c r="CR827" s="2">
        <f>SUM(CR$2:CR317)+BL317*AE317</f>
        <v>-10220</v>
      </c>
      <c r="CV827" t="s">
        <v>64</v>
      </c>
      <c r="CW827" t="s">
        <v>900</v>
      </c>
      <c r="CX827" t="s">
        <v>19</v>
      </c>
      <c r="CY827" s="4">
        <v>42753</v>
      </c>
      <c r="CZ827" t="s">
        <v>65</v>
      </c>
      <c r="DA827" t="s">
        <v>66</v>
      </c>
      <c r="DB827">
        <v>46</v>
      </c>
      <c r="DC827">
        <v>60.09</v>
      </c>
      <c r="DD827" t="s">
        <v>69</v>
      </c>
      <c r="DE827" t="s">
        <v>70</v>
      </c>
      <c r="DF827">
        <v>2764.1400000000003</v>
      </c>
    </row>
    <row r="828" spans="66:110" x14ac:dyDescent="0.25">
      <c r="BN828" s="1">
        <f t="shared" si="339"/>
        <v>43196</v>
      </c>
      <c r="BO828" s="2">
        <f>SUM(BO$2:BO318)+AI318*B318</f>
        <v>157687.49999999988</v>
      </c>
      <c r="BP828" s="2">
        <f>SUM(BP$2:BP318)+AJ318*C318</f>
        <v>19366.100000000006</v>
      </c>
      <c r="BQ828" s="2">
        <f>SUM(BQ$2:BQ318)+AK318*D318</f>
        <v>189728.29999999993</v>
      </c>
      <c r="BR828" s="2">
        <f>SUM(BR$2:BR318)+AL318*E318</f>
        <v>55638.699999999968</v>
      </c>
      <c r="BS828" s="2">
        <f>SUM(BS$2:BS318)+AM318*F318</f>
        <v>12801.000000000015</v>
      </c>
      <c r="BT828" s="2">
        <f>SUM(BT$2:BT318)+AN318*G318</f>
        <v>3320.7999999999884</v>
      </c>
      <c r="BU828" s="2">
        <f>SUM(BU$2:BU318)+AO318*H318</f>
        <v>-5061</v>
      </c>
      <c r="BV828" s="2">
        <f>SUM(BV$2:BV318)+AP318*I318</f>
        <v>-3402.8000000000175</v>
      </c>
      <c r="BW828" s="2">
        <f>SUM(BW$2:BW318)+AQ318*J318</f>
        <v>11950</v>
      </c>
      <c r="BX828" s="2">
        <f>SUM(BX$2:BX318)+AR318*K318</f>
        <v>13940</v>
      </c>
      <c r="BY828" s="2">
        <f>SUM(BY$2:BY318)+AS318*L318</f>
        <v>-5321.2000000000116</v>
      </c>
      <c r="BZ828" s="2">
        <f>SUM(BZ$2:BZ318)+AT318*M318</f>
        <v>740</v>
      </c>
      <c r="CA828" s="2">
        <f>SUM(CA$2:CA318)+AU318*N318</f>
        <v>12660</v>
      </c>
      <c r="CB828" s="2">
        <f>SUM(CB$2:CB318)+AV318*O318</f>
        <v>26740</v>
      </c>
      <c r="CC828" s="2">
        <f>SUM(CC$2:CC318)+AW318*P318</f>
        <v>-20</v>
      </c>
      <c r="CD828" s="2">
        <f>SUM(CD$2:CD318)+AX318*Q318</f>
        <v>14050</v>
      </c>
      <c r="CE828" s="2">
        <f>SUM(CE$2:CE318)+AY318*R318</f>
        <v>27020</v>
      </c>
      <c r="CF828" s="2">
        <f>SUM(CF$2:CF318)+AZ318*S318</f>
        <v>-4293.2900000000154</v>
      </c>
      <c r="CG828" s="2">
        <f>SUM(CG$2:CG318)+BA318*T318</f>
        <v>28250.549999999967</v>
      </c>
      <c r="CH828" s="2">
        <f>SUM(CH$2:CH318)+BB318*U318</f>
        <v>16433.430000000037</v>
      </c>
      <c r="CI828" s="2">
        <f>SUM(CI$2:CI318)+BC318*V318</f>
        <v>-5320</v>
      </c>
      <c r="CJ828" s="2">
        <f>SUM(CJ$2:CJ318)+BD318*W318</f>
        <v>43940</v>
      </c>
      <c r="CK828" s="2">
        <f>SUM(CK$2:CK318)+BE318*X318</f>
        <v>99180</v>
      </c>
      <c r="CL828" s="2">
        <f>SUM(CL$2:CL318)+BF318*Y318</f>
        <v>193440</v>
      </c>
      <c r="CM828" s="2">
        <f>SUM(CM$2:CM318)+BG318*Z318</f>
        <v>112750</v>
      </c>
      <c r="CN828" s="2">
        <f>SUM(CN$2:CN318)+BH318*AA318</f>
        <v>106257.5</v>
      </c>
      <c r="CO828" s="2">
        <f>SUM(CO$2:CO318)+BI318*AB318</f>
        <v>-11330</v>
      </c>
      <c r="CP828" s="2">
        <f>SUM(CP$2:CP318)+BJ318*AC318</f>
        <v>22735</v>
      </c>
      <c r="CQ828" s="2">
        <f>SUM(CQ$2:CQ318)+BK318*AD318</f>
        <v>19810.000000000007</v>
      </c>
      <c r="CR828" s="2">
        <f>SUM(CR$2:CR318)+BL318*AE318</f>
        <v>-11320</v>
      </c>
      <c r="CV828" t="s">
        <v>64</v>
      </c>
      <c r="CW828" t="s">
        <v>901</v>
      </c>
      <c r="CX828" t="s">
        <v>19</v>
      </c>
      <c r="CY828" s="4">
        <v>42754</v>
      </c>
      <c r="CZ828" t="s">
        <v>67</v>
      </c>
      <c r="DA828" t="s">
        <v>68</v>
      </c>
      <c r="DB828">
        <v>10</v>
      </c>
      <c r="DC828">
        <v>59.9</v>
      </c>
      <c r="DD828" t="s">
        <v>69</v>
      </c>
      <c r="DE828" t="s">
        <v>70</v>
      </c>
      <c r="DF828">
        <v>599</v>
      </c>
    </row>
    <row r="829" spans="66:110" x14ac:dyDescent="0.25">
      <c r="BN829" s="1">
        <f t="shared" si="339"/>
        <v>43199</v>
      </c>
      <c r="BO829" s="2">
        <f>SUM(BO$2:BO319)+AI319*B319</f>
        <v>165937.49999999988</v>
      </c>
      <c r="BP829" s="2">
        <f>SUM(BP$2:BP319)+AJ319*C319</f>
        <v>19646.700000000012</v>
      </c>
      <c r="BQ829" s="2">
        <f>SUM(BQ$2:BQ319)+AK319*D319</f>
        <v>185385.09999999992</v>
      </c>
      <c r="BR829" s="2">
        <f>SUM(BR$2:BR319)+AL319*E319</f>
        <v>55748.499999999956</v>
      </c>
      <c r="BS829" s="2">
        <f>SUM(BS$2:BS319)+AM319*F319</f>
        <v>13325.600000000013</v>
      </c>
      <c r="BT829" s="2">
        <f>SUM(BT$2:BT319)+AN319*G319</f>
        <v>4748.1999999999825</v>
      </c>
      <c r="BU829" s="2">
        <f>SUM(BU$2:BU319)+AO319*H319</f>
        <v>-5841.8000000000029</v>
      </c>
      <c r="BV829" s="2">
        <f>SUM(BV$2:BV319)+AP319*I319</f>
        <v>-3424.8000000000175</v>
      </c>
      <c r="BW829" s="2">
        <f>SUM(BW$2:BW319)+AQ319*J319</f>
        <v>14140</v>
      </c>
      <c r="BX829" s="2">
        <f>SUM(BX$2:BX319)+AR319*K319</f>
        <v>13940</v>
      </c>
      <c r="BY829" s="2">
        <f>SUM(BY$2:BY319)+AS319*L319</f>
        <v>-5301.0000000000118</v>
      </c>
      <c r="BZ829" s="2">
        <f>SUM(BZ$2:BZ319)+AT319*M319</f>
        <v>740</v>
      </c>
      <c r="CA829" s="2">
        <f>SUM(CA$2:CA319)+AU319*N319</f>
        <v>12660</v>
      </c>
      <c r="CB829" s="2">
        <f>SUM(CB$2:CB319)+AV319*O319</f>
        <v>26740</v>
      </c>
      <c r="CC829" s="2">
        <f>SUM(CC$2:CC319)+AW319*P319</f>
        <v>-20</v>
      </c>
      <c r="CD829" s="2">
        <f>SUM(CD$2:CD319)+AX319*Q319</f>
        <v>14050</v>
      </c>
      <c r="CE829" s="2">
        <f>SUM(CE$2:CE319)+AY319*R319</f>
        <v>27020</v>
      </c>
      <c r="CF829" s="2">
        <f>SUM(CF$2:CF319)+AZ319*S319</f>
        <v>-1542.3300000000163</v>
      </c>
      <c r="CG829" s="2">
        <f>SUM(CG$2:CG319)+BA319*T319</f>
        <v>28803.339999999967</v>
      </c>
      <c r="CH829" s="2">
        <f>SUM(CH$2:CH319)+BB319*U319</f>
        <v>16093.400000000031</v>
      </c>
      <c r="CI829" s="2">
        <f>SUM(CI$2:CI319)+BC319*V319</f>
        <v>-5600</v>
      </c>
      <c r="CJ829" s="2">
        <f>SUM(CJ$2:CJ319)+BD319*W319</f>
        <v>45890</v>
      </c>
      <c r="CK829" s="2">
        <f>SUM(CK$2:CK319)+BE319*X319</f>
        <v>99080</v>
      </c>
      <c r="CL829" s="2">
        <f>SUM(CL$2:CL319)+BF319*Y319</f>
        <v>189780</v>
      </c>
      <c r="CM829" s="2">
        <f>SUM(CM$2:CM319)+BG319*Z319</f>
        <v>110100</v>
      </c>
      <c r="CN829" s="2">
        <f>SUM(CN$2:CN319)+BH319*AA319</f>
        <v>111657.5</v>
      </c>
      <c r="CO829" s="2">
        <f>SUM(CO$2:CO319)+BI319*AB319</f>
        <v>-11240</v>
      </c>
      <c r="CP829" s="2">
        <f>SUM(CP$2:CP319)+BJ319*AC319</f>
        <v>23650</v>
      </c>
      <c r="CQ829" s="2">
        <f>SUM(CQ$2:CQ319)+BK319*AD319</f>
        <v>19400.000000000007</v>
      </c>
      <c r="CR829" s="2">
        <f>SUM(CR$2:CR319)+BL319*AE319</f>
        <v>-11320</v>
      </c>
      <c r="CV829" t="s">
        <v>64</v>
      </c>
      <c r="CW829" t="s">
        <v>902</v>
      </c>
      <c r="CX829" t="s">
        <v>19</v>
      </c>
      <c r="CY829" s="4">
        <v>42755</v>
      </c>
      <c r="CZ829" t="s">
        <v>67</v>
      </c>
      <c r="DA829" t="s">
        <v>68</v>
      </c>
      <c r="DB829">
        <v>23</v>
      </c>
      <c r="DC829">
        <v>60.33</v>
      </c>
      <c r="DD829" t="s">
        <v>69</v>
      </c>
      <c r="DE829" t="s">
        <v>70</v>
      </c>
      <c r="DF829">
        <v>1387.59</v>
      </c>
    </row>
    <row r="830" spans="66:110" x14ac:dyDescent="0.25">
      <c r="BN830" s="1">
        <f t="shared" si="339"/>
        <v>43200</v>
      </c>
      <c r="BO830" s="2">
        <f>SUM(BO$2:BO320)+AI320*B320</f>
        <v>181687.49999999988</v>
      </c>
      <c r="BP830" s="2">
        <f>SUM(BP$2:BP320)+AJ320*C320</f>
        <v>20683.700000000012</v>
      </c>
      <c r="BQ830" s="2">
        <f>SUM(BQ$2:BQ320)+AK320*D320</f>
        <v>200159.29999999993</v>
      </c>
      <c r="BR830" s="2">
        <f>SUM(BR$2:BR320)+AL320*E320</f>
        <v>61714.299999999974</v>
      </c>
      <c r="BS830" s="2">
        <f>SUM(BS$2:BS320)+AM320*F320</f>
        <v>14923.80000000001</v>
      </c>
      <c r="BT830" s="2">
        <f>SUM(BT$2:BT320)+AN320*G320</f>
        <v>8115.3999999999942</v>
      </c>
      <c r="BU830" s="2">
        <f>SUM(BU$2:BU320)+AO320*H320</f>
        <v>-3828.8000000000029</v>
      </c>
      <c r="BV830" s="2">
        <f>SUM(BV$2:BV320)+AP320*I320</f>
        <v>-1048.8000000000175</v>
      </c>
      <c r="BW830" s="2">
        <f>SUM(BW$2:BW320)+AQ320*J320</f>
        <v>18470</v>
      </c>
      <c r="BX830" s="2">
        <f>SUM(BX$2:BX320)+AR320*K320</f>
        <v>13940</v>
      </c>
      <c r="BY830" s="2">
        <f>SUM(BY$2:BY320)+AS320*L320</f>
        <v>-5275.2000000000116</v>
      </c>
      <c r="BZ830" s="2">
        <f>SUM(BZ$2:BZ320)+AT320*M320</f>
        <v>740</v>
      </c>
      <c r="CA830" s="2">
        <f>SUM(CA$2:CA320)+AU320*N320</f>
        <v>12660</v>
      </c>
      <c r="CB830" s="2">
        <f>SUM(CB$2:CB320)+AV320*O320</f>
        <v>26740</v>
      </c>
      <c r="CC830" s="2">
        <f>SUM(CC$2:CC320)+AW320*P320</f>
        <v>-20</v>
      </c>
      <c r="CD830" s="2">
        <f>SUM(CD$2:CD320)+AX320*Q320</f>
        <v>14050</v>
      </c>
      <c r="CE830" s="2">
        <f>SUM(CE$2:CE320)+AY320*R320</f>
        <v>27020</v>
      </c>
      <c r="CF830" s="2">
        <f>SUM(CF$2:CF320)+AZ320*S320</f>
        <v>-1223.2900000000154</v>
      </c>
      <c r="CG830" s="2">
        <f>SUM(CG$2:CG320)+BA320*T320</f>
        <v>30916.32999999998</v>
      </c>
      <c r="CH830" s="2">
        <f>SUM(CH$2:CH320)+BB320*U320</f>
        <v>15929.960000000036</v>
      </c>
      <c r="CI830" s="2">
        <f>SUM(CI$2:CI320)+BC320*V320</f>
        <v>-6080</v>
      </c>
      <c r="CJ830" s="2">
        <f>SUM(CJ$2:CJ320)+BD320*W320</f>
        <v>44390</v>
      </c>
      <c r="CK830" s="2">
        <f>SUM(CK$2:CK320)+BE320*X320</f>
        <v>102180</v>
      </c>
      <c r="CL830" s="2">
        <f>SUM(CL$2:CL320)+BF320*Y320</f>
        <v>201840</v>
      </c>
      <c r="CM830" s="2">
        <f>SUM(CM$2:CM320)+BG320*Z320</f>
        <v>113700</v>
      </c>
      <c r="CN830" s="2">
        <f>SUM(CN$2:CN320)+BH320*AA320</f>
        <v>121257.5</v>
      </c>
      <c r="CO830" s="2">
        <f>SUM(CO$2:CO320)+BI320*AB320</f>
        <v>-7310</v>
      </c>
      <c r="CP830" s="2">
        <f>SUM(CP$2:CP320)+BJ320*AC320</f>
        <v>22315</v>
      </c>
      <c r="CQ830" s="2">
        <f>SUM(CQ$2:CQ320)+BK320*AD320</f>
        <v>19570.000000000007</v>
      </c>
      <c r="CR830" s="2">
        <f>SUM(CR$2:CR320)+BL320*AE320</f>
        <v>-9210</v>
      </c>
      <c r="CV830" t="s">
        <v>64</v>
      </c>
      <c r="CW830" t="s">
        <v>903</v>
      </c>
      <c r="CX830" t="s">
        <v>19</v>
      </c>
      <c r="CY830" s="4">
        <v>42758</v>
      </c>
      <c r="CZ830" t="s">
        <v>67</v>
      </c>
      <c r="DA830" t="s">
        <v>68</v>
      </c>
      <c r="DB830">
        <v>38</v>
      </c>
      <c r="DC830">
        <v>60.54</v>
      </c>
      <c r="DD830" t="s">
        <v>69</v>
      </c>
      <c r="DE830" t="s">
        <v>70</v>
      </c>
      <c r="DF830">
        <v>2300.52</v>
      </c>
    </row>
    <row r="831" spans="66:110" x14ac:dyDescent="0.25">
      <c r="BN831" s="1">
        <f t="shared" si="339"/>
        <v>43201</v>
      </c>
      <c r="BO831" s="2">
        <f>SUM(BO$2:BO321)+AI321*B321</f>
        <v>177687.49999999988</v>
      </c>
      <c r="BP831" s="2">
        <f>SUM(BP$2:BP321)+AJ321*C321</f>
        <v>18987.900000000009</v>
      </c>
      <c r="BQ831" s="2">
        <f>SUM(BQ$2:BQ321)+AK321*D321</f>
        <v>191216.6999999999</v>
      </c>
      <c r="BR831" s="2">
        <f>SUM(BR$2:BR321)+AL321*E321</f>
        <v>60164.899999999951</v>
      </c>
      <c r="BS831" s="2">
        <f>SUM(BS$2:BS321)+AM321*F321</f>
        <v>14826.200000000012</v>
      </c>
      <c r="BT831" s="2">
        <f>SUM(BT$2:BT321)+AN321*G321</f>
        <v>8591.2000000000116</v>
      </c>
      <c r="BU831" s="2">
        <f>SUM(BU$2:BU321)+AO321*H321</f>
        <v>-4512</v>
      </c>
      <c r="BV831" s="2">
        <f>SUM(BV$2:BV321)+AP321*I321</f>
        <v>-2302.8000000000175</v>
      </c>
      <c r="BW831" s="2">
        <f>SUM(BW$2:BW321)+AQ321*J321</f>
        <v>14880</v>
      </c>
      <c r="BX831" s="2">
        <f>SUM(BX$2:BX321)+AR321*K321</f>
        <v>13940</v>
      </c>
      <c r="BY831" s="2">
        <f>SUM(BY$2:BY321)+AS321*L321</f>
        <v>-5275.5000000000118</v>
      </c>
      <c r="BZ831" s="2">
        <f>SUM(BZ$2:BZ321)+AT321*M321</f>
        <v>740</v>
      </c>
      <c r="CA831" s="2">
        <f>SUM(CA$2:CA321)+AU321*N321</f>
        <v>12660</v>
      </c>
      <c r="CB831" s="2">
        <f>SUM(CB$2:CB321)+AV321*O321</f>
        <v>26740</v>
      </c>
      <c r="CC831" s="2">
        <f>SUM(CC$2:CC321)+AW321*P321</f>
        <v>-20</v>
      </c>
      <c r="CD831" s="2">
        <f>SUM(CD$2:CD321)+AX321*Q321</f>
        <v>14050</v>
      </c>
      <c r="CE831" s="2">
        <f>SUM(CE$2:CE321)+AY321*R321</f>
        <v>27020</v>
      </c>
      <c r="CF831" s="2">
        <f>SUM(CF$2:CF321)+AZ321*S321</f>
        <v>-1491.5300000000207</v>
      </c>
      <c r="CG831" s="2">
        <f>SUM(CG$2:CG321)+BA321*T321</f>
        <v>29875.019999999975</v>
      </c>
      <c r="CH831" s="2">
        <f>SUM(CH$2:CH321)+BB321*U321</f>
        <v>15758.260000000038</v>
      </c>
      <c r="CI831" s="2">
        <f>SUM(CI$2:CI321)+BC321*V321</f>
        <v>-5920</v>
      </c>
      <c r="CJ831" s="2">
        <f>SUM(CJ$2:CJ321)+BD321*W321</f>
        <v>45140</v>
      </c>
      <c r="CK831" s="2">
        <f>SUM(CK$2:CK321)+BE321*X321</f>
        <v>95980</v>
      </c>
      <c r="CL831" s="2">
        <f>SUM(CL$2:CL321)+BF321*Y321</f>
        <v>187320</v>
      </c>
      <c r="CM831" s="2">
        <f>SUM(CM$2:CM321)+BG321*Z321</f>
        <v>111200</v>
      </c>
      <c r="CN831" s="2">
        <f>SUM(CN$2:CN321)+BH321*AA321</f>
        <v>116607.5</v>
      </c>
      <c r="CO831" s="2">
        <f>SUM(CO$2:CO321)+BI321*AB321</f>
        <v>-9320</v>
      </c>
      <c r="CP831" s="2">
        <f>SUM(CP$2:CP321)+BJ321*AC321</f>
        <v>21805</v>
      </c>
      <c r="CQ831" s="2">
        <f>SUM(CQ$2:CQ321)+BK321*AD321</f>
        <v>19040.000000000007</v>
      </c>
      <c r="CR831" s="2">
        <f>SUM(CR$2:CR321)+BL321*AE321</f>
        <v>-8870</v>
      </c>
      <c r="CV831" t="s">
        <v>64</v>
      </c>
      <c r="CW831" t="s">
        <v>904</v>
      </c>
      <c r="CX831" t="s">
        <v>19</v>
      </c>
      <c r="CY831" s="4">
        <v>42759</v>
      </c>
      <c r="CZ831" t="s">
        <v>67</v>
      </c>
      <c r="DA831" t="s">
        <v>68</v>
      </c>
      <c r="DB831">
        <v>17</v>
      </c>
      <c r="DC831">
        <v>61.08</v>
      </c>
      <c r="DD831" t="s">
        <v>69</v>
      </c>
      <c r="DE831" t="s">
        <v>70</v>
      </c>
      <c r="DF831">
        <v>1038.3599999999999</v>
      </c>
    </row>
    <row r="832" spans="66:110" x14ac:dyDescent="0.25">
      <c r="BN832" s="1">
        <f t="shared" si="339"/>
        <v>43202</v>
      </c>
      <c r="BO832" s="2">
        <f>SUM(BO$2:BO322)+AI322*B322</f>
        <v>186087.49999999988</v>
      </c>
      <c r="BP832" s="2">
        <f>SUM(BP$2:BP322)+AJ322*C322</f>
        <v>21110.700000000012</v>
      </c>
      <c r="BQ832" s="2">
        <f>SUM(BQ$2:BQ322)+AK322*D322</f>
        <v>203331.29999999987</v>
      </c>
      <c r="BR832" s="2">
        <f>SUM(BR$2:BR322)+AL322*E322</f>
        <v>64154.299999999974</v>
      </c>
      <c r="BS832" s="2">
        <f>SUM(BS$2:BS322)+AM322*F322</f>
        <v>15912.000000000015</v>
      </c>
      <c r="BT832" s="2">
        <f>SUM(BT$2:BT322)+AN322*G322</f>
        <v>8566.8000000000175</v>
      </c>
      <c r="BU832" s="2">
        <f>SUM(BU$2:BU322)+AO322*H322</f>
        <v>-5012.2000000000116</v>
      </c>
      <c r="BV832" s="2">
        <f>SUM(BV$2:BV322)+AP322*I322</f>
        <v>-421.80000000001746</v>
      </c>
      <c r="BW832" s="2">
        <f>SUM(BW$2:BW322)+AQ322*J322</f>
        <v>21459.999999999971</v>
      </c>
      <c r="BX832" s="2">
        <f>SUM(BX$2:BX322)+AR322*K322</f>
        <v>13940</v>
      </c>
      <c r="BY832" s="2">
        <f>SUM(BY$2:BY322)+AS322*L322</f>
        <v>-5249.6000000000113</v>
      </c>
      <c r="BZ832" s="2">
        <f>SUM(BZ$2:BZ322)+AT322*M322</f>
        <v>740</v>
      </c>
      <c r="CA832" s="2">
        <f>SUM(CA$2:CA322)+AU322*N322</f>
        <v>12660</v>
      </c>
      <c r="CB832" s="2">
        <f>SUM(CB$2:CB322)+AV322*O322</f>
        <v>26740</v>
      </c>
      <c r="CC832" s="2">
        <f>SUM(CC$2:CC322)+AW322*P322</f>
        <v>-20</v>
      </c>
      <c r="CD832" s="2">
        <f>SUM(CD$2:CD322)+AX322*Q322</f>
        <v>14050</v>
      </c>
      <c r="CE832" s="2">
        <f>SUM(CE$2:CE322)+AY322*R322</f>
        <v>27020</v>
      </c>
      <c r="CF832" s="2">
        <f>SUM(CF$2:CF322)+AZ322*S322</f>
        <v>-974.13000000001921</v>
      </c>
      <c r="CG832" s="2">
        <f>SUM(CG$2:CG322)+BA322*T322</f>
        <v>31440.719999999979</v>
      </c>
      <c r="CH832" s="2">
        <f>SUM(CH$2:CH322)+BB322*U322</f>
        <v>16787.560000000027</v>
      </c>
      <c r="CI832" s="2">
        <f>SUM(CI$2:CI322)+BC322*V322</f>
        <v>-6440</v>
      </c>
      <c r="CJ832" s="2">
        <f>SUM(CJ$2:CJ322)+BD322*W322</f>
        <v>48590</v>
      </c>
      <c r="CK832" s="2">
        <f>SUM(CK$2:CK322)+BE322*X322</f>
        <v>99380</v>
      </c>
      <c r="CL832" s="2">
        <f>SUM(CL$2:CL322)+BF322*Y322</f>
        <v>194280</v>
      </c>
      <c r="CM832" s="2">
        <f>SUM(CM$2:CM322)+BG322*Z322</f>
        <v>115150</v>
      </c>
      <c r="CN832" s="2">
        <f>SUM(CN$2:CN322)+BH322*AA322</f>
        <v>123007.5</v>
      </c>
      <c r="CO832" s="2">
        <f>SUM(CO$2:CO322)+BI322*AB322</f>
        <v>-8870</v>
      </c>
      <c r="CP832" s="2">
        <f>SUM(CP$2:CP322)+BJ322*AC322</f>
        <v>21895</v>
      </c>
      <c r="CQ832" s="2">
        <f>SUM(CQ$2:CQ322)+BK322*AD322</f>
        <v>18570.000000000007</v>
      </c>
      <c r="CR832" s="2">
        <f>SUM(CR$2:CR322)+BL322*AE322</f>
        <v>-9070</v>
      </c>
      <c r="CV832" t="s">
        <v>64</v>
      </c>
      <c r="CW832" t="s">
        <v>905</v>
      </c>
      <c r="CX832" t="s">
        <v>19</v>
      </c>
      <c r="CY832" s="4">
        <v>42760</v>
      </c>
      <c r="CZ832" t="s">
        <v>67</v>
      </c>
      <c r="DA832" t="s">
        <v>68</v>
      </c>
      <c r="DB832">
        <v>9</v>
      </c>
      <c r="DC832">
        <v>61.23</v>
      </c>
      <c r="DD832" t="s">
        <v>69</v>
      </c>
      <c r="DE832" t="s">
        <v>70</v>
      </c>
      <c r="DF832">
        <v>551.06999999999994</v>
      </c>
    </row>
    <row r="833" spans="66:110" x14ac:dyDescent="0.25">
      <c r="BN833" s="1">
        <f t="shared" si="339"/>
        <v>43203</v>
      </c>
      <c r="BO833" s="2">
        <f>SUM(BO$2:BO323)+AI323*B323</f>
        <v>188987.5</v>
      </c>
      <c r="BP833" s="2">
        <f>SUM(BP$2:BP323)+AJ323*C323</f>
        <v>20720.300000000003</v>
      </c>
      <c r="BQ833" s="2">
        <f>SUM(BQ$2:BQ323)+AK323*D323</f>
        <v>193510.29999999993</v>
      </c>
      <c r="BR833" s="2">
        <f>SUM(BR$2:BR323)+AL323*E323</f>
        <v>64264.099999999962</v>
      </c>
      <c r="BS833" s="2">
        <f>SUM(BS$2:BS323)+AM323*F323</f>
        <v>15509.400000000016</v>
      </c>
      <c r="BT833" s="2">
        <f>SUM(BT$2:BT323)+AN323*G323</f>
        <v>9372</v>
      </c>
      <c r="BU833" s="2">
        <f>SUM(BU$2:BU323)+AO323*H323</f>
        <v>-5061</v>
      </c>
      <c r="BV833" s="2">
        <f>SUM(BV$2:BV323)+AP323*I323</f>
        <v>-751.80000000001746</v>
      </c>
      <c r="BW833" s="2">
        <f>SUM(BW$2:BW323)+AQ323*J323</f>
        <v>17830</v>
      </c>
      <c r="BX833" s="2">
        <f>SUM(BX$2:BX323)+AR323*K323</f>
        <v>13940</v>
      </c>
      <c r="BY833" s="2">
        <f>SUM(BY$2:BY323)+AS323*L323</f>
        <v>-5262.6000000000113</v>
      </c>
      <c r="BZ833" s="2">
        <f>SUM(BZ$2:BZ323)+AT323*M323</f>
        <v>740</v>
      </c>
      <c r="CA833" s="2">
        <f>SUM(CA$2:CA323)+AU323*N323</f>
        <v>12660</v>
      </c>
      <c r="CB833" s="2">
        <f>SUM(CB$2:CB323)+AV323*O323</f>
        <v>26740</v>
      </c>
      <c r="CC833" s="2">
        <f>SUM(CC$2:CC323)+AW323*P323</f>
        <v>-20</v>
      </c>
      <c r="CD833" s="2">
        <f>SUM(CD$2:CD323)+AX323*Q323</f>
        <v>14050</v>
      </c>
      <c r="CE833" s="2">
        <f>SUM(CE$2:CE323)+AY323*R323</f>
        <v>27020</v>
      </c>
      <c r="CF833" s="2">
        <f>SUM(CF$2:CF323)+AZ323*S323</f>
        <v>-533.97000000002299</v>
      </c>
      <c r="CG833" s="2">
        <f>SUM(CG$2:CG323)+BA323*T323</f>
        <v>30958.069999999992</v>
      </c>
      <c r="CH833" s="2">
        <f>SUM(CH$2:CH323)+BB323*U323</f>
        <v>16230.640000000036</v>
      </c>
      <c r="CI833" s="2">
        <f>SUM(CI$2:CI323)+BC323*V323</f>
        <v>-6440</v>
      </c>
      <c r="CJ833" s="2">
        <f>SUM(CJ$2:CJ323)+BD323*W323</f>
        <v>44390</v>
      </c>
      <c r="CK833" s="2">
        <f>SUM(CK$2:CK323)+BE323*X323</f>
        <v>94480.000000000116</v>
      </c>
      <c r="CL833" s="2">
        <f>SUM(CL$2:CL323)+BF323*Y323</f>
        <v>194400</v>
      </c>
      <c r="CM833" s="2">
        <f>SUM(CM$2:CM323)+BG323*Z323</f>
        <v>112500</v>
      </c>
      <c r="CN833" s="2">
        <f>SUM(CN$2:CN323)+BH323*AA323</f>
        <v>121407.5</v>
      </c>
      <c r="CO833" s="2">
        <f>SUM(CO$2:CO323)+BI323*AB323</f>
        <v>-9080</v>
      </c>
      <c r="CP833" s="2">
        <f>SUM(CP$2:CP323)+BJ323*AC323</f>
        <v>22225</v>
      </c>
      <c r="CQ833" s="2">
        <f>SUM(CQ$2:CQ323)+BK323*AD323</f>
        <v>19150.000000000007</v>
      </c>
      <c r="CR833" s="2">
        <f>SUM(CR$2:CR323)+BL323*AE323</f>
        <v>-8470</v>
      </c>
      <c r="CV833" t="s">
        <v>64</v>
      </c>
      <c r="CW833" t="s">
        <v>906</v>
      </c>
      <c r="CX833" t="s">
        <v>19</v>
      </c>
      <c r="CY833" s="4">
        <v>42761</v>
      </c>
      <c r="CZ833" t="s">
        <v>65</v>
      </c>
      <c r="DA833" t="s">
        <v>66</v>
      </c>
      <c r="DB833">
        <v>66</v>
      </c>
      <c r="DC833">
        <v>61.8</v>
      </c>
      <c r="DD833" t="s">
        <v>69</v>
      </c>
      <c r="DE833" t="s">
        <v>70</v>
      </c>
      <c r="DF833">
        <v>4078.7999999999997</v>
      </c>
    </row>
    <row r="834" spans="66:110" x14ac:dyDescent="0.25">
      <c r="BN834" s="1">
        <f t="shared" ref="BN834:BN897" si="340">A324</f>
        <v>43206</v>
      </c>
      <c r="BO834" s="2">
        <f>SUM(BO$2:BO324)+AI324*B324</f>
        <v>194337.49999999988</v>
      </c>
      <c r="BP834" s="2">
        <f>SUM(BP$2:BP324)+AJ324*C324</f>
        <v>21415.700000000012</v>
      </c>
      <c r="BQ834" s="2">
        <f>SUM(BQ$2:BQ324)+AK324*D324</f>
        <v>196499.2999999999</v>
      </c>
      <c r="BR834" s="2">
        <f>SUM(BR$2:BR324)+AL324*E324</f>
        <v>66545.499999999956</v>
      </c>
      <c r="BS834" s="2">
        <f>SUM(BS$2:BS324)+AM324*F324</f>
        <v>15863.200000000012</v>
      </c>
      <c r="BT834" s="2">
        <f>SUM(BT$2:BT324)+AN324*G324</f>
        <v>10299.199999999983</v>
      </c>
      <c r="BU834" s="2">
        <f>SUM(BU$2:BU324)+AO324*H324</f>
        <v>-5183</v>
      </c>
      <c r="BV834" s="2">
        <f>SUM(BV$2:BV324)+AP324*I324</f>
        <v>161.19999999998254</v>
      </c>
      <c r="BW834" s="2">
        <f>SUM(BW$2:BW324)+AQ324*J324</f>
        <v>19770</v>
      </c>
      <c r="BX834" s="2">
        <f>SUM(BX$2:BX324)+AR324*K324</f>
        <v>13940</v>
      </c>
      <c r="BY834" s="2">
        <f>SUM(BY$2:BY324)+AS324*L324</f>
        <v>-5251.300000000012</v>
      </c>
      <c r="BZ834" s="2">
        <f>SUM(BZ$2:BZ324)+AT324*M324</f>
        <v>740</v>
      </c>
      <c r="CA834" s="2">
        <f>SUM(CA$2:CA324)+AU324*N324</f>
        <v>12660</v>
      </c>
      <c r="CB834" s="2">
        <f>SUM(CB$2:CB324)+AV324*O324</f>
        <v>26740</v>
      </c>
      <c r="CC834" s="2">
        <f>SUM(CC$2:CC324)+AW324*P324</f>
        <v>-20</v>
      </c>
      <c r="CD834" s="2">
        <f>SUM(CD$2:CD324)+AX324*Q324</f>
        <v>14050</v>
      </c>
      <c r="CE834" s="2">
        <f>SUM(CE$2:CE324)+AY324*R324</f>
        <v>27020</v>
      </c>
      <c r="CF834" s="2">
        <f>SUM(CF$2:CF324)+AZ324*S324</f>
        <v>940.67999999997846</v>
      </c>
      <c r="CG834" s="2">
        <f>SUM(CG$2:CG324)+BA324*T324</f>
        <v>32039.839999999982</v>
      </c>
      <c r="CH834" s="2">
        <f>SUM(CH$2:CH324)+BB324*U324</f>
        <v>16037.030000000042</v>
      </c>
      <c r="CI834" s="2">
        <f>SUM(CI$2:CI324)+BC324*V324</f>
        <v>-6640</v>
      </c>
      <c r="CJ834" s="2">
        <f>SUM(CJ$2:CJ324)+BD324*W324</f>
        <v>42665</v>
      </c>
      <c r="CK834" s="2">
        <f>SUM(CK$2:CK324)+BE324*X324</f>
        <v>100680</v>
      </c>
      <c r="CL834" s="2">
        <f>SUM(CL$2:CL324)+BF324*Y324</f>
        <v>212340</v>
      </c>
      <c r="CM834" s="2">
        <f>SUM(CM$2:CM324)+BG324*Z324</f>
        <v>117850</v>
      </c>
      <c r="CN834" s="2">
        <f>SUM(CN$2:CN324)+BH324*AA324</f>
        <v>127007.5</v>
      </c>
      <c r="CO834" s="2">
        <f>SUM(CO$2:CO324)+BI324*AB324</f>
        <v>-6980</v>
      </c>
      <c r="CP834" s="2">
        <f>SUM(CP$2:CP324)+BJ324*AC324</f>
        <v>18714.999999999985</v>
      </c>
      <c r="CQ834" s="2">
        <f>SUM(CQ$2:CQ324)+BK324*AD324</f>
        <v>19950.000000000007</v>
      </c>
      <c r="CR834" s="2">
        <f>SUM(CR$2:CR324)+BL324*AE324</f>
        <v>-7800</v>
      </c>
      <c r="CV834" t="s">
        <v>64</v>
      </c>
      <c r="CW834" t="s">
        <v>907</v>
      </c>
      <c r="CX834" t="s">
        <v>19</v>
      </c>
      <c r="CY834" s="4">
        <v>42762</v>
      </c>
      <c r="CZ834" t="s">
        <v>67</v>
      </c>
      <c r="DA834" t="s">
        <v>68</v>
      </c>
      <c r="DB834">
        <v>11</v>
      </c>
      <c r="DC834">
        <v>63.25</v>
      </c>
      <c r="DD834" t="s">
        <v>69</v>
      </c>
      <c r="DE834" t="s">
        <v>70</v>
      </c>
      <c r="DF834">
        <v>695.75</v>
      </c>
    </row>
    <row r="835" spans="66:110" x14ac:dyDescent="0.25">
      <c r="BN835" s="1">
        <f t="shared" si="340"/>
        <v>43207</v>
      </c>
      <c r="BO835" s="2">
        <f>SUM(BO$2:BO325)+AI325*B325</f>
        <v>206287.49999999988</v>
      </c>
      <c r="BP835" s="2">
        <f>SUM(BP$2:BP325)+AJ325*C325</f>
        <v>21723.200000000012</v>
      </c>
      <c r="BQ835" s="2">
        <f>SUM(BQ$2:BQ325)+AK325*D325</f>
        <v>202464.7999999999</v>
      </c>
      <c r="BR835" s="2">
        <f>SUM(BR$2:BR325)+AL325*E325</f>
        <v>67947.699999999968</v>
      </c>
      <c r="BS835" s="2">
        <f>SUM(BS$2:BS325)+AM325*F325</f>
        <v>17413.000000000015</v>
      </c>
      <c r="BT835" s="2">
        <f>SUM(BT$2:BT325)+AN325*G325</f>
        <v>11197.100000000006</v>
      </c>
      <c r="BU835" s="2">
        <f>SUM(BU$2:BU325)+AO325*H325</f>
        <v>-2846.0000000000146</v>
      </c>
      <c r="BV835" s="2">
        <f>SUM(BV$2:BV325)+AP325*I325</f>
        <v>749.49999999998545</v>
      </c>
      <c r="BW835" s="2">
        <f>SUM(BW$2:BW325)+AQ325*J325</f>
        <v>15570</v>
      </c>
      <c r="BX835" s="2">
        <f>SUM(BX$2:BX325)+AR325*K325</f>
        <v>13940</v>
      </c>
      <c r="BY835" s="2">
        <f>SUM(BY$2:BY325)+AS325*L325</f>
        <v>-5222.5000000000118</v>
      </c>
      <c r="BZ835" s="2">
        <f>SUM(BZ$2:BZ325)+AT325*M325</f>
        <v>740</v>
      </c>
      <c r="CA835" s="2">
        <f>SUM(CA$2:CA325)+AU325*N325</f>
        <v>12660</v>
      </c>
      <c r="CB835" s="2">
        <f>SUM(CB$2:CB325)+AV325*O325</f>
        <v>26740</v>
      </c>
      <c r="CC835" s="2">
        <f>SUM(CC$2:CC325)+AW325*P325</f>
        <v>-20</v>
      </c>
      <c r="CD835" s="2">
        <f>SUM(CD$2:CD325)+AX325*Q325</f>
        <v>14050</v>
      </c>
      <c r="CE835" s="2">
        <f>SUM(CE$2:CE325)+AY325*R325</f>
        <v>27020</v>
      </c>
      <c r="CF835" s="2">
        <f>SUM(CF$2:CF325)+AZ325*S325</f>
        <v>1548.2399999999761</v>
      </c>
      <c r="CG835" s="2">
        <f>SUM(CG$2:CG325)+BA325*T325</f>
        <v>34010.079999999973</v>
      </c>
      <c r="CH835" s="2">
        <f>SUM(CH$2:CH325)+BB325*U325</f>
        <v>16478.930000000029</v>
      </c>
      <c r="CI835" s="2">
        <f>SUM(CI$2:CI325)+BC325*V325</f>
        <v>-6450</v>
      </c>
      <c r="CJ835" s="2">
        <f>SUM(CJ$2:CJ325)+BD325*W325</f>
        <v>43940</v>
      </c>
      <c r="CK835" s="2">
        <f>SUM(CK$2:CK325)+BE325*X325</f>
        <v>99629.999999999884</v>
      </c>
      <c r="CL835" s="2">
        <f>SUM(CL$2:CL325)+BF325*Y325</f>
        <v>236790</v>
      </c>
      <c r="CM835" s="2">
        <f>SUM(CM$2:CM325)+BG325*Z325</f>
        <v>121400</v>
      </c>
      <c r="CN835" s="2">
        <f>SUM(CN$2:CN325)+BH325*AA325</f>
        <v>136557.5</v>
      </c>
      <c r="CO835" s="2">
        <f>SUM(CO$2:CO325)+BI325*AB325</f>
        <v>-5630</v>
      </c>
      <c r="CP835" s="2">
        <f>SUM(CP$2:CP325)+BJ325*AC325</f>
        <v>19195</v>
      </c>
      <c r="CQ835" s="2">
        <f>SUM(CQ$2:CQ325)+BK325*AD325</f>
        <v>20990.000000000007</v>
      </c>
      <c r="CR835" s="2">
        <f>SUM(CR$2:CR325)+BL325*AE325</f>
        <v>-8000</v>
      </c>
      <c r="CV835" t="s">
        <v>64</v>
      </c>
      <c r="CW835" t="s">
        <v>908</v>
      </c>
      <c r="CX835" t="s">
        <v>19</v>
      </c>
      <c r="CY835" s="4">
        <v>42765</v>
      </c>
      <c r="CZ835" t="s">
        <v>67</v>
      </c>
      <c r="DA835" t="s">
        <v>68</v>
      </c>
      <c r="DB835">
        <v>38</v>
      </c>
      <c r="DC835">
        <v>62.62</v>
      </c>
      <c r="DD835" t="s">
        <v>69</v>
      </c>
      <c r="DE835" t="s">
        <v>70</v>
      </c>
      <c r="DF835">
        <v>2379.56</v>
      </c>
    </row>
    <row r="836" spans="66:110" x14ac:dyDescent="0.25">
      <c r="BN836" s="1">
        <f t="shared" si="340"/>
        <v>43208</v>
      </c>
      <c r="BO836" s="2">
        <f>SUM(BO$2:BO326)+AI326*B326</f>
        <v>204287.49999999977</v>
      </c>
      <c r="BP836" s="2">
        <f>SUM(BP$2:BP326)+AJ326*C326</f>
        <v>23297.60000000002</v>
      </c>
      <c r="BQ836" s="2">
        <f>SUM(BQ$2:BQ326)+AK326*D326</f>
        <v>207630.79999999996</v>
      </c>
      <c r="BR836" s="2">
        <f>SUM(BR$2:BR326)+AL326*E326</f>
        <v>71121.099999999962</v>
      </c>
      <c r="BS836" s="2">
        <f>SUM(BS$2:BS326)+AM326*F326</f>
        <v>17462.200000000012</v>
      </c>
      <c r="BT836" s="2">
        <f>SUM(BT$2:BT326)+AN326*G326</f>
        <v>13989.199999999983</v>
      </c>
      <c r="BU836" s="2">
        <f>SUM(BU$2:BU326)+AO326*H326</f>
        <v>-4014.5000000000146</v>
      </c>
      <c r="BV836" s="2">
        <f>SUM(BV$2:BV326)+AP326*I326</f>
        <v>1304.4999999999854</v>
      </c>
      <c r="BW836" s="2">
        <f>SUM(BW$2:BW326)+AQ326*J326</f>
        <v>15930</v>
      </c>
      <c r="BX836" s="2">
        <f>SUM(BX$2:BX326)+AR326*K326</f>
        <v>13940</v>
      </c>
      <c r="BY836" s="2">
        <f>SUM(BY$2:BY326)+AS326*L326</f>
        <v>-5338.2000000000116</v>
      </c>
      <c r="BZ836" s="2">
        <f>SUM(BZ$2:BZ326)+AT326*M326</f>
        <v>740</v>
      </c>
      <c r="CA836" s="2">
        <f>SUM(CA$2:CA326)+AU326*N326</f>
        <v>12660</v>
      </c>
      <c r="CB836" s="2">
        <f>SUM(CB$2:CB326)+AV326*O326</f>
        <v>26740</v>
      </c>
      <c r="CC836" s="2">
        <f>SUM(CC$2:CC326)+AW326*P326</f>
        <v>-20</v>
      </c>
      <c r="CD836" s="2">
        <f>SUM(CD$2:CD326)+AX326*Q326</f>
        <v>14050</v>
      </c>
      <c r="CE836" s="2">
        <f>SUM(CE$2:CE326)+AY326*R326</f>
        <v>27020</v>
      </c>
      <c r="CF836" s="2">
        <f>SUM(CF$2:CF326)+AZ326*S326</f>
        <v>1203.1399999999776</v>
      </c>
      <c r="CG836" s="2">
        <f>SUM(CG$2:CG326)+BA326*T326</f>
        <v>34364.679999999986</v>
      </c>
      <c r="CH836" s="2">
        <f>SUM(CH$2:CH326)+BB326*U326</f>
        <v>15236.130000000034</v>
      </c>
      <c r="CI836" s="2">
        <f>SUM(CI$2:CI326)+BC326*V326</f>
        <v>-6600</v>
      </c>
      <c r="CJ836" s="2">
        <f>SUM(CJ$2:CJ326)+BD326*W326</f>
        <v>45590</v>
      </c>
      <c r="CK836" s="2">
        <f>SUM(CK$2:CK326)+BE326*X326</f>
        <v>95380</v>
      </c>
      <c r="CL836" s="2">
        <f>SUM(CL$2:CL326)+BF326*Y326</f>
        <v>230400</v>
      </c>
      <c r="CM836" s="2">
        <f>SUM(CM$2:CM326)+BG326*Z326</f>
        <v>122700</v>
      </c>
      <c r="CN836" s="2">
        <f>SUM(CN$2:CN326)+BH326*AA326</f>
        <v>139957.5</v>
      </c>
      <c r="CO836" s="2">
        <f>SUM(CO$2:CO326)+BI326*AB326</f>
        <v>-6290</v>
      </c>
      <c r="CP836" s="2">
        <f>SUM(CP$2:CP326)+BJ326*AC326</f>
        <v>18635</v>
      </c>
      <c r="CQ836" s="2">
        <f>SUM(CQ$2:CQ326)+BK326*AD326</f>
        <v>20670.000000000007</v>
      </c>
      <c r="CR836" s="2">
        <f>SUM(CR$2:CR326)+BL326*AE326</f>
        <v>-7150</v>
      </c>
      <c r="CV836" t="s">
        <v>64</v>
      </c>
      <c r="CW836" t="s">
        <v>909</v>
      </c>
      <c r="CX836" t="s">
        <v>19</v>
      </c>
      <c r="CY836" s="4">
        <v>42766</v>
      </c>
      <c r="CZ836" t="s">
        <v>65</v>
      </c>
      <c r="DA836" t="s">
        <v>66</v>
      </c>
      <c r="DB836">
        <v>33</v>
      </c>
      <c r="DC836">
        <v>62.16</v>
      </c>
      <c r="DD836" t="s">
        <v>69</v>
      </c>
      <c r="DE836" t="s">
        <v>70</v>
      </c>
      <c r="DF836">
        <v>2051.2799999999997</v>
      </c>
    </row>
    <row r="837" spans="66:110" x14ac:dyDescent="0.25">
      <c r="BN837" s="1">
        <f t="shared" si="340"/>
        <v>43209</v>
      </c>
      <c r="BO837" s="2">
        <f>SUM(BO$2:BO327)+AI327*B327</f>
        <v>179487.49999999988</v>
      </c>
      <c r="BP837" s="2">
        <f>SUM(BP$2:BP327)+AJ327*C327</f>
        <v>32116.700000000012</v>
      </c>
      <c r="BQ837" s="2">
        <f>SUM(BQ$2:BQ327)+AK327*D327</f>
        <v>207187.99999999991</v>
      </c>
      <c r="BR837" s="2">
        <f>SUM(BR$2:BR327)+AL327*E327</f>
        <v>70813.599999999962</v>
      </c>
      <c r="BS837" s="2">
        <f>SUM(BS$2:BS327)+AM327*F327</f>
        <v>17376.100000000013</v>
      </c>
      <c r="BT837" s="2">
        <f>SUM(BT$2:BT327)+AN327*G327</f>
        <v>13853.899999999994</v>
      </c>
      <c r="BU837" s="2">
        <f>SUM(BU$2:BU327)+AO327*H327</f>
        <v>-4395.8000000000175</v>
      </c>
      <c r="BV837" s="2">
        <f>SUM(BV$2:BV327)+AP327*I327</f>
        <v>-360.50000000001455</v>
      </c>
      <c r="BW837" s="2">
        <f>SUM(BW$2:BW327)+AQ327*J327</f>
        <v>16100</v>
      </c>
      <c r="BX837" s="2">
        <f>SUM(BX$2:BX327)+AR327*K327</f>
        <v>13940</v>
      </c>
      <c r="BY837" s="2">
        <f>SUM(BY$2:BY327)+AS327*L327</f>
        <v>-5348.6000000000113</v>
      </c>
      <c r="BZ837" s="2">
        <f>SUM(BZ$2:BZ327)+AT327*M327</f>
        <v>740</v>
      </c>
      <c r="CA837" s="2">
        <f>SUM(CA$2:CA327)+AU327*N327</f>
        <v>12660</v>
      </c>
      <c r="CB837" s="2">
        <f>SUM(CB$2:CB327)+AV327*O327</f>
        <v>26740</v>
      </c>
      <c r="CC837" s="2">
        <f>SUM(CC$2:CC327)+AW327*P327</f>
        <v>-20</v>
      </c>
      <c r="CD837" s="2">
        <f>SUM(CD$2:CD327)+AX327*Q327</f>
        <v>14050</v>
      </c>
      <c r="CE837" s="2">
        <f>SUM(CE$2:CE327)+AY327*R327</f>
        <v>27020</v>
      </c>
      <c r="CF837" s="2">
        <f>SUM(CF$2:CF327)+AZ327*S327</f>
        <v>911.93999999997322</v>
      </c>
      <c r="CG837" s="2">
        <f>SUM(CG$2:CG327)+BA327*T327</f>
        <v>34073.159999999989</v>
      </c>
      <c r="CH837" s="2">
        <f>SUM(CH$2:CH327)+BB327*U327</f>
        <v>14726.650000000023</v>
      </c>
      <c r="CI837" s="2">
        <f>SUM(CI$2:CI327)+BC327*V327</f>
        <v>-6640</v>
      </c>
      <c r="CJ837" s="2">
        <f>SUM(CJ$2:CJ327)+BD327*W327</f>
        <v>64115</v>
      </c>
      <c r="CK837" s="2">
        <f>SUM(CK$2:CK327)+BE327*X327</f>
        <v>95980</v>
      </c>
      <c r="CL837" s="2">
        <f>SUM(CL$2:CL327)+BF327*Y327</f>
        <v>228480</v>
      </c>
      <c r="CM837" s="2">
        <f>SUM(CM$2:CM327)+BG327*Z327</f>
        <v>118050</v>
      </c>
      <c r="CN837" s="2">
        <f>SUM(CN$2:CN327)+BH327*AA327</f>
        <v>137357.5</v>
      </c>
      <c r="CO837" s="2">
        <f>SUM(CO$2:CO327)+BI327*AB327</f>
        <v>-6860</v>
      </c>
      <c r="CP837" s="2">
        <f>SUM(CP$2:CP327)+BJ327*AC327</f>
        <v>20535</v>
      </c>
      <c r="CQ837" s="2">
        <f>SUM(CQ$2:CQ327)+BK327*AD327</f>
        <v>20980.000000000007</v>
      </c>
      <c r="CR837" s="2">
        <f>SUM(CR$2:CR327)+BL327*AE327</f>
        <v>-6960</v>
      </c>
      <c r="CV837" t="s">
        <v>64</v>
      </c>
      <c r="CW837" t="s">
        <v>910</v>
      </c>
      <c r="CX837" t="s">
        <v>19</v>
      </c>
      <c r="CY837" s="4">
        <v>42767</v>
      </c>
      <c r="CZ837" t="s">
        <v>67</v>
      </c>
      <c r="DA837" t="s">
        <v>68</v>
      </c>
      <c r="DB837">
        <v>6</v>
      </c>
      <c r="DC837">
        <v>61.13</v>
      </c>
      <c r="DD837" t="s">
        <v>69</v>
      </c>
      <c r="DE837" t="s">
        <v>70</v>
      </c>
      <c r="DF837">
        <v>366.78000000000003</v>
      </c>
    </row>
    <row r="838" spans="66:110" x14ac:dyDescent="0.25">
      <c r="BN838" s="1">
        <f t="shared" si="340"/>
        <v>43210</v>
      </c>
      <c r="BO838" s="2">
        <f>SUM(BO$2:BO328)+AI328*B328</f>
        <v>144587.49999999988</v>
      </c>
      <c r="BP838" s="2">
        <f>SUM(BP$2:BP328)+AJ328*C328</f>
        <v>30185.600000000006</v>
      </c>
      <c r="BQ838" s="2">
        <f>SUM(BQ$2:BQ328)+AK328*D328</f>
        <v>204814.09999999989</v>
      </c>
      <c r="BR838" s="2">
        <f>SUM(BR$2:BR328)+AL328*E328</f>
        <v>68796.399999999951</v>
      </c>
      <c r="BS838" s="2">
        <f>SUM(BS$2:BS328)+AM328*F328</f>
        <v>16810.30000000001</v>
      </c>
      <c r="BT838" s="2">
        <f>SUM(BT$2:BT328)+AN328*G328</f>
        <v>12205.700000000012</v>
      </c>
      <c r="BU838" s="2">
        <f>SUM(BU$2:BU328)+AO328*H328</f>
        <v>-5183</v>
      </c>
      <c r="BV838" s="2">
        <f>SUM(BV$2:BV328)+AP328*I328</f>
        <v>-904.40000000000873</v>
      </c>
      <c r="BW838" s="2">
        <f>SUM(BW$2:BW328)+AQ328*J328</f>
        <v>13910</v>
      </c>
      <c r="BX838" s="2">
        <f>SUM(BX$2:BX328)+AR328*K328</f>
        <v>13940</v>
      </c>
      <c r="BY838" s="2">
        <f>SUM(BY$2:BY328)+AS328*L328</f>
        <v>-5375.4000000000115</v>
      </c>
      <c r="BZ838" s="2">
        <f>SUM(BZ$2:BZ328)+AT328*M328</f>
        <v>740</v>
      </c>
      <c r="CA838" s="2">
        <f>SUM(CA$2:CA328)+AU328*N328</f>
        <v>12660</v>
      </c>
      <c r="CB838" s="2">
        <f>SUM(CB$2:CB328)+AV328*O328</f>
        <v>26740</v>
      </c>
      <c r="CC838" s="2">
        <f>SUM(CC$2:CC328)+AW328*P328</f>
        <v>-20</v>
      </c>
      <c r="CD838" s="2">
        <f>SUM(CD$2:CD328)+AX328*Q328</f>
        <v>14050</v>
      </c>
      <c r="CE838" s="2">
        <f>SUM(CE$2:CE328)+AY328*R328</f>
        <v>27020</v>
      </c>
      <c r="CF838" s="2">
        <f>SUM(CF$2:CF328)+AZ328*S328</f>
        <v>1102.1299999999683</v>
      </c>
      <c r="CG838" s="2">
        <f>SUM(CG$2:CG328)+BA328*T328</f>
        <v>33000.659999999989</v>
      </c>
      <c r="CH838" s="2">
        <f>SUM(CH$2:CH328)+BB328*U328</f>
        <v>15112.210000000036</v>
      </c>
      <c r="CI838" s="2">
        <f>SUM(CI$2:CI328)+BC328*V328</f>
        <v>-6740</v>
      </c>
      <c r="CJ838" s="2">
        <f>SUM(CJ$2:CJ328)+BD328*W328</f>
        <v>72515</v>
      </c>
      <c r="CK838" s="2">
        <f>SUM(CK$2:CK328)+BE328*X328</f>
        <v>97180</v>
      </c>
      <c r="CL838" s="2">
        <f>SUM(CL$2:CL328)+BF328*Y328</f>
        <v>226410</v>
      </c>
      <c r="CM838" s="2">
        <f>SUM(CM$2:CM328)+BG328*Z328</f>
        <v>114300</v>
      </c>
      <c r="CN838" s="2">
        <f>SUM(CN$2:CN328)+BH328*AA328</f>
        <v>138557.5</v>
      </c>
      <c r="CO838" s="2">
        <f>SUM(CO$2:CO328)+BI328*AB328</f>
        <v>-8390</v>
      </c>
      <c r="CP838" s="2">
        <f>SUM(CP$2:CP328)+BJ328*AC328</f>
        <v>23195</v>
      </c>
      <c r="CQ838" s="2">
        <f>SUM(CQ$2:CQ328)+BK328*AD328</f>
        <v>20090.000000000007</v>
      </c>
      <c r="CR838" s="2">
        <f>SUM(CR$2:CR328)+BL328*AE328</f>
        <v>-7360</v>
      </c>
      <c r="CV838" t="s">
        <v>64</v>
      </c>
      <c r="CW838" t="s">
        <v>911</v>
      </c>
      <c r="CX838" t="s">
        <v>19</v>
      </c>
      <c r="CY838" s="4">
        <v>42768</v>
      </c>
      <c r="CZ838" t="s">
        <v>65</v>
      </c>
      <c r="DA838" t="s">
        <v>66</v>
      </c>
      <c r="DB838">
        <v>136</v>
      </c>
      <c r="DC838">
        <v>60.74</v>
      </c>
      <c r="DD838" t="s">
        <v>69</v>
      </c>
      <c r="DE838" t="s">
        <v>70</v>
      </c>
      <c r="DF838">
        <v>8260.64</v>
      </c>
    </row>
    <row r="839" spans="66:110" x14ac:dyDescent="0.25">
      <c r="BN839" s="1">
        <f t="shared" si="340"/>
        <v>43213</v>
      </c>
      <c r="BO839" s="2">
        <f>SUM(BO$2:BO329)+AI329*B329</f>
        <v>142237.49999999988</v>
      </c>
      <c r="BP839" s="2">
        <f>SUM(BP$2:BP329)+AJ329*C329</f>
        <v>29964.200000000012</v>
      </c>
      <c r="BQ839" s="2">
        <f>SUM(BQ$2:BQ329)+AK329*D329</f>
        <v>205023.19999999992</v>
      </c>
      <c r="BR839" s="2">
        <f>SUM(BR$2:BR329)+AL329*E329</f>
        <v>69694.299999999974</v>
      </c>
      <c r="BS839" s="2">
        <f>SUM(BS$2:BS329)+AM329*F329</f>
        <v>17007.100000000013</v>
      </c>
      <c r="BT839" s="2">
        <f>SUM(BT$2:BT329)+AN329*G329</f>
        <v>13706.299999999988</v>
      </c>
      <c r="BU839" s="2">
        <f>SUM(BU$2:BU329)+AO329*H329</f>
        <v>-5293.7000000000116</v>
      </c>
      <c r="BV839" s="2">
        <f>SUM(BV$2:BV329)+AP329*I329</f>
        <v>-1381.7000000000116</v>
      </c>
      <c r="BW839" s="2">
        <f>SUM(BW$2:BW329)+AQ329*J329</f>
        <v>8680</v>
      </c>
      <c r="BX839" s="2">
        <f>SUM(BX$2:BX329)+AR329*K329</f>
        <v>13940</v>
      </c>
      <c r="BY839" s="2">
        <f>SUM(BY$2:BY329)+AS329*L329</f>
        <v>-5366.2000000000116</v>
      </c>
      <c r="BZ839" s="2">
        <f>SUM(BZ$2:BZ329)+AT329*M329</f>
        <v>740</v>
      </c>
      <c r="CA839" s="2">
        <f>SUM(CA$2:CA329)+AU329*N329</f>
        <v>12660</v>
      </c>
      <c r="CB839" s="2">
        <f>SUM(CB$2:CB329)+AV329*O329</f>
        <v>26740</v>
      </c>
      <c r="CC839" s="2">
        <f>SUM(CC$2:CC329)+AW329*P329</f>
        <v>-20</v>
      </c>
      <c r="CD839" s="2">
        <f>SUM(CD$2:CD329)+AX329*Q329</f>
        <v>14050</v>
      </c>
      <c r="CE839" s="2">
        <f>SUM(CE$2:CE329)+AY329*R329</f>
        <v>27020</v>
      </c>
      <c r="CF839" s="2">
        <f>SUM(CF$2:CF329)+AZ329*S329</f>
        <v>2524.0999999999694</v>
      </c>
      <c r="CG839" s="2">
        <f>SUM(CG$2:CG329)+BA329*T329</f>
        <v>33325.11</v>
      </c>
      <c r="CH839" s="2">
        <f>SUM(CH$2:CH329)+BB329*U329</f>
        <v>15931.990000000027</v>
      </c>
      <c r="CI839" s="2">
        <f>SUM(CI$2:CI329)+BC329*V329</f>
        <v>-6900</v>
      </c>
      <c r="CJ839" s="2">
        <f>SUM(CJ$2:CJ329)+BD329*W329</f>
        <v>78365</v>
      </c>
      <c r="CK839" s="2">
        <f>SUM(CK$2:CK329)+BE329*X329</f>
        <v>99080</v>
      </c>
      <c r="CL839" s="2">
        <f>SUM(CL$2:CL329)+BF329*Y329</f>
        <v>224280</v>
      </c>
      <c r="CM839" s="2">
        <f>SUM(CM$2:CM329)+BG329*Z329</f>
        <v>116150</v>
      </c>
      <c r="CN839" s="2">
        <f>SUM(CN$2:CN329)+BH329*AA329</f>
        <v>139857.5</v>
      </c>
      <c r="CO839" s="2">
        <f>SUM(CO$2:CO329)+BI329*AB329</f>
        <v>-6200</v>
      </c>
      <c r="CP839" s="2">
        <f>SUM(CP$2:CP329)+BJ329*AC329</f>
        <v>21875</v>
      </c>
      <c r="CQ839" s="2">
        <f>SUM(CQ$2:CQ329)+BK329*AD329</f>
        <v>19230.000000000007</v>
      </c>
      <c r="CR839" s="2">
        <f>SUM(CR$2:CR329)+BL329*AE329</f>
        <v>-6810</v>
      </c>
      <c r="CV839" t="s">
        <v>64</v>
      </c>
      <c r="CW839" t="s">
        <v>912</v>
      </c>
      <c r="CX839" t="s">
        <v>19</v>
      </c>
      <c r="CY839" s="4">
        <v>42769</v>
      </c>
      <c r="CZ839" t="s">
        <v>67</v>
      </c>
      <c r="DA839" t="s">
        <v>68</v>
      </c>
      <c r="DB839">
        <v>181</v>
      </c>
      <c r="DC839">
        <v>61.23</v>
      </c>
      <c r="DD839" t="s">
        <v>69</v>
      </c>
      <c r="DE839" t="s">
        <v>70</v>
      </c>
      <c r="DF839">
        <v>11082.63</v>
      </c>
    </row>
    <row r="840" spans="66:110" x14ac:dyDescent="0.25">
      <c r="BN840" s="1">
        <f t="shared" si="340"/>
        <v>43214</v>
      </c>
      <c r="BO840" s="2">
        <f>SUM(BO$2:BO330)+AI330*B330</f>
        <v>130937.49999999988</v>
      </c>
      <c r="BP840" s="2">
        <f>SUM(BP$2:BP330)+AJ330*C330</f>
        <v>29755.10000000002</v>
      </c>
      <c r="BQ840" s="2">
        <f>SUM(BQ$2:BQ330)+AK330*D330</f>
        <v>193227.49999999991</v>
      </c>
      <c r="BR840" s="2">
        <f>SUM(BR$2:BR330)+AL330*E330</f>
        <v>58169.199999999968</v>
      </c>
      <c r="BS840" s="2">
        <f>SUM(BS$2:BS330)+AM330*F330</f>
        <v>16392.100000000013</v>
      </c>
      <c r="BT840" s="2">
        <f>SUM(BT$2:BT330)+AN330*G330</f>
        <v>12476.299999999988</v>
      </c>
      <c r="BU840" s="2">
        <f>SUM(BU$2:BU330)+AO330*H330</f>
        <v>-6130.1000000000058</v>
      </c>
      <c r="BV840" s="2">
        <f>SUM(BV$2:BV330)+AP330*I330</f>
        <v>-4012.4000000000087</v>
      </c>
      <c r="BW840" s="2">
        <f>SUM(BW$2:BW330)+AQ330*J330</f>
        <v>4550</v>
      </c>
      <c r="BX840" s="2">
        <f>SUM(BX$2:BX330)+AR330*K330</f>
        <v>13940</v>
      </c>
      <c r="BY840" s="2">
        <f>SUM(BY$2:BY330)+AS330*L330</f>
        <v>-5369.1000000000113</v>
      </c>
      <c r="BZ840" s="2">
        <f>SUM(BZ$2:BZ330)+AT330*M330</f>
        <v>740</v>
      </c>
      <c r="CA840" s="2">
        <f>SUM(CA$2:CA330)+AU330*N330</f>
        <v>12660</v>
      </c>
      <c r="CB840" s="2">
        <f>SUM(CB$2:CB330)+AV330*O330</f>
        <v>26740</v>
      </c>
      <c r="CC840" s="2">
        <f>SUM(CC$2:CC330)+AW330*P330</f>
        <v>-20</v>
      </c>
      <c r="CD840" s="2">
        <f>SUM(CD$2:CD330)+AX330*Q330</f>
        <v>14050</v>
      </c>
      <c r="CE840" s="2">
        <f>SUM(CE$2:CE330)+AY330*R330</f>
        <v>27020</v>
      </c>
      <c r="CF840" s="2">
        <f>SUM(CF$2:CF330)+AZ330*S330</f>
        <v>2370.6599999999744</v>
      </c>
      <c r="CG840" s="2">
        <f>SUM(CG$2:CG330)+BA330*T330</f>
        <v>30968.909999999996</v>
      </c>
      <c r="CH840" s="2">
        <f>SUM(CH$2:CH330)+BB330*U330</f>
        <v>16027.840000000033</v>
      </c>
      <c r="CI840" s="2">
        <f>SUM(CI$2:CI330)+BC330*V330</f>
        <v>-7150</v>
      </c>
      <c r="CJ840" s="2">
        <f>SUM(CJ$2:CJ330)+BD330*W330</f>
        <v>82040</v>
      </c>
      <c r="CK840" s="2">
        <f>SUM(CK$2:CK330)+BE330*X330</f>
        <v>77730</v>
      </c>
      <c r="CL840" s="2">
        <f>SUM(CL$2:CL330)+BF330*Y330</f>
        <v>223920</v>
      </c>
      <c r="CM840" s="2">
        <f>SUM(CM$2:CM330)+BG330*Z330</f>
        <v>109500</v>
      </c>
      <c r="CN840" s="2">
        <f>SUM(CN$2:CN330)+BH330*AA330</f>
        <v>124007.5</v>
      </c>
      <c r="CO840" s="2">
        <f>SUM(CO$2:CO330)+BI330*AB330</f>
        <v>-3260</v>
      </c>
      <c r="CP840" s="2">
        <f>SUM(CP$2:CP330)+BJ330*AC330</f>
        <v>21095</v>
      </c>
      <c r="CQ840" s="2">
        <f>SUM(CQ$2:CQ330)+BK330*AD330</f>
        <v>19650.000000000007</v>
      </c>
      <c r="CR840" s="2">
        <f>SUM(CR$2:CR330)+BL330*AE330</f>
        <v>-7980</v>
      </c>
      <c r="CV840" t="s">
        <v>64</v>
      </c>
      <c r="CW840" t="s">
        <v>913</v>
      </c>
      <c r="CX840" t="s">
        <v>19</v>
      </c>
      <c r="CY840" s="4">
        <v>42772</v>
      </c>
      <c r="CZ840" t="s">
        <v>65</v>
      </c>
      <c r="DA840" t="s">
        <v>66</v>
      </c>
      <c r="DB840">
        <v>68</v>
      </c>
      <c r="DC840">
        <v>61.19</v>
      </c>
      <c r="DD840" t="s">
        <v>69</v>
      </c>
      <c r="DE840" t="s">
        <v>70</v>
      </c>
      <c r="DF840">
        <v>4160.92</v>
      </c>
    </row>
    <row r="841" spans="66:110" x14ac:dyDescent="0.25">
      <c r="BN841" s="1">
        <f t="shared" si="340"/>
        <v>43215</v>
      </c>
      <c r="BO841" s="2">
        <f>SUM(BO$2:BO331)+AI331*B331</f>
        <v>134437.49999999988</v>
      </c>
      <c r="BP841" s="2">
        <f>SUM(BP$2:BP331)+AJ331*C331</f>
        <v>27737.900000000009</v>
      </c>
      <c r="BQ841" s="2">
        <f>SUM(BQ$2:BQ331)+AK331*D331</f>
        <v>209869.39999999994</v>
      </c>
      <c r="BR841" s="2">
        <f>SUM(BR$2:BR331)+AL331*E331</f>
        <v>59067.099999999962</v>
      </c>
      <c r="BS841" s="2">
        <f>SUM(BS$2:BS331)+AM331*F331</f>
        <v>16355.200000000012</v>
      </c>
      <c r="BT841" s="2">
        <f>SUM(BT$2:BT331)+AN331*G331</f>
        <v>12685.399999999994</v>
      </c>
      <c r="BU841" s="2">
        <f>SUM(BU$2:BU331)+AO331*H331</f>
        <v>-4088.3000000000175</v>
      </c>
      <c r="BV841" s="2">
        <f>SUM(BV$2:BV331)+AP331*I331</f>
        <v>-3512.9000000000233</v>
      </c>
      <c r="BW841" s="2">
        <f>SUM(BW$2:BW331)+AQ331*J331</f>
        <v>1320</v>
      </c>
      <c r="BX841" s="2">
        <f>SUM(BX$2:BX331)+AR331*K331</f>
        <v>13940</v>
      </c>
      <c r="BY841" s="2">
        <f>SUM(BY$2:BY331)+AS331*L331</f>
        <v>-5365.4000000000115</v>
      </c>
      <c r="BZ841" s="2">
        <f>SUM(BZ$2:BZ331)+AT331*M331</f>
        <v>740</v>
      </c>
      <c r="CA841" s="2">
        <f>SUM(CA$2:CA331)+AU331*N331</f>
        <v>12660</v>
      </c>
      <c r="CB841" s="2">
        <f>SUM(CB$2:CB331)+AV331*O331</f>
        <v>26740</v>
      </c>
      <c r="CC841" s="2">
        <f>SUM(CC$2:CC331)+AW331*P331</f>
        <v>-20</v>
      </c>
      <c r="CD841" s="2">
        <f>SUM(CD$2:CD331)+AX331*Q331</f>
        <v>14050</v>
      </c>
      <c r="CE841" s="2">
        <f>SUM(CE$2:CE331)+AY331*R331</f>
        <v>27020</v>
      </c>
      <c r="CF841" s="2">
        <f>SUM(CF$2:CF331)+AZ331*S331</f>
        <v>1933.2599999999729</v>
      </c>
      <c r="CG841" s="2">
        <f>SUM(CG$2:CG331)+BA331*T331</f>
        <v>30139.309999999998</v>
      </c>
      <c r="CH841" s="2">
        <f>SUM(CH$2:CH331)+BB331*U331</f>
        <v>15735.34000000004</v>
      </c>
      <c r="CI841" s="2">
        <f>SUM(CI$2:CI331)+BC331*V331</f>
        <v>-6780</v>
      </c>
      <c r="CJ841" s="2">
        <f>SUM(CJ$2:CJ331)+BD331*W331</f>
        <v>83540</v>
      </c>
      <c r="CK841" s="2">
        <f>SUM(CK$2:CK331)+BE331*X331</f>
        <v>74480.000000000116</v>
      </c>
      <c r="CL841" s="2">
        <f>SUM(CL$2:CL331)+BF331*Y331</f>
        <v>225930</v>
      </c>
      <c r="CM841" s="2">
        <f>SUM(CM$2:CM331)+BG331*Z331</f>
        <v>106350</v>
      </c>
      <c r="CN841" s="2">
        <f>SUM(CN$2:CN331)+BH331*AA331</f>
        <v>123707.5</v>
      </c>
      <c r="CO841" s="2">
        <f>SUM(CO$2:CO331)+BI331*AB331</f>
        <v>-2000</v>
      </c>
      <c r="CP841" s="2">
        <f>SUM(CP$2:CP331)+BJ331*AC331</f>
        <v>19235</v>
      </c>
      <c r="CQ841" s="2">
        <f>SUM(CQ$2:CQ331)+BK331*AD331</f>
        <v>20280.000000000007</v>
      </c>
      <c r="CR841" s="2">
        <f>SUM(CR$2:CR331)+BL331*AE331</f>
        <v>-6880</v>
      </c>
      <c r="CV841" t="s">
        <v>64</v>
      </c>
      <c r="CW841" t="s">
        <v>914</v>
      </c>
      <c r="CX841" t="s">
        <v>19</v>
      </c>
      <c r="CY841" s="4">
        <v>42773</v>
      </c>
      <c r="CZ841" t="s">
        <v>65</v>
      </c>
      <c r="DA841" t="s">
        <v>66</v>
      </c>
      <c r="DB841">
        <v>29</v>
      </c>
      <c r="DC841">
        <v>60.99</v>
      </c>
      <c r="DD841" t="s">
        <v>69</v>
      </c>
      <c r="DE841" t="s">
        <v>70</v>
      </c>
      <c r="DF841">
        <v>1768.71</v>
      </c>
    </row>
    <row r="842" spans="66:110" x14ac:dyDescent="0.25">
      <c r="BN842" s="1">
        <f t="shared" si="340"/>
        <v>43216</v>
      </c>
      <c r="BO842" s="2">
        <f>SUM(BO$2:BO332)+AI332*B332</f>
        <v>137237.49999999988</v>
      </c>
      <c r="BP842" s="2">
        <f>SUM(BP$2:BP332)+AJ332*C332</f>
        <v>29496.800000000003</v>
      </c>
      <c r="BQ842" s="2">
        <f>SUM(BQ$2:BQ332)+AK332*D332</f>
        <v>209783.29999999996</v>
      </c>
      <c r="BR842" s="2">
        <f>SUM(BR$2:BR332)+AL332*E332</f>
        <v>60420.099999999962</v>
      </c>
      <c r="BS842" s="2">
        <f>SUM(BS$2:BS332)+AM332*F332</f>
        <v>16957.900000000016</v>
      </c>
      <c r="BT842" s="2">
        <f>SUM(BT$2:BT332)+AN332*G332</f>
        <v>14456.600000000006</v>
      </c>
      <c r="BU842" s="2">
        <f>SUM(BU$2:BU332)+AO332*H332</f>
        <v>-5675.0000000000146</v>
      </c>
      <c r="BV842" s="2">
        <f>SUM(BV$2:BV332)+AP332*I332</f>
        <v>-3080.0000000000146</v>
      </c>
      <c r="BW842" s="2">
        <f>SUM(BW$2:BW332)+AQ332*J332</f>
        <v>2170</v>
      </c>
      <c r="BX842" s="2">
        <f>SUM(BX$2:BX332)+AR332*K332</f>
        <v>13940</v>
      </c>
      <c r="BY842" s="2">
        <f>SUM(BY$2:BY332)+AS332*L332</f>
        <v>-5358.0000000000118</v>
      </c>
      <c r="BZ842" s="2">
        <f>SUM(BZ$2:BZ332)+AT332*M332</f>
        <v>740</v>
      </c>
      <c r="CA842" s="2">
        <f>SUM(CA$2:CA332)+AU332*N332</f>
        <v>12660</v>
      </c>
      <c r="CB842" s="2">
        <f>SUM(CB$2:CB332)+AV332*O332</f>
        <v>26740</v>
      </c>
      <c r="CC842" s="2">
        <f>SUM(CC$2:CC332)+AW332*P332</f>
        <v>-20</v>
      </c>
      <c r="CD842" s="2">
        <f>SUM(CD$2:CD332)+AX332*Q332</f>
        <v>14050</v>
      </c>
      <c r="CE842" s="2">
        <f>SUM(CE$2:CE332)+AY332*R332</f>
        <v>27020</v>
      </c>
      <c r="CF842" s="2">
        <f>SUM(CF$2:CF332)+AZ332*S332</f>
        <v>1716.7499999999709</v>
      </c>
      <c r="CG842" s="2">
        <f>SUM(CG$2:CG332)+BA332*T332</f>
        <v>32164.909999999996</v>
      </c>
      <c r="CH842" s="2">
        <f>SUM(CH$2:CH332)+BB332*U332</f>
        <v>17039.580000000031</v>
      </c>
      <c r="CI842" s="2">
        <f>SUM(CI$2:CI332)+BC332*V332</f>
        <v>-6950</v>
      </c>
      <c r="CJ842" s="2">
        <f>SUM(CJ$2:CJ332)+BD332*W332</f>
        <v>80240</v>
      </c>
      <c r="CK842" s="2">
        <f>SUM(CK$2:CK332)+BE332*X332</f>
        <v>78080.000000000116</v>
      </c>
      <c r="CL842" s="2">
        <f>SUM(CL$2:CL332)+BF332*Y332</f>
        <v>232260</v>
      </c>
      <c r="CM842" s="2">
        <f>SUM(CM$2:CM332)+BG332*Z332</f>
        <v>113050</v>
      </c>
      <c r="CN842" s="2">
        <f>SUM(CN$2:CN332)+BH332*AA332</f>
        <v>152857.5</v>
      </c>
      <c r="CO842" s="2">
        <f>SUM(CO$2:CO332)+BI332*AB332</f>
        <v>-2990</v>
      </c>
      <c r="CP842" s="2">
        <f>SUM(CP$2:CP332)+BJ332*AC332</f>
        <v>17695</v>
      </c>
      <c r="CQ842" s="2">
        <f>SUM(CQ$2:CQ332)+BK332*AD332</f>
        <v>21030.000000000007</v>
      </c>
      <c r="CR842" s="2">
        <f>SUM(CR$2:CR332)+BL332*AE332</f>
        <v>-5570</v>
      </c>
      <c r="CV842" t="s">
        <v>64</v>
      </c>
      <c r="CW842" t="s">
        <v>915</v>
      </c>
      <c r="CX842" t="s">
        <v>19</v>
      </c>
      <c r="CY842" s="4">
        <v>42774</v>
      </c>
      <c r="CZ842" t="s">
        <v>67</v>
      </c>
      <c r="DA842" t="s">
        <v>68</v>
      </c>
      <c r="DB842">
        <v>52</v>
      </c>
      <c r="DC842">
        <v>60.9</v>
      </c>
      <c r="DD842" t="s">
        <v>69</v>
      </c>
      <c r="DE842" t="s">
        <v>70</v>
      </c>
      <c r="DF842">
        <v>3166.7999999999997</v>
      </c>
    </row>
    <row r="843" spans="66:110" x14ac:dyDescent="0.25">
      <c r="BN843" s="1">
        <f t="shared" si="340"/>
        <v>43217</v>
      </c>
      <c r="BO843" s="2">
        <f>SUM(BO$2:BO333)+AI333*B333</f>
        <v>127887.49999999977</v>
      </c>
      <c r="BP843" s="2">
        <f>SUM(BP$2:BP333)+AJ333*C333</f>
        <v>28746.500000000015</v>
      </c>
      <c r="BQ843" s="2">
        <f>SUM(BQ$2:BQ333)+AK333*D333</f>
        <v>207483.19999999992</v>
      </c>
      <c r="BR843" s="2">
        <f>SUM(BR$2:BR333)+AL333*E333</f>
        <v>58501.299999999945</v>
      </c>
      <c r="BS843" s="2">
        <f>SUM(BS$2:BS333)+AM333*F333</f>
        <v>17560.600000000006</v>
      </c>
      <c r="BT843" s="2">
        <f>SUM(BT$2:BT333)+AN333*G333</f>
        <v>17297.899999999994</v>
      </c>
      <c r="BU843" s="2">
        <f>SUM(BU$2:BU333)+AO333*H333</f>
        <v>-6413</v>
      </c>
      <c r="BV843" s="2">
        <f>SUM(BV$2:BV333)+AP333*I333</f>
        <v>-2769.2000000000116</v>
      </c>
      <c r="BW843" s="2">
        <f>SUM(BW$2:BW333)+AQ333*J333</f>
        <v>1890</v>
      </c>
      <c r="BX843" s="2">
        <f>SUM(BX$2:BX333)+AR333*K333</f>
        <v>13940</v>
      </c>
      <c r="BY843" s="2">
        <f>SUM(BY$2:BY333)+AS333*L333</f>
        <v>-5360.300000000012</v>
      </c>
      <c r="BZ843" s="2">
        <f>SUM(BZ$2:BZ333)+AT333*M333</f>
        <v>740</v>
      </c>
      <c r="CA843" s="2">
        <f>SUM(CA$2:CA333)+AU333*N333</f>
        <v>12660</v>
      </c>
      <c r="CB843" s="2">
        <f>SUM(CB$2:CB333)+AV333*O333</f>
        <v>26740</v>
      </c>
      <c r="CC843" s="2">
        <f>SUM(CC$2:CC333)+AW333*P333</f>
        <v>-20</v>
      </c>
      <c r="CD843" s="2">
        <f>SUM(CD$2:CD333)+AX333*Q333</f>
        <v>14050</v>
      </c>
      <c r="CE843" s="2">
        <f>SUM(CE$2:CE333)+AY333*R333</f>
        <v>27020</v>
      </c>
      <c r="CF843" s="2">
        <f>SUM(CF$2:CF333)+AZ333*S333</f>
        <v>1774.529999999977</v>
      </c>
      <c r="CG843" s="2">
        <f>SUM(CG$2:CG333)+BA333*T333</f>
        <v>33626.369999999995</v>
      </c>
      <c r="CH843" s="2">
        <f>SUM(CH$2:CH333)+BB333*U333</f>
        <v>18394.080000000038</v>
      </c>
      <c r="CI843" s="2">
        <f>SUM(CI$2:CI333)+BC333*V333</f>
        <v>-7090</v>
      </c>
      <c r="CJ843" s="2">
        <f>SUM(CJ$2:CJ333)+BD333*W333</f>
        <v>79790</v>
      </c>
      <c r="CK843" s="2">
        <f>SUM(CK$2:CK333)+BE333*X333</f>
        <v>79280</v>
      </c>
      <c r="CL843" s="2">
        <f>SUM(CL$2:CL333)+BF333*Y333</f>
        <v>241620</v>
      </c>
      <c r="CM843" s="2">
        <f>SUM(CM$2:CM333)+BG333*Z333</f>
        <v>111250</v>
      </c>
      <c r="CN843" s="2">
        <f>SUM(CN$2:CN333)+BH333*AA333</f>
        <v>147557.5</v>
      </c>
      <c r="CO843" s="2">
        <f>SUM(CO$2:CO333)+BI333*AB333</f>
        <v>2260</v>
      </c>
      <c r="CP843" s="2">
        <f>SUM(CP$2:CP333)+BJ333*AC333</f>
        <v>16975.000000000015</v>
      </c>
      <c r="CQ843" s="2">
        <f>SUM(CQ$2:CQ333)+BK333*AD333</f>
        <v>20390.000000000007</v>
      </c>
      <c r="CR843" s="2">
        <f>SUM(CR$2:CR333)+BL333*AE333</f>
        <v>-8520</v>
      </c>
      <c r="CV843" t="s">
        <v>64</v>
      </c>
      <c r="CW843" t="s">
        <v>916</v>
      </c>
      <c r="CX843" t="s">
        <v>19</v>
      </c>
      <c r="CY843" s="4">
        <v>42775</v>
      </c>
      <c r="CZ843" t="s">
        <v>65</v>
      </c>
      <c r="DA843" t="s">
        <v>66</v>
      </c>
      <c r="DB843">
        <v>97</v>
      </c>
      <c r="DC843">
        <v>61.59</v>
      </c>
      <c r="DD843" t="s">
        <v>69</v>
      </c>
      <c r="DE843" t="s">
        <v>70</v>
      </c>
      <c r="DF843">
        <v>5974.2300000000005</v>
      </c>
    </row>
    <row r="844" spans="66:110" x14ac:dyDescent="0.25">
      <c r="BN844" s="1">
        <f t="shared" si="340"/>
        <v>43220</v>
      </c>
      <c r="BO844" s="2">
        <f>SUM(BO$2:BO334)+AI334*B334</f>
        <v>142337.49999999988</v>
      </c>
      <c r="BP844" s="2">
        <f>SUM(BP$2:BP334)+AJ334*C334</f>
        <v>27701.000000000015</v>
      </c>
      <c r="BQ844" s="2">
        <f>SUM(BQ$2:BQ334)+AK334*D334</f>
        <v>198651.7999999999</v>
      </c>
      <c r="BR844" s="2">
        <f>SUM(BR$2:BR334)+AL334*E334</f>
        <v>58070.799999999945</v>
      </c>
      <c r="BS844" s="2">
        <f>SUM(BS$2:BS334)+AM334*F334</f>
        <v>17056.30000000001</v>
      </c>
      <c r="BT844" s="2">
        <f>SUM(BT$2:BT334)+AN334*G334</f>
        <v>15514.399999999994</v>
      </c>
      <c r="BU844" s="2">
        <f>SUM(BU$2:BU334)+AO334*H334</f>
        <v>-5084.6000000000058</v>
      </c>
      <c r="BV844" s="2">
        <f>SUM(BV$2:BV334)+AP334*I334</f>
        <v>-3956.9000000000087</v>
      </c>
      <c r="BW844" s="2">
        <f>SUM(BW$2:BW334)+AQ334*J334</f>
        <v>430</v>
      </c>
      <c r="BX844" s="2">
        <f>SUM(BX$2:BX334)+AR334*K334</f>
        <v>13940</v>
      </c>
      <c r="BY844" s="2">
        <f>SUM(BY$2:BY334)+AS334*L334</f>
        <v>-5374.800000000012</v>
      </c>
      <c r="BZ844" s="2">
        <f>SUM(BZ$2:BZ334)+AT334*M334</f>
        <v>740</v>
      </c>
      <c r="CA844" s="2">
        <f>SUM(CA$2:CA334)+AU334*N334</f>
        <v>12660</v>
      </c>
      <c r="CB844" s="2">
        <f>SUM(CB$2:CB334)+AV334*O334</f>
        <v>26740</v>
      </c>
      <c r="CC844" s="2">
        <f>SUM(CC$2:CC334)+AW334*P334</f>
        <v>-20</v>
      </c>
      <c r="CD844" s="2">
        <f>SUM(CD$2:CD334)+AX334*Q334</f>
        <v>14050</v>
      </c>
      <c r="CE844" s="2">
        <f>SUM(CE$2:CE334)+AY334*R334</f>
        <v>27020</v>
      </c>
      <c r="CF844" s="2">
        <f>SUM(CF$2:CF334)+AZ334*S334</f>
        <v>1160.9299999999712</v>
      </c>
      <c r="CG844" s="2">
        <f>SUM(CG$2:CG334)+BA334*T334</f>
        <v>31279.189999999988</v>
      </c>
      <c r="CH844" s="2">
        <f>SUM(CH$2:CH334)+BB334*U334</f>
        <v>17253.800000000032</v>
      </c>
      <c r="CI844" s="2">
        <f>SUM(CI$2:CI334)+BC334*V334</f>
        <v>-6720</v>
      </c>
      <c r="CJ844" s="2">
        <f>SUM(CJ$2:CJ334)+BD334*W334</f>
        <v>83240</v>
      </c>
      <c r="CK844" s="2">
        <f>SUM(CK$2:CK334)+BE334*X334</f>
        <v>71430</v>
      </c>
      <c r="CL844" s="2">
        <f>SUM(CL$2:CL334)+BF334*Y334</f>
        <v>230400</v>
      </c>
      <c r="CM844" s="2">
        <f>SUM(CM$2:CM334)+BG334*Z334</f>
        <v>100000</v>
      </c>
      <c r="CN844" s="2">
        <f>SUM(CN$2:CN334)+BH334*AA334</f>
        <v>151857.5</v>
      </c>
      <c r="CO844" s="2">
        <f>SUM(CO$2:CO334)+BI334*AB334</f>
        <v>-4190</v>
      </c>
      <c r="CP844" s="2">
        <f>SUM(CP$2:CP334)+BJ334*AC334</f>
        <v>18255.000000000015</v>
      </c>
      <c r="CQ844" s="2">
        <f>SUM(CQ$2:CQ334)+BK334*AD334</f>
        <v>21540.000000000007</v>
      </c>
      <c r="CR844" s="2">
        <f>SUM(CR$2:CR334)+BL334*AE334</f>
        <v>-8560</v>
      </c>
      <c r="CV844" t="s">
        <v>64</v>
      </c>
      <c r="CW844" t="s">
        <v>917</v>
      </c>
      <c r="CX844" t="s">
        <v>19</v>
      </c>
      <c r="CY844" s="4">
        <v>42776</v>
      </c>
      <c r="CZ844" t="s">
        <v>67</v>
      </c>
      <c r="DA844" t="s">
        <v>68</v>
      </c>
      <c r="DB844">
        <v>60</v>
      </c>
      <c r="DC844">
        <v>61.54</v>
      </c>
      <c r="DD844" t="s">
        <v>69</v>
      </c>
      <c r="DE844" t="s">
        <v>70</v>
      </c>
      <c r="DF844">
        <v>3692.4</v>
      </c>
    </row>
    <row r="845" spans="66:110" x14ac:dyDescent="0.25">
      <c r="BN845" s="1">
        <f t="shared" si="340"/>
        <v>43221</v>
      </c>
      <c r="BO845" s="2">
        <f>SUM(BO$2:BO335)+AI335*B335</f>
        <v>161237.49999999988</v>
      </c>
      <c r="BP845" s="2">
        <f>SUM(BP$2:BP335)+AJ335*C335</f>
        <v>27491.900000000009</v>
      </c>
      <c r="BQ845" s="2">
        <f>SUM(BQ$2:BQ335)+AK335*D335</f>
        <v>193805.59999999995</v>
      </c>
      <c r="BR845" s="2">
        <f>SUM(BR$2:BR335)+AL335*E335</f>
        <v>58144.599999999962</v>
      </c>
      <c r="BS845" s="2">
        <f>SUM(BS$2:BS335)+AM335*F335</f>
        <v>17708.200000000012</v>
      </c>
      <c r="BT845" s="2">
        <f>SUM(BT$2:BT335)+AN335*G335</f>
        <v>15219.199999999983</v>
      </c>
      <c r="BU845" s="2">
        <f>SUM(BU$2:BU335)+AO335*H335</f>
        <v>-5404.4000000000087</v>
      </c>
      <c r="BV845" s="2">
        <f>SUM(BV$2:BV335)+AP335*I335</f>
        <v>-4145.6000000000204</v>
      </c>
      <c r="BW845" s="2">
        <f>SUM(BW$2:BW335)+AQ335*J335</f>
        <v>-1210</v>
      </c>
      <c r="BX845" s="2">
        <f>SUM(BX$2:BX335)+AR335*K335</f>
        <v>13940</v>
      </c>
      <c r="BY845" s="2">
        <f>SUM(BY$2:BY335)+AS335*L335</f>
        <v>-5374.4000000000115</v>
      </c>
      <c r="BZ845" s="2">
        <f>SUM(BZ$2:BZ335)+AT335*M335</f>
        <v>740</v>
      </c>
      <c r="CA845" s="2">
        <f>SUM(CA$2:CA335)+AU335*N335</f>
        <v>12660</v>
      </c>
      <c r="CB845" s="2">
        <f>SUM(CB$2:CB335)+AV335*O335</f>
        <v>26740</v>
      </c>
      <c r="CC845" s="2">
        <f>SUM(CC$2:CC335)+AW335*P335</f>
        <v>-20</v>
      </c>
      <c r="CD845" s="2">
        <f>SUM(CD$2:CD335)+AX335*Q335</f>
        <v>14050</v>
      </c>
      <c r="CE845" s="2">
        <f>SUM(CE$2:CE335)+AY335*R335</f>
        <v>27020</v>
      </c>
      <c r="CF845" s="2">
        <f>SUM(CF$2:CF335)+AZ335*S335</f>
        <v>270.04999999997381</v>
      </c>
      <c r="CG845" s="2">
        <f>SUM(CG$2:CG335)+BA335*T335</f>
        <v>32793.209999999977</v>
      </c>
      <c r="CH845" s="2">
        <f>SUM(CH$2:CH335)+BB335*U335</f>
        <v>16945.530000000042</v>
      </c>
      <c r="CI845" s="2">
        <f>SUM(CI$2:CI335)+BC335*V335</f>
        <v>-5550</v>
      </c>
      <c r="CJ845" s="2">
        <f>SUM(CJ$2:CJ335)+BD335*W335</f>
        <v>86015</v>
      </c>
      <c r="CK845" s="2">
        <f>SUM(CK$2:CK335)+BE335*X335</f>
        <v>68930</v>
      </c>
      <c r="CL845" s="2">
        <f>SUM(CL$2:CL335)+BF335*Y335</f>
        <v>231720</v>
      </c>
      <c r="CM845" s="2">
        <f>SUM(CM$2:CM335)+BG335*Z335</f>
        <v>94150</v>
      </c>
      <c r="CN845" s="2">
        <f>SUM(CN$2:CN335)+BH335*AA335</f>
        <v>155007.5</v>
      </c>
      <c r="CO845" s="2">
        <f>SUM(CO$2:CO335)+BI335*AB335</f>
        <v>-5720</v>
      </c>
      <c r="CP845" s="2">
        <f>SUM(CP$2:CP335)+BJ335*AC335</f>
        <v>20275</v>
      </c>
      <c r="CQ845" s="2">
        <f>SUM(CQ$2:CQ335)+BK335*AD335</f>
        <v>20510.000000000007</v>
      </c>
      <c r="CR845" s="2">
        <f>SUM(CR$2:CR335)+BL335*AE335</f>
        <v>-9330</v>
      </c>
      <c r="CV845" t="s">
        <v>64</v>
      </c>
      <c r="CW845" t="s">
        <v>918</v>
      </c>
      <c r="CX845" t="s">
        <v>19</v>
      </c>
      <c r="CY845" s="4">
        <v>42779</v>
      </c>
      <c r="CZ845" t="s">
        <v>67</v>
      </c>
      <c r="DA845" t="s">
        <v>68</v>
      </c>
      <c r="DB845">
        <v>6</v>
      </c>
      <c r="DC845">
        <v>62.23</v>
      </c>
      <c r="DD845" t="s">
        <v>69</v>
      </c>
      <c r="DE845" t="s">
        <v>70</v>
      </c>
      <c r="DF845">
        <v>373.38</v>
      </c>
    </row>
    <row r="846" spans="66:110" x14ac:dyDescent="0.25">
      <c r="BN846" s="1">
        <f t="shared" si="340"/>
        <v>43222</v>
      </c>
      <c r="BO846" s="2">
        <f>SUM(BO$2:BO336)+AI336*B336</f>
        <v>142837.49999999994</v>
      </c>
      <c r="BP846" s="2">
        <f>SUM(BP$2:BP336)+AJ336*C336</f>
        <v>26323.400000000009</v>
      </c>
      <c r="BQ846" s="2">
        <f>SUM(BQ$2:BQ336)+AK336*D336</f>
        <v>187348.09999999995</v>
      </c>
      <c r="BR846" s="2">
        <f>SUM(BR$2:BR336)+AL336*E336</f>
        <v>57468.099999999933</v>
      </c>
      <c r="BS846" s="2">
        <f>SUM(BS$2:BS336)+AM336*F336</f>
        <v>16539.700000000012</v>
      </c>
      <c r="BT846" s="2">
        <f>SUM(BT$2:BT336)+AN336*G336</f>
        <v>15969.5</v>
      </c>
      <c r="BU846" s="2">
        <f>SUM(BU$2:BU336)+AO336*H336</f>
        <v>-5945.6000000000058</v>
      </c>
      <c r="BV846" s="2">
        <f>SUM(BV$2:BV336)+AP336*I336</f>
        <v>-3679.4000000000087</v>
      </c>
      <c r="BW846" s="2">
        <f>SUM(BW$2:BW336)+AQ336*J336</f>
        <v>-3800</v>
      </c>
      <c r="BX846" s="2">
        <f>SUM(BX$2:BX336)+AR336*K336</f>
        <v>13940</v>
      </c>
      <c r="BY846" s="2">
        <f>SUM(BY$2:BY336)+AS336*L336</f>
        <v>-5398.800000000012</v>
      </c>
      <c r="BZ846" s="2">
        <f>SUM(BZ$2:BZ336)+AT336*M336</f>
        <v>740</v>
      </c>
      <c r="CA846" s="2">
        <f>SUM(CA$2:CA336)+AU336*N336</f>
        <v>12660</v>
      </c>
      <c r="CB846" s="2">
        <f>SUM(CB$2:CB336)+AV336*O336</f>
        <v>26740</v>
      </c>
      <c r="CC846" s="2">
        <f>SUM(CC$2:CC336)+AW336*P336</f>
        <v>-20</v>
      </c>
      <c r="CD846" s="2">
        <f>SUM(CD$2:CD336)+AX336*Q336</f>
        <v>14050</v>
      </c>
      <c r="CE846" s="2">
        <f>SUM(CE$2:CE336)+AY336*R336</f>
        <v>27020</v>
      </c>
      <c r="CF846" s="2">
        <f>SUM(CF$2:CF336)+AZ336*S336</f>
        <v>-381.19000000003143</v>
      </c>
      <c r="CG846" s="2">
        <f>SUM(CG$2:CG336)+BA336*T336</f>
        <v>31182.089999999982</v>
      </c>
      <c r="CH846" s="2">
        <f>SUM(CH$2:CH336)+BB336*U336</f>
        <v>17106.810000000034</v>
      </c>
      <c r="CI846" s="2">
        <f>SUM(CI$2:CI336)+BC336*V336</f>
        <v>-5050</v>
      </c>
      <c r="CJ846" s="2">
        <f>SUM(CJ$2:CJ336)+BD336*W336</f>
        <v>93440</v>
      </c>
      <c r="CK846" s="2">
        <f>SUM(CK$2:CK336)+BE336*X336</f>
        <v>55330</v>
      </c>
      <c r="CL846" s="2">
        <f>SUM(CL$2:CL336)+BF336*Y336</f>
        <v>221670</v>
      </c>
      <c r="CM846" s="2">
        <f>SUM(CM$2:CM336)+BG336*Z336</f>
        <v>91900</v>
      </c>
      <c r="CN846" s="2">
        <f>SUM(CN$2:CN336)+BH336*AA336</f>
        <v>149357.5</v>
      </c>
      <c r="CO846" s="2">
        <f>SUM(CO$2:CO336)+BI336*AB336</f>
        <v>-8840</v>
      </c>
      <c r="CP846" s="2">
        <f>SUM(CP$2:CP336)+BJ336*AC336</f>
        <v>23715</v>
      </c>
      <c r="CQ846" s="2">
        <f>SUM(CQ$2:CQ336)+BK336*AD336</f>
        <v>19460.000000000007</v>
      </c>
      <c r="CR846" s="2">
        <f>SUM(CR$2:CR336)+BL336*AE336</f>
        <v>-9470</v>
      </c>
      <c r="CV846" t="s">
        <v>64</v>
      </c>
      <c r="CW846" t="s">
        <v>919</v>
      </c>
      <c r="CX846" t="s">
        <v>19</v>
      </c>
      <c r="CY846" s="4">
        <v>42780</v>
      </c>
      <c r="CZ846" t="s">
        <v>67</v>
      </c>
      <c r="DA846" t="s">
        <v>68</v>
      </c>
      <c r="DB846">
        <v>65</v>
      </c>
      <c r="DC846">
        <v>62.46</v>
      </c>
      <c r="DD846" t="s">
        <v>69</v>
      </c>
      <c r="DE846" t="s">
        <v>70</v>
      </c>
      <c r="DF846">
        <v>4059.9</v>
      </c>
    </row>
    <row r="847" spans="66:110" x14ac:dyDescent="0.25">
      <c r="BN847" s="1">
        <f t="shared" si="340"/>
        <v>43223</v>
      </c>
      <c r="BO847" s="2">
        <f>SUM(BO$2:BO337)+AI337*B337</f>
        <v>142037.49999999988</v>
      </c>
      <c r="BP847" s="2">
        <f>SUM(BP$2:BP337)+AJ337*C337</f>
        <v>25733.000000000015</v>
      </c>
      <c r="BQ847" s="2">
        <f>SUM(BQ$2:BQ337)+AK337*D337</f>
        <v>195195.49999999991</v>
      </c>
      <c r="BR847" s="2">
        <f>SUM(BR$2:BR337)+AL337*E337</f>
        <v>57369.699999999968</v>
      </c>
      <c r="BS847" s="2">
        <f>SUM(BS$2:BS337)+AM337*F337</f>
        <v>17228.500000000015</v>
      </c>
      <c r="BT847" s="2">
        <f>SUM(BT$2:BT337)+AN337*G337</f>
        <v>16584.5</v>
      </c>
      <c r="BU847" s="2">
        <f>SUM(BU$2:BU337)+AO337*H337</f>
        <v>-6978.8000000000029</v>
      </c>
      <c r="BV847" s="2">
        <f>SUM(BV$2:BV337)+AP337*I337</f>
        <v>-3701.6000000000058</v>
      </c>
      <c r="BW847" s="2">
        <f>SUM(BW$2:BW337)+AQ337*J337</f>
        <v>-4440</v>
      </c>
      <c r="BX847" s="2">
        <f>SUM(BX$2:BX337)+AR337*K337</f>
        <v>13940</v>
      </c>
      <c r="BY847" s="2">
        <f>SUM(BY$2:BY337)+AS337*L337</f>
        <v>-5403.2000000000116</v>
      </c>
      <c r="BZ847" s="2">
        <f>SUM(BZ$2:BZ337)+AT337*M337</f>
        <v>740</v>
      </c>
      <c r="CA847" s="2">
        <f>SUM(CA$2:CA337)+AU337*N337</f>
        <v>12660</v>
      </c>
      <c r="CB847" s="2">
        <f>SUM(CB$2:CB337)+AV337*O337</f>
        <v>26740</v>
      </c>
      <c r="CC847" s="2">
        <f>SUM(CC$2:CC337)+AW337*P337</f>
        <v>-20</v>
      </c>
      <c r="CD847" s="2">
        <f>SUM(CD$2:CD337)+AX337*Q337</f>
        <v>14050</v>
      </c>
      <c r="CE847" s="2">
        <f>SUM(CE$2:CE337)+AY337*R337</f>
        <v>27020</v>
      </c>
      <c r="CF847" s="2">
        <f>SUM(CF$2:CF337)+AZ337*S337</f>
        <v>-159.47000000002299</v>
      </c>
      <c r="CG847" s="2">
        <f>SUM(CG$2:CG337)+BA337*T337</f>
        <v>31753.54</v>
      </c>
      <c r="CH847" s="2">
        <f>SUM(CH$2:CH337)+BB337*U337</f>
        <v>15729.810000000027</v>
      </c>
      <c r="CI847" s="2">
        <f>SUM(CI$2:CI337)+BC337*V337</f>
        <v>-4930</v>
      </c>
      <c r="CJ847" s="2">
        <f>SUM(CJ$2:CJ337)+BD337*W337</f>
        <v>90365</v>
      </c>
      <c r="CK847" s="2">
        <f>SUM(CK$2:CK337)+BE337*X337</f>
        <v>50380</v>
      </c>
      <c r="CL847" s="2">
        <f>SUM(CL$2:CL337)+BF337*Y337</f>
        <v>223710</v>
      </c>
      <c r="CM847" s="2">
        <f>SUM(CM$2:CM337)+BG337*Z337</f>
        <v>88000</v>
      </c>
      <c r="CN847" s="2">
        <f>SUM(CN$2:CN337)+BH337*AA337</f>
        <v>153357.5</v>
      </c>
      <c r="CO847" s="2">
        <f>SUM(CO$2:CO337)+BI337*AB337</f>
        <v>-8570</v>
      </c>
      <c r="CP847" s="2">
        <f>SUM(CP$2:CP337)+BJ337*AC337</f>
        <v>26495</v>
      </c>
      <c r="CQ847" s="2">
        <f>SUM(CQ$2:CQ337)+BK337*AD337</f>
        <v>19350.000000000007</v>
      </c>
      <c r="CR847" s="2">
        <f>SUM(CR$2:CR337)+BL337*AE337</f>
        <v>-9720</v>
      </c>
      <c r="CV847" t="s">
        <v>64</v>
      </c>
      <c r="CW847" t="s">
        <v>920</v>
      </c>
      <c r="CX847" t="s">
        <v>19</v>
      </c>
      <c r="CY847" s="4">
        <v>42781</v>
      </c>
      <c r="CZ847" t="s">
        <v>65</v>
      </c>
      <c r="DA847" t="s">
        <v>66</v>
      </c>
      <c r="DB847">
        <v>141</v>
      </c>
      <c r="DC847">
        <v>62.42</v>
      </c>
      <c r="DD847" t="s">
        <v>69</v>
      </c>
      <c r="DE847" t="s">
        <v>70</v>
      </c>
      <c r="DF847">
        <v>8801.2199999999993</v>
      </c>
    </row>
    <row r="848" spans="66:110" x14ac:dyDescent="0.25">
      <c r="BN848" s="1">
        <f t="shared" si="340"/>
        <v>43224</v>
      </c>
      <c r="BO848" s="2">
        <f>SUM(BO$2:BO338)+AI338*B338</f>
        <v>124962.49999999988</v>
      </c>
      <c r="BP848" s="2">
        <f>SUM(BP$2:BP338)+AJ338*C338</f>
        <v>27209.000000000015</v>
      </c>
      <c r="BQ848" s="2">
        <f>SUM(BQ$2:BQ338)+AK338*D338</f>
        <v>199697.29999999987</v>
      </c>
      <c r="BR848" s="2">
        <f>SUM(BR$2:BR338)+AL338*E338</f>
        <v>60493.899999999936</v>
      </c>
      <c r="BS848" s="2">
        <f>SUM(BS$2:BS338)+AM338*F338</f>
        <v>18261.700000000012</v>
      </c>
      <c r="BT848" s="2">
        <f>SUM(BT$2:BT338)+AN338*G338</f>
        <v>16018.699999999983</v>
      </c>
      <c r="BU848" s="2">
        <f>SUM(BU$2:BU338)+AO338*H338</f>
        <v>-4088.3000000000175</v>
      </c>
      <c r="BV848" s="2">
        <f>SUM(BV$2:BV338)+AP338*I338</f>
        <v>-2613.8000000000175</v>
      </c>
      <c r="BW848" s="2">
        <f>SUM(BW$2:BW338)+AQ338*J338</f>
        <v>-2920</v>
      </c>
      <c r="BX848" s="2">
        <f>SUM(BX$2:BX338)+AR338*K338</f>
        <v>13940</v>
      </c>
      <c r="BY848" s="2">
        <f>SUM(BY$2:BY338)+AS338*L338</f>
        <v>-5384.800000000012</v>
      </c>
      <c r="BZ848" s="2">
        <f>SUM(BZ$2:BZ338)+AT338*M338</f>
        <v>740</v>
      </c>
      <c r="CA848" s="2">
        <f>SUM(CA$2:CA338)+AU338*N338</f>
        <v>12660</v>
      </c>
      <c r="CB848" s="2">
        <f>SUM(CB$2:CB338)+AV338*O338</f>
        <v>26740</v>
      </c>
      <c r="CC848" s="2">
        <f>SUM(CC$2:CC338)+AW338*P338</f>
        <v>-20</v>
      </c>
      <c r="CD848" s="2">
        <f>SUM(CD$2:CD338)+AX338*Q338</f>
        <v>14050</v>
      </c>
      <c r="CE848" s="2">
        <f>SUM(CE$2:CE338)+AY338*R338</f>
        <v>27020</v>
      </c>
      <c r="CF848" s="2">
        <f>SUM(CF$2:CF338)+AZ338*S338</f>
        <v>42.33999999997468</v>
      </c>
      <c r="CG848" s="2">
        <f>SUM(CG$2:CG338)+BA338*T338</f>
        <v>32739.579999999994</v>
      </c>
      <c r="CH848" s="2">
        <f>SUM(CH$2:CH338)+BB338*U338</f>
        <v>16835.320000000036</v>
      </c>
      <c r="CI848" s="2">
        <f>SUM(CI$2:CI338)+BC338*V338</f>
        <v>-5010</v>
      </c>
      <c r="CJ848" s="2">
        <f>SUM(CJ$2:CJ338)+BD338*W338</f>
        <v>82565</v>
      </c>
      <c r="CK848" s="2">
        <f>SUM(CK$2:CK338)+BE338*X338</f>
        <v>62180</v>
      </c>
      <c r="CL848" s="2">
        <f>SUM(CL$2:CL338)+BF338*Y338</f>
        <v>228900</v>
      </c>
      <c r="CM848" s="2">
        <f>SUM(CM$2:CM338)+BG338*Z338</f>
        <v>96850</v>
      </c>
      <c r="CN848" s="2">
        <f>SUM(CN$2:CN338)+BH338*AA338</f>
        <v>158207.5</v>
      </c>
      <c r="CO848" s="2">
        <f>SUM(CO$2:CO338)+BI338*AB338</f>
        <v>-7550</v>
      </c>
      <c r="CP848" s="2">
        <f>SUM(CP$2:CP338)+BJ338*AC338</f>
        <v>23415</v>
      </c>
      <c r="CQ848" s="2">
        <f>SUM(CQ$2:CQ338)+BK338*AD338</f>
        <v>20630.000000000007</v>
      </c>
      <c r="CR848" s="2">
        <f>SUM(CR$2:CR338)+BL338*AE338</f>
        <v>-9370</v>
      </c>
      <c r="CV848" t="s">
        <v>64</v>
      </c>
      <c r="CW848" t="s">
        <v>921</v>
      </c>
      <c r="CX848" t="s">
        <v>19</v>
      </c>
      <c r="CY848" s="4">
        <v>42782</v>
      </c>
      <c r="CZ848" t="s">
        <v>67</v>
      </c>
      <c r="DA848" t="s">
        <v>68</v>
      </c>
      <c r="DB848">
        <v>119</v>
      </c>
      <c r="DC848">
        <v>62.41</v>
      </c>
      <c r="DD848" t="s">
        <v>69</v>
      </c>
      <c r="DE848" t="s">
        <v>70</v>
      </c>
      <c r="DF848">
        <v>7426.79</v>
      </c>
    </row>
    <row r="849" spans="66:110" x14ac:dyDescent="0.25">
      <c r="BN849" s="1">
        <f t="shared" si="340"/>
        <v>43227</v>
      </c>
      <c r="BO849" s="2">
        <f>SUM(BO$2:BO339)+AI339*B339</f>
        <v>121687.49999999988</v>
      </c>
      <c r="BP849" s="2">
        <f>SUM(BP$2:BP339)+AJ339*C339</f>
        <v>27494.200000000012</v>
      </c>
      <c r="BQ849" s="2">
        <f>SUM(BQ$2:BQ339)+AK339*D339</f>
        <v>207000.89999999991</v>
      </c>
      <c r="BR849" s="2">
        <f>SUM(BR$2:BR339)+AL339*E339</f>
        <v>64697.499999999971</v>
      </c>
      <c r="BS849" s="2">
        <f>SUM(BS$2:BS339)+AM339*F339</f>
        <v>18794.900000000009</v>
      </c>
      <c r="BT849" s="2">
        <f>SUM(BT$2:BT339)+AN339*G339</f>
        <v>15311.899999999994</v>
      </c>
      <c r="BU849" s="2">
        <f>SUM(BU$2:BU339)+AO339*H339</f>
        <v>-2463.9000000000087</v>
      </c>
      <c r="BV849" s="2">
        <f>SUM(BV$2:BV339)+AP339*I339</f>
        <v>-2121.0000000000146</v>
      </c>
      <c r="BW849" s="2">
        <f>SUM(BW$2:BW339)+AQ339*J339</f>
        <v>-690</v>
      </c>
      <c r="BX849" s="2">
        <f>SUM(BX$2:BX339)+AR339*K339</f>
        <v>13940</v>
      </c>
      <c r="BY849" s="2">
        <f>SUM(BY$2:BY339)+AS339*L339</f>
        <v>-5391.4000000000115</v>
      </c>
      <c r="BZ849" s="2">
        <f>SUM(BZ$2:BZ339)+AT339*M339</f>
        <v>740</v>
      </c>
      <c r="CA849" s="2">
        <f>SUM(CA$2:CA339)+AU339*N339</f>
        <v>12660</v>
      </c>
      <c r="CB849" s="2">
        <f>SUM(CB$2:CB339)+AV339*O339</f>
        <v>26740</v>
      </c>
      <c r="CC849" s="2">
        <f>SUM(CC$2:CC339)+AW339*P339</f>
        <v>-20</v>
      </c>
      <c r="CD849" s="2">
        <f>SUM(CD$2:CD339)+AX339*Q339</f>
        <v>14050</v>
      </c>
      <c r="CE849" s="2">
        <f>SUM(CE$2:CE339)+AY339*R339</f>
        <v>27020</v>
      </c>
      <c r="CF849" s="2">
        <f>SUM(CF$2:CF339)+AZ339*S339</f>
        <v>-322.34000000003289</v>
      </c>
      <c r="CG849" s="2">
        <f>SUM(CG$2:CG339)+BA339*T339</f>
        <v>33721.33</v>
      </c>
      <c r="CH849" s="2">
        <f>SUM(CH$2:CH339)+BB339*U339</f>
        <v>18168.640000000036</v>
      </c>
      <c r="CI849" s="2">
        <f>SUM(CI$2:CI339)+BC339*V339</f>
        <v>-5090</v>
      </c>
      <c r="CJ849" s="2">
        <f>SUM(CJ$2:CJ339)+BD339*W339</f>
        <v>85865</v>
      </c>
      <c r="CK849" s="2">
        <f>SUM(CK$2:CK339)+BE339*X339</f>
        <v>58630</v>
      </c>
      <c r="CL849" s="2">
        <f>SUM(CL$2:CL339)+BF339*Y339</f>
        <v>222600</v>
      </c>
      <c r="CM849" s="2">
        <f>SUM(CM$2:CM339)+BG339*Z339</f>
        <v>103600</v>
      </c>
      <c r="CN849" s="2">
        <f>SUM(CN$2:CN339)+BH339*AA339</f>
        <v>163657.5</v>
      </c>
      <c r="CO849" s="2">
        <f>SUM(CO$2:CO339)+BI339*AB339</f>
        <v>-8900</v>
      </c>
      <c r="CP849" s="2">
        <f>SUM(CP$2:CP339)+BJ339*AC339</f>
        <v>26355</v>
      </c>
      <c r="CQ849" s="2">
        <f>SUM(CQ$2:CQ339)+BK339*AD339</f>
        <v>18610.000000000007</v>
      </c>
      <c r="CR849" s="2">
        <f>SUM(CR$2:CR339)+BL339*AE339</f>
        <v>-8570</v>
      </c>
      <c r="CV849" t="s">
        <v>64</v>
      </c>
      <c r="CW849" t="s">
        <v>922</v>
      </c>
      <c r="CX849" t="s">
        <v>19</v>
      </c>
      <c r="CY849" s="4">
        <v>42783</v>
      </c>
      <c r="CZ849" t="s">
        <v>67</v>
      </c>
      <c r="DA849" t="s">
        <v>68</v>
      </c>
      <c r="DB849">
        <v>19</v>
      </c>
      <c r="DC849">
        <v>62.51</v>
      </c>
      <c r="DD849" t="s">
        <v>69</v>
      </c>
      <c r="DE849" t="s">
        <v>70</v>
      </c>
      <c r="DF849">
        <v>1187.69</v>
      </c>
    </row>
    <row r="850" spans="66:110" x14ac:dyDescent="0.25">
      <c r="BN850" s="1">
        <f t="shared" si="340"/>
        <v>43228</v>
      </c>
      <c r="BO850" s="2">
        <f>SUM(BO$2:BO340)+AI340*B340</f>
        <v>119487.49999999988</v>
      </c>
      <c r="BP850" s="2">
        <f>SUM(BP$2:BP340)+AJ340*C340</f>
        <v>28920.200000000026</v>
      </c>
      <c r="BQ850" s="2">
        <f>SUM(BQ$2:BQ340)+AK340*D340</f>
        <v>204496.09999999986</v>
      </c>
      <c r="BR850" s="2">
        <f>SUM(BR$2:BR340)+AL340*E340</f>
        <v>64833.899999999936</v>
      </c>
      <c r="BS850" s="2">
        <f>SUM(BS$2:BS340)+AM340*F340</f>
        <v>18770.100000000013</v>
      </c>
      <c r="BT850" s="2">
        <f>SUM(BT$2:BT340)+AN340*G340</f>
        <v>17258.699999999983</v>
      </c>
      <c r="BU850" s="2">
        <f>SUM(BU$2:BU340)+AO340*H340</f>
        <v>-3307.1000000000058</v>
      </c>
      <c r="BV850" s="2">
        <f>SUM(BV$2:BV340)+AP340*I340</f>
        <v>-2871.4000000000087</v>
      </c>
      <c r="BW850" s="2">
        <f>SUM(BW$2:BW340)+AQ340*J340</f>
        <v>-880</v>
      </c>
      <c r="BX850" s="2">
        <f>SUM(BX$2:BX340)+AR340*K340</f>
        <v>13940</v>
      </c>
      <c r="BY850" s="2">
        <f>SUM(BY$2:BY340)+AS340*L340</f>
        <v>-5393.5000000000118</v>
      </c>
      <c r="BZ850" s="2">
        <f>SUM(BZ$2:BZ340)+AT340*M340</f>
        <v>740</v>
      </c>
      <c r="CA850" s="2">
        <f>SUM(CA$2:CA340)+AU340*N340</f>
        <v>12660</v>
      </c>
      <c r="CB850" s="2">
        <f>SUM(CB$2:CB340)+AV340*O340</f>
        <v>26740</v>
      </c>
      <c r="CC850" s="2">
        <f>SUM(CC$2:CC340)+AW340*P340</f>
        <v>-20</v>
      </c>
      <c r="CD850" s="2">
        <f>SUM(CD$2:CD340)+AX340*Q340</f>
        <v>14050</v>
      </c>
      <c r="CE850" s="2">
        <f>SUM(CE$2:CE340)+AY340*R340</f>
        <v>27020</v>
      </c>
      <c r="CF850" s="2">
        <f>SUM(CF$2:CF340)+AZ340*S340</f>
        <v>-914.04000000002998</v>
      </c>
      <c r="CG850" s="2">
        <f>SUM(CG$2:CG340)+BA340*T340</f>
        <v>33277.299999999996</v>
      </c>
      <c r="CH850" s="2">
        <f>SUM(CH$2:CH340)+BB340*U340</f>
        <v>17252.530000000042</v>
      </c>
      <c r="CI850" s="2">
        <f>SUM(CI$2:CI340)+BC340*V340</f>
        <v>-5140</v>
      </c>
      <c r="CJ850" s="2">
        <f>SUM(CJ$2:CJ340)+BD340*W340</f>
        <v>89765.000000000058</v>
      </c>
      <c r="CK850" s="2">
        <f>SUM(CK$2:CK340)+BE340*X340</f>
        <v>57030</v>
      </c>
      <c r="CL850" s="2">
        <f>SUM(CL$2:CL340)+BF340*Y340</f>
        <v>217410</v>
      </c>
      <c r="CM850" s="2">
        <f>SUM(CM$2:CM340)+BG340*Z340</f>
        <v>108000</v>
      </c>
      <c r="CN850" s="2">
        <f>SUM(CN$2:CN340)+BH340*AA340</f>
        <v>166857.5</v>
      </c>
      <c r="CO850" s="2">
        <f>SUM(CO$2:CO340)+BI340*AB340</f>
        <v>-10940</v>
      </c>
      <c r="CP850" s="2">
        <f>SUM(CP$2:CP340)+BJ340*AC340</f>
        <v>26235</v>
      </c>
      <c r="CQ850" s="2">
        <f>SUM(CQ$2:CQ340)+BK340*AD340</f>
        <v>18870.000000000007</v>
      </c>
      <c r="CR850" s="2">
        <f>SUM(CR$2:CR340)+BL340*AE340</f>
        <v>-8230</v>
      </c>
      <c r="CV850" t="s">
        <v>64</v>
      </c>
      <c r="CW850" t="s">
        <v>923</v>
      </c>
      <c r="CX850" t="s">
        <v>19</v>
      </c>
      <c r="CY850" s="4">
        <v>42787</v>
      </c>
      <c r="CZ850" t="s">
        <v>65</v>
      </c>
      <c r="DA850" t="s">
        <v>66</v>
      </c>
      <c r="DB850">
        <v>48</v>
      </c>
      <c r="DC850">
        <v>62.38</v>
      </c>
      <c r="DD850" t="s">
        <v>69</v>
      </c>
      <c r="DE850" t="s">
        <v>70</v>
      </c>
      <c r="DF850">
        <v>2994.2400000000002</v>
      </c>
    </row>
    <row r="851" spans="66:110" x14ac:dyDescent="0.25">
      <c r="BN851" s="1">
        <f t="shared" si="340"/>
        <v>43229</v>
      </c>
      <c r="BO851" s="2">
        <f>SUM(BO$2:BO341)+AI341*B341</f>
        <v>117874.99999999988</v>
      </c>
      <c r="BP851" s="2">
        <f>SUM(BP$2:BP341)+AJ341*C341</f>
        <v>29850.200000000026</v>
      </c>
      <c r="BQ851" s="2">
        <f>SUM(BQ$2:BQ341)+AK341*D341</f>
        <v>211948.49999999988</v>
      </c>
      <c r="BR851" s="2">
        <f>SUM(BR$2:BR341)+AL341*E341</f>
        <v>68095.099999999948</v>
      </c>
      <c r="BS851" s="2">
        <f>SUM(BS$2:BS341)+AM341*F341</f>
        <v>19166.900000000016</v>
      </c>
      <c r="BT851" s="2">
        <f>SUM(BT$2:BT341)+AN341*G341</f>
        <v>19825.5</v>
      </c>
      <c r="BU851" s="2">
        <f>SUM(BU$2:BU341)+AO341*H341</f>
        <v>-5526.7000000000116</v>
      </c>
      <c r="BV851" s="2">
        <f>SUM(BV$2:BV341)+AP341*I341</f>
        <v>-900.20000000001164</v>
      </c>
      <c r="BW851" s="2">
        <f>SUM(BW$2:BW341)+AQ341*J341</f>
        <v>3790</v>
      </c>
      <c r="BX851" s="2">
        <f>SUM(BX$2:BX341)+AR341*K341</f>
        <v>13940</v>
      </c>
      <c r="BY851" s="2">
        <f>SUM(BY$2:BY341)+AS341*L341</f>
        <v>-5382.1000000000113</v>
      </c>
      <c r="BZ851" s="2">
        <f>SUM(BZ$2:BZ341)+AT341*M341</f>
        <v>740</v>
      </c>
      <c r="CA851" s="2">
        <f>SUM(CA$2:CA341)+AU341*N341</f>
        <v>12660</v>
      </c>
      <c r="CB851" s="2">
        <f>SUM(CB$2:CB341)+AV341*O341</f>
        <v>26740</v>
      </c>
      <c r="CC851" s="2">
        <f>SUM(CC$2:CC341)+AW341*P341</f>
        <v>-20</v>
      </c>
      <c r="CD851" s="2">
        <f>SUM(CD$2:CD341)+AX341*Q341</f>
        <v>14050</v>
      </c>
      <c r="CE851" s="2">
        <f>SUM(CE$2:CE341)+AY341*R341</f>
        <v>27020</v>
      </c>
      <c r="CF851" s="2">
        <f>SUM(CF$2:CF341)+AZ341*S341</f>
        <v>226.70999999997002</v>
      </c>
      <c r="CG851" s="2">
        <f>SUM(CG$2:CG341)+BA341*T341</f>
        <v>34400.659999999989</v>
      </c>
      <c r="CH851" s="2">
        <f>SUM(CH$2:CH341)+BB341*U341</f>
        <v>16728.760000000038</v>
      </c>
      <c r="CI851" s="2">
        <f>SUM(CI$2:CI341)+BC341*V341</f>
        <v>-5320</v>
      </c>
      <c r="CJ851" s="2">
        <f>SUM(CJ$2:CJ341)+BD341*W341</f>
        <v>83015</v>
      </c>
      <c r="CK851" s="2">
        <f>SUM(CK$2:CK341)+BE341*X341</f>
        <v>62380</v>
      </c>
      <c r="CL851" s="2">
        <f>SUM(CL$2:CL341)+BF341*Y341</f>
        <v>209040</v>
      </c>
      <c r="CM851" s="2">
        <f>SUM(CM$2:CM341)+BG341*Z341</f>
        <v>114450</v>
      </c>
      <c r="CN851" s="2">
        <f>SUM(CN$2:CN341)+BH341*AA341</f>
        <v>171507.5</v>
      </c>
      <c r="CO851" s="2">
        <f>SUM(CO$2:CO341)+BI341*AB341</f>
        <v>-12800</v>
      </c>
      <c r="CP851" s="2">
        <f>SUM(CP$2:CP341)+BJ341*AC341</f>
        <v>25115</v>
      </c>
      <c r="CQ851" s="2">
        <f>SUM(CQ$2:CQ341)+BK341*AD341</f>
        <v>16240.000000000007</v>
      </c>
      <c r="CR851" s="2">
        <f>SUM(CR$2:CR341)+BL341*AE341</f>
        <v>-6470</v>
      </c>
      <c r="CV851" t="s">
        <v>64</v>
      </c>
      <c r="CW851" t="s">
        <v>924</v>
      </c>
      <c r="CX851" t="s">
        <v>19</v>
      </c>
      <c r="CY851" s="4">
        <v>42788</v>
      </c>
      <c r="CZ851" t="s">
        <v>67</v>
      </c>
      <c r="DA851" t="s">
        <v>68</v>
      </c>
      <c r="DB851">
        <v>55</v>
      </c>
      <c r="DC851">
        <v>62.26</v>
      </c>
      <c r="DD851" t="s">
        <v>69</v>
      </c>
      <c r="DE851" t="s">
        <v>70</v>
      </c>
      <c r="DF851">
        <v>3424.2999999999997</v>
      </c>
    </row>
    <row r="852" spans="66:110" x14ac:dyDescent="0.25">
      <c r="BN852" s="1">
        <f t="shared" si="340"/>
        <v>43230</v>
      </c>
      <c r="BO852" s="2">
        <f>SUM(BO$2:BO342)+AI342*B342</f>
        <v>117874.99999999988</v>
      </c>
      <c r="BP852" s="2">
        <f>SUM(BP$2:BP342)+AJ342*C342</f>
        <v>30941.400000000009</v>
      </c>
      <c r="BQ852" s="2">
        <f>SUM(BQ$2:BQ342)+AK342*D342</f>
        <v>213510.89999999991</v>
      </c>
      <c r="BR852" s="2">
        <f>SUM(BR$2:BR342)+AL342*E342</f>
        <v>69744.299999999959</v>
      </c>
      <c r="BS852" s="2">
        <f>SUM(BS$2:BS342)+AM342*F342</f>
        <v>19476.900000000016</v>
      </c>
      <c r="BT852" s="2">
        <f>SUM(BT$2:BT342)+AN342*G342</f>
        <v>19937.099999999977</v>
      </c>
      <c r="BU852" s="2">
        <f>SUM(BU$2:BU342)+AO342*H342</f>
        <v>-3443.5</v>
      </c>
      <c r="BV852" s="2">
        <f>SUM(BV$2:BV342)+AP342*I342</f>
        <v>119</v>
      </c>
      <c r="BW852" s="2">
        <f>SUM(BW$2:BW342)+AQ342*J342</f>
        <v>5490</v>
      </c>
      <c r="BX852" s="2">
        <f>SUM(BX$2:BX342)+AR342*K342</f>
        <v>13940</v>
      </c>
      <c r="BY852" s="2">
        <f>SUM(BY$2:BY342)+AS342*L342</f>
        <v>-5366.4000000000115</v>
      </c>
      <c r="BZ852" s="2">
        <f>SUM(BZ$2:BZ342)+AT342*M342</f>
        <v>740</v>
      </c>
      <c r="CA852" s="2">
        <f>SUM(CA$2:CA342)+AU342*N342</f>
        <v>12660</v>
      </c>
      <c r="CB852" s="2">
        <f>SUM(CB$2:CB342)+AV342*O342</f>
        <v>26740</v>
      </c>
      <c r="CC852" s="2">
        <f>SUM(CC$2:CC342)+AW342*P342</f>
        <v>-20</v>
      </c>
      <c r="CD852" s="2">
        <f>SUM(CD$2:CD342)+AX342*Q342</f>
        <v>14050</v>
      </c>
      <c r="CE852" s="2">
        <f>SUM(CE$2:CE342)+AY342*R342</f>
        <v>27020</v>
      </c>
      <c r="CF852" s="2">
        <f>SUM(CF$2:CF342)+AZ342*S342</f>
        <v>332.41999999996915</v>
      </c>
      <c r="CG852" s="2">
        <f>SUM(CG$2:CG342)+BA342*T342</f>
        <v>35274.259999999995</v>
      </c>
      <c r="CH852" s="2">
        <f>SUM(CH$2:CH342)+BB342*U342</f>
        <v>16698.010000000031</v>
      </c>
      <c r="CI852" s="2">
        <f>SUM(CI$2:CI342)+BC342*V342</f>
        <v>-5530</v>
      </c>
      <c r="CJ852" s="2">
        <f>SUM(CJ$2:CJ342)+BD342*W342</f>
        <v>77315</v>
      </c>
      <c r="CK852" s="2">
        <f>SUM(CK$2:CK342)+BE342*X342</f>
        <v>67930</v>
      </c>
      <c r="CL852" s="2">
        <f>SUM(CL$2:CL342)+BF342*Y342</f>
        <v>222390</v>
      </c>
      <c r="CM852" s="2">
        <f>SUM(CM$2:CM342)+BG342*Z342</f>
        <v>119300</v>
      </c>
      <c r="CN852" s="2">
        <f>SUM(CN$2:CN342)+BH342*AA342</f>
        <v>172307.5</v>
      </c>
      <c r="CO852" s="2">
        <f>SUM(CO$2:CO342)+BI342*AB342</f>
        <v>-10430</v>
      </c>
      <c r="CP852" s="2">
        <f>SUM(CP$2:CP342)+BJ342*AC342</f>
        <v>23415</v>
      </c>
      <c r="CQ852" s="2">
        <f>SUM(CQ$2:CQ342)+BK342*AD342</f>
        <v>16390.000000000007</v>
      </c>
      <c r="CR852" s="2">
        <f>SUM(CR$2:CR342)+BL342*AE342</f>
        <v>-4750</v>
      </c>
      <c r="CV852" t="s">
        <v>64</v>
      </c>
      <c r="CW852" t="s">
        <v>925</v>
      </c>
      <c r="CX852" t="s">
        <v>19</v>
      </c>
      <c r="CY852" s="4">
        <v>42789</v>
      </c>
      <c r="CZ852" t="s">
        <v>65</v>
      </c>
      <c r="DA852" t="s">
        <v>66</v>
      </c>
      <c r="DB852">
        <v>99</v>
      </c>
      <c r="DC852">
        <v>62.51</v>
      </c>
      <c r="DD852" t="s">
        <v>69</v>
      </c>
      <c r="DE852" t="s">
        <v>70</v>
      </c>
      <c r="DF852">
        <v>6188.49</v>
      </c>
    </row>
    <row r="853" spans="66:110" x14ac:dyDescent="0.25">
      <c r="BN853" s="1">
        <f t="shared" si="340"/>
        <v>43231</v>
      </c>
      <c r="BO853" s="2">
        <f>SUM(BO$2:BO343)+AI343*B343</f>
        <v>116099.99999999988</v>
      </c>
      <c r="BP853" s="2">
        <f>SUM(BP$2:BP343)+AJ343*C343</f>
        <v>30991.000000000015</v>
      </c>
      <c r="BQ853" s="2">
        <f>SUM(BQ$2:BQ343)+AK343*D343</f>
        <v>211539.29999999987</v>
      </c>
      <c r="BR853" s="2">
        <f>SUM(BR$2:BR343)+AL343*E343</f>
        <v>70823.099999999977</v>
      </c>
      <c r="BS853" s="2">
        <f>SUM(BS$2:BS343)+AM343*F343</f>
        <v>19030.500000000015</v>
      </c>
      <c r="BT853" s="2">
        <f>SUM(BT$2:BT343)+AN343*G343</f>
        <v>21152.299999999988</v>
      </c>
      <c r="BU853" s="2">
        <f>SUM(BU$2:BU343)+AO343*H343</f>
        <v>-2959.8999999999942</v>
      </c>
      <c r="BV853" s="2">
        <f>SUM(BV$2:BV343)+AP343*I343</f>
        <v>96.599999999976717</v>
      </c>
      <c r="BW853" s="2">
        <f>SUM(BW$2:BW343)+AQ343*J343</f>
        <v>4970</v>
      </c>
      <c r="BX853" s="2">
        <f>SUM(BX$2:BX343)+AR343*K343</f>
        <v>13940</v>
      </c>
      <c r="BY853" s="2">
        <f>SUM(BY$2:BY343)+AS343*L343</f>
        <v>-5367.4000000000115</v>
      </c>
      <c r="BZ853" s="2">
        <f>SUM(BZ$2:BZ343)+AT343*M343</f>
        <v>740</v>
      </c>
      <c r="CA853" s="2">
        <f>SUM(CA$2:CA343)+AU343*N343</f>
        <v>12660</v>
      </c>
      <c r="CB853" s="2">
        <f>SUM(CB$2:CB343)+AV343*O343</f>
        <v>26740</v>
      </c>
      <c r="CC853" s="2">
        <f>SUM(CC$2:CC343)+AW343*P343</f>
        <v>-20</v>
      </c>
      <c r="CD853" s="2">
        <f>SUM(CD$2:CD343)+AX343*Q343</f>
        <v>14050</v>
      </c>
      <c r="CE853" s="2">
        <f>SUM(CE$2:CE343)+AY343*R343</f>
        <v>27020</v>
      </c>
      <c r="CF853" s="2">
        <f>SUM(CF$2:CF343)+AZ343*S343</f>
        <v>1855.6399999999703</v>
      </c>
      <c r="CG853" s="2">
        <f>SUM(CG$2:CG343)+BA343*T343</f>
        <v>35057.119999999995</v>
      </c>
      <c r="CH853" s="2">
        <f>SUM(CH$2:CH343)+BB343*U343</f>
        <v>17215.660000000047</v>
      </c>
      <c r="CI853" s="2">
        <f>SUM(CI$2:CI343)+BC343*V343</f>
        <v>-5980</v>
      </c>
      <c r="CJ853" s="2">
        <f>SUM(CJ$2:CJ343)+BD343*W343</f>
        <v>75665</v>
      </c>
      <c r="CK853" s="2">
        <f>SUM(CK$2:CK343)+BE343*X343</f>
        <v>69730</v>
      </c>
      <c r="CL853" s="2">
        <f>SUM(CL$2:CL343)+BF343*Y343</f>
        <v>235980</v>
      </c>
      <c r="CM853" s="2">
        <f>SUM(CM$2:CM343)+BG343*Z343</f>
        <v>121150</v>
      </c>
      <c r="CN853" s="2">
        <f>SUM(CN$2:CN343)+BH343*AA343</f>
        <v>176407.5</v>
      </c>
      <c r="CO853" s="2">
        <f>SUM(CO$2:CO343)+BI343*AB343</f>
        <v>-6290</v>
      </c>
      <c r="CP853" s="2">
        <f>SUM(CP$2:CP343)+BJ343*AC343</f>
        <v>22855</v>
      </c>
      <c r="CQ853" s="2">
        <f>SUM(CQ$2:CQ343)+BK343*AD343</f>
        <v>17070.000000000007</v>
      </c>
      <c r="CR853" s="2">
        <f>SUM(CR$2:CR343)+BL343*AE343</f>
        <v>-4380</v>
      </c>
      <c r="CV853" t="s">
        <v>64</v>
      </c>
      <c r="CW853" t="s">
        <v>926</v>
      </c>
      <c r="CX853" t="s">
        <v>19</v>
      </c>
      <c r="CY853" s="4">
        <v>42790</v>
      </c>
      <c r="CZ853" t="s">
        <v>67</v>
      </c>
      <c r="DA853" t="s">
        <v>68</v>
      </c>
      <c r="DB853">
        <v>6</v>
      </c>
      <c r="DC853">
        <v>62.51</v>
      </c>
      <c r="DD853" t="s">
        <v>69</v>
      </c>
      <c r="DE853" t="s">
        <v>70</v>
      </c>
      <c r="DF853">
        <v>375.06</v>
      </c>
    </row>
    <row r="854" spans="66:110" x14ac:dyDescent="0.25">
      <c r="BN854" s="1">
        <f t="shared" si="340"/>
        <v>43234</v>
      </c>
      <c r="BO854" s="2">
        <f>SUM(BO$2:BO344)+AI344*B344</f>
        <v>113899.99999999988</v>
      </c>
      <c r="BP854" s="2">
        <f>SUM(BP$2:BP344)+AJ344*C344</f>
        <v>30829.800000000003</v>
      </c>
      <c r="BQ854" s="2">
        <f>SUM(BQ$2:BQ344)+AK344*D344</f>
        <v>214143.29999999993</v>
      </c>
      <c r="BR854" s="2">
        <f>SUM(BR$2:BR344)+AL344*E344</f>
        <v>71343.899999999936</v>
      </c>
      <c r="BS854" s="2">
        <f>SUM(BS$2:BS344)+AM344*F344</f>
        <v>18757.700000000012</v>
      </c>
      <c r="BT854" s="2">
        <f>SUM(BT$2:BT344)+AN344*G344</f>
        <v>21809.5</v>
      </c>
      <c r="BU854" s="2">
        <f>SUM(BU$2:BU344)+AO344*H344</f>
        <v>-2513.5</v>
      </c>
      <c r="BV854" s="2">
        <f>SUM(BV$2:BV344)+AP344*I344</f>
        <v>757.39999999997963</v>
      </c>
      <c r="BW854" s="2">
        <f>SUM(BW$2:BW344)+AQ344*J344</f>
        <v>5950</v>
      </c>
      <c r="BX854" s="2">
        <f>SUM(BX$2:BX344)+AR344*K344</f>
        <v>13940</v>
      </c>
      <c r="BY854" s="2">
        <f>SUM(BY$2:BY344)+AS344*L344</f>
        <v>-5365.800000000012</v>
      </c>
      <c r="BZ854" s="2">
        <f>SUM(BZ$2:BZ344)+AT344*M344</f>
        <v>740</v>
      </c>
      <c r="CA854" s="2">
        <f>SUM(CA$2:CA344)+AU344*N344</f>
        <v>12660</v>
      </c>
      <c r="CB854" s="2">
        <f>SUM(CB$2:CB344)+AV344*O344</f>
        <v>26740</v>
      </c>
      <c r="CC854" s="2">
        <f>SUM(CC$2:CC344)+AW344*P344</f>
        <v>-20</v>
      </c>
      <c r="CD854" s="2">
        <f>SUM(CD$2:CD344)+AX344*Q344</f>
        <v>14050</v>
      </c>
      <c r="CE854" s="2">
        <f>SUM(CE$2:CE344)+AY344*R344</f>
        <v>27020</v>
      </c>
      <c r="CF854" s="2">
        <f>SUM(CF$2:CF344)+AZ344*S344</f>
        <v>1845.3399999999674</v>
      </c>
      <c r="CG854" s="2">
        <f>SUM(CG$2:CG344)+BA344*T344</f>
        <v>35370.080000000002</v>
      </c>
      <c r="CH854" s="2">
        <f>SUM(CH$2:CH344)+BB344*U344</f>
        <v>17644.110000000037</v>
      </c>
      <c r="CI854" s="2">
        <f>SUM(CI$2:CI344)+BC344*V344</f>
        <v>-6330</v>
      </c>
      <c r="CJ854" s="2">
        <f>SUM(CJ$2:CJ344)+BD344*W344</f>
        <v>76340</v>
      </c>
      <c r="CK854" s="2">
        <f>SUM(CK$2:CK344)+BE344*X344</f>
        <v>63580</v>
      </c>
      <c r="CL854" s="2">
        <f>SUM(CL$2:CL344)+BF344*Y344</f>
        <v>249690</v>
      </c>
      <c r="CM854" s="2">
        <f>SUM(CM$2:CM344)+BG344*Z344</f>
        <v>123600</v>
      </c>
      <c r="CN854" s="2">
        <f>SUM(CN$2:CN344)+BH344*AA344</f>
        <v>173357.5</v>
      </c>
      <c r="CO854" s="2">
        <f>SUM(CO$2:CO344)+BI344*AB344</f>
        <v>-6680</v>
      </c>
      <c r="CP854" s="2">
        <f>SUM(CP$2:CP344)+BJ344*AC344</f>
        <v>20895</v>
      </c>
      <c r="CQ854" s="2">
        <f>SUM(CQ$2:CQ344)+BK344*AD344</f>
        <v>18070.000000000007</v>
      </c>
      <c r="CR854" s="2">
        <f>SUM(CR$2:CR344)+BL344*AE344</f>
        <v>-3850</v>
      </c>
      <c r="CV854" t="s">
        <v>64</v>
      </c>
      <c r="CW854" t="s">
        <v>927</v>
      </c>
      <c r="CX854" t="s">
        <v>19</v>
      </c>
      <c r="CY854" s="4">
        <v>42793</v>
      </c>
      <c r="CZ854" t="s">
        <v>67</v>
      </c>
      <c r="DA854" t="s">
        <v>68</v>
      </c>
      <c r="DB854">
        <v>22</v>
      </c>
      <c r="DC854">
        <v>62.13</v>
      </c>
      <c r="DD854" t="s">
        <v>69</v>
      </c>
      <c r="DE854" t="s">
        <v>70</v>
      </c>
      <c r="DF854">
        <v>1366.8600000000001</v>
      </c>
    </row>
    <row r="855" spans="66:110" x14ac:dyDescent="0.25">
      <c r="BN855" s="1">
        <f t="shared" si="340"/>
        <v>43235</v>
      </c>
      <c r="BO855" s="2">
        <f>SUM(BO$2:BO345)+AI345*B345</f>
        <v>105449.99999999988</v>
      </c>
      <c r="BP855" s="2">
        <f>SUM(BP$2:BP345)+AJ345*C345</f>
        <v>30147.800000000017</v>
      </c>
      <c r="BQ855" s="2">
        <f>SUM(BQ$2:BQ345)+AK345*D345</f>
        <v>211130.09999999992</v>
      </c>
      <c r="BR855" s="2">
        <f>SUM(BR$2:BR345)+AL345*E345</f>
        <v>68070.299999999959</v>
      </c>
      <c r="BS855" s="2">
        <f>SUM(BS$2:BS345)+AM345*F345</f>
        <v>18484.900000000009</v>
      </c>
      <c r="BT855" s="2">
        <f>SUM(BT$2:BT345)+AN345*G345</f>
        <v>21040.699999999983</v>
      </c>
      <c r="BU855" s="2">
        <f>SUM(BU$2:BU345)+AO345*H345</f>
        <v>-1930.6999999999971</v>
      </c>
      <c r="BV855" s="2">
        <f>SUM(BV$2:BV345)+AP345*I345</f>
        <v>331.79999999998836</v>
      </c>
      <c r="BW855" s="2">
        <f>SUM(BW$2:BW345)+AQ345*J345</f>
        <v>3630</v>
      </c>
      <c r="BX855" s="2">
        <f>SUM(BX$2:BX345)+AR345*K345</f>
        <v>13940</v>
      </c>
      <c r="BY855" s="2">
        <f>SUM(BY$2:BY345)+AS345*L345</f>
        <v>-5371.2000000000116</v>
      </c>
      <c r="BZ855" s="2">
        <f>SUM(BZ$2:BZ345)+AT345*M345</f>
        <v>740</v>
      </c>
      <c r="CA855" s="2">
        <f>SUM(CA$2:CA345)+AU345*N345</f>
        <v>12660</v>
      </c>
      <c r="CB855" s="2">
        <f>SUM(CB$2:CB345)+AV345*O345</f>
        <v>26740</v>
      </c>
      <c r="CC855" s="2">
        <f>SUM(CC$2:CC345)+AW345*P345</f>
        <v>-20</v>
      </c>
      <c r="CD855" s="2">
        <f>SUM(CD$2:CD345)+AX345*Q345</f>
        <v>14050</v>
      </c>
      <c r="CE855" s="2">
        <f>SUM(CE$2:CE345)+AY345*R345</f>
        <v>27020</v>
      </c>
      <c r="CF855" s="2">
        <f>SUM(CF$2:CF345)+AZ345*S345</f>
        <v>1379.0999999999767</v>
      </c>
      <c r="CG855" s="2">
        <f>SUM(CG$2:CG345)+BA345*T345</f>
        <v>34632.979999999989</v>
      </c>
      <c r="CH855" s="2">
        <f>SUM(CH$2:CH345)+BB345*U345</f>
        <v>18270.710000000043</v>
      </c>
      <c r="CI855" s="2">
        <f>SUM(CI$2:CI345)+BC345*V345</f>
        <v>-6160</v>
      </c>
      <c r="CJ855" s="2">
        <f>SUM(CJ$2:CJ345)+BD345*W345</f>
        <v>78740</v>
      </c>
      <c r="CK855" s="2">
        <f>SUM(CK$2:CK345)+BE345*X345</f>
        <v>62930</v>
      </c>
      <c r="CL855" s="2">
        <f>SUM(CL$2:CL345)+BF345*Y345</f>
        <v>239610</v>
      </c>
      <c r="CM855" s="2">
        <f>SUM(CM$2:CM345)+BG345*Z345</f>
        <v>121500</v>
      </c>
      <c r="CN855" s="2">
        <f>SUM(CN$2:CN345)+BH345*AA345</f>
        <v>172807.5</v>
      </c>
      <c r="CO855" s="2">
        <f>SUM(CO$2:CO345)+BI345*AB345</f>
        <v>-8720</v>
      </c>
      <c r="CP855" s="2">
        <f>SUM(CP$2:CP345)+BJ345*AC345</f>
        <v>21855</v>
      </c>
      <c r="CQ855" s="2">
        <f>SUM(CQ$2:CQ345)+BK345*AD345</f>
        <v>18200.000000000007</v>
      </c>
      <c r="CR855" s="2">
        <f>SUM(CR$2:CR345)+BL345*AE345</f>
        <v>-3890</v>
      </c>
      <c r="CV855" t="s">
        <v>64</v>
      </c>
      <c r="CW855" t="s">
        <v>928</v>
      </c>
      <c r="CX855" t="s">
        <v>19</v>
      </c>
      <c r="CY855" s="4">
        <v>42794</v>
      </c>
      <c r="CZ855" t="s">
        <v>67</v>
      </c>
      <c r="DA855" t="s">
        <v>68</v>
      </c>
      <c r="DB855">
        <v>93</v>
      </c>
      <c r="DC855">
        <v>61.89</v>
      </c>
      <c r="DD855" t="s">
        <v>69</v>
      </c>
      <c r="DE855" t="s">
        <v>70</v>
      </c>
      <c r="DF855">
        <v>5755.77</v>
      </c>
    </row>
    <row r="856" spans="66:110" x14ac:dyDescent="0.25">
      <c r="BN856" s="1">
        <f t="shared" si="340"/>
        <v>43236</v>
      </c>
      <c r="BO856" s="2">
        <f>SUM(BO$2:BO346)+AI346*B346</f>
        <v>114049.99999999988</v>
      </c>
      <c r="BP856" s="2">
        <f>SUM(BP$2:BP346)+AJ346*C346</f>
        <v>29961.800000000003</v>
      </c>
      <c r="BQ856" s="2">
        <f>SUM(BQ$2:BQ346)+AK346*D346</f>
        <v>209728.89999999991</v>
      </c>
      <c r="BR856" s="2">
        <f>SUM(BR$2:BR346)+AL346*E346</f>
        <v>69533.499999999942</v>
      </c>
      <c r="BS856" s="2">
        <f>SUM(BS$2:BS346)+AM346*F346</f>
        <v>18100.500000000015</v>
      </c>
      <c r="BT856" s="2">
        <f>SUM(BT$2:BT346)+AN346*G346</f>
        <v>20829.899999999994</v>
      </c>
      <c r="BU856" s="2">
        <f>SUM(BU$2:BU346)+AO346*H346</f>
        <v>660.89999999999418</v>
      </c>
      <c r="BV856" s="2">
        <f>SUM(BV$2:BV346)+AP346*I346</f>
        <v>1306.1999999999825</v>
      </c>
      <c r="BW856" s="2">
        <f>SUM(BW$2:BW346)+AQ346*J346</f>
        <v>3030</v>
      </c>
      <c r="BX856" s="2">
        <f>SUM(BX$2:BX346)+AR346*K346</f>
        <v>13940</v>
      </c>
      <c r="BY856" s="2">
        <f>SUM(BY$2:BY346)+AS346*L346</f>
        <v>-5362.6000000000113</v>
      </c>
      <c r="BZ856" s="2">
        <f>SUM(BZ$2:BZ346)+AT346*M346</f>
        <v>740</v>
      </c>
      <c r="CA856" s="2">
        <f>SUM(CA$2:CA346)+AU346*N346</f>
        <v>12660</v>
      </c>
      <c r="CB856" s="2">
        <f>SUM(CB$2:CB346)+AV346*O346</f>
        <v>26740</v>
      </c>
      <c r="CC856" s="2">
        <f>SUM(CC$2:CC346)+AW346*P346</f>
        <v>-20</v>
      </c>
      <c r="CD856" s="2">
        <f>SUM(CD$2:CD346)+AX346*Q346</f>
        <v>14050</v>
      </c>
      <c r="CE856" s="2">
        <f>SUM(CE$2:CE346)+AY346*R346</f>
        <v>27020</v>
      </c>
      <c r="CF856" s="2">
        <f>SUM(CF$2:CF346)+AZ346*S346</f>
        <v>1926.1199999999735</v>
      </c>
      <c r="CG856" s="2">
        <f>SUM(CG$2:CG346)+BA346*T346</f>
        <v>34881.729999999996</v>
      </c>
      <c r="CH856" s="2">
        <f>SUM(CH$2:CH346)+BB346*U346</f>
        <v>20164.760000000046</v>
      </c>
      <c r="CI856" s="2">
        <f>SUM(CI$2:CI346)+BC346*V346</f>
        <v>-6150</v>
      </c>
      <c r="CJ856" s="2">
        <f>SUM(CJ$2:CJ346)+BD346*W346</f>
        <v>74540</v>
      </c>
      <c r="CK856" s="2">
        <f>SUM(CK$2:CK346)+BE346*X346</f>
        <v>64330</v>
      </c>
      <c r="CL856" s="2">
        <f>SUM(CL$2:CL346)+BF346*Y346</f>
        <v>246180</v>
      </c>
      <c r="CM856" s="2">
        <f>SUM(CM$2:CM346)+BG346*Z346</f>
        <v>122600</v>
      </c>
      <c r="CN856" s="2">
        <f>SUM(CN$2:CN346)+BH346*AA346</f>
        <v>171757.5</v>
      </c>
      <c r="CO856" s="2">
        <f>SUM(CO$2:CO346)+BI346*AB346</f>
        <v>-8510</v>
      </c>
      <c r="CP856" s="2">
        <f>SUM(CP$2:CP346)+BJ346*AC346</f>
        <v>19635</v>
      </c>
      <c r="CQ856" s="2">
        <f>SUM(CQ$2:CQ346)+BK346*AD346</f>
        <v>19790.000000000007</v>
      </c>
      <c r="CR856" s="2">
        <f>SUM(CR$2:CR346)+BL346*AE346</f>
        <v>-3660</v>
      </c>
      <c r="CV856" t="s">
        <v>64</v>
      </c>
      <c r="CW856" t="s">
        <v>929</v>
      </c>
      <c r="CX856" t="s">
        <v>19</v>
      </c>
      <c r="CY856" s="4">
        <v>42795</v>
      </c>
      <c r="CZ856" t="s">
        <v>65</v>
      </c>
      <c r="DA856" t="s">
        <v>66</v>
      </c>
      <c r="DB856">
        <v>105</v>
      </c>
      <c r="DC856">
        <v>62.82</v>
      </c>
      <c r="DD856" t="s">
        <v>69</v>
      </c>
      <c r="DE856" t="s">
        <v>70</v>
      </c>
      <c r="DF856">
        <v>6596.1</v>
      </c>
    </row>
    <row r="857" spans="66:110" x14ac:dyDescent="0.25">
      <c r="BN857" s="1">
        <f t="shared" si="340"/>
        <v>43237</v>
      </c>
      <c r="BO857" s="2">
        <f>SUM(BO$2:BO347)+AI347*B347</f>
        <v>108199.99999999988</v>
      </c>
      <c r="BP857" s="2">
        <f>SUM(BP$2:BP347)+AJ347*C347</f>
        <v>30743.000000000015</v>
      </c>
      <c r="BQ857" s="2">
        <f>SUM(BQ$2:BQ347)+AK347*D347</f>
        <v>213597.69999999995</v>
      </c>
      <c r="BR857" s="2">
        <f>SUM(BR$2:BR347)+AL347*E347</f>
        <v>69409.499999999942</v>
      </c>
      <c r="BS857" s="2">
        <f>SUM(BS$2:BS347)+AM347*F347</f>
        <v>16042.100000000006</v>
      </c>
      <c r="BT857" s="2">
        <f>SUM(BT$2:BT347)+AN347*G347</f>
        <v>22057.5</v>
      </c>
      <c r="BU857" s="2">
        <f>SUM(BU$2:BU347)+AO347*H347</f>
        <v>-194.70000000001164</v>
      </c>
      <c r="BV857" s="2">
        <f>SUM(BV$2:BV347)+AP347*I347</f>
        <v>1451.7999999999884</v>
      </c>
      <c r="BW857" s="2">
        <f>SUM(BW$2:BW347)+AQ347*J347</f>
        <v>1190</v>
      </c>
      <c r="BX857" s="2">
        <f>SUM(BX$2:BX347)+AR347*K347</f>
        <v>13940</v>
      </c>
      <c r="BY857" s="2">
        <f>SUM(BY$2:BY347)+AS347*L347</f>
        <v>-5363.9000000000115</v>
      </c>
      <c r="BZ857" s="2">
        <f>SUM(BZ$2:BZ347)+AT347*M347</f>
        <v>740</v>
      </c>
      <c r="CA857" s="2">
        <f>SUM(CA$2:CA347)+AU347*N347</f>
        <v>12660</v>
      </c>
      <c r="CB857" s="2">
        <f>SUM(CB$2:CB347)+AV347*O347</f>
        <v>26740</v>
      </c>
      <c r="CC857" s="2">
        <f>SUM(CC$2:CC347)+AW347*P347</f>
        <v>-20</v>
      </c>
      <c r="CD857" s="2">
        <f>SUM(CD$2:CD347)+AX347*Q347</f>
        <v>14050</v>
      </c>
      <c r="CE857" s="2">
        <f>SUM(CE$2:CE347)+AY347*R347</f>
        <v>27020</v>
      </c>
      <c r="CF857" s="2">
        <f>SUM(CF$2:CF347)+AZ347*S347</f>
        <v>1249.4199999999764</v>
      </c>
      <c r="CG857" s="2">
        <f>SUM(CG$2:CG347)+BA347*T347</f>
        <v>34014.849999999991</v>
      </c>
      <c r="CH857" s="2">
        <f>SUM(CH$2:CH347)+BB347*U347</f>
        <v>19745.16000000004</v>
      </c>
      <c r="CI857" s="2">
        <f>SUM(CI$2:CI347)+BC347*V347</f>
        <v>-6180</v>
      </c>
      <c r="CJ857" s="2">
        <f>SUM(CJ$2:CJ347)+BD347*W347</f>
        <v>71390</v>
      </c>
      <c r="CK857" s="2">
        <f>SUM(CK$2:CK347)+BE347*X347</f>
        <v>67129.999999999884</v>
      </c>
      <c r="CL857" s="2">
        <f>SUM(CL$2:CL347)+BF347*Y347</f>
        <v>249870</v>
      </c>
      <c r="CM857" s="2">
        <f>SUM(CM$2:CM347)+BG347*Z347</f>
        <v>125200</v>
      </c>
      <c r="CN857" s="2">
        <f>SUM(CN$2:CN347)+BH347*AA347</f>
        <v>169907.5</v>
      </c>
      <c r="CO857" s="2">
        <f>SUM(CO$2:CO347)+BI347*AB347</f>
        <v>-8540</v>
      </c>
      <c r="CP857" s="2">
        <f>SUM(CP$2:CP347)+BJ347*AC347</f>
        <v>18375.000000000015</v>
      </c>
      <c r="CQ857" s="2">
        <f>SUM(CQ$2:CQ347)+BK347*AD347</f>
        <v>18170.000000000007</v>
      </c>
      <c r="CR857" s="2">
        <f>SUM(CR$2:CR347)+BL347*AE347</f>
        <v>-3800</v>
      </c>
      <c r="CV857" t="s">
        <v>64</v>
      </c>
      <c r="CW857" t="s">
        <v>930</v>
      </c>
      <c r="CX857" t="s">
        <v>19</v>
      </c>
      <c r="CY857" s="4">
        <v>42796</v>
      </c>
      <c r="CZ857" t="s">
        <v>67</v>
      </c>
      <c r="DA857" t="s">
        <v>68</v>
      </c>
      <c r="DB857">
        <v>53</v>
      </c>
      <c r="DC857">
        <v>61.92</v>
      </c>
      <c r="DD857" t="s">
        <v>69</v>
      </c>
      <c r="DE857" t="s">
        <v>70</v>
      </c>
      <c r="DF857">
        <v>3281.76</v>
      </c>
    </row>
    <row r="858" spans="66:110" x14ac:dyDescent="0.25">
      <c r="BN858" s="1">
        <f t="shared" si="340"/>
        <v>43238</v>
      </c>
      <c r="BO858" s="2">
        <f>SUM(BO$2:BO348)+AI348*B348</f>
        <v>104799.99999999988</v>
      </c>
      <c r="BP858" s="2">
        <f>SUM(BP$2:BP348)+AJ348*C348</f>
        <v>30457.800000000017</v>
      </c>
      <c r="BQ858" s="2">
        <f>SUM(BQ$2:BQ348)+AK348*D348</f>
        <v>222265.29999999993</v>
      </c>
      <c r="BR858" s="2">
        <f>SUM(BR$2:BR348)+AL348*E348</f>
        <v>71864.699999999953</v>
      </c>
      <c r="BS858" s="2">
        <f>SUM(BS$2:BS348)+AM348*F348</f>
        <v>15732.100000000006</v>
      </c>
      <c r="BT858" s="2">
        <f>SUM(BT$2:BT348)+AN348*G348</f>
        <v>20123.099999999977</v>
      </c>
      <c r="BU858" s="2">
        <f>SUM(BU$2:BU348)+AO348*H348</f>
        <v>-690.69999999999709</v>
      </c>
      <c r="BV858" s="2">
        <f>SUM(BV$2:BV348)+AP348*I348</f>
        <v>802.19999999999709</v>
      </c>
      <c r="BW858" s="2">
        <f>SUM(BW$2:BW348)+AQ348*J348</f>
        <v>-880</v>
      </c>
      <c r="BX858" s="2">
        <f>SUM(BX$2:BX348)+AR348*K348</f>
        <v>13940</v>
      </c>
      <c r="BY858" s="2">
        <f>SUM(BY$2:BY348)+AS348*L348</f>
        <v>-5367.9000000000115</v>
      </c>
      <c r="BZ858" s="2">
        <f>SUM(BZ$2:BZ348)+AT348*M348</f>
        <v>740</v>
      </c>
      <c r="CA858" s="2">
        <f>SUM(CA$2:CA348)+AU348*N348</f>
        <v>12660</v>
      </c>
      <c r="CB858" s="2">
        <f>SUM(CB$2:CB348)+AV348*O348</f>
        <v>26740</v>
      </c>
      <c r="CC858" s="2">
        <f>SUM(CC$2:CC348)+AW348*P348</f>
        <v>-20</v>
      </c>
      <c r="CD858" s="2">
        <f>SUM(CD$2:CD348)+AX348*Q348</f>
        <v>14050</v>
      </c>
      <c r="CE858" s="2">
        <f>SUM(CE$2:CE348)+AY348*R348</f>
        <v>27020</v>
      </c>
      <c r="CF858" s="2">
        <f>SUM(CF$2:CF348)+AZ348*S348</f>
        <v>1318.9299999999785</v>
      </c>
      <c r="CG858" s="2">
        <f>SUM(CG$2:CG348)+BA348*T348</f>
        <v>34190.349999999991</v>
      </c>
      <c r="CH858" s="2">
        <f>SUM(CH$2:CH348)+BB348*U348</f>
        <v>20104.260000000038</v>
      </c>
      <c r="CI858" s="2">
        <f>SUM(CI$2:CI348)+BC348*V348</f>
        <v>-6110</v>
      </c>
      <c r="CJ858" s="2">
        <f>SUM(CJ$2:CJ348)+BD348*W348</f>
        <v>75065</v>
      </c>
      <c r="CK858" s="2">
        <f>SUM(CK$2:CK348)+BE348*X348</f>
        <v>62880</v>
      </c>
      <c r="CL858" s="2">
        <f>SUM(CL$2:CL348)+BF348*Y348</f>
        <v>254850</v>
      </c>
      <c r="CM858" s="2">
        <f>SUM(CM$2:CM348)+BG348*Z348</f>
        <v>128050</v>
      </c>
      <c r="CN858" s="2">
        <f>SUM(CN$2:CN348)+BH348*AA348</f>
        <v>169907.5</v>
      </c>
      <c r="CO858" s="2">
        <f>SUM(CO$2:CO348)+BI348*AB348</f>
        <v>-8870</v>
      </c>
      <c r="CP858" s="2">
        <f>SUM(CP$2:CP348)+BJ348*AC348</f>
        <v>21615</v>
      </c>
      <c r="CQ858" s="2">
        <f>SUM(CQ$2:CQ348)+BK348*AD348</f>
        <v>17330.000000000007</v>
      </c>
      <c r="CR858" s="2">
        <f>SUM(CR$2:CR348)+BL348*AE348</f>
        <v>-4360</v>
      </c>
      <c r="CV858" t="s">
        <v>64</v>
      </c>
      <c r="CW858" t="s">
        <v>931</v>
      </c>
      <c r="CX858" t="s">
        <v>19</v>
      </c>
      <c r="CY858" s="4">
        <v>42797</v>
      </c>
      <c r="CZ858" t="s">
        <v>67</v>
      </c>
      <c r="DA858" t="s">
        <v>68</v>
      </c>
      <c r="DB858">
        <v>35</v>
      </c>
      <c r="DC858">
        <v>62.15</v>
      </c>
      <c r="DD858" t="s">
        <v>69</v>
      </c>
      <c r="DE858" t="s">
        <v>70</v>
      </c>
      <c r="DF858">
        <v>2175.25</v>
      </c>
    </row>
    <row r="859" spans="66:110" x14ac:dyDescent="0.25">
      <c r="BN859" s="1">
        <f t="shared" si="340"/>
        <v>43241</v>
      </c>
      <c r="BO859" s="2">
        <f>SUM(BO$2:BO349)+AI349*B349</f>
        <v>111349.99999999988</v>
      </c>
      <c r="BP859" s="2">
        <f>SUM(BP$2:BP349)+AJ349*C349</f>
        <v>31747.400000000023</v>
      </c>
      <c r="BQ859" s="2">
        <f>SUM(BQ$2:BQ349)+AK349*D349</f>
        <v>237765.29999999993</v>
      </c>
      <c r="BR859" s="2">
        <f>SUM(BR$2:BR349)+AL349*E349</f>
        <v>75770.699999999953</v>
      </c>
      <c r="BS859" s="2">
        <f>SUM(BS$2:BS349)+AM349*F349</f>
        <v>16389.30000000001</v>
      </c>
      <c r="BT859" s="2">
        <f>SUM(BT$2:BT349)+AN349*G349</f>
        <v>21945.899999999994</v>
      </c>
      <c r="BU859" s="2">
        <f>SUM(BU$2:BU349)+AO349*H349</f>
        <v>-529.50000000001455</v>
      </c>
      <c r="BV859" s="2">
        <f>SUM(BV$2:BV349)+AP349*I349</f>
        <v>1966.9999999999854</v>
      </c>
      <c r="BW859" s="2">
        <f>SUM(BW$2:BW349)+AQ349*J349</f>
        <v>-190</v>
      </c>
      <c r="BX859" s="2">
        <f>SUM(BX$2:BX349)+AR349*K349</f>
        <v>13940</v>
      </c>
      <c r="BY859" s="2">
        <f>SUM(BY$2:BY349)+AS349*L349</f>
        <v>-5354.300000000012</v>
      </c>
      <c r="BZ859" s="2">
        <f>SUM(BZ$2:BZ349)+AT349*M349</f>
        <v>740</v>
      </c>
      <c r="CA859" s="2">
        <f>SUM(CA$2:CA349)+AU349*N349</f>
        <v>12660</v>
      </c>
      <c r="CB859" s="2">
        <f>SUM(CB$2:CB349)+AV349*O349</f>
        <v>26740</v>
      </c>
      <c r="CC859" s="2">
        <f>SUM(CC$2:CC349)+AW349*P349</f>
        <v>-20</v>
      </c>
      <c r="CD859" s="2">
        <f>SUM(CD$2:CD349)+AX349*Q349</f>
        <v>14050</v>
      </c>
      <c r="CE859" s="2">
        <f>SUM(CE$2:CE349)+AY349*R349</f>
        <v>27020</v>
      </c>
      <c r="CF859" s="2">
        <f>SUM(CF$2:CF349)+AZ349*S349</f>
        <v>750.77999999997701</v>
      </c>
      <c r="CG859" s="2">
        <f>SUM(CG$2:CG349)+BA349*T349</f>
        <v>35325.640000000007</v>
      </c>
      <c r="CH859" s="2">
        <f>SUM(CH$2:CH349)+BB349*U349</f>
        <v>20159.640000000043</v>
      </c>
      <c r="CI859" s="2">
        <f>SUM(CI$2:CI349)+BC349*V349</f>
        <v>-6270</v>
      </c>
      <c r="CJ859" s="2">
        <f>SUM(CJ$2:CJ349)+BD349*W349</f>
        <v>70640</v>
      </c>
      <c r="CK859" s="2">
        <f>SUM(CK$2:CK349)+BE349*X349</f>
        <v>69180</v>
      </c>
      <c r="CL859" s="2">
        <f>SUM(CL$2:CL349)+BF349*Y349</f>
        <v>264540</v>
      </c>
      <c r="CM859" s="2">
        <f>SUM(CM$2:CM349)+BG349*Z349</f>
        <v>142150</v>
      </c>
      <c r="CN859" s="2">
        <f>SUM(CN$2:CN349)+BH349*AA349</f>
        <v>166307.5</v>
      </c>
      <c r="CO859" s="2">
        <f>SUM(CO$2:CO349)+BI349*AB349</f>
        <v>-6860</v>
      </c>
      <c r="CP859" s="2">
        <f>SUM(CP$2:CP349)+BJ349*AC349</f>
        <v>21295</v>
      </c>
      <c r="CQ859" s="2">
        <f>SUM(CQ$2:CQ349)+BK349*AD349</f>
        <v>18190.000000000007</v>
      </c>
      <c r="CR859" s="2">
        <f>SUM(CR$2:CR349)+BL349*AE349</f>
        <v>-3410</v>
      </c>
      <c r="CV859" t="s">
        <v>64</v>
      </c>
      <c r="CW859" t="s">
        <v>932</v>
      </c>
      <c r="CX859" t="s">
        <v>19</v>
      </c>
      <c r="CY859" s="4">
        <v>42800</v>
      </c>
      <c r="CZ859" t="s">
        <v>67</v>
      </c>
      <c r="DA859" t="s">
        <v>68</v>
      </c>
      <c r="DB859">
        <v>11</v>
      </c>
      <c r="DC859">
        <v>62.17</v>
      </c>
      <c r="DD859" t="s">
        <v>69</v>
      </c>
      <c r="DE859" t="s">
        <v>70</v>
      </c>
      <c r="DF859">
        <v>683.87</v>
      </c>
    </row>
    <row r="860" spans="66:110" x14ac:dyDescent="0.25">
      <c r="BN860" s="1">
        <f t="shared" si="340"/>
        <v>43242</v>
      </c>
      <c r="BO860" s="2">
        <f>SUM(BO$2:BO350)+AI350*B350</f>
        <v>108999.99999999988</v>
      </c>
      <c r="BP860" s="2">
        <f>SUM(BP$2:BP350)+AJ350*C350</f>
        <v>32565.800000000017</v>
      </c>
      <c r="BQ860" s="2">
        <f>SUM(BQ$2:BQ350)+AK350*D350</f>
        <v>226890.49999999988</v>
      </c>
      <c r="BR860" s="2">
        <f>SUM(BR$2:BR350)+AL350*E350</f>
        <v>72459.899999999965</v>
      </c>
      <c r="BS860" s="2">
        <f>SUM(BS$2:BS350)+AM350*F350</f>
        <v>16265.30000000001</v>
      </c>
      <c r="BT860" s="2">
        <f>SUM(BT$2:BT350)+AN350*G350</f>
        <v>20569.5</v>
      </c>
      <c r="BU860" s="2">
        <f>SUM(BU$2:BU350)+AO350*H350</f>
        <v>-517.10000000000582</v>
      </c>
      <c r="BV860" s="2">
        <f>SUM(BV$2:BV350)+AP350*I350</f>
        <v>690.19999999998254</v>
      </c>
      <c r="BW860" s="2">
        <f>SUM(BW$2:BW350)+AQ350*J350</f>
        <v>110</v>
      </c>
      <c r="BX860" s="2">
        <f>SUM(BX$2:BX350)+AR350*K350</f>
        <v>13940</v>
      </c>
      <c r="BY860" s="2">
        <f>SUM(BY$2:BY350)+AS350*L350</f>
        <v>-5358.2000000000116</v>
      </c>
      <c r="BZ860" s="2">
        <f>SUM(BZ$2:BZ350)+AT350*M350</f>
        <v>740</v>
      </c>
      <c r="CA860" s="2">
        <f>SUM(CA$2:CA350)+AU350*N350</f>
        <v>12660</v>
      </c>
      <c r="CB860" s="2">
        <f>SUM(CB$2:CB350)+AV350*O350</f>
        <v>26740</v>
      </c>
      <c r="CC860" s="2">
        <f>SUM(CC$2:CC350)+AW350*P350</f>
        <v>-20</v>
      </c>
      <c r="CD860" s="2">
        <f>SUM(CD$2:CD350)+AX350*Q350</f>
        <v>14050</v>
      </c>
      <c r="CE860" s="2">
        <f>SUM(CE$2:CE350)+AY350*R350</f>
        <v>27020</v>
      </c>
      <c r="CF860" s="2">
        <f>SUM(CF$2:CF350)+AZ350*S350</f>
        <v>634.25999999998021</v>
      </c>
      <c r="CG860" s="2">
        <f>SUM(CG$2:CG350)+BA350*T350</f>
        <v>35233.539999999986</v>
      </c>
      <c r="CH860" s="2">
        <f>SUM(CH$2:CH350)+BB350*U350</f>
        <v>20092.440000000046</v>
      </c>
      <c r="CI860" s="2">
        <f>SUM(CI$2:CI350)+BC350*V350</f>
        <v>-6190</v>
      </c>
      <c r="CJ860" s="2">
        <f>SUM(CJ$2:CJ350)+BD350*W350</f>
        <v>70865</v>
      </c>
      <c r="CK860" s="2">
        <f>SUM(CK$2:CK350)+BE350*X350</f>
        <v>70580.000000000116</v>
      </c>
      <c r="CL860" s="2">
        <f>SUM(CL$2:CL350)+BF350*Y350</f>
        <v>256470</v>
      </c>
      <c r="CM860" s="2">
        <f>SUM(CM$2:CM350)+BG350*Z350</f>
        <v>141250</v>
      </c>
      <c r="CN860" s="2">
        <f>SUM(CN$2:CN350)+BH350*AA350</f>
        <v>166057.5</v>
      </c>
      <c r="CO860" s="2">
        <f>SUM(CO$2:CO350)+BI350*AB350</f>
        <v>-5750</v>
      </c>
      <c r="CP860" s="2">
        <f>SUM(CP$2:CP350)+BJ350*AC350</f>
        <v>21815</v>
      </c>
      <c r="CQ860" s="2">
        <f>SUM(CQ$2:CQ350)+BK350*AD350</f>
        <v>17060.000000000007</v>
      </c>
      <c r="CR860" s="2">
        <f>SUM(CR$2:CR350)+BL350*AE350</f>
        <v>-4030</v>
      </c>
      <c r="CV860" t="s">
        <v>64</v>
      </c>
      <c r="CW860" t="s">
        <v>933</v>
      </c>
      <c r="CX860" t="s">
        <v>19</v>
      </c>
      <c r="CY860" s="4">
        <v>42801</v>
      </c>
      <c r="CZ860" t="s">
        <v>65</v>
      </c>
      <c r="DA860" t="s">
        <v>66</v>
      </c>
      <c r="DB860">
        <v>139</v>
      </c>
      <c r="DC860">
        <v>62.3</v>
      </c>
      <c r="DD860" t="s">
        <v>69</v>
      </c>
      <c r="DE860" t="s">
        <v>70</v>
      </c>
      <c r="DF860">
        <v>8659.6999999999989</v>
      </c>
    </row>
    <row r="861" spans="66:110" x14ac:dyDescent="0.25">
      <c r="BN861" s="1">
        <f t="shared" si="340"/>
        <v>43243</v>
      </c>
      <c r="BO861" s="2">
        <f>SUM(BO$2:BO351)+AI351*B351</f>
        <v>114949.99999999988</v>
      </c>
      <c r="BP861" s="2">
        <f>SUM(BP$2:BP351)+AJ351*C351</f>
        <v>31611.000000000015</v>
      </c>
      <c r="BQ861" s="2">
        <f>SUM(BQ$2:BQ351)+AK351*D351</f>
        <v>232011.6999999999</v>
      </c>
      <c r="BR861" s="2">
        <f>SUM(BR$2:BR351)+AL351*E351</f>
        <v>74332.29999999993</v>
      </c>
      <c r="BS861" s="2">
        <f>SUM(BS$2:BS351)+AM351*F351</f>
        <v>16302.500000000007</v>
      </c>
      <c r="BT861" s="2">
        <f>SUM(BT$2:BT351)+AN351*G351</f>
        <v>21139.899999999994</v>
      </c>
      <c r="BU861" s="2">
        <f>SUM(BU$2:BU351)+AO351*H351</f>
        <v>-1967.9000000000087</v>
      </c>
      <c r="BV861" s="2">
        <f>SUM(BV$2:BV351)+AP351*I351</f>
        <v>219.79999999998836</v>
      </c>
      <c r="BW861" s="2">
        <f>SUM(BW$2:BW351)+AQ351*J351</f>
        <v>-80</v>
      </c>
      <c r="BX861" s="2">
        <f>SUM(BX$2:BX351)+AR351*K351</f>
        <v>13940</v>
      </c>
      <c r="BY861" s="2">
        <f>SUM(BY$2:BY351)+AS351*L351</f>
        <v>-5362.2000000000116</v>
      </c>
      <c r="BZ861" s="2">
        <f>SUM(BZ$2:BZ351)+AT351*M351</f>
        <v>740</v>
      </c>
      <c r="CA861" s="2">
        <f>SUM(CA$2:CA351)+AU351*N351</f>
        <v>12660</v>
      </c>
      <c r="CB861" s="2">
        <f>SUM(CB$2:CB351)+AV351*O351</f>
        <v>26740</v>
      </c>
      <c r="CC861" s="2">
        <f>SUM(CC$2:CC351)+AW351*P351</f>
        <v>-20</v>
      </c>
      <c r="CD861" s="2">
        <f>SUM(CD$2:CD351)+AX351*Q351</f>
        <v>14050</v>
      </c>
      <c r="CE861" s="2">
        <f>SUM(CE$2:CE351)+AY351*R351</f>
        <v>27020</v>
      </c>
      <c r="CF861" s="2">
        <f>SUM(CF$2:CF351)+AZ351*S351</f>
        <v>1354.5599999999758</v>
      </c>
      <c r="CG861" s="2">
        <f>SUM(CG$2:CG351)+BA351*T351</f>
        <v>36420.340000000004</v>
      </c>
      <c r="CH861" s="2">
        <f>SUM(CH$2:CH351)+BB351*U351</f>
        <v>20121.150000000045</v>
      </c>
      <c r="CI861" s="2">
        <f>SUM(CI$2:CI351)+BC351*V351</f>
        <v>-6440</v>
      </c>
      <c r="CJ861" s="2">
        <f>SUM(CJ$2:CJ351)+BD351*W351</f>
        <v>69740</v>
      </c>
      <c r="CK861" s="2">
        <f>SUM(CK$2:CK351)+BE351*X351</f>
        <v>68030</v>
      </c>
      <c r="CL861" s="2">
        <f>SUM(CL$2:CL351)+BF351*Y351</f>
        <v>253740</v>
      </c>
      <c r="CM861" s="2">
        <f>SUM(CM$2:CM351)+BG351*Z351</f>
        <v>139800</v>
      </c>
      <c r="CN861" s="2">
        <f>SUM(CN$2:CN351)+BH351*AA351</f>
        <v>160207.5</v>
      </c>
      <c r="CO861" s="2">
        <f>SUM(CO$2:CO351)+BI351*AB351</f>
        <v>-6380</v>
      </c>
      <c r="CP861" s="2">
        <f>SUM(CP$2:CP351)+BJ351*AC351</f>
        <v>22455</v>
      </c>
      <c r="CQ861" s="2">
        <f>SUM(CQ$2:CQ351)+BK351*AD351</f>
        <v>16700.000000000007</v>
      </c>
      <c r="CR861" s="2">
        <f>SUM(CR$2:CR351)+BL351*AE351</f>
        <v>-3540</v>
      </c>
      <c r="CV861" t="s">
        <v>64</v>
      </c>
      <c r="CW861" t="s">
        <v>934</v>
      </c>
      <c r="CX861" t="s">
        <v>19</v>
      </c>
      <c r="CY861" s="4">
        <v>42802</v>
      </c>
      <c r="CZ861" t="s">
        <v>67</v>
      </c>
      <c r="DA861" t="s">
        <v>68</v>
      </c>
      <c r="DB861">
        <v>23</v>
      </c>
      <c r="DC861">
        <v>62.87</v>
      </c>
      <c r="DD861" t="s">
        <v>69</v>
      </c>
      <c r="DE861" t="s">
        <v>70</v>
      </c>
      <c r="DF861">
        <v>1446.01</v>
      </c>
    </row>
    <row r="862" spans="66:110" x14ac:dyDescent="0.25">
      <c r="BN862" s="1">
        <f t="shared" si="340"/>
        <v>43244</v>
      </c>
      <c r="BO862" s="2">
        <f>SUM(BO$2:BO352)+AI352*B352</f>
        <v>113899.99999999988</v>
      </c>
      <c r="BP862" s="2">
        <f>SUM(BP$2:BP352)+AJ352*C352</f>
        <v>31710.200000000012</v>
      </c>
      <c r="BQ862" s="2">
        <f>SUM(BQ$2:BQ352)+AK352*D352</f>
        <v>231763.6999999999</v>
      </c>
      <c r="BR862" s="2">
        <f>SUM(BR$2:BR352)+AL352*E352</f>
        <v>74282.699999999953</v>
      </c>
      <c r="BS862" s="2">
        <f>SUM(BS$2:BS352)+AM352*F352</f>
        <v>16166.100000000013</v>
      </c>
      <c r="BT862" s="2">
        <f>SUM(BT$2:BT352)+AN352*G352</f>
        <v>18622.699999999983</v>
      </c>
      <c r="BU862" s="2">
        <f>SUM(BU$2:BU352)+AO352*H352</f>
        <v>-2910.3000000000029</v>
      </c>
      <c r="BV862" s="2">
        <f>SUM(BV$2:BV352)+AP352*I352</f>
        <v>-508.20000000001164</v>
      </c>
      <c r="BW862" s="2">
        <f>SUM(BW$2:BW352)+AQ352*J352</f>
        <v>-1770</v>
      </c>
      <c r="BX862" s="2">
        <f>SUM(BX$2:BX352)+AR352*K352</f>
        <v>13940</v>
      </c>
      <c r="BY862" s="2">
        <f>SUM(BY$2:BY352)+AS352*L352</f>
        <v>-5368.0000000000118</v>
      </c>
      <c r="BZ862" s="2">
        <f>SUM(BZ$2:BZ352)+AT352*M352</f>
        <v>740</v>
      </c>
      <c r="CA862" s="2">
        <f>SUM(CA$2:CA352)+AU352*N352</f>
        <v>12660</v>
      </c>
      <c r="CB862" s="2">
        <f>SUM(CB$2:CB352)+AV352*O352</f>
        <v>26740</v>
      </c>
      <c r="CC862" s="2">
        <f>SUM(CC$2:CC352)+AW352*P352</f>
        <v>-20</v>
      </c>
      <c r="CD862" s="2">
        <f>SUM(CD$2:CD352)+AX352*Q352</f>
        <v>14050</v>
      </c>
      <c r="CE862" s="2">
        <f>SUM(CE$2:CE352)+AY352*R352</f>
        <v>27020</v>
      </c>
      <c r="CF862" s="2">
        <f>SUM(CF$2:CF352)+AZ352*S352</f>
        <v>1315.7599999999802</v>
      </c>
      <c r="CG862" s="2">
        <f>SUM(CG$2:CG352)+BA352*T352</f>
        <v>36060.54</v>
      </c>
      <c r="CH862" s="2">
        <f>SUM(CH$2:CH352)+BB352*U352</f>
        <v>20918.780000000042</v>
      </c>
      <c r="CI862" s="2">
        <f>SUM(CI$2:CI352)+BC352*V352</f>
        <v>-6360</v>
      </c>
      <c r="CJ862" s="2">
        <f>SUM(CJ$2:CJ352)+BD352*W352</f>
        <v>72740</v>
      </c>
      <c r="CK862" s="2">
        <f>SUM(CK$2:CK352)+BE352*X352</f>
        <v>66780</v>
      </c>
      <c r="CL862" s="2">
        <f>SUM(CL$2:CL352)+BF352*Y352</f>
        <v>249180</v>
      </c>
      <c r="CM862" s="2">
        <f>SUM(CM$2:CM352)+BG352*Z352</f>
        <v>138950</v>
      </c>
      <c r="CN862" s="2">
        <f>SUM(CN$2:CN352)+BH352*AA352</f>
        <v>160207.5</v>
      </c>
      <c r="CO862" s="2">
        <f>SUM(CO$2:CO352)+BI352*AB352</f>
        <v>-6230</v>
      </c>
      <c r="CP862" s="2">
        <f>SUM(CP$2:CP352)+BJ352*AC352</f>
        <v>23435</v>
      </c>
      <c r="CQ862" s="2">
        <f>SUM(CQ$2:CQ352)+BK352*AD352</f>
        <v>16540.000000000007</v>
      </c>
      <c r="CR862" s="2">
        <f>SUM(CR$2:CR352)+BL352*AE352</f>
        <v>-5360</v>
      </c>
      <c r="CV862" t="s">
        <v>64</v>
      </c>
      <c r="CW862" t="s">
        <v>935</v>
      </c>
      <c r="CX862" t="s">
        <v>19</v>
      </c>
      <c r="CY862" s="4">
        <v>42803</v>
      </c>
      <c r="CZ862" t="s">
        <v>67</v>
      </c>
      <c r="DA862" t="s">
        <v>68</v>
      </c>
      <c r="DB862">
        <v>66</v>
      </c>
      <c r="DC862">
        <v>62.62</v>
      </c>
      <c r="DD862" t="s">
        <v>69</v>
      </c>
      <c r="DE862" t="s">
        <v>70</v>
      </c>
      <c r="DF862">
        <v>4132.92</v>
      </c>
    </row>
    <row r="863" spans="66:110" x14ac:dyDescent="0.25">
      <c r="BN863" s="1">
        <f t="shared" si="340"/>
        <v>43245</v>
      </c>
      <c r="BO863" s="2">
        <f>SUM(BO$2:BO353)+AI353*B353</f>
        <v>116049.99999999988</v>
      </c>
      <c r="BP863" s="2">
        <f>SUM(BP$2:BP353)+AJ353*C353</f>
        <v>30585.200000000012</v>
      </c>
      <c r="BQ863" s="2">
        <f>SUM(BQ$2:BQ353)+AK353*D353</f>
        <v>233101.1999999999</v>
      </c>
      <c r="BR863" s="2">
        <f>SUM(BR$2:BR353)+AL353*E353</f>
        <v>72020.199999999953</v>
      </c>
      <c r="BS863" s="2">
        <f>SUM(BS$2:BS353)+AM353*F353</f>
        <v>15791.100000000013</v>
      </c>
      <c r="BT863" s="2">
        <f>SUM(BT$2:BT353)+AN353*G353</f>
        <v>13260.199999999983</v>
      </c>
      <c r="BU863" s="2">
        <f>SUM(BU$2:BU353)+AO353*H353</f>
        <v>-2810.3000000000029</v>
      </c>
      <c r="BV863" s="2">
        <f>SUM(BV$2:BV353)+AP353*I353</f>
        <v>-1254</v>
      </c>
      <c r="BW863" s="2">
        <f>SUM(BW$2:BW353)+AQ353*J353</f>
        <v>-2850</v>
      </c>
      <c r="BX863" s="2">
        <f>SUM(BX$2:BX353)+AR353*K353</f>
        <v>13940</v>
      </c>
      <c r="BY863" s="2">
        <f>SUM(BY$2:BY353)+AS353*L353</f>
        <v>-5372.2000000000116</v>
      </c>
      <c r="BZ863" s="2">
        <f>SUM(BZ$2:BZ353)+AT353*M353</f>
        <v>740</v>
      </c>
      <c r="CA863" s="2">
        <f>SUM(CA$2:CA353)+AU353*N353</f>
        <v>12660</v>
      </c>
      <c r="CB863" s="2">
        <f>SUM(CB$2:CB353)+AV353*O353</f>
        <v>26740</v>
      </c>
      <c r="CC863" s="2">
        <f>SUM(CC$2:CC353)+AW353*P353</f>
        <v>-20</v>
      </c>
      <c r="CD863" s="2">
        <f>SUM(CD$2:CD353)+AX353*Q353</f>
        <v>14050</v>
      </c>
      <c r="CE863" s="2">
        <f>SUM(CE$2:CE353)+AY353*R353</f>
        <v>27020</v>
      </c>
      <c r="CF863" s="2">
        <f>SUM(CF$2:CF353)+AZ353*S353</f>
        <v>1276.1199999999808</v>
      </c>
      <c r="CG863" s="2">
        <f>SUM(CG$2:CG353)+BA353*T353</f>
        <v>36107.890000000007</v>
      </c>
      <c r="CH863" s="2">
        <f>SUM(CH$2:CH353)+BB353*U353</f>
        <v>20994.310000000041</v>
      </c>
      <c r="CI863" s="2">
        <f>SUM(CI$2:CI353)+BC353*V353</f>
        <v>-6150</v>
      </c>
      <c r="CJ863" s="2">
        <f>SUM(CJ$2:CJ353)+BD353*W353</f>
        <v>68840</v>
      </c>
      <c r="CK863" s="2">
        <f>SUM(CK$2:CK353)+BE353*X353</f>
        <v>68630</v>
      </c>
      <c r="CL863" s="2">
        <f>SUM(CL$2:CL353)+BF353*Y353</f>
        <v>255780</v>
      </c>
      <c r="CM863" s="2">
        <f>SUM(CM$2:CM353)+BG353*Z353</f>
        <v>137100</v>
      </c>
      <c r="CN863" s="2">
        <f>SUM(CN$2:CN353)+BH353*AA353</f>
        <v>160207.5</v>
      </c>
      <c r="CO863" s="2">
        <f>SUM(CO$2:CO353)+BI353*AB353</f>
        <v>-6590</v>
      </c>
      <c r="CP863" s="2">
        <f>SUM(CP$2:CP353)+BJ353*AC353</f>
        <v>23195</v>
      </c>
      <c r="CQ863" s="2">
        <f>SUM(CQ$2:CQ353)+BK353*AD353</f>
        <v>16160.000000000007</v>
      </c>
      <c r="CR863" s="2">
        <f>SUM(CR$2:CR353)+BL353*AE353</f>
        <v>-6870</v>
      </c>
      <c r="CV863" t="s">
        <v>64</v>
      </c>
      <c r="CW863" t="s">
        <v>936</v>
      </c>
      <c r="CX863" t="s">
        <v>19</v>
      </c>
      <c r="CY863" s="4">
        <v>42804</v>
      </c>
      <c r="CZ863" t="s">
        <v>65</v>
      </c>
      <c r="DA863" t="s">
        <v>66</v>
      </c>
      <c r="DB863">
        <v>141</v>
      </c>
      <c r="DC863">
        <v>62.81</v>
      </c>
      <c r="DD863" t="s">
        <v>69</v>
      </c>
      <c r="DE863" t="s">
        <v>70</v>
      </c>
      <c r="DF863">
        <v>8856.2100000000009</v>
      </c>
    </row>
    <row r="864" spans="66:110" x14ac:dyDescent="0.25">
      <c r="BN864" s="1">
        <f t="shared" si="340"/>
        <v>43249</v>
      </c>
      <c r="BO864" s="2">
        <f>SUM(BO$2:BO354)+AI354*B354</f>
        <v>112699.99999999988</v>
      </c>
      <c r="BP864" s="2">
        <f>SUM(BP$2:BP354)+AJ354*C354</f>
        <v>26385.200000000012</v>
      </c>
      <c r="BQ864" s="2">
        <f>SUM(BQ$2:BQ354)+AK354*D354</f>
        <v>223726.1999999999</v>
      </c>
      <c r="BR864" s="2">
        <f>SUM(BR$2:BR354)+AL354*E354</f>
        <v>69282.699999999953</v>
      </c>
      <c r="BS864" s="2">
        <f>SUM(BS$2:BS354)+AM354*F354</f>
        <v>15441.100000000013</v>
      </c>
      <c r="BT864" s="2">
        <f>SUM(BT$2:BT354)+AN354*G354</f>
        <v>12285.199999999983</v>
      </c>
      <c r="BU864" s="2">
        <f>SUM(BU$2:BU354)+AO354*H354</f>
        <v>-5897.8000000000029</v>
      </c>
      <c r="BV864" s="2">
        <f>SUM(BV$2:BV354)+AP354*I354</f>
        <v>-3220.2000000000116</v>
      </c>
      <c r="BW864" s="2">
        <f>SUM(BW$2:BW354)+AQ354*J354</f>
        <v>-10750</v>
      </c>
      <c r="BX864" s="2">
        <f>SUM(BX$2:BX354)+AR354*K354</f>
        <v>13940</v>
      </c>
      <c r="BY864" s="2">
        <f>SUM(BY$2:BY354)+AS354*L354</f>
        <v>-5395.6000000000113</v>
      </c>
      <c r="BZ864" s="2">
        <f>SUM(BZ$2:BZ354)+AT354*M354</f>
        <v>740</v>
      </c>
      <c r="CA864" s="2">
        <f>SUM(CA$2:CA354)+AU354*N354</f>
        <v>12660</v>
      </c>
      <c r="CB864" s="2">
        <f>SUM(CB$2:CB354)+AV354*O354</f>
        <v>26740</v>
      </c>
      <c r="CC864" s="2">
        <f>SUM(CC$2:CC354)+AW354*P354</f>
        <v>-20</v>
      </c>
      <c r="CD864" s="2">
        <f>SUM(CD$2:CD354)+AX354*Q354</f>
        <v>14050</v>
      </c>
      <c r="CE864" s="2">
        <f>SUM(CE$2:CE354)+AY354*R354</f>
        <v>27020</v>
      </c>
      <c r="CF864" s="2">
        <f>SUM(CF$2:CF354)+AZ354*S354</f>
        <v>613.48999999998341</v>
      </c>
      <c r="CG864" s="2">
        <f>SUM(CG$2:CG354)+BA354*T354</f>
        <v>35758.939999999988</v>
      </c>
      <c r="CH864" s="2">
        <f>SUM(CH$2:CH354)+BB354*U354</f>
        <v>19686.190000000053</v>
      </c>
      <c r="CI864" s="2">
        <f>SUM(CI$2:CI354)+BC354*V354</f>
        <v>-6170</v>
      </c>
      <c r="CJ864" s="2">
        <f>SUM(CJ$2:CJ354)+BD354*W354</f>
        <v>70715</v>
      </c>
      <c r="CK864" s="2">
        <f>SUM(CK$2:CK354)+BE354*X354</f>
        <v>54830</v>
      </c>
      <c r="CL864" s="2">
        <f>SUM(CL$2:CL354)+BF354*Y354</f>
        <v>247530</v>
      </c>
      <c r="CM864" s="2">
        <f>SUM(CM$2:CM354)+BG354*Z354</f>
        <v>127650</v>
      </c>
      <c r="CN864" s="2">
        <f>SUM(CN$2:CN354)+BH354*AA354</f>
        <v>160207.5</v>
      </c>
      <c r="CO864" s="2">
        <f>SUM(CO$2:CO354)+BI354*AB354</f>
        <v>-7520</v>
      </c>
      <c r="CP864" s="2">
        <f>SUM(CP$2:CP354)+BJ354*AC354</f>
        <v>24835</v>
      </c>
      <c r="CQ864" s="2">
        <f>SUM(CQ$2:CQ354)+BK354*AD354</f>
        <v>16100.000000000007</v>
      </c>
      <c r="CR864" s="2">
        <f>SUM(CR$2:CR354)+BL354*AE354</f>
        <v>-7150</v>
      </c>
      <c r="CV864" t="s">
        <v>64</v>
      </c>
      <c r="CW864" t="s">
        <v>937</v>
      </c>
      <c r="CX864" t="s">
        <v>19</v>
      </c>
      <c r="CY864" s="4">
        <v>42807</v>
      </c>
      <c r="CZ864" t="s">
        <v>67</v>
      </c>
      <c r="DA864" t="s">
        <v>68</v>
      </c>
      <c r="DB864">
        <v>158</v>
      </c>
      <c r="DC864">
        <v>62.6</v>
      </c>
      <c r="DD864" t="s">
        <v>69</v>
      </c>
      <c r="DE864" t="s">
        <v>70</v>
      </c>
      <c r="DF864">
        <v>9890.8000000000011</v>
      </c>
    </row>
    <row r="865" spans="66:110" x14ac:dyDescent="0.25">
      <c r="BN865" s="1">
        <f t="shared" si="340"/>
        <v>43250</v>
      </c>
      <c r="BO865" s="2">
        <f>SUM(BO$2:BO355)+AI355*B355</f>
        <v>110699.99999999988</v>
      </c>
      <c r="BP865" s="2">
        <f>SUM(BP$2:BP355)+AJ355*C355</f>
        <v>27960.200000000012</v>
      </c>
      <c r="BQ865" s="2">
        <f>SUM(BQ$2:BQ355)+AK355*D355</f>
        <v>230763.6999999999</v>
      </c>
      <c r="BR865" s="2">
        <f>SUM(BR$2:BR355)+AL355*E355</f>
        <v>71532.699999999953</v>
      </c>
      <c r="BS865" s="2">
        <f>SUM(BS$2:BS355)+AM355*F355</f>
        <v>15291.100000000006</v>
      </c>
      <c r="BT865" s="2">
        <f>SUM(BT$2:BT355)+AN355*G355</f>
        <v>16860.199999999983</v>
      </c>
      <c r="BU865" s="2">
        <f>SUM(BU$2:BU355)+AO355*H355</f>
        <v>-5535.3000000000029</v>
      </c>
      <c r="BV865" s="2">
        <f>SUM(BV$2:BV355)+AP355*I355</f>
        <v>-1841.6000000000204</v>
      </c>
      <c r="BW865" s="2">
        <f>SUM(BW$2:BW355)+AQ355*J355</f>
        <v>-7840</v>
      </c>
      <c r="BX865" s="2">
        <f>SUM(BX$2:BX355)+AR355*K355</f>
        <v>13940</v>
      </c>
      <c r="BY865" s="2">
        <f>SUM(BY$2:BY355)+AS355*L355</f>
        <v>-5382.0000000000118</v>
      </c>
      <c r="BZ865" s="2">
        <f>SUM(BZ$2:BZ355)+AT355*M355</f>
        <v>740</v>
      </c>
      <c r="CA865" s="2">
        <f>SUM(CA$2:CA355)+AU355*N355</f>
        <v>12660</v>
      </c>
      <c r="CB865" s="2">
        <f>SUM(CB$2:CB355)+AV355*O355</f>
        <v>26740</v>
      </c>
      <c r="CC865" s="2">
        <f>SUM(CC$2:CC355)+AW355*P355</f>
        <v>-20</v>
      </c>
      <c r="CD865" s="2">
        <f>SUM(CD$2:CD355)+AX355*Q355</f>
        <v>14050</v>
      </c>
      <c r="CE865" s="2">
        <f>SUM(CE$2:CE355)+AY355*R355</f>
        <v>27020</v>
      </c>
      <c r="CF865" s="2">
        <f>SUM(CF$2:CF355)+AZ355*S355</f>
        <v>1884.1399999999849</v>
      </c>
      <c r="CG865" s="2">
        <f>SUM(CG$2:CG355)+BA355*T355</f>
        <v>36624.680000000008</v>
      </c>
      <c r="CH865" s="2">
        <f>SUM(CH$2:CH355)+BB355*U355</f>
        <v>20978.39000000005</v>
      </c>
      <c r="CI865" s="2">
        <f>SUM(CI$2:CI355)+BC355*V355</f>
        <v>-6510</v>
      </c>
      <c r="CJ865" s="2">
        <f>SUM(CJ$2:CJ355)+BD355*W355</f>
        <v>64565</v>
      </c>
      <c r="CK865" s="2">
        <f>SUM(CK$2:CK355)+BE355*X355</f>
        <v>64430</v>
      </c>
      <c r="CL865" s="2">
        <f>SUM(CL$2:CL355)+BF355*Y355</f>
        <v>255750</v>
      </c>
      <c r="CM865" s="2">
        <f>SUM(CM$2:CM355)+BG355*Z355</f>
        <v>133050</v>
      </c>
      <c r="CN865" s="2">
        <f>SUM(CN$2:CN355)+BH355*AA355</f>
        <v>160207.5</v>
      </c>
      <c r="CO865" s="2">
        <f>SUM(CO$2:CO355)+BI355*AB355</f>
        <v>-6350</v>
      </c>
      <c r="CP865" s="2">
        <f>SUM(CP$2:CP355)+BJ355*AC355</f>
        <v>23175</v>
      </c>
      <c r="CQ865" s="2">
        <f>SUM(CQ$2:CQ355)+BK355*AD355</f>
        <v>17800.000000000007</v>
      </c>
      <c r="CR865" s="2">
        <f>SUM(CR$2:CR355)+BL355*AE355</f>
        <v>-4170</v>
      </c>
      <c r="CV865" t="s">
        <v>64</v>
      </c>
      <c r="CW865" t="s">
        <v>938</v>
      </c>
      <c r="CX865" t="s">
        <v>19</v>
      </c>
      <c r="CY865" s="4">
        <v>42808</v>
      </c>
      <c r="CZ865" t="s">
        <v>67</v>
      </c>
      <c r="DA865" t="s">
        <v>68</v>
      </c>
      <c r="DB865">
        <v>23</v>
      </c>
      <c r="DC865">
        <v>62.31</v>
      </c>
      <c r="DD865" t="s">
        <v>69</v>
      </c>
      <c r="DE865" t="s">
        <v>70</v>
      </c>
      <c r="DF865">
        <v>1433.13</v>
      </c>
    </row>
    <row r="866" spans="66:110" x14ac:dyDescent="0.25">
      <c r="BN866" s="1">
        <f t="shared" si="340"/>
        <v>43251</v>
      </c>
      <c r="BO866" s="2">
        <f>SUM(BO$2:BO356)+AI356*B356</f>
        <v>107599.99999999988</v>
      </c>
      <c r="BP866" s="2">
        <f>SUM(BP$2:BP356)+AJ356*C356</f>
        <v>27110.200000000012</v>
      </c>
      <c r="BQ866" s="2">
        <f>SUM(BQ$2:BQ356)+AK356*D356</f>
        <v>223326.1999999999</v>
      </c>
      <c r="BR866" s="2">
        <f>SUM(BR$2:BR356)+AL356*E356</f>
        <v>67182.699999999953</v>
      </c>
      <c r="BS866" s="2">
        <f>SUM(BS$2:BS356)+AM356*F356</f>
        <v>15116.10000000002</v>
      </c>
      <c r="BT866" s="2">
        <f>SUM(BT$2:BT356)+AN356*G356</f>
        <v>15810.199999999983</v>
      </c>
      <c r="BU866" s="2">
        <f>SUM(BU$2:BU356)+AO356*H356</f>
        <v>-6160.3000000000029</v>
      </c>
      <c r="BV866" s="2">
        <f>SUM(BV$2:BV356)+AP356*I356</f>
        <v>-2598.7000000000116</v>
      </c>
      <c r="BW866" s="2">
        <f>SUM(BW$2:BW356)+AQ356*J356</f>
        <v>-11090</v>
      </c>
      <c r="BX866" s="2">
        <f>SUM(BX$2:BX356)+AR356*K356</f>
        <v>13940</v>
      </c>
      <c r="BY866" s="2">
        <f>SUM(BY$2:BY356)+AS356*L356</f>
        <v>-5394.7000000000116</v>
      </c>
      <c r="BZ866" s="2">
        <f>SUM(BZ$2:BZ356)+AT356*M356</f>
        <v>740</v>
      </c>
      <c r="CA866" s="2">
        <f>SUM(CA$2:CA356)+AU356*N356</f>
        <v>12660</v>
      </c>
      <c r="CB866" s="2">
        <f>SUM(CB$2:CB356)+AV356*O356</f>
        <v>26740</v>
      </c>
      <c r="CC866" s="2">
        <f>SUM(CC$2:CC356)+AW356*P356</f>
        <v>-20</v>
      </c>
      <c r="CD866" s="2">
        <f>SUM(CD$2:CD356)+AX356*Q356</f>
        <v>14050</v>
      </c>
      <c r="CE866" s="2">
        <f>SUM(CE$2:CE356)+AY356*R356</f>
        <v>27020</v>
      </c>
      <c r="CF866" s="2">
        <f>SUM(CF$2:CF356)+AZ356*S356</f>
        <v>1698.5099999999802</v>
      </c>
      <c r="CG866" s="2">
        <f>SUM(CG$2:CG356)+BA356*T356</f>
        <v>36505.770000000004</v>
      </c>
      <c r="CH866" s="2">
        <f>SUM(CH$2:CH356)+BB356*U356</f>
        <v>20538.930000000051</v>
      </c>
      <c r="CI866" s="2">
        <f>SUM(CI$2:CI356)+BC356*V356</f>
        <v>-6400</v>
      </c>
      <c r="CJ866" s="2">
        <f>SUM(CJ$2:CJ356)+BD356*W356</f>
        <v>77165</v>
      </c>
      <c r="CK866" s="2">
        <f>SUM(CK$2:CK356)+BE356*X356</f>
        <v>56330</v>
      </c>
      <c r="CL866" s="2">
        <f>SUM(CL$2:CL356)+BF356*Y356</f>
        <v>245580</v>
      </c>
      <c r="CM866" s="2">
        <f>SUM(CM$2:CM356)+BG356*Z356</f>
        <v>126250</v>
      </c>
      <c r="CN866" s="2">
        <f>SUM(CN$2:CN356)+BH356*AA356</f>
        <v>160007.5</v>
      </c>
      <c r="CO866" s="2">
        <f>SUM(CO$2:CO356)+BI356*AB356</f>
        <v>-9050</v>
      </c>
      <c r="CP866" s="2">
        <f>SUM(CP$2:CP356)+BJ356*AC356</f>
        <v>25435</v>
      </c>
      <c r="CQ866" s="2">
        <f>SUM(CQ$2:CQ356)+BK356*AD356</f>
        <v>16240.000000000007</v>
      </c>
      <c r="CR866" s="2">
        <f>SUM(CR$2:CR356)+BL356*AE356</f>
        <v>-4420</v>
      </c>
      <c r="CV866" t="s">
        <v>64</v>
      </c>
      <c r="CW866" t="s">
        <v>939</v>
      </c>
      <c r="CX866" t="s">
        <v>19</v>
      </c>
      <c r="CY866" s="4">
        <v>42809</v>
      </c>
      <c r="CZ866" t="s">
        <v>65</v>
      </c>
      <c r="DA866" t="s">
        <v>66</v>
      </c>
      <c r="DB866">
        <v>168</v>
      </c>
      <c r="DC866">
        <v>62.64</v>
      </c>
      <c r="DD866" t="s">
        <v>69</v>
      </c>
      <c r="DE866" t="s">
        <v>70</v>
      </c>
      <c r="DF866">
        <v>10523.52</v>
      </c>
    </row>
    <row r="867" spans="66:110" x14ac:dyDescent="0.25">
      <c r="BN867" s="1">
        <f t="shared" si="340"/>
        <v>43252</v>
      </c>
      <c r="BO867" s="2">
        <f>SUM(BO$2:BO357)+AI357*B357</f>
        <v>124250</v>
      </c>
      <c r="BP867" s="2">
        <f>SUM(BP$2:BP357)+AJ357*C357</f>
        <v>27047.700000000012</v>
      </c>
      <c r="BQ867" s="2">
        <f>SUM(BQ$2:BQ357)+AK357*D357</f>
        <v>228951.1999999999</v>
      </c>
      <c r="BR867" s="2">
        <f>SUM(BR$2:BR357)+AL357*E357</f>
        <v>69157.699999999953</v>
      </c>
      <c r="BS867" s="2">
        <f>SUM(BS$2:BS357)+AM357*F357</f>
        <v>16278.600000000013</v>
      </c>
      <c r="BT867" s="2">
        <f>SUM(BT$2:BT357)+AN357*G357</f>
        <v>15272.699999999983</v>
      </c>
      <c r="BU867" s="2">
        <f>SUM(BU$2:BU357)+AO357*H357</f>
        <v>-6297.8000000000029</v>
      </c>
      <c r="BV867" s="2">
        <f>SUM(BV$2:BV357)+AP357*I357</f>
        <v>-304.80000000001746</v>
      </c>
      <c r="BW867" s="2">
        <f>SUM(BW$2:BW357)+AQ357*J357</f>
        <v>-8640</v>
      </c>
      <c r="BX867" s="2">
        <f>SUM(BX$2:BX357)+AR357*K357</f>
        <v>13940</v>
      </c>
      <c r="BY867" s="2">
        <f>SUM(BY$2:BY357)+AS357*L357</f>
        <v>-5388.5000000000118</v>
      </c>
      <c r="BZ867" s="2">
        <f>SUM(BZ$2:BZ357)+AT357*M357</f>
        <v>740</v>
      </c>
      <c r="CA867" s="2">
        <f>SUM(CA$2:CA357)+AU357*N357</f>
        <v>12660</v>
      </c>
      <c r="CB867" s="2">
        <f>SUM(CB$2:CB357)+AV357*O357</f>
        <v>26740</v>
      </c>
      <c r="CC867" s="2">
        <f>SUM(CC$2:CC357)+AW357*P357</f>
        <v>-20</v>
      </c>
      <c r="CD867" s="2">
        <f>SUM(CD$2:CD357)+AX357*Q357</f>
        <v>14050</v>
      </c>
      <c r="CE867" s="2">
        <f>SUM(CE$2:CE357)+AY357*R357</f>
        <v>27020</v>
      </c>
      <c r="CF867" s="2">
        <f>SUM(CF$2:CF357)+AZ357*S357</f>
        <v>2729.7199999999793</v>
      </c>
      <c r="CG867" s="2">
        <f>SUM(CG$2:CG357)+BA357*T357</f>
        <v>38561.219999999994</v>
      </c>
      <c r="CH867" s="2">
        <f>SUM(CH$2:CH357)+BB357*U357</f>
        <v>21649.050000000054</v>
      </c>
      <c r="CI867" s="2">
        <f>SUM(CI$2:CI357)+BC357*V357</f>
        <v>-6710</v>
      </c>
      <c r="CJ867" s="2">
        <f>SUM(CJ$2:CJ357)+BD357*W357</f>
        <v>75065</v>
      </c>
      <c r="CK867" s="2">
        <f>SUM(CK$2:CK357)+BE357*X357</f>
        <v>60130</v>
      </c>
      <c r="CL867" s="2">
        <f>SUM(CL$2:CL357)+BF357*Y357</f>
        <v>251040</v>
      </c>
      <c r="CM867" s="2">
        <f>SUM(CM$2:CM357)+BG357*Z357</f>
        <v>131100</v>
      </c>
      <c r="CN867" s="2">
        <f>SUM(CN$2:CN357)+BH357*AA357</f>
        <v>159682.5</v>
      </c>
      <c r="CO867" s="2">
        <f>SUM(CO$2:CO357)+BI357*AB357</f>
        <v>-8660</v>
      </c>
      <c r="CP867" s="2">
        <f>SUM(CP$2:CP357)+BJ357*AC357</f>
        <v>24515</v>
      </c>
      <c r="CQ867" s="2">
        <f>SUM(CQ$2:CQ357)+BK357*AD357</f>
        <v>16680.000000000007</v>
      </c>
      <c r="CR867" s="2">
        <f>SUM(CR$2:CR357)+BL357*AE357</f>
        <v>-3850</v>
      </c>
      <c r="CV867" t="s">
        <v>64</v>
      </c>
      <c r="CW867" t="s">
        <v>940</v>
      </c>
      <c r="CX867" t="s">
        <v>19</v>
      </c>
      <c r="CY867" s="4">
        <v>42810</v>
      </c>
      <c r="CZ867" t="s">
        <v>67</v>
      </c>
      <c r="DA867" t="s">
        <v>68</v>
      </c>
      <c r="DB867">
        <v>42</v>
      </c>
      <c r="DC867">
        <v>62.53</v>
      </c>
      <c r="DD867" t="s">
        <v>69</v>
      </c>
      <c r="DE867" t="s">
        <v>70</v>
      </c>
      <c r="DF867">
        <v>2626.26</v>
      </c>
    </row>
    <row r="868" spans="66:110" x14ac:dyDescent="0.25">
      <c r="BN868" s="1">
        <f t="shared" si="340"/>
        <v>43255</v>
      </c>
      <c r="BO868" s="2">
        <f>SUM(BO$2:BO358)+AI358*B358</f>
        <v>132099.99999999988</v>
      </c>
      <c r="BP868" s="2">
        <f>SUM(BP$2:BP358)+AJ358*C358</f>
        <v>28535.200000000012</v>
      </c>
      <c r="BQ868" s="2">
        <f>SUM(BQ$2:BQ358)+AK358*D358</f>
        <v>233888.6999999999</v>
      </c>
      <c r="BR868" s="2">
        <f>SUM(BR$2:BR358)+AL358*E358</f>
        <v>67907.699999999953</v>
      </c>
      <c r="BS868" s="2">
        <f>SUM(BS$2:BS358)+AM358*F358</f>
        <v>16178.600000000013</v>
      </c>
      <c r="BT868" s="2">
        <f>SUM(BT$2:BT358)+AN358*G358</f>
        <v>13335.199999999983</v>
      </c>
      <c r="BU868" s="2">
        <f>SUM(BU$2:BU358)+AO358*H358</f>
        <v>-5210.2999999999884</v>
      </c>
      <c r="BV868" s="2">
        <f>SUM(BV$2:BV358)+AP358*I358</f>
        <v>768.69999999998254</v>
      </c>
      <c r="BW868" s="2">
        <f>SUM(BW$2:BW358)+AQ358*J358</f>
        <v>-7110</v>
      </c>
      <c r="BX868" s="2">
        <f>SUM(BX$2:BX358)+AR358*K358</f>
        <v>13940</v>
      </c>
      <c r="BY868" s="2">
        <f>SUM(BY$2:BY358)+AS358*L358</f>
        <v>-5378.0000000000118</v>
      </c>
      <c r="BZ868" s="2">
        <f>SUM(BZ$2:BZ358)+AT358*M358</f>
        <v>740</v>
      </c>
      <c r="CA868" s="2">
        <f>SUM(CA$2:CA358)+AU358*N358</f>
        <v>12660</v>
      </c>
      <c r="CB868" s="2">
        <f>SUM(CB$2:CB358)+AV358*O358</f>
        <v>26740</v>
      </c>
      <c r="CC868" s="2">
        <f>SUM(CC$2:CC358)+AW358*P358</f>
        <v>-20</v>
      </c>
      <c r="CD868" s="2">
        <f>SUM(CD$2:CD358)+AX358*Q358</f>
        <v>14050</v>
      </c>
      <c r="CE868" s="2">
        <f>SUM(CE$2:CE358)+AY358*R358</f>
        <v>27020</v>
      </c>
      <c r="CF868" s="2">
        <f>SUM(CF$2:CF358)+AZ358*S358</f>
        <v>4224.0699999999852</v>
      </c>
      <c r="CG868" s="2">
        <f>SUM(CG$2:CG358)+BA358*T358</f>
        <v>39385.979999999996</v>
      </c>
      <c r="CH868" s="2">
        <f>SUM(CH$2:CH358)+BB358*U358</f>
        <v>22603.050000000047</v>
      </c>
      <c r="CI868" s="2">
        <f>SUM(CI$2:CI358)+BC358*V358</f>
        <v>-6910</v>
      </c>
      <c r="CJ868" s="2">
        <f>SUM(CJ$2:CJ358)+BD358*W358</f>
        <v>69740</v>
      </c>
      <c r="CK868" s="2">
        <f>SUM(CK$2:CK358)+BE358*X358</f>
        <v>62230</v>
      </c>
      <c r="CL868" s="2">
        <f>SUM(CL$2:CL358)+BF358*Y358</f>
        <v>254820</v>
      </c>
      <c r="CM868" s="2">
        <f>SUM(CM$2:CM358)+BG358*Z358</f>
        <v>133450</v>
      </c>
      <c r="CN868" s="2">
        <f>SUM(CN$2:CN358)+BH358*AA358</f>
        <v>165207.5</v>
      </c>
      <c r="CO868" s="2">
        <f>SUM(CO$2:CO358)+BI358*AB358</f>
        <v>-8630</v>
      </c>
      <c r="CP868" s="2">
        <f>SUM(CP$2:CP358)+BJ358*AC358</f>
        <v>23655</v>
      </c>
      <c r="CQ868" s="2">
        <f>SUM(CQ$2:CQ358)+BK358*AD358</f>
        <v>19090.000000000007</v>
      </c>
      <c r="CR868" s="2">
        <f>SUM(CR$2:CR358)+BL358*AE358</f>
        <v>-4680</v>
      </c>
      <c r="CV868" t="s">
        <v>64</v>
      </c>
      <c r="CW868" t="s">
        <v>941</v>
      </c>
      <c r="CX868" t="s">
        <v>19</v>
      </c>
      <c r="CY868" s="4">
        <v>42811</v>
      </c>
      <c r="CZ868" t="s">
        <v>67</v>
      </c>
      <c r="DA868" t="s">
        <v>68</v>
      </c>
      <c r="DB868">
        <v>41</v>
      </c>
      <c r="DC868">
        <v>62.75</v>
      </c>
      <c r="DD868" t="s">
        <v>69</v>
      </c>
      <c r="DE868" t="s">
        <v>70</v>
      </c>
      <c r="DF868">
        <v>2572.75</v>
      </c>
    </row>
    <row r="869" spans="66:110" x14ac:dyDescent="0.25">
      <c r="BN869" s="1">
        <f t="shared" si="340"/>
        <v>43256</v>
      </c>
      <c r="BO869" s="2">
        <f>SUM(BO$2:BO359)+AI359*B359</f>
        <v>139399.99999999977</v>
      </c>
      <c r="BP869" s="2">
        <f>SUM(BP$2:BP359)+AJ359*C359</f>
        <v>28360.200000000012</v>
      </c>
      <c r="BQ869" s="2">
        <f>SUM(BQ$2:BQ359)+AK359*D359</f>
        <v>233113.6999999999</v>
      </c>
      <c r="BR869" s="2">
        <f>SUM(BR$2:BR359)+AL359*E359</f>
        <v>68532.699999999953</v>
      </c>
      <c r="BS869" s="2">
        <f>SUM(BS$2:BS359)+AM359*F359</f>
        <v>16291.100000000013</v>
      </c>
      <c r="BT869" s="2">
        <f>SUM(BT$2:BT359)+AN359*G359</f>
        <v>13910.199999999983</v>
      </c>
      <c r="BU869" s="2">
        <f>SUM(BU$2:BU359)+AO359*H359</f>
        <v>-5585.3000000000029</v>
      </c>
      <c r="BV869" s="2">
        <f>SUM(BV$2:BV359)+AP359*I359</f>
        <v>1616.1999999999825</v>
      </c>
      <c r="BW869" s="2">
        <f>SUM(BW$2:BW359)+AQ359*J359</f>
        <v>-8650</v>
      </c>
      <c r="BX869" s="2">
        <f>SUM(BX$2:BX359)+AR359*K359</f>
        <v>13940</v>
      </c>
      <c r="BY869" s="2">
        <f>SUM(BY$2:BY359)+AS359*L359</f>
        <v>-5371.6000000000113</v>
      </c>
      <c r="BZ869" s="2">
        <f>SUM(BZ$2:BZ359)+AT359*M359</f>
        <v>740</v>
      </c>
      <c r="CA869" s="2">
        <f>SUM(CA$2:CA359)+AU359*N359</f>
        <v>12660</v>
      </c>
      <c r="CB869" s="2">
        <f>SUM(CB$2:CB359)+AV359*O359</f>
        <v>26740</v>
      </c>
      <c r="CC869" s="2">
        <f>SUM(CC$2:CC359)+AW359*P359</f>
        <v>-20</v>
      </c>
      <c r="CD869" s="2">
        <f>SUM(CD$2:CD359)+AX359*Q359</f>
        <v>14050</v>
      </c>
      <c r="CE869" s="2">
        <f>SUM(CE$2:CE359)+AY359*R359</f>
        <v>27020</v>
      </c>
      <c r="CF869" s="2">
        <f>SUM(CF$2:CF359)+AZ359*S359</f>
        <v>3627.4899999999834</v>
      </c>
      <c r="CG869" s="2">
        <f>SUM(CG$2:CG359)+BA359*T359</f>
        <v>39908.05999999999</v>
      </c>
      <c r="CH869" s="2">
        <f>SUM(CH$2:CH359)+BB359*U359</f>
        <v>22806.110000000052</v>
      </c>
      <c r="CI869" s="2">
        <f>SUM(CI$2:CI359)+BC359*V359</f>
        <v>-6900</v>
      </c>
      <c r="CJ869" s="2">
        <f>SUM(CJ$2:CJ359)+BD359*W359</f>
        <v>71315</v>
      </c>
      <c r="CK869" s="2">
        <f>SUM(CK$2:CK359)+BE359*X359</f>
        <v>59530</v>
      </c>
      <c r="CL869" s="2">
        <f>SUM(CL$2:CL359)+BF359*Y359</f>
        <v>254250</v>
      </c>
      <c r="CM869" s="2">
        <f>SUM(CM$2:CM359)+BG359*Z359</f>
        <v>131800</v>
      </c>
      <c r="CN869" s="2">
        <f>SUM(CN$2:CN359)+BH359*AA359</f>
        <v>167657.49999999988</v>
      </c>
      <c r="CO869" s="2">
        <f>SUM(CO$2:CO359)+BI359*AB359</f>
        <v>-8180</v>
      </c>
      <c r="CP869" s="2">
        <f>SUM(CP$2:CP359)+BJ359*AC359</f>
        <v>24455</v>
      </c>
      <c r="CQ869" s="2">
        <f>SUM(CQ$2:CQ359)+BK359*AD359</f>
        <v>18290.000000000007</v>
      </c>
      <c r="CR869" s="2">
        <f>SUM(CR$2:CR359)+BL359*AE359</f>
        <v>-4960</v>
      </c>
      <c r="CV869" t="s">
        <v>64</v>
      </c>
      <c r="CW869" t="s">
        <v>942</v>
      </c>
      <c r="CX869" t="s">
        <v>19</v>
      </c>
      <c r="CY869" s="4">
        <v>42814</v>
      </c>
      <c r="CZ869" t="s">
        <v>65</v>
      </c>
      <c r="DA869" t="s">
        <v>66</v>
      </c>
      <c r="DB869">
        <v>26</v>
      </c>
      <c r="DC869">
        <v>62.81</v>
      </c>
      <c r="DD869" t="s">
        <v>69</v>
      </c>
      <c r="DE869" t="s">
        <v>70</v>
      </c>
      <c r="DF869">
        <v>1633.06</v>
      </c>
    </row>
    <row r="870" spans="66:110" x14ac:dyDescent="0.25">
      <c r="BN870" s="1">
        <f t="shared" si="340"/>
        <v>43257</v>
      </c>
      <c r="BO870" s="2">
        <f>SUM(BO$2:BO360)+AI360*B360</f>
        <v>142749.99999999988</v>
      </c>
      <c r="BP870" s="2">
        <f>SUM(BP$2:BP360)+AJ360*C360</f>
        <v>30422.700000000012</v>
      </c>
      <c r="BQ870" s="2">
        <f>SUM(BQ$2:BQ360)+AK360*D360</f>
        <v>247226.1999999999</v>
      </c>
      <c r="BR870" s="2">
        <f>SUM(BR$2:BR360)+AL360*E360</f>
        <v>72820.199999999983</v>
      </c>
      <c r="BS870" s="2">
        <f>SUM(BS$2:BS360)+AM360*F360</f>
        <v>17016.100000000013</v>
      </c>
      <c r="BT870" s="2">
        <f>SUM(BT$2:BT360)+AN360*G360</f>
        <v>14697.699999999983</v>
      </c>
      <c r="BU870" s="2">
        <f>SUM(BU$2:BU360)+AO360*H360</f>
        <v>-3160.3000000000175</v>
      </c>
      <c r="BV870" s="2">
        <f>SUM(BV$2:BV360)+AP360*I360</f>
        <v>4011.7999999999884</v>
      </c>
      <c r="BW870" s="2">
        <f>SUM(BW$2:BW360)+AQ360*J360</f>
        <v>-4790</v>
      </c>
      <c r="BX870" s="2">
        <f>SUM(BX$2:BX360)+AR360*K360</f>
        <v>13940</v>
      </c>
      <c r="BY870" s="2">
        <f>SUM(BY$2:BY360)+AS360*L360</f>
        <v>-5361.9000000000115</v>
      </c>
      <c r="BZ870" s="2">
        <f>SUM(BZ$2:BZ360)+AT360*M360</f>
        <v>740</v>
      </c>
      <c r="CA870" s="2">
        <f>SUM(CA$2:CA360)+AU360*N360</f>
        <v>12660</v>
      </c>
      <c r="CB870" s="2">
        <f>SUM(CB$2:CB360)+AV360*O360</f>
        <v>26740</v>
      </c>
      <c r="CC870" s="2">
        <f>SUM(CC$2:CC360)+AW360*P360</f>
        <v>-20</v>
      </c>
      <c r="CD870" s="2">
        <f>SUM(CD$2:CD360)+AX360*Q360</f>
        <v>14050</v>
      </c>
      <c r="CE870" s="2">
        <f>SUM(CE$2:CE360)+AY360*R360</f>
        <v>27020</v>
      </c>
      <c r="CF870" s="2">
        <f>SUM(CF$2:CF360)+AZ360*S360</f>
        <v>4169.3299999999799</v>
      </c>
      <c r="CG870" s="2">
        <f>SUM(CG$2:CG360)+BA360*T360</f>
        <v>40197.55999999999</v>
      </c>
      <c r="CH870" s="2">
        <f>SUM(CH$2:CH360)+BB360*U360</f>
        <v>23505.41000000004</v>
      </c>
      <c r="CI870" s="2">
        <f>SUM(CI$2:CI360)+BC360*V360</f>
        <v>-6840</v>
      </c>
      <c r="CJ870" s="2">
        <f>SUM(CJ$2:CJ360)+BD360*W360</f>
        <v>68540</v>
      </c>
      <c r="CK870" s="2">
        <f>SUM(CK$2:CK360)+BE360*X360</f>
        <v>57580</v>
      </c>
      <c r="CL870" s="2">
        <f>SUM(CL$2:CL360)+BF360*Y360</f>
        <v>266760</v>
      </c>
      <c r="CM870" s="2">
        <f>SUM(CM$2:CM360)+BG360*Z360</f>
        <v>136100</v>
      </c>
      <c r="CN870" s="2">
        <f>SUM(CN$2:CN360)+BH360*AA360</f>
        <v>181157.5</v>
      </c>
      <c r="CO870" s="2">
        <f>SUM(CO$2:CO360)+BI360*AB360</f>
        <v>-6920</v>
      </c>
      <c r="CP870" s="2">
        <f>SUM(CP$2:CP360)+BJ360*AC360</f>
        <v>23955</v>
      </c>
      <c r="CQ870" s="2">
        <f>SUM(CQ$2:CQ360)+BK360*AD360</f>
        <v>18240.000000000007</v>
      </c>
      <c r="CR870" s="2">
        <f>SUM(CR$2:CR360)+BL360*AE360</f>
        <v>-3630</v>
      </c>
      <c r="CV870" t="s">
        <v>64</v>
      </c>
      <c r="CW870" t="s">
        <v>943</v>
      </c>
      <c r="CX870" t="s">
        <v>19</v>
      </c>
      <c r="CY870" s="4">
        <v>42815</v>
      </c>
      <c r="CZ870" t="s">
        <v>65</v>
      </c>
      <c r="DA870" t="s">
        <v>66</v>
      </c>
      <c r="DB870">
        <v>54</v>
      </c>
      <c r="DC870">
        <v>62.11</v>
      </c>
      <c r="DD870" t="s">
        <v>69</v>
      </c>
      <c r="DE870" t="s">
        <v>70</v>
      </c>
      <c r="DF870">
        <v>3353.94</v>
      </c>
    </row>
    <row r="871" spans="66:110" x14ac:dyDescent="0.25">
      <c r="BN871" s="1">
        <f t="shared" si="340"/>
        <v>43258</v>
      </c>
      <c r="BO871" s="2">
        <f>SUM(BO$2:BO361)+AI361*B361</f>
        <v>140149.99999999988</v>
      </c>
      <c r="BP871" s="2">
        <f>SUM(BP$2:BP361)+AJ361*C361</f>
        <v>31047.700000000012</v>
      </c>
      <c r="BQ871" s="2">
        <f>SUM(BQ$2:BQ361)+AK361*D361</f>
        <v>243501.1999999999</v>
      </c>
      <c r="BR871" s="2">
        <f>SUM(BR$2:BR361)+AL361*E361</f>
        <v>72557.699999999953</v>
      </c>
      <c r="BS871" s="2">
        <f>SUM(BS$2:BS361)+AM361*F361</f>
        <v>16266.100000000013</v>
      </c>
      <c r="BT871" s="2">
        <f>SUM(BT$2:BT361)+AN361*G361</f>
        <v>19047.699999999983</v>
      </c>
      <c r="BU871" s="2">
        <f>SUM(BU$2:BU361)+AO361*H361</f>
        <v>-2472.8000000000029</v>
      </c>
      <c r="BV871" s="2">
        <f>SUM(BV$2:BV361)+AP361*I361</f>
        <v>3322.4999999999854</v>
      </c>
      <c r="BW871" s="2">
        <f>SUM(BW$2:BW361)+AQ361*J361</f>
        <v>-3580</v>
      </c>
      <c r="BX871" s="2">
        <f>SUM(BX$2:BX361)+AR361*K361</f>
        <v>13940</v>
      </c>
      <c r="BY871" s="2">
        <f>SUM(BY$2:BY361)+AS361*L361</f>
        <v>-5355.6000000000113</v>
      </c>
      <c r="BZ871" s="2">
        <f>SUM(BZ$2:BZ361)+AT361*M361</f>
        <v>740</v>
      </c>
      <c r="CA871" s="2">
        <f>SUM(CA$2:CA361)+AU361*N361</f>
        <v>12660</v>
      </c>
      <c r="CB871" s="2">
        <f>SUM(CB$2:CB361)+AV361*O361</f>
        <v>26740</v>
      </c>
      <c r="CC871" s="2">
        <f>SUM(CC$2:CC361)+AW361*P361</f>
        <v>-20</v>
      </c>
      <c r="CD871" s="2">
        <f>SUM(CD$2:CD361)+AX361*Q361</f>
        <v>14050</v>
      </c>
      <c r="CE871" s="2">
        <f>SUM(CE$2:CE361)+AY361*R361</f>
        <v>27020</v>
      </c>
      <c r="CF871" s="2">
        <f>SUM(CF$2:CF361)+AZ361*S361</f>
        <v>4228.8499999999767</v>
      </c>
      <c r="CG871" s="2">
        <f>SUM(CG$2:CG361)+BA361*T361</f>
        <v>38600.76</v>
      </c>
      <c r="CH871" s="2">
        <f>SUM(CH$2:CH361)+BB361*U361</f>
        <v>23514.550000000047</v>
      </c>
      <c r="CI871" s="2">
        <f>SUM(CI$2:CI361)+BC361*V361</f>
        <v>-6940</v>
      </c>
      <c r="CJ871" s="2">
        <f>SUM(CJ$2:CJ361)+BD361*W361</f>
        <v>58190</v>
      </c>
      <c r="CK871" s="2">
        <f>SUM(CK$2:CK361)+BE361*X361</f>
        <v>66280</v>
      </c>
      <c r="CL871" s="2">
        <f>SUM(CL$2:CL361)+BF361*Y361</f>
        <v>267750</v>
      </c>
      <c r="CM871" s="2">
        <f>SUM(CM$2:CM361)+BG361*Z361</f>
        <v>139800</v>
      </c>
      <c r="CN871" s="2">
        <f>SUM(CN$2:CN361)+BH361*AA361</f>
        <v>169057.49999999988</v>
      </c>
      <c r="CO871" s="2">
        <f>SUM(CO$2:CO361)+BI361*AB361</f>
        <v>-5180</v>
      </c>
      <c r="CP871" s="2">
        <f>SUM(CP$2:CP361)+BJ361*AC361</f>
        <v>23055</v>
      </c>
      <c r="CQ871" s="2">
        <f>SUM(CQ$2:CQ361)+BK361*AD361</f>
        <v>18620.000000000007</v>
      </c>
      <c r="CR871" s="2">
        <f>SUM(CR$2:CR361)+BL361*AE361</f>
        <v>-2830</v>
      </c>
      <c r="CV871" t="s">
        <v>64</v>
      </c>
      <c r="CW871" t="s">
        <v>944</v>
      </c>
      <c r="CX871" t="s">
        <v>19</v>
      </c>
      <c r="CY871" s="4">
        <v>42816</v>
      </c>
      <c r="CZ871" t="s">
        <v>67</v>
      </c>
      <c r="DA871" t="s">
        <v>68</v>
      </c>
      <c r="DB871">
        <v>159</v>
      </c>
      <c r="DC871">
        <v>62.91</v>
      </c>
      <c r="DD871" t="s">
        <v>69</v>
      </c>
      <c r="DE871" t="s">
        <v>70</v>
      </c>
      <c r="DF871">
        <v>10002.689999999999</v>
      </c>
    </row>
    <row r="872" spans="66:110" x14ac:dyDescent="0.25">
      <c r="BN872" s="1">
        <f t="shared" si="340"/>
        <v>43259</v>
      </c>
      <c r="BO872" s="2">
        <f>SUM(BO$2:BO362)+AI362*B362</f>
        <v>131449.99999999988</v>
      </c>
      <c r="BP872" s="2">
        <f>SUM(BP$2:BP362)+AJ362*C362</f>
        <v>30460.200000000012</v>
      </c>
      <c r="BQ872" s="2">
        <f>SUM(BQ$2:BQ362)+AK362*D362</f>
        <v>244688.69999999995</v>
      </c>
      <c r="BR872" s="2">
        <f>SUM(BR$2:BR362)+AL362*E362</f>
        <v>71370.199999999924</v>
      </c>
      <c r="BS872" s="2">
        <f>SUM(BS$2:BS362)+AM362*F362</f>
        <v>16053.60000000002</v>
      </c>
      <c r="BT872" s="2">
        <f>SUM(BT$2:BT362)+AN362*G362</f>
        <v>18410.199999999983</v>
      </c>
      <c r="BU872" s="2">
        <f>SUM(BU$2:BU362)+AO362*H362</f>
        <v>-610.30000000000291</v>
      </c>
      <c r="BV872" s="2">
        <f>SUM(BV$2:BV362)+AP362*I362</f>
        <v>3401.5999999999913</v>
      </c>
      <c r="BW872" s="2">
        <f>SUM(BW$2:BW362)+AQ362*J362</f>
        <v>-3640</v>
      </c>
      <c r="BX872" s="2">
        <f>SUM(BX$2:BX362)+AR362*K362</f>
        <v>13940</v>
      </c>
      <c r="BY872" s="2">
        <f>SUM(BY$2:BY362)+AS362*L362</f>
        <v>-5348.0000000000118</v>
      </c>
      <c r="BZ872" s="2">
        <f>SUM(BZ$2:BZ362)+AT362*M362</f>
        <v>740</v>
      </c>
      <c r="CA872" s="2">
        <f>SUM(CA$2:CA362)+AU362*N362</f>
        <v>12660</v>
      </c>
      <c r="CB872" s="2">
        <f>SUM(CB$2:CB362)+AV362*O362</f>
        <v>26740</v>
      </c>
      <c r="CC872" s="2">
        <f>SUM(CC$2:CC362)+AW362*P362</f>
        <v>-20</v>
      </c>
      <c r="CD872" s="2">
        <f>SUM(CD$2:CD362)+AX362*Q362</f>
        <v>14050</v>
      </c>
      <c r="CE872" s="2">
        <f>SUM(CE$2:CE362)+AY362*R362</f>
        <v>27020</v>
      </c>
      <c r="CF872" s="2">
        <f>SUM(CF$2:CF362)+AZ362*S362</f>
        <v>4811.7499999999782</v>
      </c>
      <c r="CG872" s="2">
        <f>SUM(CG$2:CG362)+BA362*T362</f>
        <v>39316.339999999997</v>
      </c>
      <c r="CH872" s="2">
        <f>SUM(CH$2:CH362)+BB362*U362</f>
        <v>23642.34000000004</v>
      </c>
      <c r="CI872" s="2">
        <f>SUM(CI$2:CI362)+BC362*V362</f>
        <v>-7120</v>
      </c>
      <c r="CJ872" s="2">
        <f>SUM(CJ$2:CJ362)+BD362*W362</f>
        <v>47840</v>
      </c>
      <c r="CK872" s="2">
        <f>SUM(CK$2:CK362)+BE362*X362</f>
        <v>73980</v>
      </c>
      <c r="CL872" s="2">
        <f>SUM(CL$2:CL362)+BF362*Y362</f>
        <v>272790</v>
      </c>
      <c r="CM872" s="2">
        <f>SUM(CM$2:CM362)+BG362*Z362</f>
        <v>139950</v>
      </c>
      <c r="CN872" s="2">
        <f>SUM(CN$2:CN362)+BH362*AA362</f>
        <v>173507.5</v>
      </c>
      <c r="CO872" s="2">
        <f>SUM(CO$2:CO362)+BI362*AB362</f>
        <v>-4670</v>
      </c>
      <c r="CP872" s="2">
        <f>SUM(CP$2:CP362)+BJ362*AC362</f>
        <v>23455</v>
      </c>
      <c r="CQ872" s="2">
        <f>SUM(CQ$2:CQ362)+BK362*AD362</f>
        <v>18040.000000000007</v>
      </c>
      <c r="CR872" s="2">
        <f>SUM(CR$2:CR362)+BL362*AE362</f>
        <v>-2130</v>
      </c>
      <c r="CV872" t="s">
        <v>64</v>
      </c>
      <c r="CW872" t="s">
        <v>945</v>
      </c>
      <c r="CX872" t="s">
        <v>19</v>
      </c>
      <c r="CY872" s="4">
        <v>42817</v>
      </c>
      <c r="CZ872" t="s">
        <v>67</v>
      </c>
      <c r="DA872" t="s">
        <v>68</v>
      </c>
      <c r="DB872">
        <v>24</v>
      </c>
      <c r="DC872">
        <v>62.75</v>
      </c>
      <c r="DD872" t="s">
        <v>69</v>
      </c>
      <c r="DE872" t="s">
        <v>70</v>
      </c>
      <c r="DF872">
        <v>1506</v>
      </c>
    </row>
    <row r="873" spans="66:110" x14ac:dyDescent="0.25">
      <c r="BN873" s="1">
        <f t="shared" si="340"/>
        <v>43262</v>
      </c>
      <c r="BO873" s="2">
        <f>SUM(BO$2:BO363)+AI363*B363</f>
        <v>129149.99999999988</v>
      </c>
      <c r="BP873" s="2">
        <f>SUM(BP$2:BP363)+AJ363*C363</f>
        <v>30710.200000000026</v>
      </c>
      <c r="BQ873" s="2">
        <f>SUM(BQ$2:BQ363)+AK363*D363</f>
        <v>246463.6999999999</v>
      </c>
      <c r="BR873" s="2">
        <f>SUM(BR$2:BR363)+AL363*E363</f>
        <v>72570.199999999953</v>
      </c>
      <c r="BS873" s="2">
        <f>SUM(BS$2:BS363)+AM363*F363</f>
        <v>16316.100000000006</v>
      </c>
      <c r="BT873" s="2">
        <f>SUM(BT$2:BT363)+AN363*G363</f>
        <v>19772.699999999983</v>
      </c>
      <c r="BU873" s="2">
        <f>SUM(BU$2:BU363)+AO363*H363</f>
        <v>-160.30000000000291</v>
      </c>
      <c r="BV873" s="2">
        <f>SUM(BV$2:BV363)+AP363*I363</f>
        <v>3401.5999999999913</v>
      </c>
      <c r="BW873" s="2">
        <f>SUM(BW$2:BW363)+AQ363*J363</f>
        <v>-2940</v>
      </c>
      <c r="BX873" s="2">
        <f>SUM(BX$2:BX363)+AR363*K363</f>
        <v>13940</v>
      </c>
      <c r="BY873" s="2">
        <f>SUM(BY$2:BY363)+AS363*L363</f>
        <v>-5343.800000000012</v>
      </c>
      <c r="BZ873" s="2">
        <f>SUM(BZ$2:BZ363)+AT363*M363</f>
        <v>740</v>
      </c>
      <c r="CA873" s="2">
        <f>SUM(CA$2:CA363)+AU363*N363</f>
        <v>12660</v>
      </c>
      <c r="CB873" s="2">
        <f>SUM(CB$2:CB363)+AV363*O363</f>
        <v>26740</v>
      </c>
      <c r="CC873" s="2">
        <f>SUM(CC$2:CC363)+AW363*P363</f>
        <v>-20</v>
      </c>
      <c r="CD873" s="2">
        <f>SUM(CD$2:CD363)+AX363*Q363</f>
        <v>14050</v>
      </c>
      <c r="CE873" s="2">
        <f>SUM(CE$2:CE363)+AY363*R363</f>
        <v>27020</v>
      </c>
      <c r="CF873" s="2">
        <f>SUM(CF$2:CF363)+AZ363*S363</f>
        <v>4561.1899999999732</v>
      </c>
      <c r="CG873" s="2">
        <f>SUM(CG$2:CG363)+BA363*T363</f>
        <v>38716.130000000005</v>
      </c>
      <c r="CH873" s="2">
        <f>SUM(CH$2:CH363)+BB363*U363</f>
        <v>23350.740000000042</v>
      </c>
      <c r="CI873" s="2">
        <f>SUM(CI$2:CI363)+BC363*V363</f>
        <v>-6760</v>
      </c>
      <c r="CJ873" s="2">
        <f>SUM(CJ$2:CJ363)+BD363*W363</f>
        <v>45290</v>
      </c>
      <c r="CK873" s="2">
        <f>SUM(CK$2:CK363)+BE363*X363</f>
        <v>69930</v>
      </c>
      <c r="CL873" s="2">
        <f>SUM(CL$2:CL363)+BF363*Y363</f>
        <v>282000</v>
      </c>
      <c r="CM873" s="2">
        <f>SUM(CM$2:CM363)+BG363*Z363</f>
        <v>142700</v>
      </c>
      <c r="CN873" s="2">
        <f>SUM(CN$2:CN363)+BH363*AA363</f>
        <v>169407.5</v>
      </c>
      <c r="CO873" s="2">
        <f>SUM(CO$2:CO363)+BI363*AB363</f>
        <v>-4340</v>
      </c>
      <c r="CP873" s="2">
        <f>SUM(CP$2:CP363)+BJ363*AC363</f>
        <v>22155</v>
      </c>
      <c r="CQ873" s="2">
        <f>SUM(CQ$2:CQ363)+BK363*AD363</f>
        <v>17980.000000000007</v>
      </c>
      <c r="CR873" s="2">
        <f>SUM(CR$2:CR363)+BL363*AE363</f>
        <v>-2620</v>
      </c>
      <c r="CV873" t="s">
        <v>64</v>
      </c>
      <c r="CW873" t="s">
        <v>946</v>
      </c>
      <c r="CX873" t="s">
        <v>19</v>
      </c>
      <c r="CY873" s="4">
        <v>42818</v>
      </c>
      <c r="CZ873" t="s">
        <v>65</v>
      </c>
      <c r="DA873" t="s">
        <v>66</v>
      </c>
      <c r="DB873">
        <v>174</v>
      </c>
      <c r="DC873">
        <v>62.86</v>
      </c>
      <c r="DD873" t="s">
        <v>69</v>
      </c>
      <c r="DE873" t="s">
        <v>70</v>
      </c>
      <c r="DF873">
        <v>10937.64</v>
      </c>
    </row>
    <row r="874" spans="66:110" x14ac:dyDescent="0.25">
      <c r="BN874" s="1">
        <f t="shared" si="340"/>
        <v>43263</v>
      </c>
      <c r="BO874" s="2">
        <f>SUM(BO$2:BO364)+AI364*B364</f>
        <v>134349.99999999988</v>
      </c>
      <c r="BP874" s="2">
        <f>SUM(BP$2:BP364)+AJ364*C364</f>
        <v>30122.699999999997</v>
      </c>
      <c r="BQ874" s="2">
        <f>SUM(BQ$2:BQ364)+AK364*D364</f>
        <v>246076.1999999999</v>
      </c>
      <c r="BR874" s="2">
        <f>SUM(BR$2:BR364)+AL364*E364</f>
        <v>74020.199999999953</v>
      </c>
      <c r="BS874" s="2">
        <f>SUM(BS$2:BS364)+AM364*F364</f>
        <v>16616.100000000013</v>
      </c>
      <c r="BT874" s="2">
        <f>SUM(BT$2:BT364)+AN364*G364</f>
        <v>19185.199999999983</v>
      </c>
      <c r="BU874" s="2">
        <f>SUM(BU$2:BU364)+AO364*H364</f>
        <v>-185.30000000000291</v>
      </c>
      <c r="BV874" s="2">
        <f>SUM(BV$2:BV364)+AP364*I364</f>
        <v>3729.2999999999884</v>
      </c>
      <c r="BW874" s="2">
        <f>SUM(BW$2:BW364)+AQ364*J364</f>
        <v>-4390</v>
      </c>
      <c r="BX874" s="2">
        <f>SUM(BX$2:BX364)+AR364*K364</f>
        <v>13940</v>
      </c>
      <c r="BY874" s="2">
        <f>SUM(BY$2:BY364)+AS364*L364</f>
        <v>-5341.0000000000118</v>
      </c>
      <c r="BZ874" s="2">
        <f>SUM(BZ$2:BZ364)+AT364*M364</f>
        <v>740</v>
      </c>
      <c r="CA874" s="2">
        <f>SUM(CA$2:CA364)+AU364*N364</f>
        <v>12660</v>
      </c>
      <c r="CB874" s="2">
        <f>SUM(CB$2:CB364)+AV364*O364</f>
        <v>26740</v>
      </c>
      <c r="CC874" s="2">
        <f>SUM(CC$2:CC364)+AW364*P364</f>
        <v>-20</v>
      </c>
      <c r="CD874" s="2">
        <f>SUM(CD$2:CD364)+AX364*Q364</f>
        <v>14050</v>
      </c>
      <c r="CE874" s="2">
        <f>SUM(CE$2:CE364)+AY364*R364</f>
        <v>27020</v>
      </c>
      <c r="CF874" s="2">
        <f>SUM(CF$2:CF364)+AZ364*S364</f>
        <v>4657.8899999999703</v>
      </c>
      <c r="CG874" s="2">
        <f>SUM(CG$2:CG364)+BA364*T364</f>
        <v>38975.090000000004</v>
      </c>
      <c r="CH874" s="2">
        <f>SUM(CH$2:CH364)+BB364*U364</f>
        <v>23073.240000000034</v>
      </c>
      <c r="CI874" s="2">
        <f>SUM(CI$2:CI364)+BC364*V364</f>
        <v>-6760</v>
      </c>
      <c r="CJ874" s="2">
        <f>SUM(CJ$2:CJ364)+BD364*W364</f>
        <v>47390</v>
      </c>
      <c r="CK874" s="2">
        <f>SUM(CK$2:CK364)+BE364*X364</f>
        <v>65380</v>
      </c>
      <c r="CL874" s="2">
        <f>SUM(CL$2:CL364)+BF364*Y364</f>
        <v>281400</v>
      </c>
      <c r="CM874" s="2">
        <f>SUM(CM$2:CM364)+BG364*Z364</f>
        <v>141150</v>
      </c>
      <c r="CN874" s="2">
        <f>SUM(CN$2:CN364)+BH364*AA364</f>
        <v>174107.5</v>
      </c>
      <c r="CO874" s="2">
        <f>SUM(CO$2:CO364)+BI364*AB364</f>
        <v>-5750</v>
      </c>
      <c r="CP874" s="2">
        <f>SUM(CP$2:CP364)+BJ364*AC364</f>
        <v>22875</v>
      </c>
      <c r="CQ874" s="2">
        <f>SUM(CQ$2:CQ364)+BK364*AD364</f>
        <v>17780.000000000007</v>
      </c>
      <c r="CR874" s="2">
        <f>SUM(CR$2:CR364)+BL364*AE364</f>
        <v>-3280</v>
      </c>
      <c r="CV874" t="s">
        <v>64</v>
      </c>
      <c r="CW874" t="s">
        <v>947</v>
      </c>
      <c r="CX874" t="s">
        <v>19</v>
      </c>
      <c r="CY874" s="4">
        <v>42821</v>
      </c>
      <c r="CZ874" t="s">
        <v>67</v>
      </c>
      <c r="DA874" t="s">
        <v>68</v>
      </c>
      <c r="DB874">
        <v>60</v>
      </c>
      <c r="DC874">
        <v>62.97</v>
      </c>
      <c r="DD874" t="s">
        <v>69</v>
      </c>
      <c r="DE874" t="s">
        <v>70</v>
      </c>
      <c r="DF874">
        <v>3778.2</v>
      </c>
    </row>
    <row r="875" spans="66:110" x14ac:dyDescent="0.25">
      <c r="BN875" s="1">
        <f t="shared" si="340"/>
        <v>43264</v>
      </c>
      <c r="BO875" s="2">
        <f>SUM(BO$2:BO365)+AI365*B365</f>
        <v>126499.99999999988</v>
      </c>
      <c r="BP875" s="2">
        <f>SUM(BP$2:BP365)+AJ365*C365</f>
        <v>29247.700000000012</v>
      </c>
      <c r="BQ875" s="2">
        <f>SUM(BQ$2:BQ365)+AK365*D365</f>
        <v>237738.6999999999</v>
      </c>
      <c r="BR875" s="2">
        <f>SUM(BR$2:BR365)+AL365*E365</f>
        <v>70620.199999999953</v>
      </c>
      <c r="BS875" s="2">
        <f>SUM(BS$2:BS365)+AM365*F365</f>
        <v>16703.600000000013</v>
      </c>
      <c r="BT875" s="2">
        <f>SUM(BT$2:BT365)+AN365*G365</f>
        <v>19172.699999999983</v>
      </c>
      <c r="BU875" s="2">
        <f>SUM(BU$2:BU365)+AO365*H365</f>
        <v>2252.1999999999971</v>
      </c>
      <c r="BV875" s="2">
        <f>SUM(BV$2:BV365)+AP365*I365</f>
        <v>2373.2999999999884</v>
      </c>
      <c r="BW875" s="2">
        <f>SUM(BW$2:BW365)+AQ365*J365</f>
        <v>-3200</v>
      </c>
      <c r="BX875" s="2">
        <f>SUM(BX$2:BX365)+AR365*K365</f>
        <v>13940</v>
      </c>
      <c r="BY875" s="2">
        <f>SUM(BY$2:BY365)+AS365*L365</f>
        <v>-5346.0000000000118</v>
      </c>
      <c r="BZ875" s="2">
        <f>SUM(BZ$2:BZ365)+AT365*M365</f>
        <v>740</v>
      </c>
      <c r="CA875" s="2">
        <f>SUM(CA$2:CA365)+AU365*N365</f>
        <v>12660</v>
      </c>
      <c r="CB875" s="2">
        <f>SUM(CB$2:CB365)+AV365*O365</f>
        <v>26740</v>
      </c>
      <c r="CC875" s="2">
        <f>SUM(CC$2:CC365)+AW365*P365</f>
        <v>-20</v>
      </c>
      <c r="CD875" s="2">
        <f>SUM(CD$2:CD365)+AX365*Q365</f>
        <v>14050</v>
      </c>
      <c r="CE875" s="2">
        <f>SUM(CE$2:CE365)+AY365*R365</f>
        <v>27020</v>
      </c>
      <c r="CF875" s="2">
        <f>SUM(CF$2:CF365)+AZ365*S365</f>
        <v>4810.7399999999761</v>
      </c>
      <c r="CG875" s="2">
        <f>SUM(CG$2:CG365)+BA365*T365</f>
        <v>38526.590000000011</v>
      </c>
      <c r="CH875" s="2">
        <f>SUM(CH$2:CH365)+BB365*U365</f>
        <v>22877.940000000039</v>
      </c>
      <c r="CI875" s="2">
        <f>SUM(CI$2:CI365)+BC365*V365</f>
        <v>-6680</v>
      </c>
      <c r="CJ875" s="2">
        <f>SUM(CJ$2:CJ365)+BD365*W365</f>
        <v>53015</v>
      </c>
      <c r="CK875" s="2">
        <f>SUM(CK$2:CK365)+BE365*X365</f>
        <v>66029.999999999884</v>
      </c>
      <c r="CL875" s="2">
        <f>SUM(CL$2:CL365)+BF365*Y365</f>
        <v>279300</v>
      </c>
      <c r="CM875" s="2">
        <f>SUM(CM$2:CM365)+BG365*Z365</f>
        <v>136650</v>
      </c>
      <c r="CN875" s="2">
        <f>SUM(CN$2:CN365)+BH365*AA365</f>
        <v>171807.5</v>
      </c>
      <c r="CO875" s="2">
        <f>SUM(CO$2:CO365)+BI365*AB365</f>
        <v>-9830</v>
      </c>
      <c r="CP875" s="2">
        <f>SUM(CP$2:CP365)+BJ365*AC365</f>
        <v>22455</v>
      </c>
      <c r="CQ875" s="2">
        <f>SUM(CQ$2:CQ365)+BK365*AD365</f>
        <v>17770.000000000007</v>
      </c>
      <c r="CR875" s="2">
        <f>SUM(CR$2:CR365)+BL365*AE365</f>
        <v>-4160</v>
      </c>
      <c r="CV875" t="s">
        <v>64</v>
      </c>
      <c r="CW875" t="s">
        <v>948</v>
      </c>
      <c r="CX875" t="s">
        <v>19</v>
      </c>
      <c r="CY875" s="4">
        <v>42822</v>
      </c>
      <c r="CZ875" t="s">
        <v>67</v>
      </c>
      <c r="DA875" t="s">
        <v>68</v>
      </c>
      <c r="DB875">
        <v>65</v>
      </c>
      <c r="DC875">
        <v>63.16</v>
      </c>
      <c r="DD875" t="s">
        <v>69</v>
      </c>
      <c r="DE875" t="s">
        <v>70</v>
      </c>
      <c r="DF875">
        <v>4105.3999999999996</v>
      </c>
    </row>
    <row r="876" spans="66:110" x14ac:dyDescent="0.25">
      <c r="BN876" s="1">
        <f t="shared" si="340"/>
        <v>43265</v>
      </c>
      <c r="BO876" s="2">
        <f>SUM(BO$2:BO366)+AI366*B366</f>
        <v>126999.99999999988</v>
      </c>
      <c r="BP876" s="2">
        <f>SUM(BP$2:BP366)+AJ366*C366</f>
        <v>28922.700000000012</v>
      </c>
      <c r="BQ876" s="2">
        <f>SUM(BQ$2:BQ366)+AK366*D366</f>
        <v>235976.19999999992</v>
      </c>
      <c r="BR876" s="2">
        <f>SUM(BR$2:BR366)+AL366*E366</f>
        <v>68695.199999999939</v>
      </c>
      <c r="BS876" s="2">
        <f>SUM(BS$2:BS366)+AM366*F366</f>
        <v>17541.100000000013</v>
      </c>
      <c r="BT876" s="2">
        <f>SUM(BT$2:BT366)+AN366*G366</f>
        <v>18497.699999999983</v>
      </c>
      <c r="BU876" s="2">
        <f>SUM(BU$2:BU366)+AO366*H366</f>
        <v>5252.1999999999971</v>
      </c>
      <c r="BV876" s="2">
        <f>SUM(BV$2:BV366)+AP366*I366</f>
        <v>2158.5999999999913</v>
      </c>
      <c r="BW876" s="2">
        <f>SUM(BW$2:BW366)+AQ366*J366</f>
        <v>-3380</v>
      </c>
      <c r="BX876" s="2">
        <f>SUM(BX$2:BX366)+AR366*K366</f>
        <v>13940</v>
      </c>
      <c r="BY876" s="2">
        <f>SUM(BY$2:BY366)+AS366*L366</f>
        <v>-5357.1000000000113</v>
      </c>
      <c r="BZ876" s="2">
        <f>SUM(BZ$2:BZ366)+AT366*M366</f>
        <v>740</v>
      </c>
      <c r="CA876" s="2">
        <f>SUM(CA$2:CA366)+AU366*N366</f>
        <v>12660</v>
      </c>
      <c r="CB876" s="2">
        <f>SUM(CB$2:CB366)+AV366*O366</f>
        <v>26740</v>
      </c>
      <c r="CC876" s="2">
        <f>SUM(CC$2:CC366)+AW366*P366</f>
        <v>-20</v>
      </c>
      <c r="CD876" s="2">
        <f>SUM(CD$2:CD366)+AX366*Q366</f>
        <v>14050</v>
      </c>
      <c r="CE876" s="2">
        <f>SUM(CE$2:CE366)+AY366*R366</f>
        <v>27020</v>
      </c>
      <c r="CF876" s="2">
        <f>SUM(CF$2:CF366)+AZ366*S366</f>
        <v>4247.519999999975</v>
      </c>
      <c r="CG876" s="2">
        <f>SUM(CG$2:CG366)+BA366*T366</f>
        <v>39150.74</v>
      </c>
      <c r="CH876" s="2">
        <f>SUM(CH$2:CH366)+BB366*U366</f>
        <v>23427.820000000029</v>
      </c>
      <c r="CI876" s="2">
        <f>SUM(CI$2:CI366)+BC366*V366</f>
        <v>-6620</v>
      </c>
      <c r="CJ876" s="2">
        <f>SUM(CJ$2:CJ366)+BD366*W366</f>
        <v>56540</v>
      </c>
      <c r="CK876" s="2">
        <f>SUM(CK$2:CK366)+BE366*X366</f>
        <v>61830</v>
      </c>
      <c r="CL876" s="2">
        <f>SUM(CL$2:CL366)+BF366*Y366</f>
        <v>286620</v>
      </c>
      <c r="CM876" s="2">
        <f>SUM(CM$2:CM366)+BG366*Z366</f>
        <v>136650</v>
      </c>
      <c r="CN876" s="2">
        <f>SUM(CN$2:CN366)+BH366*AA366</f>
        <v>174807.5</v>
      </c>
      <c r="CO876" s="2">
        <f>SUM(CO$2:CO366)+BI366*AB366</f>
        <v>-8630</v>
      </c>
      <c r="CP876" s="2">
        <f>SUM(CP$2:CP366)+BJ366*AC366</f>
        <v>20575</v>
      </c>
      <c r="CQ876" s="2">
        <f>SUM(CQ$2:CQ366)+BK366*AD366</f>
        <v>17470.000000000007</v>
      </c>
      <c r="CR876" s="2">
        <f>SUM(CR$2:CR366)+BL366*AE366</f>
        <v>-3790</v>
      </c>
      <c r="CV876" t="s">
        <v>64</v>
      </c>
      <c r="CW876" t="s">
        <v>949</v>
      </c>
      <c r="CX876" t="s">
        <v>19</v>
      </c>
      <c r="CY876" s="4">
        <v>42823</v>
      </c>
      <c r="CZ876" t="s">
        <v>67</v>
      </c>
      <c r="DA876" t="s">
        <v>68</v>
      </c>
      <c r="DB876">
        <v>30</v>
      </c>
      <c r="DC876">
        <v>63.33</v>
      </c>
      <c r="DD876" t="s">
        <v>69</v>
      </c>
      <c r="DE876" t="s">
        <v>70</v>
      </c>
      <c r="DF876">
        <v>1899.8999999999999</v>
      </c>
    </row>
    <row r="877" spans="66:110" x14ac:dyDescent="0.25">
      <c r="BN877" s="1">
        <f t="shared" si="340"/>
        <v>43266</v>
      </c>
      <c r="BO877" s="2">
        <f>SUM(BO$2:BO367)+AI367*B367</f>
        <v>117299.99999999988</v>
      </c>
      <c r="BP877" s="2">
        <f>SUM(BP$2:BP367)+AJ367*C367</f>
        <v>27372.900000000009</v>
      </c>
      <c r="BQ877" s="2">
        <f>SUM(BQ$2:BQ367)+AK367*D367</f>
        <v>230331.39999999988</v>
      </c>
      <c r="BR877" s="2">
        <f>SUM(BR$2:BR367)+AL367*E367</f>
        <v>64826.999999999956</v>
      </c>
      <c r="BS877" s="2">
        <f>SUM(BS$2:BS367)+AM367*F367</f>
        <v>16999.300000000017</v>
      </c>
      <c r="BT877" s="2">
        <f>SUM(BT$2:BT367)+AN367*G367</f>
        <v>15473.699999999983</v>
      </c>
      <c r="BU877" s="2">
        <f>SUM(BU$2:BU367)+AO367*H367</f>
        <v>5378.1999999999971</v>
      </c>
      <c r="BV877" s="2">
        <f>SUM(BV$2:BV367)+AP367*I367</f>
        <v>1451.7999999999738</v>
      </c>
      <c r="BW877" s="2">
        <f>SUM(BW$2:BW367)+AQ367*J367</f>
        <v>-5100</v>
      </c>
      <c r="BX877" s="2">
        <f>SUM(BX$2:BX367)+AR367*K367</f>
        <v>13940</v>
      </c>
      <c r="BY877" s="2">
        <f>SUM(BY$2:BY367)+AS367*L367</f>
        <v>-5355.300000000012</v>
      </c>
      <c r="BZ877" s="2">
        <f>SUM(BZ$2:BZ367)+AT367*M367</f>
        <v>740</v>
      </c>
      <c r="CA877" s="2">
        <f>SUM(CA$2:CA367)+AU367*N367</f>
        <v>12660</v>
      </c>
      <c r="CB877" s="2">
        <f>SUM(CB$2:CB367)+AV367*O367</f>
        <v>26740</v>
      </c>
      <c r="CC877" s="2">
        <f>SUM(CC$2:CC367)+AW367*P367</f>
        <v>-20</v>
      </c>
      <c r="CD877" s="2">
        <f>SUM(CD$2:CD367)+AX367*Q367</f>
        <v>14050</v>
      </c>
      <c r="CE877" s="2">
        <f>SUM(CE$2:CE367)+AY367*R367</f>
        <v>27020</v>
      </c>
      <c r="CF877" s="2">
        <f>SUM(CF$2:CF367)+AZ367*S367</f>
        <v>4690.95999999997</v>
      </c>
      <c r="CG877" s="2">
        <f>SUM(CG$2:CG367)+BA367*T367</f>
        <v>37820.819999999992</v>
      </c>
      <c r="CH877" s="2">
        <f>SUM(CH$2:CH367)+BB367*U367</f>
        <v>24537.48000000004</v>
      </c>
      <c r="CI877" s="2">
        <f>SUM(CI$2:CI367)+BC367*V367</f>
        <v>-6820</v>
      </c>
      <c r="CJ877" s="2">
        <f>SUM(CJ$2:CJ367)+BD367*W367</f>
        <v>46340</v>
      </c>
      <c r="CK877" s="2">
        <f>SUM(CK$2:CK367)+BE367*X367</f>
        <v>64330</v>
      </c>
      <c r="CL877" s="2">
        <f>SUM(CL$2:CL367)+BF367*Y367</f>
        <v>291240</v>
      </c>
      <c r="CM877" s="2">
        <f>SUM(CM$2:CM367)+BG367*Z367</f>
        <v>136500</v>
      </c>
      <c r="CN877" s="2">
        <f>SUM(CN$2:CN367)+BH367*AA367</f>
        <v>175307.49999999988</v>
      </c>
      <c r="CO877" s="2">
        <f>SUM(CO$2:CO367)+BI367*AB367</f>
        <v>-7940</v>
      </c>
      <c r="CP877" s="2">
        <f>SUM(CP$2:CP367)+BJ367*AC367</f>
        <v>18735</v>
      </c>
      <c r="CQ877" s="2">
        <f>SUM(CQ$2:CQ367)+BK367*AD367</f>
        <v>17390.000000000007</v>
      </c>
      <c r="CR877" s="2">
        <f>SUM(CR$2:CR367)+BL367*AE367</f>
        <v>-4980</v>
      </c>
      <c r="CV877" t="s">
        <v>64</v>
      </c>
      <c r="CW877" t="s">
        <v>950</v>
      </c>
      <c r="CX877" t="s">
        <v>19</v>
      </c>
      <c r="CY877" s="4">
        <v>42824</v>
      </c>
      <c r="CZ877" t="s">
        <v>65</v>
      </c>
      <c r="DA877" t="s">
        <v>66</v>
      </c>
      <c r="DB877">
        <v>39</v>
      </c>
      <c r="DC877">
        <v>63.56</v>
      </c>
      <c r="DD877" t="s">
        <v>69</v>
      </c>
      <c r="DE877" t="s">
        <v>70</v>
      </c>
      <c r="DF877">
        <v>2478.84</v>
      </c>
    </row>
    <row r="878" spans="66:110" x14ac:dyDescent="0.25">
      <c r="BN878" s="1">
        <f t="shared" si="340"/>
        <v>43269</v>
      </c>
      <c r="BO878" s="2">
        <f>SUM(BO$2:BO368)+AI368*B368</f>
        <v>116849.99999999988</v>
      </c>
      <c r="BP878" s="2">
        <f>SUM(BP$2:BP368)+AJ368*C368</f>
        <v>27309.900000000009</v>
      </c>
      <c r="BQ878" s="2">
        <f>SUM(BQ$2:BQ368)+AK368*D368</f>
        <v>226437.99999999991</v>
      </c>
      <c r="BR878" s="2">
        <f>SUM(BR$2:BR368)+AL368*E368</f>
        <v>63176.399999999951</v>
      </c>
      <c r="BS878" s="2">
        <f>SUM(BS$2:BS368)+AM368*F368</f>
        <v>16948.900000000016</v>
      </c>
      <c r="BT878" s="2">
        <f>SUM(BT$2:BT368)+AN368*G368</f>
        <v>17842.499999999971</v>
      </c>
      <c r="BU878" s="2">
        <f>SUM(BU$2:BU368)+AO368*H368</f>
        <v>3160.5999999999913</v>
      </c>
      <c r="BV878" s="2">
        <f>SUM(BV$2:BV368)+AP368*I368</f>
        <v>1497.3999999999942</v>
      </c>
      <c r="BW878" s="2">
        <f>SUM(BW$2:BW368)+AQ368*J368</f>
        <v>-5620</v>
      </c>
      <c r="BX878" s="2">
        <f>SUM(BX$2:BX368)+AR368*K368</f>
        <v>13940</v>
      </c>
      <c r="BY878" s="2">
        <f>SUM(BY$2:BY368)+AS368*L368</f>
        <v>-5364.1000000000113</v>
      </c>
      <c r="BZ878" s="2">
        <f>SUM(BZ$2:BZ368)+AT368*M368</f>
        <v>740</v>
      </c>
      <c r="CA878" s="2">
        <f>SUM(CA$2:CA368)+AU368*N368</f>
        <v>12660</v>
      </c>
      <c r="CB878" s="2">
        <f>SUM(CB$2:CB368)+AV368*O368</f>
        <v>26740</v>
      </c>
      <c r="CC878" s="2">
        <f>SUM(CC$2:CC368)+AW368*P368</f>
        <v>-20</v>
      </c>
      <c r="CD878" s="2">
        <f>SUM(CD$2:CD368)+AX368*Q368</f>
        <v>14050</v>
      </c>
      <c r="CE878" s="2">
        <f>SUM(CE$2:CE368)+AY368*R368</f>
        <v>27020</v>
      </c>
      <c r="CF878" s="2">
        <f>SUM(CF$2:CF368)+AZ368*S368</f>
        <v>3646.4799999999668</v>
      </c>
      <c r="CG878" s="2">
        <f>SUM(CG$2:CG368)+BA368*T368</f>
        <v>38529.300000000003</v>
      </c>
      <c r="CH878" s="2">
        <f>SUM(CH$2:CH368)+BB368*U368</f>
        <v>24310.470000000038</v>
      </c>
      <c r="CI878" s="2">
        <f>SUM(CI$2:CI368)+BC368*V368</f>
        <v>-6620</v>
      </c>
      <c r="CJ878" s="2">
        <f>SUM(CJ$2:CJ368)+BD368*W368</f>
        <v>57665</v>
      </c>
      <c r="CK878" s="2">
        <f>SUM(CK$2:CK368)+BE368*X368</f>
        <v>55530</v>
      </c>
      <c r="CL878" s="2">
        <f>SUM(CL$2:CL368)+BF368*Y368</f>
        <v>287910</v>
      </c>
      <c r="CM878" s="2">
        <f>SUM(CM$2:CM368)+BG368*Z368</f>
        <v>139350</v>
      </c>
      <c r="CN878" s="2">
        <f>SUM(CN$2:CN368)+BH368*AA368</f>
        <v>180807.5</v>
      </c>
      <c r="CO878" s="2">
        <f>SUM(CO$2:CO368)+BI368*AB368</f>
        <v>-9680</v>
      </c>
      <c r="CP878" s="2">
        <f>SUM(CP$2:CP368)+BJ368*AC368</f>
        <v>21975</v>
      </c>
      <c r="CQ878" s="2">
        <f>SUM(CQ$2:CQ368)+BK368*AD368</f>
        <v>16690.000000000007</v>
      </c>
      <c r="CR878" s="2">
        <f>SUM(CR$2:CR368)+BL368*AE368</f>
        <v>-4830</v>
      </c>
      <c r="CV878" t="s">
        <v>64</v>
      </c>
      <c r="CW878" t="s">
        <v>951</v>
      </c>
      <c r="CX878" t="s">
        <v>19</v>
      </c>
      <c r="CY878" s="4">
        <v>42825</v>
      </c>
      <c r="CZ878" t="s">
        <v>65</v>
      </c>
      <c r="DA878" t="s">
        <v>66</v>
      </c>
      <c r="DB878">
        <v>95</v>
      </c>
      <c r="DC878">
        <v>63.71</v>
      </c>
      <c r="DD878" t="s">
        <v>69</v>
      </c>
      <c r="DE878" t="s">
        <v>70</v>
      </c>
      <c r="DF878">
        <v>6052.45</v>
      </c>
    </row>
    <row r="879" spans="66:110" x14ac:dyDescent="0.25">
      <c r="BN879" s="1">
        <f t="shared" si="340"/>
        <v>43270</v>
      </c>
      <c r="BO879" s="2">
        <f>SUM(BO$2:BO369)+AI369*B369</f>
        <v>101750</v>
      </c>
      <c r="BP879" s="2">
        <f>SUM(BP$2:BP369)+AJ369*C369</f>
        <v>25646.700000000012</v>
      </c>
      <c r="BQ879" s="2">
        <f>SUM(BQ$2:BQ369)+AK369*D369</f>
        <v>209516.19999999992</v>
      </c>
      <c r="BR879" s="2">
        <f>SUM(BR$2:BR369)+AL369*E369</f>
        <v>56523.599999999962</v>
      </c>
      <c r="BS879" s="2">
        <f>SUM(BS$2:BS369)+AM369*F369</f>
        <v>16470.100000000013</v>
      </c>
      <c r="BT879" s="2">
        <f>SUM(BT$2:BT369)+AN369*G369</f>
        <v>17313.299999999988</v>
      </c>
      <c r="BU879" s="2">
        <f>SUM(BU$2:BU369)+AO369*H369</f>
        <v>1963.5999999999913</v>
      </c>
      <c r="BV879" s="2">
        <f>SUM(BV$2:BV369)+AP369*I369</f>
        <v>-110.0000000000291</v>
      </c>
      <c r="BW879" s="2">
        <f>SUM(BW$2:BW369)+AQ369*J369</f>
        <v>-8670</v>
      </c>
      <c r="BX879" s="2">
        <f>SUM(BX$2:BX369)+AR369*K369</f>
        <v>13940</v>
      </c>
      <c r="BY879" s="2">
        <f>SUM(BY$2:BY369)+AS369*L369</f>
        <v>-5369.7000000000116</v>
      </c>
      <c r="BZ879" s="2">
        <f>SUM(BZ$2:BZ369)+AT369*M369</f>
        <v>740</v>
      </c>
      <c r="CA879" s="2">
        <f>SUM(CA$2:CA369)+AU369*N369</f>
        <v>12660</v>
      </c>
      <c r="CB879" s="2">
        <f>SUM(CB$2:CB369)+AV369*O369</f>
        <v>26740</v>
      </c>
      <c r="CC879" s="2">
        <f>SUM(CC$2:CC369)+AW369*P369</f>
        <v>-20</v>
      </c>
      <c r="CD879" s="2">
        <f>SUM(CD$2:CD369)+AX369*Q369</f>
        <v>14050</v>
      </c>
      <c r="CE879" s="2">
        <f>SUM(CE$2:CE369)+AY369*R369</f>
        <v>27020</v>
      </c>
      <c r="CF879" s="2">
        <f>SUM(CF$2:CF369)+AZ369*S369</f>
        <v>3675.0099999999657</v>
      </c>
      <c r="CG879" s="2">
        <f>SUM(CG$2:CG369)+BA369*T369</f>
        <v>38529.300000000003</v>
      </c>
      <c r="CH879" s="2">
        <f>SUM(CH$2:CH369)+BB369*U369</f>
        <v>22884.710000000028</v>
      </c>
      <c r="CI879" s="2">
        <f>SUM(CI$2:CI369)+BC369*V369</f>
        <v>-6680</v>
      </c>
      <c r="CJ879" s="2">
        <f>SUM(CJ$2:CJ369)+BD369*W369</f>
        <v>54065</v>
      </c>
      <c r="CK879" s="2">
        <f>SUM(CK$2:CK369)+BE369*X369</f>
        <v>58330</v>
      </c>
      <c r="CL879" s="2">
        <f>SUM(CL$2:CL369)+BF369*Y369</f>
        <v>282420</v>
      </c>
      <c r="CM879" s="2">
        <f>SUM(CM$2:CM369)+BG369*Z369</f>
        <v>127400</v>
      </c>
      <c r="CN879" s="2">
        <f>SUM(CN$2:CN369)+BH369*AA369</f>
        <v>175357.5</v>
      </c>
      <c r="CO879" s="2">
        <f>SUM(CO$2:CO369)+BI369*AB369</f>
        <v>-6650</v>
      </c>
      <c r="CP879" s="2">
        <f>SUM(CP$2:CP369)+BJ369*AC369</f>
        <v>21075</v>
      </c>
      <c r="CQ879" s="2">
        <f>SUM(CQ$2:CQ369)+BK369*AD369</f>
        <v>17300.000000000007</v>
      </c>
      <c r="CR879" s="2">
        <f>SUM(CR$2:CR369)+BL369*AE369</f>
        <v>-4940</v>
      </c>
      <c r="CV879" t="s">
        <v>64</v>
      </c>
      <c r="CW879" t="s">
        <v>952</v>
      </c>
      <c r="CX879" t="s">
        <v>19</v>
      </c>
      <c r="CY879" s="4">
        <v>42828</v>
      </c>
      <c r="CZ879" t="s">
        <v>67</v>
      </c>
      <c r="DA879" t="s">
        <v>68</v>
      </c>
      <c r="DB879">
        <v>81</v>
      </c>
      <c r="DC879">
        <v>63.41</v>
      </c>
      <c r="DD879" t="s">
        <v>69</v>
      </c>
      <c r="DE879" t="s">
        <v>70</v>
      </c>
      <c r="DF879">
        <v>5136.21</v>
      </c>
    </row>
    <row r="880" spans="66:110" x14ac:dyDescent="0.25">
      <c r="BN880" s="1">
        <f t="shared" si="340"/>
        <v>43271</v>
      </c>
      <c r="BO880" s="2">
        <f>SUM(BO$2:BO370)+AI370*B370</f>
        <v>105749.99999999988</v>
      </c>
      <c r="BP880" s="2">
        <f>SUM(BP$2:BP370)+AJ370*C370</f>
        <v>24739.500000000015</v>
      </c>
      <c r="BQ880" s="2">
        <f>SUM(BQ$2:BQ370)+AK370*D370</f>
        <v>211469.19999999992</v>
      </c>
      <c r="BR880" s="2">
        <f>SUM(BR$2:BR370)+AL370*E370</f>
        <v>56309.399999999951</v>
      </c>
      <c r="BS880" s="2">
        <f>SUM(BS$2:BS370)+AM370*F370</f>
        <v>16369.300000000017</v>
      </c>
      <c r="BT880" s="2">
        <f>SUM(BT$2:BT370)+AN370*G370</f>
        <v>17010.899999999994</v>
      </c>
      <c r="BU880" s="2">
        <f>SUM(BU$2:BU370)+AO370*H370</f>
        <v>3274.0000000000146</v>
      </c>
      <c r="BV880" s="2">
        <f>SUM(BV$2:BV370)+AP370*I370</f>
        <v>-645.80000000001746</v>
      </c>
      <c r="BW880" s="2">
        <f>SUM(BW$2:BW370)+AQ370*J370</f>
        <v>-9170</v>
      </c>
      <c r="BX880" s="2">
        <f>SUM(BX$2:BX370)+AR370*K370</f>
        <v>13940</v>
      </c>
      <c r="BY880" s="2">
        <f>SUM(BY$2:BY370)+AS370*L370</f>
        <v>-5381.9000000000115</v>
      </c>
      <c r="BZ880" s="2">
        <f>SUM(BZ$2:BZ370)+AT370*M370</f>
        <v>740</v>
      </c>
      <c r="CA880" s="2">
        <f>SUM(CA$2:CA370)+AU370*N370</f>
        <v>12660</v>
      </c>
      <c r="CB880" s="2">
        <f>SUM(CB$2:CB370)+AV370*O370</f>
        <v>26740</v>
      </c>
      <c r="CC880" s="2">
        <f>SUM(CC$2:CC370)+AW370*P370</f>
        <v>-20</v>
      </c>
      <c r="CD880" s="2">
        <f>SUM(CD$2:CD370)+AX370*Q370</f>
        <v>14050</v>
      </c>
      <c r="CE880" s="2">
        <f>SUM(CE$2:CE370)+AY370*R370</f>
        <v>27020</v>
      </c>
      <c r="CF880" s="2">
        <f>SUM(CF$2:CF370)+AZ370*S370</f>
        <v>3936.2599999999729</v>
      </c>
      <c r="CG880" s="2">
        <f>SUM(CG$2:CG370)+BA370*T370</f>
        <v>39460.300000000003</v>
      </c>
      <c r="CH880" s="2">
        <f>SUM(CH$2:CH370)+BB370*U370</f>
        <v>23350.230000000025</v>
      </c>
      <c r="CI880" s="2">
        <f>SUM(CI$2:CI370)+BC370*V370</f>
        <v>-6910</v>
      </c>
      <c r="CJ880" s="2">
        <f>SUM(CJ$2:CJ370)+BD370*W370</f>
        <v>57590</v>
      </c>
      <c r="CK880" s="2">
        <f>SUM(CK$2:CK370)+BE370*X370</f>
        <v>42680</v>
      </c>
      <c r="CL880" s="2">
        <f>SUM(CL$2:CL370)+BF370*Y370</f>
        <v>281790</v>
      </c>
      <c r="CM880" s="2">
        <f>SUM(CM$2:CM370)+BG370*Z370</f>
        <v>128900</v>
      </c>
      <c r="CN880" s="2">
        <f>SUM(CN$2:CN370)+BH370*AA370</f>
        <v>177307.5</v>
      </c>
      <c r="CO880" s="2">
        <f>SUM(CO$2:CO370)+BI370*AB370</f>
        <v>-7850</v>
      </c>
      <c r="CP880" s="2">
        <f>SUM(CP$2:CP370)+BJ370*AC370</f>
        <v>14415</v>
      </c>
      <c r="CQ880" s="2">
        <f>SUM(CQ$2:CQ370)+BK370*AD370</f>
        <v>17300.000000000007</v>
      </c>
      <c r="CR880" s="2">
        <f>SUM(CR$2:CR370)+BL370*AE370</f>
        <v>-5190</v>
      </c>
      <c r="CV880" t="s">
        <v>64</v>
      </c>
      <c r="CW880" t="s">
        <v>953</v>
      </c>
      <c r="CX880" t="s">
        <v>19</v>
      </c>
      <c r="CY880" s="4">
        <v>42829</v>
      </c>
      <c r="CZ880" t="s">
        <v>65</v>
      </c>
      <c r="DA880" t="s">
        <v>66</v>
      </c>
      <c r="DB880">
        <v>111</v>
      </c>
      <c r="DC880">
        <v>63.58</v>
      </c>
      <c r="DD880" t="s">
        <v>69</v>
      </c>
      <c r="DE880" t="s">
        <v>70</v>
      </c>
      <c r="DF880">
        <v>7057.38</v>
      </c>
    </row>
    <row r="881" spans="66:110" x14ac:dyDescent="0.25">
      <c r="BN881" s="1">
        <f t="shared" si="340"/>
        <v>43272</v>
      </c>
      <c r="BO881" s="2">
        <f>SUM(BO$2:BO371)+AI371*B371</f>
        <v>100599.99999999988</v>
      </c>
      <c r="BP881" s="2">
        <f>SUM(BP$2:BP371)+AJ371*C371</f>
        <v>25004.100000000006</v>
      </c>
      <c r="BQ881" s="2">
        <f>SUM(BQ$2:BQ371)+AK371*D371</f>
        <v>205219.59999999989</v>
      </c>
      <c r="BR881" s="2">
        <f>SUM(BR$2:BR371)+AL371*E371</f>
        <v>51861.599999999933</v>
      </c>
      <c r="BS881" s="2">
        <f>SUM(BS$2:BS371)+AM371*F371</f>
        <v>15651.100000000013</v>
      </c>
      <c r="BT881" s="2">
        <f>SUM(BT$2:BT371)+AN371*G371</f>
        <v>13697.099999999977</v>
      </c>
      <c r="BU881" s="2">
        <f>SUM(BU$2:BU371)+AO371*H371</f>
        <v>1711.5999999999913</v>
      </c>
      <c r="BV881" s="2">
        <f>SUM(BV$2:BV371)+AP371*I371</f>
        <v>-1329.8000000000175</v>
      </c>
      <c r="BW881" s="2">
        <f>SUM(BW$2:BW371)+AQ371*J371</f>
        <v>-10000</v>
      </c>
      <c r="BX881" s="2">
        <f>SUM(BX$2:BX371)+AR371*K371</f>
        <v>13940</v>
      </c>
      <c r="BY881" s="2">
        <f>SUM(BY$2:BY371)+AS371*L371</f>
        <v>-5395.300000000012</v>
      </c>
      <c r="BZ881" s="2">
        <f>SUM(BZ$2:BZ371)+AT371*M371</f>
        <v>740</v>
      </c>
      <c r="CA881" s="2">
        <f>SUM(CA$2:CA371)+AU371*N371</f>
        <v>12660</v>
      </c>
      <c r="CB881" s="2">
        <f>SUM(CB$2:CB371)+AV371*O371</f>
        <v>26740</v>
      </c>
      <c r="CC881" s="2">
        <f>SUM(CC$2:CC371)+AW371*P371</f>
        <v>-20</v>
      </c>
      <c r="CD881" s="2">
        <f>SUM(CD$2:CD371)+AX371*Q371</f>
        <v>14050</v>
      </c>
      <c r="CE881" s="2">
        <f>SUM(CE$2:CE371)+AY371*R371</f>
        <v>27020</v>
      </c>
      <c r="CF881" s="2">
        <f>SUM(CF$2:CF371)+AZ371*S371</f>
        <v>3836.5599999999758</v>
      </c>
      <c r="CG881" s="2">
        <f>SUM(CG$2:CG371)+BA371*T371</f>
        <v>38681.259999999987</v>
      </c>
      <c r="CH881" s="2">
        <f>SUM(CH$2:CH371)+BB371*U371</f>
        <v>22517.970000000038</v>
      </c>
      <c r="CI881" s="2">
        <f>SUM(CI$2:CI371)+BC371*V371</f>
        <v>-6760</v>
      </c>
      <c r="CJ881" s="2">
        <f>SUM(CJ$2:CJ371)+BD371*W371</f>
        <v>53240</v>
      </c>
      <c r="CK881" s="2">
        <f>SUM(CK$2:CK371)+BE371*X371</f>
        <v>35080</v>
      </c>
      <c r="CL881" s="2">
        <f>SUM(CL$2:CL371)+BF371*Y371</f>
        <v>279030</v>
      </c>
      <c r="CM881" s="2">
        <f>SUM(CM$2:CM371)+BG371*Z371</f>
        <v>119650</v>
      </c>
      <c r="CN881" s="2">
        <f>SUM(CN$2:CN371)+BH371*AA371</f>
        <v>172457.5</v>
      </c>
      <c r="CO881" s="2">
        <f>SUM(CO$2:CO371)+BI371*AB371</f>
        <v>-6260</v>
      </c>
      <c r="CP881" s="2">
        <f>SUM(CP$2:CP371)+BJ371*AC371</f>
        <v>14835</v>
      </c>
      <c r="CQ881" s="2">
        <f>SUM(CQ$2:CQ371)+BK371*AD371</f>
        <v>17890.000000000007</v>
      </c>
      <c r="CR881" s="2">
        <f>SUM(CR$2:CR371)+BL371*AE371</f>
        <v>-5920</v>
      </c>
      <c r="CV881" t="s">
        <v>64</v>
      </c>
      <c r="CW881" t="s">
        <v>954</v>
      </c>
      <c r="CX881" t="s">
        <v>19</v>
      </c>
      <c r="CY881" s="4">
        <v>42830</v>
      </c>
      <c r="CZ881" t="s">
        <v>67</v>
      </c>
      <c r="DA881" t="s">
        <v>68</v>
      </c>
      <c r="DB881">
        <v>159</v>
      </c>
      <c r="DC881">
        <v>63.42</v>
      </c>
      <c r="DD881" t="s">
        <v>69</v>
      </c>
      <c r="DE881" t="s">
        <v>70</v>
      </c>
      <c r="DF881">
        <v>10083.780000000001</v>
      </c>
    </row>
    <row r="882" spans="66:110" x14ac:dyDescent="0.25">
      <c r="BN882" s="1">
        <f t="shared" si="340"/>
        <v>43273</v>
      </c>
      <c r="BO882" s="2">
        <f>SUM(BO$2:BO372)+AI372*B372</f>
        <v>97949.999999999884</v>
      </c>
      <c r="BP882" s="2">
        <f>SUM(BP$2:BP372)+AJ372*C372</f>
        <v>25760.100000000006</v>
      </c>
      <c r="BQ882" s="2">
        <f>SUM(BQ$2:BQ372)+AK372*D372</f>
        <v>206781.99999999985</v>
      </c>
      <c r="BR882" s="2">
        <f>SUM(BR$2:BR372)+AL372*E372</f>
        <v>52365.599999999933</v>
      </c>
      <c r="BS882" s="2">
        <f>SUM(BS$2:BS372)+AM372*F372</f>
        <v>15701.500000000015</v>
      </c>
      <c r="BT882" s="2">
        <f>SUM(BT$2:BT372)+AN372*G372</f>
        <v>16771.499999999971</v>
      </c>
      <c r="BU882" s="2">
        <f>SUM(BU$2:BU372)+AO372*H372</f>
        <v>2266.0000000000146</v>
      </c>
      <c r="BV882" s="2">
        <f>SUM(BV$2:BV372)+AP372*I372</f>
        <v>608.19999999998254</v>
      </c>
      <c r="BW882" s="2">
        <f>SUM(BW$2:BW372)+AQ372*J372</f>
        <v>-10950</v>
      </c>
      <c r="BX882" s="2">
        <f>SUM(BX$2:BX372)+AR372*K372</f>
        <v>13940</v>
      </c>
      <c r="BY882" s="2">
        <f>SUM(BY$2:BY372)+AS372*L372</f>
        <v>-5395.0000000000118</v>
      </c>
      <c r="BZ882" s="2">
        <f>SUM(BZ$2:BZ372)+AT372*M372</f>
        <v>740</v>
      </c>
      <c r="CA882" s="2">
        <f>SUM(CA$2:CA372)+AU372*N372</f>
        <v>12660</v>
      </c>
      <c r="CB882" s="2">
        <f>SUM(CB$2:CB372)+AV372*O372</f>
        <v>26740</v>
      </c>
      <c r="CC882" s="2">
        <f>SUM(CC$2:CC372)+AW372*P372</f>
        <v>-20</v>
      </c>
      <c r="CD882" s="2">
        <f>SUM(CD$2:CD372)+AX372*Q372</f>
        <v>14050</v>
      </c>
      <c r="CE882" s="2">
        <f>SUM(CE$2:CE372)+AY372*R372</f>
        <v>27020</v>
      </c>
      <c r="CF882" s="2">
        <f>SUM(CF$2:CF372)+AZ372*S372</f>
        <v>4114.0899999999747</v>
      </c>
      <c r="CG882" s="2">
        <f>SUM(CG$2:CG372)+BA372*T372</f>
        <v>37987.75999999998</v>
      </c>
      <c r="CH882" s="2">
        <f>SUM(CH$2:CH372)+BB372*U372</f>
        <v>21989.610000000037</v>
      </c>
      <c r="CI882" s="2">
        <f>SUM(CI$2:CI372)+BC372*V372</f>
        <v>-6960</v>
      </c>
      <c r="CJ882" s="2">
        <f>SUM(CJ$2:CJ372)+BD372*W372</f>
        <v>46040</v>
      </c>
      <c r="CK882" s="2">
        <f>SUM(CK$2:CK372)+BE372*X372</f>
        <v>39830</v>
      </c>
      <c r="CL882" s="2">
        <f>SUM(CL$2:CL372)+BF372*Y372</f>
        <v>286440</v>
      </c>
      <c r="CM882" s="2">
        <f>SUM(CM$2:CM372)+BG372*Z372</f>
        <v>126500</v>
      </c>
      <c r="CN882" s="2">
        <f>SUM(CN$2:CN372)+BH372*AA372</f>
        <v>176457.5</v>
      </c>
      <c r="CO882" s="2">
        <f>SUM(CO$2:CO372)+BI372*AB372</f>
        <v>-2990</v>
      </c>
      <c r="CP882" s="2">
        <f>SUM(CP$2:CP372)+BJ372*AC372</f>
        <v>15175</v>
      </c>
      <c r="CQ882" s="2">
        <f>SUM(CQ$2:CQ372)+BK372*AD372</f>
        <v>18490.000000000007</v>
      </c>
      <c r="CR882" s="2">
        <f>SUM(CR$2:CR372)+BL372*AE372</f>
        <v>-4280</v>
      </c>
      <c r="CV882" t="s">
        <v>64</v>
      </c>
      <c r="CW882" t="s">
        <v>955</v>
      </c>
      <c r="CX882" t="s">
        <v>19</v>
      </c>
      <c r="CY882" s="4">
        <v>42831</v>
      </c>
      <c r="CZ882" t="s">
        <v>65</v>
      </c>
      <c r="DA882" t="s">
        <v>66</v>
      </c>
      <c r="DB882">
        <v>140</v>
      </c>
      <c r="DC882">
        <v>63.58</v>
      </c>
      <c r="DD882" t="s">
        <v>69</v>
      </c>
      <c r="DE882" t="s">
        <v>70</v>
      </c>
      <c r="DF882">
        <v>8901.1999999999989</v>
      </c>
    </row>
    <row r="883" spans="66:110" x14ac:dyDescent="0.25">
      <c r="BN883" s="1">
        <f t="shared" si="340"/>
        <v>43276</v>
      </c>
      <c r="BO883" s="2">
        <f>SUM(BO$2:BO373)+AI373*B373</f>
        <v>84349.999999999884</v>
      </c>
      <c r="BP883" s="2">
        <f>SUM(BP$2:BP373)+AJ373*C373</f>
        <v>27398.10000000002</v>
      </c>
      <c r="BQ883" s="2">
        <f>SUM(BQ$2:BQ373)+AK373*D373</f>
        <v>197205.99999999991</v>
      </c>
      <c r="BR883" s="2">
        <f>SUM(BR$2:BR373)+AL373*E373</f>
        <v>48220.199999999939</v>
      </c>
      <c r="BS883" s="2">
        <f>SUM(BS$2:BS373)+AM373*F373</f>
        <v>14580.100000000013</v>
      </c>
      <c r="BT883" s="2">
        <f>SUM(BT$2:BT373)+AN373*G373</f>
        <v>13722.299999999959</v>
      </c>
      <c r="BU883" s="2">
        <f>SUM(BU$2:BU373)+AO373*H373</f>
        <v>-77.600000000005821</v>
      </c>
      <c r="BV883" s="2">
        <f>SUM(BV$2:BV373)+AP373*I373</f>
        <v>-543.20000000002619</v>
      </c>
      <c r="BW883" s="2">
        <f>SUM(BW$2:BW373)+AQ373*J373</f>
        <v>-15400</v>
      </c>
      <c r="BX883" s="2">
        <f>SUM(BX$2:BX373)+AR373*K373</f>
        <v>13940</v>
      </c>
      <c r="BY883" s="2">
        <f>SUM(BY$2:BY373)+AS373*L373</f>
        <v>-5419.0000000000118</v>
      </c>
      <c r="BZ883" s="2">
        <f>SUM(BZ$2:BZ373)+AT373*M373</f>
        <v>740</v>
      </c>
      <c r="CA883" s="2">
        <f>SUM(CA$2:CA373)+AU373*N373</f>
        <v>12660</v>
      </c>
      <c r="CB883" s="2">
        <f>SUM(CB$2:CB373)+AV373*O373</f>
        <v>26740</v>
      </c>
      <c r="CC883" s="2">
        <f>SUM(CC$2:CC373)+AW373*P373</f>
        <v>-20</v>
      </c>
      <c r="CD883" s="2">
        <f>SUM(CD$2:CD373)+AX373*Q373</f>
        <v>14050</v>
      </c>
      <c r="CE883" s="2">
        <f>SUM(CE$2:CE373)+AY373*R373</f>
        <v>27020</v>
      </c>
      <c r="CF883" s="2">
        <f>SUM(CF$2:CF373)+AZ373*S373</f>
        <v>3729.9399999999732</v>
      </c>
      <c r="CG883" s="2">
        <f>SUM(CG$2:CG373)+BA373*T373</f>
        <v>35869.75999999998</v>
      </c>
      <c r="CH883" s="2">
        <f>SUM(CH$2:CH373)+BB373*U373</f>
        <v>20905.700000000033</v>
      </c>
      <c r="CI883" s="2">
        <f>SUM(CI$2:CI373)+BC373*V373</f>
        <v>-6840</v>
      </c>
      <c r="CJ883" s="2">
        <f>SUM(CJ$2:CJ373)+BD373*W373</f>
        <v>43415</v>
      </c>
      <c r="CK883" s="2">
        <f>SUM(CK$2:CK373)+BE373*X373</f>
        <v>36430</v>
      </c>
      <c r="CL883" s="2">
        <f>SUM(CL$2:CL373)+BF373*Y373</f>
        <v>275520</v>
      </c>
      <c r="CM883" s="2">
        <f>SUM(CM$2:CM373)+BG373*Z373</f>
        <v>125200</v>
      </c>
      <c r="CN883" s="2">
        <f>SUM(CN$2:CN373)+BH373*AA373</f>
        <v>154557.5</v>
      </c>
      <c r="CO883" s="2">
        <f>SUM(CO$2:CO373)+BI373*AB373</f>
        <v>-3470</v>
      </c>
      <c r="CP883" s="2">
        <f>SUM(CP$2:CP373)+BJ373*AC373</f>
        <v>15915</v>
      </c>
      <c r="CQ883" s="2">
        <f>SUM(CQ$2:CQ373)+BK373*AD373</f>
        <v>20120.000000000007</v>
      </c>
      <c r="CR883" s="2">
        <f>SUM(CR$2:CR373)+BL373*AE373</f>
        <v>-5870</v>
      </c>
      <c r="CV883" t="s">
        <v>64</v>
      </c>
      <c r="CW883" t="s">
        <v>956</v>
      </c>
      <c r="CX883" t="s">
        <v>19</v>
      </c>
      <c r="CY883" s="4">
        <v>42832</v>
      </c>
      <c r="CZ883" t="s">
        <v>67</v>
      </c>
      <c r="DA883" t="s">
        <v>68</v>
      </c>
      <c r="DB883">
        <v>92</v>
      </c>
      <c r="DC883">
        <v>63.54</v>
      </c>
      <c r="DD883" t="s">
        <v>69</v>
      </c>
      <c r="DE883" t="s">
        <v>70</v>
      </c>
      <c r="DF883">
        <v>5845.68</v>
      </c>
    </row>
    <row r="884" spans="66:110" x14ac:dyDescent="0.25">
      <c r="BN884" s="1">
        <f t="shared" si="340"/>
        <v>43277</v>
      </c>
      <c r="BO884" s="2">
        <f>SUM(BO$2:BO374)+AI374*B374</f>
        <v>95500</v>
      </c>
      <c r="BP884" s="2">
        <f>SUM(BP$2:BP374)+AJ374*C374</f>
        <v>26982.300000000003</v>
      </c>
      <c r="BQ884" s="2">
        <f>SUM(BQ$2:BQ374)+AK374*D374</f>
        <v>197331.99999999985</v>
      </c>
      <c r="BR884" s="2">
        <f>SUM(BR$2:BR374)+AL374*E374</f>
        <v>46934.999999999927</v>
      </c>
      <c r="BS884" s="2">
        <f>SUM(BS$2:BS374)+AM374*F374</f>
        <v>14907.700000000012</v>
      </c>
      <c r="BT884" s="2">
        <f>SUM(BT$2:BT374)+AN374*G374</f>
        <v>15624.899999999965</v>
      </c>
      <c r="BU884" s="2">
        <f>SUM(BU$2:BU374)+AO374*H374</f>
        <v>-317.00000000001455</v>
      </c>
      <c r="BV884" s="2">
        <f>SUM(BV$2:BV374)+AP374*I374</f>
        <v>-167.0000000000291</v>
      </c>
      <c r="BW884" s="2">
        <f>SUM(BW$2:BW374)+AQ374*J374</f>
        <v>-15360</v>
      </c>
      <c r="BX884" s="2">
        <f>SUM(BX$2:BX374)+AR374*K374</f>
        <v>13940</v>
      </c>
      <c r="BY884" s="2">
        <f>SUM(BY$2:BY374)+AS374*L374</f>
        <v>-5416.2000000000116</v>
      </c>
      <c r="BZ884" s="2">
        <f>SUM(BZ$2:BZ374)+AT374*M374</f>
        <v>740</v>
      </c>
      <c r="CA884" s="2">
        <f>SUM(CA$2:CA374)+AU374*N374</f>
        <v>12660</v>
      </c>
      <c r="CB884" s="2">
        <f>SUM(CB$2:CB374)+AV374*O374</f>
        <v>26740</v>
      </c>
      <c r="CC884" s="2">
        <f>SUM(CC$2:CC374)+AW374*P374</f>
        <v>-20</v>
      </c>
      <c r="CD884" s="2">
        <f>SUM(CD$2:CD374)+AX374*Q374</f>
        <v>14050</v>
      </c>
      <c r="CE884" s="2">
        <f>SUM(CE$2:CE374)+AY374*R374</f>
        <v>27020</v>
      </c>
      <c r="CF884" s="2">
        <f>SUM(CF$2:CF374)+AZ374*S374</f>
        <v>3380.2899999999718</v>
      </c>
      <c r="CG884" s="2">
        <f>SUM(CG$2:CG374)+BA374*T374</f>
        <v>36563.209999999977</v>
      </c>
      <c r="CH884" s="2">
        <f>SUM(CH$2:CH374)+BB374*U374</f>
        <v>21111.290000000037</v>
      </c>
      <c r="CI884" s="2">
        <f>SUM(CI$2:CI374)+BC374*V374</f>
        <v>-6840</v>
      </c>
      <c r="CJ884" s="2">
        <f>SUM(CJ$2:CJ374)+BD374*W374</f>
        <v>41840</v>
      </c>
      <c r="CK884" s="2">
        <f>SUM(CK$2:CK374)+BE374*X374</f>
        <v>30980</v>
      </c>
      <c r="CL884" s="2">
        <f>SUM(CL$2:CL374)+BF374*Y374</f>
        <v>272730</v>
      </c>
      <c r="CM884" s="2">
        <f>SUM(CM$2:CM374)+BG374*Z374</f>
        <v>130300</v>
      </c>
      <c r="CN884" s="2">
        <f>SUM(CN$2:CN374)+BH374*AA374</f>
        <v>162607.5</v>
      </c>
      <c r="CO884" s="2">
        <f>SUM(CO$2:CO374)+BI374*AB374</f>
        <v>-4340</v>
      </c>
      <c r="CP884" s="2">
        <f>SUM(CP$2:CP374)+BJ374*AC374</f>
        <v>17235</v>
      </c>
      <c r="CQ884" s="2">
        <f>SUM(CQ$2:CQ374)+BK374*AD374</f>
        <v>19640.000000000007</v>
      </c>
      <c r="CR884" s="2">
        <f>SUM(CR$2:CR374)+BL374*AE374</f>
        <v>-5000</v>
      </c>
      <c r="CV884" t="s">
        <v>64</v>
      </c>
      <c r="CW884" t="s">
        <v>957</v>
      </c>
      <c r="CX884" t="s">
        <v>19</v>
      </c>
      <c r="CY884" s="4">
        <v>42835</v>
      </c>
      <c r="CZ884" t="s">
        <v>67</v>
      </c>
      <c r="DA884" t="s">
        <v>68</v>
      </c>
      <c r="DB884">
        <v>62</v>
      </c>
      <c r="DC884">
        <v>63.39</v>
      </c>
      <c r="DD884" t="s">
        <v>69</v>
      </c>
      <c r="DE884" t="s">
        <v>70</v>
      </c>
      <c r="DF884">
        <v>3930.18</v>
      </c>
    </row>
    <row r="885" spans="66:110" x14ac:dyDescent="0.25">
      <c r="BN885" s="1">
        <f t="shared" si="340"/>
        <v>43278</v>
      </c>
      <c r="BO885" s="2">
        <f>SUM(BO$2:BO375)+AI375*B375</f>
        <v>94199.999999999884</v>
      </c>
      <c r="BP885" s="2">
        <f>SUM(BP$2:BP375)+AJ375*C375</f>
        <v>25419.900000000009</v>
      </c>
      <c r="BQ885" s="2">
        <f>SUM(BQ$2:BQ375)+AK375*D375</f>
        <v>195492.39999999988</v>
      </c>
      <c r="BR885" s="2">
        <f>SUM(BR$2:BR375)+AL375*E375</f>
        <v>45775.799999999945</v>
      </c>
      <c r="BS885" s="2">
        <f>SUM(BS$2:BS375)+AM375*F375</f>
        <v>14630.500000000015</v>
      </c>
      <c r="BT885" s="2">
        <f>SUM(BT$2:BT375)+AN375*G375</f>
        <v>17880.299999999988</v>
      </c>
      <c r="BU885" s="2">
        <f>SUM(BU$2:BU375)+AO375*H375</f>
        <v>-682.39999999999418</v>
      </c>
      <c r="BV885" s="2">
        <f>SUM(BV$2:BV375)+AP375*I375</f>
        <v>-953.60000000002037</v>
      </c>
      <c r="BW885" s="2">
        <f>SUM(BW$2:BW375)+AQ375*J375</f>
        <v>-16750</v>
      </c>
      <c r="BX885" s="2">
        <f>SUM(BX$2:BX375)+AR375*K375</f>
        <v>13940</v>
      </c>
      <c r="BY885" s="2">
        <f>SUM(BY$2:BY375)+AS375*L375</f>
        <v>-5431.7000000000116</v>
      </c>
      <c r="BZ885" s="2">
        <f>SUM(BZ$2:BZ375)+AT375*M375</f>
        <v>740</v>
      </c>
      <c r="CA885" s="2">
        <f>SUM(CA$2:CA375)+AU375*N375</f>
        <v>12660</v>
      </c>
      <c r="CB885" s="2">
        <f>SUM(CB$2:CB375)+AV375*O375</f>
        <v>26740</v>
      </c>
      <c r="CC885" s="2">
        <f>SUM(CC$2:CC375)+AW375*P375</f>
        <v>-20</v>
      </c>
      <c r="CD885" s="2">
        <f>SUM(CD$2:CD375)+AX375*Q375</f>
        <v>14050</v>
      </c>
      <c r="CE885" s="2">
        <f>SUM(CE$2:CE375)+AY375*R375</f>
        <v>27020</v>
      </c>
      <c r="CF885" s="2">
        <f>SUM(CF$2:CF375)+AZ375*S375</f>
        <v>2550.2899999999718</v>
      </c>
      <c r="CG885" s="2">
        <f>SUM(CG$2:CG375)+BA375*T375</f>
        <v>35121.949999999983</v>
      </c>
      <c r="CH885" s="2">
        <f>SUM(CH$2:CH375)+BB375*U375</f>
        <v>19808.120000000039</v>
      </c>
      <c r="CI885" s="2">
        <f>SUM(CI$2:CI375)+BC375*V375</f>
        <v>-6670</v>
      </c>
      <c r="CJ885" s="2">
        <f>SUM(CJ$2:CJ375)+BD375*W375</f>
        <v>44090</v>
      </c>
      <c r="CK885" s="2">
        <f>SUM(CK$2:CK375)+BE375*X375</f>
        <v>24630</v>
      </c>
      <c r="CL885" s="2">
        <f>SUM(CL$2:CL375)+BF375*Y375</f>
        <v>267960</v>
      </c>
      <c r="CM885" s="2">
        <f>SUM(CM$2:CM375)+BG375*Z375</f>
        <v>124000</v>
      </c>
      <c r="CN885" s="2">
        <f>SUM(CN$2:CN375)+BH375*AA375</f>
        <v>155007.50000000012</v>
      </c>
      <c r="CO885" s="2">
        <f>SUM(CO$2:CO375)+BI375*AB375</f>
        <v>-4310</v>
      </c>
      <c r="CP885" s="2">
        <f>SUM(CP$2:CP375)+BJ375*AC375</f>
        <v>17835</v>
      </c>
      <c r="CQ885" s="2">
        <f>SUM(CQ$2:CQ375)+BK375*AD375</f>
        <v>20540.000000000007</v>
      </c>
      <c r="CR885" s="2">
        <f>SUM(CR$2:CR375)+BL375*AE375</f>
        <v>-3960</v>
      </c>
      <c r="CV885" t="s">
        <v>64</v>
      </c>
      <c r="CW885" t="s">
        <v>958</v>
      </c>
      <c r="CX885" t="s">
        <v>19</v>
      </c>
      <c r="CY885" s="4">
        <v>42836</v>
      </c>
      <c r="CZ885" t="s">
        <v>65</v>
      </c>
      <c r="DA885" t="s">
        <v>66</v>
      </c>
      <c r="DB885">
        <v>13</v>
      </c>
      <c r="DC885">
        <v>63.34</v>
      </c>
      <c r="DD885" t="s">
        <v>69</v>
      </c>
      <c r="DE885" t="s">
        <v>70</v>
      </c>
      <c r="DF885">
        <v>823.42000000000007</v>
      </c>
    </row>
    <row r="886" spans="66:110" x14ac:dyDescent="0.25">
      <c r="BN886" s="1">
        <f t="shared" si="340"/>
        <v>43279</v>
      </c>
      <c r="BO886" s="2">
        <f>SUM(BO$2:BO376)+AI376*B376</f>
        <v>100799.99999999977</v>
      </c>
      <c r="BP886" s="2">
        <f>SUM(BP$2:BP376)+AJ376*C376</f>
        <v>25432.500000000015</v>
      </c>
      <c r="BQ886" s="2">
        <f>SUM(BQ$2:BQ376)+AK376*D376</f>
        <v>201489.99999999991</v>
      </c>
      <c r="BR886" s="2">
        <f>SUM(BR$2:BR376)+AL376*E376</f>
        <v>47539.799999999974</v>
      </c>
      <c r="BS886" s="2">
        <f>SUM(BS$2:BS376)+AM376*F376</f>
        <v>15386.500000000015</v>
      </c>
      <c r="BT886" s="2">
        <f>SUM(BT$2:BT376)+AN376*G376</f>
        <v>17464.499999999971</v>
      </c>
      <c r="BU886" s="2">
        <f>SUM(BU$2:BU376)+AO376*H376</f>
        <v>312.99999999998545</v>
      </c>
      <c r="BV886" s="2">
        <f>SUM(BV$2:BV376)+AP376*I376</f>
        <v>-349.40000000002328</v>
      </c>
      <c r="BW886" s="2">
        <f>SUM(BW$2:BW376)+AQ376*J376</f>
        <v>-13540</v>
      </c>
      <c r="BX886" s="2">
        <f>SUM(BX$2:BX376)+AR376*K376</f>
        <v>13940</v>
      </c>
      <c r="BY886" s="2">
        <f>SUM(BY$2:BY376)+AS376*L376</f>
        <v>-5406.9000000000115</v>
      </c>
      <c r="BZ886" s="2">
        <f>SUM(BZ$2:BZ376)+AT376*M376</f>
        <v>740</v>
      </c>
      <c r="CA886" s="2">
        <f>SUM(CA$2:CA376)+AU376*N376</f>
        <v>12660</v>
      </c>
      <c r="CB886" s="2">
        <f>SUM(CB$2:CB376)+AV376*O376</f>
        <v>26740</v>
      </c>
      <c r="CC886" s="2">
        <f>SUM(CC$2:CC376)+AW376*P376</f>
        <v>-20</v>
      </c>
      <c r="CD886" s="2">
        <f>SUM(CD$2:CD376)+AX376*Q376</f>
        <v>14050</v>
      </c>
      <c r="CE886" s="2">
        <f>SUM(CE$2:CE376)+AY376*R376</f>
        <v>27020</v>
      </c>
      <c r="CF886" s="2">
        <f>SUM(CF$2:CF376)+AZ376*S376</f>
        <v>2953.3199999999706</v>
      </c>
      <c r="CG886" s="2">
        <f>SUM(CG$2:CG376)+BA376*T376</f>
        <v>36158.749999999985</v>
      </c>
      <c r="CH886" s="2">
        <f>SUM(CH$2:CH376)+BB376*U376</f>
        <v>20193.120000000039</v>
      </c>
      <c r="CI886" s="2">
        <f>SUM(CI$2:CI376)+BC376*V376</f>
        <v>-6820</v>
      </c>
      <c r="CJ886" s="2">
        <f>SUM(CJ$2:CJ376)+BD376*W376</f>
        <v>41465</v>
      </c>
      <c r="CK886" s="2">
        <f>SUM(CK$2:CK376)+BE376*X376</f>
        <v>30130</v>
      </c>
      <c r="CL886" s="2">
        <f>SUM(CL$2:CL376)+BF376*Y376</f>
        <v>258210</v>
      </c>
      <c r="CM886" s="2">
        <f>SUM(CM$2:CM376)+BG376*Z376</f>
        <v>125150</v>
      </c>
      <c r="CN886" s="2">
        <f>SUM(CN$2:CN376)+BH376*AA376</f>
        <v>163557.5</v>
      </c>
      <c r="CO886" s="2">
        <f>SUM(CO$2:CO376)+BI376*AB376</f>
        <v>190</v>
      </c>
      <c r="CP886" s="2">
        <f>SUM(CP$2:CP376)+BJ376*AC376</f>
        <v>30715</v>
      </c>
      <c r="CQ886" s="2">
        <f>SUM(CQ$2:CQ376)+BK376*AD376</f>
        <v>19520.000000000007</v>
      </c>
      <c r="CR886" s="2">
        <f>SUM(CR$2:CR376)+BL376*AE376</f>
        <v>-3710</v>
      </c>
      <c r="CV886" t="s">
        <v>64</v>
      </c>
      <c r="CW886" t="s">
        <v>959</v>
      </c>
      <c r="CX886" t="s">
        <v>19</v>
      </c>
      <c r="CY886" s="4">
        <v>42837</v>
      </c>
      <c r="CZ886" t="s">
        <v>65</v>
      </c>
      <c r="DA886" t="s">
        <v>66</v>
      </c>
      <c r="DB886">
        <v>119</v>
      </c>
      <c r="DC886">
        <v>63.1</v>
      </c>
      <c r="DD886" t="s">
        <v>69</v>
      </c>
      <c r="DE886" t="s">
        <v>70</v>
      </c>
      <c r="DF886">
        <v>7508.9000000000005</v>
      </c>
    </row>
    <row r="887" spans="66:110" x14ac:dyDescent="0.25">
      <c r="BN887" s="1">
        <f t="shared" si="340"/>
        <v>43280</v>
      </c>
      <c r="BO887" s="2">
        <f>SUM(BO$2:BO377)+AI377*B377</f>
        <v>98899.999999999884</v>
      </c>
      <c r="BP887" s="2">
        <f>SUM(BP$2:BP377)+AJ377*C377</f>
        <v>26717.700000000012</v>
      </c>
      <c r="BQ887" s="2">
        <f>SUM(BQ$2:BQ377)+AK377*D377</f>
        <v>202548.39999999994</v>
      </c>
      <c r="BR887" s="2">
        <f>SUM(BR$2:BR377)+AL377*E377</f>
        <v>47086.199999999939</v>
      </c>
      <c r="BS887" s="2">
        <f>SUM(BS$2:BS377)+AM377*F377</f>
        <v>15487.30000000001</v>
      </c>
      <c r="BT887" s="2">
        <f>SUM(BT$2:BT377)+AN377*G377</f>
        <v>18396.899999999965</v>
      </c>
      <c r="BU887" s="2">
        <f>SUM(BU$2:BU377)+AO377*H377</f>
        <v>363.39999999999418</v>
      </c>
      <c r="BV887" s="2">
        <f>SUM(BV$2:BV377)+AP377*I377</f>
        <v>-611.60000000002037</v>
      </c>
      <c r="BW887" s="2">
        <f>SUM(BW$2:BW377)+AQ377*J377</f>
        <v>-16360</v>
      </c>
      <c r="BX887" s="2">
        <f>SUM(BX$2:BX377)+AR377*K377</f>
        <v>13940</v>
      </c>
      <c r="BY887" s="2">
        <f>SUM(BY$2:BY377)+AS377*L377</f>
        <v>-5410.2000000000116</v>
      </c>
      <c r="BZ887" s="2">
        <f>SUM(BZ$2:BZ377)+AT377*M377</f>
        <v>740</v>
      </c>
      <c r="CA887" s="2">
        <f>SUM(CA$2:CA377)+AU377*N377</f>
        <v>12660</v>
      </c>
      <c r="CB887" s="2">
        <f>SUM(CB$2:CB377)+AV377*O377</f>
        <v>26740</v>
      </c>
      <c r="CC887" s="2">
        <f>SUM(CC$2:CC377)+AW377*P377</f>
        <v>-20</v>
      </c>
      <c r="CD887" s="2">
        <f>SUM(CD$2:CD377)+AX377*Q377</f>
        <v>14050</v>
      </c>
      <c r="CE887" s="2">
        <f>SUM(CE$2:CE377)+AY377*R377</f>
        <v>27020</v>
      </c>
      <c r="CF887" s="2">
        <f>SUM(CF$2:CF377)+AZ377*S377</f>
        <v>3348.9199999999691</v>
      </c>
      <c r="CG887" s="2">
        <f>SUM(CG$2:CG377)+BA377*T377</f>
        <v>36137.569999999992</v>
      </c>
      <c r="CH887" s="2">
        <f>SUM(CH$2:CH377)+BB377*U377</f>
        <v>27974.320000000036</v>
      </c>
      <c r="CI887" s="2">
        <f>SUM(CI$2:CI377)+BC377*V377</f>
        <v>-6740</v>
      </c>
      <c r="CJ887" s="2">
        <f>SUM(CJ$2:CJ377)+BD377*W377</f>
        <v>41390</v>
      </c>
      <c r="CK887" s="2">
        <f>SUM(CK$2:CK377)+BE377*X377</f>
        <v>29580</v>
      </c>
      <c r="CL887" s="2">
        <f>SUM(CL$2:CL377)+BF377*Y377</f>
        <v>259530</v>
      </c>
      <c r="CM887" s="2">
        <f>SUM(CM$2:CM377)+BG377*Z377</f>
        <v>127300</v>
      </c>
      <c r="CN887" s="2">
        <f>SUM(CN$2:CN377)+BH377*AA377</f>
        <v>162107.5</v>
      </c>
      <c r="CO887" s="2">
        <f>SUM(CO$2:CO377)+BI377*AB377</f>
        <v>-1400</v>
      </c>
      <c r="CP887" s="2">
        <f>SUM(CP$2:CP377)+BJ377*AC377</f>
        <v>30095</v>
      </c>
      <c r="CQ887" s="2">
        <f>SUM(CQ$2:CQ377)+BK377*AD377</f>
        <v>19310.000000000007</v>
      </c>
      <c r="CR887" s="2">
        <f>SUM(CR$2:CR377)+BL377*AE377</f>
        <v>-2980</v>
      </c>
      <c r="CV887" t="s">
        <v>64</v>
      </c>
      <c r="CW887" t="s">
        <v>960</v>
      </c>
      <c r="CX887" t="s">
        <v>19</v>
      </c>
      <c r="CY887" s="4">
        <v>42838</v>
      </c>
      <c r="CZ887" t="s">
        <v>65</v>
      </c>
      <c r="DA887" t="s">
        <v>66</v>
      </c>
      <c r="DB887">
        <v>12</v>
      </c>
      <c r="DC887">
        <v>62.83</v>
      </c>
      <c r="DD887" t="s">
        <v>69</v>
      </c>
      <c r="DE887" t="s">
        <v>70</v>
      </c>
      <c r="DF887">
        <v>753.96</v>
      </c>
    </row>
    <row r="888" spans="66:110" x14ac:dyDescent="0.25">
      <c r="BN888" s="1">
        <f t="shared" si="340"/>
        <v>43283</v>
      </c>
      <c r="BO888" s="2">
        <f>SUM(BO$2:BO378)+AI378*B378</f>
        <v>109100</v>
      </c>
      <c r="BP888" s="2">
        <f>SUM(BP$2:BP378)+AJ378*C378</f>
        <v>27965.100000000006</v>
      </c>
      <c r="BQ888" s="2">
        <f>SUM(BQ$2:BQ378)+AK378*D378</f>
        <v>203266.59999999995</v>
      </c>
      <c r="BR888" s="2">
        <f>SUM(BR$2:BR378)+AL378*E378</f>
        <v>47854.799999999974</v>
      </c>
      <c r="BS888" s="2">
        <f>SUM(BS$2:BS378)+AM378*F378</f>
        <v>15222.700000000012</v>
      </c>
      <c r="BT888" s="2">
        <f>SUM(BT$2:BT378)+AN378*G378</f>
        <v>15738.299999999988</v>
      </c>
      <c r="BU888" s="2">
        <f>SUM(BU$2:BU378)+AO378*H378</f>
        <v>1018.5999999999913</v>
      </c>
      <c r="BV888" s="2">
        <f>SUM(BV$2:BV378)+AP378*I378</f>
        <v>-771.20000000002619</v>
      </c>
      <c r="BW888" s="2">
        <f>SUM(BW$2:BW378)+AQ378*J378</f>
        <v>-13690</v>
      </c>
      <c r="BX888" s="2">
        <f>SUM(BX$2:BX378)+AR378*K378</f>
        <v>13940</v>
      </c>
      <c r="BY888" s="2">
        <f>SUM(BY$2:BY378)+AS378*L378</f>
        <v>-5408.7000000000116</v>
      </c>
      <c r="BZ888" s="2">
        <f>SUM(BZ$2:BZ378)+AT378*M378</f>
        <v>740</v>
      </c>
      <c r="CA888" s="2">
        <f>SUM(CA$2:CA378)+AU378*N378</f>
        <v>12660</v>
      </c>
      <c r="CB888" s="2">
        <f>SUM(CB$2:CB378)+AV378*O378</f>
        <v>26740</v>
      </c>
      <c r="CC888" s="2">
        <f>SUM(CC$2:CC378)+AW378*P378</f>
        <v>-20</v>
      </c>
      <c r="CD888" s="2">
        <f>SUM(CD$2:CD378)+AX378*Q378</f>
        <v>14050</v>
      </c>
      <c r="CE888" s="2">
        <f>SUM(CE$2:CE378)+AY378*R378</f>
        <v>27020</v>
      </c>
      <c r="CF888" s="2">
        <f>SUM(CF$2:CF378)+AZ378*S378</f>
        <v>3116.3599999999715</v>
      </c>
      <c r="CG888" s="2">
        <f>SUM(CG$2:CG378)+BA378*T378</f>
        <v>37656.839999999997</v>
      </c>
      <c r="CH888" s="2">
        <f>SUM(CH$2:CH378)+BB378*U378</f>
        <v>26569.840000000047</v>
      </c>
      <c r="CI888" s="2">
        <f>SUM(CI$2:CI378)+BC378*V378</f>
        <v>-6790</v>
      </c>
      <c r="CJ888" s="2">
        <f>SUM(CJ$2:CJ378)+BD378*W378</f>
        <v>40865</v>
      </c>
      <c r="CK888" s="2">
        <f>SUM(CK$2:CK378)+BE378*X378</f>
        <v>29830</v>
      </c>
      <c r="CL888" s="2">
        <f>SUM(CL$2:CL378)+BF378*Y378</f>
        <v>265890</v>
      </c>
      <c r="CM888" s="2">
        <f>SUM(CM$2:CM378)+BG378*Z378</f>
        <v>127300</v>
      </c>
      <c r="CN888" s="2">
        <f>SUM(CN$2:CN378)+BH378*AA378</f>
        <v>162357.50000000012</v>
      </c>
      <c r="CO888" s="2">
        <f>SUM(CO$2:CO378)+BI378*AB378</f>
        <v>-1070</v>
      </c>
      <c r="CP888" s="2">
        <f>SUM(CP$2:CP378)+BJ378*AC378</f>
        <v>27915</v>
      </c>
      <c r="CQ888" s="2">
        <f>SUM(CQ$2:CQ378)+BK378*AD378</f>
        <v>17680.000000000007</v>
      </c>
      <c r="CR888" s="2">
        <f>SUM(CR$2:CR378)+BL378*AE378</f>
        <v>-3920</v>
      </c>
      <c r="CV888" t="s">
        <v>64</v>
      </c>
      <c r="CW888" t="s">
        <v>961</v>
      </c>
      <c r="CX888" t="s">
        <v>19</v>
      </c>
      <c r="CY888" s="4">
        <v>42842</v>
      </c>
      <c r="CZ888" t="s">
        <v>67</v>
      </c>
      <c r="DA888" t="s">
        <v>68</v>
      </c>
      <c r="DB888">
        <v>148</v>
      </c>
      <c r="DC888">
        <v>63.34</v>
      </c>
      <c r="DD888" t="s">
        <v>69</v>
      </c>
      <c r="DE888" t="s">
        <v>70</v>
      </c>
      <c r="DF888">
        <v>9374.32</v>
      </c>
    </row>
    <row r="889" spans="66:110" x14ac:dyDescent="0.25">
      <c r="BN889" s="1">
        <f t="shared" si="340"/>
        <v>43284</v>
      </c>
      <c r="BO889" s="2">
        <f>SUM(BO$2:BO379)+AI379*B379</f>
        <v>93000</v>
      </c>
      <c r="BP889" s="2">
        <f>SUM(BP$2:BP379)+AJ379*C379</f>
        <v>26516.10000000002</v>
      </c>
      <c r="BQ889" s="2">
        <f>SUM(BQ$2:BQ379)+AK379*D379</f>
        <v>199347.99999999991</v>
      </c>
      <c r="BR889" s="2">
        <f>SUM(BR$2:BR379)+AL379*E379</f>
        <v>44818.199999999968</v>
      </c>
      <c r="BS889" s="2">
        <f>SUM(BS$2:BS379)+AM379*F379</f>
        <v>15046.30000000001</v>
      </c>
      <c r="BT889" s="2">
        <f>SUM(BT$2:BT379)+AN379*G379</f>
        <v>16317.899999999965</v>
      </c>
      <c r="BU889" s="2">
        <f>SUM(BU$2:BU379)+AO379*H379</f>
        <v>-581.60000000000582</v>
      </c>
      <c r="BV889" s="2">
        <f>SUM(BV$2:BV379)+AP379*I379</f>
        <v>-1478.0000000000146</v>
      </c>
      <c r="BW889" s="2">
        <f>SUM(BW$2:BW379)+AQ379*J379</f>
        <v>-16550</v>
      </c>
      <c r="BX889" s="2">
        <f>SUM(BX$2:BX379)+AR379*K379</f>
        <v>13940</v>
      </c>
      <c r="BY889" s="2">
        <f>SUM(BY$2:BY379)+AS379*L379</f>
        <v>-5411.5000000000118</v>
      </c>
      <c r="BZ889" s="2">
        <f>SUM(BZ$2:BZ379)+AT379*M379</f>
        <v>740</v>
      </c>
      <c r="CA889" s="2">
        <f>SUM(CA$2:CA379)+AU379*N379</f>
        <v>12660</v>
      </c>
      <c r="CB889" s="2">
        <f>SUM(CB$2:CB379)+AV379*O379</f>
        <v>26740</v>
      </c>
      <c r="CC889" s="2">
        <f>SUM(CC$2:CC379)+AW379*P379</f>
        <v>-20</v>
      </c>
      <c r="CD889" s="2">
        <f>SUM(CD$2:CD379)+AX379*Q379</f>
        <v>14050</v>
      </c>
      <c r="CE889" s="2">
        <f>SUM(CE$2:CE379)+AY379*R379</f>
        <v>27020</v>
      </c>
      <c r="CF889" s="2">
        <f>SUM(CF$2:CF379)+AZ379*S379</f>
        <v>3354.6099999999715</v>
      </c>
      <c r="CG889" s="2">
        <f>SUM(CG$2:CG379)+BA379*T379</f>
        <v>36642.239999999991</v>
      </c>
      <c r="CH889" s="2">
        <f>SUM(CH$2:CH379)+BB379*U379</f>
        <v>24371.820000000043</v>
      </c>
      <c r="CI889" s="2">
        <f>SUM(CI$2:CI379)+BC379*V379</f>
        <v>-6810</v>
      </c>
      <c r="CJ889" s="2">
        <f>SUM(CJ$2:CJ379)+BD379*W379</f>
        <v>42590</v>
      </c>
      <c r="CK889" s="2">
        <f>SUM(CK$2:CK379)+BE379*X379</f>
        <v>31730</v>
      </c>
      <c r="CL889" s="2">
        <f>SUM(CL$2:CL379)+BF379*Y379</f>
        <v>264420</v>
      </c>
      <c r="CM889" s="2">
        <f>SUM(CM$2:CM379)+BG379*Z379</f>
        <v>126750</v>
      </c>
      <c r="CN889" s="2">
        <f>SUM(CN$2:CN379)+BH379*AA379</f>
        <v>157157.5</v>
      </c>
      <c r="CO889" s="2">
        <f>SUM(CO$2:CO379)+BI379*AB379</f>
        <v>-260</v>
      </c>
      <c r="CP889" s="2">
        <f>SUM(CP$2:CP379)+BJ379*AC379</f>
        <v>28635</v>
      </c>
      <c r="CQ889" s="2">
        <f>SUM(CQ$2:CQ379)+BK379*AD379</f>
        <v>18120.000000000007</v>
      </c>
      <c r="CR889" s="2">
        <f>SUM(CR$2:CR379)+BL379*AE379</f>
        <v>-3450</v>
      </c>
      <c r="CV889" t="s">
        <v>64</v>
      </c>
      <c r="CW889" t="s">
        <v>962</v>
      </c>
      <c r="CX889" t="s">
        <v>19</v>
      </c>
      <c r="CY889" s="4">
        <v>42843</v>
      </c>
      <c r="CZ889" t="s">
        <v>65</v>
      </c>
      <c r="DA889" t="s">
        <v>66</v>
      </c>
      <c r="DB889">
        <v>172</v>
      </c>
      <c r="DC889">
        <v>63.25</v>
      </c>
      <c r="DD889" t="s">
        <v>69</v>
      </c>
      <c r="DE889" t="s">
        <v>70</v>
      </c>
      <c r="DF889">
        <v>10879</v>
      </c>
    </row>
    <row r="890" spans="66:110" x14ac:dyDescent="0.25">
      <c r="BN890" s="1">
        <f t="shared" si="340"/>
        <v>43286</v>
      </c>
      <c r="BO890" s="2">
        <f>SUM(BO$2:BO380)+AI380*B380</f>
        <v>100299.99999999988</v>
      </c>
      <c r="BP890" s="2">
        <f>SUM(BP$2:BP380)+AJ380*C380</f>
        <v>27826.5</v>
      </c>
      <c r="BQ890" s="2">
        <f>SUM(BQ$2:BQ380)+AK380*D380</f>
        <v>199662.99999999991</v>
      </c>
      <c r="BR890" s="2">
        <f>SUM(BR$2:BR380)+AL380*E380</f>
        <v>47262.599999999977</v>
      </c>
      <c r="BS890" s="2">
        <f>SUM(BS$2:BS380)+AM380*F380</f>
        <v>15323.500000000015</v>
      </c>
      <c r="BT890" s="2">
        <f>SUM(BT$2:BT380)+AN380*G380</f>
        <v>15398.099999999977</v>
      </c>
      <c r="BU890" s="2">
        <f>SUM(BU$2:BU380)+AO380*H380</f>
        <v>1031.1999999999971</v>
      </c>
      <c r="BV890" s="2">
        <f>SUM(BV$2:BV380)+AP380*I380</f>
        <v>-440.60000000002037</v>
      </c>
      <c r="BW890" s="2">
        <f>SUM(BW$2:BW380)+AQ380*J380</f>
        <v>-16200</v>
      </c>
      <c r="BX890" s="2">
        <f>SUM(BX$2:BX380)+AR380*K380</f>
        <v>13940</v>
      </c>
      <c r="BY890" s="2">
        <f>SUM(BY$2:BY380)+AS380*L380</f>
        <v>-5393.5000000000118</v>
      </c>
      <c r="BZ890" s="2">
        <f>SUM(BZ$2:BZ380)+AT380*M380</f>
        <v>740</v>
      </c>
      <c r="CA890" s="2">
        <f>SUM(CA$2:CA380)+AU380*N380</f>
        <v>12660</v>
      </c>
      <c r="CB890" s="2">
        <f>SUM(CB$2:CB380)+AV380*O380</f>
        <v>26740</v>
      </c>
      <c r="CC890" s="2">
        <f>SUM(CC$2:CC380)+AW380*P380</f>
        <v>-20</v>
      </c>
      <c r="CD890" s="2">
        <f>SUM(CD$2:CD380)+AX380*Q380</f>
        <v>14050</v>
      </c>
      <c r="CE890" s="2">
        <f>SUM(CE$2:CE380)+AY380*R380</f>
        <v>27020</v>
      </c>
      <c r="CF890" s="2">
        <f>SUM(CF$2:CF380)+AZ380*S380</f>
        <v>4256.2099999999627</v>
      </c>
      <c r="CG890" s="2">
        <f>SUM(CG$2:CG380)+BA380*T380</f>
        <v>37404.539999999994</v>
      </c>
      <c r="CH890" s="2">
        <f>SUM(CH$2:CH380)+BB380*U380</f>
        <v>24628.860000000044</v>
      </c>
      <c r="CI890" s="2">
        <f>SUM(CI$2:CI380)+BC380*V380</f>
        <v>-7310</v>
      </c>
      <c r="CJ890" s="2">
        <f>SUM(CJ$2:CJ380)+BD380*W380</f>
        <v>32990</v>
      </c>
      <c r="CK890" s="2">
        <f>SUM(CK$2:CK380)+BE380*X380</f>
        <v>30880</v>
      </c>
      <c r="CL890" s="2">
        <f>SUM(CL$2:CL380)+BF380*Y380</f>
        <v>274890</v>
      </c>
      <c r="CM890" s="2">
        <f>SUM(CM$2:CM380)+BG380*Z380</f>
        <v>126900</v>
      </c>
      <c r="CN890" s="2">
        <f>SUM(CN$2:CN380)+BH380*AA380</f>
        <v>161732.5</v>
      </c>
      <c r="CO890" s="2">
        <f>SUM(CO$2:CO380)+BI380*AB380</f>
        <v>1420</v>
      </c>
      <c r="CP890" s="2">
        <f>SUM(CP$2:CP380)+BJ380*AC380</f>
        <v>25455</v>
      </c>
      <c r="CQ890" s="2">
        <f>SUM(CQ$2:CQ380)+BK380*AD380</f>
        <v>18250.000000000007</v>
      </c>
      <c r="CR890" s="2">
        <f>SUM(CR$2:CR380)+BL380*AE380</f>
        <v>-3380</v>
      </c>
      <c r="CV890" t="s">
        <v>64</v>
      </c>
      <c r="CW890" t="s">
        <v>963</v>
      </c>
      <c r="CX890" t="s">
        <v>19</v>
      </c>
      <c r="CY890" s="4">
        <v>42844</v>
      </c>
      <c r="CZ890" t="s">
        <v>67</v>
      </c>
      <c r="DA890" t="s">
        <v>68</v>
      </c>
      <c r="DB890">
        <v>141</v>
      </c>
      <c r="DC890">
        <v>62.92</v>
      </c>
      <c r="DD890" t="s">
        <v>69</v>
      </c>
      <c r="DE890" t="s">
        <v>70</v>
      </c>
      <c r="DF890">
        <v>8871.7199999999993</v>
      </c>
    </row>
    <row r="891" spans="66:110" x14ac:dyDescent="0.25">
      <c r="BN891" s="1">
        <f t="shared" si="340"/>
        <v>43287</v>
      </c>
      <c r="BO891" s="2">
        <f>SUM(BO$2:BO381)+AI381*B381</f>
        <v>113000</v>
      </c>
      <c r="BP891" s="2">
        <f>SUM(BP$2:BP381)+AJ381*C381</f>
        <v>27813.800000000017</v>
      </c>
      <c r="BQ891" s="2">
        <f>SUM(BQ$2:BQ381)+AK381*D381</f>
        <v>201491.7999999999</v>
      </c>
      <c r="BR891" s="2">
        <f>SUM(BR$2:BR381)+AL381*E381</f>
        <v>46767.299999999959</v>
      </c>
      <c r="BS891" s="2">
        <f>SUM(BS$2:BS381)+AM381*F381</f>
        <v>15514.000000000015</v>
      </c>
      <c r="BT891" s="2">
        <f>SUM(BT$2:BT381)+AN381*G381</f>
        <v>15601.299999999988</v>
      </c>
      <c r="BU891" s="2">
        <f>SUM(BU$2:BU381)+AO381*H381</f>
        <v>1374.0999999999913</v>
      </c>
      <c r="BV891" s="2">
        <f>SUM(BV$2:BV381)+AP381*I381</f>
        <v>-601.60000000002037</v>
      </c>
      <c r="BW891" s="2">
        <f>SUM(BW$2:BW381)+AQ381*J381</f>
        <v>-15150</v>
      </c>
      <c r="BX891" s="2">
        <f>SUM(BX$2:BX381)+AR381*K381</f>
        <v>13940</v>
      </c>
      <c r="BY891" s="2">
        <f>SUM(BY$2:BY381)+AS381*L381</f>
        <v>-5383.4000000000115</v>
      </c>
      <c r="BZ891" s="2">
        <f>SUM(BZ$2:BZ381)+AT381*M381</f>
        <v>740</v>
      </c>
      <c r="CA891" s="2">
        <f>SUM(CA$2:CA381)+AU381*N381</f>
        <v>12660</v>
      </c>
      <c r="CB891" s="2">
        <f>SUM(CB$2:CB381)+AV381*O381</f>
        <v>26740</v>
      </c>
      <c r="CC891" s="2">
        <f>SUM(CC$2:CC381)+AW381*P381</f>
        <v>-20</v>
      </c>
      <c r="CD891" s="2">
        <f>SUM(CD$2:CD381)+AX381*Q381</f>
        <v>14050</v>
      </c>
      <c r="CE891" s="2">
        <f>SUM(CE$2:CE381)+AY381*R381</f>
        <v>27020</v>
      </c>
      <c r="CF891" s="2">
        <f>SUM(CF$2:CF381)+AZ381*S381</f>
        <v>4821.6099999999715</v>
      </c>
      <c r="CG891" s="2">
        <f>SUM(CG$2:CG381)+BA381*T381</f>
        <v>38865.430000000008</v>
      </c>
      <c r="CH891" s="2">
        <f>SUM(CH$2:CH381)+BB381*U381</f>
        <v>24561.030000000042</v>
      </c>
      <c r="CI891" s="2">
        <f>SUM(CI$2:CI381)+BC381*V381</f>
        <v>-7550</v>
      </c>
      <c r="CJ891" s="2">
        <f>SUM(CJ$2:CJ381)+BD381*W381</f>
        <v>32240</v>
      </c>
      <c r="CK891" s="2">
        <f>SUM(CK$2:CK381)+BE381*X381</f>
        <v>33730</v>
      </c>
      <c r="CL891" s="2">
        <f>SUM(CL$2:CL381)+BF381*Y381</f>
        <v>275670</v>
      </c>
      <c r="CM891" s="2">
        <f>SUM(CM$2:CM381)+BG381*Z381</f>
        <v>129100</v>
      </c>
      <c r="CN891" s="2">
        <f>SUM(CN$2:CN381)+BH381*AA381</f>
        <v>163732.49999999994</v>
      </c>
      <c r="CO891" s="2">
        <f>SUM(CO$2:CO381)+BI381*AB381</f>
        <v>1990</v>
      </c>
      <c r="CP891" s="2">
        <f>SUM(CP$2:CP381)+BJ381*AC381</f>
        <v>23655</v>
      </c>
      <c r="CQ891" s="2">
        <f>SUM(CQ$2:CQ381)+BK381*AD381</f>
        <v>18190.000000000007</v>
      </c>
      <c r="CR891" s="2">
        <f>SUM(CR$2:CR381)+BL381*AE381</f>
        <v>-3360</v>
      </c>
      <c r="CV891" t="s">
        <v>64</v>
      </c>
      <c r="CW891" t="s">
        <v>964</v>
      </c>
      <c r="CX891" t="s">
        <v>19</v>
      </c>
      <c r="CY891" s="4">
        <v>42845</v>
      </c>
      <c r="CZ891" t="s">
        <v>67</v>
      </c>
      <c r="DA891" t="s">
        <v>68</v>
      </c>
      <c r="DB891">
        <v>14</v>
      </c>
      <c r="DC891">
        <v>63.36</v>
      </c>
      <c r="DD891" t="s">
        <v>69</v>
      </c>
      <c r="DE891" t="s">
        <v>70</v>
      </c>
      <c r="DF891">
        <v>887.04</v>
      </c>
    </row>
    <row r="892" spans="66:110" x14ac:dyDescent="0.25">
      <c r="BN892" s="1">
        <f t="shared" si="340"/>
        <v>43290</v>
      </c>
      <c r="BO892" s="2">
        <f>SUM(BO$2:BO382)+AI382*B382</f>
        <v>125949.99999999988</v>
      </c>
      <c r="BP892" s="2">
        <f>SUM(BP$2:BP382)+AJ382*C382</f>
        <v>29566.400000000009</v>
      </c>
      <c r="BQ892" s="2">
        <f>SUM(BQ$2:BQ382)+AK382*D382</f>
        <v>210597.69999999992</v>
      </c>
      <c r="BR892" s="2">
        <f>SUM(BR$2:BR382)+AL382*E382</f>
        <v>53688.799999999959</v>
      </c>
      <c r="BS892" s="2">
        <f>SUM(BS$2:BS382)+AM382*F382</f>
        <v>15463.200000000019</v>
      </c>
      <c r="BT892" s="2">
        <f>SUM(BT$2:BT382)+AN382*G382</f>
        <v>17887.299999999988</v>
      </c>
      <c r="BU892" s="2">
        <f>SUM(BU$2:BU382)+AO382*H382</f>
        <v>2936.1999999999971</v>
      </c>
      <c r="BV892" s="2">
        <f>SUM(BV$2:BV382)+AP382*I382</f>
        <v>329.89999999997963</v>
      </c>
      <c r="BW892" s="2">
        <f>SUM(BW$2:BW382)+AQ382*J382</f>
        <v>-9000</v>
      </c>
      <c r="BX892" s="2">
        <f>SUM(BX$2:BX382)+AR382*K382</f>
        <v>13940</v>
      </c>
      <c r="BY892" s="2">
        <f>SUM(BY$2:BY382)+AS382*L382</f>
        <v>-5364.9000000000115</v>
      </c>
      <c r="BZ892" s="2">
        <f>SUM(BZ$2:BZ382)+AT382*M382</f>
        <v>740</v>
      </c>
      <c r="CA892" s="2">
        <f>SUM(CA$2:CA382)+AU382*N382</f>
        <v>12660</v>
      </c>
      <c r="CB892" s="2">
        <f>SUM(CB$2:CB382)+AV382*O382</f>
        <v>26740</v>
      </c>
      <c r="CC892" s="2">
        <f>SUM(CC$2:CC382)+AW382*P382</f>
        <v>-20</v>
      </c>
      <c r="CD892" s="2">
        <f>SUM(CD$2:CD382)+AX382*Q382</f>
        <v>14050</v>
      </c>
      <c r="CE892" s="2">
        <f>SUM(CE$2:CE382)+AY382*R382</f>
        <v>27020</v>
      </c>
      <c r="CF892" s="2">
        <f>SUM(CF$2:CF382)+AZ382*S382</f>
        <v>4649.8899999999703</v>
      </c>
      <c r="CG892" s="2">
        <f>SUM(CG$2:CG382)+BA382*T382</f>
        <v>39543.389999999992</v>
      </c>
      <c r="CH892" s="2">
        <f>SUM(CH$2:CH382)+BB382*U382</f>
        <v>25294.940000000046</v>
      </c>
      <c r="CI892" s="2">
        <f>SUM(CI$2:CI382)+BC382*V382</f>
        <v>-7600</v>
      </c>
      <c r="CJ892" s="2">
        <f>SUM(CJ$2:CJ382)+BD382*W382</f>
        <v>42890</v>
      </c>
      <c r="CK892" s="2">
        <f>SUM(CK$2:CK382)+BE382*X382</f>
        <v>44730</v>
      </c>
      <c r="CL892" s="2">
        <f>SUM(CL$2:CL382)+BF382*Y382</f>
        <v>284340</v>
      </c>
      <c r="CM892" s="2">
        <f>SUM(CM$2:CM382)+BG382*Z382</f>
        <v>135400</v>
      </c>
      <c r="CN892" s="2">
        <f>SUM(CN$2:CN382)+BH382*AA382</f>
        <v>167282.5</v>
      </c>
      <c r="CO892" s="2">
        <f>SUM(CO$2:CO382)+BI382*AB382</f>
        <v>1570</v>
      </c>
      <c r="CP892" s="2">
        <f>SUM(CP$2:CP382)+BJ382*AC382</f>
        <v>22815</v>
      </c>
      <c r="CQ892" s="2">
        <f>SUM(CQ$2:CQ382)+BK382*AD382</f>
        <v>19590.000000000007</v>
      </c>
      <c r="CR892" s="2">
        <f>SUM(CR$2:CR382)+BL382*AE382</f>
        <v>-2810</v>
      </c>
      <c r="CV892" t="s">
        <v>64</v>
      </c>
      <c r="CW892" t="s">
        <v>965</v>
      </c>
      <c r="CX892" t="s">
        <v>19</v>
      </c>
      <c r="CY892" s="4">
        <v>42846</v>
      </c>
      <c r="CZ892" t="s">
        <v>65</v>
      </c>
      <c r="DA892" t="s">
        <v>66</v>
      </c>
      <c r="DB892">
        <v>98</v>
      </c>
      <c r="DC892">
        <v>64.23</v>
      </c>
      <c r="DD892" t="s">
        <v>69</v>
      </c>
      <c r="DE892" t="s">
        <v>70</v>
      </c>
      <c r="DF892">
        <v>6294.54</v>
      </c>
    </row>
    <row r="893" spans="66:110" x14ac:dyDescent="0.25">
      <c r="BN893" s="1">
        <f t="shared" si="340"/>
        <v>43291</v>
      </c>
      <c r="BO893" s="2">
        <f>SUM(BO$2:BO383)+AI383*B383</f>
        <v>124799.99999999988</v>
      </c>
      <c r="BP893" s="2">
        <f>SUM(BP$2:BP383)+AJ383*C383</f>
        <v>29566.400000000009</v>
      </c>
      <c r="BQ893" s="2">
        <f>SUM(BQ$2:BQ383)+AK383*D383</f>
        <v>217163.59999999989</v>
      </c>
      <c r="BR893" s="2">
        <f>SUM(BR$2:BR383)+AL383*E383</f>
        <v>54044.399999999965</v>
      </c>
      <c r="BS893" s="2">
        <f>SUM(BS$2:BS383)+AM383*F383</f>
        <v>15704.500000000015</v>
      </c>
      <c r="BT893" s="2">
        <f>SUM(BT$2:BT383)+AN383*G383</f>
        <v>19855.799999999959</v>
      </c>
      <c r="BU893" s="2">
        <f>SUM(BU$2:BU383)+AO383*H383</f>
        <v>2948.8999999999796</v>
      </c>
      <c r="BV893" s="2">
        <f>SUM(BV$2:BV383)+AP383*I383</f>
        <v>1537.3999999999796</v>
      </c>
      <c r="BW893" s="2">
        <f>SUM(BW$2:BW383)+AQ383*J383</f>
        <v>-10130</v>
      </c>
      <c r="BX893" s="2">
        <f>SUM(BX$2:BX383)+AR383*K383</f>
        <v>13940</v>
      </c>
      <c r="BY893" s="2">
        <f>SUM(BY$2:BY383)+AS383*L383</f>
        <v>-5361.9000000000115</v>
      </c>
      <c r="BZ893" s="2">
        <f>SUM(BZ$2:BZ383)+AT383*M383</f>
        <v>740</v>
      </c>
      <c r="CA893" s="2">
        <f>SUM(CA$2:CA383)+AU383*N383</f>
        <v>12660</v>
      </c>
      <c r="CB893" s="2">
        <f>SUM(CB$2:CB383)+AV383*O383</f>
        <v>26740</v>
      </c>
      <c r="CC893" s="2">
        <f>SUM(CC$2:CC383)+AW383*P383</f>
        <v>-20</v>
      </c>
      <c r="CD893" s="2">
        <f>SUM(CD$2:CD383)+AX383*Q383</f>
        <v>14050</v>
      </c>
      <c r="CE893" s="2">
        <f>SUM(CE$2:CE383)+AY383*R383</f>
        <v>27020</v>
      </c>
      <c r="CF893" s="2">
        <f>SUM(CF$2:CF383)+AZ383*S383</f>
        <v>4938.5699999999633</v>
      </c>
      <c r="CG893" s="2">
        <f>SUM(CG$2:CG383)+BA383*T383</f>
        <v>39818.790000000008</v>
      </c>
      <c r="CH893" s="2">
        <f>SUM(CH$2:CH383)+BB383*U383</f>
        <v>25587.260000000046</v>
      </c>
      <c r="CI893" s="2">
        <f>SUM(CI$2:CI383)+BC383*V383</f>
        <v>-7860</v>
      </c>
      <c r="CJ893" s="2">
        <f>SUM(CJ$2:CJ383)+BD383*W383</f>
        <v>28565</v>
      </c>
      <c r="CK893" s="2">
        <f>SUM(CK$2:CK383)+BE383*X383</f>
        <v>47030</v>
      </c>
      <c r="CL893" s="2">
        <f>SUM(CL$2:CL383)+BF383*Y383</f>
        <v>289920</v>
      </c>
      <c r="CM893" s="2">
        <f>SUM(CM$2:CM383)+BG383*Z383</f>
        <v>137250</v>
      </c>
      <c r="CN893" s="2">
        <f>SUM(CN$2:CN383)+BH383*AA383</f>
        <v>170182.5</v>
      </c>
      <c r="CO893" s="2">
        <f>SUM(CO$2:CO383)+BI383*AB383</f>
        <v>3310</v>
      </c>
      <c r="CP893" s="2">
        <f>SUM(CP$2:CP383)+BJ383*AC383</f>
        <v>23855</v>
      </c>
      <c r="CQ893" s="2">
        <f>SUM(CQ$2:CQ383)+BK383*AD383</f>
        <v>20860.000000000007</v>
      </c>
      <c r="CR893" s="2">
        <f>SUM(CR$2:CR383)+BL383*AE383</f>
        <v>-2080</v>
      </c>
      <c r="CV893" t="s">
        <v>64</v>
      </c>
      <c r="CW893" t="s">
        <v>966</v>
      </c>
      <c r="CX893" t="s">
        <v>19</v>
      </c>
      <c r="CY893" s="4">
        <v>42849</v>
      </c>
      <c r="CZ893" t="s">
        <v>67</v>
      </c>
      <c r="DA893" t="s">
        <v>68</v>
      </c>
      <c r="DB893">
        <v>27</v>
      </c>
      <c r="DC893">
        <v>65.319999999999993</v>
      </c>
      <c r="DD893" t="s">
        <v>69</v>
      </c>
      <c r="DE893" t="s">
        <v>70</v>
      </c>
      <c r="DF893">
        <v>1763.6399999999999</v>
      </c>
    </row>
    <row r="894" spans="66:110" x14ac:dyDescent="0.25">
      <c r="BN894" s="1">
        <f t="shared" si="340"/>
        <v>43292</v>
      </c>
      <c r="BO894" s="2">
        <f>SUM(BO$2:BO384)+AI384*B384</f>
        <v>112599.99999999988</v>
      </c>
      <c r="BP894" s="2">
        <f>SUM(BP$2:BP384)+AJ384*C384</f>
        <v>30061.700000000012</v>
      </c>
      <c r="BQ894" s="2">
        <f>SUM(BQ$2:BQ384)+AK384*D384</f>
        <v>208946.69999999992</v>
      </c>
      <c r="BR894" s="2">
        <f>SUM(BR$2:BR384)+AL384*E384</f>
        <v>48443.699999999953</v>
      </c>
      <c r="BS894" s="2">
        <f>SUM(BS$2:BS384)+AM384*F384</f>
        <v>15336.200000000019</v>
      </c>
      <c r="BT894" s="2">
        <f>SUM(BT$2:BT384)+AN384*G384</f>
        <v>14839.299999999959</v>
      </c>
      <c r="BU894" s="2">
        <f>SUM(BU$2:BU384)+AO384*H384</f>
        <v>5488.8999999999796</v>
      </c>
      <c r="BV894" s="2">
        <f>SUM(BV$2:BV384)+AP384*I384</f>
        <v>-176.10000000002037</v>
      </c>
      <c r="BW894" s="2">
        <f>SUM(BW$2:BW384)+AQ384*J384</f>
        <v>-11310</v>
      </c>
      <c r="BX894" s="2">
        <f>SUM(BX$2:BX384)+AR384*K384</f>
        <v>13940</v>
      </c>
      <c r="BY894" s="2">
        <f>SUM(BY$2:BY384)+AS384*L384</f>
        <v>-5359.6000000000113</v>
      </c>
      <c r="BZ894" s="2">
        <f>SUM(BZ$2:BZ384)+AT384*M384</f>
        <v>740</v>
      </c>
      <c r="CA894" s="2">
        <f>SUM(CA$2:CA384)+AU384*N384</f>
        <v>12660</v>
      </c>
      <c r="CB894" s="2">
        <f>SUM(CB$2:CB384)+AV384*O384</f>
        <v>26740</v>
      </c>
      <c r="CC894" s="2">
        <f>SUM(CC$2:CC384)+AW384*P384</f>
        <v>-20</v>
      </c>
      <c r="CD894" s="2">
        <f>SUM(CD$2:CD384)+AX384*Q384</f>
        <v>14050</v>
      </c>
      <c r="CE894" s="2">
        <f>SUM(CE$2:CE384)+AY384*R384</f>
        <v>27020</v>
      </c>
      <c r="CF894" s="2">
        <f>SUM(CF$2:CF384)+AZ384*S384</f>
        <v>4528.5699999999633</v>
      </c>
      <c r="CG894" s="2">
        <f>SUM(CG$2:CG384)+BA384*T384</f>
        <v>39680.33</v>
      </c>
      <c r="CH894" s="2">
        <f>SUM(CH$2:CH384)+BB384*U384</f>
        <v>25385.870000000039</v>
      </c>
      <c r="CI894" s="2">
        <f>SUM(CI$2:CI384)+BC384*V384</f>
        <v>-7650</v>
      </c>
      <c r="CJ894" s="2">
        <f>SUM(CJ$2:CJ384)+BD384*W384</f>
        <v>33365</v>
      </c>
      <c r="CK894" s="2">
        <f>SUM(CK$2:CK384)+BE384*X384</f>
        <v>42980</v>
      </c>
      <c r="CL894" s="2">
        <f>SUM(CL$2:CL384)+BF384*Y384</f>
        <v>287100</v>
      </c>
      <c r="CM894" s="2">
        <f>SUM(CM$2:CM384)+BG384*Z384</f>
        <v>126550</v>
      </c>
      <c r="CN894" s="2">
        <f>SUM(CN$2:CN384)+BH384*AA384</f>
        <v>173832.5</v>
      </c>
      <c r="CO894" s="2">
        <f>SUM(CO$2:CO384)+BI384*AB384</f>
        <v>3310</v>
      </c>
      <c r="CP894" s="2">
        <f>SUM(CP$2:CP384)+BJ384*AC384</f>
        <v>22935</v>
      </c>
      <c r="CQ894" s="2">
        <f>SUM(CQ$2:CQ384)+BK384*AD384</f>
        <v>20180.000000000007</v>
      </c>
      <c r="CR894" s="2">
        <f>SUM(CR$2:CR384)+BL384*AE384</f>
        <v>-3110</v>
      </c>
      <c r="CV894" t="s">
        <v>64</v>
      </c>
      <c r="CW894" t="s">
        <v>967</v>
      </c>
      <c r="CX894" t="s">
        <v>19</v>
      </c>
      <c r="CY894" s="4">
        <v>42850</v>
      </c>
      <c r="CZ894" t="s">
        <v>67</v>
      </c>
      <c r="DA894" t="s">
        <v>68</v>
      </c>
      <c r="DB894">
        <v>1</v>
      </c>
      <c r="DC894">
        <v>65.7</v>
      </c>
      <c r="DD894" t="s">
        <v>69</v>
      </c>
      <c r="DE894" t="s">
        <v>70</v>
      </c>
      <c r="DF894">
        <v>65.7</v>
      </c>
    </row>
    <row r="895" spans="66:110" x14ac:dyDescent="0.25">
      <c r="BN895" s="1">
        <f t="shared" si="340"/>
        <v>43293</v>
      </c>
      <c r="BO895" s="2">
        <f>SUM(BO$2:BO385)+AI385*B385</f>
        <v>128149.99999999977</v>
      </c>
      <c r="BP895" s="2">
        <f>SUM(BP$2:BP385)+AJ385*C385</f>
        <v>31141.199999999997</v>
      </c>
      <c r="BQ895" s="2">
        <f>SUM(BQ$2:BQ385)+AK385*D385</f>
        <v>215741.19999999987</v>
      </c>
      <c r="BR895" s="2">
        <f>SUM(BR$2:BR385)+AL385*E385</f>
        <v>51758.399999999965</v>
      </c>
      <c r="BS895" s="2">
        <f>SUM(BS$2:BS385)+AM385*F385</f>
        <v>16593.500000000015</v>
      </c>
      <c r="BT895" s="2">
        <f>SUM(BT$2:BT385)+AN385*G385</f>
        <v>15753.699999999983</v>
      </c>
      <c r="BU895" s="2">
        <f>SUM(BU$2:BU385)+AO385*H385</f>
        <v>5755.5999999999913</v>
      </c>
      <c r="BV895" s="2">
        <f>SUM(BV$2:BV385)+AP385*I385</f>
        <v>-233.60000000002037</v>
      </c>
      <c r="BW895" s="2">
        <f>SUM(BW$2:BW385)+AQ385*J385</f>
        <v>-9760</v>
      </c>
      <c r="BX895" s="2">
        <f>SUM(BX$2:BX385)+AR385*K385</f>
        <v>13940</v>
      </c>
      <c r="BY895" s="2">
        <f>SUM(BY$2:BY385)+AS385*L385</f>
        <v>-5345.0000000000118</v>
      </c>
      <c r="BZ895" s="2">
        <f>SUM(BZ$2:BZ385)+AT385*M385</f>
        <v>740</v>
      </c>
      <c r="CA895" s="2">
        <f>SUM(CA$2:CA385)+AU385*N385</f>
        <v>12660</v>
      </c>
      <c r="CB895" s="2">
        <f>SUM(CB$2:CB385)+AV385*O385</f>
        <v>26740</v>
      </c>
      <c r="CC895" s="2">
        <f>SUM(CC$2:CC385)+AW385*P385</f>
        <v>-20</v>
      </c>
      <c r="CD895" s="2">
        <f>SUM(CD$2:CD385)+AX385*Q385</f>
        <v>14050</v>
      </c>
      <c r="CE895" s="2">
        <f>SUM(CE$2:CE385)+AY385*R385</f>
        <v>27020</v>
      </c>
      <c r="CF895" s="2">
        <f>SUM(CF$2:CF385)+AZ385*S385</f>
        <v>5304.0699999999633</v>
      </c>
      <c r="CG895" s="2">
        <f>SUM(CG$2:CG385)+BA385*T385</f>
        <v>41850.619999999995</v>
      </c>
      <c r="CH895" s="2">
        <f>SUM(CH$2:CH385)+BB385*U385</f>
        <v>25396.180000000044</v>
      </c>
      <c r="CI895" s="2">
        <f>SUM(CI$2:CI385)+BC385*V385</f>
        <v>-7950</v>
      </c>
      <c r="CJ895" s="2">
        <f>SUM(CJ$2:CJ385)+BD385*W385</f>
        <v>35315</v>
      </c>
      <c r="CK895" s="2">
        <f>SUM(CK$2:CK385)+BE385*X385</f>
        <v>47780</v>
      </c>
      <c r="CL895" s="2">
        <f>SUM(CL$2:CL385)+BF385*Y385</f>
        <v>291450</v>
      </c>
      <c r="CM895" s="2">
        <f>SUM(CM$2:CM385)+BG385*Z385</f>
        <v>138700</v>
      </c>
      <c r="CN895" s="2">
        <f>SUM(CN$2:CN385)+BH385*AA385</f>
        <v>178182.5</v>
      </c>
      <c r="CO895" s="2">
        <f>SUM(CO$2:CO385)+BI385*AB385</f>
        <v>3040</v>
      </c>
      <c r="CP895" s="2">
        <f>SUM(CP$2:CP385)+BJ385*AC385</f>
        <v>22515</v>
      </c>
      <c r="CQ895" s="2">
        <f>SUM(CQ$2:CQ385)+BK385*AD385</f>
        <v>20170.000000000007</v>
      </c>
      <c r="CR895" s="2">
        <f>SUM(CR$2:CR385)+BL385*AE385</f>
        <v>-3020</v>
      </c>
      <c r="CV895" t="s">
        <v>64</v>
      </c>
      <c r="CW895" t="s">
        <v>968</v>
      </c>
      <c r="CX895" t="s">
        <v>19</v>
      </c>
      <c r="CY895" s="4">
        <v>42851</v>
      </c>
      <c r="CZ895" t="s">
        <v>67</v>
      </c>
      <c r="DA895" t="s">
        <v>68</v>
      </c>
      <c r="DB895">
        <v>67</v>
      </c>
      <c r="DC895">
        <v>65.61</v>
      </c>
      <c r="DD895" t="s">
        <v>69</v>
      </c>
      <c r="DE895" t="s">
        <v>70</v>
      </c>
      <c r="DF895">
        <v>4395.87</v>
      </c>
    </row>
    <row r="896" spans="66:110" x14ac:dyDescent="0.25">
      <c r="BN896" s="1">
        <f t="shared" si="340"/>
        <v>43294</v>
      </c>
      <c r="BO896" s="2">
        <f>SUM(BO$2:BO386)+AI386*B386</f>
        <v>129649.99999999988</v>
      </c>
      <c r="BP896" s="2">
        <f>SUM(BP$2:BP386)+AJ386*C386</f>
        <v>30315.700000000012</v>
      </c>
      <c r="BQ896" s="2">
        <f>SUM(BQ$2:BQ386)+AK386*D386</f>
        <v>221697.49999999991</v>
      </c>
      <c r="BR896" s="2">
        <f>SUM(BR$2:BR386)+AL386*E386</f>
        <v>53422.099999999948</v>
      </c>
      <c r="BS896" s="2">
        <f>SUM(BS$2:BS386)+AM386*F386</f>
        <v>14345.600000000013</v>
      </c>
      <c r="BT896" s="2">
        <f>SUM(BT$2:BT386)+AN386*G386</f>
        <v>15474.299999999959</v>
      </c>
      <c r="BU896" s="2">
        <f>SUM(BU$2:BU386)+AO386*H386</f>
        <v>7952.6999999999971</v>
      </c>
      <c r="BV896" s="2">
        <f>SUM(BV$2:BV386)+AP386*I386</f>
        <v>-107.10000000003492</v>
      </c>
      <c r="BW896" s="2">
        <f>SUM(BW$2:BW386)+AQ386*J386</f>
        <v>-10570</v>
      </c>
      <c r="BX896" s="2">
        <f>SUM(BX$2:BX386)+AR386*K386</f>
        <v>13940</v>
      </c>
      <c r="BY896" s="2">
        <f>SUM(BY$2:BY386)+AS386*L386</f>
        <v>-5350.4000000000115</v>
      </c>
      <c r="BZ896" s="2">
        <f>SUM(BZ$2:BZ386)+AT386*M386</f>
        <v>740</v>
      </c>
      <c r="CA896" s="2">
        <f>SUM(CA$2:CA386)+AU386*N386</f>
        <v>12660</v>
      </c>
      <c r="CB896" s="2">
        <f>SUM(CB$2:CB386)+AV386*O386</f>
        <v>26740</v>
      </c>
      <c r="CC896" s="2">
        <f>SUM(CC$2:CC386)+AW386*P386</f>
        <v>-20</v>
      </c>
      <c r="CD896" s="2">
        <f>SUM(CD$2:CD386)+AX386*Q386</f>
        <v>14050</v>
      </c>
      <c r="CE896" s="2">
        <f>SUM(CE$2:CE386)+AY386*R386</f>
        <v>27020</v>
      </c>
      <c r="CF896" s="2">
        <f>SUM(CF$2:CF386)+AZ386*S386</f>
        <v>5523.7199999999648</v>
      </c>
      <c r="CG896" s="2">
        <f>SUM(CG$2:CG386)+BA386*T386</f>
        <v>43110.139999999985</v>
      </c>
      <c r="CH896" s="2">
        <f>SUM(CH$2:CH386)+BB386*U386</f>
        <v>25405.77000000004</v>
      </c>
      <c r="CI896" s="2">
        <f>SUM(CI$2:CI386)+BC386*V386</f>
        <v>-7960</v>
      </c>
      <c r="CJ896" s="2">
        <f>SUM(CJ$2:CJ386)+BD386*W386</f>
        <v>32240</v>
      </c>
      <c r="CK896" s="2">
        <f>SUM(CK$2:CK386)+BE386*X386</f>
        <v>50780</v>
      </c>
      <c r="CL896" s="2">
        <f>SUM(CL$2:CL386)+BF386*Y386</f>
        <v>299340</v>
      </c>
      <c r="CM896" s="2">
        <f>SUM(CM$2:CM386)+BG386*Z386</f>
        <v>149300</v>
      </c>
      <c r="CN896" s="2">
        <f>SUM(CN$2:CN386)+BH386*AA386</f>
        <v>176982.5</v>
      </c>
      <c r="CO896" s="2">
        <f>SUM(CO$2:CO386)+BI386*AB386</f>
        <v>3520</v>
      </c>
      <c r="CP896" s="2">
        <f>SUM(CP$2:CP386)+BJ386*AC386</f>
        <v>19975.000000000015</v>
      </c>
      <c r="CQ896" s="2">
        <f>SUM(CQ$2:CQ386)+BK386*AD386</f>
        <v>21340.000000000007</v>
      </c>
      <c r="CR896" s="2">
        <f>SUM(CR$2:CR386)+BL386*AE386</f>
        <v>-2410</v>
      </c>
      <c r="CV896" t="s">
        <v>64</v>
      </c>
      <c r="CW896" t="s">
        <v>969</v>
      </c>
      <c r="CX896" t="s">
        <v>19</v>
      </c>
      <c r="CY896" s="4">
        <v>42852</v>
      </c>
      <c r="CZ896" t="s">
        <v>65</v>
      </c>
      <c r="DA896" t="s">
        <v>66</v>
      </c>
      <c r="DB896">
        <v>84</v>
      </c>
      <c r="DC896">
        <v>66.040000000000006</v>
      </c>
      <c r="DD896" t="s">
        <v>69</v>
      </c>
      <c r="DE896" t="s">
        <v>70</v>
      </c>
      <c r="DF896">
        <v>5547.3600000000006</v>
      </c>
    </row>
    <row r="897" spans="66:110" x14ac:dyDescent="0.25">
      <c r="BN897" s="1">
        <f t="shared" si="340"/>
        <v>43297</v>
      </c>
      <c r="BO897" s="2">
        <f>SUM(BO$2:BO387)+AI387*B387</f>
        <v>127549.99999999988</v>
      </c>
      <c r="BP897" s="2">
        <f>SUM(BP$2:BP387)+AJ387*C387</f>
        <v>30557.000000000015</v>
      </c>
      <c r="BQ897" s="2">
        <f>SUM(BQ$2:BQ387)+AK387*D387</f>
        <v>228352.29999999984</v>
      </c>
      <c r="BR897" s="2">
        <f>SUM(BR$2:BR387)+AL387*E387</f>
        <v>50094.699999999953</v>
      </c>
      <c r="BS897" s="2">
        <f>SUM(BS$2:BS387)+AM387*F387</f>
        <v>15247.300000000017</v>
      </c>
      <c r="BT897" s="2">
        <f>SUM(BT$2:BT387)+AN387*G387</f>
        <v>14166.199999999983</v>
      </c>
      <c r="BU897" s="2">
        <f>SUM(BU$2:BU387)+AO387*H387</f>
        <v>8206.6999999999971</v>
      </c>
      <c r="BV897" s="2">
        <f>SUM(BV$2:BV387)+AP387*I387</f>
        <v>-831.60000000002037</v>
      </c>
      <c r="BW897" s="2">
        <f>SUM(BW$2:BW387)+AQ387*J387</f>
        <v>-5570</v>
      </c>
      <c r="BX897" s="2">
        <f>SUM(BX$2:BX387)+AR387*K387</f>
        <v>13940</v>
      </c>
      <c r="BY897" s="2">
        <f>SUM(BY$2:BY387)+AS387*L387</f>
        <v>-5354.6000000000113</v>
      </c>
      <c r="BZ897" s="2">
        <f>SUM(BZ$2:BZ387)+AT387*M387</f>
        <v>740</v>
      </c>
      <c r="CA897" s="2">
        <f>SUM(CA$2:CA387)+AU387*N387</f>
        <v>12660</v>
      </c>
      <c r="CB897" s="2">
        <f>SUM(CB$2:CB387)+AV387*O387</f>
        <v>26740</v>
      </c>
      <c r="CC897" s="2">
        <f>SUM(CC$2:CC387)+AW387*P387</f>
        <v>-20</v>
      </c>
      <c r="CD897" s="2">
        <f>SUM(CD$2:CD387)+AX387*Q387</f>
        <v>14050</v>
      </c>
      <c r="CE897" s="2">
        <f>SUM(CE$2:CE387)+AY387*R387</f>
        <v>27020</v>
      </c>
      <c r="CF897" s="2">
        <f>SUM(CF$2:CF387)+AZ387*S387</f>
        <v>5238.4199999999691</v>
      </c>
      <c r="CG897" s="2">
        <f>SUM(CG$2:CG387)+BA387*T387</f>
        <v>42602.69</v>
      </c>
      <c r="CH897" s="2">
        <f>SUM(CH$2:CH387)+BB387*U387</f>
        <v>25772.440000000039</v>
      </c>
      <c r="CI897" s="2">
        <f>SUM(CI$2:CI387)+BC387*V387</f>
        <v>-7810</v>
      </c>
      <c r="CJ897" s="2">
        <f>SUM(CJ$2:CJ387)+BD387*W387</f>
        <v>30665</v>
      </c>
      <c r="CK897" s="2">
        <f>SUM(CK$2:CK387)+BE387*X387</f>
        <v>58480</v>
      </c>
      <c r="CL897" s="2">
        <f>SUM(CL$2:CL387)+BF387*Y387</f>
        <v>294210</v>
      </c>
      <c r="CM897" s="2">
        <f>SUM(CM$2:CM387)+BG387*Z387</f>
        <v>146700</v>
      </c>
      <c r="CN897" s="2">
        <f>SUM(CN$2:CN387)+BH387*AA387</f>
        <v>174582.5</v>
      </c>
      <c r="CO897" s="2">
        <f>SUM(CO$2:CO387)+BI387*AB387</f>
        <v>4060</v>
      </c>
      <c r="CP897" s="2">
        <f>SUM(CP$2:CP387)+BJ387*AC387</f>
        <v>19994.999999999985</v>
      </c>
      <c r="CQ897" s="2">
        <f>SUM(CQ$2:CQ387)+BK387*AD387</f>
        <v>21280.000000000007</v>
      </c>
      <c r="CR897" s="2">
        <f>SUM(CR$2:CR387)+BL387*AE387</f>
        <v>-3210</v>
      </c>
      <c r="CV897" t="s">
        <v>64</v>
      </c>
      <c r="CW897" t="s">
        <v>970</v>
      </c>
      <c r="CX897" t="s">
        <v>19</v>
      </c>
      <c r="CY897" s="4">
        <v>42853</v>
      </c>
      <c r="CZ897" t="s">
        <v>65</v>
      </c>
      <c r="DA897" t="s">
        <v>66</v>
      </c>
      <c r="DB897">
        <v>22</v>
      </c>
      <c r="DC897">
        <v>66.22</v>
      </c>
      <c r="DD897" t="s">
        <v>69</v>
      </c>
      <c r="DE897" t="s">
        <v>70</v>
      </c>
      <c r="DF897">
        <v>1456.84</v>
      </c>
    </row>
    <row r="898" spans="66:110" x14ac:dyDescent="0.25">
      <c r="BN898" s="1">
        <f t="shared" ref="BN898:BN961" si="341">A388</f>
        <v>43298</v>
      </c>
      <c r="BO898" s="2">
        <f>SUM(BO$2:BO388)+AI388*B388</f>
        <v>130249.99999999988</v>
      </c>
      <c r="BP898" s="2">
        <f>SUM(BP$2:BP388)+AJ388*C388</f>
        <v>31141.199999999997</v>
      </c>
      <c r="BQ898" s="2">
        <f>SUM(BQ$2:BQ388)+AK388*D388</f>
        <v>229330.19999999992</v>
      </c>
      <c r="BR898" s="2">
        <f>SUM(BR$2:BR388)+AL388*E388</f>
        <v>51174.199999999953</v>
      </c>
      <c r="BS898" s="2">
        <f>SUM(BS$2:BS388)+AM388*F388</f>
        <v>15044.100000000013</v>
      </c>
      <c r="BT898" s="2">
        <f>SUM(BT$2:BT388)+AN388*G388</f>
        <v>12845.399999999965</v>
      </c>
      <c r="BU898" s="2">
        <f>SUM(BU$2:BU388)+AO388*H388</f>
        <v>8333.6999999999971</v>
      </c>
      <c r="BV898" s="2">
        <f>SUM(BV$2:BV388)+AP388*I388</f>
        <v>686.39999999997963</v>
      </c>
      <c r="BW898" s="2">
        <f>SUM(BW$2:BW388)+AQ388*J388</f>
        <v>-5990</v>
      </c>
      <c r="BX898" s="2">
        <f>SUM(BX$2:BX388)+AR388*K388</f>
        <v>13940</v>
      </c>
      <c r="BY898" s="2">
        <f>SUM(BY$2:BY388)+AS388*L388</f>
        <v>-5373.6000000000113</v>
      </c>
      <c r="BZ898" s="2">
        <f>SUM(BZ$2:BZ388)+AT388*M388</f>
        <v>740</v>
      </c>
      <c r="CA898" s="2">
        <f>SUM(CA$2:CA388)+AU388*N388</f>
        <v>12660</v>
      </c>
      <c r="CB898" s="2">
        <f>SUM(CB$2:CB388)+AV388*O388</f>
        <v>26740</v>
      </c>
      <c r="CC898" s="2">
        <f>SUM(CC$2:CC388)+AW388*P388</f>
        <v>-20</v>
      </c>
      <c r="CD898" s="2">
        <f>SUM(CD$2:CD388)+AX388*Q388</f>
        <v>14050</v>
      </c>
      <c r="CE898" s="2">
        <f>SUM(CE$2:CE388)+AY388*R388</f>
        <v>27020</v>
      </c>
      <c r="CF898" s="2">
        <f>SUM(CF$2:CF388)+AZ388*S388</f>
        <v>5177.45999999997</v>
      </c>
      <c r="CG898" s="2">
        <f>SUM(CG$2:CG388)+BA388*T388</f>
        <v>43532.779999999992</v>
      </c>
      <c r="CH898" s="2">
        <f>SUM(CH$2:CH388)+BB388*U388</f>
        <v>25492.720000000038</v>
      </c>
      <c r="CI898" s="2">
        <f>SUM(CI$2:CI388)+BC388*V388</f>
        <v>-8080</v>
      </c>
      <c r="CJ898" s="2">
        <f>SUM(CJ$2:CJ388)+BD388*W388</f>
        <v>26990</v>
      </c>
      <c r="CK898" s="2">
        <f>SUM(CK$2:CK388)+BE388*X388</f>
        <v>61480</v>
      </c>
      <c r="CL898" s="2">
        <f>SUM(CL$2:CL388)+BF388*Y388</f>
        <v>274260</v>
      </c>
      <c r="CM898" s="2">
        <f>SUM(CM$2:CM388)+BG388*Z388</f>
        <v>155200</v>
      </c>
      <c r="CN898" s="2">
        <f>SUM(CN$2:CN388)+BH388*AA388</f>
        <v>177532.5</v>
      </c>
      <c r="CO898" s="2">
        <f>SUM(CO$2:CO388)+BI388*AB388</f>
        <v>3580</v>
      </c>
      <c r="CP898" s="2">
        <f>SUM(CP$2:CP388)+BJ388*AC388</f>
        <v>19075</v>
      </c>
      <c r="CQ898" s="2">
        <f>SUM(CQ$2:CQ388)+BK388*AD388</f>
        <v>21820.000000000007</v>
      </c>
      <c r="CR898" s="2">
        <f>SUM(CR$2:CR388)+BL388*AE388</f>
        <v>-3380</v>
      </c>
      <c r="CV898" t="s">
        <v>64</v>
      </c>
      <c r="CW898" t="s">
        <v>971</v>
      </c>
      <c r="CX898" t="s">
        <v>19</v>
      </c>
      <c r="CY898" s="4">
        <v>42856</v>
      </c>
      <c r="CZ898" t="s">
        <v>67</v>
      </c>
      <c r="DA898" t="s">
        <v>68</v>
      </c>
      <c r="DB898">
        <v>37</v>
      </c>
      <c r="DC898">
        <v>67.14</v>
      </c>
      <c r="DD898" t="s">
        <v>69</v>
      </c>
      <c r="DE898" t="s">
        <v>70</v>
      </c>
      <c r="DF898">
        <v>2484.1799999999998</v>
      </c>
    </row>
    <row r="899" spans="66:110" x14ac:dyDescent="0.25">
      <c r="BN899" s="1">
        <f t="shared" si="341"/>
        <v>43299</v>
      </c>
      <c r="BO899" s="2">
        <f>SUM(BO$2:BO389)+AI389*B389</f>
        <v>125049.99999999988</v>
      </c>
      <c r="BP899" s="2">
        <f>SUM(BP$2:BP389)+AJ389*C389</f>
        <v>33452.600000000006</v>
      </c>
      <c r="BQ899" s="2">
        <f>SUM(BQ$2:BQ389)+AK389*D389</f>
        <v>233521.19999999987</v>
      </c>
      <c r="BR899" s="2">
        <f>SUM(BR$2:BR389)+AL389*E389</f>
        <v>53879.29999999993</v>
      </c>
      <c r="BS899" s="2">
        <f>SUM(BS$2:BS389)+AM389*F389</f>
        <v>14879.000000000015</v>
      </c>
      <c r="BT899" s="2">
        <f>SUM(BT$2:BT389)+AN389*G389</f>
        <v>12375.499999999971</v>
      </c>
      <c r="BU899" s="2">
        <f>SUM(BU$2:BU389)+AO389*H389</f>
        <v>8829.0000000000146</v>
      </c>
      <c r="BV899" s="2">
        <f>SUM(BV$2:BV389)+AP389*I389</f>
        <v>157.39999999997963</v>
      </c>
      <c r="BW899" s="2">
        <f>SUM(BW$2:BW389)+AQ389*J389</f>
        <v>-5770</v>
      </c>
      <c r="BX899" s="2">
        <f>SUM(BX$2:BX389)+AR389*K389</f>
        <v>13940</v>
      </c>
      <c r="BY899" s="2">
        <f>SUM(BY$2:BY389)+AS389*L389</f>
        <v>-5363.7000000000116</v>
      </c>
      <c r="BZ899" s="2">
        <f>SUM(BZ$2:BZ389)+AT389*M389</f>
        <v>740</v>
      </c>
      <c r="CA899" s="2">
        <f>SUM(CA$2:CA389)+AU389*N389</f>
        <v>12660</v>
      </c>
      <c r="CB899" s="2">
        <f>SUM(CB$2:CB389)+AV389*O389</f>
        <v>26740</v>
      </c>
      <c r="CC899" s="2">
        <f>SUM(CC$2:CC389)+AW389*P389</f>
        <v>-20</v>
      </c>
      <c r="CD899" s="2">
        <f>SUM(CD$2:CD389)+AX389*Q389</f>
        <v>14050</v>
      </c>
      <c r="CE899" s="2">
        <f>SUM(CE$2:CE389)+AY389*R389</f>
        <v>27020</v>
      </c>
      <c r="CF899" s="2">
        <f>SUM(CF$2:CF389)+AZ389*S389</f>
        <v>5601.8099999999613</v>
      </c>
      <c r="CG899" s="2">
        <f>SUM(CG$2:CG389)+BA389*T389</f>
        <v>42695.56</v>
      </c>
      <c r="CH899" s="2">
        <f>SUM(CH$2:CH389)+BB389*U389</f>
        <v>24584.440000000053</v>
      </c>
      <c r="CI899" s="2">
        <f>SUM(CI$2:CI389)+BC389*V389</f>
        <v>-8090</v>
      </c>
      <c r="CJ899" s="2">
        <f>SUM(CJ$2:CJ389)+BD389*W389</f>
        <v>29240</v>
      </c>
      <c r="CK899" s="2">
        <f>SUM(CK$2:CK389)+BE389*X389</f>
        <v>67430</v>
      </c>
      <c r="CL899" s="2">
        <f>SUM(CL$2:CL389)+BF389*Y389</f>
        <v>289560</v>
      </c>
      <c r="CM899" s="2">
        <f>SUM(CM$2:CM389)+BG389*Z389</f>
        <v>160000</v>
      </c>
      <c r="CN899" s="2">
        <f>SUM(CN$2:CN389)+BH389*AA389</f>
        <v>180657.5</v>
      </c>
      <c r="CO899" s="2">
        <f>SUM(CO$2:CO389)+BI389*AB389</f>
        <v>2740</v>
      </c>
      <c r="CP899" s="2">
        <f>SUM(CP$2:CP389)+BJ389*AC389</f>
        <v>18035.000000000015</v>
      </c>
      <c r="CQ899" s="2">
        <f>SUM(CQ$2:CQ389)+BK389*AD389</f>
        <v>21710.000000000007</v>
      </c>
      <c r="CR899" s="2">
        <f>SUM(CR$2:CR389)+BL389*AE389</f>
        <v>-3470</v>
      </c>
      <c r="CV899" t="s">
        <v>64</v>
      </c>
      <c r="CW899" t="s">
        <v>972</v>
      </c>
      <c r="CX899" t="s">
        <v>19</v>
      </c>
      <c r="CY899" s="4">
        <v>42857</v>
      </c>
      <c r="CZ899" t="s">
        <v>67</v>
      </c>
      <c r="DA899" t="s">
        <v>68</v>
      </c>
      <c r="DB899">
        <v>18</v>
      </c>
      <c r="DC899">
        <v>67.040000000000006</v>
      </c>
      <c r="DD899" t="s">
        <v>69</v>
      </c>
      <c r="DE899" t="s">
        <v>70</v>
      </c>
      <c r="DF899">
        <v>1206.72</v>
      </c>
    </row>
    <row r="900" spans="66:110" x14ac:dyDescent="0.25">
      <c r="BN900" s="1">
        <f t="shared" si="341"/>
        <v>43300</v>
      </c>
      <c r="BO900" s="2">
        <f>SUM(BO$2:BO390)+AI390*B390</f>
        <v>132349.99999999988</v>
      </c>
      <c r="BP900" s="2">
        <f>SUM(BP$2:BP390)+AJ390*C390</f>
        <v>29896.60000000002</v>
      </c>
      <c r="BQ900" s="2">
        <f>SUM(BQ$2:BQ390)+AK390*D390</f>
        <v>227387.09999999989</v>
      </c>
      <c r="BR900" s="2">
        <f>SUM(BR$2:BR390)+AL390*E390</f>
        <v>52825.199999999953</v>
      </c>
      <c r="BS900" s="2">
        <f>SUM(BS$2:BS390)+AM390*F390</f>
        <v>15120.30000000001</v>
      </c>
      <c r="BT900" s="2">
        <f>SUM(BT$2:BT390)+AN390*G390</f>
        <v>12553.299999999959</v>
      </c>
      <c r="BU900" s="2">
        <f>SUM(BU$2:BU390)+AO390*H390</f>
        <v>10645.099999999991</v>
      </c>
      <c r="BV900" s="2">
        <f>SUM(BV$2:BV390)+AP390*I390</f>
        <v>-360.10000000002037</v>
      </c>
      <c r="BW900" s="2">
        <f>SUM(BW$2:BW390)+AQ390*J390</f>
        <v>-7370</v>
      </c>
      <c r="BX900" s="2">
        <f>SUM(BX$2:BX390)+AR390*K390</f>
        <v>13940</v>
      </c>
      <c r="BY900" s="2">
        <f>SUM(BY$2:BY390)+AS390*L390</f>
        <v>-5318.1000000000113</v>
      </c>
      <c r="BZ900" s="2">
        <f>SUM(BZ$2:BZ390)+AT390*M390</f>
        <v>740</v>
      </c>
      <c r="CA900" s="2">
        <f>SUM(CA$2:CA390)+AU390*N390</f>
        <v>12660</v>
      </c>
      <c r="CB900" s="2">
        <f>SUM(CB$2:CB390)+AV390*O390</f>
        <v>26740</v>
      </c>
      <c r="CC900" s="2">
        <f>SUM(CC$2:CC390)+AW390*P390</f>
        <v>-20</v>
      </c>
      <c r="CD900" s="2">
        <f>SUM(CD$2:CD390)+AX390*Q390</f>
        <v>14050</v>
      </c>
      <c r="CE900" s="2">
        <f>SUM(CE$2:CE390)+AY390*R390</f>
        <v>27020</v>
      </c>
      <c r="CF900" s="2">
        <f>SUM(CF$2:CF390)+AZ390*S390</f>
        <v>5161.9199999999619</v>
      </c>
      <c r="CG900" s="2">
        <f>SUM(CG$2:CG390)+BA390*T390</f>
        <v>41977.719999999994</v>
      </c>
      <c r="CH900" s="2">
        <f>SUM(CH$2:CH390)+BB390*U390</f>
        <v>24956.490000000034</v>
      </c>
      <c r="CI900" s="2">
        <f>SUM(CI$2:CI390)+BC390*V390</f>
        <v>-7790</v>
      </c>
      <c r="CJ900" s="2">
        <f>SUM(CJ$2:CJ390)+BD390*W390</f>
        <v>31265</v>
      </c>
      <c r="CK900" s="2">
        <f>SUM(CK$2:CK390)+BE390*X390</f>
        <v>43630</v>
      </c>
      <c r="CL900" s="2">
        <f>SUM(CL$2:CL390)+BF390*Y390</f>
        <v>282150</v>
      </c>
      <c r="CM900" s="2">
        <f>SUM(CM$2:CM390)+BG390*Z390</f>
        <v>153499.99999999988</v>
      </c>
      <c r="CN900" s="2">
        <f>SUM(CN$2:CN390)+BH390*AA390</f>
        <v>178757.5</v>
      </c>
      <c r="CO900" s="2">
        <f>SUM(CO$2:CO390)+BI390*AB390</f>
        <v>1600</v>
      </c>
      <c r="CP900" s="2">
        <f>SUM(CP$2:CP390)+BJ390*AC390</f>
        <v>20455</v>
      </c>
      <c r="CQ900" s="2">
        <f>SUM(CQ$2:CQ390)+BK390*AD390</f>
        <v>21360.000000000007</v>
      </c>
      <c r="CR900" s="2">
        <f>SUM(CR$2:CR390)+BL390*AE390</f>
        <v>-3670</v>
      </c>
      <c r="CV900" t="s">
        <v>64</v>
      </c>
      <c r="CW900" t="s">
        <v>973</v>
      </c>
      <c r="CX900" t="s">
        <v>19</v>
      </c>
      <c r="CY900" s="4">
        <v>42858</v>
      </c>
      <c r="CZ900" t="s">
        <v>65</v>
      </c>
      <c r="DA900" t="s">
        <v>66</v>
      </c>
      <c r="DB900">
        <v>118</v>
      </c>
      <c r="DC900">
        <v>66.819999999999993</v>
      </c>
      <c r="DD900" t="s">
        <v>69</v>
      </c>
      <c r="DE900" t="s">
        <v>70</v>
      </c>
      <c r="DF900">
        <v>7884.7599999999993</v>
      </c>
    </row>
    <row r="901" spans="66:110" x14ac:dyDescent="0.25">
      <c r="BN901" s="1">
        <f t="shared" si="341"/>
        <v>43301</v>
      </c>
      <c r="BO901" s="2">
        <f>SUM(BO$2:BO391)+AI391*B391</f>
        <v>130199.99999999988</v>
      </c>
      <c r="BP901" s="2">
        <f>SUM(BP$2:BP391)+AJ391*C391</f>
        <v>29871.199999999997</v>
      </c>
      <c r="BQ901" s="2">
        <f>SUM(BQ$2:BQ391)+AK391*D391</f>
        <v>226840.99999999985</v>
      </c>
      <c r="BR901" s="2">
        <f>SUM(BR$2:BR391)+AL391*E391</f>
        <v>49561.299999999959</v>
      </c>
      <c r="BS901" s="2">
        <f>SUM(BS$2:BS391)+AM391*F391</f>
        <v>14637.700000000012</v>
      </c>
      <c r="BT901" s="2">
        <f>SUM(BT$2:BT391)+AN391*G391</f>
        <v>13289.899999999965</v>
      </c>
      <c r="BU901" s="2">
        <f>SUM(BU$2:BU391)+AO391*H391</f>
        <v>9819.5999999999913</v>
      </c>
      <c r="BV901" s="2">
        <f>SUM(BV$2:BV391)+AP391*I391</f>
        <v>-716.60000000002037</v>
      </c>
      <c r="BW901" s="2">
        <f>SUM(BW$2:BW391)+AQ391*J391</f>
        <v>-5330</v>
      </c>
      <c r="BX901" s="2">
        <f>SUM(BX$2:BX391)+AR391*K391</f>
        <v>13940</v>
      </c>
      <c r="BY901" s="2">
        <f>SUM(BY$2:BY391)+AS391*L391</f>
        <v>-5346.0000000000118</v>
      </c>
      <c r="BZ901" s="2">
        <f>SUM(BZ$2:BZ391)+AT391*M391</f>
        <v>740</v>
      </c>
      <c r="CA901" s="2">
        <f>SUM(CA$2:CA391)+AU391*N391</f>
        <v>12660</v>
      </c>
      <c r="CB901" s="2">
        <f>SUM(CB$2:CB391)+AV391*O391</f>
        <v>26740</v>
      </c>
      <c r="CC901" s="2">
        <f>SUM(CC$2:CC391)+AW391*P391</f>
        <v>-20</v>
      </c>
      <c r="CD901" s="2">
        <f>SUM(CD$2:CD391)+AX391*Q391</f>
        <v>14050</v>
      </c>
      <c r="CE901" s="2">
        <f>SUM(CE$2:CE391)+AY391*R391</f>
        <v>27020</v>
      </c>
      <c r="CF901" s="2">
        <f>SUM(CF$2:CF391)+AZ391*S391</f>
        <v>5172.3599999999642</v>
      </c>
      <c r="CG901" s="2">
        <f>SUM(CG$2:CG391)+BA391*T391</f>
        <v>43761.46</v>
      </c>
      <c r="CH901" s="2">
        <f>SUM(CH$2:CH391)+BB391*U391</f>
        <v>24966.280000000042</v>
      </c>
      <c r="CI901" s="2">
        <f>SUM(CI$2:CI391)+BC391*V391</f>
        <v>-7760</v>
      </c>
      <c r="CJ901" s="2">
        <f>SUM(CJ$2:CJ391)+BD391*W391</f>
        <v>31640</v>
      </c>
      <c r="CK901" s="2">
        <f>SUM(CK$2:CK391)+BE391*X391</f>
        <v>43730</v>
      </c>
      <c r="CL901" s="2">
        <f>SUM(CL$2:CL391)+BF391*Y391</f>
        <v>281460</v>
      </c>
      <c r="CM901" s="2">
        <f>SUM(CM$2:CM391)+BG391*Z391</f>
        <v>153000</v>
      </c>
      <c r="CN901" s="2">
        <f>SUM(CN$2:CN391)+BH391*AA391</f>
        <v>180882.5</v>
      </c>
      <c r="CO901" s="2">
        <f>SUM(CO$2:CO391)+BI391*AB391</f>
        <v>1210</v>
      </c>
      <c r="CP901" s="2">
        <f>SUM(CP$2:CP391)+BJ391*AC391</f>
        <v>20355</v>
      </c>
      <c r="CQ901" s="2">
        <f>SUM(CQ$2:CQ391)+BK391*AD391</f>
        <v>21700.000000000007</v>
      </c>
      <c r="CR901" s="2">
        <f>SUM(CR$2:CR391)+BL391*AE391</f>
        <v>-4270</v>
      </c>
      <c r="CV901" t="s">
        <v>64</v>
      </c>
      <c r="CW901" t="s">
        <v>974</v>
      </c>
      <c r="CX901" t="s">
        <v>19</v>
      </c>
      <c r="CY901" s="4">
        <v>42859</v>
      </c>
      <c r="CZ901" t="s">
        <v>67</v>
      </c>
      <c r="DA901" t="s">
        <v>68</v>
      </c>
      <c r="DB901">
        <v>53</v>
      </c>
      <c r="DC901">
        <v>66.56</v>
      </c>
      <c r="DD901" t="s">
        <v>69</v>
      </c>
      <c r="DE901" t="s">
        <v>70</v>
      </c>
      <c r="DF901">
        <v>3527.6800000000003</v>
      </c>
    </row>
    <row r="902" spans="66:110" x14ac:dyDescent="0.25">
      <c r="BN902" s="1">
        <f t="shared" si="341"/>
        <v>43304</v>
      </c>
      <c r="BO902" s="2">
        <f>SUM(BO$2:BO392)+AI392*B392</f>
        <v>130999.99999999988</v>
      </c>
      <c r="BP902" s="2">
        <f>SUM(BP$2:BP392)+AJ392*C392</f>
        <v>31230.100000000006</v>
      </c>
      <c r="BQ902" s="2">
        <f>SUM(BQ$2:BQ392)+AK392*D392</f>
        <v>224808.99999999991</v>
      </c>
      <c r="BR902" s="2">
        <f>SUM(BR$2:BR392)+AL392*E392</f>
        <v>48888.199999999953</v>
      </c>
      <c r="BS902" s="2">
        <f>SUM(BS$2:BS392)+AM392*F392</f>
        <v>14701.200000000019</v>
      </c>
      <c r="BT902" s="2">
        <f>SUM(BT$2:BT392)+AN392*G392</f>
        <v>12134.199999999983</v>
      </c>
      <c r="BU902" s="2">
        <f>SUM(BU$2:BU392)+AO392*H392</f>
        <v>9324.3000000000029</v>
      </c>
      <c r="BV902" s="2">
        <f>SUM(BV$2:BV392)+AP392*I392</f>
        <v>-854.60000000002037</v>
      </c>
      <c r="BW902" s="2">
        <f>SUM(BW$2:BW392)+AQ392*J392</f>
        <v>-3270</v>
      </c>
      <c r="BX902" s="2">
        <f>SUM(BX$2:BX392)+AR392*K392</f>
        <v>13940</v>
      </c>
      <c r="BY902" s="2">
        <f>SUM(BY$2:BY392)+AS392*L392</f>
        <v>-5352.300000000012</v>
      </c>
      <c r="BZ902" s="2">
        <f>SUM(BZ$2:BZ392)+AT392*M392</f>
        <v>740</v>
      </c>
      <c r="CA902" s="2">
        <f>SUM(CA$2:CA392)+AU392*N392</f>
        <v>12660</v>
      </c>
      <c r="CB902" s="2">
        <f>SUM(CB$2:CB392)+AV392*O392</f>
        <v>26740</v>
      </c>
      <c r="CC902" s="2">
        <f>SUM(CC$2:CC392)+AW392*P392</f>
        <v>-20</v>
      </c>
      <c r="CD902" s="2">
        <f>SUM(CD$2:CD392)+AX392*Q392</f>
        <v>14050</v>
      </c>
      <c r="CE902" s="2">
        <f>SUM(CE$2:CE392)+AY392*R392</f>
        <v>27020</v>
      </c>
      <c r="CF902" s="2">
        <f>SUM(CF$2:CF392)+AZ392*S392</f>
        <v>5339.129999999961</v>
      </c>
      <c r="CG902" s="2">
        <f>SUM(CG$2:CG392)+BA392*T392</f>
        <v>45392.740000000005</v>
      </c>
      <c r="CH902" s="2">
        <f>SUM(CH$2:CH392)+BB392*U392</f>
        <v>24624.280000000042</v>
      </c>
      <c r="CI902" s="2">
        <f>SUM(CI$2:CI392)+BC392*V392</f>
        <v>-7650</v>
      </c>
      <c r="CJ902" s="2">
        <f>SUM(CJ$2:CJ392)+BD392*W392</f>
        <v>32915</v>
      </c>
      <c r="CK902" s="2">
        <f>SUM(CK$2:CK392)+BE392*X392</f>
        <v>38980</v>
      </c>
      <c r="CL902" s="2">
        <f>SUM(CL$2:CL392)+BF392*Y392</f>
        <v>281580</v>
      </c>
      <c r="CM902" s="2">
        <f>SUM(CM$2:CM392)+BG392*Z392</f>
        <v>148600</v>
      </c>
      <c r="CN902" s="2">
        <f>SUM(CN$2:CN392)+BH392*AA392</f>
        <v>178507.50000000006</v>
      </c>
      <c r="CO902" s="2">
        <f>SUM(CO$2:CO392)+BI392*AB392</f>
        <v>1600</v>
      </c>
      <c r="CP902" s="2">
        <f>SUM(CP$2:CP392)+BJ392*AC392</f>
        <v>19635</v>
      </c>
      <c r="CQ902" s="2">
        <f>SUM(CQ$2:CQ392)+BK392*AD392</f>
        <v>21270.000000000007</v>
      </c>
      <c r="CR902" s="2">
        <f>SUM(CR$2:CR392)+BL392*AE392</f>
        <v>-4270</v>
      </c>
      <c r="CV902" t="s">
        <v>64</v>
      </c>
      <c r="CW902" t="s">
        <v>975</v>
      </c>
      <c r="CX902" t="s">
        <v>19</v>
      </c>
      <c r="CY902" s="4">
        <v>42860</v>
      </c>
      <c r="CZ902" t="s">
        <v>67</v>
      </c>
      <c r="DA902" t="s">
        <v>68</v>
      </c>
      <c r="DB902">
        <v>60</v>
      </c>
      <c r="DC902">
        <v>66.75</v>
      </c>
      <c r="DD902" t="s">
        <v>69</v>
      </c>
      <c r="DE902" t="s">
        <v>70</v>
      </c>
      <c r="DF902">
        <v>4005</v>
      </c>
    </row>
    <row r="903" spans="66:110" x14ac:dyDescent="0.25">
      <c r="BN903" s="1">
        <f t="shared" si="341"/>
        <v>43305</v>
      </c>
      <c r="BO903" s="2">
        <f>SUM(BO$2:BO393)+AI393*B393</f>
        <v>137899.99999999988</v>
      </c>
      <c r="BP903" s="2">
        <f>SUM(BP$2:BP393)+AJ393*C393</f>
        <v>31852.400000000009</v>
      </c>
      <c r="BQ903" s="2">
        <f>SUM(BQ$2:BQ393)+AK393*D393</f>
        <v>231070.09999999989</v>
      </c>
      <c r="BR903" s="2">
        <f>SUM(BR$2:BR393)+AL393*E393</f>
        <v>51009.099999999948</v>
      </c>
      <c r="BS903" s="2">
        <f>SUM(BS$2:BS393)+AM393*F393</f>
        <v>15107.600000000013</v>
      </c>
      <c r="BT903" s="2">
        <f>SUM(BT$2:BT393)+AN393*G393</f>
        <v>15245.699999999983</v>
      </c>
      <c r="BU903" s="2">
        <f>SUM(BU$2:BU393)+AO393*H393</f>
        <v>8841.6999999999971</v>
      </c>
      <c r="BV903" s="2">
        <f>SUM(BV$2:BV393)+AP393*I393</f>
        <v>525.39999999997963</v>
      </c>
      <c r="BW903" s="2">
        <f>SUM(BW$2:BW393)+AQ393*J393</f>
        <v>-1170</v>
      </c>
      <c r="BX903" s="2">
        <f>SUM(BX$2:BX393)+AR393*K393</f>
        <v>13940</v>
      </c>
      <c r="BY903" s="2">
        <f>SUM(BY$2:BY393)+AS393*L393</f>
        <v>-5345.7000000000116</v>
      </c>
      <c r="BZ903" s="2">
        <f>SUM(BZ$2:BZ393)+AT393*M393</f>
        <v>740</v>
      </c>
      <c r="CA903" s="2">
        <f>SUM(CA$2:CA393)+AU393*N393</f>
        <v>12660</v>
      </c>
      <c r="CB903" s="2">
        <f>SUM(CB$2:CB393)+AV393*O393</f>
        <v>26740</v>
      </c>
      <c r="CC903" s="2">
        <f>SUM(CC$2:CC393)+AW393*P393</f>
        <v>-20</v>
      </c>
      <c r="CD903" s="2">
        <f>SUM(CD$2:CD393)+AX393*Q393</f>
        <v>14050</v>
      </c>
      <c r="CE903" s="2">
        <f>SUM(CE$2:CE393)+AY393*R393</f>
        <v>27020</v>
      </c>
      <c r="CF903" s="2">
        <f>SUM(CF$2:CF393)+AZ393*S393</f>
        <v>6084.3299999999654</v>
      </c>
      <c r="CG903" s="2">
        <f>SUM(CG$2:CG393)+BA393*T393</f>
        <v>45120.639999999999</v>
      </c>
      <c r="CH903" s="2">
        <f>SUM(CH$2:CH393)+BB393*U393</f>
        <v>23502.800000000047</v>
      </c>
      <c r="CI903" s="2">
        <f>SUM(CI$2:CI393)+BC393*V393</f>
        <v>-8120</v>
      </c>
      <c r="CJ903" s="2">
        <f>SUM(CJ$2:CJ393)+BD393*W393</f>
        <v>29390</v>
      </c>
      <c r="CK903" s="2">
        <f>SUM(CK$2:CK393)+BE393*X393</f>
        <v>41480</v>
      </c>
      <c r="CL903" s="2">
        <f>SUM(CL$2:CL393)+BF393*Y393</f>
        <v>284610</v>
      </c>
      <c r="CM903" s="2">
        <f>SUM(CM$2:CM393)+BG393*Z393</f>
        <v>172550</v>
      </c>
      <c r="CN903" s="2">
        <f>SUM(CN$2:CN393)+BH393*AA393</f>
        <v>178507.50000000006</v>
      </c>
      <c r="CO903" s="2">
        <f>SUM(CO$2:CO393)+BI393*AB393</f>
        <v>3820</v>
      </c>
      <c r="CP903" s="2">
        <f>SUM(CP$2:CP393)+BJ393*AC393</f>
        <v>19315.000000000015</v>
      </c>
      <c r="CQ903" s="2">
        <f>SUM(CQ$2:CQ393)+BK393*AD393</f>
        <v>21600.000000000007</v>
      </c>
      <c r="CR903" s="2">
        <f>SUM(CR$2:CR393)+BL393*AE393</f>
        <v>-2710</v>
      </c>
      <c r="CV903" t="s">
        <v>64</v>
      </c>
      <c r="CW903" t="s">
        <v>976</v>
      </c>
      <c r="CX903" t="s">
        <v>19</v>
      </c>
      <c r="CY903" s="4">
        <v>42863</v>
      </c>
      <c r="CZ903" t="s">
        <v>67</v>
      </c>
      <c r="DA903" t="s">
        <v>68</v>
      </c>
      <c r="DB903">
        <v>23</v>
      </c>
      <c r="DC903">
        <v>66.69</v>
      </c>
      <c r="DD903" t="s">
        <v>69</v>
      </c>
      <c r="DE903" t="s">
        <v>70</v>
      </c>
      <c r="DF903">
        <v>1533.87</v>
      </c>
    </row>
    <row r="904" spans="66:110" x14ac:dyDescent="0.25">
      <c r="BN904" s="1">
        <f t="shared" si="341"/>
        <v>43306</v>
      </c>
      <c r="BO904" s="2">
        <f>SUM(BO$2:BO394)+AI394*B394</f>
        <v>146899.99999999977</v>
      </c>
      <c r="BP904" s="2">
        <f>SUM(BP$2:BP394)+AJ394*C394</f>
        <v>33008.099999999991</v>
      </c>
      <c r="BQ904" s="2">
        <f>SUM(BQ$2:BQ394)+AK394*D394</f>
        <v>228123.69999999987</v>
      </c>
      <c r="BR904" s="2">
        <f>SUM(BR$2:BR394)+AL394*E394</f>
        <v>54158.699999999953</v>
      </c>
      <c r="BS904" s="2">
        <f>SUM(BS$2:BS394)+AM394*F394</f>
        <v>16072.80000000001</v>
      </c>
      <c r="BT904" s="2">
        <f>SUM(BT$2:BT394)+AN394*G394</f>
        <v>16541.099999999977</v>
      </c>
      <c r="BU904" s="2">
        <f>SUM(BU$2:BU394)+AO394*H394</f>
        <v>9438.5999999999767</v>
      </c>
      <c r="BV904" s="2">
        <f>SUM(BV$2:BV394)+AP394*I394</f>
        <v>1215.3999999999796</v>
      </c>
      <c r="BW904" s="2">
        <f>SUM(BW$2:BW394)+AQ394*J394</f>
        <v>-360</v>
      </c>
      <c r="BX904" s="2">
        <f>SUM(BX$2:BX394)+AR394*K394</f>
        <v>13940</v>
      </c>
      <c r="BY904" s="2">
        <f>SUM(BY$2:BY394)+AS394*L394</f>
        <v>-5343.4000000000115</v>
      </c>
      <c r="BZ904" s="2">
        <f>SUM(BZ$2:BZ394)+AT394*M394</f>
        <v>740</v>
      </c>
      <c r="CA904" s="2">
        <f>SUM(CA$2:CA394)+AU394*N394</f>
        <v>12660</v>
      </c>
      <c r="CB904" s="2">
        <f>SUM(CB$2:CB394)+AV394*O394</f>
        <v>26740</v>
      </c>
      <c r="CC904" s="2">
        <f>SUM(CC$2:CC394)+AW394*P394</f>
        <v>-20</v>
      </c>
      <c r="CD904" s="2">
        <f>SUM(CD$2:CD394)+AX394*Q394</f>
        <v>14050</v>
      </c>
      <c r="CE904" s="2">
        <f>SUM(CE$2:CE394)+AY394*R394</f>
        <v>27020</v>
      </c>
      <c r="CF904" s="2">
        <f>SUM(CF$2:CF394)+AZ394*S394</f>
        <v>7141.1499999999651</v>
      </c>
      <c r="CG904" s="2">
        <f>SUM(CG$2:CG394)+BA394*T394</f>
        <v>48059.680000000008</v>
      </c>
      <c r="CH904" s="2">
        <f>SUM(CH$2:CH394)+BB394*U394</f>
        <v>25266.980000000032</v>
      </c>
      <c r="CI904" s="2">
        <f>SUM(CI$2:CI394)+BC394*V394</f>
        <v>-8410</v>
      </c>
      <c r="CJ904" s="2">
        <f>SUM(CJ$2:CJ394)+BD394*W394</f>
        <v>25790</v>
      </c>
      <c r="CK904" s="2">
        <f>SUM(CK$2:CK394)+BE394*X394</f>
        <v>49080</v>
      </c>
      <c r="CL904" s="2">
        <f>SUM(CL$2:CL394)+BF394*Y394</f>
        <v>287880</v>
      </c>
      <c r="CM904" s="2">
        <f>SUM(CM$2:CM394)+BG394*Z394</f>
        <v>175050</v>
      </c>
      <c r="CN904" s="2">
        <f>SUM(CN$2:CN394)+BH394*AA394</f>
        <v>184982.49999999994</v>
      </c>
      <c r="CO904" s="2">
        <f>SUM(CO$2:CO394)+BI394*AB394</f>
        <v>2050</v>
      </c>
      <c r="CP904" s="2">
        <f>SUM(CP$2:CP394)+BJ394*AC394</f>
        <v>16975.000000000015</v>
      </c>
      <c r="CQ904" s="2">
        <f>SUM(CQ$2:CQ394)+BK394*AD394</f>
        <v>21540.000000000007</v>
      </c>
      <c r="CR904" s="2">
        <f>SUM(CR$2:CR394)+BL394*AE394</f>
        <v>-2140</v>
      </c>
      <c r="CV904" t="s">
        <v>64</v>
      </c>
      <c r="CW904" t="s">
        <v>977</v>
      </c>
      <c r="CX904" t="s">
        <v>19</v>
      </c>
      <c r="CY904" s="4">
        <v>42864</v>
      </c>
      <c r="CZ904" t="s">
        <v>65</v>
      </c>
      <c r="DA904" t="s">
        <v>66</v>
      </c>
      <c r="DB904">
        <v>49</v>
      </c>
      <c r="DC904">
        <v>66.790000000000006</v>
      </c>
      <c r="DD904" t="s">
        <v>69</v>
      </c>
      <c r="DE904" t="s">
        <v>70</v>
      </c>
      <c r="DF904">
        <v>3272.7100000000005</v>
      </c>
    </row>
    <row r="905" spans="66:110" x14ac:dyDescent="0.25">
      <c r="BN905" s="1">
        <f t="shared" si="341"/>
        <v>43307</v>
      </c>
      <c r="BO905" s="2">
        <f>SUM(BO$2:BO395)+AI395*B395</f>
        <v>143849.99999999988</v>
      </c>
      <c r="BP905" s="2">
        <f>SUM(BP$2:BP395)+AJ395*C395</f>
        <v>32841.699999999997</v>
      </c>
      <c r="BQ905" s="2">
        <f>SUM(BQ$2:BQ395)+AK395*D395</f>
        <v>232411.69999999992</v>
      </c>
      <c r="BR905" s="2">
        <f>SUM(BR$2:BR395)+AL395*E395</f>
        <v>56808.299999999959</v>
      </c>
      <c r="BS905" s="2">
        <f>SUM(BS$2:BS395)+AM395*F395</f>
        <v>16546.400000000009</v>
      </c>
      <c r="BT905" s="2">
        <f>SUM(BT$2:BT395)+AN395*G395</f>
        <v>15350.699999999983</v>
      </c>
      <c r="BU905" s="2">
        <f>SUM(BU$2:BU395)+AO395*H395</f>
        <v>12408.200000000012</v>
      </c>
      <c r="BV905" s="2">
        <f>SUM(BV$2:BV395)+AP395*I395</f>
        <v>2050.5999999999767</v>
      </c>
      <c r="BW905" s="2">
        <f>SUM(BW$2:BW395)+AQ395*J395</f>
        <v>50</v>
      </c>
      <c r="BX905" s="2">
        <f>SUM(BX$2:BX395)+AR395*K395</f>
        <v>13940</v>
      </c>
      <c r="BY905" s="2">
        <f>SUM(BY$2:BY395)+AS395*L395</f>
        <v>-5342.5000000000118</v>
      </c>
      <c r="BZ905" s="2">
        <f>SUM(BZ$2:BZ395)+AT395*M395</f>
        <v>740</v>
      </c>
      <c r="CA905" s="2">
        <f>SUM(CA$2:CA395)+AU395*N395</f>
        <v>12660</v>
      </c>
      <c r="CB905" s="2">
        <f>SUM(CB$2:CB395)+AV395*O395</f>
        <v>26740</v>
      </c>
      <c r="CC905" s="2">
        <f>SUM(CC$2:CC395)+AW395*P395</f>
        <v>-20</v>
      </c>
      <c r="CD905" s="2">
        <f>SUM(CD$2:CD395)+AX395*Q395</f>
        <v>14050</v>
      </c>
      <c r="CE905" s="2">
        <f>SUM(CE$2:CE395)+AY395*R395</f>
        <v>27020</v>
      </c>
      <c r="CF905" s="2">
        <f>SUM(CF$2:CF395)+AZ395*S395</f>
        <v>6664.0299999999697</v>
      </c>
      <c r="CG905" s="2">
        <f>SUM(CG$2:CG395)+BA395*T395</f>
        <v>46756.48000000001</v>
      </c>
      <c r="CH905" s="2">
        <f>SUM(CH$2:CH395)+BB395*U395</f>
        <v>26203.520000000033</v>
      </c>
      <c r="CI905" s="2">
        <f>SUM(CI$2:CI395)+BC395*V395</f>
        <v>-8570</v>
      </c>
      <c r="CJ905" s="2">
        <f>SUM(CJ$2:CJ395)+BD395*W395</f>
        <v>21215</v>
      </c>
      <c r="CK905" s="2">
        <f>SUM(CK$2:CK395)+BE395*X395</f>
        <v>64930</v>
      </c>
      <c r="CL905" s="2">
        <f>SUM(CL$2:CL395)+BF395*Y395</f>
        <v>294270</v>
      </c>
      <c r="CM905" s="2">
        <f>SUM(CM$2:CM395)+BG395*Z395</f>
        <v>180400</v>
      </c>
      <c r="CN905" s="2">
        <f>SUM(CN$2:CN395)+BH395*AA395</f>
        <v>184632.5</v>
      </c>
      <c r="CO905" s="2">
        <f>SUM(CO$2:CO395)+BI395*AB395</f>
        <v>2860</v>
      </c>
      <c r="CP905" s="2">
        <f>SUM(CP$2:CP395)+BJ395*AC395</f>
        <v>15315</v>
      </c>
      <c r="CQ905" s="2">
        <f>SUM(CQ$2:CQ395)+BK395*AD395</f>
        <v>21860.000000000007</v>
      </c>
      <c r="CR905" s="2">
        <f>SUM(CR$2:CR395)+BL395*AE395</f>
        <v>-1510</v>
      </c>
      <c r="CV905" t="s">
        <v>64</v>
      </c>
      <c r="CW905" t="s">
        <v>978</v>
      </c>
      <c r="CX905" t="s">
        <v>19</v>
      </c>
      <c r="CY905" s="4">
        <v>42865</v>
      </c>
      <c r="CZ905" t="s">
        <v>65</v>
      </c>
      <c r="DA905" t="s">
        <v>66</v>
      </c>
      <c r="DB905">
        <v>8</v>
      </c>
      <c r="DC905">
        <v>67.05</v>
      </c>
      <c r="DD905" t="s">
        <v>69</v>
      </c>
      <c r="DE905" t="s">
        <v>70</v>
      </c>
      <c r="DF905">
        <v>536.4</v>
      </c>
    </row>
    <row r="906" spans="66:110" x14ac:dyDescent="0.25">
      <c r="BN906" s="1">
        <f t="shared" si="341"/>
        <v>43308</v>
      </c>
      <c r="BO906" s="2">
        <f>SUM(BO$2:BO396)+AI396*B396</f>
        <v>127899.99999999988</v>
      </c>
      <c r="BP906" s="2">
        <f>SUM(BP$2:BP396)+AJ396*C396</f>
        <v>34569.700000000026</v>
      </c>
      <c r="BQ906" s="2">
        <f>SUM(BQ$2:BQ396)+AK396*D396</f>
        <v>234088.49999999991</v>
      </c>
      <c r="BR906" s="2">
        <f>SUM(BR$2:BR396)+AL396*E396</f>
        <v>56782.699999999953</v>
      </c>
      <c r="BS906" s="2">
        <f>SUM(BS$2:BS396)+AM396*F396</f>
        <v>15330.400000000016</v>
      </c>
      <c r="BT906" s="2">
        <f>SUM(BT$2:BT396)+AN396*G396</f>
        <v>17872.299999999988</v>
      </c>
      <c r="BU906" s="2">
        <f>SUM(BU$2:BU396)+AO396*H396</f>
        <v>11269</v>
      </c>
      <c r="BV906" s="2">
        <f>SUM(BV$2:BV396)+AP396*I396</f>
        <v>2178.1999999999825</v>
      </c>
      <c r="BW906" s="2">
        <f>SUM(BW$2:BW396)+AQ396*J396</f>
        <v>580</v>
      </c>
      <c r="BX906" s="2">
        <f>SUM(BX$2:BX396)+AR396*K396</f>
        <v>13940</v>
      </c>
      <c r="BY906" s="2">
        <f>SUM(BY$2:BY396)+AS396*L396</f>
        <v>-5357.6000000000113</v>
      </c>
      <c r="BZ906" s="2">
        <f>SUM(BZ$2:BZ396)+AT396*M396</f>
        <v>740</v>
      </c>
      <c r="CA906" s="2">
        <f>SUM(CA$2:CA396)+AU396*N396</f>
        <v>12660</v>
      </c>
      <c r="CB906" s="2">
        <f>SUM(CB$2:CB396)+AV396*O396</f>
        <v>26740</v>
      </c>
      <c r="CC906" s="2">
        <f>SUM(CC$2:CC396)+AW396*P396</f>
        <v>-20</v>
      </c>
      <c r="CD906" s="2">
        <f>SUM(CD$2:CD396)+AX396*Q396</f>
        <v>14050</v>
      </c>
      <c r="CE906" s="2">
        <f>SUM(CE$2:CE396)+AY396*R396</f>
        <v>27020</v>
      </c>
      <c r="CF906" s="2">
        <f>SUM(CF$2:CF396)+AZ396*S396</f>
        <v>6177.4899999999616</v>
      </c>
      <c r="CG906" s="2">
        <f>SUM(CG$2:CG396)+BA396*T396</f>
        <v>44661.760000000009</v>
      </c>
      <c r="CH906" s="2">
        <f>SUM(CH$2:CH396)+BB396*U396</f>
        <v>24835.160000000033</v>
      </c>
      <c r="CI906" s="2">
        <f>SUM(CI$2:CI396)+BC396*V396</f>
        <v>-8820</v>
      </c>
      <c r="CJ906" s="2">
        <f>SUM(CJ$2:CJ396)+BD396*W396</f>
        <v>17615</v>
      </c>
      <c r="CK906" s="2">
        <f>SUM(CK$2:CK396)+BE396*X396</f>
        <v>71029.999999999884</v>
      </c>
      <c r="CL906" s="2">
        <f>SUM(CL$2:CL396)+BF396*Y396</f>
        <v>291150</v>
      </c>
      <c r="CM906" s="2">
        <f>SUM(CM$2:CM396)+BG396*Z396</f>
        <v>174000</v>
      </c>
      <c r="CN906" s="2">
        <f>SUM(CN$2:CN396)+BH396*AA396</f>
        <v>180182.5</v>
      </c>
      <c r="CO906" s="2">
        <f>SUM(CO$2:CO396)+BI396*AB396</f>
        <v>5290</v>
      </c>
      <c r="CP906" s="2">
        <f>SUM(CP$2:CP396)+BJ396*AC396</f>
        <v>13155</v>
      </c>
      <c r="CQ906" s="2">
        <f>SUM(CQ$2:CQ396)+BK396*AD396</f>
        <v>21770.000000000007</v>
      </c>
      <c r="CR906" s="2">
        <f>SUM(CR$2:CR396)+BL396*AE396</f>
        <v>-3760</v>
      </c>
      <c r="CV906" t="s">
        <v>64</v>
      </c>
      <c r="CW906" t="s">
        <v>979</v>
      </c>
      <c r="CX906" t="s">
        <v>19</v>
      </c>
      <c r="CY906" s="4">
        <v>42866</v>
      </c>
      <c r="CZ906" t="s">
        <v>65</v>
      </c>
      <c r="DA906" t="s">
        <v>66</v>
      </c>
      <c r="DB906">
        <v>43</v>
      </c>
      <c r="DC906">
        <v>66.22</v>
      </c>
      <c r="DD906" t="s">
        <v>69</v>
      </c>
      <c r="DE906" t="s">
        <v>70</v>
      </c>
      <c r="DF906">
        <v>2847.46</v>
      </c>
    </row>
    <row r="907" spans="66:110" x14ac:dyDescent="0.25">
      <c r="BN907" s="1">
        <f t="shared" si="341"/>
        <v>43311</v>
      </c>
      <c r="BO907" s="2">
        <f>SUM(BO$2:BO397)+AI397*B397</f>
        <v>122599.99999999988</v>
      </c>
      <c r="BP907" s="2">
        <f>SUM(BP$2:BP397)+AJ397*C397</f>
        <v>30742.5</v>
      </c>
      <c r="BQ907" s="2">
        <f>SUM(BQ$2:BQ397)+AK397*D397</f>
        <v>221992.49999999991</v>
      </c>
      <c r="BR907" s="2">
        <f>SUM(BR$2:BR397)+AL397*E397</f>
        <v>53237.099999999948</v>
      </c>
      <c r="BS907" s="2">
        <f>SUM(BS$2:BS397)+AM397*F397</f>
        <v>14831.200000000012</v>
      </c>
      <c r="BT907" s="2">
        <f>SUM(BT$2:BT397)+AN397*G397</f>
        <v>20176.299999999988</v>
      </c>
      <c r="BU907" s="2">
        <f>SUM(BU$2:BU397)+AO397*H397</f>
        <v>11281.800000000017</v>
      </c>
      <c r="BV907" s="2">
        <f>SUM(BV$2:BV397)+AP397*I397</f>
        <v>1818.5999999999767</v>
      </c>
      <c r="BW907" s="2">
        <f>SUM(BW$2:BW397)+AQ397*J397</f>
        <v>1880</v>
      </c>
      <c r="BX907" s="2">
        <f>SUM(BX$2:BX397)+AR397*K397</f>
        <v>13940</v>
      </c>
      <c r="BY907" s="2">
        <f>SUM(BY$2:BY397)+AS397*L397</f>
        <v>-5354.300000000012</v>
      </c>
      <c r="BZ907" s="2">
        <f>SUM(BZ$2:BZ397)+AT397*M397</f>
        <v>740</v>
      </c>
      <c r="CA907" s="2">
        <f>SUM(CA$2:CA397)+AU397*N397</f>
        <v>12660</v>
      </c>
      <c r="CB907" s="2">
        <f>SUM(CB$2:CB397)+AV397*O397</f>
        <v>26740</v>
      </c>
      <c r="CC907" s="2">
        <f>SUM(CC$2:CC397)+AW397*P397</f>
        <v>-20</v>
      </c>
      <c r="CD907" s="2">
        <f>SUM(CD$2:CD397)+AX397*Q397</f>
        <v>14050</v>
      </c>
      <c r="CE907" s="2">
        <f>SUM(CE$2:CE397)+AY397*R397</f>
        <v>27020</v>
      </c>
      <c r="CF907" s="2">
        <f>SUM(CF$2:CF397)+AZ397*S397</f>
        <v>7443.6899999999659</v>
      </c>
      <c r="CG907" s="2">
        <f>SUM(CG$2:CG397)+BA397*T397</f>
        <v>42292.760000000024</v>
      </c>
      <c r="CH907" s="2">
        <f>SUM(CH$2:CH397)+BB397*U397</f>
        <v>24005.320000000036</v>
      </c>
      <c r="CI907" s="2">
        <f>SUM(CI$2:CI397)+BC397*V397</f>
        <v>-8990</v>
      </c>
      <c r="CJ907" s="2">
        <f>SUM(CJ$2:CJ397)+BD397*W397</f>
        <v>20465</v>
      </c>
      <c r="CK907" s="2">
        <f>SUM(CK$2:CK397)+BE397*X397</f>
        <v>72880</v>
      </c>
      <c r="CL907" s="2">
        <f>SUM(CL$2:CL397)+BF397*Y397</f>
        <v>284850</v>
      </c>
      <c r="CM907" s="2">
        <f>SUM(CM$2:CM397)+BG397*Z397</f>
        <v>166950.00000000012</v>
      </c>
      <c r="CN907" s="2">
        <f>SUM(CN$2:CN397)+BH397*AA397</f>
        <v>169657.5</v>
      </c>
      <c r="CO907" s="2">
        <f>SUM(CO$2:CO397)+BI397*AB397</f>
        <v>6700</v>
      </c>
      <c r="CP907" s="2">
        <f>SUM(CP$2:CP397)+BJ397*AC397</f>
        <v>12135</v>
      </c>
      <c r="CQ907" s="2">
        <f>SUM(CQ$2:CQ397)+BK397*AD397</f>
        <v>22510.000000000007</v>
      </c>
      <c r="CR907" s="2">
        <f>SUM(CR$2:CR397)+BL397*AE397</f>
        <v>-3940</v>
      </c>
      <c r="CV907" t="s">
        <v>64</v>
      </c>
      <c r="CW907" t="s">
        <v>980</v>
      </c>
      <c r="CX907" t="s">
        <v>19</v>
      </c>
      <c r="CY907" s="4">
        <v>42867</v>
      </c>
      <c r="CZ907" t="s">
        <v>65</v>
      </c>
      <c r="DA907" t="s">
        <v>66</v>
      </c>
      <c r="DB907">
        <v>25</v>
      </c>
      <c r="DC907">
        <v>66.150000000000006</v>
      </c>
      <c r="DD907" t="s">
        <v>69</v>
      </c>
      <c r="DE907" t="s">
        <v>70</v>
      </c>
      <c r="DF907">
        <v>1653.7500000000002</v>
      </c>
    </row>
    <row r="908" spans="66:110" x14ac:dyDescent="0.25">
      <c r="BN908" s="1">
        <f t="shared" si="341"/>
        <v>43312</v>
      </c>
      <c r="BO908" s="2">
        <f>SUM(BO$2:BO398)+AI398*B398</f>
        <v>124499.99999999988</v>
      </c>
      <c r="BP908" s="2">
        <f>SUM(BP$2:BP398)+AJ398*C398</f>
        <v>29040.100000000006</v>
      </c>
      <c r="BQ908" s="2">
        <f>SUM(BQ$2:BQ398)+AK398*D398</f>
        <v>228597.2999999999</v>
      </c>
      <c r="BR908" s="2">
        <f>SUM(BR$2:BR398)+AL398*E398</f>
        <v>58357.099999999948</v>
      </c>
      <c r="BS908" s="2">
        <f>SUM(BS$2:BS398)+AM398*F398</f>
        <v>14972.000000000015</v>
      </c>
      <c r="BT908" s="2">
        <f>SUM(BT$2:BT398)+AN398*G398</f>
        <v>18243.499999999971</v>
      </c>
      <c r="BU908" s="2">
        <f>SUM(BU$2:BU398)+AO398*H398</f>
        <v>12472.200000000012</v>
      </c>
      <c r="BV908" s="2">
        <f>SUM(BV$2:BV398)+AP398*I398</f>
        <v>2642.1999999999825</v>
      </c>
      <c r="BW908" s="2">
        <f>SUM(BW$2:BW398)+AQ398*J398</f>
        <v>370</v>
      </c>
      <c r="BX908" s="2">
        <f>SUM(BX$2:BX398)+AR398*K398</f>
        <v>13940</v>
      </c>
      <c r="BY908" s="2">
        <f>SUM(BY$2:BY398)+AS398*L398</f>
        <v>-5359.7000000000116</v>
      </c>
      <c r="BZ908" s="2">
        <f>SUM(BZ$2:BZ398)+AT398*M398</f>
        <v>740</v>
      </c>
      <c r="CA908" s="2">
        <f>SUM(CA$2:CA398)+AU398*N398</f>
        <v>12660</v>
      </c>
      <c r="CB908" s="2">
        <f>SUM(CB$2:CB398)+AV398*O398</f>
        <v>26740</v>
      </c>
      <c r="CC908" s="2">
        <f>SUM(CC$2:CC398)+AW398*P398</f>
        <v>-20</v>
      </c>
      <c r="CD908" s="2">
        <f>SUM(CD$2:CD398)+AX398*Q398</f>
        <v>14050</v>
      </c>
      <c r="CE908" s="2">
        <f>SUM(CE$2:CE398)+AY398*R398</f>
        <v>27020</v>
      </c>
      <c r="CF908" s="2">
        <f>SUM(CF$2:CF398)+AZ398*S398</f>
        <v>8528.3399999999674</v>
      </c>
      <c r="CG908" s="2">
        <f>SUM(CG$2:CG398)+BA398*T398</f>
        <v>43026.900000000009</v>
      </c>
      <c r="CH908" s="2">
        <f>SUM(CH$2:CH398)+BB398*U398</f>
        <v>24932.160000000033</v>
      </c>
      <c r="CI908" s="2">
        <f>SUM(CI$2:CI398)+BC398*V398</f>
        <v>-10300</v>
      </c>
      <c r="CJ908" s="2">
        <f>SUM(CJ$2:CJ398)+BD398*W398</f>
        <v>15440</v>
      </c>
      <c r="CK908" s="2">
        <f>SUM(CK$2:CK398)+BE398*X398</f>
        <v>68130</v>
      </c>
      <c r="CL908" s="2">
        <f>SUM(CL$2:CL398)+BF398*Y398</f>
        <v>282990</v>
      </c>
      <c r="CM908" s="2">
        <f>SUM(CM$2:CM398)+BG398*Z398</f>
        <v>179950</v>
      </c>
      <c r="CN908" s="2">
        <f>SUM(CN$2:CN398)+BH398*AA398</f>
        <v>170307.5</v>
      </c>
      <c r="CO908" s="2">
        <f>SUM(CO$2:CO398)+BI398*AB398</f>
        <v>4210</v>
      </c>
      <c r="CP908" s="2">
        <f>SUM(CP$2:CP398)+BJ398*AC398</f>
        <v>15155</v>
      </c>
      <c r="CQ908" s="2">
        <f>SUM(CQ$2:CQ398)+BK398*AD398</f>
        <v>22850.000000000007</v>
      </c>
      <c r="CR908" s="2">
        <f>SUM(CR$2:CR398)+BL398*AE398</f>
        <v>-4160</v>
      </c>
      <c r="CV908" t="s">
        <v>64</v>
      </c>
      <c r="CW908" t="s">
        <v>981</v>
      </c>
      <c r="CX908" t="s">
        <v>19</v>
      </c>
      <c r="CY908" s="4">
        <v>42870</v>
      </c>
      <c r="CZ908" t="s">
        <v>67</v>
      </c>
      <c r="DA908" t="s">
        <v>68</v>
      </c>
      <c r="DB908">
        <v>18</v>
      </c>
      <c r="DC908">
        <v>66.2</v>
      </c>
      <c r="DD908" t="s">
        <v>69</v>
      </c>
      <c r="DE908" t="s">
        <v>70</v>
      </c>
      <c r="DF908">
        <v>1191.6000000000001</v>
      </c>
    </row>
    <row r="909" spans="66:110" x14ac:dyDescent="0.25">
      <c r="BN909" s="1">
        <f t="shared" si="341"/>
        <v>43313</v>
      </c>
      <c r="BO909" s="2">
        <f>SUM(BO$2:BO399)+AI399*B399</f>
        <v>179899.99999999988</v>
      </c>
      <c r="BP909" s="2">
        <f>SUM(BP$2:BP399)+AJ399*C399</f>
        <v>28950.500000000015</v>
      </c>
      <c r="BQ909" s="2">
        <f>SUM(BQ$2:BQ399)+AK399*D399</f>
        <v>224142.89999999994</v>
      </c>
      <c r="BR909" s="2">
        <f>SUM(BR$2:BR399)+AL399*E399</f>
        <v>51701.099999999948</v>
      </c>
      <c r="BS909" s="2">
        <f>SUM(BS$2:BS399)+AM399*F399</f>
        <v>14434.400000000009</v>
      </c>
      <c r="BT909" s="2">
        <f>SUM(BT$2:BT399)+AN399*G399</f>
        <v>17142.699999999983</v>
      </c>
      <c r="BU909" s="2">
        <f>SUM(BU$2:BU399)+AO399*H399</f>
        <v>11717</v>
      </c>
      <c r="BV909" s="2">
        <f>SUM(BV$2:BV399)+AP399*I399</f>
        <v>1714.1999999999825</v>
      </c>
      <c r="BW909" s="2">
        <f>SUM(BW$2:BW399)+AQ399*J399</f>
        <v>-1010</v>
      </c>
      <c r="BX909" s="2">
        <f>SUM(BX$2:BX399)+AR399*K399</f>
        <v>13940</v>
      </c>
      <c r="BY909" s="2">
        <f>SUM(BY$2:BY399)+AS399*L399</f>
        <v>-5373.5000000000118</v>
      </c>
      <c r="BZ909" s="2">
        <f>SUM(BZ$2:BZ399)+AT399*M399</f>
        <v>740</v>
      </c>
      <c r="CA909" s="2">
        <f>SUM(CA$2:CA399)+AU399*N399</f>
        <v>12660</v>
      </c>
      <c r="CB909" s="2">
        <f>SUM(CB$2:CB399)+AV399*O399</f>
        <v>26740</v>
      </c>
      <c r="CC909" s="2">
        <f>SUM(CC$2:CC399)+AW399*P399</f>
        <v>-20</v>
      </c>
      <c r="CD909" s="2">
        <f>SUM(CD$2:CD399)+AX399*Q399</f>
        <v>14050</v>
      </c>
      <c r="CE909" s="2">
        <f>SUM(CE$2:CE399)+AY399*R399</f>
        <v>27020</v>
      </c>
      <c r="CF909" s="2">
        <f>SUM(CF$2:CF399)+AZ399*S399</f>
        <v>8145.6799999999639</v>
      </c>
      <c r="CG909" s="2">
        <f>SUM(CG$2:CG399)+BA399*T399</f>
        <v>43221.10000000002</v>
      </c>
      <c r="CH909" s="2">
        <f>SUM(CH$2:CH399)+BB399*U399</f>
        <v>25567.200000000041</v>
      </c>
      <c r="CI909" s="2">
        <f>SUM(CI$2:CI399)+BC399*V399</f>
        <v>-10630</v>
      </c>
      <c r="CJ909" s="2">
        <f>SUM(CJ$2:CJ399)+BD399*W399</f>
        <v>17090</v>
      </c>
      <c r="CK909" s="2">
        <f>SUM(CK$2:CK399)+BE399*X399</f>
        <v>62280</v>
      </c>
      <c r="CL909" s="2">
        <f>SUM(CL$2:CL399)+BF399*Y399</f>
        <v>283440</v>
      </c>
      <c r="CM909" s="2">
        <f>SUM(CM$2:CM399)+BG399*Z399</f>
        <v>175800</v>
      </c>
      <c r="CN909" s="2">
        <f>SUM(CN$2:CN399)+BH399*AA399</f>
        <v>174082.5</v>
      </c>
      <c r="CO909" s="2">
        <f>SUM(CO$2:CO399)+BI399*AB399</f>
        <v>4480</v>
      </c>
      <c r="CP909" s="2">
        <f>SUM(CP$2:CP399)+BJ399*AC399</f>
        <v>17475.000000000015</v>
      </c>
      <c r="CQ909" s="2">
        <f>SUM(CQ$2:CQ399)+BK399*AD399</f>
        <v>21870.000000000007</v>
      </c>
      <c r="CR909" s="2">
        <f>SUM(CR$2:CR399)+BL399*AE399</f>
        <v>-5240</v>
      </c>
      <c r="CV909" t="s">
        <v>64</v>
      </c>
      <c r="CW909" t="s">
        <v>982</v>
      </c>
      <c r="CX909" t="s">
        <v>19</v>
      </c>
      <c r="CY909" s="4">
        <v>42871</v>
      </c>
      <c r="CZ909" t="s">
        <v>67</v>
      </c>
      <c r="DA909" t="s">
        <v>68</v>
      </c>
      <c r="DB909">
        <v>40</v>
      </c>
      <c r="DC909">
        <v>67.53</v>
      </c>
      <c r="DD909" t="s">
        <v>69</v>
      </c>
      <c r="DE909" t="s">
        <v>70</v>
      </c>
      <c r="DF909">
        <v>2701.2</v>
      </c>
    </row>
    <row r="910" spans="66:110" x14ac:dyDescent="0.25">
      <c r="BN910" s="1">
        <f t="shared" si="341"/>
        <v>43314</v>
      </c>
      <c r="BO910" s="2">
        <f>SUM(BO$2:BO400)+AI400*B400</f>
        <v>209049.99999999988</v>
      </c>
      <c r="BP910" s="2">
        <f>SUM(BP$2:BP400)+AJ400*C400</f>
        <v>29308.899999999994</v>
      </c>
      <c r="BQ910" s="2">
        <f>SUM(BQ$2:BQ400)+AK400*D400</f>
        <v>220315.69999999992</v>
      </c>
      <c r="BR910" s="2">
        <f>SUM(BR$2:BR400)+AL400*E400</f>
        <v>51035.499999999942</v>
      </c>
      <c r="BS910" s="2">
        <f>SUM(BS$2:BS400)+AM400*F400</f>
        <v>15279.200000000019</v>
      </c>
      <c r="BT910" s="2">
        <f>SUM(BT$2:BT400)+AN400*G400</f>
        <v>15120.299999999988</v>
      </c>
      <c r="BU910" s="2">
        <f>SUM(BU$2:BU400)+AO400*H400</f>
        <v>11435.399999999994</v>
      </c>
      <c r="BV910" s="2">
        <f>SUM(BV$2:BV400)+AP400*I400</f>
        <v>-25.800000000017462</v>
      </c>
      <c r="BW910" s="2">
        <f>SUM(BW$2:BW400)+AQ400*J400</f>
        <v>-3040</v>
      </c>
      <c r="BX910" s="2">
        <f>SUM(BX$2:BX400)+AR400*K400</f>
        <v>13940</v>
      </c>
      <c r="BY910" s="2">
        <f>SUM(BY$2:BY400)+AS400*L400</f>
        <v>-5378.7000000000116</v>
      </c>
      <c r="BZ910" s="2">
        <f>SUM(BZ$2:BZ400)+AT400*M400</f>
        <v>740</v>
      </c>
      <c r="CA910" s="2">
        <f>SUM(CA$2:CA400)+AU400*N400</f>
        <v>12660</v>
      </c>
      <c r="CB910" s="2">
        <f>SUM(CB$2:CB400)+AV400*O400</f>
        <v>26740</v>
      </c>
      <c r="CC910" s="2">
        <f>SUM(CC$2:CC400)+AW400*P400</f>
        <v>-20</v>
      </c>
      <c r="CD910" s="2">
        <f>SUM(CD$2:CD400)+AX400*Q400</f>
        <v>14050</v>
      </c>
      <c r="CE910" s="2">
        <f>SUM(CE$2:CE400)+AY400*R400</f>
        <v>27020</v>
      </c>
      <c r="CF910" s="2">
        <f>SUM(CF$2:CF400)+AZ400*S400</f>
        <v>7898.6799999999639</v>
      </c>
      <c r="CG910" s="2">
        <f>SUM(CG$2:CG400)+BA400*T400</f>
        <v>44430.700000000026</v>
      </c>
      <c r="CH910" s="2">
        <f>SUM(CH$2:CH400)+BB400*U400</f>
        <v>26651.800000000032</v>
      </c>
      <c r="CI910" s="2">
        <f>SUM(CI$2:CI400)+BC400*V400</f>
        <v>-10360</v>
      </c>
      <c r="CJ910" s="2">
        <f>SUM(CJ$2:CJ400)+BD400*W400</f>
        <v>7190</v>
      </c>
      <c r="CK910" s="2">
        <f>SUM(CK$2:CK400)+BE400*X400</f>
        <v>59180</v>
      </c>
      <c r="CL910" s="2">
        <f>SUM(CL$2:CL400)+BF400*Y400</f>
        <v>291540</v>
      </c>
      <c r="CM910" s="2">
        <f>SUM(CM$2:CM400)+BG400*Z400</f>
        <v>171950.00000000012</v>
      </c>
      <c r="CN910" s="2">
        <f>SUM(CN$2:CN400)+BH400*AA400</f>
        <v>175732.5</v>
      </c>
      <c r="CO910" s="2">
        <f>SUM(CO$2:CO400)+BI400*AB400</f>
        <v>5200</v>
      </c>
      <c r="CP910" s="2">
        <f>SUM(CP$2:CP400)+BJ400*AC400</f>
        <v>16415</v>
      </c>
      <c r="CQ910" s="2">
        <f>SUM(CQ$2:CQ400)+BK400*AD400</f>
        <v>22390.000000000007</v>
      </c>
      <c r="CR910" s="2">
        <f>SUM(CR$2:CR400)+BL400*AE400</f>
        <v>-5710</v>
      </c>
      <c r="CV910" t="s">
        <v>64</v>
      </c>
      <c r="CW910" t="s">
        <v>983</v>
      </c>
      <c r="CX910" t="s">
        <v>19</v>
      </c>
      <c r="CY910" s="4">
        <v>42872</v>
      </c>
      <c r="CZ910" t="s">
        <v>65</v>
      </c>
      <c r="DA910" t="s">
        <v>66</v>
      </c>
      <c r="DB910">
        <v>35</v>
      </c>
      <c r="DC910">
        <v>65.650000000000006</v>
      </c>
      <c r="DD910" t="s">
        <v>69</v>
      </c>
      <c r="DE910" t="s">
        <v>70</v>
      </c>
      <c r="DF910">
        <v>2297.75</v>
      </c>
    </row>
    <row r="911" spans="66:110" x14ac:dyDescent="0.25">
      <c r="BN911" s="1">
        <f t="shared" si="341"/>
        <v>43315</v>
      </c>
      <c r="BO911" s="2">
        <f>SUM(BO$2:BO401)+AI401*B401</f>
        <v>211999.99999999988</v>
      </c>
      <c r="BP911" s="2">
        <f>SUM(BP$2:BP401)+AJ401*C401</f>
        <v>30665.699999999997</v>
      </c>
      <c r="BQ911" s="2">
        <f>SUM(BQ$2:BQ401)+AK401*D401</f>
        <v>218690.09999999995</v>
      </c>
      <c r="BR911" s="2">
        <f>SUM(BR$2:BR401)+AL401*E401</f>
        <v>51662.699999999953</v>
      </c>
      <c r="BS911" s="2">
        <f>SUM(BS$2:BS401)+AM401*F401</f>
        <v>15663.200000000012</v>
      </c>
      <c r="BT911" s="2">
        <f>SUM(BT$2:BT401)+AN401*G401</f>
        <v>15478.699999999983</v>
      </c>
      <c r="BU911" s="2">
        <f>SUM(BU$2:BU401)+AO401*H401</f>
        <v>13137.799999999988</v>
      </c>
      <c r="BV911" s="2">
        <f>SUM(BV$2:BV401)+AP401*I401</f>
        <v>403.39999999997963</v>
      </c>
      <c r="BW911" s="2">
        <f>SUM(BW$2:BW401)+AQ401*J401</f>
        <v>-2940</v>
      </c>
      <c r="BX911" s="2">
        <f>SUM(BX$2:BX401)+AR401*K401</f>
        <v>13940</v>
      </c>
      <c r="BY911" s="2">
        <f>SUM(BY$2:BY401)+AS401*L401</f>
        <v>-5333.0000000000118</v>
      </c>
      <c r="BZ911" s="2">
        <f>SUM(BZ$2:BZ401)+AT401*M401</f>
        <v>740</v>
      </c>
      <c r="CA911" s="2">
        <f>SUM(CA$2:CA401)+AU401*N401</f>
        <v>12660</v>
      </c>
      <c r="CB911" s="2">
        <f>SUM(CB$2:CB401)+AV401*O401</f>
        <v>26740</v>
      </c>
      <c r="CC911" s="2">
        <f>SUM(CC$2:CC401)+AW401*P401</f>
        <v>-20</v>
      </c>
      <c r="CD911" s="2">
        <f>SUM(CD$2:CD401)+AX401*Q401</f>
        <v>14050</v>
      </c>
      <c r="CE911" s="2">
        <f>SUM(CE$2:CE401)+AY401*R401</f>
        <v>27020</v>
      </c>
      <c r="CF911" s="2">
        <f>SUM(CF$2:CF401)+AZ401*S401</f>
        <v>8566.4799999999668</v>
      </c>
      <c r="CG911" s="2">
        <f>SUM(CG$2:CG401)+BA401*T401</f>
        <v>44907.720000000008</v>
      </c>
      <c r="CH911" s="2">
        <f>SUM(CH$2:CH401)+BB401*U401</f>
        <v>26746.120000000039</v>
      </c>
      <c r="CI911" s="2">
        <f>SUM(CI$2:CI401)+BC401*V401</f>
        <v>-11230</v>
      </c>
      <c r="CJ911" s="2">
        <f>SUM(CJ$2:CJ401)+BD401*W401</f>
        <v>4715</v>
      </c>
      <c r="CK911" s="2">
        <f>SUM(CK$2:CK401)+BE401*X401</f>
        <v>65980</v>
      </c>
      <c r="CL911" s="2">
        <f>SUM(CL$2:CL401)+BF401*Y401</f>
        <v>294930</v>
      </c>
      <c r="CM911" s="2">
        <f>SUM(CM$2:CM401)+BG401*Z401</f>
        <v>170849.99999999988</v>
      </c>
      <c r="CN911" s="2">
        <f>SUM(CN$2:CN401)+BH401*AA401</f>
        <v>177982.5</v>
      </c>
      <c r="CO911" s="2">
        <f>SUM(CO$2:CO401)+BI401*AB401</f>
        <v>6040</v>
      </c>
      <c r="CP911" s="2">
        <f>SUM(CP$2:CP401)+BJ401*AC401</f>
        <v>15955</v>
      </c>
      <c r="CQ911" s="2">
        <f>SUM(CQ$2:CQ401)+BK401*AD401</f>
        <v>23220.000000000007</v>
      </c>
      <c r="CR911" s="2">
        <f>SUM(CR$2:CR401)+BL401*AE401</f>
        <v>-5430</v>
      </c>
      <c r="CV911" t="s">
        <v>64</v>
      </c>
      <c r="CW911" t="s">
        <v>984</v>
      </c>
      <c r="CX911" t="s">
        <v>19</v>
      </c>
      <c r="CY911" s="4">
        <v>42873</v>
      </c>
      <c r="CZ911" t="s">
        <v>67</v>
      </c>
      <c r="DA911" t="s">
        <v>68</v>
      </c>
      <c r="DB911">
        <v>28</v>
      </c>
      <c r="DC911">
        <v>65.87</v>
      </c>
      <c r="DD911" t="s">
        <v>69</v>
      </c>
      <c r="DE911" t="s">
        <v>70</v>
      </c>
      <c r="DF911">
        <v>1844.3600000000001</v>
      </c>
    </row>
    <row r="912" spans="66:110" x14ac:dyDescent="0.25">
      <c r="BN912" s="1">
        <f t="shared" si="341"/>
        <v>43318</v>
      </c>
      <c r="BO912" s="2">
        <f>SUM(BO$2:BO402)+AI402*B402</f>
        <v>209324.99999999988</v>
      </c>
      <c r="BP912" s="2">
        <f>SUM(BP$2:BP402)+AJ402*C402</f>
        <v>30832.100000000006</v>
      </c>
      <c r="BQ912" s="2">
        <f>SUM(BQ$2:BQ402)+AK402*D402</f>
        <v>216322.09999999989</v>
      </c>
      <c r="BR912" s="2">
        <f>SUM(BR$2:BR402)+AL402*E402</f>
        <v>52891.499999999971</v>
      </c>
      <c r="BS912" s="2">
        <f>SUM(BS$2:BS402)+AM402*F402</f>
        <v>16252.000000000015</v>
      </c>
      <c r="BT912" s="2">
        <f>SUM(BT$2:BT402)+AN402*G402</f>
        <v>15785.899999999965</v>
      </c>
      <c r="BU912" s="2">
        <f>SUM(BU$2:BU402)+AO402*H402</f>
        <v>15493</v>
      </c>
      <c r="BV912" s="2">
        <f>SUM(BV$2:BV402)+AP402*I402</f>
        <v>1482.1999999999825</v>
      </c>
      <c r="BW912" s="2">
        <f>SUM(BW$2:BW402)+AQ402*J402</f>
        <v>-1120</v>
      </c>
      <c r="BX912" s="2">
        <f>SUM(BX$2:BX402)+AR402*K402</f>
        <v>13940</v>
      </c>
      <c r="BY912" s="2">
        <f>SUM(BY$2:BY402)+AS402*L402</f>
        <v>-5349.1000000000113</v>
      </c>
      <c r="BZ912" s="2">
        <f>SUM(BZ$2:BZ402)+AT402*M402</f>
        <v>740</v>
      </c>
      <c r="CA912" s="2">
        <f>SUM(CA$2:CA402)+AU402*N402</f>
        <v>12660</v>
      </c>
      <c r="CB912" s="2">
        <f>SUM(CB$2:CB402)+AV402*O402</f>
        <v>26740</v>
      </c>
      <c r="CC912" s="2">
        <f>SUM(CC$2:CC402)+AW402*P402</f>
        <v>-20</v>
      </c>
      <c r="CD912" s="2">
        <f>SUM(CD$2:CD402)+AX402*Q402</f>
        <v>14050</v>
      </c>
      <c r="CE912" s="2">
        <f>SUM(CE$2:CE402)+AY402*R402</f>
        <v>27020</v>
      </c>
      <c r="CF912" s="2">
        <f>SUM(CF$2:CF402)+AZ402*S402</f>
        <v>8834.4399999999659</v>
      </c>
      <c r="CG912" s="2">
        <f>SUM(CG$2:CG402)+BA402*T402</f>
        <v>44999.070000000007</v>
      </c>
      <c r="CH912" s="2">
        <f>SUM(CH$2:CH402)+BB402*U402</f>
        <v>27469.920000000035</v>
      </c>
      <c r="CI912" s="2">
        <f>SUM(CI$2:CI402)+BC402*V402</f>
        <v>-11720</v>
      </c>
      <c r="CJ912" s="2">
        <f>SUM(CJ$2:CJ402)+BD402*W402</f>
        <v>3290</v>
      </c>
      <c r="CK912" s="2">
        <f>SUM(CK$2:CK402)+BE402*X402</f>
        <v>67430</v>
      </c>
      <c r="CL912" s="2">
        <f>SUM(CL$2:CL402)+BF402*Y402</f>
        <v>293550</v>
      </c>
      <c r="CM912" s="2">
        <f>SUM(CM$2:CM402)+BG402*Z402</f>
        <v>171100</v>
      </c>
      <c r="CN912" s="2">
        <f>SUM(CN$2:CN402)+BH402*AA402</f>
        <v>177707.5</v>
      </c>
      <c r="CO912" s="2">
        <f>SUM(CO$2:CO402)+BI402*AB402</f>
        <v>6670</v>
      </c>
      <c r="CP912" s="2">
        <f>SUM(CP$2:CP402)+BJ402*AC402</f>
        <v>15555</v>
      </c>
      <c r="CQ912" s="2">
        <f>SUM(CQ$2:CQ402)+BK402*AD402</f>
        <v>23290.000000000007</v>
      </c>
      <c r="CR912" s="2">
        <f>SUM(CR$2:CR402)+BL402*AE402</f>
        <v>-5450</v>
      </c>
      <c r="CV912" t="s">
        <v>64</v>
      </c>
      <c r="CW912" t="s">
        <v>985</v>
      </c>
      <c r="CX912" t="s">
        <v>19</v>
      </c>
      <c r="CY912" s="4">
        <v>42874</v>
      </c>
      <c r="CZ912" t="s">
        <v>65</v>
      </c>
      <c r="DA912" t="s">
        <v>66</v>
      </c>
      <c r="DB912">
        <v>29</v>
      </c>
      <c r="DC912">
        <v>65.849999999999994</v>
      </c>
      <c r="DD912" t="s">
        <v>69</v>
      </c>
      <c r="DE912" t="s">
        <v>70</v>
      </c>
      <c r="DF912">
        <v>1909.6499999999999</v>
      </c>
    </row>
    <row r="913" spans="66:110" x14ac:dyDescent="0.25">
      <c r="BN913" s="1">
        <f t="shared" si="341"/>
        <v>43319</v>
      </c>
      <c r="BO913" s="2">
        <f>SUM(BO$2:BO403)+AI403*B403</f>
        <v>214174.99999999988</v>
      </c>
      <c r="BP913" s="2">
        <f>SUM(BP$2:BP403)+AJ403*C403</f>
        <v>32163.300000000003</v>
      </c>
      <c r="BQ913" s="2">
        <f>SUM(BQ$2:BQ403)+AK403*D403</f>
        <v>221608.49999999991</v>
      </c>
      <c r="BR913" s="2">
        <f>SUM(BR$2:BR403)+AL403*E403</f>
        <v>56552.29999999993</v>
      </c>
      <c r="BS913" s="2">
        <f>SUM(BS$2:BS403)+AM403*F403</f>
        <v>16597.600000000013</v>
      </c>
      <c r="BT913" s="2">
        <f>SUM(BT$2:BT403)+AN403*G403</f>
        <v>16886.699999999953</v>
      </c>
      <c r="BU913" s="2">
        <f>SUM(BU$2:BU403)+AO403*H403</f>
        <v>16273.799999999988</v>
      </c>
      <c r="BV913" s="2">
        <f>SUM(BV$2:BV403)+AP403*I403</f>
        <v>1922.9999999999854</v>
      </c>
      <c r="BW913" s="2">
        <f>SUM(BW$2:BW403)+AQ403*J403</f>
        <v>770</v>
      </c>
      <c r="BX913" s="2">
        <f>SUM(BX$2:BX403)+AR403*K403</f>
        <v>13940</v>
      </c>
      <c r="BY913" s="2">
        <f>SUM(BY$2:BY403)+AS403*L403</f>
        <v>-5339.6000000000113</v>
      </c>
      <c r="BZ913" s="2">
        <f>SUM(BZ$2:BZ403)+AT403*M403</f>
        <v>740</v>
      </c>
      <c r="CA913" s="2">
        <f>SUM(CA$2:CA403)+AU403*N403</f>
        <v>12660</v>
      </c>
      <c r="CB913" s="2">
        <f>SUM(CB$2:CB403)+AV403*O403</f>
        <v>26740</v>
      </c>
      <c r="CC913" s="2">
        <f>SUM(CC$2:CC403)+AW403*P403</f>
        <v>-20</v>
      </c>
      <c r="CD913" s="2">
        <f>SUM(CD$2:CD403)+AX403*Q403</f>
        <v>14050</v>
      </c>
      <c r="CE913" s="2">
        <f>SUM(CE$2:CE403)+AY403*R403</f>
        <v>27020</v>
      </c>
      <c r="CF913" s="2">
        <f>SUM(CF$2:CF403)+AZ403*S403</f>
        <v>9181.8399999999747</v>
      </c>
      <c r="CG913" s="2">
        <f>SUM(CG$2:CG403)+BA403*T403</f>
        <v>45803.070000000007</v>
      </c>
      <c r="CH913" s="2">
        <f>SUM(CH$2:CH403)+BB403*U403</f>
        <v>28508.200000000041</v>
      </c>
      <c r="CI913" s="2">
        <f>SUM(CI$2:CI403)+BC403*V403</f>
        <v>-11530</v>
      </c>
      <c r="CJ913" s="2">
        <f>SUM(CJ$2:CJ403)+BD403*W403</f>
        <v>2465</v>
      </c>
      <c r="CK913" s="2">
        <f>SUM(CK$2:CK403)+BE403*X403</f>
        <v>67129.999999999884</v>
      </c>
      <c r="CL913" s="2">
        <f>SUM(CL$2:CL403)+BF403*Y403</f>
        <v>296220</v>
      </c>
      <c r="CM913" s="2">
        <f>SUM(CM$2:CM403)+BG403*Z403</f>
        <v>173800</v>
      </c>
      <c r="CN913" s="2">
        <f>SUM(CN$2:CN403)+BH403*AA403</f>
        <v>179107.5</v>
      </c>
      <c r="CO913" s="2">
        <f>SUM(CO$2:CO403)+BI403*AB403</f>
        <v>6610</v>
      </c>
      <c r="CP913" s="2">
        <f>SUM(CP$2:CP403)+BJ403*AC403</f>
        <v>16275</v>
      </c>
      <c r="CQ913" s="2">
        <f>SUM(CQ$2:CQ403)+BK403*AD403</f>
        <v>23390.000000000007</v>
      </c>
      <c r="CR913" s="2">
        <f>SUM(CR$2:CR403)+BL403*AE403</f>
        <v>-4390</v>
      </c>
      <c r="CV913" t="s">
        <v>64</v>
      </c>
      <c r="CW913" t="s">
        <v>986</v>
      </c>
      <c r="CX913" t="s">
        <v>19</v>
      </c>
      <c r="CY913" s="4">
        <v>42877</v>
      </c>
      <c r="CZ913" t="s">
        <v>67</v>
      </c>
      <c r="DA913" t="s">
        <v>68</v>
      </c>
      <c r="DB913">
        <v>126</v>
      </c>
      <c r="DC913">
        <v>66.59</v>
      </c>
      <c r="DD913" t="s">
        <v>69</v>
      </c>
      <c r="DE913" t="s">
        <v>70</v>
      </c>
      <c r="DF913">
        <v>8390.34</v>
      </c>
    </row>
    <row r="914" spans="66:110" x14ac:dyDescent="0.25">
      <c r="BN914" s="1">
        <f t="shared" si="341"/>
        <v>43320</v>
      </c>
      <c r="BO914" s="2">
        <f>SUM(BO$2:BO404)+AI404*B404</f>
        <v>213824.99999999988</v>
      </c>
      <c r="BP914" s="2">
        <f>SUM(BP$2:BP404)+AJ404*C404</f>
        <v>33200.100000000006</v>
      </c>
      <c r="BQ914" s="2">
        <f>SUM(BQ$2:BQ404)+AK404*D404</f>
        <v>217858.09999999989</v>
      </c>
      <c r="BR914" s="2">
        <f>SUM(BR$2:BR404)+AL404*E404</f>
        <v>53185.899999999965</v>
      </c>
      <c r="BS914" s="2">
        <f>SUM(BS$2:BS404)+AM404*F404</f>
        <v>16930.400000000016</v>
      </c>
      <c r="BT914" s="2">
        <f>SUM(BT$2:BT404)+AN404*G404</f>
        <v>15273.899999999965</v>
      </c>
      <c r="BU914" s="2">
        <f>SUM(BU$2:BU404)+AO404*H404</f>
        <v>12997</v>
      </c>
      <c r="BV914" s="2">
        <f>SUM(BV$2:BV404)+AP404*I404</f>
        <v>1366.1999999999825</v>
      </c>
      <c r="BW914" s="2">
        <f>SUM(BW$2:BW404)+AQ404*J404</f>
        <v>-680</v>
      </c>
      <c r="BX914" s="2">
        <f>SUM(BX$2:BX404)+AR404*K404</f>
        <v>13940</v>
      </c>
      <c r="BY914" s="2">
        <f>SUM(BY$2:BY404)+AS404*L404</f>
        <v>-5340.800000000012</v>
      </c>
      <c r="BZ914" s="2">
        <f>SUM(BZ$2:BZ404)+AT404*M404</f>
        <v>740</v>
      </c>
      <c r="CA914" s="2">
        <f>SUM(CA$2:CA404)+AU404*N404</f>
        <v>12660</v>
      </c>
      <c r="CB914" s="2">
        <f>SUM(CB$2:CB404)+AV404*O404</f>
        <v>26740</v>
      </c>
      <c r="CC914" s="2">
        <f>SUM(CC$2:CC404)+AW404*P404</f>
        <v>-20</v>
      </c>
      <c r="CD914" s="2">
        <f>SUM(CD$2:CD404)+AX404*Q404</f>
        <v>14050</v>
      </c>
      <c r="CE914" s="2">
        <f>SUM(CE$2:CE404)+AY404*R404</f>
        <v>27020</v>
      </c>
      <c r="CF914" s="2">
        <f>SUM(CF$2:CF404)+AZ404*S404</f>
        <v>9296.7899999999645</v>
      </c>
      <c r="CG914" s="2">
        <f>SUM(CG$2:CG404)+BA404*T404</f>
        <v>46393.469999999994</v>
      </c>
      <c r="CH914" s="2">
        <f>SUM(CH$2:CH404)+BB404*U404</f>
        <v>28480.780000000035</v>
      </c>
      <c r="CI914" s="2">
        <f>SUM(CI$2:CI404)+BC404*V404</f>
        <v>-12090</v>
      </c>
      <c r="CJ914" s="2">
        <f>SUM(CJ$2:CJ404)+BD404*W404</f>
        <v>4565</v>
      </c>
      <c r="CK914" s="2">
        <f>SUM(CK$2:CK404)+BE404*X404</f>
        <v>63530</v>
      </c>
      <c r="CL914" s="2">
        <f>SUM(CL$2:CL404)+BF404*Y404</f>
        <v>299670</v>
      </c>
      <c r="CM914" s="2">
        <f>SUM(CM$2:CM404)+BG404*Z404</f>
        <v>174850</v>
      </c>
      <c r="CN914" s="2">
        <f>SUM(CN$2:CN404)+BH404*AA404</f>
        <v>180107.5</v>
      </c>
      <c r="CO914" s="2">
        <f>SUM(CO$2:CO404)+BI404*AB404</f>
        <v>7330</v>
      </c>
      <c r="CP914" s="2">
        <f>SUM(CP$2:CP404)+BJ404*AC404</f>
        <v>17375.000000000015</v>
      </c>
      <c r="CQ914" s="2">
        <f>SUM(CQ$2:CQ404)+BK404*AD404</f>
        <v>23660.000000000007</v>
      </c>
      <c r="CR914" s="2">
        <f>SUM(CR$2:CR404)+BL404*AE404</f>
        <v>-4910</v>
      </c>
      <c r="CV914" t="s">
        <v>64</v>
      </c>
      <c r="CW914" t="s">
        <v>987</v>
      </c>
      <c r="CX914" t="s">
        <v>19</v>
      </c>
      <c r="CY914" s="4">
        <v>42878</v>
      </c>
      <c r="CZ914" t="s">
        <v>65</v>
      </c>
      <c r="DA914" t="s">
        <v>66</v>
      </c>
      <c r="DB914">
        <v>129</v>
      </c>
      <c r="DC914">
        <v>66.819999999999993</v>
      </c>
      <c r="DD914" t="s">
        <v>69</v>
      </c>
      <c r="DE914" t="s">
        <v>70</v>
      </c>
      <c r="DF914">
        <v>8619.7799999999988</v>
      </c>
    </row>
    <row r="915" spans="66:110" x14ac:dyDescent="0.25">
      <c r="BN915" s="1">
        <f t="shared" si="341"/>
        <v>43321</v>
      </c>
      <c r="BO915" s="2">
        <f>SUM(BO$2:BO405)+AI405*B405</f>
        <v>209799.99999999988</v>
      </c>
      <c r="BP915" s="2">
        <f>SUM(BP$2:BP405)+AJ405*C405</f>
        <v>33468.89999999998</v>
      </c>
      <c r="BQ915" s="2">
        <f>SUM(BQ$2:BQ405)+AK405*D405</f>
        <v>214875.69999999992</v>
      </c>
      <c r="BR915" s="2">
        <f>SUM(BR$2:BR405)+AL405*E405</f>
        <v>51675.499999999942</v>
      </c>
      <c r="BS915" s="2">
        <f>SUM(BS$2:BS405)+AM405*F405</f>
        <v>16853.600000000013</v>
      </c>
      <c r="BT915" s="2">
        <f>SUM(BT$2:BT405)+AN405*G405</f>
        <v>13597.099999999977</v>
      </c>
      <c r="BU915" s="2">
        <f>SUM(BU$2:BU405)+AO405*H405</f>
        <v>13227.399999999994</v>
      </c>
      <c r="BV915" s="2">
        <f>SUM(BV$2:BV405)+AP405*I405</f>
        <v>2932.1999999999825</v>
      </c>
      <c r="BW915" s="2">
        <f>SUM(BW$2:BW405)+AQ405*J405</f>
        <v>-3250</v>
      </c>
      <c r="BX915" s="2">
        <f>SUM(BX$2:BX405)+AR405*K405</f>
        <v>13940</v>
      </c>
      <c r="BY915" s="2">
        <f>SUM(BY$2:BY405)+AS405*L405</f>
        <v>-5346.2000000000116</v>
      </c>
      <c r="BZ915" s="2">
        <f>SUM(BZ$2:BZ405)+AT405*M405</f>
        <v>740</v>
      </c>
      <c r="CA915" s="2">
        <f>SUM(CA$2:CA405)+AU405*N405</f>
        <v>12660</v>
      </c>
      <c r="CB915" s="2">
        <f>SUM(CB$2:CB405)+AV405*O405</f>
        <v>26740</v>
      </c>
      <c r="CC915" s="2">
        <f>SUM(CC$2:CC405)+AW405*P405</f>
        <v>-20</v>
      </c>
      <c r="CD915" s="2">
        <f>SUM(CD$2:CD405)+AX405*Q405</f>
        <v>14050</v>
      </c>
      <c r="CE915" s="2">
        <f>SUM(CE$2:CE405)+AY405*R405</f>
        <v>27020</v>
      </c>
      <c r="CF915" s="2">
        <f>SUM(CF$2:CF405)+AZ405*S405</f>
        <v>8591.629999999961</v>
      </c>
      <c r="CG915" s="2">
        <f>SUM(CG$2:CG405)+BA405*T405</f>
        <v>46572.210000000006</v>
      </c>
      <c r="CH915" s="2">
        <f>SUM(CH$2:CH405)+BB405*U405</f>
        <v>29291.700000000026</v>
      </c>
      <c r="CI915" s="2">
        <f>SUM(CI$2:CI405)+BC405*V405</f>
        <v>-11680</v>
      </c>
      <c r="CJ915" s="2">
        <f>SUM(CJ$2:CJ405)+BD405*W405</f>
        <v>11615</v>
      </c>
      <c r="CK915" s="2">
        <f>SUM(CK$2:CK405)+BE405*X405</f>
        <v>65280</v>
      </c>
      <c r="CL915" s="2">
        <f>SUM(CL$2:CL405)+BF405*Y405</f>
        <v>307950</v>
      </c>
      <c r="CM915" s="2">
        <f>SUM(CM$2:CM405)+BG405*Z405</f>
        <v>172550</v>
      </c>
      <c r="CN915" s="2">
        <f>SUM(CN$2:CN405)+BH405*AA405</f>
        <v>178457.5</v>
      </c>
      <c r="CO915" s="2">
        <f>SUM(CO$2:CO405)+BI405*AB405</f>
        <v>8230</v>
      </c>
      <c r="CP915" s="2">
        <f>SUM(CP$2:CP405)+BJ405*AC405</f>
        <v>18015</v>
      </c>
      <c r="CQ915" s="2">
        <f>SUM(CQ$2:CQ405)+BK405*AD405</f>
        <v>23150.000000000007</v>
      </c>
      <c r="CR915" s="2">
        <f>SUM(CR$2:CR405)+BL405*AE405</f>
        <v>-5310</v>
      </c>
      <c r="CV915" t="s">
        <v>64</v>
      </c>
      <c r="CW915" t="s">
        <v>988</v>
      </c>
      <c r="CX915" t="s">
        <v>19</v>
      </c>
      <c r="CY915" s="4">
        <v>42879</v>
      </c>
      <c r="CZ915" t="s">
        <v>65</v>
      </c>
      <c r="DA915" t="s">
        <v>66</v>
      </c>
      <c r="DB915">
        <v>32</v>
      </c>
      <c r="DC915">
        <v>66.91</v>
      </c>
      <c r="DD915" t="s">
        <v>69</v>
      </c>
      <c r="DE915" t="s">
        <v>70</v>
      </c>
      <c r="DF915">
        <v>2141.12</v>
      </c>
    </row>
    <row r="916" spans="66:110" x14ac:dyDescent="0.25">
      <c r="BN916" s="1">
        <f t="shared" si="341"/>
        <v>43322</v>
      </c>
      <c r="BO916" s="2">
        <f>SUM(BO$2:BO406)+AI406*B406</f>
        <v>211324.99999999988</v>
      </c>
      <c r="BP916" s="2">
        <f>SUM(BP$2:BP406)+AJ406*C406</f>
        <v>31676.900000000009</v>
      </c>
      <c r="BQ916" s="2">
        <f>SUM(BQ$2:BQ406)+AK406*D406</f>
        <v>209410.09999999995</v>
      </c>
      <c r="BR916" s="2">
        <f>SUM(BR$2:BR406)+AL406*E406</f>
        <v>48398.699999999953</v>
      </c>
      <c r="BS916" s="2">
        <f>SUM(BS$2:BS406)+AM406*F406</f>
        <v>16853.600000000013</v>
      </c>
      <c r="BT916" s="2">
        <f>SUM(BT$2:BT406)+AN406*G406</f>
        <v>14595.499999999971</v>
      </c>
      <c r="BU916" s="2">
        <f>SUM(BU$2:BU406)+AO406*H406</f>
        <v>11345.799999999988</v>
      </c>
      <c r="BV916" s="2">
        <f>SUM(BV$2:BV406)+AP406*I406</f>
        <v>1458.9999999999854</v>
      </c>
      <c r="BW916" s="2">
        <f>SUM(BW$2:BW406)+AQ406*J406</f>
        <v>-7390</v>
      </c>
      <c r="BX916" s="2">
        <f>SUM(BX$2:BX406)+AR406*K406</f>
        <v>13940</v>
      </c>
      <c r="BY916" s="2">
        <f>SUM(BY$2:BY406)+AS406*L406</f>
        <v>-5349.0000000000118</v>
      </c>
      <c r="BZ916" s="2">
        <f>SUM(BZ$2:BZ406)+AT406*M406</f>
        <v>740</v>
      </c>
      <c r="CA916" s="2">
        <f>SUM(CA$2:CA406)+AU406*N406</f>
        <v>12660</v>
      </c>
      <c r="CB916" s="2">
        <f>SUM(CB$2:CB406)+AV406*O406</f>
        <v>26740</v>
      </c>
      <c r="CC916" s="2">
        <f>SUM(CC$2:CC406)+AW406*P406</f>
        <v>-20</v>
      </c>
      <c r="CD916" s="2">
        <f>SUM(CD$2:CD406)+AX406*Q406</f>
        <v>14050</v>
      </c>
      <c r="CE916" s="2">
        <f>SUM(CE$2:CE406)+AY406*R406</f>
        <v>27020</v>
      </c>
      <c r="CF916" s="2">
        <f>SUM(CF$2:CF406)+AZ406*S406</f>
        <v>8663.3099999999686</v>
      </c>
      <c r="CG916" s="2">
        <f>SUM(CG$2:CG406)+BA406*T406</f>
        <v>45862.710000000006</v>
      </c>
      <c r="CH916" s="2">
        <f>SUM(CH$2:CH406)+BB406*U406</f>
        <v>28790.850000000035</v>
      </c>
      <c r="CI916" s="2">
        <f>SUM(CI$2:CI406)+BC406*V406</f>
        <v>-11610</v>
      </c>
      <c r="CJ916" s="2">
        <f>SUM(CJ$2:CJ406)+BD406*W406</f>
        <v>11390</v>
      </c>
      <c r="CK916" s="2">
        <f>SUM(CK$2:CK406)+BE406*X406</f>
        <v>61830</v>
      </c>
      <c r="CL916" s="2">
        <f>SUM(CL$2:CL406)+BF406*Y406</f>
        <v>304290.00000000012</v>
      </c>
      <c r="CM916" s="2">
        <f>SUM(CM$2:CM406)+BG406*Z406</f>
        <v>166950.00000000012</v>
      </c>
      <c r="CN916" s="2">
        <f>SUM(CN$2:CN406)+BH406*AA406</f>
        <v>177757.5</v>
      </c>
      <c r="CO916" s="2">
        <f>SUM(CO$2:CO406)+BI406*AB406</f>
        <v>6640</v>
      </c>
      <c r="CP916" s="2">
        <f>SUM(CP$2:CP406)+BJ406*AC406</f>
        <v>17375.000000000015</v>
      </c>
      <c r="CQ916" s="2">
        <f>SUM(CQ$2:CQ406)+BK406*AD406</f>
        <v>24310.000000000007</v>
      </c>
      <c r="CR916" s="2">
        <f>SUM(CR$2:CR406)+BL406*AE406</f>
        <v>-5390</v>
      </c>
      <c r="CV916" t="s">
        <v>64</v>
      </c>
      <c r="CW916" t="s">
        <v>989</v>
      </c>
      <c r="CX916" t="s">
        <v>19</v>
      </c>
      <c r="CY916" s="4">
        <v>42880</v>
      </c>
      <c r="CZ916" t="s">
        <v>67</v>
      </c>
      <c r="DA916" t="s">
        <v>68</v>
      </c>
      <c r="DB916">
        <v>113</v>
      </c>
      <c r="DC916">
        <v>67.73</v>
      </c>
      <c r="DD916" t="s">
        <v>69</v>
      </c>
      <c r="DE916" t="s">
        <v>70</v>
      </c>
      <c r="DF916">
        <v>7653.4900000000007</v>
      </c>
    </row>
    <row r="917" spans="66:110" x14ac:dyDescent="0.25">
      <c r="BN917" s="1">
        <f t="shared" si="341"/>
        <v>43325</v>
      </c>
      <c r="BO917" s="2">
        <f>SUM(BO$2:BO407)+AI407*B407</f>
        <v>209674.99999999988</v>
      </c>
      <c r="BP917" s="2">
        <f>SUM(BP$2:BP407)+AJ407*C407</f>
        <v>31971.300000000003</v>
      </c>
      <c r="BQ917" s="2">
        <f>SUM(BQ$2:BQ407)+AK407*D407</f>
        <v>208078.89999999988</v>
      </c>
      <c r="BR917" s="2">
        <f>SUM(BR$2:BR407)+AL407*E407</f>
        <v>47259.499999999942</v>
      </c>
      <c r="BS917" s="2">
        <f>SUM(BS$2:BS407)+AM407*F407</f>
        <v>16815.200000000012</v>
      </c>
      <c r="BT917" s="2">
        <f>SUM(BT$2:BT407)+AN407*G407</f>
        <v>13481.899999999965</v>
      </c>
      <c r="BU917" s="2">
        <f>SUM(BU$2:BU407)+AO407*H407</f>
        <v>10641.800000000017</v>
      </c>
      <c r="BV917" s="2">
        <f>SUM(BV$2:BV407)+AP407*I407</f>
        <v>148.19999999998254</v>
      </c>
      <c r="BW917" s="2">
        <f>SUM(BW$2:BW407)+AQ407*J407</f>
        <v>-10120</v>
      </c>
      <c r="BX917" s="2">
        <f>SUM(BX$2:BX407)+AR407*K407</f>
        <v>13940</v>
      </c>
      <c r="BY917" s="2">
        <f>SUM(BY$2:BY407)+AS407*L407</f>
        <v>-5366.300000000012</v>
      </c>
      <c r="BZ917" s="2">
        <f>SUM(BZ$2:BZ407)+AT407*M407</f>
        <v>740</v>
      </c>
      <c r="CA917" s="2">
        <f>SUM(CA$2:CA407)+AU407*N407</f>
        <v>12660</v>
      </c>
      <c r="CB917" s="2">
        <f>SUM(CB$2:CB407)+AV407*O407</f>
        <v>26740</v>
      </c>
      <c r="CC917" s="2">
        <f>SUM(CC$2:CC407)+AW407*P407</f>
        <v>-20</v>
      </c>
      <c r="CD917" s="2">
        <f>SUM(CD$2:CD407)+AX407*Q407</f>
        <v>14050</v>
      </c>
      <c r="CE917" s="2">
        <f>SUM(CE$2:CE407)+AY407*R407</f>
        <v>27020</v>
      </c>
      <c r="CF917" s="2">
        <f>SUM(CF$2:CF407)+AZ407*S407</f>
        <v>9324.4299999999712</v>
      </c>
      <c r="CG917" s="2">
        <f>SUM(CG$2:CG407)+BA407*T407</f>
        <v>45109.840000000011</v>
      </c>
      <c r="CH917" s="2">
        <f>SUM(CH$2:CH407)+BB407*U407</f>
        <v>28175.820000000022</v>
      </c>
      <c r="CI917" s="2">
        <f>SUM(CI$2:CI407)+BC407*V407</f>
        <v>-11500</v>
      </c>
      <c r="CJ917" s="2">
        <f>SUM(CJ$2:CJ407)+BD407*W407</f>
        <v>10715</v>
      </c>
      <c r="CK917" s="2">
        <f>SUM(CK$2:CK407)+BE407*X407</f>
        <v>57780</v>
      </c>
      <c r="CL917" s="2">
        <f>SUM(CL$2:CL407)+BF407*Y407</f>
        <v>305910</v>
      </c>
      <c r="CM917" s="2">
        <f>SUM(CM$2:CM407)+BG407*Z407</f>
        <v>162450</v>
      </c>
      <c r="CN917" s="2">
        <f>SUM(CN$2:CN407)+BH407*AA407</f>
        <v>178957.5</v>
      </c>
      <c r="CO917" s="2">
        <f>SUM(CO$2:CO407)+BI407*AB407</f>
        <v>5920</v>
      </c>
      <c r="CP917" s="2">
        <f>SUM(CP$2:CP407)+BJ407*AC407</f>
        <v>17395</v>
      </c>
      <c r="CQ917" s="2">
        <f>SUM(CQ$2:CQ407)+BK407*AD407</f>
        <v>23770.000000000007</v>
      </c>
      <c r="CR917" s="2">
        <f>SUM(CR$2:CR407)+BL407*AE407</f>
        <v>-6230</v>
      </c>
      <c r="CV917" t="s">
        <v>64</v>
      </c>
      <c r="CW917" t="s">
        <v>990</v>
      </c>
      <c r="CX917" t="s">
        <v>19</v>
      </c>
      <c r="CY917" s="4">
        <v>42881</v>
      </c>
      <c r="CZ917" t="s">
        <v>67</v>
      </c>
      <c r="DA917" t="s">
        <v>68</v>
      </c>
      <c r="DB917">
        <v>6</v>
      </c>
      <c r="DC917">
        <v>68.06</v>
      </c>
      <c r="DD917" t="s">
        <v>69</v>
      </c>
      <c r="DE917" t="s">
        <v>70</v>
      </c>
      <c r="DF917">
        <v>408.36</v>
      </c>
    </row>
    <row r="918" spans="66:110" x14ac:dyDescent="0.25">
      <c r="BN918" s="1">
        <f t="shared" si="341"/>
        <v>43326</v>
      </c>
      <c r="BO918" s="2">
        <f>SUM(BO$2:BO408)+AI408*B408</f>
        <v>209674.99999999988</v>
      </c>
      <c r="BP918" s="2">
        <f>SUM(BP$2:BP408)+AJ408*C408</f>
        <v>32432.099999999991</v>
      </c>
      <c r="BQ918" s="2">
        <f>SUM(BQ$2:BQ408)+AK408*D408</f>
        <v>209064.49999999988</v>
      </c>
      <c r="BR918" s="2">
        <f>SUM(BR$2:BR408)+AL408*E408</f>
        <v>47131.499999999971</v>
      </c>
      <c r="BS918" s="2">
        <f>SUM(BS$2:BS408)+AM408*F408</f>
        <v>17135.200000000012</v>
      </c>
      <c r="BT918" s="2">
        <f>SUM(BT$2:BT408)+AN408*G408</f>
        <v>13648.299999999988</v>
      </c>
      <c r="BU918" s="2">
        <f>SUM(BU$2:BU408)+AO408*H408</f>
        <v>11435.399999999994</v>
      </c>
      <c r="BV918" s="2">
        <f>SUM(BV$2:BV408)+AP408*I408</f>
        <v>1250.1999999999825</v>
      </c>
      <c r="BW918" s="2">
        <f>SUM(BW$2:BW408)+AQ408*J408</f>
        <v>-7440</v>
      </c>
      <c r="BX918" s="2">
        <f>SUM(BX$2:BX408)+AR408*K408</f>
        <v>13940</v>
      </c>
      <c r="BY918" s="2">
        <f>SUM(BY$2:BY408)+AS408*L408</f>
        <v>-5359.9000000000115</v>
      </c>
      <c r="BZ918" s="2">
        <f>SUM(BZ$2:BZ408)+AT408*M408</f>
        <v>740</v>
      </c>
      <c r="CA918" s="2">
        <f>SUM(CA$2:CA408)+AU408*N408</f>
        <v>12660</v>
      </c>
      <c r="CB918" s="2">
        <f>SUM(CB$2:CB408)+AV408*O408</f>
        <v>26740</v>
      </c>
      <c r="CC918" s="2">
        <f>SUM(CC$2:CC408)+AW408*P408</f>
        <v>-20</v>
      </c>
      <c r="CD918" s="2">
        <f>SUM(CD$2:CD408)+AX408*Q408</f>
        <v>14050</v>
      </c>
      <c r="CE918" s="2">
        <f>SUM(CE$2:CE408)+AY408*R408</f>
        <v>27020</v>
      </c>
      <c r="CF918" s="2">
        <f>SUM(CF$2:CF408)+AZ408*S408</f>
        <v>9055.3299999999581</v>
      </c>
      <c r="CG918" s="2">
        <f>SUM(CG$2:CG408)+BA408*T408</f>
        <v>46461.900000000009</v>
      </c>
      <c r="CH918" s="2">
        <f>SUM(CH$2:CH408)+BB408*U408</f>
        <v>28166.740000000027</v>
      </c>
      <c r="CI918" s="2">
        <f>SUM(CI$2:CI408)+BC408*V408</f>
        <v>-11400</v>
      </c>
      <c r="CJ918" s="2">
        <f>SUM(CJ$2:CJ408)+BD408*W408</f>
        <v>12215</v>
      </c>
      <c r="CK918" s="2">
        <f>SUM(CK$2:CK408)+BE408*X408</f>
        <v>55280</v>
      </c>
      <c r="CL918" s="2">
        <f>SUM(CL$2:CL408)+BF408*Y408</f>
        <v>313590</v>
      </c>
      <c r="CM918" s="2">
        <f>SUM(CM$2:CM408)+BG408*Z408</f>
        <v>163600</v>
      </c>
      <c r="CN918" s="2">
        <f>SUM(CN$2:CN408)+BH408*AA408</f>
        <v>180307.5</v>
      </c>
      <c r="CO918" s="2">
        <f>SUM(CO$2:CO408)+BI408*AB408</f>
        <v>7810</v>
      </c>
      <c r="CP918" s="2">
        <f>SUM(CP$2:CP408)+BJ408*AC408</f>
        <v>13115</v>
      </c>
      <c r="CQ918" s="2">
        <f>SUM(CQ$2:CQ408)+BK408*AD408</f>
        <v>24980.000000000007</v>
      </c>
      <c r="CR918" s="2">
        <f>SUM(CR$2:CR408)+BL408*AE408</f>
        <v>-6480</v>
      </c>
      <c r="CV918" t="s">
        <v>64</v>
      </c>
      <c r="CW918" t="s">
        <v>991</v>
      </c>
      <c r="CX918" t="s">
        <v>19</v>
      </c>
      <c r="CY918" s="4">
        <v>42885</v>
      </c>
      <c r="CZ918" t="s">
        <v>65</v>
      </c>
      <c r="DA918" t="s">
        <v>66</v>
      </c>
      <c r="DB918">
        <v>53</v>
      </c>
      <c r="DC918">
        <v>68.5</v>
      </c>
      <c r="DD918" t="s">
        <v>69</v>
      </c>
      <c r="DE918" t="s">
        <v>70</v>
      </c>
      <c r="DF918">
        <v>3630.5</v>
      </c>
    </row>
    <row r="919" spans="66:110" x14ac:dyDescent="0.25">
      <c r="BN919" s="1">
        <f t="shared" si="341"/>
        <v>43327</v>
      </c>
      <c r="BO919" s="2">
        <f>SUM(BO$2:BO409)+AI409*B409</f>
        <v>210874.99999999988</v>
      </c>
      <c r="BP919" s="2">
        <f>SUM(BP$2:BP409)+AJ409*C409</f>
        <v>31580.699999999983</v>
      </c>
      <c r="BQ919" s="2">
        <f>SUM(BQ$2:BQ409)+AK409*D409</f>
        <v>199634.59999999986</v>
      </c>
      <c r="BR919" s="2">
        <f>SUM(BR$2:BR409)+AL409*E409</f>
        <v>43442.099999999948</v>
      </c>
      <c r="BS919" s="2">
        <f>SUM(BS$2:BS409)+AM409*F409</f>
        <v>16954.600000000013</v>
      </c>
      <c r="BT919" s="2">
        <f>SUM(BT$2:BT409)+AN409*G409</f>
        <v>7843.2999999999884</v>
      </c>
      <c r="BU919" s="2">
        <f>SUM(BU$2:BU409)+AO409*H409</f>
        <v>11564.400000000023</v>
      </c>
      <c r="BV919" s="2">
        <f>SUM(BV$2:BV409)+AP409*I409</f>
        <v>-13.400000000008731</v>
      </c>
      <c r="BW919" s="2">
        <f>SUM(BW$2:BW409)+AQ409*J409</f>
        <v>-7750</v>
      </c>
      <c r="BX919" s="2">
        <f>SUM(BX$2:BX409)+AR409*K409</f>
        <v>13940</v>
      </c>
      <c r="BY919" s="2">
        <f>SUM(BY$2:BY409)+AS409*L409</f>
        <v>-5354.6000000000113</v>
      </c>
      <c r="BZ919" s="2">
        <f>SUM(BZ$2:BZ409)+AT409*M409</f>
        <v>740</v>
      </c>
      <c r="CA919" s="2">
        <f>SUM(CA$2:CA409)+AU409*N409</f>
        <v>12660</v>
      </c>
      <c r="CB919" s="2">
        <f>SUM(CB$2:CB409)+AV409*O409</f>
        <v>26740</v>
      </c>
      <c r="CC919" s="2">
        <f>SUM(CC$2:CC409)+AW409*P409</f>
        <v>-20</v>
      </c>
      <c r="CD919" s="2">
        <f>SUM(CD$2:CD409)+AX409*Q409</f>
        <v>14050</v>
      </c>
      <c r="CE919" s="2">
        <f>SUM(CE$2:CE409)+AY409*R409</f>
        <v>27020</v>
      </c>
      <c r="CF919" s="2">
        <f>SUM(CF$2:CF409)+AZ409*S409</f>
        <v>9958.0299999999625</v>
      </c>
      <c r="CG919" s="2">
        <f>SUM(CG$2:CG409)+BA409*T409</f>
        <v>44944.86</v>
      </c>
      <c r="CH919" s="2">
        <f>SUM(CH$2:CH409)+BB409*U409</f>
        <v>27638.350000000028</v>
      </c>
      <c r="CI919" s="2">
        <f>SUM(CI$2:CI409)+BC409*V409</f>
        <v>-11840</v>
      </c>
      <c r="CJ919" s="2">
        <f>SUM(CJ$2:CJ409)+BD409*W409</f>
        <v>4940</v>
      </c>
      <c r="CK919" s="2">
        <f>SUM(CK$2:CK409)+BE409*X409</f>
        <v>61380</v>
      </c>
      <c r="CL919" s="2">
        <f>SUM(CL$2:CL409)+BF409*Y409</f>
        <v>305040.00000000012</v>
      </c>
      <c r="CM919" s="2">
        <f>SUM(CM$2:CM409)+BG409*Z409</f>
        <v>160300</v>
      </c>
      <c r="CN919" s="2">
        <f>SUM(CN$2:CN409)+BH409*AA409</f>
        <v>178232.5</v>
      </c>
      <c r="CO919" s="2">
        <f>SUM(CO$2:CO409)+BI409*AB409</f>
        <v>8890</v>
      </c>
      <c r="CP919" s="2">
        <f>SUM(CP$2:CP409)+BJ409*AC409</f>
        <v>12975</v>
      </c>
      <c r="CQ919" s="2">
        <f>SUM(CQ$2:CQ409)+BK409*AD409</f>
        <v>24350.000000000007</v>
      </c>
      <c r="CR919" s="2">
        <f>SUM(CR$2:CR409)+BL409*AE409</f>
        <v>-7820</v>
      </c>
      <c r="CV919" t="s">
        <v>64</v>
      </c>
      <c r="CW919" t="s">
        <v>992</v>
      </c>
      <c r="CX919" t="s">
        <v>19</v>
      </c>
      <c r="CY919" s="4">
        <v>42886</v>
      </c>
      <c r="CZ919" t="s">
        <v>65</v>
      </c>
      <c r="DA919" t="s">
        <v>66</v>
      </c>
      <c r="DB919">
        <v>25</v>
      </c>
      <c r="DC919">
        <v>67.95</v>
      </c>
      <c r="DD919" t="s">
        <v>69</v>
      </c>
      <c r="DE919" t="s">
        <v>70</v>
      </c>
      <c r="DF919">
        <v>1698.75</v>
      </c>
    </row>
    <row r="920" spans="66:110" x14ac:dyDescent="0.25">
      <c r="BN920" s="1">
        <f t="shared" si="341"/>
        <v>43328</v>
      </c>
      <c r="BO920" s="2">
        <f>SUM(BO$2:BO410)+AI410*B410</f>
        <v>226174.99999999977</v>
      </c>
      <c r="BP920" s="2">
        <f>SUM(BP$2:BP410)+AJ410*C410</f>
        <v>33038.400000000009</v>
      </c>
      <c r="BQ920" s="2">
        <f>SUM(BQ$2:BQ410)+AK410*D410</f>
        <v>217810.69999999995</v>
      </c>
      <c r="BR920" s="2">
        <f>SUM(BR$2:BR410)+AL410*E410</f>
        <v>48834.299999999959</v>
      </c>
      <c r="BS920" s="2">
        <f>SUM(BS$2:BS410)+AM410*F410</f>
        <v>18605.80000000001</v>
      </c>
      <c r="BT920" s="2">
        <f>SUM(BT$2:BT410)+AN410*G410</f>
        <v>8901.0999999999767</v>
      </c>
      <c r="BU920" s="2">
        <f>SUM(BU$2:BU410)+AO410*H410</f>
        <v>11087.100000000006</v>
      </c>
      <c r="BV920" s="2">
        <f>SUM(BV$2:BV410)+AP410*I410</f>
        <v>700.29999999998836</v>
      </c>
      <c r="BW920" s="2">
        <f>SUM(BW$2:BW410)+AQ410*J410</f>
        <v>-4030</v>
      </c>
      <c r="BX920" s="2">
        <f>SUM(BX$2:BX410)+AR410*K410</f>
        <v>13940</v>
      </c>
      <c r="BY920" s="2">
        <f>SUM(BY$2:BY410)+AS410*L410</f>
        <v>-5340.6000000000113</v>
      </c>
      <c r="BZ920" s="2">
        <f>SUM(BZ$2:BZ410)+AT410*M410</f>
        <v>740</v>
      </c>
      <c r="CA920" s="2">
        <f>SUM(CA$2:CA410)+AU410*N410</f>
        <v>12660</v>
      </c>
      <c r="CB920" s="2">
        <f>SUM(CB$2:CB410)+AV410*O410</f>
        <v>26740</v>
      </c>
      <c r="CC920" s="2">
        <f>SUM(CC$2:CC410)+AW410*P410</f>
        <v>-20</v>
      </c>
      <c r="CD920" s="2">
        <f>SUM(CD$2:CD410)+AX410*Q410</f>
        <v>14050</v>
      </c>
      <c r="CE920" s="2">
        <f>SUM(CE$2:CE410)+AY410*R410</f>
        <v>27020</v>
      </c>
      <c r="CF920" s="2">
        <f>SUM(CF$2:CF410)+AZ410*S410</f>
        <v>11491.029999999955</v>
      </c>
      <c r="CG920" s="2">
        <f>SUM(CG$2:CG410)+BA410*T410</f>
        <v>44923.740000000005</v>
      </c>
      <c r="CH920" s="2">
        <f>SUM(CH$2:CH410)+BB410*U410</f>
        <v>28105.390000000029</v>
      </c>
      <c r="CI920" s="2">
        <f>SUM(CI$2:CI410)+BC410*V410</f>
        <v>-12100</v>
      </c>
      <c r="CJ920" s="2">
        <f>SUM(CJ$2:CJ410)+BD410*W410</f>
        <v>-5335</v>
      </c>
      <c r="CK920" s="2">
        <f>SUM(CK$2:CK410)+BE410*X410</f>
        <v>69130</v>
      </c>
      <c r="CL920" s="2">
        <f>SUM(CL$2:CL410)+BF410*Y410</f>
        <v>312450</v>
      </c>
      <c r="CM920" s="2">
        <f>SUM(CM$2:CM410)+BG410*Z410</f>
        <v>171500</v>
      </c>
      <c r="CN920" s="2">
        <f>SUM(CN$2:CN410)+BH410*AA410</f>
        <v>180557.5</v>
      </c>
      <c r="CO920" s="2">
        <f>SUM(CO$2:CO410)+BI410*AB410</f>
        <v>11920</v>
      </c>
      <c r="CP920" s="2">
        <f>SUM(CP$2:CP410)+BJ410*AC410</f>
        <v>11235</v>
      </c>
      <c r="CQ920" s="2">
        <f>SUM(CQ$2:CQ410)+BK410*AD410</f>
        <v>32720.000000000007</v>
      </c>
      <c r="CR920" s="2">
        <f>SUM(CR$2:CR410)+BL410*AE410</f>
        <v>-6780</v>
      </c>
      <c r="CV920" t="s">
        <v>64</v>
      </c>
      <c r="CW920" t="s">
        <v>993</v>
      </c>
      <c r="CX920" t="s">
        <v>19</v>
      </c>
      <c r="CY920" s="4">
        <v>42887</v>
      </c>
      <c r="CZ920" t="s">
        <v>67</v>
      </c>
      <c r="DA920" t="s">
        <v>68</v>
      </c>
      <c r="DB920">
        <v>79</v>
      </c>
      <c r="DC920">
        <v>68.2</v>
      </c>
      <c r="DD920" t="s">
        <v>69</v>
      </c>
      <c r="DE920" t="s">
        <v>70</v>
      </c>
      <c r="DF920">
        <v>5387.8</v>
      </c>
    </row>
    <row r="921" spans="66:110" x14ac:dyDescent="0.25">
      <c r="BN921" s="1">
        <f t="shared" si="341"/>
        <v>43329</v>
      </c>
      <c r="BO921" s="2">
        <f>SUM(BO$2:BO411)+AI411*B411</f>
        <v>247324.99999999977</v>
      </c>
      <c r="BP921" s="2">
        <f>SUM(BP$2:BP411)+AJ411*C411</f>
        <v>33528.599999999991</v>
      </c>
      <c r="BQ921" s="2">
        <f>SUM(BQ$2:BQ411)+AK411*D411</f>
        <v>218339.59999999986</v>
      </c>
      <c r="BR921" s="2">
        <f>SUM(BR$2:BR411)+AL411*E411</f>
        <v>52755.899999999936</v>
      </c>
      <c r="BS921" s="2">
        <f>SUM(BS$2:BS411)+AM411*F411</f>
        <v>19508.800000000017</v>
      </c>
      <c r="BT921" s="2">
        <f>SUM(BT$2:BT411)+AN411*G411</f>
        <v>9081.6999999999825</v>
      </c>
      <c r="BU921" s="2">
        <f>SUM(BU$2:BU411)+AO411*H411</f>
        <v>11087.100000000006</v>
      </c>
      <c r="BV921" s="2">
        <f>SUM(BV$2:BV411)+AP411*I411</f>
        <v>1519.2999999999884</v>
      </c>
      <c r="BW921" s="2">
        <f>SUM(BW$2:BW411)+AQ411*J411</f>
        <v>-3650</v>
      </c>
      <c r="BX921" s="2">
        <f>SUM(BX$2:BX411)+AR411*K411</f>
        <v>13940</v>
      </c>
      <c r="BY921" s="2">
        <f>SUM(BY$2:BY411)+AS411*L411</f>
        <v>-5333.6000000000113</v>
      </c>
      <c r="BZ921" s="2">
        <f>SUM(BZ$2:BZ411)+AT411*M411</f>
        <v>740</v>
      </c>
      <c r="CA921" s="2">
        <f>SUM(CA$2:CA411)+AU411*N411</f>
        <v>12660</v>
      </c>
      <c r="CB921" s="2">
        <f>SUM(CB$2:CB411)+AV411*O411</f>
        <v>26740</v>
      </c>
      <c r="CC921" s="2">
        <f>SUM(CC$2:CC411)+AW411*P411</f>
        <v>-20</v>
      </c>
      <c r="CD921" s="2">
        <f>SUM(CD$2:CD411)+AX411*Q411</f>
        <v>14050</v>
      </c>
      <c r="CE921" s="2">
        <f>SUM(CE$2:CE411)+AY411*R411</f>
        <v>27020</v>
      </c>
      <c r="CF921" s="2">
        <f>SUM(CF$2:CF411)+AZ411*S411</f>
        <v>11689.829999999965</v>
      </c>
      <c r="CG921" s="2">
        <f>SUM(CG$2:CG411)+BA411*T411</f>
        <v>44863.74000000002</v>
      </c>
      <c r="CH921" s="2">
        <f>SUM(CH$2:CH411)+BB411*U411</f>
        <v>27786.790000000023</v>
      </c>
      <c r="CI921" s="2">
        <f>SUM(CI$2:CI411)+BC411*V411</f>
        <v>-12760</v>
      </c>
      <c r="CJ921" s="2">
        <f>SUM(CJ$2:CJ411)+BD411*W411</f>
        <v>-5335</v>
      </c>
      <c r="CK921" s="2">
        <f>SUM(CK$2:CK411)+BE411*X411</f>
        <v>69530</v>
      </c>
      <c r="CL921" s="2">
        <f>SUM(CL$2:CL411)+BF411*Y411</f>
        <v>310170</v>
      </c>
      <c r="CM921" s="2">
        <f>SUM(CM$2:CM411)+BG411*Z411</f>
        <v>177050</v>
      </c>
      <c r="CN921" s="2">
        <f>SUM(CN$2:CN411)+BH411*AA411</f>
        <v>182257.50000000006</v>
      </c>
      <c r="CO921" s="2">
        <f>SUM(CO$2:CO411)+BI411*AB411</f>
        <v>13450</v>
      </c>
      <c r="CP921" s="2">
        <f>SUM(CP$2:CP411)+BJ411*AC411</f>
        <v>9635</v>
      </c>
      <c r="CQ921" s="2">
        <f>SUM(CQ$2:CQ411)+BK411*AD411</f>
        <v>31940.000000000007</v>
      </c>
      <c r="CR921" s="2">
        <f>SUM(CR$2:CR411)+BL411*AE411</f>
        <v>-6530</v>
      </c>
      <c r="CV921" t="s">
        <v>64</v>
      </c>
      <c r="CW921" t="s">
        <v>994</v>
      </c>
      <c r="CX921" t="s">
        <v>19</v>
      </c>
      <c r="CY921" s="4">
        <v>42888</v>
      </c>
      <c r="CZ921" t="s">
        <v>65</v>
      </c>
      <c r="DA921" t="s">
        <v>66</v>
      </c>
      <c r="DB921">
        <v>40</v>
      </c>
      <c r="DC921">
        <v>69.81</v>
      </c>
      <c r="DD921" t="s">
        <v>69</v>
      </c>
      <c r="DE921" t="s">
        <v>70</v>
      </c>
      <c r="DF921">
        <v>2792.4</v>
      </c>
    </row>
    <row r="922" spans="66:110" x14ac:dyDescent="0.25">
      <c r="BN922" s="1">
        <f t="shared" si="341"/>
        <v>43332</v>
      </c>
      <c r="BO922" s="2">
        <f>SUM(BO$2:BO412)+AI412*B412</f>
        <v>236774.99999999977</v>
      </c>
      <c r="BP922" s="2">
        <f>SUM(BP$2:BP412)+AJ412*C412</f>
        <v>34560.599999999991</v>
      </c>
      <c r="BQ922" s="2">
        <f>SUM(BQ$2:BQ412)+AK412*D412</f>
        <v>223886.59999999992</v>
      </c>
      <c r="BR922" s="2">
        <f>SUM(BR$2:BR412)+AL412*E412</f>
        <v>51904.499999999942</v>
      </c>
      <c r="BS922" s="2">
        <f>SUM(BS$2:BS412)+AM412*F412</f>
        <v>19960.300000000017</v>
      </c>
      <c r="BT922" s="2">
        <f>SUM(BT$2:BT412)+AN412*G412</f>
        <v>9017.1999999999825</v>
      </c>
      <c r="BU922" s="2">
        <f>SUM(BU$2:BU412)+AO412*H412</f>
        <v>10467.899999999994</v>
      </c>
      <c r="BV922" s="2">
        <f>SUM(BV$2:BV412)+AP412*I412</f>
        <v>2314.8999999999796</v>
      </c>
      <c r="BW922" s="2">
        <f>SUM(BW$2:BW412)+AQ412*J412</f>
        <v>-1270</v>
      </c>
      <c r="BX922" s="2">
        <f>SUM(BX$2:BX412)+AR412*K412</f>
        <v>13940</v>
      </c>
      <c r="BY922" s="2">
        <f>SUM(BY$2:BY412)+AS412*L412</f>
        <v>-5329.2000000000116</v>
      </c>
      <c r="BZ922" s="2">
        <f>SUM(BZ$2:BZ412)+AT412*M412</f>
        <v>740</v>
      </c>
      <c r="CA922" s="2">
        <f>SUM(CA$2:CA412)+AU412*N412</f>
        <v>12660</v>
      </c>
      <c r="CB922" s="2">
        <f>SUM(CB$2:CB412)+AV412*O412</f>
        <v>26740</v>
      </c>
      <c r="CC922" s="2">
        <f>SUM(CC$2:CC412)+AW412*P412</f>
        <v>-20</v>
      </c>
      <c r="CD922" s="2">
        <f>SUM(CD$2:CD412)+AX412*Q412</f>
        <v>14050</v>
      </c>
      <c r="CE922" s="2">
        <f>SUM(CE$2:CE412)+AY412*R412</f>
        <v>27020</v>
      </c>
      <c r="CF922" s="2">
        <f>SUM(CF$2:CF412)+AZ412*S412</f>
        <v>12821.729999999967</v>
      </c>
      <c r="CG922" s="2">
        <f>SUM(CG$2:CG412)+BA412*T412</f>
        <v>44131.020000000004</v>
      </c>
      <c r="CH922" s="2">
        <f>SUM(CH$2:CH412)+BB412*U412</f>
        <v>30235.830000000016</v>
      </c>
      <c r="CI922" s="2">
        <f>SUM(CI$2:CI412)+BC412*V412</f>
        <v>-12990</v>
      </c>
      <c r="CJ922" s="2">
        <f>SUM(CJ$2:CJ412)+BD412*W412</f>
        <v>-4960</v>
      </c>
      <c r="CK922" s="2">
        <f>SUM(CK$2:CK412)+BE412*X412</f>
        <v>74430</v>
      </c>
      <c r="CL922" s="2">
        <f>SUM(CL$2:CL412)+BF412*Y412</f>
        <v>310350</v>
      </c>
      <c r="CM922" s="2">
        <f>SUM(CM$2:CM412)+BG412*Z412</f>
        <v>180550.00000000012</v>
      </c>
      <c r="CN922" s="2">
        <f>SUM(CN$2:CN412)+BH412*AA412</f>
        <v>181282.5</v>
      </c>
      <c r="CO922" s="2">
        <f>SUM(CO$2:CO412)+BI412*AB412</f>
        <v>13030</v>
      </c>
      <c r="CP922" s="2">
        <f>SUM(CP$2:CP412)+BJ412*AC412</f>
        <v>9635</v>
      </c>
      <c r="CQ922" s="2">
        <f>SUM(CQ$2:CQ412)+BK412*AD412</f>
        <v>30100.000000000007</v>
      </c>
      <c r="CR922" s="2">
        <f>SUM(CR$2:CR412)+BL412*AE412</f>
        <v>-5990</v>
      </c>
      <c r="CV922" t="s">
        <v>64</v>
      </c>
      <c r="CW922" t="s">
        <v>995</v>
      </c>
      <c r="CX922" t="s">
        <v>19</v>
      </c>
      <c r="CY922" s="4">
        <v>42891</v>
      </c>
      <c r="CZ922" t="s">
        <v>67</v>
      </c>
      <c r="DA922" t="s">
        <v>68</v>
      </c>
      <c r="DB922">
        <v>41</v>
      </c>
      <c r="DC922">
        <v>70.319999999999993</v>
      </c>
      <c r="DD922" t="s">
        <v>69</v>
      </c>
      <c r="DE922" t="s">
        <v>70</v>
      </c>
      <c r="DF922">
        <v>2883.12</v>
      </c>
    </row>
    <row r="923" spans="66:110" x14ac:dyDescent="0.25">
      <c r="BN923" s="1">
        <f t="shared" si="341"/>
        <v>43333</v>
      </c>
      <c r="BO923" s="2">
        <f>SUM(BO$2:BO413)+AI413*B413</f>
        <v>234724.99999999977</v>
      </c>
      <c r="BP923" s="2">
        <f>SUM(BP$2:BP413)+AJ413*C413</f>
        <v>35811.89999999998</v>
      </c>
      <c r="BQ923" s="2">
        <f>SUM(BQ$2:BQ413)+AK413*D413</f>
        <v>227756.59999999992</v>
      </c>
      <c r="BR923" s="2">
        <f>SUM(BR$2:BR413)+AL413*E413</f>
        <v>53581.499999999971</v>
      </c>
      <c r="BS923" s="2">
        <f>SUM(BS$2:BS413)+AM413*F413</f>
        <v>19392.700000000012</v>
      </c>
      <c r="BT923" s="2">
        <f>SUM(BT$2:BT413)+AN413*G413</f>
        <v>9262.2999999999884</v>
      </c>
      <c r="BU923" s="2">
        <f>SUM(BU$2:BU413)+AO413*H413</f>
        <v>10971</v>
      </c>
      <c r="BV923" s="2">
        <f>SUM(BV$2:BV413)+AP413*I413</f>
        <v>2724.3999999999942</v>
      </c>
      <c r="BW923" s="2">
        <f>SUM(BW$2:BW413)+AQ413*J413</f>
        <v>1580</v>
      </c>
      <c r="BX923" s="2">
        <f>SUM(BX$2:BX413)+AR413*K413</f>
        <v>13940</v>
      </c>
      <c r="BY923" s="2">
        <f>SUM(BY$2:BY413)+AS413*L413</f>
        <v>-5334.5000000000118</v>
      </c>
      <c r="BZ923" s="2">
        <f>SUM(BZ$2:BZ413)+AT413*M413</f>
        <v>740</v>
      </c>
      <c r="CA923" s="2">
        <f>SUM(CA$2:CA413)+AU413*N413</f>
        <v>12660</v>
      </c>
      <c r="CB923" s="2">
        <f>SUM(CB$2:CB413)+AV413*O413</f>
        <v>26740</v>
      </c>
      <c r="CC923" s="2">
        <f>SUM(CC$2:CC413)+AW413*P413</f>
        <v>-20</v>
      </c>
      <c r="CD923" s="2">
        <f>SUM(CD$2:CD413)+AX413*Q413</f>
        <v>14050</v>
      </c>
      <c r="CE923" s="2">
        <f>SUM(CE$2:CE413)+AY413*R413</f>
        <v>27020</v>
      </c>
      <c r="CF923" s="2">
        <f>SUM(CF$2:CF413)+AZ413*S413</f>
        <v>11874.299999999959</v>
      </c>
      <c r="CG923" s="2">
        <f>SUM(CG$2:CG413)+BA413*T413</f>
        <v>43233.9</v>
      </c>
      <c r="CH923" s="2">
        <f>SUM(CH$2:CH413)+BB413*U413</f>
        <v>31013.310000000027</v>
      </c>
      <c r="CI923" s="2">
        <f>SUM(CI$2:CI413)+BC413*V413</f>
        <v>-12820</v>
      </c>
      <c r="CJ923" s="2">
        <f>SUM(CJ$2:CJ413)+BD413*W413</f>
        <v>-6835</v>
      </c>
      <c r="CK923" s="2">
        <f>SUM(CK$2:CK413)+BE413*X413</f>
        <v>75879.999999999884</v>
      </c>
      <c r="CL923" s="2">
        <f>SUM(CL$2:CL413)+BF413*Y413</f>
        <v>308250</v>
      </c>
      <c r="CM923" s="2">
        <f>SUM(CM$2:CM413)+BG413*Z413</f>
        <v>184700</v>
      </c>
      <c r="CN923" s="2">
        <f>SUM(CN$2:CN413)+BH413*AA413</f>
        <v>179057.5</v>
      </c>
      <c r="CO923" s="2">
        <f>SUM(CO$2:CO413)+BI413*AB413</f>
        <v>13810</v>
      </c>
      <c r="CP923" s="2">
        <f>SUM(CP$2:CP413)+BJ413*AC413</f>
        <v>9115</v>
      </c>
      <c r="CQ923" s="2">
        <f>SUM(CQ$2:CQ413)+BK413*AD413</f>
        <v>30180.000000000007</v>
      </c>
      <c r="CR923" s="2">
        <f>SUM(CR$2:CR413)+BL413*AE413</f>
        <v>-5970</v>
      </c>
      <c r="CV923" t="s">
        <v>64</v>
      </c>
      <c r="CW923" t="s">
        <v>996</v>
      </c>
      <c r="CX923" t="s">
        <v>19</v>
      </c>
      <c r="CY923" s="4">
        <v>42892</v>
      </c>
      <c r="CZ923" t="s">
        <v>67</v>
      </c>
      <c r="DA923" t="s">
        <v>68</v>
      </c>
      <c r="DB923">
        <v>17</v>
      </c>
      <c r="DC923">
        <v>70.55</v>
      </c>
      <c r="DD923" t="s">
        <v>69</v>
      </c>
      <c r="DE923" t="s">
        <v>70</v>
      </c>
      <c r="DF923">
        <v>1199.3499999999999</v>
      </c>
    </row>
    <row r="924" spans="66:110" x14ac:dyDescent="0.25">
      <c r="BN924" s="1">
        <f t="shared" si="341"/>
        <v>43334</v>
      </c>
      <c r="BO924" s="2">
        <f>SUM(BO$2:BO414)+AI414*B414</f>
        <v>234769.99999999977</v>
      </c>
      <c r="BP924" s="2">
        <f>SUM(BP$2:BP414)+AJ414*C414</f>
        <v>37127.699999999997</v>
      </c>
      <c r="BQ924" s="2">
        <f>SUM(BQ$2:BQ414)+AK414*D414</f>
        <v>222983.59999999992</v>
      </c>
      <c r="BR924" s="2">
        <f>SUM(BR$2:BR414)+AL414*E414</f>
        <v>53129.999999999971</v>
      </c>
      <c r="BS924" s="2">
        <f>SUM(BS$2:BS414)+AM414*F414</f>
        <v>19663.600000000013</v>
      </c>
      <c r="BT924" s="2">
        <f>SUM(BT$2:BT414)+AN414*G414</f>
        <v>10500.699999999983</v>
      </c>
      <c r="BU924" s="2">
        <f>SUM(BU$2:BU414)+AO414*H414</f>
        <v>10403.400000000023</v>
      </c>
      <c r="BV924" s="2">
        <f>SUM(BV$2:BV414)+AP414*I414</f>
        <v>2642.4999999999854</v>
      </c>
      <c r="BW924" s="2">
        <f>SUM(BW$2:BW414)+AQ414*J414</f>
        <v>2270</v>
      </c>
      <c r="BX924" s="2">
        <f>SUM(BX$2:BX414)+AR414*K414</f>
        <v>13940</v>
      </c>
      <c r="BY924" s="2">
        <f>SUM(BY$2:BY414)+AS414*L414</f>
        <v>-5341.6000000000113</v>
      </c>
      <c r="BZ924" s="2">
        <f>SUM(BZ$2:BZ414)+AT414*M414</f>
        <v>740</v>
      </c>
      <c r="CA924" s="2">
        <f>SUM(CA$2:CA414)+AU414*N414</f>
        <v>12660</v>
      </c>
      <c r="CB924" s="2">
        <f>SUM(CB$2:CB414)+AV414*O414</f>
        <v>26740</v>
      </c>
      <c r="CC924" s="2">
        <f>SUM(CC$2:CC414)+AW414*P414</f>
        <v>-20</v>
      </c>
      <c r="CD924" s="2">
        <f>SUM(CD$2:CD414)+AX414*Q414</f>
        <v>14050</v>
      </c>
      <c r="CE924" s="2">
        <f>SUM(CE$2:CE414)+AY414*R414</f>
        <v>27020</v>
      </c>
      <c r="CF924" s="2">
        <f>SUM(CF$2:CF414)+AZ414*S414</f>
        <v>11741.829999999973</v>
      </c>
      <c r="CG924" s="2">
        <f>SUM(CG$2:CG414)+BA414*T414</f>
        <v>44329.01999999999</v>
      </c>
      <c r="CH924" s="2">
        <f>SUM(CH$2:CH414)+BB414*U414</f>
        <v>30685.640000000029</v>
      </c>
      <c r="CI924" s="2">
        <f>SUM(CI$2:CI414)+BC414*V414</f>
        <v>-12740</v>
      </c>
      <c r="CJ924" s="2">
        <f>SUM(CJ$2:CJ414)+BD414*W414</f>
        <v>-3085</v>
      </c>
      <c r="CK924" s="2">
        <f>SUM(CK$2:CK414)+BE414*X414</f>
        <v>64530</v>
      </c>
      <c r="CL924" s="2">
        <f>SUM(CL$2:CL414)+BF414*Y414</f>
        <v>305430.00000000012</v>
      </c>
      <c r="CM924" s="2">
        <f>SUM(CM$2:CM414)+BG414*Z414</f>
        <v>171150</v>
      </c>
      <c r="CN924" s="2">
        <f>SUM(CN$2:CN414)+BH414*AA414</f>
        <v>181782.49999999994</v>
      </c>
      <c r="CO924" s="2">
        <f>SUM(CO$2:CO414)+BI414*AB414</f>
        <v>11530</v>
      </c>
      <c r="CP924" s="2">
        <f>SUM(CP$2:CP414)+BJ414*AC414</f>
        <v>10315</v>
      </c>
      <c r="CQ924" s="2">
        <f>SUM(CQ$2:CQ414)+BK414*AD414</f>
        <v>29770.000000000007</v>
      </c>
      <c r="CR924" s="2">
        <f>SUM(CR$2:CR414)+BL414*AE414</f>
        <v>-4860</v>
      </c>
      <c r="CV924" t="s">
        <v>64</v>
      </c>
      <c r="CW924" t="s">
        <v>997</v>
      </c>
      <c r="CX924" t="s">
        <v>19</v>
      </c>
      <c r="CY924" s="4">
        <v>42893</v>
      </c>
      <c r="CZ924" t="s">
        <v>67</v>
      </c>
      <c r="DA924" t="s">
        <v>68</v>
      </c>
      <c r="DB924">
        <v>57</v>
      </c>
      <c r="DC924">
        <v>70.430000000000007</v>
      </c>
      <c r="DD924" t="s">
        <v>69</v>
      </c>
      <c r="DE924" t="s">
        <v>70</v>
      </c>
      <c r="DF924">
        <v>4014.51</v>
      </c>
    </row>
    <row r="925" spans="66:110" x14ac:dyDescent="0.25">
      <c r="BN925" s="1">
        <f t="shared" si="341"/>
        <v>43335</v>
      </c>
      <c r="BO925" s="2">
        <f>SUM(BO$2:BO415)+AI415*B415</f>
        <v>236489.99999999977</v>
      </c>
      <c r="BP925" s="2">
        <f>SUM(BP$2:BP415)+AJ415*C415</f>
        <v>36534.300000000003</v>
      </c>
      <c r="BQ925" s="2">
        <f>SUM(BQ$2:BQ415)+AK415*D415</f>
        <v>219719.89999999985</v>
      </c>
      <c r="BR925" s="2">
        <f>SUM(BR$2:BR415)+AL415*E415</f>
        <v>49505.099999999977</v>
      </c>
      <c r="BS925" s="2">
        <f>SUM(BS$2:BS415)+AM415*F415</f>
        <v>19702.300000000017</v>
      </c>
      <c r="BT925" s="2">
        <f>SUM(BT$2:BT415)+AN415*G415</f>
        <v>9455.7999999999884</v>
      </c>
      <c r="BU925" s="2">
        <f>SUM(BU$2:BU415)+AO415*H415</f>
        <v>10480.800000000017</v>
      </c>
      <c r="BV925" s="2">
        <f>SUM(BV$2:BV415)+AP415*I415</f>
        <v>1893.6999999999825</v>
      </c>
      <c r="BW925" s="2">
        <f>SUM(BW$2:BW415)+AQ415*J415</f>
        <v>-710</v>
      </c>
      <c r="BX925" s="2">
        <f>SUM(BX$2:BX415)+AR415*K415</f>
        <v>13940</v>
      </c>
      <c r="BY925" s="2">
        <f>SUM(BY$2:BY415)+AS415*L415</f>
        <v>-5340.300000000012</v>
      </c>
      <c r="BZ925" s="2">
        <f>SUM(BZ$2:BZ415)+AT415*M415</f>
        <v>740</v>
      </c>
      <c r="CA925" s="2">
        <f>SUM(CA$2:CA415)+AU415*N415</f>
        <v>12660</v>
      </c>
      <c r="CB925" s="2">
        <f>SUM(CB$2:CB415)+AV415*O415</f>
        <v>26740</v>
      </c>
      <c r="CC925" s="2">
        <f>SUM(CC$2:CC415)+AW415*P415</f>
        <v>-20</v>
      </c>
      <c r="CD925" s="2">
        <f>SUM(CD$2:CD415)+AX415*Q415</f>
        <v>14050</v>
      </c>
      <c r="CE925" s="2">
        <f>SUM(CE$2:CE415)+AY415*R415</f>
        <v>27020</v>
      </c>
      <c r="CF925" s="2">
        <f>SUM(CF$2:CF415)+AZ415*S415</f>
        <v>11680.689999999966</v>
      </c>
      <c r="CG925" s="2">
        <f>SUM(CG$2:CG415)+BA415*T415</f>
        <v>44869.520000000004</v>
      </c>
      <c r="CH925" s="2">
        <f>SUM(CH$2:CH415)+BB415*U415</f>
        <v>30943.760000000017</v>
      </c>
      <c r="CI925" s="2">
        <f>SUM(CI$2:CI415)+BC415*V415</f>
        <v>-12980</v>
      </c>
      <c r="CJ925" s="2">
        <f>SUM(CJ$2:CJ415)+BD415*W415</f>
        <v>-1960</v>
      </c>
      <c r="CK925" s="2">
        <f>SUM(CK$2:CK415)+BE415*X415</f>
        <v>65080</v>
      </c>
      <c r="CL925" s="2">
        <f>SUM(CL$2:CL415)+BF415*Y415</f>
        <v>307439.99999999988</v>
      </c>
      <c r="CM925" s="2">
        <f>SUM(CM$2:CM415)+BG415*Z415</f>
        <v>168050.00000000012</v>
      </c>
      <c r="CN925" s="2">
        <f>SUM(CN$2:CN415)+BH415*AA415</f>
        <v>184182.5</v>
      </c>
      <c r="CO925" s="2">
        <f>SUM(CO$2:CO415)+BI415*AB415</f>
        <v>11950</v>
      </c>
      <c r="CP925" s="2">
        <f>SUM(CP$2:CP415)+BJ415*AC415</f>
        <v>11035</v>
      </c>
      <c r="CQ925" s="2">
        <f>SUM(CQ$2:CQ415)+BK415*AD415</f>
        <v>29280.000000000007</v>
      </c>
      <c r="CR925" s="2">
        <f>SUM(CR$2:CR415)+BL415*AE415</f>
        <v>-5720</v>
      </c>
      <c r="CV925" t="s">
        <v>64</v>
      </c>
      <c r="CW925" t="s">
        <v>998</v>
      </c>
      <c r="CX925" t="s">
        <v>19</v>
      </c>
      <c r="CY925" s="4">
        <v>42894</v>
      </c>
      <c r="CZ925" t="s">
        <v>65</v>
      </c>
      <c r="DA925" t="s">
        <v>66</v>
      </c>
      <c r="DB925">
        <v>11</v>
      </c>
      <c r="DC925">
        <v>70</v>
      </c>
      <c r="DD925" t="s">
        <v>69</v>
      </c>
      <c r="DE925" t="s">
        <v>70</v>
      </c>
      <c r="DF925">
        <v>770</v>
      </c>
    </row>
    <row r="926" spans="66:110" x14ac:dyDescent="0.25">
      <c r="BN926" s="1">
        <f t="shared" si="341"/>
        <v>43336</v>
      </c>
      <c r="BO926" s="2">
        <f>SUM(BO$2:BO416)+AI416*B416</f>
        <v>239169.99999999977</v>
      </c>
      <c r="BP926" s="2">
        <f>SUM(BP$2:BP416)+AJ416*C416</f>
        <v>37037.400000000009</v>
      </c>
      <c r="BQ926" s="2">
        <f>SUM(BQ$2:BQ416)+AK416*D416</f>
        <v>222157.99999999994</v>
      </c>
      <c r="BR926" s="2">
        <f>SUM(BR$2:BR416)+AL416*E416</f>
        <v>51323.999999999971</v>
      </c>
      <c r="BS926" s="2">
        <f>SUM(BS$2:BS416)+AM416*F416</f>
        <v>20089.30000000001</v>
      </c>
      <c r="BT926" s="2">
        <f>SUM(BT$2:BT416)+AN416*G416</f>
        <v>10616.799999999988</v>
      </c>
      <c r="BU926" s="2">
        <f>SUM(BU$2:BU416)+AO416*H416</f>
        <v>10390.5</v>
      </c>
      <c r="BV926" s="2">
        <f>SUM(BV$2:BV416)+AP416*I416</f>
        <v>3157.2999999999738</v>
      </c>
      <c r="BW926" s="2">
        <f>SUM(BW$2:BW416)+AQ416*J416</f>
        <v>-1930</v>
      </c>
      <c r="BX926" s="2">
        <f>SUM(BX$2:BX416)+AR416*K416</f>
        <v>13940</v>
      </c>
      <c r="BY926" s="2">
        <f>SUM(BY$2:BY416)+AS416*L416</f>
        <v>-5333.800000000012</v>
      </c>
      <c r="BZ926" s="2">
        <f>SUM(BZ$2:BZ416)+AT416*M416</f>
        <v>740</v>
      </c>
      <c r="CA926" s="2">
        <f>SUM(CA$2:CA416)+AU416*N416</f>
        <v>12660</v>
      </c>
      <c r="CB926" s="2">
        <f>SUM(CB$2:CB416)+AV416*O416</f>
        <v>26740</v>
      </c>
      <c r="CC926" s="2">
        <f>SUM(CC$2:CC416)+AW416*P416</f>
        <v>-20</v>
      </c>
      <c r="CD926" s="2">
        <f>SUM(CD$2:CD416)+AX416*Q416</f>
        <v>14050</v>
      </c>
      <c r="CE926" s="2">
        <f>SUM(CE$2:CE416)+AY416*R416</f>
        <v>27020</v>
      </c>
      <c r="CF926" s="2">
        <f>SUM(CF$2:CF416)+AZ416*S416</f>
        <v>11743.689999999973</v>
      </c>
      <c r="CG926" s="2">
        <f>SUM(CG$2:CG416)+BA416*T416</f>
        <v>45782.520000000004</v>
      </c>
      <c r="CH926" s="2">
        <f>SUM(CH$2:CH416)+BB416*U416</f>
        <v>30470.880000000026</v>
      </c>
      <c r="CI926" s="2">
        <f>SUM(CI$2:CI416)+BC416*V416</f>
        <v>-13380</v>
      </c>
      <c r="CJ926" s="2">
        <f>SUM(CJ$2:CJ416)+BD416*W416</f>
        <v>-2860</v>
      </c>
      <c r="CK926" s="2">
        <f>SUM(CK$2:CK416)+BE416*X416</f>
        <v>69980</v>
      </c>
      <c r="CL926" s="2">
        <f>SUM(CL$2:CL416)+BF416*Y416</f>
        <v>315960</v>
      </c>
      <c r="CM926" s="2">
        <f>SUM(CM$2:CM416)+BG416*Z416</f>
        <v>171750</v>
      </c>
      <c r="CN926" s="2">
        <f>SUM(CN$2:CN416)+BH416*AA416</f>
        <v>189407.5</v>
      </c>
      <c r="CO926" s="2">
        <f>SUM(CO$2:CO416)+BI416*AB416</f>
        <v>13420</v>
      </c>
      <c r="CP926" s="2">
        <f>SUM(CP$2:CP416)+BJ416*AC416</f>
        <v>11175</v>
      </c>
      <c r="CQ926" s="2">
        <f>SUM(CQ$2:CQ416)+BK416*AD416</f>
        <v>29050.000000000007</v>
      </c>
      <c r="CR926" s="2">
        <f>SUM(CR$2:CR416)+BL416*AE416</f>
        <v>-5190</v>
      </c>
      <c r="CV926" t="s">
        <v>64</v>
      </c>
      <c r="CW926" t="s">
        <v>999</v>
      </c>
      <c r="CX926" t="s">
        <v>19</v>
      </c>
      <c r="CY926" s="4">
        <v>42895</v>
      </c>
      <c r="CZ926" t="s">
        <v>65</v>
      </c>
      <c r="DA926" t="s">
        <v>66</v>
      </c>
      <c r="DB926">
        <v>7</v>
      </c>
      <c r="DC926">
        <v>68.41</v>
      </c>
      <c r="DD926" t="s">
        <v>69</v>
      </c>
      <c r="DE926" t="s">
        <v>70</v>
      </c>
      <c r="DF926">
        <v>478.87</v>
      </c>
    </row>
    <row r="927" spans="66:110" x14ac:dyDescent="0.25">
      <c r="BN927" s="1">
        <f t="shared" si="341"/>
        <v>43339</v>
      </c>
      <c r="BO927" s="2">
        <f>SUM(BO$2:BO417)+AI417*B417</f>
        <v>246209.99999999977</v>
      </c>
      <c r="BP927" s="2">
        <f>SUM(BP$2:BP417)+AJ417*C417</f>
        <v>38688.599999999991</v>
      </c>
      <c r="BQ927" s="2">
        <f>SUM(BQ$2:BQ417)+AK417*D417</f>
        <v>227717.89999999997</v>
      </c>
      <c r="BR927" s="2">
        <f>SUM(BR$2:BR417)+AL417*E417</f>
        <v>56200.199999999953</v>
      </c>
      <c r="BS927" s="2">
        <f>SUM(BS$2:BS417)+AM417*F417</f>
        <v>20424.700000000019</v>
      </c>
      <c r="BT927" s="2">
        <f>SUM(BT$2:BT417)+AN417*G417</f>
        <v>12306.699999999983</v>
      </c>
      <c r="BU927" s="2">
        <f>SUM(BU$2:BU417)+AO417*H417</f>
        <v>10906.5</v>
      </c>
      <c r="BV927" s="2">
        <f>SUM(BV$2:BV417)+AP417*I417</f>
        <v>5017.5999999999767</v>
      </c>
      <c r="BW927" s="2">
        <f>SUM(BW$2:BW417)+AQ417*J417</f>
        <v>5500</v>
      </c>
      <c r="BX927" s="2">
        <f>SUM(BX$2:BX417)+AR417*K417</f>
        <v>13940</v>
      </c>
      <c r="BY927" s="2">
        <f>SUM(BY$2:BY417)+AS417*L417</f>
        <v>-5327.4000000000115</v>
      </c>
      <c r="BZ927" s="2">
        <f>SUM(BZ$2:BZ417)+AT417*M417</f>
        <v>740</v>
      </c>
      <c r="CA927" s="2">
        <f>SUM(CA$2:CA417)+AU417*N417</f>
        <v>12660</v>
      </c>
      <c r="CB927" s="2">
        <f>SUM(CB$2:CB417)+AV417*O417</f>
        <v>26740</v>
      </c>
      <c r="CC927" s="2">
        <f>SUM(CC$2:CC417)+AW417*P417</f>
        <v>-20</v>
      </c>
      <c r="CD927" s="2">
        <f>SUM(CD$2:CD417)+AX417*Q417</f>
        <v>14050</v>
      </c>
      <c r="CE927" s="2">
        <f>SUM(CE$2:CE417)+AY417*R417</f>
        <v>27020</v>
      </c>
      <c r="CF927" s="2">
        <f>SUM(CF$2:CF417)+AZ417*S417</f>
        <v>11701.769999999968</v>
      </c>
      <c r="CG927" s="2">
        <f>SUM(CG$2:CG417)+BA417*T417</f>
        <v>46994.52</v>
      </c>
      <c r="CH927" s="2">
        <f>SUM(CH$2:CH417)+BB417*U417</f>
        <v>30677.680000000029</v>
      </c>
      <c r="CI927" s="2">
        <f>SUM(CI$2:CI417)+BC417*V417</f>
        <v>-11760</v>
      </c>
      <c r="CJ927" s="2">
        <f>SUM(CJ$2:CJ417)+BD417*W417</f>
        <v>-3460</v>
      </c>
      <c r="CK927" s="2">
        <f>SUM(CK$2:CK417)+BE417*X417</f>
        <v>76780</v>
      </c>
      <c r="CL927" s="2">
        <f>SUM(CL$2:CL417)+BF417*Y417</f>
        <v>324300</v>
      </c>
      <c r="CM927" s="2">
        <f>SUM(CM$2:CM417)+BG417*Z417</f>
        <v>181600</v>
      </c>
      <c r="CN927" s="2">
        <f>SUM(CN$2:CN417)+BH417*AA417</f>
        <v>192407.49999999994</v>
      </c>
      <c r="CO927" s="2">
        <f>SUM(CO$2:CO417)+BI417*AB417</f>
        <v>13630</v>
      </c>
      <c r="CP927" s="2">
        <f>SUM(CP$2:CP417)+BJ417*AC417</f>
        <v>10715</v>
      </c>
      <c r="CQ927" s="2">
        <f>SUM(CQ$2:CQ417)+BK417*AD417</f>
        <v>28650.000000000007</v>
      </c>
      <c r="CR927" s="2">
        <f>SUM(CR$2:CR417)+BL417*AE417</f>
        <v>-4430</v>
      </c>
      <c r="CV927" t="s">
        <v>64</v>
      </c>
      <c r="CW927" t="s">
        <v>1000</v>
      </c>
      <c r="CX927" t="s">
        <v>19</v>
      </c>
      <c r="CY927" s="4">
        <v>42898</v>
      </c>
      <c r="CZ927" t="s">
        <v>65</v>
      </c>
      <c r="DA927" t="s">
        <v>66</v>
      </c>
      <c r="DB927">
        <v>75</v>
      </c>
      <c r="DC927">
        <v>67.89</v>
      </c>
      <c r="DD927" t="s">
        <v>69</v>
      </c>
      <c r="DE927" t="s">
        <v>70</v>
      </c>
      <c r="DF927">
        <v>5091.75</v>
      </c>
    </row>
    <row r="928" spans="66:110" x14ac:dyDescent="0.25">
      <c r="BN928" s="1">
        <f t="shared" si="341"/>
        <v>43340</v>
      </c>
      <c r="BO928" s="2">
        <f>SUM(BO$2:BO418)+AI418*B418</f>
        <v>253209.99999999977</v>
      </c>
      <c r="BP928" s="2">
        <f>SUM(BP$2:BP418)+AJ418*C418</f>
        <v>38985.300000000003</v>
      </c>
      <c r="BQ928" s="2">
        <f>SUM(BQ$2:BQ418)+AK418*D418</f>
        <v>224492.89999999997</v>
      </c>
      <c r="BR928" s="2">
        <f>SUM(BR$2:BR418)+AL418*E418</f>
        <v>56148.599999999919</v>
      </c>
      <c r="BS928" s="2">
        <f>SUM(BS$2:BS418)+AM418*F418</f>
        <v>20889.10000000002</v>
      </c>
      <c r="BT928" s="2">
        <f>SUM(BT$2:BT418)+AN418*G418</f>
        <v>11687.499999999971</v>
      </c>
      <c r="BU928" s="2">
        <f>SUM(BU$2:BU418)+AO418*H418</f>
        <v>11216.100000000006</v>
      </c>
      <c r="BV928" s="2">
        <f>SUM(BV$2:BV418)+AP418*I418</f>
        <v>4935.6999999999825</v>
      </c>
      <c r="BW928" s="2">
        <f>SUM(BW$2:BW418)+AQ418*J418</f>
        <v>5280</v>
      </c>
      <c r="BX928" s="2">
        <f>SUM(BX$2:BX418)+AR418*K418</f>
        <v>13940</v>
      </c>
      <c r="BY928" s="2">
        <f>SUM(BY$2:BY418)+AS418*L418</f>
        <v>-5328.4000000000115</v>
      </c>
      <c r="BZ928" s="2">
        <f>SUM(BZ$2:BZ418)+AT418*M418</f>
        <v>740</v>
      </c>
      <c r="CA928" s="2">
        <f>SUM(CA$2:CA418)+AU418*N418</f>
        <v>12660</v>
      </c>
      <c r="CB928" s="2">
        <f>SUM(CB$2:CB418)+AV418*O418</f>
        <v>26740</v>
      </c>
      <c r="CC928" s="2">
        <f>SUM(CC$2:CC418)+AW418*P418</f>
        <v>-20</v>
      </c>
      <c r="CD928" s="2">
        <f>SUM(CD$2:CD418)+AX418*Q418</f>
        <v>14050</v>
      </c>
      <c r="CE928" s="2">
        <f>SUM(CE$2:CE418)+AY418*R418</f>
        <v>27020</v>
      </c>
      <c r="CF928" s="2">
        <f>SUM(CF$2:CF418)+AZ418*S418</f>
        <v>11341.409999999967</v>
      </c>
      <c r="CG928" s="2">
        <f>SUM(CG$2:CG418)+BA418*T418</f>
        <v>47626.8</v>
      </c>
      <c r="CH928" s="2">
        <f>SUM(CH$2:CH418)+BB418*U418</f>
        <v>30610.830000000016</v>
      </c>
      <c r="CI928" s="2">
        <f>SUM(CI$2:CI418)+BC418*V418</f>
        <v>-11620</v>
      </c>
      <c r="CJ928" s="2">
        <f>SUM(CJ$2:CJ418)+BD418*W418</f>
        <v>-3760</v>
      </c>
      <c r="CK928" s="2">
        <f>SUM(CK$2:CK418)+BE418*X418</f>
        <v>78680</v>
      </c>
      <c r="CL928" s="2">
        <f>SUM(CL$2:CL418)+BF418*Y418</f>
        <v>328560</v>
      </c>
      <c r="CM928" s="2">
        <f>SUM(CM$2:CM418)+BG418*Z418</f>
        <v>177350</v>
      </c>
      <c r="CN928" s="2">
        <f>SUM(CN$2:CN418)+BH418*AA418</f>
        <v>191907.5</v>
      </c>
      <c r="CO928" s="2">
        <f>SUM(CO$2:CO418)+BI418*AB418</f>
        <v>13030</v>
      </c>
      <c r="CP928" s="2">
        <f>SUM(CP$2:CP418)+BJ418*AC418</f>
        <v>11035</v>
      </c>
      <c r="CQ928" s="2">
        <f>SUM(CQ$2:CQ418)+BK418*AD418</f>
        <v>30170.000000000007</v>
      </c>
      <c r="CR928" s="2">
        <f>SUM(CR$2:CR418)+BL418*AE418</f>
        <v>-4550</v>
      </c>
      <c r="CV928" t="s">
        <v>64</v>
      </c>
      <c r="CW928" t="s">
        <v>1001</v>
      </c>
      <c r="CX928" t="s">
        <v>19</v>
      </c>
      <c r="CY928" s="4">
        <v>42899</v>
      </c>
      <c r="CZ928" t="s">
        <v>65</v>
      </c>
      <c r="DA928" t="s">
        <v>66</v>
      </c>
      <c r="DB928">
        <v>58</v>
      </c>
      <c r="DC928">
        <v>68.73</v>
      </c>
      <c r="DD928" t="s">
        <v>69</v>
      </c>
      <c r="DE928" t="s">
        <v>70</v>
      </c>
      <c r="DF928">
        <v>3986.34</v>
      </c>
    </row>
    <row r="929" spans="66:110" x14ac:dyDescent="0.25">
      <c r="BN929" s="1">
        <f t="shared" si="341"/>
        <v>43341</v>
      </c>
      <c r="BO929" s="2">
        <f>SUM(BO$2:BO419)+AI419*B419</f>
        <v>266249.99999999977</v>
      </c>
      <c r="BP929" s="2">
        <f>SUM(BP$2:BP419)+AJ419*C419</f>
        <v>38262.900000000009</v>
      </c>
      <c r="BQ929" s="2">
        <f>SUM(BQ$2:BQ419)+AK419*D419</f>
        <v>223189.99999999988</v>
      </c>
      <c r="BR929" s="2">
        <f>SUM(BR$2:BR419)+AL419*E419</f>
        <v>55967.999999999942</v>
      </c>
      <c r="BS929" s="2">
        <f>SUM(BS$2:BS419)+AM419*F419</f>
        <v>21559.900000000009</v>
      </c>
      <c r="BT929" s="2">
        <f>SUM(BT$2:BT419)+AN419*G419</f>
        <v>12139</v>
      </c>
      <c r="BU929" s="2">
        <f>SUM(BU$2:BU419)+AO419*H419</f>
        <v>11048.400000000023</v>
      </c>
      <c r="BV929" s="2">
        <f>SUM(BV$2:BV419)+AP419*I419</f>
        <v>5742.9999999999854</v>
      </c>
      <c r="BW929" s="2">
        <f>SUM(BW$2:BW419)+AQ419*J419</f>
        <v>5110</v>
      </c>
      <c r="BX929" s="2">
        <f>SUM(BX$2:BX419)+AR419*K419</f>
        <v>13940</v>
      </c>
      <c r="BY929" s="2">
        <f>SUM(BY$2:BY419)+AS419*L419</f>
        <v>-5319.1000000000113</v>
      </c>
      <c r="BZ929" s="2">
        <f>SUM(BZ$2:BZ419)+AT419*M419</f>
        <v>740</v>
      </c>
      <c r="CA929" s="2">
        <f>SUM(CA$2:CA419)+AU419*N419</f>
        <v>12660</v>
      </c>
      <c r="CB929" s="2">
        <f>SUM(CB$2:CB419)+AV419*O419</f>
        <v>26740</v>
      </c>
      <c r="CC929" s="2">
        <f>SUM(CC$2:CC419)+AW419*P419</f>
        <v>-20</v>
      </c>
      <c r="CD929" s="2">
        <f>SUM(CD$2:CD419)+AX419*Q419</f>
        <v>14050</v>
      </c>
      <c r="CE929" s="2">
        <f>SUM(CE$2:CE419)+AY419*R419</f>
        <v>27020</v>
      </c>
      <c r="CF929" s="2">
        <f>SUM(CF$2:CF419)+AZ419*S419</f>
        <v>11514.029999999977</v>
      </c>
      <c r="CG929" s="2">
        <f>SUM(CG$2:CG419)+BA419*T419</f>
        <v>49364.55000000001</v>
      </c>
      <c r="CH929" s="2">
        <f>SUM(CH$2:CH419)+BB419*U419</f>
        <v>30800.04000000003</v>
      </c>
      <c r="CI929" s="2">
        <f>SUM(CI$2:CI419)+BC419*V419</f>
        <v>-11620</v>
      </c>
      <c r="CJ929" s="2">
        <f>SUM(CJ$2:CJ419)+BD419*W419</f>
        <v>-3835</v>
      </c>
      <c r="CK929" s="2">
        <f>SUM(CK$2:CK419)+BE419*X419</f>
        <v>80580.000000000116</v>
      </c>
      <c r="CL929" s="2">
        <f>SUM(CL$2:CL419)+BF419*Y419</f>
        <v>330030</v>
      </c>
      <c r="CM929" s="2">
        <f>SUM(CM$2:CM419)+BG419*Z419</f>
        <v>173000</v>
      </c>
      <c r="CN929" s="2">
        <f>SUM(CN$2:CN419)+BH419*AA419</f>
        <v>196457.5</v>
      </c>
      <c r="CO929" s="2">
        <f>SUM(CO$2:CO419)+BI419*AB419</f>
        <v>12820</v>
      </c>
      <c r="CP929" s="2">
        <f>SUM(CP$2:CP419)+BJ419*AC419</f>
        <v>12255</v>
      </c>
      <c r="CQ929" s="2">
        <f>SUM(CQ$2:CQ419)+BK419*AD419</f>
        <v>29740.000000000007</v>
      </c>
      <c r="CR929" s="2">
        <f>SUM(CR$2:CR419)+BL419*AE419</f>
        <v>-3980</v>
      </c>
      <c r="CV929" t="s">
        <v>64</v>
      </c>
      <c r="CW929" t="s">
        <v>1002</v>
      </c>
      <c r="CX929" t="s">
        <v>19</v>
      </c>
      <c r="CY929" s="4">
        <v>42900</v>
      </c>
      <c r="CZ929" t="s">
        <v>65</v>
      </c>
      <c r="DA929" t="s">
        <v>66</v>
      </c>
      <c r="DB929">
        <v>34</v>
      </c>
      <c r="DC929">
        <v>68.36</v>
      </c>
      <c r="DD929" t="s">
        <v>69</v>
      </c>
      <c r="DE929" t="s">
        <v>70</v>
      </c>
      <c r="DF929">
        <v>2324.2399999999998</v>
      </c>
    </row>
    <row r="930" spans="66:110" x14ac:dyDescent="0.25">
      <c r="BN930" s="1">
        <f t="shared" si="341"/>
        <v>43342</v>
      </c>
      <c r="BO930" s="2">
        <f>SUM(BO$2:BO420)+AI420*B420</f>
        <v>274369.99999999977</v>
      </c>
      <c r="BP930" s="2">
        <f>SUM(BP$2:BP420)+AJ420*C420</f>
        <v>37643.699999999997</v>
      </c>
      <c r="BQ930" s="2">
        <f>SUM(BQ$2:BQ420)+AK420*D420</f>
        <v>218984.59999999986</v>
      </c>
      <c r="BR930" s="2">
        <f>SUM(BR$2:BR420)+AL420*E420</f>
        <v>52407.599999999977</v>
      </c>
      <c r="BS930" s="2">
        <f>SUM(BS$2:BS420)+AM420*F420</f>
        <v>21134.200000000012</v>
      </c>
      <c r="BT930" s="2">
        <f>SUM(BT$2:BT420)+AN420*G420</f>
        <v>11622.999999999971</v>
      </c>
      <c r="BU930" s="2">
        <f>SUM(BU$2:BU420)+AO420*H420</f>
        <v>10377.600000000006</v>
      </c>
      <c r="BV930" s="2">
        <f>SUM(BV$2:BV420)+AP420*I420</f>
        <v>4736.7999999999884</v>
      </c>
      <c r="BW930" s="2">
        <f>SUM(BW$2:BW420)+AQ420*J420</f>
        <v>3110</v>
      </c>
      <c r="BX930" s="2">
        <f>SUM(BX$2:BX420)+AR420*K420</f>
        <v>13940</v>
      </c>
      <c r="BY930" s="2">
        <f>SUM(BY$2:BY420)+AS420*L420</f>
        <v>-5334.800000000012</v>
      </c>
      <c r="BZ930" s="2">
        <f>SUM(BZ$2:BZ420)+AT420*M420</f>
        <v>740</v>
      </c>
      <c r="CA930" s="2">
        <f>SUM(CA$2:CA420)+AU420*N420</f>
        <v>12660</v>
      </c>
      <c r="CB930" s="2">
        <f>SUM(CB$2:CB420)+AV420*O420</f>
        <v>26740</v>
      </c>
      <c r="CC930" s="2">
        <f>SUM(CC$2:CC420)+AW420*P420</f>
        <v>-20</v>
      </c>
      <c r="CD930" s="2">
        <f>SUM(CD$2:CD420)+AX420*Q420</f>
        <v>14050</v>
      </c>
      <c r="CE930" s="2">
        <f>SUM(CE$2:CE420)+AY420*R420</f>
        <v>27020</v>
      </c>
      <c r="CF930" s="2">
        <f>SUM(CF$2:CF420)+AZ420*S420</f>
        <v>11235.389999999963</v>
      </c>
      <c r="CG930" s="2">
        <f>SUM(CG$2:CG420)+BA420*T420</f>
        <v>49293.709999999992</v>
      </c>
      <c r="CH930" s="2">
        <f>SUM(CH$2:CH420)+BB420*U420</f>
        <v>29404.860000000015</v>
      </c>
      <c r="CI930" s="2">
        <f>SUM(CI$2:CI420)+BC420*V420</f>
        <v>-11620</v>
      </c>
      <c r="CJ930" s="2">
        <f>SUM(CJ$2:CJ420)+BD420*W420</f>
        <v>-3235</v>
      </c>
      <c r="CK930" s="2">
        <f>SUM(CK$2:CK420)+BE420*X420</f>
        <v>75580.000000000116</v>
      </c>
      <c r="CL930" s="2">
        <f>SUM(CL$2:CL420)+BF420*Y420</f>
        <v>328230</v>
      </c>
      <c r="CM930" s="2">
        <f>SUM(CM$2:CM420)+BG420*Z420</f>
        <v>167950</v>
      </c>
      <c r="CN930" s="2">
        <f>SUM(CN$2:CN420)+BH420*AA420</f>
        <v>195732.5</v>
      </c>
      <c r="CO930" s="2">
        <f>SUM(CO$2:CO420)+BI420*AB420</f>
        <v>13330</v>
      </c>
      <c r="CP930" s="2">
        <f>SUM(CP$2:CP420)+BJ420*AC420</f>
        <v>13955</v>
      </c>
      <c r="CQ930" s="2">
        <f>SUM(CQ$2:CQ420)+BK420*AD420</f>
        <v>30200.000000000007</v>
      </c>
      <c r="CR930" s="2">
        <f>SUM(CR$2:CR420)+BL420*AE420</f>
        <v>-4320</v>
      </c>
      <c r="CV930" t="s">
        <v>64</v>
      </c>
      <c r="CW930" t="s">
        <v>1003</v>
      </c>
      <c r="CX930" t="s">
        <v>19</v>
      </c>
      <c r="CY930" s="4">
        <v>42901</v>
      </c>
      <c r="CZ930" t="s">
        <v>67</v>
      </c>
      <c r="DA930" t="s">
        <v>68</v>
      </c>
      <c r="DB930">
        <v>172</v>
      </c>
      <c r="DC930">
        <v>68</v>
      </c>
      <c r="DD930" t="s">
        <v>69</v>
      </c>
      <c r="DE930" t="s">
        <v>70</v>
      </c>
      <c r="DF930">
        <v>11696</v>
      </c>
    </row>
    <row r="931" spans="66:110" x14ac:dyDescent="0.25">
      <c r="BN931" s="1">
        <f t="shared" si="341"/>
        <v>43343</v>
      </c>
      <c r="BO931" s="2">
        <f>SUM(BO$2:BO421)+AI421*B421</f>
        <v>284689.99999999977</v>
      </c>
      <c r="BP931" s="2">
        <f>SUM(BP$2:BP421)+AJ421*C421</f>
        <v>37321.199999999997</v>
      </c>
      <c r="BQ931" s="2">
        <f>SUM(BQ$2:BQ421)+AK421*D421</f>
        <v>213734.29999999987</v>
      </c>
      <c r="BR931" s="2">
        <f>SUM(BR$2:BR421)+AL421*E421</f>
        <v>52136.699999999953</v>
      </c>
      <c r="BS931" s="2">
        <f>SUM(BS$2:BS421)+AM421*F421</f>
        <v>21921.100000000013</v>
      </c>
      <c r="BT931" s="2">
        <f>SUM(BT$2:BT421)+AN421*G421</f>
        <v>9920.1999999999825</v>
      </c>
      <c r="BU931" s="2">
        <f>SUM(BU$2:BU421)+AO421*H421</f>
        <v>10506.600000000006</v>
      </c>
      <c r="BV931" s="2">
        <f>SUM(BV$2:BV421)+AP421*I421</f>
        <v>4654.8999999999796</v>
      </c>
      <c r="BW931" s="2">
        <f>SUM(BW$2:BW421)+AQ421*J421</f>
        <v>1530</v>
      </c>
      <c r="BX931" s="2">
        <f>SUM(BX$2:BX421)+AR421*K421</f>
        <v>13940</v>
      </c>
      <c r="BY931" s="2">
        <f>SUM(BY$2:BY421)+AS421*L421</f>
        <v>-5329.5000000000118</v>
      </c>
      <c r="BZ931" s="2">
        <f>SUM(BZ$2:BZ421)+AT421*M421</f>
        <v>740</v>
      </c>
      <c r="CA931" s="2">
        <f>SUM(CA$2:CA421)+AU421*N421</f>
        <v>12660</v>
      </c>
      <c r="CB931" s="2">
        <f>SUM(CB$2:CB421)+AV421*O421</f>
        <v>26740</v>
      </c>
      <c r="CC931" s="2">
        <f>SUM(CC$2:CC421)+AW421*P421</f>
        <v>-20</v>
      </c>
      <c r="CD931" s="2">
        <f>SUM(CD$2:CD421)+AX421*Q421</f>
        <v>14050</v>
      </c>
      <c r="CE931" s="2">
        <f>SUM(CE$2:CE421)+AY421*R421</f>
        <v>27020</v>
      </c>
      <c r="CF931" s="2">
        <f>SUM(CF$2:CF421)+AZ421*S421</f>
        <v>11283.539999999979</v>
      </c>
      <c r="CG931" s="2">
        <f>SUM(CG$2:CG421)+BA421*T421</f>
        <v>49691.569999999992</v>
      </c>
      <c r="CH931" s="2">
        <f>SUM(CH$2:CH421)+BB421*U421</f>
        <v>30378.860000000015</v>
      </c>
      <c r="CI931" s="2">
        <f>SUM(CI$2:CI421)+BC421*V421</f>
        <v>-11660</v>
      </c>
      <c r="CJ931" s="2">
        <f>SUM(CJ$2:CJ421)+BD421*W421</f>
        <v>140</v>
      </c>
      <c r="CK931" s="2">
        <f>SUM(CK$2:CK421)+BE421*X421</f>
        <v>75330</v>
      </c>
      <c r="CL931" s="2">
        <f>SUM(CL$2:CL421)+BF421*Y421</f>
        <v>328439.99999999988</v>
      </c>
      <c r="CM931" s="2">
        <f>SUM(CM$2:CM421)+BG421*Z421</f>
        <v>163550</v>
      </c>
      <c r="CN931" s="2">
        <f>SUM(CN$2:CN421)+BH421*AA421</f>
        <v>196107.5</v>
      </c>
      <c r="CO931" s="2">
        <f>SUM(CO$2:CO421)+BI421*AB421</f>
        <v>12220</v>
      </c>
      <c r="CP931" s="2">
        <f>SUM(CP$2:CP421)+BJ421*AC421</f>
        <v>12455</v>
      </c>
      <c r="CQ931" s="2">
        <f>SUM(CQ$2:CQ421)+BK421*AD421</f>
        <v>29960.000000000007</v>
      </c>
      <c r="CR931" s="2">
        <f>SUM(CR$2:CR421)+BL421*AE421</f>
        <v>-4660</v>
      </c>
      <c r="CV931" t="s">
        <v>64</v>
      </c>
      <c r="CW931" t="s">
        <v>1004</v>
      </c>
      <c r="CX931" t="s">
        <v>19</v>
      </c>
      <c r="CY931" s="4">
        <v>42902</v>
      </c>
      <c r="CZ931" t="s">
        <v>65</v>
      </c>
      <c r="DA931" t="s">
        <v>66</v>
      </c>
      <c r="DB931">
        <v>3</v>
      </c>
      <c r="DC931">
        <v>68.099999999999994</v>
      </c>
      <c r="DD931" t="s">
        <v>69</v>
      </c>
      <c r="DE931" t="s">
        <v>70</v>
      </c>
      <c r="DF931">
        <v>204.29999999999998</v>
      </c>
    </row>
    <row r="932" spans="66:110" x14ac:dyDescent="0.25">
      <c r="BN932" s="1">
        <f t="shared" si="341"/>
        <v>43347</v>
      </c>
      <c r="BO932" s="2">
        <f>SUM(BO$2:BO422)+AI422*B422</f>
        <v>287569.99999999977</v>
      </c>
      <c r="BP932" s="2">
        <f>SUM(BP$2:BP422)+AJ422*C422</f>
        <v>38637</v>
      </c>
      <c r="BQ932" s="2">
        <f>SUM(BQ$2:BQ422)+AK422*D422</f>
        <v>218158.99999999991</v>
      </c>
      <c r="BR932" s="2">
        <f>SUM(BR$2:BR422)+AL422*E422</f>
        <v>51362.699999999953</v>
      </c>
      <c r="BS932" s="2">
        <f>SUM(BS$2:BS422)+AM422*F422</f>
        <v>21882.400000000009</v>
      </c>
      <c r="BT932" s="2">
        <f>SUM(BT$2:BT422)+AN422*G422</f>
        <v>10436.199999999983</v>
      </c>
      <c r="BU932" s="2">
        <f>SUM(BU$2:BU422)+AO422*H422</f>
        <v>9010.2000000000116</v>
      </c>
      <c r="BV932" s="2">
        <f>SUM(BV$2:BV422)+AP422*I422</f>
        <v>4186.8999999999796</v>
      </c>
      <c r="BW932" s="2">
        <f>SUM(BW$2:BW422)+AQ422*J422</f>
        <v>1380</v>
      </c>
      <c r="BX932" s="2">
        <f>SUM(BX$2:BX422)+AR422*K422</f>
        <v>13940</v>
      </c>
      <c r="BY932" s="2">
        <f>SUM(BY$2:BY422)+AS422*L422</f>
        <v>-5337.300000000012</v>
      </c>
      <c r="BZ932" s="2">
        <f>SUM(BZ$2:BZ422)+AT422*M422</f>
        <v>740</v>
      </c>
      <c r="CA932" s="2">
        <f>SUM(CA$2:CA422)+AU422*N422</f>
        <v>12660</v>
      </c>
      <c r="CB932" s="2">
        <f>SUM(CB$2:CB422)+AV422*O422</f>
        <v>26740</v>
      </c>
      <c r="CC932" s="2">
        <f>SUM(CC$2:CC422)+AW422*P422</f>
        <v>-20</v>
      </c>
      <c r="CD932" s="2">
        <f>SUM(CD$2:CD422)+AX422*Q422</f>
        <v>14050</v>
      </c>
      <c r="CE932" s="2">
        <f>SUM(CE$2:CE422)+AY422*R422</f>
        <v>27020</v>
      </c>
      <c r="CF932" s="2">
        <f>SUM(CF$2:CF422)+AZ422*S422</f>
        <v>10623.299999999959</v>
      </c>
      <c r="CG932" s="2">
        <f>SUM(CG$2:CG422)+BA422*T422</f>
        <v>49023.83</v>
      </c>
      <c r="CH932" s="2">
        <f>SUM(CH$2:CH422)+BB422*U422</f>
        <v>27823.060000000027</v>
      </c>
      <c r="CI932" s="2">
        <f>SUM(CI$2:CI422)+BC422*V422</f>
        <v>-11360</v>
      </c>
      <c r="CJ932" s="2">
        <f>SUM(CJ$2:CJ422)+BD422*W422</f>
        <v>2015</v>
      </c>
      <c r="CK932" s="2">
        <f>SUM(CK$2:CK422)+BE422*X422</f>
        <v>77980</v>
      </c>
      <c r="CL932" s="2">
        <f>SUM(CL$2:CL422)+BF422*Y422</f>
        <v>328560</v>
      </c>
      <c r="CM932" s="2">
        <f>SUM(CM$2:CM422)+BG422*Z422</f>
        <v>164500</v>
      </c>
      <c r="CN932" s="2">
        <f>SUM(CN$2:CN422)+BH422*AA422</f>
        <v>198382.5</v>
      </c>
      <c r="CO932" s="2">
        <f>SUM(CO$2:CO422)+BI422*AB422</f>
        <v>8740</v>
      </c>
      <c r="CP932" s="2">
        <f>SUM(CP$2:CP422)+BJ422*AC422</f>
        <v>14315</v>
      </c>
      <c r="CQ932" s="2">
        <f>SUM(CQ$2:CQ422)+BK422*AD422</f>
        <v>29460.000000000007</v>
      </c>
      <c r="CR932" s="2">
        <f>SUM(CR$2:CR422)+BL422*AE422</f>
        <v>-4540</v>
      </c>
      <c r="CV932" t="s">
        <v>64</v>
      </c>
      <c r="CW932" t="s">
        <v>1005</v>
      </c>
      <c r="CX932" t="s">
        <v>19</v>
      </c>
      <c r="CY932" s="4">
        <v>42905</v>
      </c>
      <c r="CZ932" t="s">
        <v>65</v>
      </c>
      <c r="DA932" t="s">
        <v>66</v>
      </c>
      <c r="DB932">
        <v>127</v>
      </c>
      <c r="DC932">
        <v>68.95</v>
      </c>
      <c r="DD932" t="s">
        <v>69</v>
      </c>
      <c r="DE932" t="s">
        <v>70</v>
      </c>
      <c r="DF932">
        <v>8756.65</v>
      </c>
    </row>
    <row r="933" spans="66:110" x14ac:dyDescent="0.25">
      <c r="BN933" s="1">
        <f t="shared" si="341"/>
        <v>43348</v>
      </c>
      <c r="BO933" s="2">
        <f>SUM(BO$2:BO423)+AI423*B423</f>
        <v>280219.99999999977</v>
      </c>
      <c r="BP933" s="2">
        <f>SUM(BP$2:BP423)+AJ423*C423</f>
        <v>36921</v>
      </c>
      <c r="BQ933" s="2">
        <f>SUM(BQ$2:BQ423)+AK423*D423</f>
        <v>218704.99999999991</v>
      </c>
      <c r="BR933" s="2">
        <f>SUM(BR$2:BR423)+AL423*E423</f>
        <v>54378.699999999953</v>
      </c>
      <c r="BS933" s="2">
        <f>SUM(BS$2:BS423)+AM423*F423</f>
        <v>21284.400000000023</v>
      </c>
      <c r="BT933" s="2">
        <f>SUM(BT$2:BT423)+AN423*G423</f>
        <v>10501.199999999983</v>
      </c>
      <c r="BU933" s="2">
        <f>SUM(BU$2:BU423)+AO423*H423</f>
        <v>7736.2000000000116</v>
      </c>
      <c r="BV933" s="2">
        <f>SUM(BV$2:BV423)+AP423*I423</f>
        <v>4564.4999999999709</v>
      </c>
      <c r="BW933" s="2">
        <f>SUM(BW$2:BW423)+AQ423*J423</f>
        <v>1280</v>
      </c>
      <c r="BX933" s="2">
        <f>SUM(BX$2:BX423)+AR423*K423</f>
        <v>13940</v>
      </c>
      <c r="BY933" s="2">
        <f>SUM(BY$2:BY423)+AS423*L423</f>
        <v>-5327.7000000000116</v>
      </c>
      <c r="BZ933" s="2">
        <f>SUM(BZ$2:BZ423)+AT423*M423</f>
        <v>740</v>
      </c>
      <c r="CA933" s="2">
        <f>SUM(CA$2:CA423)+AU423*N423</f>
        <v>12660</v>
      </c>
      <c r="CB933" s="2">
        <f>SUM(CB$2:CB423)+AV423*O423</f>
        <v>26740</v>
      </c>
      <c r="CC933" s="2">
        <f>SUM(CC$2:CC423)+AW423*P423</f>
        <v>-20</v>
      </c>
      <c r="CD933" s="2">
        <f>SUM(CD$2:CD423)+AX423*Q423</f>
        <v>14050</v>
      </c>
      <c r="CE933" s="2">
        <f>SUM(CE$2:CE423)+AY423*R423</f>
        <v>27020</v>
      </c>
      <c r="CF933" s="2">
        <f>SUM(CF$2:CF423)+AZ423*S423</f>
        <v>11254.259999999973</v>
      </c>
      <c r="CG933" s="2">
        <f>SUM(CG$2:CG423)+BA423*T423</f>
        <v>45910.12999999999</v>
      </c>
      <c r="CH933" s="2">
        <f>SUM(CH$2:CH423)+BB423*U423</f>
        <v>28144.660000000033</v>
      </c>
      <c r="CI933" s="2">
        <f>SUM(CI$2:CI423)+BC423*V423</f>
        <v>-12300</v>
      </c>
      <c r="CJ933" s="2">
        <f>SUM(CJ$2:CJ423)+BD423*W423</f>
        <v>-2335</v>
      </c>
      <c r="CK933" s="2">
        <f>SUM(CK$2:CK423)+BE423*X423</f>
        <v>80230</v>
      </c>
      <c r="CL933" s="2">
        <f>SUM(CL$2:CL423)+BF423*Y423</f>
        <v>325980</v>
      </c>
      <c r="CM933" s="2">
        <f>SUM(CM$2:CM423)+BG423*Z423</f>
        <v>168850</v>
      </c>
      <c r="CN933" s="2">
        <f>SUM(CN$2:CN423)+BH423*AA423</f>
        <v>185607.49999999994</v>
      </c>
      <c r="CO933" s="2">
        <f>SUM(CO$2:CO423)+BI423*AB423</f>
        <v>10600</v>
      </c>
      <c r="CP933" s="2">
        <f>SUM(CP$2:CP423)+BJ423*AC423</f>
        <v>13095</v>
      </c>
      <c r="CQ933" s="2">
        <f>SUM(CQ$2:CQ423)+BK423*AD423</f>
        <v>30720.000000000007</v>
      </c>
      <c r="CR933" s="2">
        <f>SUM(CR$2:CR423)+BL423*AE423</f>
        <v>-3490</v>
      </c>
      <c r="CV933" t="s">
        <v>64</v>
      </c>
      <c r="CW933" t="s">
        <v>1006</v>
      </c>
      <c r="CX933" t="s">
        <v>19</v>
      </c>
      <c r="CY933" s="4">
        <v>42906</v>
      </c>
      <c r="CZ933" t="s">
        <v>67</v>
      </c>
      <c r="DA933" t="s">
        <v>68</v>
      </c>
      <c r="DB933">
        <v>58</v>
      </c>
      <c r="DC933">
        <v>68.010000000000005</v>
      </c>
      <c r="DD933" t="s">
        <v>69</v>
      </c>
      <c r="DE933" t="s">
        <v>70</v>
      </c>
      <c r="DF933">
        <v>3944.5800000000004</v>
      </c>
    </row>
    <row r="934" spans="66:110" x14ac:dyDescent="0.25">
      <c r="BN934" s="1">
        <f t="shared" si="341"/>
        <v>43349</v>
      </c>
      <c r="BO934" s="2">
        <f>SUM(BO$2:BO424)+AI424*B424</f>
        <v>261469.99999999977</v>
      </c>
      <c r="BP934" s="2">
        <f>SUM(BP$2:BP424)+AJ424*C424</f>
        <v>36557</v>
      </c>
      <c r="BQ934" s="2">
        <f>SUM(BQ$2:BQ424)+AK424*D424</f>
        <v>224619.99999999997</v>
      </c>
      <c r="BR934" s="2">
        <f>SUM(BR$2:BR424)+AL424*E424</f>
        <v>55626.699999999953</v>
      </c>
      <c r="BS934" s="2">
        <f>SUM(BS$2:BS424)+AM424*F424</f>
        <v>21297.400000000016</v>
      </c>
      <c r="BT934" s="2">
        <f>SUM(BT$2:BT424)+AN424*G424</f>
        <v>5795.1999999999825</v>
      </c>
      <c r="BU934" s="2">
        <f>SUM(BU$2:BU424)+AO424*H424</f>
        <v>8243.2000000000116</v>
      </c>
      <c r="BV934" s="2">
        <f>SUM(BV$2:BV424)+AP424*I424</f>
        <v>4599.8999999999796</v>
      </c>
      <c r="BW934" s="2">
        <f>SUM(BW$2:BW424)+AQ424*J424</f>
        <v>-1750</v>
      </c>
      <c r="BX934" s="2">
        <f>SUM(BX$2:BX424)+AR424*K424</f>
        <v>13940</v>
      </c>
      <c r="BY934" s="2">
        <f>SUM(BY$2:BY424)+AS424*L424</f>
        <v>-5330.4000000000115</v>
      </c>
      <c r="BZ934" s="2">
        <f>SUM(BZ$2:BZ424)+AT424*M424</f>
        <v>740</v>
      </c>
      <c r="CA934" s="2">
        <f>SUM(CA$2:CA424)+AU424*N424</f>
        <v>12660</v>
      </c>
      <c r="CB934" s="2">
        <f>SUM(CB$2:CB424)+AV424*O424</f>
        <v>26740</v>
      </c>
      <c r="CC934" s="2">
        <f>SUM(CC$2:CC424)+AW424*P424</f>
        <v>-20</v>
      </c>
      <c r="CD934" s="2">
        <f>SUM(CD$2:CD424)+AX424*Q424</f>
        <v>14050</v>
      </c>
      <c r="CE934" s="2">
        <f>SUM(CE$2:CE424)+AY424*R424</f>
        <v>27020</v>
      </c>
      <c r="CF934" s="2">
        <f>SUM(CF$2:CF424)+AZ424*S424</f>
        <v>12026.759999999973</v>
      </c>
      <c r="CG934" s="2">
        <f>SUM(CG$2:CG424)+BA424*T424</f>
        <v>46140.12999999999</v>
      </c>
      <c r="CH934" s="2">
        <f>SUM(CH$2:CH424)+BB424*U424</f>
        <v>28597.300000000017</v>
      </c>
      <c r="CI934" s="2">
        <f>SUM(CI$2:CI424)+BC424*V424</f>
        <v>-12160</v>
      </c>
      <c r="CJ934" s="2">
        <f>SUM(CJ$2:CJ424)+BD424*W424</f>
        <v>2390</v>
      </c>
      <c r="CK934" s="2">
        <f>SUM(CK$2:CK424)+BE424*X424</f>
        <v>80130</v>
      </c>
      <c r="CL934" s="2">
        <f>SUM(CL$2:CL424)+BF424*Y424</f>
        <v>334680.00000000012</v>
      </c>
      <c r="CM934" s="2">
        <f>SUM(CM$2:CM424)+BG424*Z424</f>
        <v>172500</v>
      </c>
      <c r="CN934" s="2">
        <f>SUM(CN$2:CN424)+BH424*AA424</f>
        <v>190157.5</v>
      </c>
      <c r="CO934" s="2">
        <f>SUM(CO$2:CO424)+BI424*AB424</f>
        <v>11980</v>
      </c>
      <c r="CP934" s="2">
        <f>SUM(CP$2:CP424)+BJ424*AC424</f>
        <v>13515</v>
      </c>
      <c r="CQ934" s="2">
        <f>SUM(CQ$2:CQ424)+BK424*AD424</f>
        <v>30550.000000000007</v>
      </c>
      <c r="CR934" s="2">
        <f>SUM(CR$2:CR424)+BL424*AE424</f>
        <v>-4370</v>
      </c>
      <c r="CV934" t="s">
        <v>64</v>
      </c>
      <c r="CW934" t="s">
        <v>1007</v>
      </c>
      <c r="CX934" t="s">
        <v>19</v>
      </c>
      <c r="CY934" s="4">
        <v>42907</v>
      </c>
      <c r="CZ934" t="s">
        <v>65</v>
      </c>
      <c r="DA934" t="s">
        <v>66</v>
      </c>
      <c r="DB934">
        <v>112</v>
      </c>
      <c r="DC934">
        <v>68.36</v>
      </c>
      <c r="DD934" t="s">
        <v>69</v>
      </c>
      <c r="DE934" t="s">
        <v>70</v>
      </c>
      <c r="DF934">
        <v>7656.32</v>
      </c>
    </row>
    <row r="935" spans="66:110" x14ac:dyDescent="0.25">
      <c r="BN935" s="1">
        <f t="shared" si="341"/>
        <v>43350</v>
      </c>
      <c r="BO935" s="2">
        <f>SUM(BO$2:BO425)+AI425*B425</f>
        <v>252569.99999999977</v>
      </c>
      <c r="BP935" s="2">
        <f>SUM(BP$2:BP425)+AJ425*C425</f>
        <v>37441</v>
      </c>
      <c r="BQ935" s="2">
        <f>SUM(BQ$2:BQ425)+AK425*D425</f>
        <v>222058.99999999991</v>
      </c>
      <c r="BR935" s="2">
        <f>SUM(BR$2:BR425)+AL425*E425</f>
        <v>55314.699999999953</v>
      </c>
      <c r="BS935" s="2">
        <f>SUM(BS$2:BS425)+AM425*F425</f>
        <v>21011.400000000016</v>
      </c>
      <c r="BT935" s="2">
        <f>SUM(BT$2:BT425)+AN425*G425</f>
        <v>4989.1999999999825</v>
      </c>
      <c r="BU935" s="2">
        <f>SUM(BU$2:BU425)+AO425*H425</f>
        <v>9166.2000000000116</v>
      </c>
      <c r="BV935" s="2">
        <f>SUM(BV$2:BV425)+AP425*I425</f>
        <v>4517.2999999999884</v>
      </c>
      <c r="BW935" s="2">
        <f>SUM(BW$2:BW425)+AQ425*J425</f>
        <v>-2350</v>
      </c>
      <c r="BX935" s="2">
        <f>SUM(BX$2:BX425)+AR425*K425</f>
        <v>13940</v>
      </c>
      <c r="BY935" s="2">
        <f>SUM(BY$2:BY425)+AS425*L425</f>
        <v>-5339.5000000000118</v>
      </c>
      <c r="BZ935" s="2">
        <f>SUM(BZ$2:BZ425)+AT425*M425</f>
        <v>740</v>
      </c>
      <c r="CA935" s="2">
        <f>SUM(CA$2:CA425)+AU425*N425</f>
        <v>12660</v>
      </c>
      <c r="CB935" s="2">
        <f>SUM(CB$2:CB425)+AV425*O425</f>
        <v>26740</v>
      </c>
      <c r="CC935" s="2">
        <f>SUM(CC$2:CC425)+AW425*P425</f>
        <v>-20</v>
      </c>
      <c r="CD935" s="2">
        <f>SUM(CD$2:CD425)+AX425*Q425</f>
        <v>14050</v>
      </c>
      <c r="CE935" s="2">
        <f>SUM(CE$2:CE425)+AY425*R425</f>
        <v>27020</v>
      </c>
      <c r="CF935" s="2">
        <f>SUM(CF$2:CF425)+AZ425*S425</f>
        <v>12329.809999999969</v>
      </c>
      <c r="CG935" s="2">
        <f>SUM(CG$2:CG425)+BA425*T425</f>
        <v>45557.659999999989</v>
      </c>
      <c r="CH935" s="2">
        <f>SUM(CH$2:CH425)+BB425*U425</f>
        <v>28503.400000000031</v>
      </c>
      <c r="CI935" s="2">
        <f>SUM(CI$2:CI425)+BC425*V425</f>
        <v>-12980</v>
      </c>
      <c r="CJ935" s="2">
        <f>SUM(CJ$2:CJ425)+BD425*W425</f>
        <v>7790</v>
      </c>
      <c r="CK935" s="2">
        <f>SUM(CK$2:CK425)+BE425*X425</f>
        <v>71630</v>
      </c>
      <c r="CL935" s="2">
        <f>SUM(CL$2:CL425)+BF425*Y425</f>
        <v>330600</v>
      </c>
      <c r="CM935" s="2">
        <f>SUM(CM$2:CM425)+BG425*Z425</f>
        <v>165050</v>
      </c>
      <c r="CN935" s="2">
        <f>SUM(CN$2:CN425)+BH425*AA425</f>
        <v>186907.5</v>
      </c>
      <c r="CO935" s="2">
        <f>SUM(CO$2:CO425)+BI425*AB425</f>
        <v>11140</v>
      </c>
      <c r="CP935" s="2">
        <f>SUM(CP$2:CP425)+BJ425*AC425</f>
        <v>13195</v>
      </c>
      <c r="CQ935" s="2">
        <f>SUM(CQ$2:CQ425)+BK425*AD425</f>
        <v>29930.000000000007</v>
      </c>
      <c r="CR935" s="2">
        <f>SUM(CR$2:CR425)+BL425*AE425</f>
        <v>-3030</v>
      </c>
      <c r="CV935" t="s">
        <v>64</v>
      </c>
      <c r="CW935" t="s">
        <v>1008</v>
      </c>
      <c r="CX935" t="s">
        <v>19</v>
      </c>
      <c r="CY935" s="4">
        <v>42908</v>
      </c>
      <c r="CZ935" t="s">
        <v>67</v>
      </c>
      <c r="DA935" t="s">
        <v>68</v>
      </c>
      <c r="DB935">
        <v>143</v>
      </c>
      <c r="DC935">
        <v>68.36</v>
      </c>
      <c r="DD935" t="s">
        <v>69</v>
      </c>
      <c r="DE935" t="s">
        <v>70</v>
      </c>
      <c r="DF935">
        <v>9775.48</v>
      </c>
    </row>
    <row r="936" spans="66:110" x14ac:dyDescent="0.25">
      <c r="BN936" s="1">
        <f t="shared" si="341"/>
        <v>43353</v>
      </c>
      <c r="BO936" s="2">
        <f>SUM(BO$2:BO426)+AI426*B426</f>
        <v>242244.99999999977</v>
      </c>
      <c r="BP936" s="2">
        <f>SUM(BP$2:BP426)+AJ426*C426</f>
        <v>39001</v>
      </c>
      <c r="BQ936" s="2">
        <f>SUM(BQ$2:BQ426)+AK426*D426</f>
        <v>212503.99999999985</v>
      </c>
      <c r="BR936" s="2">
        <f>SUM(BR$2:BR426)+AL426*E426</f>
        <v>56250.699999999953</v>
      </c>
      <c r="BS936" s="2">
        <f>SUM(BS$2:BS426)+AM426*F426</f>
        <v>21024.400000000016</v>
      </c>
      <c r="BT936" s="2">
        <f>SUM(BT$2:BT426)+AN426*G426</f>
        <v>4833.1999999999825</v>
      </c>
      <c r="BU936" s="2">
        <f>SUM(BU$2:BU426)+AO426*H426</f>
        <v>8789.2000000000116</v>
      </c>
      <c r="BV936" s="2">
        <f>SUM(BV$2:BV426)+AP426*I426</f>
        <v>4576.2999999999738</v>
      </c>
      <c r="BW936" s="2">
        <f>SUM(BW$2:BW426)+AQ426*J426</f>
        <v>-4350</v>
      </c>
      <c r="BX936" s="2">
        <f>SUM(BX$2:BX426)+AR426*K426</f>
        <v>13940</v>
      </c>
      <c r="BY936" s="2">
        <f>SUM(BY$2:BY426)+AS426*L426</f>
        <v>-5337.6000000000113</v>
      </c>
      <c r="BZ936" s="2">
        <f>SUM(BZ$2:BZ426)+AT426*M426</f>
        <v>740</v>
      </c>
      <c r="CA936" s="2">
        <f>SUM(CA$2:CA426)+AU426*N426</f>
        <v>12660</v>
      </c>
      <c r="CB936" s="2">
        <f>SUM(CB$2:CB426)+AV426*O426</f>
        <v>26740</v>
      </c>
      <c r="CC936" s="2">
        <f>SUM(CC$2:CC426)+AW426*P426</f>
        <v>-20</v>
      </c>
      <c r="CD936" s="2">
        <f>SUM(CD$2:CD426)+AX426*Q426</f>
        <v>14050</v>
      </c>
      <c r="CE936" s="2">
        <f>SUM(CE$2:CE426)+AY426*R426</f>
        <v>27020</v>
      </c>
      <c r="CF936" s="2">
        <f>SUM(CF$2:CF426)+AZ426*S426</f>
        <v>12217.939999999966</v>
      </c>
      <c r="CG936" s="2">
        <f>SUM(CG$2:CG426)+BA426*T426</f>
        <v>46830.619999999995</v>
      </c>
      <c r="CH936" s="2">
        <f>SUM(CH$2:CH426)+BB426*U426</f>
        <v>30411.400000000023</v>
      </c>
      <c r="CI936" s="2">
        <f>SUM(CI$2:CI426)+BC426*V426</f>
        <v>-12720</v>
      </c>
      <c r="CJ936" s="2">
        <f>SUM(CJ$2:CJ426)+BD426*W426</f>
        <v>4340</v>
      </c>
      <c r="CK936" s="2">
        <f>SUM(CK$2:CK426)+BE426*X426</f>
        <v>59280</v>
      </c>
      <c r="CL936" s="2">
        <f>SUM(CL$2:CL426)+BF426*Y426</f>
        <v>305009.99999999988</v>
      </c>
      <c r="CM936" s="2">
        <f>SUM(CM$2:CM426)+BG426*Z426</f>
        <v>173150</v>
      </c>
      <c r="CN936" s="2">
        <f>SUM(CN$2:CN426)+BH426*AA426</f>
        <v>189107.5</v>
      </c>
      <c r="CO936" s="2">
        <f>SUM(CO$2:CO426)+BI426*AB426</f>
        <v>11470</v>
      </c>
      <c r="CP936" s="2">
        <f>SUM(CP$2:CP426)+BJ426*AC426</f>
        <v>11995</v>
      </c>
      <c r="CQ936" s="2">
        <f>SUM(CQ$2:CQ426)+BK426*AD426</f>
        <v>30990.000000000007</v>
      </c>
      <c r="CR936" s="2">
        <f>SUM(CR$2:CR426)+BL426*AE426</f>
        <v>-3150</v>
      </c>
      <c r="CV936" t="s">
        <v>64</v>
      </c>
      <c r="CW936" t="s">
        <v>1009</v>
      </c>
      <c r="CX936" t="s">
        <v>19</v>
      </c>
      <c r="CY936" s="4">
        <v>42909</v>
      </c>
      <c r="CZ936" t="s">
        <v>65</v>
      </c>
      <c r="DA936" t="s">
        <v>66</v>
      </c>
      <c r="DB936">
        <v>19</v>
      </c>
      <c r="DC936">
        <v>69.28</v>
      </c>
      <c r="DD936" t="s">
        <v>69</v>
      </c>
      <c r="DE936" t="s">
        <v>70</v>
      </c>
      <c r="DF936">
        <v>1316.32</v>
      </c>
    </row>
    <row r="937" spans="66:110" x14ac:dyDescent="0.25">
      <c r="BN937" s="1">
        <f t="shared" si="341"/>
        <v>43354</v>
      </c>
      <c r="BO937" s="2">
        <f>SUM(BO$2:BO427)+AI427*B427</f>
        <v>247724.99999999977</v>
      </c>
      <c r="BP937" s="2">
        <f>SUM(BP$2:BP427)+AJ427*C427</f>
        <v>40327</v>
      </c>
      <c r="BQ937" s="2">
        <f>SUM(BQ$2:BQ427)+AK427*D427</f>
        <v>216871.99999999991</v>
      </c>
      <c r="BR937" s="2">
        <f>SUM(BR$2:BR427)+AL427*E427</f>
        <v>56224.699999999953</v>
      </c>
      <c r="BS937" s="2">
        <f>SUM(BS$2:BS427)+AM427*F427</f>
        <v>20985.400000000016</v>
      </c>
      <c r="BT937" s="2">
        <f>SUM(BT$2:BT427)+AN427*G427</f>
        <v>5522.1999999999825</v>
      </c>
      <c r="BU937" s="2">
        <f>SUM(BU$2:BU427)+AO427*H427</f>
        <v>7398.2000000000116</v>
      </c>
      <c r="BV937" s="2">
        <f>SUM(BV$2:BV427)+AP427*I427</f>
        <v>4599.8999999999796</v>
      </c>
      <c r="BW937" s="2">
        <f>SUM(BW$2:BW427)+AQ427*J427</f>
        <v>-6040</v>
      </c>
      <c r="BX937" s="2">
        <f>SUM(BX$2:BX427)+AR427*K427</f>
        <v>13940</v>
      </c>
      <c r="BY937" s="2">
        <f>SUM(BY$2:BY427)+AS427*L427</f>
        <v>-5329.4000000000115</v>
      </c>
      <c r="BZ937" s="2">
        <f>SUM(BZ$2:BZ427)+AT427*M427</f>
        <v>740</v>
      </c>
      <c r="CA937" s="2">
        <f>SUM(CA$2:CA427)+AU427*N427</f>
        <v>12660</v>
      </c>
      <c r="CB937" s="2">
        <f>SUM(CB$2:CB427)+AV427*O427</f>
        <v>26740</v>
      </c>
      <c r="CC937" s="2">
        <f>SUM(CC$2:CC427)+AW427*P427</f>
        <v>-20</v>
      </c>
      <c r="CD937" s="2">
        <f>SUM(CD$2:CD427)+AX427*Q427</f>
        <v>14050</v>
      </c>
      <c r="CE937" s="2">
        <f>SUM(CE$2:CE427)+AY427*R427</f>
        <v>27020</v>
      </c>
      <c r="CF937" s="2">
        <f>SUM(CF$2:CF427)+AZ427*S427</f>
        <v>11726.419999999962</v>
      </c>
      <c r="CG937" s="2">
        <f>SUM(CG$2:CG427)+BA427*T427</f>
        <v>48850.820000000007</v>
      </c>
      <c r="CH937" s="2">
        <f>SUM(CH$2:CH427)+BB427*U427</f>
        <v>30990.690000000031</v>
      </c>
      <c r="CI937" s="2">
        <f>SUM(CI$2:CI427)+BC427*V427</f>
        <v>-13200</v>
      </c>
      <c r="CJ937" s="2">
        <f>SUM(CJ$2:CJ427)+BD427*W427</f>
        <v>7115</v>
      </c>
      <c r="CK937" s="2">
        <f>SUM(CK$2:CK427)+BE427*X427</f>
        <v>60530</v>
      </c>
      <c r="CL937" s="2">
        <f>SUM(CL$2:CL427)+BF427*Y427</f>
        <v>308939.99999999988</v>
      </c>
      <c r="CM937" s="2">
        <f>SUM(CM$2:CM427)+BG427*Z427</f>
        <v>172950</v>
      </c>
      <c r="CN937" s="2">
        <f>SUM(CN$2:CN427)+BH427*AA427</f>
        <v>192632.5</v>
      </c>
      <c r="CO937" s="2">
        <f>SUM(CO$2:CO427)+BI427*AB427</f>
        <v>13240</v>
      </c>
      <c r="CP937" s="2">
        <f>SUM(CP$2:CP427)+BJ427*AC427</f>
        <v>12095</v>
      </c>
      <c r="CQ937" s="2">
        <f>SUM(CQ$2:CQ427)+BK427*AD427</f>
        <v>30740.000000000007</v>
      </c>
      <c r="CR937" s="2">
        <f>SUM(CR$2:CR427)+BL427*AE427</f>
        <v>-2020</v>
      </c>
      <c r="CV937" t="s">
        <v>64</v>
      </c>
      <c r="CW937" t="s">
        <v>1010</v>
      </c>
      <c r="CX937" t="s">
        <v>19</v>
      </c>
      <c r="CY937" s="4">
        <v>42912</v>
      </c>
      <c r="CZ937" t="s">
        <v>65</v>
      </c>
      <c r="DA937" t="s">
        <v>66</v>
      </c>
      <c r="DB937">
        <v>76</v>
      </c>
      <c r="DC937">
        <v>68.62</v>
      </c>
      <c r="DD937" t="s">
        <v>69</v>
      </c>
      <c r="DE937" t="s">
        <v>70</v>
      </c>
      <c r="DF937">
        <v>5215.1200000000008</v>
      </c>
    </row>
    <row r="938" spans="66:110" x14ac:dyDescent="0.25">
      <c r="BN938" s="1">
        <f t="shared" si="341"/>
        <v>43355</v>
      </c>
      <c r="BO938" s="2">
        <f>SUM(BO$2:BO428)+AI428*B428</f>
        <v>247724.99999999977</v>
      </c>
      <c r="BP938" s="2">
        <f>SUM(BP$2:BP428)+AJ428*C428</f>
        <v>39768</v>
      </c>
      <c r="BQ938" s="2">
        <f>SUM(BQ$2:BQ428)+AK428*D428</f>
        <v>227375.99999999985</v>
      </c>
      <c r="BR938" s="2">
        <f>SUM(BR$2:BR428)+AL428*E428</f>
        <v>59110.699999999924</v>
      </c>
      <c r="BS938" s="2">
        <f>SUM(BS$2:BS428)+AM428*F428</f>
        <v>20803.400000000016</v>
      </c>
      <c r="BT938" s="2">
        <f>SUM(BT$2:BT428)+AN428*G428</f>
        <v>6510.1999999999825</v>
      </c>
      <c r="BU938" s="2">
        <f>SUM(BU$2:BU428)+AO428*H428</f>
        <v>7216.2000000000116</v>
      </c>
      <c r="BV938" s="2">
        <f>SUM(BV$2:BV428)+AP428*I428</f>
        <v>3620.4999999999709</v>
      </c>
      <c r="BW938" s="2">
        <f>SUM(BW$2:BW428)+AQ428*J428</f>
        <v>-8090</v>
      </c>
      <c r="BX938" s="2">
        <f>SUM(BX$2:BX428)+AR428*K428</f>
        <v>13940</v>
      </c>
      <c r="BY938" s="2">
        <f>SUM(BY$2:BY428)+AS428*L428</f>
        <v>-5328.6000000000113</v>
      </c>
      <c r="BZ938" s="2">
        <f>SUM(BZ$2:BZ428)+AT428*M428</f>
        <v>740</v>
      </c>
      <c r="CA938" s="2">
        <f>SUM(CA$2:CA428)+AU428*N428</f>
        <v>12660</v>
      </c>
      <c r="CB938" s="2">
        <f>SUM(CB$2:CB428)+AV428*O428</f>
        <v>26740</v>
      </c>
      <c r="CC938" s="2">
        <f>SUM(CC$2:CC428)+AW428*P428</f>
        <v>-20</v>
      </c>
      <c r="CD938" s="2">
        <f>SUM(CD$2:CD428)+AX428*Q428</f>
        <v>14050</v>
      </c>
      <c r="CE938" s="2">
        <f>SUM(CE$2:CE428)+AY428*R428</f>
        <v>27020</v>
      </c>
      <c r="CF938" s="2">
        <f>SUM(CF$2:CF428)+AZ428*S428</f>
        <v>12495.649999999972</v>
      </c>
      <c r="CG938" s="2">
        <f>SUM(CG$2:CG428)+BA428*T428</f>
        <v>49277.110000000008</v>
      </c>
      <c r="CH938" s="2">
        <f>SUM(CH$2:CH428)+BB428*U428</f>
        <v>31375.530000000028</v>
      </c>
      <c r="CI938" s="2">
        <f>SUM(CI$2:CI428)+BC428*V428</f>
        <v>-13400</v>
      </c>
      <c r="CJ938" s="2">
        <f>SUM(CJ$2:CJ428)+BD428*W428</f>
        <v>-1060</v>
      </c>
      <c r="CK938" s="2">
        <f>SUM(CK$2:CK428)+BE428*X428</f>
        <v>55730</v>
      </c>
      <c r="CL938" s="2">
        <f>SUM(CL$2:CL428)+BF428*Y428</f>
        <v>313800</v>
      </c>
      <c r="CM938" s="2">
        <f>SUM(CM$2:CM428)+BG428*Z428</f>
        <v>174350</v>
      </c>
      <c r="CN938" s="2">
        <f>SUM(CN$2:CN428)+BH428*AA428</f>
        <v>195307.5</v>
      </c>
      <c r="CO938" s="2">
        <f>SUM(CO$2:CO428)+BI428*AB428</f>
        <v>13990</v>
      </c>
      <c r="CP938" s="2">
        <f>SUM(CP$2:CP428)+BJ428*AC428</f>
        <v>8855</v>
      </c>
      <c r="CQ938" s="2">
        <f>SUM(CQ$2:CQ428)+BK428*AD428</f>
        <v>30070.000000000007</v>
      </c>
      <c r="CR938" s="2">
        <f>SUM(CR$2:CR428)+BL428*AE428</f>
        <v>-1760</v>
      </c>
      <c r="CV938" t="s">
        <v>64</v>
      </c>
      <c r="CW938" t="s">
        <v>1011</v>
      </c>
      <c r="CX938" t="s">
        <v>19</v>
      </c>
      <c r="CY938" s="4">
        <v>42913</v>
      </c>
      <c r="CZ938" t="s">
        <v>65</v>
      </c>
      <c r="DA938" t="s">
        <v>66</v>
      </c>
      <c r="DB938">
        <v>25</v>
      </c>
      <c r="DC938">
        <v>67.33</v>
      </c>
      <c r="DD938" t="s">
        <v>69</v>
      </c>
      <c r="DE938" t="s">
        <v>70</v>
      </c>
      <c r="DF938">
        <v>1683.25</v>
      </c>
    </row>
    <row r="939" spans="66:110" x14ac:dyDescent="0.25">
      <c r="BN939" s="1">
        <f t="shared" si="341"/>
        <v>43356</v>
      </c>
      <c r="BO939" s="2">
        <f>SUM(BO$2:BO429)+AI429*B429</f>
        <v>247724.99999999977</v>
      </c>
      <c r="BP939" s="2">
        <f>SUM(BP$2:BP429)+AJ429*C429</f>
        <v>40782</v>
      </c>
      <c r="BQ939" s="2">
        <f>SUM(BQ$2:BQ429)+AK429*D429</f>
        <v>230014.99999999991</v>
      </c>
      <c r="BR939" s="2">
        <f>SUM(BR$2:BR429)+AL429*E429</f>
        <v>60722.699999999953</v>
      </c>
      <c r="BS939" s="2">
        <f>SUM(BS$2:BS429)+AM429*F429</f>
        <v>21245.400000000016</v>
      </c>
      <c r="BT939" s="2">
        <f>SUM(BT$2:BT429)+AN429*G429</f>
        <v>7160.1999999999825</v>
      </c>
      <c r="BU939" s="2">
        <f>SUM(BU$2:BU429)+AO429*H429</f>
        <v>8776.2000000000116</v>
      </c>
      <c r="BV939" s="2">
        <f>SUM(BV$2:BV429)+AP429*I429</f>
        <v>3242.8999999999651</v>
      </c>
      <c r="BW939" s="2">
        <f>SUM(BW$2:BW429)+AQ429*J429</f>
        <v>-7910</v>
      </c>
      <c r="BX939" s="2">
        <f>SUM(BX$2:BX429)+AR429*K429</f>
        <v>13940</v>
      </c>
      <c r="BY939" s="2">
        <f>SUM(BY$2:BY429)+AS429*L429</f>
        <v>-5305.4000000000115</v>
      </c>
      <c r="BZ939" s="2">
        <f>SUM(BZ$2:BZ429)+AT429*M429</f>
        <v>740</v>
      </c>
      <c r="CA939" s="2">
        <f>SUM(CA$2:CA429)+AU429*N429</f>
        <v>12660</v>
      </c>
      <c r="CB939" s="2">
        <f>SUM(CB$2:CB429)+AV429*O429</f>
        <v>26740</v>
      </c>
      <c r="CC939" s="2">
        <f>SUM(CC$2:CC429)+AW429*P429</f>
        <v>-20</v>
      </c>
      <c r="CD939" s="2">
        <f>SUM(CD$2:CD429)+AX429*Q429</f>
        <v>14050</v>
      </c>
      <c r="CE939" s="2">
        <f>SUM(CE$2:CE429)+AY429*R429</f>
        <v>27020</v>
      </c>
      <c r="CF939" s="2">
        <f>SUM(CF$2:CF429)+AZ429*S429</f>
        <v>13425.88999999997</v>
      </c>
      <c r="CG939" s="2">
        <f>SUM(CG$2:CG429)+BA429*T429</f>
        <v>50448.070000000007</v>
      </c>
      <c r="CH939" s="2">
        <f>SUM(CH$2:CH429)+BB429*U429</f>
        <v>31858.220000000023</v>
      </c>
      <c r="CI939" s="2">
        <f>SUM(CI$2:CI429)+BC429*V429</f>
        <v>-14260</v>
      </c>
      <c r="CJ939" s="2">
        <f>SUM(CJ$2:CJ429)+BD429*W429</f>
        <v>-3535</v>
      </c>
      <c r="CK939" s="2">
        <f>SUM(CK$2:CK429)+BE429*X429</f>
        <v>65380</v>
      </c>
      <c r="CL939" s="2">
        <f>SUM(CL$2:CL429)+BF429*Y429</f>
        <v>322230</v>
      </c>
      <c r="CM939" s="2">
        <f>SUM(CM$2:CM429)+BG429*Z429</f>
        <v>182400</v>
      </c>
      <c r="CN939" s="2">
        <f>SUM(CN$2:CN429)+BH429*AA429</f>
        <v>197957.50000000006</v>
      </c>
      <c r="CO939" s="2">
        <f>SUM(CO$2:CO429)+BI429*AB429</f>
        <v>13900</v>
      </c>
      <c r="CP939" s="2">
        <f>SUM(CP$2:CP429)+BJ429*AC429</f>
        <v>8655</v>
      </c>
      <c r="CQ939" s="2">
        <f>SUM(CQ$2:CQ429)+BK429*AD429</f>
        <v>29220.000000000007</v>
      </c>
      <c r="CR939" s="2">
        <f>SUM(CR$2:CR429)+BL429*AE429</f>
        <v>-2550</v>
      </c>
      <c r="CV939" t="s">
        <v>64</v>
      </c>
      <c r="CW939" t="s">
        <v>1012</v>
      </c>
      <c r="CX939" t="s">
        <v>19</v>
      </c>
      <c r="CY939" s="4">
        <v>42914</v>
      </c>
      <c r="CZ939" t="s">
        <v>67</v>
      </c>
      <c r="DA939" t="s">
        <v>68</v>
      </c>
      <c r="DB939">
        <v>141</v>
      </c>
      <c r="DC939">
        <v>67.91</v>
      </c>
      <c r="DD939" t="s">
        <v>69</v>
      </c>
      <c r="DE939" t="s">
        <v>70</v>
      </c>
      <c r="DF939">
        <v>9575.31</v>
      </c>
    </row>
    <row r="940" spans="66:110" x14ac:dyDescent="0.25">
      <c r="BN940" s="1">
        <f t="shared" si="341"/>
        <v>43357</v>
      </c>
      <c r="BO940" s="2">
        <f>SUM(BO$2:BO430)+AI430*B430</f>
        <v>247724.99999999977</v>
      </c>
      <c r="BP940" s="2">
        <f>SUM(BP$2:BP430)+AJ430*C430</f>
        <v>41939</v>
      </c>
      <c r="BQ940" s="2">
        <f>SUM(BQ$2:BQ430)+AK430*D430</f>
        <v>235604.99999999991</v>
      </c>
      <c r="BR940" s="2">
        <f>SUM(BR$2:BR430)+AL430*E430</f>
        <v>59903.699999999953</v>
      </c>
      <c r="BS940" s="2">
        <f>SUM(BS$2:BS430)+AM430*F430</f>
        <v>21453.400000000016</v>
      </c>
      <c r="BT940" s="2">
        <f>SUM(BT$2:BT430)+AN430*G430</f>
        <v>8538.1999999999825</v>
      </c>
      <c r="BU940" s="2">
        <f>SUM(BU$2:BU430)+AO430*H430</f>
        <v>6956.2000000000116</v>
      </c>
      <c r="BV940" s="2">
        <f>SUM(BV$2:BV430)+AP430*I430</f>
        <v>2841.6999999999825</v>
      </c>
      <c r="BW940" s="2">
        <f>SUM(BW$2:BW430)+AQ430*J430</f>
        <v>-7000</v>
      </c>
      <c r="BX940" s="2">
        <f>SUM(BX$2:BX430)+AR430*K430</f>
        <v>13940</v>
      </c>
      <c r="BY940" s="2">
        <f>SUM(BY$2:BY430)+AS430*L430</f>
        <v>-5311.4000000000115</v>
      </c>
      <c r="BZ940" s="2">
        <f>SUM(BZ$2:BZ430)+AT430*M430</f>
        <v>740</v>
      </c>
      <c r="CA940" s="2">
        <f>SUM(CA$2:CA430)+AU430*N430</f>
        <v>12660</v>
      </c>
      <c r="CB940" s="2">
        <f>SUM(CB$2:CB430)+AV430*O430</f>
        <v>26740</v>
      </c>
      <c r="CC940" s="2">
        <f>SUM(CC$2:CC430)+AW430*P430</f>
        <v>-20</v>
      </c>
      <c r="CD940" s="2">
        <f>SUM(CD$2:CD430)+AX430*Q430</f>
        <v>14050</v>
      </c>
      <c r="CE940" s="2">
        <f>SUM(CE$2:CE430)+AY430*R430</f>
        <v>27020</v>
      </c>
      <c r="CF940" s="2">
        <f>SUM(CF$2:CF430)+AZ430*S430</f>
        <v>13046.63999999997</v>
      </c>
      <c r="CG940" s="2">
        <f>SUM(CG$2:CG430)+BA430*T430</f>
        <v>50952.229999999996</v>
      </c>
      <c r="CH940" s="2">
        <f>SUM(CH$2:CH430)+BB430*U430</f>
        <v>31877.180000000015</v>
      </c>
      <c r="CI940" s="2">
        <f>SUM(CI$2:CI430)+BC430*V430</f>
        <v>-14480</v>
      </c>
      <c r="CJ940" s="2">
        <f>SUM(CJ$2:CJ430)+BD430*W430</f>
        <v>-4735</v>
      </c>
      <c r="CK940" s="2">
        <f>SUM(CK$2:CK430)+BE430*X430</f>
        <v>71230</v>
      </c>
      <c r="CL940" s="2">
        <f>SUM(CL$2:CL430)+BF430*Y430</f>
        <v>321689.99999999988</v>
      </c>
      <c r="CM940" s="2">
        <f>SUM(CM$2:CM430)+BG430*Z430</f>
        <v>193650</v>
      </c>
      <c r="CN940" s="2">
        <f>SUM(CN$2:CN430)+BH430*AA430</f>
        <v>198482.5</v>
      </c>
      <c r="CO940" s="2">
        <f>SUM(CO$2:CO430)+BI430*AB430</f>
        <v>12760</v>
      </c>
      <c r="CP940" s="2">
        <f>SUM(CP$2:CP430)+BJ430*AC430</f>
        <v>9055</v>
      </c>
      <c r="CQ940" s="2">
        <f>SUM(CQ$2:CQ430)+BK430*AD430</f>
        <v>28700.000000000007</v>
      </c>
      <c r="CR940" s="2">
        <f>SUM(CR$2:CR430)+BL430*AE430</f>
        <v>-1960</v>
      </c>
      <c r="CV940" t="s">
        <v>64</v>
      </c>
      <c r="CW940" t="s">
        <v>1013</v>
      </c>
      <c r="CX940" t="s">
        <v>19</v>
      </c>
      <c r="CY940" s="4">
        <v>42915</v>
      </c>
      <c r="CZ940" t="s">
        <v>65</v>
      </c>
      <c r="DA940" t="s">
        <v>66</v>
      </c>
      <c r="DB940">
        <v>51</v>
      </c>
      <c r="DC940">
        <v>66.63</v>
      </c>
      <c r="DD940" t="s">
        <v>69</v>
      </c>
      <c r="DE940" t="s">
        <v>70</v>
      </c>
      <c r="DF940">
        <v>3398.1299999999997</v>
      </c>
    </row>
    <row r="941" spans="66:110" x14ac:dyDescent="0.25">
      <c r="BN941" s="1">
        <f t="shared" si="341"/>
        <v>43360</v>
      </c>
      <c r="BO941" s="2">
        <f>SUM(BO$2:BO431)+AI431*B431</f>
        <v>247724.99999999977</v>
      </c>
      <c r="BP941" s="2">
        <f>SUM(BP$2:BP431)+AJ431*C431</f>
        <v>41471</v>
      </c>
      <c r="BQ941" s="2">
        <f>SUM(BQ$2:BQ431)+AK431*D431</f>
        <v>230651.99999999991</v>
      </c>
      <c r="BR941" s="2">
        <f>SUM(BR$2:BR431)+AL431*E431</f>
        <v>61606.699999999953</v>
      </c>
      <c r="BS941" s="2">
        <f>SUM(BS$2:BS431)+AM431*F431</f>
        <v>21076.400000000016</v>
      </c>
      <c r="BT941" s="2">
        <f>SUM(BT$2:BT431)+AN431*G431</f>
        <v>8694.1999999999825</v>
      </c>
      <c r="BU941" s="2">
        <f>SUM(BU$2:BU431)+AO431*H431</f>
        <v>7086.2000000000116</v>
      </c>
      <c r="BV941" s="2">
        <f>SUM(BV$2:BV431)+AP431*I431</f>
        <v>3124.8999999999796</v>
      </c>
      <c r="BW941" s="2">
        <f>SUM(BW$2:BW431)+AQ431*J431</f>
        <v>-8350</v>
      </c>
      <c r="BX941" s="2">
        <f>SUM(BX$2:BX431)+AR431*K431</f>
        <v>13940</v>
      </c>
      <c r="BY941" s="2">
        <f>SUM(BY$2:BY431)+AS431*L431</f>
        <v>-5315.2000000000116</v>
      </c>
      <c r="BZ941" s="2">
        <f>SUM(BZ$2:BZ431)+AT431*M431</f>
        <v>740</v>
      </c>
      <c r="CA941" s="2">
        <f>SUM(CA$2:CA431)+AU431*N431</f>
        <v>12660</v>
      </c>
      <c r="CB941" s="2">
        <f>SUM(CB$2:CB431)+AV431*O431</f>
        <v>26740</v>
      </c>
      <c r="CC941" s="2">
        <f>SUM(CC$2:CC431)+AW431*P431</f>
        <v>-20</v>
      </c>
      <c r="CD941" s="2">
        <f>SUM(CD$2:CD431)+AX431*Q431</f>
        <v>14050</v>
      </c>
      <c r="CE941" s="2">
        <f>SUM(CE$2:CE431)+AY431*R431</f>
        <v>27020</v>
      </c>
      <c r="CF941" s="2">
        <f>SUM(CF$2:CF431)+AZ431*S431</f>
        <v>13492.799999999974</v>
      </c>
      <c r="CG941" s="2">
        <f>SUM(CG$2:CG431)+BA431*T431</f>
        <v>49721.25</v>
      </c>
      <c r="CH941" s="2">
        <f>SUM(CH$2:CH431)+BB431*U431</f>
        <v>31633.610000000022</v>
      </c>
      <c r="CI941" s="2">
        <f>SUM(CI$2:CI431)+BC431*V431</f>
        <v>-14580</v>
      </c>
      <c r="CJ941" s="2">
        <f>SUM(CJ$2:CJ431)+BD431*W431</f>
        <v>-9460</v>
      </c>
      <c r="CK941" s="2">
        <f>SUM(CK$2:CK431)+BE431*X431</f>
        <v>70630</v>
      </c>
      <c r="CL941" s="2">
        <f>SUM(CL$2:CL431)+BF431*Y431</f>
        <v>317399.99999999988</v>
      </c>
      <c r="CM941" s="2">
        <f>SUM(CM$2:CM431)+BG431*Z431</f>
        <v>193499.99999999988</v>
      </c>
      <c r="CN941" s="2">
        <f>SUM(CN$2:CN431)+BH431*AA431</f>
        <v>194332.5</v>
      </c>
      <c r="CO941" s="2">
        <f>SUM(CO$2:CO431)+BI431*AB431</f>
        <v>13180</v>
      </c>
      <c r="CP941" s="2">
        <f>SUM(CP$2:CP431)+BJ431*AC431</f>
        <v>8715</v>
      </c>
      <c r="CQ941" s="2">
        <f>SUM(CQ$2:CQ431)+BK431*AD431</f>
        <v>28930.000000000007</v>
      </c>
      <c r="CR941" s="2">
        <f>SUM(CR$2:CR431)+BL431*AE431</f>
        <v>-1480</v>
      </c>
      <c r="CV941" t="s">
        <v>64</v>
      </c>
      <c r="CW941" t="s">
        <v>1014</v>
      </c>
      <c r="CX941" t="s">
        <v>19</v>
      </c>
      <c r="CY941" s="4">
        <v>42916</v>
      </c>
      <c r="CZ941" t="s">
        <v>67</v>
      </c>
      <c r="DA941" t="s">
        <v>68</v>
      </c>
      <c r="DB941">
        <v>20</v>
      </c>
      <c r="DC941">
        <v>67.06</v>
      </c>
      <c r="DD941" t="s">
        <v>69</v>
      </c>
      <c r="DE941" t="s">
        <v>70</v>
      </c>
      <c r="DF941">
        <v>1341.2</v>
      </c>
    </row>
    <row r="942" spans="66:110" x14ac:dyDescent="0.25">
      <c r="BN942" s="1">
        <f t="shared" si="341"/>
        <v>43361</v>
      </c>
      <c r="BO942" s="2">
        <f>SUM(BO$2:BO432)+AI432*B432</f>
        <v>247724.99999999977</v>
      </c>
      <c r="BP942" s="2">
        <f>SUM(BP$2:BP432)+AJ432*C432</f>
        <v>42043</v>
      </c>
      <c r="BQ942" s="2">
        <f>SUM(BQ$2:BQ432)+AK432*D432</f>
        <v>240466.99999999997</v>
      </c>
      <c r="BR942" s="2">
        <f>SUM(BR$2:BR432)+AL432*E432</f>
        <v>65259.699999999953</v>
      </c>
      <c r="BS942" s="2">
        <f>SUM(BS$2:BS432)+AM432*F432</f>
        <v>21531.400000000016</v>
      </c>
      <c r="BT942" s="2">
        <f>SUM(BT$2:BT432)+AN432*G432</f>
        <v>9487.1999999999825</v>
      </c>
      <c r="BU942" s="2">
        <f>SUM(BU$2:BU432)+AO432*H432</f>
        <v>7307.2000000000116</v>
      </c>
      <c r="BV942" s="2">
        <f>SUM(BV$2:BV432)+AP432*I432</f>
        <v>2204.4999999999709</v>
      </c>
      <c r="BW942" s="2">
        <f>SUM(BW$2:BW432)+AQ432*J432</f>
        <v>-7350</v>
      </c>
      <c r="BX942" s="2">
        <f>SUM(BX$2:BX432)+AR432*K432</f>
        <v>13940</v>
      </c>
      <c r="BY942" s="2">
        <f>SUM(BY$2:BY432)+AS432*L432</f>
        <v>-5309.2000000000116</v>
      </c>
      <c r="BZ942" s="2">
        <f>SUM(BZ$2:BZ432)+AT432*M432</f>
        <v>740</v>
      </c>
      <c r="CA942" s="2">
        <f>SUM(CA$2:CA432)+AU432*N432</f>
        <v>12660</v>
      </c>
      <c r="CB942" s="2">
        <f>SUM(CB$2:CB432)+AV432*O432</f>
        <v>26740</v>
      </c>
      <c r="CC942" s="2">
        <f>SUM(CC$2:CC432)+AW432*P432</f>
        <v>-20</v>
      </c>
      <c r="CD942" s="2">
        <f>SUM(CD$2:CD432)+AX432*Q432</f>
        <v>14050</v>
      </c>
      <c r="CE942" s="2">
        <f>SUM(CE$2:CE432)+AY432*R432</f>
        <v>27020</v>
      </c>
      <c r="CF942" s="2">
        <f>SUM(CF$2:CF432)+AZ432*S432</f>
        <v>13492.799999999981</v>
      </c>
      <c r="CG942" s="2">
        <f>SUM(CG$2:CG432)+BA432*T432</f>
        <v>50683.73000000001</v>
      </c>
      <c r="CH942" s="2">
        <f>SUM(CH$2:CH432)+BB432*U432</f>
        <v>33811.610000000022</v>
      </c>
      <c r="CI942" s="2">
        <f>SUM(CI$2:CI432)+BC432*V432</f>
        <v>-15560</v>
      </c>
      <c r="CJ942" s="2">
        <f>SUM(CJ$2:CJ432)+BD432*W432</f>
        <v>-7585</v>
      </c>
      <c r="CK942" s="2">
        <f>SUM(CK$2:CK432)+BE432*X432</f>
        <v>77980</v>
      </c>
      <c r="CL942" s="2">
        <f>SUM(CL$2:CL432)+BF432*Y432</f>
        <v>315660</v>
      </c>
      <c r="CM942" s="2">
        <f>SUM(CM$2:CM432)+BG432*Z432</f>
        <v>202450</v>
      </c>
      <c r="CN942" s="2">
        <f>SUM(CN$2:CN432)+BH432*AA432</f>
        <v>197957.50000000006</v>
      </c>
      <c r="CO942" s="2">
        <f>SUM(CO$2:CO432)+BI432*AB432</f>
        <v>12280</v>
      </c>
      <c r="CP942" s="2">
        <f>SUM(CP$2:CP432)+BJ432*AC432</f>
        <v>7875</v>
      </c>
      <c r="CQ942" s="2">
        <f>SUM(CQ$2:CQ432)+BK432*AD432</f>
        <v>29530.000000000007</v>
      </c>
      <c r="CR942" s="2">
        <f>SUM(CR$2:CR432)+BL432*AE432</f>
        <v>-1270</v>
      </c>
      <c r="CV942" t="s">
        <v>64</v>
      </c>
      <c r="CW942" t="s">
        <v>1015</v>
      </c>
      <c r="CX942" t="s">
        <v>19</v>
      </c>
      <c r="CY942" s="4">
        <v>42919</v>
      </c>
      <c r="CZ942" t="s">
        <v>65</v>
      </c>
      <c r="DA942" t="s">
        <v>66</v>
      </c>
      <c r="DB942">
        <v>96</v>
      </c>
      <c r="DC942">
        <v>66.319999999999993</v>
      </c>
      <c r="DD942" t="s">
        <v>69</v>
      </c>
      <c r="DE942" t="s">
        <v>70</v>
      </c>
      <c r="DF942">
        <v>6366.7199999999993</v>
      </c>
    </row>
    <row r="943" spans="66:110" x14ac:dyDescent="0.25">
      <c r="BN943" s="1">
        <f t="shared" si="341"/>
        <v>43362</v>
      </c>
      <c r="BO943" s="2">
        <f>SUM(BO$2:BO433)+AI433*B433</f>
        <v>247724.99999999977</v>
      </c>
      <c r="BP943" s="2">
        <f>SUM(BP$2:BP433)+AJ433*C433</f>
        <v>42641</v>
      </c>
      <c r="BQ943" s="2">
        <f>SUM(BQ$2:BQ433)+AK433*D433</f>
        <v>242572.99999999997</v>
      </c>
      <c r="BR943" s="2">
        <f>SUM(BR$2:BR433)+AL433*E433</f>
        <v>69991.699999999953</v>
      </c>
      <c r="BS943" s="2">
        <f>SUM(BS$2:BS433)+AM433*F433</f>
        <v>21297.400000000016</v>
      </c>
      <c r="BT943" s="2">
        <f>SUM(BT$2:BT433)+AN433*G433</f>
        <v>11255.199999999983</v>
      </c>
      <c r="BU943" s="2">
        <f>SUM(BU$2:BU433)+AO433*H433</f>
        <v>7632.2000000000116</v>
      </c>
      <c r="BV943" s="2">
        <f>SUM(BV$2:BV433)+AP433*I433</f>
        <v>3018.699999999968</v>
      </c>
      <c r="BW943" s="2">
        <f>SUM(BW$2:BW433)+AQ433*J433</f>
        <v>-690</v>
      </c>
      <c r="BX943" s="2">
        <f>SUM(BX$2:BX433)+AR433*K433</f>
        <v>13940</v>
      </c>
      <c r="BY943" s="2">
        <f>SUM(BY$2:BY433)+AS433*L433</f>
        <v>-5304.300000000012</v>
      </c>
      <c r="BZ943" s="2">
        <f>SUM(BZ$2:BZ433)+AT433*M433</f>
        <v>740</v>
      </c>
      <c r="CA943" s="2">
        <f>SUM(CA$2:CA433)+AU433*N433</f>
        <v>12660</v>
      </c>
      <c r="CB943" s="2">
        <f>SUM(CB$2:CB433)+AV433*O433</f>
        <v>26740</v>
      </c>
      <c r="CC943" s="2">
        <f>SUM(CC$2:CC433)+AW433*P433</f>
        <v>-20</v>
      </c>
      <c r="CD943" s="2">
        <f>SUM(CD$2:CD433)+AX433*Q433</f>
        <v>14050</v>
      </c>
      <c r="CE943" s="2">
        <f>SUM(CE$2:CE433)+AY433*R433</f>
        <v>27020</v>
      </c>
      <c r="CF943" s="2">
        <f>SUM(CF$2:CF433)+AZ433*S433</f>
        <v>13063.359999999971</v>
      </c>
      <c r="CG943" s="2">
        <f>SUM(CG$2:CG433)+BA433*T433</f>
        <v>49326.229999999996</v>
      </c>
      <c r="CH943" s="2">
        <f>SUM(CH$2:CH433)+BB433*U433</f>
        <v>33018.130000000034</v>
      </c>
      <c r="CI943" s="2">
        <f>SUM(CI$2:CI433)+BC433*V433</f>
        <v>-15080</v>
      </c>
      <c r="CJ943" s="2">
        <f>SUM(CJ$2:CJ433)+BD433*W433</f>
        <v>-7585</v>
      </c>
      <c r="CK943" s="2">
        <f>SUM(CK$2:CK433)+BE433*X433</f>
        <v>83630</v>
      </c>
      <c r="CL943" s="2">
        <f>SUM(CL$2:CL433)+BF433*Y433</f>
        <v>321750</v>
      </c>
      <c r="CM943" s="2">
        <f>SUM(CM$2:CM433)+BG433*Z433</f>
        <v>207000</v>
      </c>
      <c r="CN943" s="2">
        <f>SUM(CN$2:CN433)+BH433*AA433</f>
        <v>197432.5</v>
      </c>
      <c r="CO943" s="2">
        <f>SUM(CO$2:CO433)+BI433*AB433</f>
        <v>9670</v>
      </c>
      <c r="CP943" s="2">
        <f>SUM(CP$2:CP433)+BJ433*AC433</f>
        <v>7075</v>
      </c>
      <c r="CQ943" s="2">
        <f>SUM(CQ$2:CQ433)+BK433*AD433</f>
        <v>29340.000000000007</v>
      </c>
      <c r="CR943" s="2">
        <f>SUM(CR$2:CR433)+BL433*AE433</f>
        <v>-290</v>
      </c>
      <c r="CV943" t="s">
        <v>64</v>
      </c>
      <c r="CW943" t="s">
        <v>1016</v>
      </c>
      <c r="CX943" t="s">
        <v>19</v>
      </c>
      <c r="CY943" s="4">
        <v>42921</v>
      </c>
      <c r="CZ943" t="s">
        <v>67</v>
      </c>
      <c r="DA943" t="s">
        <v>68</v>
      </c>
      <c r="DB943">
        <v>44</v>
      </c>
      <c r="DC943">
        <v>67.209999999999994</v>
      </c>
      <c r="DD943" t="s">
        <v>69</v>
      </c>
      <c r="DE943" t="s">
        <v>70</v>
      </c>
      <c r="DF943">
        <v>2957.24</v>
      </c>
    </row>
    <row r="944" spans="66:110" x14ac:dyDescent="0.25">
      <c r="BN944" s="1">
        <f t="shared" si="341"/>
        <v>43363</v>
      </c>
      <c r="BO944" s="2">
        <f>SUM(BO$2:BO434)+AI434*B434</f>
        <v>247724.99999999977</v>
      </c>
      <c r="BP944" s="2">
        <f>SUM(BP$2:BP434)+AJ434*C434</f>
        <v>43954</v>
      </c>
      <c r="BQ944" s="2">
        <f>SUM(BQ$2:BQ434)+AK434*D434</f>
        <v>245458.99999999991</v>
      </c>
      <c r="BR944" s="2">
        <f>SUM(BR$2:BR434)+AL434*E434</f>
        <v>74151.699999999953</v>
      </c>
      <c r="BS944" s="2">
        <f>SUM(BS$2:BS434)+AM434*F434</f>
        <v>21882.400000000009</v>
      </c>
      <c r="BT944" s="2">
        <f>SUM(BT$2:BT434)+AN434*G434</f>
        <v>11138.199999999983</v>
      </c>
      <c r="BU944" s="2">
        <f>SUM(BU$2:BU434)+AO434*H434</f>
        <v>9998.2000000000116</v>
      </c>
      <c r="BV944" s="2">
        <f>SUM(BV$2:BV434)+AP434*I434</f>
        <v>4540.8999999999796</v>
      </c>
      <c r="BW944" s="2">
        <f>SUM(BW$2:BW434)+AQ434*J434</f>
        <v>1120</v>
      </c>
      <c r="BX944" s="2">
        <f>SUM(BX$2:BX434)+AR434*K434</f>
        <v>13940</v>
      </c>
      <c r="BY944" s="2">
        <f>SUM(BY$2:BY434)+AS434*L434</f>
        <v>-5283.9000000000115</v>
      </c>
      <c r="BZ944" s="2">
        <f>SUM(BZ$2:BZ434)+AT434*M434</f>
        <v>740</v>
      </c>
      <c r="CA944" s="2">
        <f>SUM(CA$2:CA434)+AU434*N434</f>
        <v>12660</v>
      </c>
      <c r="CB944" s="2">
        <f>SUM(CB$2:CB434)+AV434*O434</f>
        <v>26740</v>
      </c>
      <c r="CC944" s="2">
        <f>SUM(CC$2:CC434)+AW434*P434</f>
        <v>-20</v>
      </c>
      <c r="CD944" s="2">
        <f>SUM(CD$2:CD434)+AX434*Q434</f>
        <v>14050</v>
      </c>
      <c r="CE944" s="2">
        <f>SUM(CE$2:CE434)+AY434*R434</f>
        <v>27020</v>
      </c>
      <c r="CF944" s="2">
        <f>SUM(CF$2:CF434)+AZ434*S434</f>
        <v>13887.359999999986</v>
      </c>
      <c r="CG944" s="2">
        <f>SUM(CG$2:CG434)+BA434*T434</f>
        <v>51359.210000000006</v>
      </c>
      <c r="CH944" s="2">
        <f>SUM(CH$2:CH434)+BB434*U434</f>
        <v>34033.330000000031</v>
      </c>
      <c r="CI944" s="2">
        <f>SUM(CI$2:CI434)+BC434*V434</f>
        <v>-16040</v>
      </c>
      <c r="CJ944" s="2">
        <f>SUM(CJ$2:CJ434)+BD434*W434</f>
        <v>-17635</v>
      </c>
      <c r="CK944" s="2">
        <f>SUM(CK$2:CK434)+BE434*X434</f>
        <v>91830.000000000116</v>
      </c>
      <c r="CL944" s="2">
        <f>SUM(CL$2:CL434)+BF434*Y434</f>
        <v>324930.00000000012</v>
      </c>
      <c r="CM944" s="2">
        <f>SUM(CM$2:CM434)+BG434*Z434</f>
        <v>213700</v>
      </c>
      <c r="CN944" s="2">
        <f>SUM(CN$2:CN434)+BH434*AA434</f>
        <v>201957.5</v>
      </c>
      <c r="CO944" s="2">
        <f>SUM(CO$2:CO434)+BI434*AB434</f>
        <v>10990</v>
      </c>
      <c r="CP944" s="2">
        <f>SUM(CP$2:CP434)+BJ434*AC434</f>
        <v>3895</v>
      </c>
      <c r="CQ944" s="2">
        <f>SUM(CQ$2:CQ434)+BK434*AD434</f>
        <v>29850.000000000007</v>
      </c>
      <c r="CR944" s="2">
        <f>SUM(CR$2:CR434)+BL434*AE434</f>
        <v>-100</v>
      </c>
      <c r="CV944" t="s">
        <v>64</v>
      </c>
      <c r="CW944" t="s">
        <v>1017</v>
      </c>
      <c r="CX944" t="s">
        <v>19</v>
      </c>
      <c r="CY944" s="4">
        <v>42922</v>
      </c>
      <c r="CZ944" t="s">
        <v>65</v>
      </c>
      <c r="DA944" t="s">
        <v>66</v>
      </c>
      <c r="DB944">
        <v>59</v>
      </c>
      <c r="DC944">
        <v>66.709999999999994</v>
      </c>
      <c r="DD944" t="s">
        <v>69</v>
      </c>
      <c r="DE944" t="s">
        <v>70</v>
      </c>
      <c r="DF944">
        <v>3935.8899999999994</v>
      </c>
    </row>
    <row r="945" spans="66:110" x14ac:dyDescent="0.25">
      <c r="BN945" s="1">
        <f t="shared" si="341"/>
        <v>43364</v>
      </c>
      <c r="BO945" s="2">
        <f>SUM(BO$2:BO435)+AI435*B435</f>
        <v>247724.99999999977</v>
      </c>
      <c r="BP945" s="2">
        <f>SUM(BP$2:BP435)+AJ435*C435</f>
        <v>43681</v>
      </c>
      <c r="BQ945" s="2">
        <f>SUM(BQ$2:BQ435)+AK435*D435</f>
        <v>251607.99999999991</v>
      </c>
      <c r="BR945" s="2">
        <f>SUM(BR$2:BR435)+AL435*E435</f>
        <v>74645.699999999953</v>
      </c>
      <c r="BS945" s="2">
        <f>SUM(BS$2:BS435)+AM435*F435</f>
        <v>22935.400000000016</v>
      </c>
      <c r="BT945" s="2">
        <f>SUM(BT$2:BT435)+AN435*G435</f>
        <v>13309.199999999983</v>
      </c>
      <c r="BU945" s="2">
        <f>SUM(BU$2:BU435)+AO435*H435</f>
        <v>8425.2000000000116</v>
      </c>
      <c r="BV945" s="2">
        <f>SUM(BV$2:BV435)+AP435*I435</f>
        <v>4151.4999999999854</v>
      </c>
      <c r="BW945" s="2">
        <f>SUM(BW$2:BW435)+AQ435*J435</f>
        <v>-930</v>
      </c>
      <c r="BX945" s="2">
        <f>SUM(BX$2:BX435)+AR435*K435</f>
        <v>13940</v>
      </c>
      <c r="BY945" s="2">
        <f>SUM(BY$2:BY435)+AS435*L435</f>
        <v>-5281.9000000000115</v>
      </c>
      <c r="BZ945" s="2">
        <f>SUM(BZ$2:BZ435)+AT435*M435</f>
        <v>740</v>
      </c>
      <c r="CA945" s="2">
        <f>SUM(CA$2:CA435)+AU435*N435</f>
        <v>12660</v>
      </c>
      <c r="CB945" s="2">
        <f>SUM(CB$2:CB435)+AV435*O435</f>
        <v>26740</v>
      </c>
      <c r="CC945" s="2">
        <f>SUM(CC$2:CC435)+AW435*P435</f>
        <v>-20</v>
      </c>
      <c r="CD945" s="2">
        <f>SUM(CD$2:CD435)+AX435*Q435</f>
        <v>14050</v>
      </c>
      <c r="CE945" s="2">
        <f>SUM(CE$2:CE435)+AY435*R435</f>
        <v>27020</v>
      </c>
      <c r="CF945" s="2">
        <f>SUM(CF$2:CF435)+AZ435*S435</f>
        <v>14209.599999999969</v>
      </c>
      <c r="CG945" s="2">
        <f>SUM(CG$2:CG435)+BA435*T435</f>
        <v>52062.32</v>
      </c>
      <c r="CH945" s="2">
        <f>SUM(CH$2:CH435)+BB435*U435</f>
        <v>34210.450000000026</v>
      </c>
      <c r="CI945" s="2">
        <f>SUM(CI$2:CI435)+BC435*V435</f>
        <v>-16640</v>
      </c>
      <c r="CJ945" s="2">
        <f>SUM(CJ$2:CJ435)+BD435*W435</f>
        <v>-21010</v>
      </c>
      <c r="CK945" s="2">
        <f>SUM(CK$2:CK435)+BE435*X435</f>
        <v>93230.000000000116</v>
      </c>
      <c r="CL945" s="2">
        <f>SUM(CL$2:CL435)+BF435*Y435</f>
        <v>325770</v>
      </c>
      <c r="CM945" s="2">
        <f>SUM(CM$2:CM435)+BG435*Z435</f>
        <v>214850</v>
      </c>
      <c r="CN945" s="2">
        <f>SUM(CN$2:CN435)+BH435*AA435</f>
        <v>203982.5</v>
      </c>
      <c r="CO945" s="2">
        <f>SUM(CO$2:CO435)+BI435*AB435</f>
        <v>12370</v>
      </c>
      <c r="CP945" s="2">
        <f>SUM(CP$2:CP435)+BJ435*AC435</f>
        <v>3675</v>
      </c>
      <c r="CQ945" s="2">
        <f>SUM(CQ$2:CQ435)+BK435*AD435</f>
        <v>30000.000000000007</v>
      </c>
      <c r="CR945" s="2">
        <f>SUM(CR$2:CR435)+BL435*AE435</f>
        <v>240</v>
      </c>
      <c r="CV945" t="s">
        <v>64</v>
      </c>
      <c r="CW945" t="s">
        <v>1018</v>
      </c>
      <c r="CX945" t="s">
        <v>19</v>
      </c>
      <c r="CY945" s="4">
        <v>42923</v>
      </c>
      <c r="CZ945" t="s">
        <v>67</v>
      </c>
      <c r="DA945" t="s">
        <v>68</v>
      </c>
      <c r="DB945">
        <v>158</v>
      </c>
      <c r="DC945">
        <v>67.58</v>
      </c>
      <c r="DD945" t="s">
        <v>69</v>
      </c>
      <c r="DE945" t="s">
        <v>70</v>
      </c>
      <c r="DF945">
        <v>10677.64</v>
      </c>
    </row>
    <row r="946" spans="66:110" x14ac:dyDescent="0.25">
      <c r="BN946" s="1">
        <f t="shared" si="341"/>
        <v>43367</v>
      </c>
      <c r="BO946" s="2">
        <f>SUM(BO$2:BO436)+AI436*B436</f>
        <v>247724.99999999977</v>
      </c>
      <c r="BP946" s="2">
        <f>SUM(BP$2:BP436)+AJ436*C436</f>
        <v>42316</v>
      </c>
      <c r="BQ946" s="2">
        <f>SUM(BQ$2:BQ436)+AK436*D436</f>
        <v>246147.99999999991</v>
      </c>
      <c r="BR946" s="2">
        <f>SUM(BR$2:BR436)+AL436*E436</f>
        <v>71590.699999999983</v>
      </c>
      <c r="BS946" s="2">
        <f>SUM(BS$2:BS436)+AM436*F436</f>
        <v>22792.400000000016</v>
      </c>
      <c r="BT946" s="2">
        <f>SUM(BT$2:BT436)+AN436*G436</f>
        <v>15207.199999999983</v>
      </c>
      <c r="BU946" s="2">
        <f>SUM(BU$2:BU436)+AO436*H436</f>
        <v>11480.200000000012</v>
      </c>
      <c r="BV946" s="2">
        <f>SUM(BV$2:BV436)+AP436*I436</f>
        <v>2405.0999999999767</v>
      </c>
      <c r="BW946" s="2">
        <f>SUM(BW$2:BW436)+AQ436*J436</f>
        <v>-3360</v>
      </c>
      <c r="BX946" s="2">
        <f>SUM(BX$2:BX436)+AR436*K436</f>
        <v>13940</v>
      </c>
      <c r="BY946" s="2">
        <f>SUM(BY$2:BY436)+AS436*L436</f>
        <v>-5294.800000000012</v>
      </c>
      <c r="BZ946" s="2">
        <f>SUM(BZ$2:BZ436)+AT436*M436</f>
        <v>740</v>
      </c>
      <c r="CA946" s="2">
        <f>SUM(CA$2:CA436)+AU436*N436</f>
        <v>12660</v>
      </c>
      <c r="CB946" s="2">
        <f>SUM(CB$2:CB436)+AV436*O436</f>
        <v>26740</v>
      </c>
      <c r="CC946" s="2">
        <f>SUM(CC$2:CC436)+AW436*P436</f>
        <v>-20</v>
      </c>
      <c r="CD946" s="2">
        <f>SUM(CD$2:CD436)+AX436*Q436</f>
        <v>14050</v>
      </c>
      <c r="CE946" s="2">
        <f>SUM(CE$2:CE436)+AY436*R436</f>
        <v>27020</v>
      </c>
      <c r="CF946" s="2">
        <f>SUM(CF$2:CF436)+AZ436*S436</f>
        <v>13897.599999999969</v>
      </c>
      <c r="CG946" s="2">
        <f>SUM(CG$2:CG436)+BA436*T436</f>
        <v>52469.040000000008</v>
      </c>
      <c r="CH946" s="2">
        <f>SUM(CH$2:CH436)+BB436*U436</f>
        <v>33052.050000000025</v>
      </c>
      <c r="CI946" s="2">
        <f>SUM(CI$2:CI436)+BC436*V436</f>
        <v>-16400</v>
      </c>
      <c r="CJ946" s="2">
        <f>SUM(CJ$2:CJ436)+BD436*W436</f>
        <v>-9610</v>
      </c>
      <c r="CK946" s="2">
        <f>SUM(CK$2:CK436)+BE436*X436</f>
        <v>85230</v>
      </c>
      <c r="CL946" s="2">
        <f>SUM(CL$2:CL436)+BF436*Y436</f>
        <v>327840</v>
      </c>
      <c r="CM946" s="2">
        <f>SUM(CM$2:CM436)+BG436*Z436</f>
        <v>206250</v>
      </c>
      <c r="CN946" s="2">
        <f>SUM(CN$2:CN436)+BH436*AA436</f>
        <v>201632.50000000006</v>
      </c>
      <c r="CO946" s="2">
        <f>SUM(CO$2:CO436)+BI436*AB436</f>
        <v>9790</v>
      </c>
      <c r="CP946" s="2">
        <f>SUM(CP$2:CP436)+BJ436*AC436</f>
        <v>5255</v>
      </c>
      <c r="CQ946" s="2">
        <f>SUM(CQ$2:CQ436)+BK436*AD436</f>
        <v>29020.000000000007</v>
      </c>
      <c r="CR946" s="2">
        <f>SUM(CR$2:CR436)+BL436*AE436</f>
        <v>1640</v>
      </c>
      <c r="CV946" t="s">
        <v>64</v>
      </c>
      <c r="CW946" t="s">
        <v>1019</v>
      </c>
      <c r="CX946" t="s">
        <v>19</v>
      </c>
      <c r="CY946" s="4">
        <v>42926</v>
      </c>
      <c r="CZ946" t="s">
        <v>65</v>
      </c>
      <c r="DA946" t="s">
        <v>66</v>
      </c>
      <c r="DB946">
        <v>103</v>
      </c>
      <c r="DC946">
        <v>68.08</v>
      </c>
      <c r="DD946" t="s">
        <v>69</v>
      </c>
      <c r="DE946" t="s">
        <v>70</v>
      </c>
      <c r="DF946">
        <v>7012.24</v>
      </c>
    </row>
    <row r="947" spans="66:110" x14ac:dyDescent="0.25">
      <c r="BN947" s="1">
        <f t="shared" si="341"/>
        <v>43368</v>
      </c>
      <c r="BO947" s="2">
        <f>SUM(BO$2:BO437)+AI437*B437</f>
        <v>247724.99999999977</v>
      </c>
      <c r="BP947" s="2">
        <f>SUM(BP$2:BP437)+AJ437*C437</f>
        <v>42342.200000000012</v>
      </c>
      <c r="BQ947" s="2">
        <f>SUM(BQ$2:BQ437)+AK437*D437</f>
        <v>245152.39999999988</v>
      </c>
      <c r="BR947" s="2">
        <f>SUM(BR$2:BR437)+AL437*E437</f>
        <v>71708.599999999948</v>
      </c>
      <c r="BS947" s="2">
        <f>SUM(BS$2:BS437)+AM437*F437</f>
        <v>22818.60000000002</v>
      </c>
      <c r="BT947" s="2">
        <f>SUM(BT$2:BT437)+AN437*G437</f>
        <v>16176.599999999977</v>
      </c>
      <c r="BU947" s="2">
        <f>SUM(BU$2:BU437)+AO437*H437</f>
        <v>12606.800000000017</v>
      </c>
      <c r="BV947" s="2">
        <f>SUM(BV$2:BV437)+AP437*I437</f>
        <v>2107.5999999999767</v>
      </c>
      <c r="BW947" s="2">
        <f>SUM(BW$2:BW437)+AQ437*J437</f>
        <v>-3760</v>
      </c>
      <c r="BX947" s="2">
        <f>SUM(BX$2:BX437)+AR437*K437</f>
        <v>13940</v>
      </c>
      <c r="BY947" s="2">
        <f>SUM(BY$2:BY437)+AS437*L437</f>
        <v>-5305.800000000012</v>
      </c>
      <c r="BZ947" s="2">
        <f>SUM(BZ$2:BZ437)+AT437*M437</f>
        <v>740</v>
      </c>
      <c r="CA947" s="2">
        <f>SUM(CA$2:CA437)+AU437*N437</f>
        <v>12660</v>
      </c>
      <c r="CB947" s="2">
        <f>SUM(CB$2:CB437)+AV437*O437</f>
        <v>26740</v>
      </c>
      <c r="CC947" s="2">
        <f>SUM(CC$2:CC437)+AW437*P437</f>
        <v>-20</v>
      </c>
      <c r="CD947" s="2">
        <f>SUM(CD$2:CD437)+AX437*Q437</f>
        <v>14050</v>
      </c>
      <c r="CE947" s="2">
        <f>SUM(CE$2:CE437)+AY437*R437</f>
        <v>27020</v>
      </c>
      <c r="CF947" s="2">
        <f>SUM(CF$2:CF437)+AZ437*S437</f>
        <v>13762.919999999969</v>
      </c>
      <c r="CG947" s="2">
        <f>SUM(CG$2:CG437)+BA437*T437</f>
        <v>52234.079999999987</v>
      </c>
      <c r="CH947" s="2">
        <f>SUM(CH$2:CH437)+BB437*U437</f>
        <v>33525.250000000029</v>
      </c>
      <c r="CI947" s="2">
        <f>SUM(CI$2:CI437)+BC437*V437</f>
        <v>-16120</v>
      </c>
      <c r="CJ947" s="2">
        <f>SUM(CJ$2:CJ437)+BD437*W437</f>
        <v>-1135</v>
      </c>
      <c r="CK947" s="2">
        <f>SUM(CK$2:CK437)+BE437*X437</f>
        <v>77580</v>
      </c>
      <c r="CL947" s="2">
        <f>SUM(CL$2:CL437)+BF437*Y437</f>
        <v>316320</v>
      </c>
      <c r="CM947" s="2">
        <f>SUM(CM$2:CM437)+BG437*Z437</f>
        <v>203100</v>
      </c>
      <c r="CN947" s="2">
        <f>SUM(CN$2:CN437)+BH437*AA437</f>
        <v>202807.5</v>
      </c>
      <c r="CO947" s="2">
        <f>SUM(CO$2:CO437)+BI437*AB437</f>
        <v>8350</v>
      </c>
      <c r="CP947" s="2">
        <f>SUM(CP$2:CP437)+BJ437*AC437</f>
        <v>5235</v>
      </c>
      <c r="CQ947" s="2">
        <f>SUM(CQ$2:CQ437)+BK437*AD437</f>
        <v>29200.000000000007</v>
      </c>
      <c r="CR947" s="2">
        <f>SUM(CR$2:CR437)+BL437*AE437</f>
        <v>1540</v>
      </c>
      <c r="CV947" t="s">
        <v>64</v>
      </c>
      <c r="CW947" t="s">
        <v>1020</v>
      </c>
      <c r="CX947" t="s">
        <v>19</v>
      </c>
      <c r="CY947" s="4">
        <v>42927</v>
      </c>
      <c r="CZ947" t="s">
        <v>65</v>
      </c>
      <c r="DA947" t="s">
        <v>66</v>
      </c>
      <c r="DB947">
        <v>59</v>
      </c>
      <c r="DC947">
        <v>68.09</v>
      </c>
      <c r="DD947" t="s">
        <v>69</v>
      </c>
      <c r="DE947" t="s">
        <v>70</v>
      </c>
      <c r="DF947">
        <v>4017.3100000000004</v>
      </c>
    </row>
    <row r="948" spans="66:110" x14ac:dyDescent="0.25">
      <c r="BN948" s="1">
        <f t="shared" si="341"/>
        <v>43369</v>
      </c>
      <c r="BO948" s="2">
        <f>SUM(BO$2:BO438)+AI438*B438</f>
        <v>243349.99999999977</v>
      </c>
      <c r="BP948" s="2">
        <f>SUM(BP$2:BP438)+AJ438*C438</f>
        <v>39918.699999999983</v>
      </c>
      <c r="BQ948" s="2">
        <f>SUM(BQ$2:BQ438)+AK438*D438</f>
        <v>242309.69999999992</v>
      </c>
      <c r="BR948" s="2">
        <f>SUM(BR$2:BR438)+AL438*E438</f>
        <v>70516.499999999942</v>
      </c>
      <c r="BS948" s="2">
        <f>SUM(BS$2:BS438)+AM438*F438</f>
        <v>22753.100000000013</v>
      </c>
      <c r="BT948" s="2">
        <f>SUM(BT$2:BT438)+AN438*G438</f>
        <v>14355.699999999953</v>
      </c>
      <c r="BU948" s="2">
        <f>SUM(BU$2:BU438)+AO438*H438</f>
        <v>14650.399999999994</v>
      </c>
      <c r="BV948" s="2">
        <f>SUM(BV$2:BV438)+AP438*I438</f>
        <v>858.09999999997672</v>
      </c>
      <c r="BW948" s="2">
        <f>SUM(BW$2:BW438)+AQ438*J438</f>
        <v>-7360</v>
      </c>
      <c r="BX948" s="2">
        <f>SUM(BX$2:BX438)+AR438*K438</f>
        <v>13940</v>
      </c>
      <c r="BY948" s="2">
        <f>SUM(BY$2:BY438)+AS438*L438</f>
        <v>-5279.4000000000115</v>
      </c>
      <c r="BZ948" s="2">
        <f>SUM(BZ$2:BZ438)+AT438*M438</f>
        <v>740</v>
      </c>
      <c r="CA948" s="2">
        <f>SUM(CA$2:CA438)+AU438*N438</f>
        <v>12660</v>
      </c>
      <c r="CB948" s="2">
        <f>SUM(CB$2:CB438)+AV438*O438</f>
        <v>26740</v>
      </c>
      <c r="CC948" s="2">
        <f>SUM(CC$2:CC438)+AW438*P438</f>
        <v>-20</v>
      </c>
      <c r="CD948" s="2">
        <f>SUM(CD$2:CD438)+AX438*Q438</f>
        <v>14050</v>
      </c>
      <c r="CE948" s="2">
        <f>SUM(CE$2:CE438)+AY438*R438</f>
        <v>27020</v>
      </c>
      <c r="CF948" s="2">
        <f>SUM(CF$2:CF438)+AZ438*S438</f>
        <v>13448.359999999979</v>
      </c>
      <c r="CG948" s="2">
        <f>SUM(CG$2:CG438)+BA438*T438</f>
        <v>51801.209999999992</v>
      </c>
      <c r="CH948" s="2">
        <f>SUM(CH$2:CH438)+BB438*U438</f>
        <v>32418.900000000031</v>
      </c>
      <c r="CI948" s="2">
        <f>SUM(CI$2:CI438)+BC438*V438</f>
        <v>-15900</v>
      </c>
      <c r="CJ948" s="2">
        <f>SUM(CJ$2:CJ438)+BD438*W438</f>
        <v>-2110</v>
      </c>
      <c r="CK948" s="2">
        <f>SUM(CK$2:CK438)+BE438*X438</f>
        <v>68680</v>
      </c>
      <c r="CL948" s="2">
        <f>SUM(CL$2:CL438)+BF438*Y438</f>
        <v>314520</v>
      </c>
      <c r="CM948" s="2">
        <f>SUM(CM$2:CM438)+BG438*Z438</f>
        <v>202350</v>
      </c>
      <c r="CN948" s="2">
        <f>SUM(CN$2:CN438)+BH438*AA438</f>
        <v>202032.5</v>
      </c>
      <c r="CO948" s="2">
        <f>SUM(CO$2:CO438)+BI438*AB438</f>
        <v>8620</v>
      </c>
      <c r="CP948" s="2">
        <f>SUM(CP$2:CP438)+BJ438*AC438</f>
        <v>3755</v>
      </c>
      <c r="CQ948" s="2">
        <f>SUM(CQ$2:CQ438)+BK438*AD438</f>
        <v>28700.000000000007</v>
      </c>
      <c r="CR948" s="2">
        <f>SUM(CR$2:CR438)+BL438*AE438</f>
        <v>840</v>
      </c>
      <c r="CV948" t="s">
        <v>64</v>
      </c>
      <c r="CW948" t="s">
        <v>1021</v>
      </c>
      <c r="CX948" t="s">
        <v>19</v>
      </c>
      <c r="CY948" s="4">
        <v>42928</v>
      </c>
      <c r="CZ948" t="s">
        <v>67</v>
      </c>
      <c r="DA948" t="s">
        <v>68</v>
      </c>
      <c r="DB948">
        <v>145</v>
      </c>
      <c r="DC948">
        <v>69.22</v>
      </c>
      <c r="DD948" t="s">
        <v>69</v>
      </c>
      <c r="DE948" t="s">
        <v>70</v>
      </c>
      <c r="DF948">
        <v>10036.9</v>
      </c>
    </row>
    <row r="949" spans="66:110" x14ac:dyDescent="0.25">
      <c r="BN949" s="1">
        <f t="shared" si="341"/>
        <v>43370</v>
      </c>
      <c r="BO949" s="2">
        <f>SUM(BO$2:BO439)+AI439*B439</f>
        <v>252329.99999999977</v>
      </c>
      <c r="BP949" s="2">
        <f>SUM(BP$2:BP439)+AJ439*C439</f>
        <v>39709.100000000006</v>
      </c>
      <c r="BQ949" s="2">
        <f>SUM(BQ$2:BQ439)+AK439*D439</f>
        <v>245361.99999999991</v>
      </c>
      <c r="BR949" s="2">
        <f>SUM(BR$2:BR439)+AL439*E439</f>
        <v>69612.599999999948</v>
      </c>
      <c r="BS949" s="2">
        <f>SUM(BS$2:BS439)+AM439*F439</f>
        <v>22648.300000000017</v>
      </c>
      <c r="BT949" s="2">
        <f>SUM(BT$2:BT439)+AN439*G439</f>
        <v>15023.799999999959</v>
      </c>
      <c r="BU949" s="2">
        <f>SUM(BU$2:BU439)+AO439*H439</f>
        <v>15737.700000000012</v>
      </c>
      <c r="BV949" s="2">
        <f>SUM(BV$2:BV439)+AP439*I439</f>
        <v>-986.40000000002328</v>
      </c>
      <c r="BW949" s="2">
        <f>SUM(BW$2:BW439)+AQ439*J439</f>
        <v>-8500</v>
      </c>
      <c r="BX949" s="2">
        <f>SUM(BX$2:BX439)+AR439*K439</f>
        <v>13940</v>
      </c>
      <c r="BY949" s="2">
        <f>SUM(BY$2:BY439)+AS439*L439</f>
        <v>-5280.5000000000118</v>
      </c>
      <c r="BZ949" s="2">
        <f>SUM(BZ$2:BZ439)+AT439*M439</f>
        <v>740</v>
      </c>
      <c r="CA949" s="2">
        <f>SUM(CA$2:CA439)+AU439*N439</f>
        <v>12660</v>
      </c>
      <c r="CB949" s="2">
        <f>SUM(CB$2:CB439)+AV439*O439</f>
        <v>26740</v>
      </c>
      <c r="CC949" s="2">
        <f>SUM(CC$2:CC439)+AW439*P439</f>
        <v>-20</v>
      </c>
      <c r="CD949" s="2">
        <f>SUM(CD$2:CD439)+AX439*Q439</f>
        <v>14050</v>
      </c>
      <c r="CE949" s="2">
        <f>SUM(CE$2:CE439)+AY439*R439</f>
        <v>27020</v>
      </c>
      <c r="CF949" s="2">
        <f>SUM(CF$2:CF439)+AZ439*S439</f>
        <v>13850.449999999975</v>
      </c>
      <c r="CG949" s="2">
        <f>SUM(CG$2:CG439)+BA439*T439</f>
        <v>52259.16</v>
      </c>
      <c r="CH949" s="2">
        <f>SUM(CH$2:CH439)+BB439*U439</f>
        <v>33328.620000000032</v>
      </c>
      <c r="CI949" s="2">
        <f>SUM(CI$2:CI439)+BC439*V439</f>
        <v>-16340</v>
      </c>
      <c r="CJ949" s="2">
        <f>SUM(CJ$2:CJ439)+BD439*W439</f>
        <v>815</v>
      </c>
      <c r="CK949" s="2">
        <f>SUM(CK$2:CK439)+BE439*X439</f>
        <v>66830.000000000116</v>
      </c>
      <c r="CL949" s="2">
        <f>SUM(CL$2:CL439)+BF439*Y439</f>
        <v>319740</v>
      </c>
      <c r="CM949" s="2">
        <f>SUM(CM$2:CM439)+BG439*Z439</f>
        <v>202950</v>
      </c>
      <c r="CN949" s="2">
        <f>SUM(CN$2:CN439)+BH439*AA439</f>
        <v>203907.5</v>
      </c>
      <c r="CO949" s="2">
        <f>SUM(CO$2:CO439)+BI439*AB439</f>
        <v>9940</v>
      </c>
      <c r="CP949" s="2">
        <f>SUM(CP$2:CP439)+BJ439*AC439</f>
        <v>2075</v>
      </c>
      <c r="CQ949" s="2">
        <f>SUM(CQ$2:CQ439)+BK439*AD439</f>
        <v>28240.000000000007</v>
      </c>
      <c r="CR949" s="2">
        <f>SUM(CR$2:CR439)+BL439*AE439</f>
        <v>830</v>
      </c>
      <c r="CV949" t="s">
        <v>64</v>
      </c>
      <c r="CW949" t="s">
        <v>1022</v>
      </c>
      <c r="CX949" t="s">
        <v>19</v>
      </c>
      <c r="CY949" s="4">
        <v>42929</v>
      </c>
      <c r="CZ949" t="s">
        <v>65</v>
      </c>
      <c r="DA949" t="s">
        <v>66</v>
      </c>
      <c r="DB949">
        <v>2</v>
      </c>
      <c r="DC949">
        <v>69.819999999999993</v>
      </c>
      <c r="DD949" t="s">
        <v>69</v>
      </c>
      <c r="DE949" t="s">
        <v>70</v>
      </c>
      <c r="DF949">
        <v>139.63999999999999</v>
      </c>
    </row>
    <row r="950" spans="66:110" x14ac:dyDescent="0.25">
      <c r="BN950" s="1">
        <f t="shared" si="341"/>
        <v>43371</v>
      </c>
      <c r="BO950" s="2">
        <f>SUM(BO$2:BO440)+AI440*B440</f>
        <v>254279.99999999977</v>
      </c>
      <c r="BP950" s="2">
        <f>SUM(BP$2:BP440)+AJ440*C440</f>
        <v>37940.600000000006</v>
      </c>
      <c r="BQ950" s="2">
        <f>SUM(BQ$2:BQ440)+AK440*D440</f>
        <v>251217.69999999987</v>
      </c>
      <c r="BR950" s="2">
        <f>SUM(BR$2:BR440)+AL440*E440</f>
        <v>69638.799999999959</v>
      </c>
      <c r="BS950" s="2">
        <f>SUM(BS$2:BS440)+AM440*F440</f>
        <v>23054.400000000023</v>
      </c>
      <c r="BT950" s="2">
        <f>SUM(BT$2:BT440)+AN440*G440</f>
        <v>14774.899999999965</v>
      </c>
      <c r="BU950" s="2">
        <f>SUM(BU$2:BU440)+AO440*H440</f>
        <v>16903.600000000006</v>
      </c>
      <c r="BV950" s="2">
        <f>SUM(BV$2:BV440)+AP440*I440</f>
        <v>-2200.2000000000262</v>
      </c>
      <c r="BW950" s="2">
        <f>SUM(BW$2:BW440)+AQ440*J440</f>
        <v>-11980</v>
      </c>
      <c r="BX950" s="2">
        <f>SUM(BX$2:BX440)+AR440*K440</f>
        <v>13940</v>
      </c>
      <c r="BY950" s="2">
        <f>SUM(BY$2:BY440)+AS440*L440</f>
        <v>-5283.300000000012</v>
      </c>
      <c r="BZ950" s="2">
        <f>SUM(BZ$2:BZ440)+AT440*M440</f>
        <v>740</v>
      </c>
      <c r="CA950" s="2">
        <f>SUM(CA$2:CA440)+AU440*N440</f>
        <v>12660</v>
      </c>
      <c r="CB950" s="2">
        <f>SUM(CB$2:CB440)+AV440*O440</f>
        <v>26740</v>
      </c>
      <c r="CC950" s="2">
        <f>SUM(CC$2:CC440)+AW440*P440</f>
        <v>-20</v>
      </c>
      <c r="CD950" s="2">
        <f>SUM(CD$2:CD440)+AX440*Q440</f>
        <v>14050</v>
      </c>
      <c r="CE950" s="2">
        <f>SUM(CE$2:CE440)+AY440*R440</f>
        <v>27020</v>
      </c>
      <c r="CF950" s="2">
        <f>SUM(CF$2:CF440)+AZ440*S440</f>
        <v>14074.189999999966</v>
      </c>
      <c r="CG950" s="2">
        <f>SUM(CG$2:CG440)+BA440*T440</f>
        <v>52218.639999999985</v>
      </c>
      <c r="CH950" s="2">
        <f>SUM(CH$2:CH440)+BB440*U440</f>
        <v>33522.300000000017</v>
      </c>
      <c r="CI950" s="2">
        <f>SUM(CI$2:CI440)+BC440*V440</f>
        <v>-16660</v>
      </c>
      <c r="CJ950" s="2">
        <f>SUM(CJ$2:CJ440)+BD440*W440</f>
        <v>-1885</v>
      </c>
      <c r="CK950" s="2">
        <f>SUM(CK$2:CK440)+BE440*X440</f>
        <v>69730</v>
      </c>
      <c r="CL950" s="2">
        <f>SUM(CL$2:CL440)+BF440*Y440</f>
        <v>323880</v>
      </c>
      <c r="CM950" s="2">
        <f>SUM(CM$2:CM440)+BG440*Z440</f>
        <v>203600</v>
      </c>
      <c r="CN950" s="2">
        <f>SUM(CN$2:CN440)+BH440*AA440</f>
        <v>204082.5</v>
      </c>
      <c r="CO950" s="2">
        <f>SUM(CO$2:CO440)+BI440*AB440</f>
        <v>9340</v>
      </c>
      <c r="CP950" s="2">
        <f>SUM(CP$2:CP440)+BJ440*AC440</f>
        <v>3875</v>
      </c>
      <c r="CQ950" s="2">
        <f>SUM(CQ$2:CQ440)+BK440*AD440</f>
        <v>28020.000000000007</v>
      </c>
      <c r="CR950" s="2">
        <f>SUM(CR$2:CR440)+BL440*AE440</f>
        <v>90</v>
      </c>
      <c r="CV950" t="s">
        <v>64</v>
      </c>
      <c r="CW950" t="s">
        <v>1023</v>
      </c>
      <c r="CX950" t="s">
        <v>19</v>
      </c>
      <c r="CY950" s="4">
        <v>42930</v>
      </c>
      <c r="CZ950" t="s">
        <v>65</v>
      </c>
      <c r="DA950" t="s">
        <v>66</v>
      </c>
      <c r="DB950">
        <v>140</v>
      </c>
      <c r="DC950">
        <v>70.81</v>
      </c>
      <c r="DD950" t="s">
        <v>69</v>
      </c>
      <c r="DE950" t="s">
        <v>70</v>
      </c>
      <c r="DF950">
        <v>9913.4</v>
      </c>
    </row>
    <row r="951" spans="66:110" x14ac:dyDescent="0.25">
      <c r="BN951" s="1">
        <f t="shared" si="341"/>
        <v>43374</v>
      </c>
      <c r="BO951" s="2">
        <f>SUM(BO$2:BO441)+AI441*B441</f>
        <v>260319.99999999977</v>
      </c>
      <c r="BP951" s="2">
        <f>SUM(BP$2:BP441)+AJ441*C441</f>
        <v>39774.600000000006</v>
      </c>
      <c r="BQ951" s="2">
        <f>SUM(BQ$2:BQ441)+AK441*D441</f>
        <v>264697.59999999986</v>
      </c>
      <c r="BR951" s="2">
        <f>SUM(BR$2:BR441)+AL441*E441</f>
        <v>69363.699999999953</v>
      </c>
      <c r="BS951" s="2">
        <f>SUM(BS$2:BS441)+AM441*F441</f>
        <v>23342.60000000002</v>
      </c>
      <c r="BT951" s="2">
        <f>SUM(BT$2:BT441)+AN441*G441</f>
        <v>17486.599999999977</v>
      </c>
      <c r="BU951" s="2">
        <f>SUM(BU$2:BU441)+AO441*H441</f>
        <v>15999.700000000012</v>
      </c>
      <c r="BV951" s="2">
        <f>SUM(BV$2:BV441)+AP441*I441</f>
        <v>-1593.3000000000175</v>
      </c>
      <c r="BW951" s="2">
        <f>SUM(BW$2:BW441)+AQ441*J441</f>
        <v>-10900</v>
      </c>
      <c r="BX951" s="2">
        <f>SUM(BX$2:BX441)+AR441*K441</f>
        <v>13940</v>
      </c>
      <c r="BY951" s="2">
        <f>SUM(BY$2:BY441)+AS441*L441</f>
        <v>-5265.800000000012</v>
      </c>
      <c r="BZ951" s="2">
        <f>SUM(BZ$2:BZ441)+AT441*M441</f>
        <v>740</v>
      </c>
      <c r="CA951" s="2">
        <f>SUM(CA$2:CA441)+AU441*N441</f>
        <v>12660</v>
      </c>
      <c r="CB951" s="2">
        <f>SUM(CB$2:CB441)+AV441*O441</f>
        <v>26740</v>
      </c>
      <c r="CC951" s="2">
        <f>SUM(CC$2:CC441)+AW441*P441</f>
        <v>-20</v>
      </c>
      <c r="CD951" s="2">
        <f>SUM(CD$2:CD441)+AX441*Q441</f>
        <v>14050</v>
      </c>
      <c r="CE951" s="2">
        <f>SUM(CE$2:CE441)+AY441*R441</f>
        <v>27020</v>
      </c>
      <c r="CF951" s="2">
        <f>SUM(CF$2:CF441)+AZ441*S441</f>
        <v>14666.369999999966</v>
      </c>
      <c r="CG951" s="2">
        <f>SUM(CG$2:CG441)+BA441*T441</f>
        <v>53503.99</v>
      </c>
      <c r="CH951" s="2">
        <f>SUM(CH$2:CH441)+BB441*U441</f>
        <v>33250.860000000015</v>
      </c>
      <c r="CI951" s="2">
        <f>SUM(CI$2:CI441)+BC441*V441</f>
        <v>-17060</v>
      </c>
      <c r="CJ951" s="2">
        <f>SUM(CJ$2:CJ441)+BD441*W441</f>
        <v>-5185</v>
      </c>
      <c r="CK951" s="2">
        <f>SUM(CK$2:CK441)+BE441*X441</f>
        <v>66080</v>
      </c>
      <c r="CL951" s="2">
        <f>SUM(CL$2:CL441)+BF441*Y441</f>
        <v>333030</v>
      </c>
      <c r="CM951" s="2">
        <f>SUM(CM$2:CM441)+BG441*Z441</f>
        <v>209100</v>
      </c>
      <c r="CN951" s="2">
        <f>SUM(CN$2:CN441)+BH441*AA441</f>
        <v>205832.5</v>
      </c>
      <c r="CO951" s="2">
        <f>SUM(CO$2:CO441)+BI441*AB441</f>
        <v>10660</v>
      </c>
      <c r="CP951" s="2">
        <f>SUM(CP$2:CP441)+BJ441*AC441</f>
        <v>4755</v>
      </c>
      <c r="CQ951" s="2">
        <f>SUM(CQ$2:CQ441)+BK441*AD441</f>
        <v>28510.000000000007</v>
      </c>
      <c r="CR951" s="2">
        <f>SUM(CR$2:CR441)+BL441*AE441</f>
        <v>870</v>
      </c>
      <c r="CV951" t="s">
        <v>64</v>
      </c>
      <c r="CW951" t="s">
        <v>1024</v>
      </c>
      <c r="CX951" t="s">
        <v>19</v>
      </c>
      <c r="CY951" s="4">
        <v>42933</v>
      </c>
      <c r="CZ951" t="s">
        <v>67</v>
      </c>
      <c r="DA951" t="s">
        <v>68</v>
      </c>
      <c r="DB951">
        <v>173</v>
      </c>
      <c r="DC951">
        <v>71.36</v>
      </c>
      <c r="DD951" t="s">
        <v>69</v>
      </c>
      <c r="DE951" t="s">
        <v>70</v>
      </c>
      <c r="DF951">
        <v>12345.28</v>
      </c>
    </row>
    <row r="952" spans="66:110" x14ac:dyDescent="0.25">
      <c r="BN952" s="1">
        <f t="shared" si="341"/>
        <v>43375</v>
      </c>
      <c r="BO952" s="2">
        <f>SUM(BO$2:BO442)+AI442*B442</f>
        <v>268359.99999999977</v>
      </c>
      <c r="BP952" s="2">
        <f>SUM(BP$2:BP442)+AJ442*C442</f>
        <v>40416.5</v>
      </c>
      <c r="BQ952" s="2">
        <f>SUM(BQ$2:BQ442)+AK442*D442</f>
        <v>269989.99999999988</v>
      </c>
      <c r="BR952" s="2">
        <f>SUM(BR$2:BR442)+AL442*E442</f>
        <v>72651.799999999959</v>
      </c>
      <c r="BS952" s="2">
        <f>SUM(BS$2:BS442)+AM442*F442</f>
        <v>23526.000000000022</v>
      </c>
      <c r="BT952" s="2">
        <f>SUM(BT$2:BT442)+AN442*G442</f>
        <v>17931.999999999971</v>
      </c>
      <c r="BU952" s="2">
        <f>SUM(BU$2:BU442)+AO442*H442</f>
        <v>17833.700000000012</v>
      </c>
      <c r="BV952" s="2">
        <f>SUM(BV$2:BV442)+AP442*I442</f>
        <v>-1593.3000000000175</v>
      </c>
      <c r="BW952" s="2">
        <f>SUM(BW$2:BW442)+AQ442*J442</f>
        <v>-10160</v>
      </c>
      <c r="BX952" s="2">
        <f>SUM(BX$2:BX442)+AR442*K442</f>
        <v>13940</v>
      </c>
      <c r="BY952" s="2">
        <f>SUM(BY$2:BY442)+AS442*L442</f>
        <v>-5258.5000000000118</v>
      </c>
      <c r="BZ952" s="2">
        <f>SUM(BZ$2:BZ442)+AT442*M442</f>
        <v>740</v>
      </c>
      <c r="CA952" s="2">
        <f>SUM(CA$2:CA442)+AU442*N442</f>
        <v>12660</v>
      </c>
      <c r="CB952" s="2">
        <f>SUM(CB$2:CB442)+AV442*O442</f>
        <v>26740</v>
      </c>
      <c r="CC952" s="2">
        <f>SUM(CC$2:CC442)+AW442*P442</f>
        <v>-20</v>
      </c>
      <c r="CD952" s="2">
        <f>SUM(CD$2:CD442)+AX442*Q442</f>
        <v>14050</v>
      </c>
      <c r="CE952" s="2">
        <f>SUM(CE$2:CE442)+AY442*R442</f>
        <v>27020</v>
      </c>
      <c r="CF952" s="2">
        <f>SUM(CF$2:CF442)+AZ442*S442</f>
        <v>14878.88999999997</v>
      </c>
      <c r="CG952" s="2">
        <f>SUM(CG$2:CG442)+BA442*T442</f>
        <v>53074.81</v>
      </c>
      <c r="CH952" s="2">
        <f>SUM(CH$2:CH442)+BB442*U442</f>
        <v>31463.340000000026</v>
      </c>
      <c r="CI952" s="2">
        <f>SUM(CI$2:CI442)+BC442*V442</f>
        <v>-16960</v>
      </c>
      <c r="CJ952" s="2">
        <f>SUM(CJ$2:CJ442)+BD442*W442</f>
        <v>-10210</v>
      </c>
      <c r="CK952" s="2">
        <f>SUM(CK$2:CK442)+BE442*X442</f>
        <v>68730</v>
      </c>
      <c r="CL952" s="2">
        <f>SUM(CL$2:CL442)+BF442*Y442</f>
        <v>337620</v>
      </c>
      <c r="CM952" s="2">
        <f>SUM(CM$2:CM442)+BG442*Z442</f>
        <v>211700</v>
      </c>
      <c r="CN952" s="2">
        <f>SUM(CN$2:CN442)+BH442*AA442</f>
        <v>203032.49999999994</v>
      </c>
      <c r="CO952" s="2">
        <f>SUM(CO$2:CO442)+BI442*AB442</f>
        <v>12370</v>
      </c>
      <c r="CP952" s="2">
        <f>SUM(CP$2:CP442)+BJ442*AC442</f>
        <v>2715</v>
      </c>
      <c r="CQ952" s="2">
        <f>SUM(CQ$2:CQ442)+BK442*AD442</f>
        <v>29250.000000000007</v>
      </c>
      <c r="CR952" s="2">
        <f>SUM(CR$2:CR442)+BL442*AE442</f>
        <v>1500</v>
      </c>
      <c r="CV952" t="s">
        <v>64</v>
      </c>
      <c r="CW952" t="s">
        <v>1025</v>
      </c>
      <c r="CX952" t="s">
        <v>19</v>
      </c>
      <c r="CY952" s="4">
        <v>42934</v>
      </c>
      <c r="CZ952" t="s">
        <v>65</v>
      </c>
      <c r="DA952" t="s">
        <v>66</v>
      </c>
      <c r="DB952">
        <v>179</v>
      </c>
      <c r="DC952">
        <v>71.31</v>
      </c>
      <c r="DD952" t="s">
        <v>69</v>
      </c>
      <c r="DE952" t="s">
        <v>70</v>
      </c>
      <c r="DF952">
        <v>12764.49</v>
      </c>
    </row>
    <row r="953" spans="66:110" x14ac:dyDescent="0.25">
      <c r="BN953" s="1">
        <f t="shared" si="341"/>
        <v>43376</v>
      </c>
      <c r="BO953" s="2">
        <f>SUM(BO$2:BO443)+AI443*B443</f>
        <v>279439.99999999977</v>
      </c>
      <c r="BP953" s="2">
        <f>SUM(BP$2:BP443)+AJ443*C443</f>
        <v>40495.100000000006</v>
      </c>
      <c r="BQ953" s="2">
        <f>SUM(BQ$2:BQ443)+AK443*D443</f>
        <v>277679.69999999995</v>
      </c>
      <c r="BR953" s="2">
        <f>SUM(BR$2:BR443)+AL443*E443</f>
        <v>77040.299999999959</v>
      </c>
      <c r="BS953" s="2">
        <f>SUM(BS$2:BS443)+AM443*F443</f>
        <v>23696.30000000001</v>
      </c>
      <c r="BT953" s="2">
        <f>SUM(BT$2:BT443)+AN443*G443</f>
        <v>18665.599999999977</v>
      </c>
      <c r="BU953" s="2">
        <f>SUM(BU$2:BU443)+AO443*H443</f>
        <v>16864.300000000017</v>
      </c>
      <c r="BV953" s="2">
        <f>SUM(BV$2:BV443)+AP443*I443</f>
        <v>-2105.0000000000291</v>
      </c>
      <c r="BW953" s="2">
        <f>SUM(BW$2:BW443)+AQ443*J443</f>
        <v>-8460</v>
      </c>
      <c r="BX953" s="2">
        <f>SUM(BX$2:BX443)+AR443*K443</f>
        <v>13940</v>
      </c>
      <c r="BY953" s="2">
        <f>SUM(BY$2:BY443)+AS443*L443</f>
        <v>-5263.7000000000116</v>
      </c>
      <c r="BZ953" s="2">
        <f>SUM(BZ$2:BZ443)+AT443*M443</f>
        <v>740</v>
      </c>
      <c r="CA953" s="2">
        <f>SUM(CA$2:CA443)+AU443*N443</f>
        <v>12660</v>
      </c>
      <c r="CB953" s="2">
        <f>SUM(CB$2:CB443)+AV443*O443</f>
        <v>26740</v>
      </c>
      <c r="CC953" s="2">
        <f>SUM(CC$2:CC443)+AW443*P443</f>
        <v>-20</v>
      </c>
      <c r="CD953" s="2">
        <f>SUM(CD$2:CD443)+AX443*Q443</f>
        <v>14050</v>
      </c>
      <c r="CE953" s="2">
        <f>SUM(CE$2:CE443)+AY443*R443</f>
        <v>27020</v>
      </c>
      <c r="CF953" s="2">
        <f>SUM(CF$2:CF443)+AZ443*S443</f>
        <v>14499.649999999972</v>
      </c>
      <c r="CG953" s="2">
        <f>SUM(CG$2:CG443)+BA443*T443</f>
        <v>53096.709999999992</v>
      </c>
      <c r="CH953" s="2">
        <f>SUM(CH$2:CH443)+BB443*U443</f>
        <v>31186.59000000004</v>
      </c>
      <c r="CI953" s="2">
        <f>SUM(CI$2:CI443)+BC443*V443</f>
        <v>-18120</v>
      </c>
      <c r="CJ953" s="2">
        <f>SUM(CJ$2:CJ443)+BD443*W443</f>
        <v>-460</v>
      </c>
      <c r="CK953" s="2">
        <f>SUM(CK$2:CK443)+BE443*X443</f>
        <v>68880</v>
      </c>
      <c r="CL953" s="2">
        <f>SUM(CL$2:CL443)+BF443*Y443</f>
        <v>338430.00000000012</v>
      </c>
      <c r="CM953" s="2">
        <f>SUM(CM$2:CM443)+BG443*Z443</f>
        <v>209599.99999999988</v>
      </c>
      <c r="CN953" s="2">
        <f>SUM(CN$2:CN443)+BH443*AA443</f>
        <v>202282.5</v>
      </c>
      <c r="CO953" s="2">
        <f>SUM(CO$2:CO443)+BI443*AB443</f>
        <v>11980</v>
      </c>
      <c r="CP953" s="2">
        <f>SUM(CP$2:CP443)+BJ443*AC443</f>
        <v>2095</v>
      </c>
      <c r="CQ953" s="2">
        <f>SUM(CQ$2:CQ443)+BK443*AD443</f>
        <v>28180.000000000007</v>
      </c>
      <c r="CR953" s="2">
        <f>SUM(CR$2:CR443)+BL443*AE443</f>
        <v>1200</v>
      </c>
      <c r="CV953" t="s">
        <v>64</v>
      </c>
      <c r="CW953" t="s">
        <v>1026</v>
      </c>
      <c r="CX953" t="s">
        <v>19</v>
      </c>
      <c r="CY953" s="4">
        <v>42935</v>
      </c>
      <c r="CZ953" t="s">
        <v>67</v>
      </c>
      <c r="DA953" t="s">
        <v>68</v>
      </c>
      <c r="DB953">
        <v>84</v>
      </c>
      <c r="DC953">
        <v>71.86</v>
      </c>
      <c r="DD953" t="s">
        <v>69</v>
      </c>
      <c r="DE953" t="s">
        <v>70</v>
      </c>
      <c r="DF953">
        <v>6036.24</v>
      </c>
    </row>
    <row r="954" spans="66:110" x14ac:dyDescent="0.25">
      <c r="BN954" s="1">
        <f t="shared" si="341"/>
        <v>43377</v>
      </c>
      <c r="BO954" s="2">
        <f>SUM(BO$2:BO444)+AI444*B444</f>
        <v>259189.99999999977</v>
      </c>
      <c r="BP954" s="2">
        <f>SUM(BP$2:BP444)+AJ444*C444</f>
        <v>39565</v>
      </c>
      <c r="BQ954" s="2">
        <f>SUM(BQ$2:BQ444)+AK444*D444</f>
        <v>274692.89999999991</v>
      </c>
      <c r="BR954" s="2">
        <f>SUM(BR$2:BR444)+AL444*E444</f>
        <v>75140.79999999993</v>
      </c>
      <c r="BS954" s="2">
        <f>SUM(BS$2:BS444)+AM444*F444</f>
        <v>23133.000000000015</v>
      </c>
      <c r="BT954" s="2">
        <f>SUM(BT$2:BT444)+AN444*G444</f>
        <v>18207.099999999977</v>
      </c>
      <c r="BU954" s="2">
        <f>SUM(BU$2:BU444)+AO444*H444</f>
        <v>15855.600000000006</v>
      </c>
      <c r="BV954" s="2">
        <f>SUM(BV$2:BV444)+AP444*I444</f>
        <v>-2557.2000000000262</v>
      </c>
      <c r="BW954" s="2">
        <f>SUM(BW$2:BW444)+AQ444*J444</f>
        <v>-8760</v>
      </c>
      <c r="BX954" s="2">
        <f>SUM(BX$2:BX444)+AR444*K444</f>
        <v>13940</v>
      </c>
      <c r="BY954" s="2">
        <f>SUM(BY$2:BY444)+AS444*L444</f>
        <v>-5282.300000000012</v>
      </c>
      <c r="BZ954" s="2">
        <f>SUM(BZ$2:BZ444)+AT444*M444</f>
        <v>740</v>
      </c>
      <c r="CA954" s="2">
        <f>SUM(CA$2:CA444)+AU444*N444</f>
        <v>12660</v>
      </c>
      <c r="CB954" s="2">
        <f>SUM(CB$2:CB444)+AV444*O444</f>
        <v>26740</v>
      </c>
      <c r="CC954" s="2">
        <f>SUM(CC$2:CC444)+AW444*P444</f>
        <v>-20</v>
      </c>
      <c r="CD954" s="2">
        <f>SUM(CD$2:CD444)+AX444*Q444</f>
        <v>14050</v>
      </c>
      <c r="CE954" s="2">
        <f>SUM(CE$2:CE444)+AY444*R444</f>
        <v>27020</v>
      </c>
      <c r="CF954" s="2">
        <f>SUM(CF$2:CF444)+AZ444*S444</f>
        <v>14346.799999999967</v>
      </c>
      <c r="CG954" s="2">
        <f>SUM(CG$2:CG444)+BA444*T444</f>
        <v>50800.179999999993</v>
      </c>
      <c r="CH954" s="2">
        <f>SUM(CH$2:CH444)+BB444*U444</f>
        <v>29077.710000000028</v>
      </c>
      <c r="CI954" s="2">
        <f>SUM(CI$2:CI444)+BC444*V444</f>
        <v>-17900</v>
      </c>
      <c r="CJ954" s="2">
        <f>SUM(CJ$2:CJ444)+BD444*W444</f>
        <v>7790</v>
      </c>
      <c r="CK954" s="2">
        <f>SUM(CK$2:CK444)+BE444*X444</f>
        <v>75130</v>
      </c>
      <c r="CL954" s="2">
        <f>SUM(CL$2:CL444)+BF444*Y444</f>
        <v>330720.00000000012</v>
      </c>
      <c r="CM954" s="2">
        <f>SUM(CM$2:CM444)+BG444*Z444</f>
        <v>206450</v>
      </c>
      <c r="CN954" s="2">
        <f>SUM(CN$2:CN444)+BH444*AA444</f>
        <v>195782.5</v>
      </c>
      <c r="CO954" s="2">
        <f>SUM(CO$2:CO444)+BI444*AB444</f>
        <v>14140</v>
      </c>
      <c r="CP954" s="2">
        <f>SUM(CP$2:CP444)+BJ444*AC444</f>
        <v>3015</v>
      </c>
      <c r="CQ954" s="2">
        <f>SUM(CQ$2:CQ444)+BK444*AD444</f>
        <v>28320.000000000007</v>
      </c>
      <c r="CR954" s="2">
        <f>SUM(CR$2:CR444)+BL444*AE444</f>
        <v>640</v>
      </c>
      <c r="CV954" t="s">
        <v>64</v>
      </c>
      <c r="CW954" t="s">
        <v>1027</v>
      </c>
      <c r="CX954" t="s">
        <v>19</v>
      </c>
      <c r="CY954" s="4">
        <v>42936</v>
      </c>
      <c r="CZ954" t="s">
        <v>65</v>
      </c>
      <c r="DA954" t="s">
        <v>66</v>
      </c>
      <c r="DB954">
        <v>97</v>
      </c>
      <c r="DC954">
        <v>72.209999999999994</v>
      </c>
      <c r="DD954" t="s">
        <v>69</v>
      </c>
      <c r="DE954" t="s">
        <v>70</v>
      </c>
      <c r="DF954">
        <v>7004.369999999999</v>
      </c>
    </row>
    <row r="955" spans="66:110" x14ac:dyDescent="0.25">
      <c r="BN955" s="1">
        <f t="shared" si="341"/>
        <v>43378</v>
      </c>
      <c r="BO955" s="2">
        <f>SUM(BO$2:BO445)+AI445*B445</f>
        <v>240839.99999999977</v>
      </c>
      <c r="BP955" s="2">
        <f>SUM(BP$2:BP445)+AJ445*C445</f>
        <v>38896.899999999994</v>
      </c>
      <c r="BQ955" s="2">
        <f>SUM(BQ$2:BQ445)+AK445*D445</f>
        <v>270120.99999999988</v>
      </c>
      <c r="BR955" s="2">
        <f>SUM(BR$2:BR445)+AL445*E445</f>
        <v>70699.899999999965</v>
      </c>
      <c r="BS955" s="2">
        <f>SUM(BS$2:BS445)+AM445*F445</f>
        <v>22805.500000000015</v>
      </c>
      <c r="BT955" s="2">
        <f>SUM(BT$2:BT445)+AN445*G445</f>
        <v>18691.799999999959</v>
      </c>
      <c r="BU955" s="2">
        <f>SUM(BU$2:BU445)+AO445*H445</f>
        <v>14100.200000000012</v>
      </c>
      <c r="BV955" s="2">
        <f>SUM(BV$2:BV445)+AP445*I445</f>
        <v>-3521.1000000000204</v>
      </c>
      <c r="BW955" s="2">
        <f>SUM(BW$2:BW445)+AQ445*J445</f>
        <v>-10520</v>
      </c>
      <c r="BX955" s="2">
        <f>SUM(BX$2:BX445)+AR445*K445</f>
        <v>13940</v>
      </c>
      <c r="BY955" s="2">
        <f>SUM(BY$2:BY445)+AS445*L445</f>
        <v>-5304.6000000000113</v>
      </c>
      <c r="BZ955" s="2">
        <f>SUM(BZ$2:BZ445)+AT445*M445</f>
        <v>740</v>
      </c>
      <c r="CA955" s="2">
        <f>SUM(CA$2:CA445)+AU445*N445</f>
        <v>12660</v>
      </c>
      <c r="CB955" s="2">
        <f>SUM(CB$2:CB445)+AV445*O445</f>
        <v>26740</v>
      </c>
      <c r="CC955" s="2">
        <f>SUM(CC$2:CC445)+AW445*P445</f>
        <v>-20</v>
      </c>
      <c r="CD955" s="2">
        <f>SUM(CD$2:CD445)+AX445*Q445</f>
        <v>14050</v>
      </c>
      <c r="CE955" s="2">
        <f>SUM(CE$2:CE445)+AY445*R445</f>
        <v>27020</v>
      </c>
      <c r="CF955" s="2">
        <f>SUM(CF$2:CF445)+AZ445*S445</f>
        <v>14174.719999999987</v>
      </c>
      <c r="CG955" s="2">
        <f>SUM(CG$2:CG445)+BA445*T445</f>
        <v>50124.83</v>
      </c>
      <c r="CH955" s="2">
        <f>SUM(CH$2:CH445)+BB445*U445</f>
        <v>29023.050000000017</v>
      </c>
      <c r="CI955" s="2">
        <f>SUM(CI$2:CI445)+BC445*V445</f>
        <v>-18320</v>
      </c>
      <c r="CJ955" s="2">
        <f>SUM(CJ$2:CJ445)+BD445*W445</f>
        <v>6065</v>
      </c>
      <c r="CK955" s="2">
        <f>SUM(CK$2:CK445)+BE445*X445</f>
        <v>71830.000000000116</v>
      </c>
      <c r="CL955" s="2">
        <f>SUM(CL$2:CL445)+BF445*Y445</f>
        <v>333329.99999999988</v>
      </c>
      <c r="CM955" s="2">
        <f>SUM(CM$2:CM445)+BG445*Z445</f>
        <v>199900</v>
      </c>
      <c r="CN955" s="2">
        <f>SUM(CN$2:CN445)+BH445*AA445</f>
        <v>192307.5</v>
      </c>
      <c r="CO955" s="2">
        <f>SUM(CO$2:CO445)+BI445*AB445</f>
        <v>13900</v>
      </c>
      <c r="CP955" s="2">
        <f>SUM(CP$2:CP445)+BJ445*AC445</f>
        <v>4655</v>
      </c>
      <c r="CQ955" s="2">
        <f>SUM(CQ$2:CQ445)+BK445*AD445</f>
        <v>27420.000000000007</v>
      </c>
      <c r="CR955" s="2">
        <f>SUM(CR$2:CR445)+BL445*AE445</f>
        <v>410</v>
      </c>
      <c r="CV955" t="s">
        <v>64</v>
      </c>
      <c r="CW955" t="s">
        <v>1028</v>
      </c>
      <c r="CX955" t="s">
        <v>19</v>
      </c>
      <c r="CY955" s="4">
        <v>42937</v>
      </c>
      <c r="CZ955" t="s">
        <v>67</v>
      </c>
      <c r="DA955" t="s">
        <v>68</v>
      </c>
      <c r="DB955">
        <v>139</v>
      </c>
      <c r="DC955">
        <v>71.790000000000006</v>
      </c>
      <c r="DD955" t="s">
        <v>69</v>
      </c>
      <c r="DE955" t="s">
        <v>70</v>
      </c>
      <c r="DF955">
        <v>9978.8100000000013</v>
      </c>
    </row>
    <row r="956" spans="66:110" x14ac:dyDescent="0.25">
      <c r="BN956" s="1">
        <f t="shared" si="341"/>
        <v>43381</v>
      </c>
      <c r="BO956" s="2">
        <f>SUM(BO$2:BO446)+AI446*B446</f>
        <v>238239.99999999977</v>
      </c>
      <c r="BP956" s="2">
        <f>SUM(BP$2:BP446)+AJ446*C446</f>
        <v>38582.5</v>
      </c>
      <c r="BQ956" s="2">
        <f>SUM(BQ$2:BQ446)+AK446*D446</f>
        <v>269217.09999999986</v>
      </c>
      <c r="BR956" s="2">
        <f>SUM(BR$2:BR446)+AL446*E446</f>
        <v>70739.199999999953</v>
      </c>
      <c r="BS956" s="2">
        <f>SUM(BS$2:BS446)+AM446*F446</f>
        <v>22006.400000000016</v>
      </c>
      <c r="BT956" s="2">
        <f>SUM(BT$2:BT446)+AN446*G446</f>
        <v>18062.999999999971</v>
      </c>
      <c r="BU956" s="2">
        <f>SUM(BU$2:BU446)+AO446*H446</f>
        <v>15711.5</v>
      </c>
      <c r="BV956" s="2">
        <f>SUM(BV$2:BV446)+AP446*I446</f>
        <v>-3556.8000000000175</v>
      </c>
      <c r="BW956" s="2">
        <f>SUM(BW$2:BW446)+AQ446*J446</f>
        <v>-10880</v>
      </c>
      <c r="BX956" s="2">
        <f>SUM(BX$2:BX446)+AR446*K446</f>
        <v>13940</v>
      </c>
      <c r="BY956" s="2">
        <f>SUM(BY$2:BY446)+AS446*L446</f>
        <v>-5310.800000000012</v>
      </c>
      <c r="BZ956" s="2">
        <f>SUM(BZ$2:BZ446)+AT446*M446</f>
        <v>740</v>
      </c>
      <c r="CA956" s="2">
        <f>SUM(CA$2:CA446)+AU446*N446</f>
        <v>12660</v>
      </c>
      <c r="CB956" s="2">
        <f>SUM(CB$2:CB446)+AV446*O446</f>
        <v>26740</v>
      </c>
      <c r="CC956" s="2">
        <f>SUM(CC$2:CC446)+AW446*P446</f>
        <v>-20</v>
      </c>
      <c r="CD956" s="2">
        <f>SUM(CD$2:CD446)+AX446*Q446</f>
        <v>14050</v>
      </c>
      <c r="CE956" s="2">
        <f>SUM(CE$2:CE446)+AY446*R446</f>
        <v>27020</v>
      </c>
      <c r="CF956" s="2">
        <f>SUM(CF$2:CF446)+AZ446*S446</f>
        <v>14581.699999999975</v>
      </c>
      <c r="CG956" s="2">
        <f>SUM(CG$2:CG446)+BA446*T446</f>
        <v>48747.55</v>
      </c>
      <c r="CH956" s="2">
        <f>SUM(CH$2:CH446)+BB446*U446</f>
        <v>29125.570000000029</v>
      </c>
      <c r="CI956" s="2">
        <f>SUM(CI$2:CI446)+BC446*V446</f>
        <v>-19040</v>
      </c>
      <c r="CJ956" s="2">
        <f>SUM(CJ$2:CJ446)+BD446*W446</f>
        <v>4190</v>
      </c>
      <c r="CK956" s="2">
        <f>SUM(CK$2:CK446)+BE446*X446</f>
        <v>79430</v>
      </c>
      <c r="CL956" s="2">
        <f>SUM(CL$2:CL446)+BF446*Y446</f>
        <v>332759.99999999988</v>
      </c>
      <c r="CM956" s="2">
        <f>SUM(CM$2:CM446)+BG446*Z446</f>
        <v>202500</v>
      </c>
      <c r="CN956" s="2">
        <f>SUM(CN$2:CN446)+BH446*AA446</f>
        <v>183657.49999999994</v>
      </c>
      <c r="CO956" s="2">
        <f>SUM(CO$2:CO446)+BI446*AB446</f>
        <v>14140</v>
      </c>
      <c r="CP956" s="2">
        <f>SUM(CP$2:CP446)+BJ446*AC446</f>
        <v>1415</v>
      </c>
      <c r="CQ956" s="2">
        <f>SUM(CQ$2:CQ446)+BK446*AD446</f>
        <v>28800.000000000007</v>
      </c>
      <c r="CR956" s="2">
        <f>SUM(CR$2:CR446)+BL446*AE446</f>
        <v>1180</v>
      </c>
      <c r="CV956" t="s">
        <v>64</v>
      </c>
      <c r="CW956" t="s">
        <v>1029</v>
      </c>
      <c r="CX956" t="s">
        <v>19</v>
      </c>
      <c r="CY956" s="4">
        <v>42940</v>
      </c>
      <c r="CZ956" t="s">
        <v>65</v>
      </c>
      <c r="DA956" t="s">
        <v>66</v>
      </c>
      <c r="DB956">
        <v>113</v>
      </c>
      <c r="DC956">
        <v>71.599999999999994</v>
      </c>
      <c r="DD956" t="s">
        <v>69</v>
      </c>
      <c r="DE956" t="s">
        <v>70</v>
      </c>
      <c r="DF956">
        <v>8090.7999999999993</v>
      </c>
    </row>
    <row r="957" spans="66:110" x14ac:dyDescent="0.25">
      <c r="BN957" s="1">
        <f t="shared" si="341"/>
        <v>43382</v>
      </c>
      <c r="BO957" s="2">
        <f>SUM(BO$2:BO447)+AI447*B447</f>
        <v>253639.99999999977</v>
      </c>
      <c r="BP957" s="2">
        <f>SUM(BP$2:BP447)+AJ447*C447</f>
        <v>38163.300000000017</v>
      </c>
      <c r="BQ957" s="2">
        <f>SUM(BQ$2:BQ447)+AK447*D447</f>
        <v>268784.79999999993</v>
      </c>
      <c r="BR957" s="2">
        <f>SUM(BR$2:BR447)+AL447*E447</f>
        <v>65708.799999999959</v>
      </c>
      <c r="BS957" s="2">
        <f>SUM(BS$2:BS447)+AM447*F447</f>
        <v>21980.200000000019</v>
      </c>
      <c r="BT957" s="2">
        <f>SUM(BT$2:BT447)+AN447*G447</f>
        <v>20604.399999999965</v>
      </c>
      <c r="BU957" s="2">
        <f>SUM(BU$2:BU447)+AO447*H447</f>
        <v>16838.100000000006</v>
      </c>
      <c r="BV957" s="2">
        <f>SUM(BV$2:BV447)+AP447*I447</f>
        <v>-6293.800000000032</v>
      </c>
      <c r="BW957" s="2">
        <f>SUM(BW$2:BW447)+AQ447*J447</f>
        <v>-13310</v>
      </c>
      <c r="BX957" s="2">
        <f>SUM(BX$2:BX447)+AR447*K447</f>
        <v>13940</v>
      </c>
      <c r="BY957" s="2">
        <f>SUM(BY$2:BY447)+AS447*L447</f>
        <v>-5322.1000000000113</v>
      </c>
      <c r="BZ957" s="2">
        <f>SUM(BZ$2:BZ447)+AT447*M447</f>
        <v>740</v>
      </c>
      <c r="CA957" s="2">
        <f>SUM(CA$2:CA447)+AU447*N447</f>
        <v>12660</v>
      </c>
      <c r="CB957" s="2">
        <f>SUM(CB$2:CB447)+AV447*O447</f>
        <v>26740</v>
      </c>
      <c r="CC957" s="2">
        <f>SUM(CC$2:CC447)+AW447*P447</f>
        <v>-20</v>
      </c>
      <c r="CD957" s="2">
        <f>SUM(CD$2:CD447)+AX447*Q447</f>
        <v>14050</v>
      </c>
      <c r="CE957" s="2">
        <f>SUM(CE$2:CE447)+AY447*R447</f>
        <v>27020</v>
      </c>
      <c r="CF957" s="2">
        <f>SUM(CF$2:CF447)+AZ447*S447</f>
        <v>15505.699999999975</v>
      </c>
      <c r="CG957" s="2">
        <f>SUM(CG$2:CG447)+BA447*T447</f>
        <v>50129.350000000006</v>
      </c>
      <c r="CH957" s="2">
        <f>SUM(CH$2:CH447)+BB447*U447</f>
        <v>29331.34000000004</v>
      </c>
      <c r="CI957" s="2">
        <f>SUM(CI$2:CI447)+BC447*V447</f>
        <v>-19420</v>
      </c>
      <c r="CJ957" s="2">
        <f>SUM(CJ$2:CJ447)+BD447*W447</f>
        <v>5690</v>
      </c>
      <c r="CK957" s="2">
        <f>SUM(CK$2:CK447)+BE447*X447</f>
        <v>79080</v>
      </c>
      <c r="CL957" s="2">
        <f>SUM(CL$2:CL447)+BF447*Y447</f>
        <v>336060</v>
      </c>
      <c r="CM957" s="2">
        <f>SUM(CM$2:CM447)+BG447*Z447</f>
        <v>184200</v>
      </c>
      <c r="CN957" s="2">
        <f>SUM(CN$2:CN447)+BH447*AA447</f>
        <v>184707.5</v>
      </c>
      <c r="CO957" s="2">
        <f>SUM(CO$2:CO447)+BI447*AB447</f>
        <v>15820</v>
      </c>
      <c r="CP957" s="2">
        <f>SUM(CP$2:CP447)+BJ447*AC447</f>
        <v>2575</v>
      </c>
      <c r="CQ957" s="2">
        <f>SUM(CQ$2:CQ447)+BK447*AD447</f>
        <v>31170.000000000007</v>
      </c>
      <c r="CR957" s="2">
        <f>SUM(CR$2:CR447)+BL447*AE447</f>
        <v>1550</v>
      </c>
      <c r="CV957" t="s">
        <v>64</v>
      </c>
      <c r="CW957" t="s">
        <v>1030</v>
      </c>
      <c r="CX957" t="s">
        <v>19</v>
      </c>
      <c r="CY957" s="4">
        <v>42941</v>
      </c>
      <c r="CZ957" t="s">
        <v>67</v>
      </c>
      <c r="DA957" t="s">
        <v>68</v>
      </c>
      <c r="DB957">
        <v>102</v>
      </c>
      <c r="DC957">
        <v>72.180000000000007</v>
      </c>
      <c r="DD957" t="s">
        <v>69</v>
      </c>
      <c r="DE957" t="s">
        <v>70</v>
      </c>
      <c r="DF957">
        <v>7362.3600000000006</v>
      </c>
    </row>
    <row r="958" spans="66:110" x14ac:dyDescent="0.25">
      <c r="BN958" s="1">
        <f t="shared" si="341"/>
        <v>43383</v>
      </c>
      <c r="BO958" s="2">
        <f>SUM(BO$2:BO448)+AI448*B448</f>
        <v>201489.99999999977</v>
      </c>
      <c r="BP958" s="2">
        <f>SUM(BP$2:BP448)+AJ448*C448</f>
        <v>34128.5</v>
      </c>
      <c r="BQ958" s="2">
        <f>SUM(BQ$2:BQ448)+AK448*D448</f>
        <v>245466.7999999999</v>
      </c>
      <c r="BR958" s="2">
        <f>SUM(BR$2:BR448)+AL448*E448</f>
        <v>58294.199999999953</v>
      </c>
      <c r="BS958" s="2">
        <f>SUM(BS$2:BS448)+AM448*F448</f>
        <v>19556.700000000019</v>
      </c>
      <c r="BT958" s="2">
        <f>SUM(BT$2:BT448)+AN448*G448</f>
        <v>15194.099999999977</v>
      </c>
      <c r="BU958" s="2">
        <f>SUM(BU$2:BU448)+AO448*H448</f>
        <v>11598.100000000006</v>
      </c>
      <c r="BV958" s="2">
        <f>SUM(BV$2:BV448)+AP448*I448</f>
        <v>-8090.7000000000262</v>
      </c>
      <c r="BW958" s="2">
        <f>SUM(BW$2:BW448)+AQ448*J448</f>
        <v>-21300</v>
      </c>
      <c r="BX958" s="2">
        <f>SUM(BX$2:BX448)+AR448*K448</f>
        <v>13940</v>
      </c>
      <c r="BY958" s="2">
        <f>SUM(BY$2:BY448)+AS448*L448</f>
        <v>-5366.5000000000118</v>
      </c>
      <c r="BZ958" s="2">
        <f>SUM(BZ$2:BZ448)+AT448*M448</f>
        <v>740</v>
      </c>
      <c r="CA958" s="2">
        <f>SUM(CA$2:CA448)+AU448*N448</f>
        <v>12660</v>
      </c>
      <c r="CB958" s="2">
        <f>SUM(CB$2:CB448)+AV448*O448</f>
        <v>26740</v>
      </c>
      <c r="CC958" s="2">
        <f>SUM(CC$2:CC448)+AW448*P448</f>
        <v>-20</v>
      </c>
      <c r="CD958" s="2">
        <f>SUM(CD$2:CD448)+AX448*Q448</f>
        <v>14050</v>
      </c>
      <c r="CE958" s="2">
        <f>SUM(CE$2:CE448)+AY448*R448</f>
        <v>27020</v>
      </c>
      <c r="CF958" s="2">
        <f>SUM(CF$2:CF448)+AZ448*S448</f>
        <v>13578.699999999975</v>
      </c>
      <c r="CG958" s="2">
        <f>SUM(CG$2:CG448)+BA448*T448</f>
        <v>43459.590000000011</v>
      </c>
      <c r="CH958" s="2">
        <f>SUM(CH$2:CH448)+BB448*U448</f>
        <v>23538.280000000028</v>
      </c>
      <c r="CI958" s="2">
        <f>SUM(CI$2:CI448)+BC448*V448</f>
        <v>-17540</v>
      </c>
      <c r="CJ958" s="2">
        <f>SUM(CJ$2:CJ448)+BD448*W448</f>
        <v>11315</v>
      </c>
      <c r="CK958" s="2">
        <f>SUM(CK$2:CK448)+BE448*X448</f>
        <v>62080</v>
      </c>
      <c r="CL958" s="2">
        <f>SUM(CL$2:CL448)+BF448*Y448</f>
        <v>315030</v>
      </c>
      <c r="CM958" s="2">
        <f>SUM(CM$2:CM448)+BG448*Z448</f>
        <v>160650</v>
      </c>
      <c r="CN958" s="2">
        <f>SUM(CN$2:CN448)+BH448*AA448</f>
        <v>167782.5</v>
      </c>
      <c r="CO958" s="2">
        <f>SUM(CO$2:CO448)+BI448*AB448</f>
        <v>13870</v>
      </c>
      <c r="CP958" s="2">
        <f>SUM(CP$2:CP448)+BJ448*AC448</f>
        <v>5055</v>
      </c>
      <c r="CQ958" s="2">
        <f>SUM(CQ$2:CQ448)+BK448*AD448</f>
        <v>29860.000000000007</v>
      </c>
      <c r="CR958" s="2">
        <f>SUM(CR$2:CR448)+BL448*AE448</f>
        <v>-400</v>
      </c>
      <c r="CV958" t="s">
        <v>64</v>
      </c>
      <c r="CW958" t="s">
        <v>1031</v>
      </c>
      <c r="CX958" t="s">
        <v>19</v>
      </c>
      <c r="CY958" s="4">
        <v>42942</v>
      </c>
      <c r="CZ958" t="s">
        <v>65</v>
      </c>
      <c r="DA958" t="s">
        <v>66</v>
      </c>
      <c r="DB958">
        <v>32</v>
      </c>
      <c r="DC958">
        <v>72.040000000000006</v>
      </c>
      <c r="DD958" t="s">
        <v>69</v>
      </c>
      <c r="DE958" t="s">
        <v>70</v>
      </c>
      <c r="DF958">
        <v>2305.2800000000002</v>
      </c>
    </row>
    <row r="959" spans="66:110" x14ac:dyDescent="0.25">
      <c r="BN959" s="1">
        <f t="shared" si="341"/>
        <v>43384</v>
      </c>
      <c r="BO959" s="2">
        <f>SUM(BO$2:BO449)+AI449*B449</f>
        <v>191989.99999999977</v>
      </c>
      <c r="BP959" s="2">
        <f>SUM(BP$2:BP449)+AJ449*C449</f>
        <v>31534.700000000012</v>
      </c>
      <c r="BQ959" s="2">
        <f>SUM(BQ$2:BQ449)+AK449*D449</f>
        <v>233323.09999999989</v>
      </c>
      <c r="BR959" s="2">
        <f>SUM(BR$2:BR449)+AL449*E449</f>
        <v>54730.999999999971</v>
      </c>
      <c r="BS959" s="2">
        <f>SUM(BS$2:BS449)+AM449*F449</f>
        <v>17591.700000000019</v>
      </c>
      <c r="BT959" s="2">
        <f>SUM(BT$2:BT449)+AN449*G449</f>
        <v>9836.1999999999825</v>
      </c>
      <c r="BU959" s="2">
        <f>SUM(BU$2:BU449)+AO449*H449</f>
        <v>9371.1000000000058</v>
      </c>
      <c r="BV959" s="2">
        <f>SUM(BV$2:BV449)+AP449*I449</f>
        <v>-8495.3000000000175</v>
      </c>
      <c r="BW959" s="2">
        <f>SUM(BW$2:BW449)+AQ449*J449</f>
        <v>-23210</v>
      </c>
      <c r="BX959" s="2">
        <f>SUM(BX$2:BX449)+AR449*K449</f>
        <v>13940</v>
      </c>
      <c r="BY959" s="2">
        <f>SUM(BY$2:BY449)+AS449*L449</f>
        <v>-5402.300000000012</v>
      </c>
      <c r="BZ959" s="2">
        <f>SUM(BZ$2:BZ449)+AT449*M449</f>
        <v>740</v>
      </c>
      <c r="CA959" s="2">
        <f>SUM(CA$2:CA449)+AU449*N449</f>
        <v>12660</v>
      </c>
      <c r="CB959" s="2">
        <f>SUM(CB$2:CB449)+AV449*O449</f>
        <v>26740</v>
      </c>
      <c r="CC959" s="2">
        <f>SUM(CC$2:CC449)+AW449*P449</f>
        <v>-20</v>
      </c>
      <c r="CD959" s="2">
        <f>SUM(CD$2:CD449)+AX449*Q449</f>
        <v>14050</v>
      </c>
      <c r="CE959" s="2">
        <f>SUM(CE$2:CE449)+AY449*R449</f>
        <v>27020</v>
      </c>
      <c r="CF959" s="2">
        <f>SUM(CF$2:CF449)+AZ449*S449</f>
        <v>11438.319999999985</v>
      </c>
      <c r="CG959" s="2">
        <f>SUM(CG$2:CG449)+BA449*T449</f>
        <v>43210.090000000011</v>
      </c>
      <c r="CH959" s="2">
        <f>SUM(CH$2:CH449)+BB449*U449</f>
        <v>23131.500000000029</v>
      </c>
      <c r="CI959" s="2">
        <f>SUM(CI$2:CI449)+BC449*V449</f>
        <v>-14180</v>
      </c>
      <c r="CJ959" s="2">
        <f>SUM(CJ$2:CJ449)+BD449*W449</f>
        <v>30215</v>
      </c>
      <c r="CK959" s="2">
        <f>SUM(CK$2:CK449)+BE449*X449</f>
        <v>42930</v>
      </c>
      <c r="CL959" s="2">
        <f>SUM(CL$2:CL449)+BF449*Y449</f>
        <v>297210</v>
      </c>
      <c r="CM959" s="2">
        <f>SUM(CM$2:CM449)+BG449*Z449</f>
        <v>152000</v>
      </c>
      <c r="CN959" s="2">
        <f>SUM(CN$2:CN449)+BH449*AA449</f>
        <v>163332.5</v>
      </c>
      <c r="CO959" s="2">
        <f>SUM(CO$2:CO449)+BI449*AB449</f>
        <v>10900</v>
      </c>
      <c r="CP959" s="2">
        <f>SUM(CP$2:CP449)+BJ449*AC449</f>
        <v>7835</v>
      </c>
      <c r="CQ959" s="2">
        <f>SUM(CQ$2:CQ449)+BK449*AD449</f>
        <v>28030.000000000007</v>
      </c>
      <c r="CR959" s="2">
        <f>SUM(CR$2:CR449)+BL449*AE449</f>
        <v>-3260</v>
      </c>
      <c r="CV959" t="s">
        <v>64</v>
      </c>
      <c r="CW959" t="s">
        <v>1032</v>
      </c>
      <c r="CX959" t="s">
        <v>19</v>
      </c>
      <c r="CY959" s="4">
        <v>42943</v>
      </c>
      <c r="CZ959" t="s">
        <v>65</v>
      </c>
      <c r="DA959" t="s">
        <v>66</v>
      </c>
      <c r="DB959">
        <v>66</v>
      </c>
      <c r="DC959">
        <v>71.180000000000007</v>
      </c>
      <c r="DD959" t="s">
        <v>69</v>
      </c>
      <c r="DE959" t="s">
        <v>70</v>
      </c>
      <c r="DF959">
        <v>4697.88</v>
      </c>
    </row>
    <row r="960" spans="66:110" x14ac:dyDescent="0.25">
      <c r="BN960" s="1">
        <f t="shared" si="341"/>
        <v>43385</v>
      </c>
      <c r="BO960" s="2">
        <f>SUM(BO$2:BO450)+AI450*B450</f>
        <v>229989.99999999977</v>
      </c>
      <c r="BP960" s="2">
        <f>SUM(BP$2:BP450)+AJ450*C450</f>
        <v>33381.800000000003</v>
      </c>
      <c r="BQ960" s="2">
        <f>SUM(BQ$2:BQ450)+AK450*D450</f>
        <v>235916.89999999991</v>
      </c>
      <c r="BR960" s="2">
        <f>SUM(BR$2:BR450)+AL450*E450</f>
        <v>56158.89999999998</v>
      </c>
      <c r="BS960" s="2">
        <f>SUM(BS$2:BS450)+AM450*F450</f>
        <v>19661.500000000015</v>
      </c>
      <c r="BT960" s="2">
        <f>SUM(BT$2:BT450)+AN450*G450</f>
        <v>8984.6999999999534</v>
      </c>
      <c r="BU960" s="2">
        <f>SUM(BU$2:BU450)+AO450*H450</f>
        <v>11270.600000000006</v>
      </c>
      <c r="BV960" s="2">
        <f>SUM(BV$2:BV450)+AP450*I450</f>
        <v>-7698.0000000000291</v>
      </c>
      <c r="BW960" s="2">
        <f>SUM(BW$2:BW450)+AQ450*J450</f>
        <v>-22310</v>
      </c>
      <c r="BX960" s="2">
        <f>SUM(BX$2:BX450)+AR450*K450</f>
        <v>13940</v>
      </c>
      <c r="BY960" s="2">
        <f>SUM(BY$2:BY450)+AS450*L450</f>
        <v>-5384.4000000000115</v>
      </c>
      <c r="BZ960" s="2">
        <f>SUM(BZ$2:BZ450)+AT450*M450</f>
        <v>740</v>
      </c>
      <c r="CA960" s="2">
        <f>SUM(CA$2:CA450)+AU450*N450</f>
        <v>12660</v>
      </c>
      <c r="CB960" s="2">
        <f>SUM(CB$2:CB450)+AV450*O450</f>
        <v>26740</v>
      </c>
      <c r="CC960" s="2">
        <f>SUM(CC$2:CC450)+AW450*P450</f>
        <v>-20</v>
      </c>
      <c r="CD960" s="2">
        <f>SUM(CD$2:CD450)+AX450*Q450</f>
        <v>14050</v>
      </c>
      <c r="CE960" s="2">
        <f>SUM(CE$2:CE450)+AY450*R450</f>
        <v>27020</v>
      </c>
      <c r="CF960" s="2">
        <f>SUM(CF$2:CF450)+AZ450*S450</f>
        <v>12924.089999999982</v>
      </c>
      <c r="CG960" s="2">
        <f>SUM(CG$2:CG450)+BA450*T450</f>
        <v>47152.090000000011</v>
      </c>
      <c r="CH960" s="2">
        <f>SUM(CH$2:CH450)+BB450*U450</f>
        <v>24426.500000000022</v>
      </c>
      <c r="CI960" s="2">
        <f>SUM(CI$2:CI450)+BC450*V450</f>
        <v>-16100</v>
      </c>
      <c r="CJ960" s="2">
        <f>SUM(CJ$2:CJ450)+BD450*W450</f>
        <v>28865</v>
      </c>
      <c r="CK960" s="2">
        <f>SUM(CK$2:CK450)+BE450*X450</f>
        <v>39630</v>
      </c>
      <c r="CL960" s="2">
        <f>SUM(CL$2:CL450)+BF450*Y450</f>
        <v>304649.99999999988</v>
      </c>
      <c r="CM960" s="2">
        <f>SUM(CM$2:CM450)+BG450*Z450</f>
        <v>153300</v>
      </c>
      <c r="CN960" s="2">
        <f>SUM(CN$2:CN450)+BH450*AA450</f>
        <v>179107.5</v>
      </c>
      <c r="CO960" s="2">
        <f>SUM(CO$2:CO450)+BI450*AB450</f>
        <v>12100</v>
      </c>
      <c r="CP960" s="2">
        <f>SUM(CP$2:CP450)+BJ450*AC450</f>
        <v>2695</v>
      </c>
      <c r="CQ960" s="2">
        <f>SUM(CQ$2:CQ450)+BK450*AD450</f>
        <v>28920.000000000007</v>
      </c>
      <c r="CR960" s="2">
        <f>SUM(CR$2:CR450)+BL450*AE450</f>
        <v>-3470</v>
      </c>
      <c r="CV960" t="s">
        <v>64</v>
      </c>
      <c r="CW960" t="s">
        <v>1033</v>
      </c>
      <c r="CX960" t="s">
        <v>19</v>
      </c>
      <c r="CY960" s="4">
        <v>42944</v>
      </c>
      <c r="CZ960" t="s">
        <v>67</v>
      </c>
      <c r="DA960" t="s">
        <v>68</v>
      </c>
      <c r="DB960">
        <v>97</v>
      </c>
      <c r="DC960">
        <v>71.06</v>
      </c>
      <c r="DD960" t="s">
        <v>69</v>
      </c>
      <c r="DE960" t="s">
        <v>70</v>
      </c>
      <c r="DF960">
        <v>6892.8200000000006</v>
      </c>
    </row>
    <row r="961" spans="66:110" x14ac:dyDescent="0.25">
      <c r="BN961" s="1">
        <f t="shared" si="341"/>
        <v>43388</v>
      </c>
      <c r="BO961" s="2">
        <f>SUM(BO$2:BO451)+AI451*B451</f>
        <v>206439.99999999977</v>
      </c>
      <c r="BP961" s="2">
        <f>SUM(BP$2:BP451)+AJ451*C451</f>
        <v>32880.199999999997</v>
      </c>
      <c r="BQ961" s="2">
        <f>SUM(BQ$2:BQ451)+AK451*D451</f>
        <v>234306.49999999988</v>
      </c>
      <c r="BR961" s="2">
        <f>SUM(BR$2:BR451)+AL451*E451</f>
        <v>55802.499999999956</v>
      </c>
      <c r="BS961" s="2">
        <f>SUM(BS$2:BS451)+AM451*F451</f>
        <v>18301.900000000016</v>
      </c>
      <c r="BT961" s="2">
        <f>SUM(BT$2:BT451)+AN451*G451</f>
        <v>7915.4999999999418</v>
      </c>
      <c r="BU961" s="2">
        <f>SUM(BU$2:BU451)+AO451*H451</f>
        <v>12366.200000000012</v>
      </c>
      <c r="BV961" s="2">
        <f>SUM(BV$2:BV451)+AP451*I451</f>
        <v>-8550.0000000000291</v>
      </c>
      <c r="BW961" s="2">
        <f>SUM(BW$2:BW451)+AQ451*J451</f>
        <v>-20970</v>
      </c>
      <c r="BX961" s="2">
        <f>SUM(BX$2:BX451)+AR451*K451</f>
        <v>13940</v>
      </c>
      <c r="BY961" s="2">
        <f>SUM(BY$2:BY451)+AS451*L451</f>
        <v>-5381.7000000000116</v>
      </c>
      <c r="BZ961" s="2">
        <f>SUM(BZ$2:BZ451)+AT451*M451</f>
        <v>740</v>
      </c>
      <c r="CA961" s="2">
        <f>SUM(CA$2:CA451)+AU451*N451</f>
        <v>12660</v>
      </c>
      <c r="CB961" s="2">
        <f>SUM(CB$2:CB451)+AV451*O451</f>
        <v>26740</v>
      </c>
      <c r="CC961" s="2">
        <f>SUM(CC$2:CC451)+AW451*P451</f>
        <v>-20</v>
      </c>
      <c r="CD961" s="2">
        <f>SUM(CD$2:CD451)+AX451*Q451</f>
        <v>14050</v>
      </c>
      <c r="CE961" s="2">
        <f>SUM(CE$2:CE451)+AY451*R451</f>
        <v>27020</v>
      </c>
      <c r="CF961" s="2">
        <f>SUM(CF$2:CF451)+AZ451*S451</f>
        <v>12593.26999999999</v>
      </c>
      <c r="CG961" s="2">
        <f>SUM(CG$2:CG451)+BA451*T451</f>
        <v>44996.090000000011</v>
      </c>
      <c r="CH961" s="2">
        <f>SUM(CH$2:CH451)+BB451*U451</f>
        <v>23594.820000000029</v>
      </c>
      <c r="CI961" s="2">
        <f>SUM(CI$2:CI451)+BC451*V451</f>
        <v>-14800</v>
      </c>
      <c r="CJ961" s="2">
        <f>SUM(CJ$2:CJ451)+BD451*W451</f>
        <v>20990</v>
      </c>
      <c r="CK961" s="2">
        <f>SUM(CK$2:CK451)+BE451*X451</f>
        <v>38330</v>
      </c>
      <c r="CL961" s="2">
        <f>SUM(CL$2:CL451)+BF451*Y451</f>
        <v>306570</v>
      </c>
      <c r="CM961" s="2">
        <f>SUM(CM$2:CM451)+BG451*Z451</f>
        <v>156750</v>
      </c>
      <c r="CN961" s="2">
        <f>SUM(CN$2:CN451)+BH451*AA451</f>
        <v>172057.5</v>
      </c>
      <c r="CO961" s="2">
        <f>SUM(CO$2:CO451)+BI451*AB451</f>
        <v>11710</v>
      </c>
      <c r="CP961" s="2">
        <f>SUM(CP$2:CP451)+BJ451*AC451</f>
        <v>275</v>
      </c>
      <c r="CQ961" s="2">
        <f>SUM(CQ$2:CQ451)+BK451*AD451</f>
        <v>27930.000000000007</v>
      </c>
      <c r="CR961" s="2">
        <f>SUM(CR$2:CR451)+BL451*AE451</f>
        <v>-4020</v>
      </c>
      <c r="CV961" t="s">
        <v>64</v>
      </c>
      <c r="CW961" t="s">
        <v>1034</v>
      </c>
      <c r="CX961" t="s">
        <v>19</v>
      </c>
      <c r="CY961" s="4">
        <v>42947</v>
      </c>
      <c r="CZ961" t="s">
        <v>65</v>
      </c>
      <c r="DA961" t="s">
        <v>66</v>
      </c>
      <c r="DB961">
        <v>17</v>
      </c>
      <c r="DC961">
        <v>70.73</v>
      </c>
      <c r="DD961" t="s">
        <v>69</v>
      </c>
      <c r="DE961" t="s">
        <v>70</v>
      </c>
      <c r="DF961">
        <v>1202.4100000000001</v>
      </c>
    </row>
    <row r="962" spans="66:110" x14ac:dyDescent="0.25">
      <c r="BN962" s="1">
        <f t="shared" ref="BN962:BN1013" si="342">A452</f>
        <v>43389</v>
      </c>
      <c r="BO962" s="2">
        <f>SUM(BO$2:BO452)+AI452*B452</f>
        <v>230189.99999999977</v>
      </c>
      <c r="BP962" s="2">
        <f>SUM(BP$2:BP452)+AJ452*C452</f>
        <v>35058.199999999997</v>
      </c>
      <c r="BQ962" s="2">
        <f>SUM(BQ$2:BQ452)+AK452*D452</f>
        <v>246569.29999999993</v>
      </c>
      <c r="BR962" s="2">
        <f>SUM(BR$2:BR452)+AL452*E452</f>
        <v>58297.299999999945</v>
      </c>
      <c r="BS962" s="2">
        <f>SUM(BS$2:BS452)+AM452*F452</f>
        <v>19806.700000000019</v>
      </c>
      <c r="BT962" s="2">
        <f>SUM(BT$2:BT452)+AN452*G452</f>
        <v>8641.4999999999418</v>
      </c>
      <c r="BU962" s="2">
        <f>SUM(BU$2:BU452)+AO452*H452</f>
        <v>15969.800000000017</v>
      </c>
      <c r="BV962" s="2">
        <f>SUM(BV$2:BV452)+AP452*I452</f>
        <v>-6978.0000000000291</v>
      </c>
      <c r="BW962" s="2">
        <f>SUM(BW$2:BW452)+AQ452*J452</f>
        <v>-14510</v>
      </c>
      <c r="BX962" s="2">
        <f>SUM(BX$2:BX452)+AR452*K452</f>
        <v>13940</v>
      </c>
      <c r="BY962" s="2">
        <f>SUM(BY$2:BY452)+AS452*L452</f>
        <v>-5342.800000000012</v>
      </c>
      <c r="BZ962" s="2">
        <f>SUM(BZ$2:BZ452)+AT452*M452</f>
        <v>740</v>
      </c>
      <c r="CA962" s="2">
        <f>SUM(CA$2:CA452)+AU452*N452</f>
        <v>12660</v>
      </c>
      <c r="CB962" s="2">
        <f>SUM(CB$2:CB452)+AV452*O452</f>
        <v>26740</v>
      </c>
      <c r="CC962" s="2">
        <f>SUM(CC$2:CC452)+AW452*P452</f>
        <v>-20</v>
      </c>
      <c r="CD962" s="2">
        <f>SUM(CD$2:CD452)+AX452*Q452</f>
        <v>14050</v>
      </c>
      <c r="CE962" s="2">
        <f>SUM(CE$2:CE452)+AY452*R452</f>
        <v>27020</v>
      </c>
      <c r="CF962" s="2">
        <f>SUM(CF$2:CF452)+AZ452*S452</f>
        <v>14373.289999999972</v>
      </c>
      <c r="CG962" s="2">
        <f>SUM(CG$2:CG452)+BA452*T452</f>
        <v>48301.73000000001</v>
      </c>
      <c r="CH962" s="2">
        <f>SUM(CH$2:CH452)+BB452*U452</f>
        <v>25926.020000000026</v>
      </c>
      <c r="CI962" s="2">
        <f>SUM(CI$2:CI452)+BC452*V452</f>
        <v>-16400</v>
      </c>
      <c r="CJ962" s="2">
        <f>SUM(CJ$2:CJ452)+BD452*W452</f>
        <v>14465</v>
      </c>
      <c r="CK962" s="2">
        <f>SUM(CK$2:CK452)+BE452*X452</f>
        <v>45080</v>
      </c>
      <c r="CL962" s="2">
        <f>SUM(CL$2:CL452)+BF452*Y452</f>
        <v>343410</v>
      </c>
      <c r="CM962" s="2">
        <f>SUM(CM$2:CM452)+BG452*Z452</f>
        <v>167550</v>
      </c>
      <c r="CN962" s="2">
        <f>SUM(CN$2:CN452)+BH452*AA452</f>
        <v>183282.5</v>
      </c>
      <c r="CO962" s="2">
        <f>SUM(CO$2:CO452)+BI452*AB452</f>
        <v>12010</v>
      </c>
      <c r="CP962" s="2">
        <f>SUM(CP$2:CP452)+BJ452*AC452</f>
        <v>-2805</v>
      </c>
      <c r="CQ962" s="2">
        <f>SUM(CQ$2:CQ452)+BK452*AD452</f>
        <v>29910.000000000007</v>
      </c>
      <c r="CR962" s="2">
        <f>SUM(CR$2:CR452)+BL452*AE452</f>
        <v>-3650</v>
      </c>
      <c r="CV962" t="s">
        <v>64</v>
      </c>
      <c r="CW962" t="s">
        <v>1035</v>
      </c>
      <c r="CX962" t="s">
        <v>19</v>
      </c>
      <c r="CY962" s="4">
        <v>42948</v>
      </c>
      <c r="CZ962" t="s">
        <v>65</v>
      </c>
      <c r="DA962" t="s">
        <v>66</v>
      </c>
      <c r="DB962">
        <v>110</v>
      </c>
      <c r="DC962">
        <v>70.61</v>
      </c>
      <c r="DD962" t="s">
        <v>69</v>
      </c>
      <c r="DE962" t="s">
        <v>70</v>
      </c>
      <c r="DF962">
        <v>7767.1</v>
      </c>
    </row>
    <row r="963" spans="66:110" x14ac:dyDescent="0.25">
      <c r="BN963" s="1">
        <f t="shared" si="342"/>
        <v>43390</v>
      </c>
      <c r="BO963" s="2">
        <f>SUM(BO$2:BO453)+AI453*B453</f>
        <v>225439.99999999977</v>
      </c>
      <c r="BP963" s="2">
        <f>SUM(BP$2:BP453)+AJ453*C453</f>
        <v>35137.39999999998</v>
      </c>
      <c r="BQ963" s="2">
        <f>SUM(BQ$2:BQ453)+AK453*D453</f>
        <v>242965.6999999999</v>
      </c>
      <c r="BR963" s="2">
        <f>SUM(BR$2:BR453)+AL453*E453</f>
        <v>55208.499999999985</v>
      </c>
      <c r="BS963" s="2">
        <f>SUM(BS$2:BS453)+AM453*F453</f>
        <v>19965.10000000002</v>
      </c>
      <c r="BT963" s="2">
        <f>SUM(BT$2:BT453)+AN453*G453</f>
        <v>8364.2999999999593</v>
      </c>
      <c r="BU963" s="2">
        <f>SUM(BU$2:BU453)+AO453*H453</f>
        <v>17197.400000000023</v>
      </c>
      <c r="BV963" s="2">
        <f>SUM(BV$2:BV453)+AP453*I453</f>
        <v>-7806.0000000000291</v>
      </c>
      <c r="BW963" s="2">
        <f>SUM(BW$2:BW453)+AQ453*J453</f>
        <v>-7960</v>
      </c>
      <c r="BX963" s="2">
        <f>SUM(BX$2:BX453)+AR453*K453</f>
        <v>13940</v>
      </c>
      <c r="BY963" s="2">
        <f>SUM(BY$2:BY453)+AS453*L453</f>
        <v>-5450.800000000012</v>
      </c>
      <c r="BZ963" s="2">
        <f>SUM(BZ$2:BZ453)+AT453*M453</f>
        <v>740</v>
      </c>
      <c r="CA963" s="2">
        <f>SUM(CA$2:CA453)+AU453*N453</f>
        <v>12660</v>
      </c>
      <c r="CB963" s="2">
        <f>SUM(CB$2:CB453)+AV453*O453</f>
        <v>26740</v>
      </c>
      <c r="CC963" s="2">
        <f>SUM(CC$2:CC453)+AW453*P453</f>
        <v>-20</v>
      </c>
      <c r="CD963" s="2">
        <f>SUM(CD$2:CD453)+AX453*Q453</f>
        <v>14050</v>
      </c>
      <c r="CE963" s="2">
        <f>SUM(CE$2:CE453)+AY453*R453</f>
        <v>27020</v>
      </c>
      <c r="CF963" s="2">
        <f>SUM(CF$2:CF453)+AZ453*S453</f>
        <v>14969.089999999967</v>
      </c>
      <c r="CG963" s="2">
        <f>SUM(CG$2:CG453)+BA453*T453</f>
        <v>48000.710000000021</v>
      </c>
      <c r="CH963" s="2">
        <f>SUM(CH$2:CH453)+BB453*U453</f>
        <v>24879.020000000026</v>
      </c>
      <c r="CI963" s="2">
        <f>SUM(CI$2:CI453)+BC453*V453</f>
        <v>-17660</v>
      </c>
      <c r="CJ963" s="2">
        <f>SUM(CJ$2:CJ453)+BD453*W453</f>
        <v>8165</v>
      </c>
      <c r="CK963" s="2">
        <f>SUM(CK$2:CK453)+BE453*X453</f>
        <v>53480</v>
      </c>
      <c r="CL963" s="2">
        <f>SUM(CL$2:CL453)+BF453*Y453</f>
        <v>327660</v>
      </c>
      <c r="CM963" s="2">
        <f>SUM(CM$2:CM453)+BG453*Z453</f>
        <v>155450</v>
      </c>
      <c r="CN963" s="2">
        <f>SUM(CN$2:CN453)+BH453*AA453</f>
        <v>185057.5</v>
      </c>
      <c r="CO963" s="2">
        <f>SUM(CO$2:CO453)+BI453*AB453</f>
        <v>12760</v>
      </c>
      <c r="CP963" s="2">
        <f>SUM(CP$2:CP453)+BJ453*AC453</f>
        <v>-4185</v>
      </c>
      <c r="CQ963" s="2">
        <f>SUM(CQ$2:CQ453)+BK453*AD453</f>
        <v>30660.000000000007</v>
      </c>
      <c r="CR963" s="2">
        <f>SUM(CR$2:CR453)+BL453*AE453</f>
        <v>-3350</v>
      </c>
      <c r="CV963" t="s">
        <v>64</v>
      </c>
      <c r="CW963" t="s">
        <v>1036</v>
      </c>
      <c r="CX963" t="s">
        <v>19</v>
      </c>
      <c r="CY963" s="4">
        <v>42949</v>
      </c>
      <c r="CZ963" t="s">
        <v>67</v>
      </c>
      <c r="DA963" t="s">
        <v>68</v>
      </c>
      <c r="DB963">
        <v>62</v>
      </c>
      <c r="DC963">
        <v>70.3</v>
      </c>
      <c r="DD963" t="s">
        <v>69</v>
      </c>
      <c r="DE963" t="s">
        <v>70</v>
      </c>
      <c r="DF963">
        <v>4358.5999999999995</v>
      </c>
    </row>
    <row r="964" spans="66:110" x14ac:dyDescent="0.25">
      <c r="BN964" s="1">
        <f t="shared" si="342"/>
        <v>43391</v>
      </c>
      <c r="BO964" s="2">
        <f>SUM(BO$2:BO454)+AI454*B454</f>
        <v>199789.99999999977</v>
      </c>
      <c r="BP964" s="2">
        <f>SUM(BP$2:BP454)+AJ454*C454</f>
        <v>33170.599999999991</v>
      </c>
      <c r="BQ964" s="2">
        <f>SUM(BQ$2:BQ454)+AK454*D454</f>
        <v>234926.89999999991</v>
      </c>
      <c r="BR964" s="2">
        <f>SUM(BR$2:BR454)+AL454*E454</f>
        <v>47988.099999999962</v>
      </c>
      <c r="BS964" s="2">
        <f>SUM(BS$2:BS454)+AM454*F454</f>
        <v>19331.500000000015</v>
      </c>
      <c r="BT964" s="2">
        <f>SUM(BT$2:BT454)+AN454*G454</f>
        <v>8601.8999999999651</v>
      </c>
      <c r="BU964" s="2">
        <f>SUM(BU$2:BU454)+AO454*H454</f>
        <v>15956.600000000035</v>
      </c>
      <c r="BV964" s="2">
        <f>SUM(BV$2:BV454)+AP454*I454</f>
        <v>-8982.0000000000291</v>
      </c>
      <c r="BW964" s="2">
        <f>SUM(BW$2:BW454)+AQ454*J454</f>
        <v>-11280</v>
      </c>
      <c r="BX964" s="2">
        <f>SUM(BX$2:BX454)+AR454*K454</f>
        <v>13940</v>
      </c>
      <c r="BY964" s="2">
        <f>SUM(BY$2:BY454)+AS454*L454</f>
        <v>-5485.0000000000118</v>
      </c>
      <c r="BZ964" s="2">
        <f>SUM(BZ$2:BZ454)+AT454*M454</f>
        <v>740</v>
      </c>
      <c r="CA964" s="2">
        <f>SUM(CA$2:CA454)+AU454*N454</f>
        <v>12660</v>
      </c>
      <c r="CB964" s="2">
        <f>SUM(CB$2:CB454)+AV454*O454</f>
        <v>26740</v>
      </c>
      <c r="CC964" s="2">
        <f>SUM(CC$2:CC454)+AW454*P454</f>
        <v>-20</v>
      </c>
      <c r="CD964" s="2">
        <f>SUM(CD$2:CD454)+AX454*Q454</f>
        <v>14050</v>
      </c>
      <c r="CE964" s="2">
        <f>SUM(CE$2:CE454)+AY454*R454</f>
        <v>27020</v>
      </c>
      <c r="CF964" s="2">
        <f>SUM(CF$2:CF454)+AZ454*S454</f>
        <v>15363.379999999968</v>
      </c>
      <c r="CG964" s="2">
        <f>SUM(CG$2:CG454)+BA454*T454</f>
        <v>45879.910000000018</v>
      </c>
      <c r="CH964" s="2">
        <f>SUM(CH$2:CH454)+BB454*U454</f>
        <v>24003.800000000025</v>
      </c>
      <c r="CI964" s="2">
        <f>SUM(CI$2:CI454)+BC454*V454</f>
        <v>-16540</v>
      </c>
      <c r="CJ964" s="2">
        <f>SUM(CJ$2:CJ454)+BD454*W454</f>
        <v>14915</v>
      </c>
      <c r="CK964" s="2">
        <f>SUM(CK$2:CK454)+BE454*X454</f>
        <v>47030</v>
      </c>
      <c r="CL964" s="2">
        <f>SUM(CL$2:CL454)+BF454*Y454</f>
        <v>326189.99999999988</v>
      </c>
      <c r="CM964" s="2">
        <f>SUM(CM$2:CM454)+BG454*Z454</f>
        <v>149900</v>
      </c>
      <c r="CN964" s="2">
        <f>SUM(CN$2:CN454)+BH454*AA454</f>
        <v>177182.5</v>
      </c>
      <c r="CO964" s="2">
        <f>SUM(CO$2:CO454)+BI454*AB454</f>
        <v>14830</v>
      </c>
      <c r="CP964" s="2">
        <f>SUM(CP$2:CP454)+BJ454*AC454</f>
        <v>-3405</v>
      </c>
      <c r="CQ964" s="2">
        <f>SUM(CQ$2:CQ454)+BK454*AD454</f>
        <v>30270.000000000007</v>
      </c>
      <c r="CR964" s="2">
        <f>SUM(CR$2:CR454)+BL454*AE454</f>
        <v>-3010</v>
      </c>
      <c r="CV964" t="s">
        <v>64</v>
      </c>
      <c r="CW964" t="s">
        <v>1037</v>
      </c>
      <c r="CX964" t="s">
        <v>19</v>
      </c>
      <c r="CY964" s="4">
        <v>42950</v>
      </c>
      <c r="CZ964" t="s">
        <v>67</v>
      </c>
      <c r="DA964" t="s">
        <v>68</v>
      </c>
      <c r="DB964">
        <v>86</v>
      </c>
      <c r="DC964">
        <v>70.19</v>
      </c>
      <c r="DD964" t="s">
        <v>69</v>
      </c>
      <c r="DE964" t="s">
        <v>70</v>
      </c>
      <c r="DF964">
        <v>6036.34</v>
      </c>
    </row>
    <row r="965" spans="66:110" x14ac:dyDescent="0.25">
      <c r="BN965" s="1">
        <f t="shared" si="342"/>
        <v>43392</v>
      </c>
      <c r="BO965" s="2">
        <f>SUM(BO$2:BO455)+AI455*B455</f>
        <v>216089.99999999977</v>
      </c>
      <c r="BP965" s="2">
        <f>SUM(BP$2:BP455)+AJ455*C455</f>
        <v>38292.199999999997</v>
      </c>
      <c r="BQ965" s="2">
        <f>SUM(BQ$2:BQ455)+AK455*D455</f>
        <v>230887.69999999995</v>
      </c>
      <c r="BR965" s="2">
        <f>SUM(BR$2:BR455)+AL455*E455</f>
        <v>43236.099999999933</v>
      </c>
      <c r="BS965" s="2">
        <f>SUM(BS$2:BS455)+AM455*F455</f>
        <v>19173.10000000002</v>
      </c>
      <c r="BT965" s="2">
        <f>SUM(BT$2:BT455)+AN455*G455</f>
        <v>9459.8999999999651</v>
      </c>
      <c r="BU965" s="2">
        <f>SUM(BU$2:BU455)+AO455*H455</f>
        <v>19507.400000000023</v>
      </c>
      <c r="BV965" s="2">
        <f>SUM(BV$2:BV455)+AP455*I455</f>
        <v>-10278.000000000029</v>
      </c>
      <c r="BW965" s="2">
        <f>SUM(BW$2:BW455)+AQ455*J455</f>
        <v>-9280</v>
      </c>
      <c r="BX965" s="2">
        <f>SUM(BX$2:BX455)+AR455*K455</f>
        <v>13940</v>
      </c>
      <c r="BY965" s="2">
        <f>SUM(BY$2:BY455)+AS455*L455</f>
        <v>-5499.1000000000113</v>
      </c>
      <c r="BZ965" s="2">
        <f>SUM(BZ$2:BZ455)+AT455*M455</f>
        <v>740</v>
      </c>
      <c r="CA965" s="2">
        <f>SUM(CA$2:CA455)+AU455*N455</f>
        <v>12660</v>
      </c>
      <c r="CB965" s="2">
        <f>SUM(CB$2:CB455)+AV455*O455</f>
        <v>26740</v>
      </c>
      <c r="CC965" s="2">
        <f>SUM(CC$2:CC455)+AW455*P455</f>
        <v>-20</v>
      </c>
      <c r="CD965" s="2">
        <f>SUM(CD$2:CD455)+AX455*Q455</f>
        <v>14050</v>
      </c>
      <c r="CE965" s="2">
        <f>SUM(CE$2:CE455)+AY455*R455</f>
        <v>27020</v>
      </c>
      <c r="CF965" s="2">
        <f>SUM(CF$2:CF455)+AZ455*S455</f>
        <v>15499.039999999972</v>
      </c>
      <c r="CG965" s="2">
        <f>SUM(CG$2:CG455)+BA455*T455</f>
        <v>46026.310000000019</v>
      </c>
      <c r="CH965" s="2">
        <f>SUM(CH$2:CH455)+BB455*U455</f>
        <v>22497.040000000015</v>
      </c>
      <c r="CI965" s="2">
        <f>SUM(CI$2:CI455)+BC455*V455</f>
        <v>-17520</v>
      </c>
      <c r="CJ965" s="2">
        <f>SUM(CJ$2:CJ455)+BD455*W455</f>
        <v>-37585</v>
      </c>
      <c r="CK965" s="2">
        <f>SUM(CK$2:CK455)+BE455*X455</f>
        <v>51680</v>
      </c>
      <c r="CL965" s="2">
        <f>SUM(CL$2:CL455)+BF455*Y455</f>
        <v>321660</v>
      </c>
      <c r="CM965" s="2">
        <f>SUM(CM$2:CM455)+BG455*Z455</f>
        <v>148600</v>
      </c>
      <c r="CN965" s="2">
        <f>SUM(CN$2:CN455)+BH455*AA455</f>
        <v>179157.5</v>
      </c>
      <c r="CO965" s="2">
        <f>SUM(CO$2:CO455)+BI455*AB455</f>
        <v>15550</v>
      </c>
      <c r="CP965" s="2">
        <f>SUM(CP$2:CP455)+BJ455*AC455</f>
        <v>-4925</v>
      </c>
      <c r="CQ965" s="2">
        <f>SUM(CQ$2:CQ455)+BK455*AD455</f>
        <v>31240.000000000007</v>
      </c>
      <c r="CR965" s="2">
        <f>SUM(CR$2:CR455)+BL455*AE455</f>
        <v>-2890</v>
      </c>
      <c r="CV965" t="s">
        <v>64</v>
      </c>
      <c r="CW965" t="s">
        <v>1038</v>
      </c>
      <c r="CX965" t="s">
        <v>19</v>
      </c>
      <c r="CY965" s="4">
        <v>42951</v>
      </c>
      <c r="CZ965" t="s">
        <v>65</v>
      </c>
      <c r="DA965" t="s">
        <v>66</v>
      </c>
      <c r="DB965">
        <v>50</v>
      </c>
      <c r="DC965">
        <v>70.709999999999994</v>
      </c>
      <c r="DD965" t="s">
        <v>69</v>
      </c>
      <c r="DE965" t="s">
        <v>70</v>
      </c>
      <c r="DF965">
        <v>3535.4999999999995</v>
      </c>
    </row>
    <row r="966" spans="66:110" x14ac:dyDescent="0.25">
      <c r="BN966" s="1">
        <f t="shared" si="342"/>
        <v>43395</v>
      </c>
      <c r="BO966" s="2">
        <f>SUM(BO$2:BO456)+AI456*B456</f>
        <v>222739.99999999977</v>
      </c>
      <c r="BP966" s="2">
        <f>SUM(BP$2:BP456)+AJ456*C456</f>
        <v>35361.800000000003</v>
      </c>
      <c r="BQ966" s="2">
        <f>SUM(BQ$2:BQ456)+AK456*D456</f>
        <v>230518.09999999986</v>
      </c>
      <c r="BR966" s="2">
        <f>SUM(BR$2:BR456)+AL456*E456</f>
        <v>39817.299999999945</v>
      </c>
      <c r="BS966" s="2">
        <f>SUM(BS$2:BS456)+AM456*F456</f>
        <v>19727.500000000015</v>
      </c>
      <c r="BT966" s="2">
        <f>SUM(BT$2:BT456)+AN456*G456</f>
        <v>8258.6999999999534</v>
      </c>
      <c r="BU966" s="2">
        <f>SUM(BU$2:BU456)+AO456*H456</f>
        <v>18689.000000000029</v>
      </c>
      <c r="BV966" s="2">
        <f>SUM(BV$2:BV456)+AP456*I456</f>
        <v>-11970.000000000029</v>
      </c>
      <c r="BW966" s="2">
        <f>SUM(BW$2:BW456)+AQ456*J456</f>
        <v>-14610</v>
      </c>
      <c r="BX966" s="2">
        <f>SUM(BX$2:BX456)+AR456*K456</f>
        <v>13940</v>
      </c>
      <c r="BY966" s="2">
        <f>SUM(BY$2:BY456)+AS456*L456</f>
        <v>-5490.1000000000113</v>
      </c>
      <c r="BZ966" s="2">
        <f>SUM(BZ$2:BZ456)+AT456*M456</f>
        <v>740</v>
      </c>
      <c r="CA966" s="2">
        <f>SUM(CA$2:CA456)+AU456*N456</f>
        <v>12660</v>
      </c>
      <c r="CB966" s="2">
        <f>SUM(CB$2:CB456)+AV456*O456</f>
        <v>26740</v>
      </c>
      <c r="CC966" s="2">
        <f>SUM(CC$2:CC456)+AW456*P456</f>
        <v>-20</v>
      </c>
      <c r="CD966" s="2">
        <f>SUM(CD$2:CD456)+AX456*Q456</f>
        <v>14050</v>
      </c>
      <c r="CE966" s="2">
        <f>SUM(CE$2:CE456)+AY456*R456</f>
        <v>27020</v>
      </c>
      <c r="CF966" s="2">
        <f>SUM(CF$2:CF456)+AZ456*S456</f>
        <v>15702.529999999977</v>
      </c>
      <c r="CG966" s="2">
        <f>SUM(CG$2:CG456)+BA456*T456</f>
        <v>46964.300000000025</v>
      </c>
      <c r="CH966" s="2">
        <f>SUM(CH$2:CH456)+BB456*U456</f>
        <v>23178.070000000036</v>
      </c>
      <c r="CI966" s="2">
        <f>SUM(CI$2:CI456)+BC456*V456</f>
        <v>-17260</v>
      </c>
      <c r="CJ966" s="2">
        <f>SUM(CJ$2:CJ456)+BD456*W456</f>
        <v>-32410</v>
      </c>
      <c r="CK966" s="2">
        <f>SUM(CK$2:CK456)+BE456*X456</f>
        <v>41730</v>
      </c>
      <c r="CL966" s="2">
        <f>SUM(CL$2:CL456)+BF456*Y456</f>
        <v>312360.00000000012</v>
      </c>
      <c r="CM966" s="2">
        <f>SUM(CM$2:CM456)+BG456*Z456</f>
        <v>137350</v>
      </c>
      <c r="CN966" s="2">
        <f>SUM(CN$2:CN456)+BH456*AA456</f>
        <v>180532.49999999994</v>
      </c>
      <c r="CO966" s="2">
        <f>SUM(CO$2:CO456)+BI456*AB456</f>
        <v>15790</v>
      </c>
      <c r="CP966" s="2">
        <f>SUM(CP$2:CP456)+BJ456*AC456</f>
        <v>-5505</v>
      </c>
      <c r="CQ966" s="2">
        <f>SUM(CQ$2:CQ456)+BK456*AD456</f>
        <v>31230.000000000007</v>
      </c>
      <c r="CR966" s="2">
        <f>SUM(CR$2:CR456)+BL456*AE456</f>
        <v>-3700</v>
      </c>
      <c r="CV966" t="s">
        <v>64</v>
      </c>
      <c r="CW966" t="s">
        <v>1039</v>
      </c>
      <c r="CX966" t="s">
        <v>19</v>
      </c>
      <c r="CY966" s="4">
        <v>42954</v>
      </c>
      <c r="CZ966" t="s">
        <v>65</v>
      </c>
      <c r="DA966" t="s">
        <v>66</v>
      </c>
      <c r="DB966">
        <v>92</v>
      </c>
      <c r="DC966">
        <v>70.44</v>
      </c>
      <c r="DD966" t="s">
        <v>69</v>
      </c>
      <c r="DE966" t="s">
        <v>70</v>
      </c>
      <c r="DF966">
        <v>6480.48</v>
      </c>
    </row>
    <row r="967" spans="66:110" x14ac:dyDescent="0.25">
      <c r="BN967" s="1">
        <f t="shared" si="342"/>
        <v>43396</v>
      </c>
      <c r="BO967" s="2">
        <f>SUM(BO$2:BO457)+AI457*B457</f>
        <v>233089.99999999977</v>
      </c>
      <c r="BP967" s="2">
        <f>SUM(BP$2:BP457)+AJ457*C457</f>
        <v>35190.199999999997</v>
      </c>
      <c r="BQ967" s="2">
        <f>SUM(BQ$2:BQ457)+AK457*D457</f>
        <v>222769.6999999999</v>
      </c>
      <c r="BR967" s="2">
        <f>SUM(BR$2:BR457)+AL457*E457</f>
        <v>27052.899999999951</v>
      </c>
      <c r="BS967" s="2">
        <f>SUM(BS$2:BS457)+AM457*F457</f>
        <v>19278.700000000019</v>
      </c>
      <c r="BT967" s="2">
        <f>SUM(BT$2:BT457)+AN457*G457</f>
        <v>3321.8999999999651</v>
      </c>
      <c r="BU967" s="2">
        <f>SUM(BU$2:BU457)+AO457*H457</f>
        <v>18134.600000000006</v>
      </c>
      <c r="BV967" s="2">
        <f>SUM(BV$2:BV457)+AP457*I457</f>
        <v>-13626.000000000029</v>
      </c>
      <c r="BW967" s="2">
        <f>SUM(BW$2:BW457)+AQ457*J457</f>
        <v>-17640</v>
      </c>
      <c r="BX967" s="2">
        <f>SUM(BX$2:BX457)+AR457*K457</f>
        <v>13940</v>
      </c>
      <c r="BY967" s="2">
        <f>SUM(BY$2:BY457)+AS457*L457</f>
        <v>-5478.5000000000118</v>
      </c>
      <c r="BZ967" s="2">
        <f>SUM(BZ$2:BZ457)+AT457*M457</f>
        <v>740</v>
      </c>
      <c r="CA967" s="2">
        <f>SUM(CA$2:CA457)+AU457*N457</f>
        <v>12660</v>
      </c>
      <c r="CB967" s="2">
        <f>SUM(CB$2:CB457)+AV457*O457</f>
        <v>26740</v>
      </c>
      <c r="CC967" s="2">
        <f>SUM(CC$2:CC457)+AW457*P457</f>
        <v>-20</v>
      </c>
      <c r="CD967" s="2">
        <f>SUM(CD$2:CD457)+AX457*Q457</f>
        <v>14050</v>
      </c>
      <c r="CE967" s="2">
        <f>SUM(CE$2:CE457)+AY457*R457</f>
        <v>27020</v>
      </c>
      <c r="CF967" s="2">
        <f>SUM(CF$2:CF457)+AZ457*S457</f>
        <v>15253.569999999971</v>
      </c>
      <c r="CG967" s="2">
        <f>SUM(CG$2:CG457)+BA457*T457</f>
        <v>45470.140000000021</v>
      </c>
      <c r="CH967" s="2">
        <f>SUM(CH$2:CH457)+BB457*U457</f>
        <v>21542.820000000022</v>
      </c>
      <c r="CI967" s="2">
        <f>SUM(CI$2:CI457)+BC457*V457</f>
        <v>-16720</v>
      </c>
      <c r="CJ967" s="2">
        <f>SUM(CJ$2:CJ457)+BD457*W457</f>
        <v>-36610</v>
      </c>
      <c r="CK967" s="2">
        <f>SUM(CK$2:CK457)+BE457*X457</f>
        <v>40380</v>
      </c>
      <c r="CL967" s="2">
        <f>SUM(CL$2:CL457)+BF457*Y457</f>
        <v>320370</v>
      </c>
      <c r="CM967" s="2">
        <f>SUM(CM$2:CM457)+BG457*Z457</f>
        <v>155200</v>
      </c>
      <c r="CN967" s="2">
        <f>SUM(CN$2:CN457)+BH457*AA457</f>
        <v>176757.5</v>
      </c>
      <c r="CO967" s="2">
        <f>SUM(CO$2:CO457)+BI457*AB457</f>
        <v>22420</v>
      </c>
      <c r="CP967" s="2">
        <f>SUM(CP$2:CP457)+BJ457*AC457</f>
        <v>-4745</v>
      </c>
      <c r="CQ967" s="2">
        <f>SUM(CQ$2:CQ457)+BK457*AD457</f>
        <v>31890.000000000007</v>
      </c>
      <c r="CR967" s="2">
        <f>SUM(CR$2:CR457)+BL457*AE457</f>
        <v>-4980</v>
      </c>
      <c r="CV967" t="s">
        <v>64</v>
      </c>
      <c r="CW967" t="s">
        <v>1040</v>
      </c>
      <c r="CX967" t="s">
        <v>19</v>
      </c>
      <c r="CY967" s="4">
        <v>42955</v>
      </c>
      <c r="CZ967" t="s">
        <v>67</v>
      </c>
      <c r="DA967" t="s">
        <v>68</v>
      </c>
      <c r="DB967">
        <v>53</v>
      </c>
      <c r="DC967">
        <v>70.819999999999993</v>
      </c>
      <c r="DD967" t="s">
        <v>69</v>
      </c>
      <c r="DE967" t="s">
        <v>70</v>
      </c>
      <c r="DF967">
        <v>3753.4599999999996</v>
      </c>
    </row>
    <row r="968" spans="66:110" x14ac:dyDescent="0.25">
      <c r="BN968" s="1">
        <f t="shared" si="342"/>
        <v>43397</v>
      </c>
      <c r="BO968" s="2">
        <f>SUM(BO$2:BO458)+AI458*B458</f>
        <v>195189.99999999977</v>
      </c>
      <c r="BP968" s="2">
        <f>SUM(BP$2:BP458)+AJ458*C458</f>
        <v>31850.599999999991</v>
      </c>
      <c r="BQ968" s="2">
        <f>SUM(BQ$2:BQ458)+AK458*D458</f>
        <v>228788.89999999991</v>
      </c>
      <c r="BR968" s="2">
        <f>SUM(BR$2:BR458)+AL458*E458</f>
        <v>18340.899999999951</v>
      </c>
      <c r="BS968" s="2">
        <f>SUM(BS$2:BS458)+AM458*F458</f>
        <v>17509.900000000016</v>
      </c>
      <c r="BT968" s="2">
        <f>SUM(BT$2:BT458)+AN458*G458</f>
        <v>-796.5000000000291</v>
      </c>
      <c r="BU968" s="2">
        <f>SUM(BU$2:BU458)+AO458*H458</f>
        <v>9963.8000000000175</v>
      </c>
      <c r="BV968" s="2">
        <f>SUM(BV$2:BV458)+AP458*I458</f>
        <v>-16014.000000000029</v>
      </c>
      <c r="BW968" s="2">
        <f>SUM(BW$2:BW458)+AQ458*J458</f>
        <v>-26980</v>
      </c>
      <c r="BX968" s="2">
        <f>SUM(BX$2:BX458)+AR458*K458</f>
        <v>13940</v>
      </c>
      <c r="BY968" s="2">
        <f>SUM(BY$2:BY458)+AS458*L458</f>
        <v>-5517.6000000000113</v>
      </c>
      <c r="BZ968" s="2">
        <f>SUM(BZ$2:BZ458)+AT458*M458</f>
        <v>740</v>
      </c>
      <c r="CA968" s="2">
        <f>SUM(CA$2:CA458)+AU458*N458</f>
        <v>12660</v>
      </c>
      <c r="CB968" s="2">
        <f>SUM(CB$2:CB458)+AV458*O458</f>
        <v>26740</v>
      </c>
      <c r="CC968" s="2">
        <f>SUM(CC$2:CC458)+AW458*P458</f>
        <v>-20</v>
      </c>
      <c r="CD968" s="2">
        <f>SUM(CD$2:CD458)+AX458*Q458</f>
        <v>14050</v>
      </c>
      <c r="CE968" s="2">
        <f>SUM(CE$2:CE458)+AY458*R458</f>
        <v>27020</v>
      </c>
      <c r="CF968" s="2">
        <f>SUM(CF$2:CF458)+AZ458*S458</f>
        <v>13658.619999999981</v>
      </c>
      <c r="CG968" s="2">
        <f>SUM(CG$2:CG458)+BA458*T458</f>
        <v>39975.100000000013</v>
      </c>
      <c r="CH968" s="2">
        <f>SUM(CH$2:CH458)+BB458*U458</f>
        <v>20316.720000000023</v>
      </c>
      <c r="CI968" s="2">
        <f>SUM(CI$2:CI458)+BC458*V458</f>
        <v>-13540</v>
      </c>
      <c r="CJ968" s="2">
        <f>SUM(CJ$2:CJ458)+BD458*W458</f>
        <v>-53710</v>
      </c>
      <c r="CK968" s="2">
        <f>SUM(CK$2:CK458)+BE458*X458</f>
        <v>29230</v>
      </c>
      <c r="CL968" s="2">
        <f>SUM(CL$2:CL458)+BF458*Y458</f>
        <v>294810</v>
      </c>
      <c r="CM968" s="2">
        <f>SUM(CM$2:CM458)+BG458*Z458</f>
        <v>115950</v>
      </c>
      <c r="CN968" s="2">
        <f>SUM(CN$2:CN458)+BH458*AA458</f>
        <v>164657.5</v>
      </c>
      <c r="CO968" s="2">
        <f>SUM(CO$2:CO458)+BI458*AB458</f>
        <v>23050</v>
      </c>
      <c r="CP968" s="2">
        <f>SUM(CP$2:CP458)+BJ458*AC458</f>
        <v>1315</v>
      </c>
      <c r="CQ968" s="2">
        <f>SUM(CQ$2:CQ458)+BK458*AD458</f>
        <v>31650.000000000007</v>
      </c>
      <c r="CR968" s="2">
        <f>SUM(CR$2:CR458)+BL458*AE458</f>
        <v>-7150</v>
      </c>
      <c r="CV968" t="s">
        <v>64</v>
      </c>
      <c r="CW968" t="s">
        <v>1041</v>
      </c>
      <c r="CX968" t="s">
        <v>19</v>
      </c>
      <c r="CY968" s="4">
        <v>42956</v>
      </c>
      <c r="CZ968" t="s">
        <v>67</v>
      </c>
      <c r="DA968" t="s">
        <v>68</v>
      </c>
      <c r="DB968">
        <v>71</v>
      </c>
      <c r="DC968">
        <v>70.510000000000005</v>
      </c>
      <c r="DD968" t="s">
        <v>69</v>
      </c>
      <c r="DE968" t="s">
        <v>70</v>
      </c>
      <c r="DF968">
        <v>5006.21</v>
      </c>
    </row>
    <row r="969" spans="66:110" x14ac:dyDescent="0.25">
      <c r="BN969" s="1">
        <f t="shared" si="342"/>
        <v>43398</v>
      </c>
      <c r="BO969" s="2">
        <f>SUM(BO$2:BO459)+AI459*B459</f>
        <v>218539.99999999977</v>
      </c>
      <c r="BP969" s="2">
        <f>SUM(BP$2:BP459)+AJ459*C459</f>
        <v>34173.800000000003</v>
      </c>
      <c r="BQ969" s="2">
        <f>SUM(BQ$2:BQ459)+AK459*D459</f>
        <v>240708.49999999994</v>
      </c>
      <c r="BR969" s="2">
        <f>SUM(BR$2:BR459)+AL459*E459</f>
        <v>22657.299999999945</v>
      </c>
      <c r="BS969" s="2">
        <f>SUM(BS$2:BS459)+AM459*F459</f>
        <v>19344.700000000012</v>
      </c>
      <c r="BT969" s="2">
        <f>SUM(BT$2:BT459)+AN459*G459</f>
        <v>972.29999999995925</v>
      </c>
      <c r="BU969" s="2">
        <f>SUM(BU$2:BU459)+AO459*H459</f>
        <v>13303.400000000023</v>
      </c>
      <c r="BV969" s="2">
        <f>SUM(BV$2:BV459)+AP459*I459</f>
        <v>-15726.000000000029</v>
      </c>
      <c r="BW969" s="2">
        <f>SUM(BW$2:BW459)+AQ459*J459</f>
        <v>-22170</v>
      </c>
      <c r="BX969" s="2">
        <f>SUM(BX$2:BX459)+AR459*K459</f>
        <v>13940</v>
      </c>
      <c r="BY969" s="2">
        <f>SUM(BY$2:BY459)+AS459*L459</f>
        <v>-5525.0000000000118</v>
      </c>
      <c r="BZ969" s="2">
        <f>SUM(BZ$2:BZ459)+AT459*M459</f>
        <v>740</v>
      </c>
      <c r="CA969" s="2">
        <f>SUM(CA$2:CA459)+AU459*N459</f>
        <v>12660</v>
      </c>
      <c r="CB969" s="2">
        <f>SUM(CB$2:CB459)+AV459*O459</f>
        <v>26740</v>
      </c>
      <c r="CC969" s="2">
        <f>SUM(CC$2:CC459)+AW459*P459</f>
        <v>-20</v>
      </c>
      <c r="CD969" s="2">
        <f>SUM(CD$2:CD459)+AX459*Q459</f>
        <v>14050</v>
      </c>
      <c r="CE969" s="2">
        <f>SUM(CE$2:CE459)+AY459*R459</f>
        <v>27020</v>
      </c>
      <c r="CF969" s="2">
        <f>SUM(CF$2:CF459)+AZ459*S459</f>
        <v>13078.039999999979</v>
      </c>
      <c r="CG969" s="2">
        <f>SUM(CG$2:CG459)+BA459*T459</f>
        <v>46026.250000000022</v>
      </c>
      <c r="CH969" s="2">
        <f>SUM(CH$2:CH459)+BB459*U459</f>
        <v>21228.520000000026</v>
      </c>
      <c r="CI969" s="2">
        <f>SUM(CI$2:CI459)+BC459*V459</f>
        <v>-15360</v>
      </c>
      <c r="CJ969" s="2">
        <f>SUM(CJ$2:CJ459)+BD459*W459</f>
        <v>-50260</v>
      </c>
      <c r="CK969" s="2">
        <f>SUM(CK$2:CK459)+BE459*X459</f>
        <v>27680</v>
      </c>
      <c r="CL969" s="2">
        <f>SUM(CL$2:CL459)+BF459*Y459</f>
        <v>318509.99999999988</v>
      </c>
      <c r="CM969" s="2">
        <f>SUM(CM$2:CM459)+BG459*Z459</f>
        <v>127450</v>
      </c>
      <c r="CN969" s="2">
        <f>SUM(CN$2:CN459)+BH459*AA459</f>
        <v>180232.5</v>
      </c>
      <c r="CO969" s="2">
        <f>SUM(CO$2:CO459)+BI459*AB459</f>
        <v>20110</v>
      </c>
      <c r="CP969" s="2">
        <f>SUM(CP$2:CP459)+BJ459*AC459</f>
        <v>-1745</v>
      </c>
      <c r="CQ969" s="2">
        <f>SUM(CQ$2:CQ459)+BK459*AD459</f>
        <v>33260.000000000007</v>
      </c>
      <c r="CR969" s="2">
        <f>SUM(CR$2:CR459)+BL459*AE459</f>
        <v>-6480</v>
      </c>
      <c r="CV969" t="s">
        <v>64</v>
      </c>
      <c r="CW969" t="s">
        <v>1042</v>
      </c>
      <c r="CX969" t="s">
        <v>19</v>
      </c>
      <c r="CY969" s="4">
        <v>42957</v>
      </c>
      <c r="CZ969" t="s">
        <v>65</v>
      </c>
      <c r="DA969" t="s">
        <v>66</v>
      </c>
      <c r="DB969">
        <v>126</v>
      </c>
      <c r="DC969">
        <v>69.47</v>
      </c>
      <c r="DD969" t="s">
        <v>69</v>
      </c>
      <c r="DE969" t="s">
        <v>70</v>
      </c>
      <c r="DF969">
        <v>8753.2199999999993</v>
      </c>
    </row>
    <row r="970" spans="66:110" x14ac:dyDescent="0.25">
      <c r="BN970" s="1">
        <f t="shared" si="342"/>
        <v>43399</v>
      </c>
      <c r="BO970" s="2">
        <f>SUM(BO$2:BO460)+AI460*B460</f>
        <v>201189.99999999977</v>
      </c>
      <c r="BP970" s="2">
        <f>SUM(BP$2:BP460)+AJ460*C460</f>
        <v>31085.000000000015</v>
      </c>
      <c r="BQ970" s="2">
        <f>SUM(BQ$2:BQ460)+AK460*D460</f>
        <v>234821.29999999987</v>
      </c>
      <c r="BR970" s="2">
        <f>SUM(BR$2:BR460)+AL460*E460</f>
        <v>21891.699999999968</v>
      </c>
      <c r="BS970" s="2">
        <f>SUM(BS$2:BS460)+AM460*F460</f>
        <v>17747.500000000015</v>
      </c>
      <c r="BT970" s="2">
        <f>SUM(BT$2:BT460)+AN460*G460</f>
        <v>906.29999999995925</v>
      </c>
      <c r="BU970" s="2">
        <f>SUM(BU$2:BU460)+AO460*H460</f>
        <v>12036.200000000012</v>
      </c>
      <c r="BV970" s="2">
        <f>SUM(BV$2:BV460)+AP460*I460</f>
        <v>-16830.000000000029</v>
      </c>
      <c r="BW970" s="2">
        <f>SUM(BW$2:BW460)+AQ460*J460</f>
        <v>-23820</v>
      </c>
      <c r="BX970" s="2">
        <f>SUM(BX$2:BX460)+AR460*K460</f>
        <v>13940</v>
      </c>
      <c r="BY970" s="2">
        <f>SUM(BY$2:BY460)+AS460*L460</f>
        <v>-5541.2000000000116</v>
      </c>
      <c r="BZ970" s="2">
        <f>SUM(BZ$2:BZ460)+AT460*M460</f>
        <v>740</v>
      </c>
      <c r="CA970" s="2">
        <f>SUM(CA$2:CA460)+AU460*N460</f>
        <v>12660</v>
      </c>
      <c r="CB970" s="2">
        <f>SUM(CB$2:CB460)+AV460*O460</f>
        <v>26740</v>
      </c>
      <c r="CC970" s="2">
        <f>SUM(CC$2:CC460)+AW460*P460</f>
        <v>-20</v>
      </c>
      <c r="CD970" s="2">
        <f>SUM(CD$2:CD460)+AX460*Q460</f>
        <v>14050</v>
      </c>
      <c r="CE970" s="2">
        <f>SUM(CE$2:CE460)+AY460*R460</f>
        <v>27020</v>
      </c>
      <c r="CF970" s="2">
        <f>SUM(CF$2:CF460)+AZ460*S460</f>
        <v>13507.919999999969</v>
      </c>
      <c r="CG970" s="2">
        <f>SUM(CG$2:CG460)+BA460*T460</f>
        <v>44686.940000000024</v>
      </c>
      <c r="CH970" s="2">
        <f>SUM(CH$2:CH460)+BB460*U460</f>
        <v>20235.04000000003</v>
      </c>
      <c r="CI970" s="2">
        <f>SUM(CI$2:CI460)+BC460*V460</f>
        <v>-13780</v>
      </c>
      <c r="CJ970" s="2">
        <f>SUM(CJ$2:CJ460)+BD460*W460</f>
        <v>-41785</v>
      </c>
      <c r="CK970" s="2">
        <f>SUM(CK$2:CK460)+BE460*X460</f>
        <v>27930</v>
      </c>
      <c r="CL970" s="2">
        <f>SUM(CL$2:CL460)+BF460*Y460</f>
        <v>300390</v>
      </c>
      <c r="CM970" s="2">
        <f>SUM(CM$2:CM460)+BG460*Z460</f>
        <v>121650</v>
      </c>
      <c r="CN970" s="2">
        <f>SUM(CN$2:CN460)+BH460*AA460</f>
        <v>173307.5</v>
      </c>
      <c r="CO970" s="2">
        <f>SUM(CO$2:CO460)+BI460*AB460</f>
        <v>17380</v>
      </c>
      <c r="CP970" s="2">
        <f>SUM(CP$2:CP460)+BJ460*AC460</f>
        <v>-2705</v>
      </c>
      <c r="CQ970" s="2">
        <f>SUM(CQ$2:CQ460)+BK460*AD460</f>
        <v>33020.000000000007</v>
      </c>
      <c r="CR970" s="2">
        <f>SUM(CR$2:CR460)+BL460*AE460</f>
        <v>-7240</v>
      </c>
      <c r="CV970" t="s">
        <v>64</v>
      </c>
      <c r="CW970" t="s">
        <v>1043</v>
      </c>
      <c r="CX970" t="s">
        <v>19</v>
      </c>
      <c r="CY970" s="4">
        <v>42958</v>
      </c>
      <c r="CZ970" t="s">
        <v>67</v>
      </c>
      <c r="DA970" t="s">
        <v>68</v>
      </c>
      <c r="DB970">
        <v>63</v>
      </c>
      <c r="DC970">
        <v>70.53</v>
      </c>
      <c r="DD970" t="s">
        <v>69</v>
      </c>
      <c r="DE970" t="s">
        <v>70</v>
      </c>
      <c r="DF970">
        <v>4443.3900000000003</v>
      </c>
    </row>
    <row r="971" spans="66:110" x14ac:dyDescent="0.25">
      <c r="BN971" s="1">
        <f t="shared" si="342"/>
        <v>43402</v>
      </c>
      <c r="BO971" s="2">
        <f>SUM(BO$2:BO461)+AI461*B461</f>
        <v>181039.99999999977</v>
      </c>
      <c r="BP971" s="2">
        <f>SUM(BP$2:BP461)+AJ461*C461</f>
        <v>31005.800000000003</v>
      </c>
      <c r="BQ971" s="2">
        <f>SUM(BQ$2:BQ461)+AK461*D461</f>
        <v>203867.29999999987</v>
      </c>
      <c r="BR971" s="2">
        <f>SUM(BR$2:BR461)+AL461*E461</f>
        <v>20492.499999999956</v>
      </c>
      <c r="BS971" s="2">
        <f>SUM(BS$2:BS461)+AM461*F461</f>
        <v>17206.300000000017</v>
      </c>
      <c r="BT971" s="2">
        <f>SUM(BT$2:BT461)+AN461*G461</f>
        <v>-2459.7000000000407</v>
      </c>
      <c r="BU971" s="2">
        <f>SUM(BU$2:BU461)+AO461*H461</f>
        <v>11838.200000000012</v>
      </c>
      <c r="BV971" s="2">
        <f>SUM(BV$2:BV461)+AP461*I461</f>
        <v>-16746.000000000029</v>
      </c>
      <c r="BW971" s="2">
        <f>SUM(BW$2:BW461)+AQ461*J461</f>
        <v>-21700</v>
      </c>
      <c r="BX971" s="2">
        <f>SUM(BX$2:BX461)+AR461*K461</f>
        <v>13940</v>
      </c>
      <c r="BY971" s="2">
        <f>SUM(BY$2:BY461)+AS461*L461</f>
        <v>-5591.5000000000118</v>
      </c>
      <c r="BZ971" s="2">
        <f>SUM(BZ$2:BZ461)+AT461*M461</f>
        <v>740</v>
      </c>
      <c r="CA971" s="2">
        <f>SUM(CA$2:CA461)+AU461*N461</f>
        <v>12660</v>
      </c>
      <c r="CB971" s="2">
        <f>SUM(CB$2:CB461)+AV461*O461</f>
        <v>26740</v>
      </c>
      <c r="CC971" s="2">
        <f>SUM(CC$2:CC461)+AW461*P461</f>
        <v>-20</v>
      </c>
      <c r="CD971" s="2">
        <f>SUM(CD$2:CD461)+AX461*Q461</f>
        <v>14050</v>
      </c>
      <c r="CE971" s="2">
        <f>SUM(CE$2:CE461)+AY461*R461</f>
        <v>27020</v>
      </c>
      <c r="CF971" s="2">
        <f>SUM(CF$2:CF461)+AZ461*S461</f>
        <v>14566.639999999978</v>
      </c>
      <c r="CG971" s="2">
        <f>SUM(CG$2:CG461)+BA461*T461</f>
        <v>41862.840000000033</v>
      </c>
      <c r="CH971" s="2">
        <f>SUM(CH$2:CH461)+BB461*U461</f>
        <v>20349.04000000003</v>
      </c>
      <c r="CI971" s="2">
        <f>SUM(CI$2:CI461)+BC461*V461</f>
        <v>-15020</v>
      </c>
      <c r="CJ971" s="2">
        <f>SUM(CJ$2:CJ461)+BD461*W461</f>
        <v>-44635</v>
      </c>
      <c r="CK971" s="2">
        <f>SUM(CK$2:CK461)+BE461*X461</f>
        <v>33030</v>
      </c>
      <c r="CL971" s="2">
        <f>SUM(CL$2:CL461)+BF461*Y461</f>
        <v>295410</v>
      </c>
      <c r="CM971" s="2">
        <f>SUM(CM$2:CM461)+BG461*Z461</f>
        <v>111100</v>
      </c>
      <c r="CN971" s="2">
        <f>SUM(CN$2:CN461)+BH461*AA461</f>
        <v>164832.50000000006</v>
      </c>
      <c r="CO971" s="2">
        <f>SUM(CO$2:CO461)+BI461*AB461</f>
        <v>20260</v>
      </c>
      <c r="CP971" s="2">
        <f>SUM(CP$2:CP461)+BJ461*AC461</f>
        <v>-3865</v>
      </c>
      <c r="CQ971" s="2">
        <f>SUM(CQ$2:CQ461)+BK461*AD461</f>
        <v>33880.000000000007</v>
      </c>
      <c r="CR971" s="2">
        <f>SUM(CR$2:CR461)+BL461*AE461</f>
        <v>-7710</v>
      </c>
      <c r="CV971" t="s">
        <v>64</v>
      </c>
      <c r="CW971" t="s">
        <v>1044</v>
      </c>
      <c r="CX971" t="s">
        <v>19</v>
      </c>
      <c r="CY971" s="4">
        <v>42961</v>
      </c>
      <c r="CZ971" t="s">
        <v>67</v>
      </c>
      <c r="DA971" t="s">
        <v>68</v>
      </c>
      <c r="DB971">
        <v>62</v>
      </c>
      <c r="DC971">
        <v>71.59</v>
      </c>
      <c r="DD971" t="s">
        <v>69</v>
      </c>
      <c r="DE971" t="s">
        <v>70</v>
      </c>
      <c r="DF971">
        <v>4438.58</v>
      </c>
    </row>
    <row r="972" spans="66:110" x14ac:dyDescent="0.25">
      <c r="BN972" s="1">
        <f t="shared" si="342"/>
        <v>43403</v>
      </c>
      <c r="BO972" s="2">
        <f>SUM(BO$2:BO462)+AI462*B462</f>
        <v>186289.99999999977</v>
      </c>
      <c r="BP972" s="2">
        <f>SUM(BP$2:BP462)+AJ462*C462</f>
        <v>32167.39999999998</v>
      </c>
      <c r="BQ972" s="2">
        <f>SUM(BQ$2:BQ462)+AK462*D462</f>
        <v>222584.89999999991</v>
      </c>
      <c r="BR972" s="2">
        <f>SUM(BR$2:BR462)+AL462*E462</f>
        <v>25059.699999999939</v>
      </c>
      <c r="BS972" s="2">
        <f>SUM(BS$2:BS462)+AM462*F462</f>
        <v>18183.10000000002</v>
      </c>
      <c r="BT972" s="2">
        <f>SUM(BT$2:BT462)+AN462*G462</f>
        <v>21.899999999965075</v>
      </c>
      <c r="BU972" s="2">
        <f>SUM(BU$2:BU462)+AO462*H462</f>
        <v>14095.400000000023</v>
      </c>
      <c r="BV972" s="2">
        <f>SUM(BV$2:BV462)+AP462*I462</f>
        <v>-16074.000000000029</v>
      </c>
      <c r="BW972" s="2">
        <f>SUM(BW$2:BW462)+AQ462*J462</f>
        <v>-16920</v>
      </c>
      <c r="BX972" s="2">
        <f>SUM(BX$2:BX462)+AR462*K462</f>
        <v>13940</v>
      </c>
      <c r="BY972" s="2">
        <f>SUM(BY$2:BY462)+AS462*L462</f>
        <v>-5632.800000000012</v>
      </c>
      <c r="BZ972" s="2">
        <f>SUM(BZ$2:BZ462)+AT462*M462</f>
        <v>740</v>
      </c>
      <c r="CA972" s="2">
        <f>SUM(CA$2:CA462)+AU462*N462</f>
        <v>12660</v>
      </c>
      <c r="CB972" s="2">
        <f>SUM(CB$2:CB462)+AV462*O462</f>
        <v>26740</v>
      </c>
      <c r="CC972" s="2">
        <f>SUM(CC$2:CC462)+AW462*P462</f>
        <v>-20</v>
      </c>
      <c r="CD972" s="2">
        <f>SUM(CD$2:CD462)+AX462*Q462</f>
        <v>14050</v>
      </c>
      <c r="CE972" s="2">
        <f>SUM(CE$2:CE462)+AY462*R462</f>
        <v>27020</v>
      </c>
      <c r="CF972" s="2">
        <f>SUM(CF$2:CF462)+AZ462*S462</f>
        <v>16004.839999999975</v>
      </c>
      <c r="CG972" s="2">
        <f>SUM(CG$2:CG462)+BA462*T462</f>
        <v>41750.760000000024</v>
      </c>
      <c r="CH972" s="2">
        <f>SUM(CH$2:CH462)+BB462*U462</f>
        <v>22642.870000000039</v>
      </c>
      <c r="CI972" s="2">
        <f>SUM(CI$2:CI462)+BC462*V462</f>
        <v>-14340</v>
      </c>
      <c r="CJ972" s="2">
        <f>SUM(CJ$2:CJ462)+BD462*W462</f>
        <v>-51685</v>
      </c>
      <c r="CK972" s="2">
        <f>SUM(CK$2:CK462)+BE462*X462</f>
        <v>50680</v>
      </c>
      <c r="CL972" s="2">
        <f>SUM(CL$2:CL462)+BF462*Y462</f>
        <v>300689.99999999988</v>
      </c>
      <c r="CM972" s="2">
        <f>SUM(CM$2:CM462)+BG462*Z462</f>
        <v>118650</v>
      </c>
      <c r="CN972" s="2">
        <f>SUM(CN$2:CN462)+BH462*AA462</f>
        <v>160907.5</v>
      </c>
      <c r="CO972" s="2">
        <f>SUM(CO$2:CO462)+BI462*AB462</f>
        <v>25300</v>
      </c>
      <c r="CP972" s="2">
        <f>SUM(CP$2:CP462)+BJ462*AC462</f>
        <v>-7785</v>
      </c>
      <c r="CQ972" s="2">
        <f>SUM(CQ$2:CQ462)+BK462*AD462</f>
        <v>36480.000000000007</v>
      </c>
      <c r="CR972" s="2">
        <f>SUM(CR$2:CR462)+BL462*AE462</f>
        <v>-6020</v>
      </c>
      <c r="CV972" t="s">
        <v>64</v>
      </c>
      <c r="CW972" t="s">
        <v>1045</v>
      </c>
      <c r="CX972" t="s">
        <v>19</v>
      </c>
      <c r="CY972" s="4">
        <v>42962</v>
      </c>
      <c r="CZ972" t="s">
        <v>67</v>
      </c>
      <c r="DA972" t="s">
        <v>68</v>
      </c>
      <c r="DB972">
        <v>53</v>
      </c>
      <c r="DC972">
        <v>71.61</v>
      </c>
      <c r="DD972" t="s">
        <v>69</v>
      </c>
      <c r="DE972" t="s">
        <v>70</v>
      </c>
      <c r="DF972">
        <v>3795.33</v>
      </c>
    </row>
    <row r="973" spans="66:110" x14ac:dyDescent="0.25">
      <c r="BN973" s="1">
        <f t="shared" si="342"/>
        <v>43404</v>
      </c>
      <c r="BO973" s="2">
        <f>SUM(BO$2:BO463)+AI463*B463</f>
        <v>213889.99999999977</v>
      </c>
      <c r="BP973" s="2">
        <f>SUM(BP$2:BP463)+AJ463*C463</f>
        <v>33025.400000000009</v>
      </c>
      <c r="BQ973" s="2">
        <f>SUM(BQ$2:BQ463)+AK463*D463</f>
        <v>229052.89999999985</v>
      </c>
      <c r="BR973" s="2">
        <f>SUM(BR$2:BR463)+AL463*E463</f>
        <v>30115.299999999974</v>
      </c>
      <c r="BS973" s="2">
        <f>SUM(BS$2:BS463)+AM463*F463</f>
        <v>19714.300000000017</v>
      </c>
      <c r="BT973" s="2">
        <f>SUM(BT$2:BT463)+AN463*G463</f>
        <v>1064.6999999999534</v>
      </c>
      <c r="BU973" s="2">
        <f>SUM(BU$2:BU463)+AO463*H463</f>
        <v>14187.800000000017</v>
      </c>
      <c r="BV973" s="2">
        <f>SUM(BV$2:BV463)+AP463*I463</f>
        <v>-14538.000000000029</v>
      </c>
      <c r="BW973" s="2">
        <f>SUM(BW$2:BW463)+AQ463*J463</f>
        <v>-10860</v>
      </c>
      <c r="BX973" s="2">
        <f>SUM(BX$2:BX463)+AR463*K463</f>
        <v>13940</v>
      </c>
      <c r="BY973" s="2">
        <f>SUM(BY$2:BY463)+AS463*L463</f>
        <v>-5632.5000000000118</v>
      </c>
      <c r="BZ973" s="2">
        <f>SUM(BZ$2:BZ463)+AT463*M463</f>
        <v>740</v>
      </c>
      <c r="CA973" s="2">
        <f>SUM(CA$2:CA463)+AU463*N463</f>
        <v>12660</v>
      </c>
      <c r="CB973" s="2">
        <f>SUM(CB$2:CB463)+AV463*O463</f>
        <v>26740</v>
      </c>
      <c r="CC973" s="2">
        <f>SUM(CC$2:CC463)+AW463*P463</f>
        <v>-20</v>
      </c>
      <c r="CD973" s="2">
        <f>SUM(CD$2:CD463)+AX463*Q463</f>
        <v>14050</v>
      </c>
      <c r="CE973" s="2">
        <f>SUM(CE$2:CE463)+AY463*R463</f>
        <v>27020</v>
      </c>
      <c r="CF973" s="2">
        <f>SUM(CF$2:CF463)+AZ463*S463</f>
        <v>16780.359999999971</v>
      </c>
      <c r="CG973" s="2">
        <f>SUM(CG$2:CG463)+BA463*T463</f>
        <v>44786.99000000002</v>
      </c>
      <c r="CH973" s="2">
        <f>SUM(CH$2:CH463)+BB463*U463</f>
        <v>23212.090000000026</v>
      </c>
      <c r="CI973" s="2">
        <f>SUM(CI$2:CI463)+BC463*V463</f>
        <v>-14680</v>
      </c>
      <c r="CJ973" s="2">
        <f>SUM(CJ$2:CJ463)+BD463*W463</f>
        <v>-47860</v>
      </c>
      <c r="CK973" s="2">
        <f>SUM(CK$2:CK463)+BE463*X463</f>
        <v>46980</v>
      </c>
      <c r="CL973" s="2">
        <f>SUM(CL$2:CL463)+BF463*Y463</f>
        <v>309870</v>
      </c>
      <c r="CM973" s="2">
        <f>SUM(CM$2:CM463)+BG463*Z463</f>
        <v>126500</v>
      </c>
      <c r="CN973" s="2">
        <f>SUM(CN$2:CN463)+BH463*AA463</f>
        <v>173582.50000000006</v>
      </c>
      <c r="CO973" s="2">
        <f>SUM(CO$2:CO463)+BI463*AB463</f>
        <v>22060</v>
      </c>
      <c r="CP973" s="2">
        <f>SUM(CP$2:CP463)+BJ463*AC463</f>
        <v>-9705</v>
      </c>
      <c r="CQ973" s="2">
        <f>SUM(CQ$2:CQ463)+BK463*AD463</f>
        <v>34360.000000000007</v>
      </c>
      <c r="CR973" s="2">
        <f>SUM(CR$2:CR463)+BL463*AE463</f>
        <v>-5140</v>
      </c>
      <c r="CV973" t="s">
        <v>64</v>
      </c>
      <c r="CW973" t="s">
        <v>1046</v>
      </c>
      <c r="CX973" t="s">
        <v>19</v>
      </c>
      <c r="CY973" s="4">
        <v>42963</v>
      </c>
      <c r="CZ973" t="s">
        <v>67</v>
      </c>
      <c r="DA973" t="s">
        <v>68</v>
      </c>
      <c r="DB973">
        <v>3</v>
      </c>
      <c r="DC973">
        <v>72.040000000000006</v>
      </c>
      <c r="DD973" t="s">
        <v>69</v>
      </c>
      <c r="DE973" t="s">
        <v>70</v>
      </c>
      <c r="DF973">
        <v>216.12</v>
      </c>
    </row>
    <row r="974" spans="66:110" x14ac:dyDescent="0.25">
      <c r="BN974" s="1">
        <f t="shared" si="342"/>
        <v>43405</v>
      </c>
      <c r="BO974" s="2">
        <f>SUM(BO$2:BO464)+AI464*B464</f>
        <v>230539.99999999977</v>
      </c>
      <c r="BP974" s="2">
        <f>SUM(BP$2:BP464)+AJ464*C464</f>
        <v>34754.600000000006</v>
      </c>
      <c r="BQ974" s="2">
        <f>SUM(BQ$2:BQ464)+AK464*D464</f>
        <v>239784.49999999985</v>
      </c>
      <c r="BR974" s="2">
        <f>SUM(BR$2:BR464)+AL464*E464</f>
        <v>34550.499999999956</v>
      </c>
      <c r="BS974" s="2">
        <f>SUM(BS$2:BS464)+AM464*F464</f>
        <v>19582.30000000001</v>
      </c>
      <c r="BT974" s="2">
        <f>SUM(BT$2:BT464)+AN464*G464</f>
        <v>444.29999999995925</v>
      </c>
      <c r="BU974" s="2">
        <f>SUM(BU$2:BU464)+AO464*H464</f>
        <v>15851</v>
      </c>
      <c r="BV974" s="2">
        <f>SUM(BV$2:BV464)+AP464*I464</f>
        <v>-9354.0000000000291</v>
      </c>
      <c r="BW974" s="2">
        <f>SUM(BW$2:BW464)+AQ464*J464</f>
        <v>-9270</v>
      </c>
      <c r="BX974" s="2">
        <f>SUM(BX$2:BX464)+AR464*K464</f>
        <v>13940</v>
      </c>
      <c r="BY974" s="2">
        <f>SUM(BY$2:BY464)+AS464*L464</f>
        <v>-5618.9000000000115</v>
      </c>
      <c r="BZ974" s="2">
        <f>SUM(BZ$2:BZ464)+AT464*M464</f>
        <v>740</v>
      </c>
      <c r="CA974" s="2">
        <f>SUM(CA$2:CA464)+AU464*N464</f>
        <v>12660</v>
      </c>
      <c r="CB974" s="2">
        <f>SUM(CB$2:CB464)+AV464*O464</f>
        <v>26740</v>
      </c>
      <c r="CC974" s="2">
        <f>SUM(CC$2:CC464)+AW464*P464</f>
        <v>-20</v>
      </c>
      <c r="CD974" s="2">
        <f>SUM(CD$2:CD464)+AX464*Q464</f>
        <v>14050</v>
      </c>
      <c r="CE974" s="2">
        <f>SUM(CE$2:CE464)+AY464*R464</f>
        <v>27020</v>
      </c>
      <c r="CF974" s="2">
        <f>SUM(CF$2:CF464)+AZ464*S464</f>
        <v>16271.249999999978</v>
      </c>
      <c r="CG974" s="2">
        <f>SUM(CG$2:CG464)+BA464*T464</f>
        <v>43909.450000000026</v>
      </c>
      <c r="CH974" s="2">
        <f>SUM(CH$2:CH464)+BB464*U464</f>
        <v>25023.430000000037</v>
      </c>
      <c r="CI974" s="2">
        <f>SUM(CI$2:CI464)+BC464*V464</f>
        <v>-15880</v>
      </c>
      <c r="CJ974" s="2">
        <f>SUM(CJ$2:CJ464)+BD464*W464</f>
        <v>-54685</v>
      </c>
      <c r="CK974" s="2">
        <f>SUM(CK$2:CK464)+BE464*X464</f>
        <v>47330</v>
      </c>
      <c r="CL974" s="2">
        <f>SUM(CL$2:CL464)+BF464*Y464</f>
        <v>307770</v>
      </c>
      <c r="CM974" s="2">
        <f>SUM(CM$2:CM464)+BG464*Z464</f>
        <v>143150</v>
      </c>
      <c r="CN974" s="2">
        <f>SUM(CN$2:CN464)+BH464*AA464</f>
        <v>181007.50000000006</v>
      </c>
      <c r="CO974" s="2">
        <f>SUM(CO$2:CO464)+BI464*AB464</f>
        <v>18970</v>
      </c>
      <c r="CP974" s="2">
        <f>SUM(CP$2:CP464)+BJ464*AC464</f>
        <v>-9965</v>
      </c>
      <c r="CQ974" s="2">
        <f>SUM(CQ$2:CQ464)+BK464*AD464</f>
        <v>34650.000000000007</v>
      </c>
      <c r="CR974" s="2">
        <f>SUM(CR$2:CR464)+BL464*AE464</f>
        <v>-4170</v>
      </c>
      <c r="CV974" t="s">
        <v>64</v>
      </c>
      <c r="CW974" t="s">
        <v>1047</v>
      </c>
      <c r="CX974" t="s">
        <v>19</v>
      </c>
      <c r="CY974" s="4">
        <v>42964</v>
      </c>
      <c r="CZ974" t="s">
        <v>65</v>
      </c>
      <c r="DA974" t="s">
        <v>66</v>
      </c>
      <c r="DB974">
        <v>177</v>
      </c>
      <c r="DC974">
        <v>70.81</v>
      </c>
      <c r="DD974" t="s">
        <v>69</v>
      </c>
      <c r="DE974" t="s">
        <v>70</v>
      </c>
      <c r="DF974">
        <v>12533.37</v>
      </c>
    </row>
    <row r="975" spans="66:110" x14ac:dyDescent="0.25">
      <c r="BN975" s="1">
        <f t="shared" si="342"/>
        <v>43406</v>
      </c>
      <c r="BO975" s="2">
        <f>SUM(BO$2:BO465)+AI465*B465</f>
        <v>157439.99999999977</v>
      </c>
      <c r="BP975" s="2">
        <f>SUM(BP$2:BP465)+AJ465*C465</f>
        <v>34315.700000000012</v>
      </c>
      <c r="BQ975" s="2">
        <f>SUM(BQ$2:BQ465)+AK465*D465</f>
        <v>232788.69999999987</v>
      </c>
      <c r="BR975" s="2">
        <f>SUM(BR$2:BR465)+AL465*E465</f>
        <v>36000.199999999939</v>
      </c>
      <c r="BS975" s="2">
        <f>SUM(BS$2:BS465)+AM465*F465</f>
        <v>19356.200000000019</v>
      </c>
      <c r="BT975" s="2">
        <f>SUM(BT$2:BT465)+AN465*G465</f>
        <v>5085.9999999999418</v>
      </c>
      <c r="BU975" s="2">
        <f>SUM(BU$2:BU465)+AO465*H465</f>
        <v>14627.400000000023</v>
      </c>
      <c r="BV975" s="2">
        <f>SUM(BV$2:BV465)+AP465*I465</f>
        <v>-9995.300000000032</v>
      </c>
      <c r="BW975" s="2">
        <f>SUM(BW$2:BW465)+AQ465*J465</f>
        <v>-6560</v>
      </c>
      <c r="BX975" s="2">
        <f>SUM(BX$2:BX465)+AR465*K465</f>
        <v>13940</v>
      </c>
      <c r="BY975" s="2">
        <f>SUM(BY$2:BY465)+AS465*L465</f>
        <v>-5630.2000000000116</v>
      </c>
      <c r="BZ975" s="2">
        <f>SUM(BZ$2:BZ465)+AT465*M465</f>
        <v>740</v>
      </c>
      <c r="CA975" s="2">
        <f>SUM(CA$2:CA465)+AU465*N465</f>
        <v>12660</v>
      </c>
      <c r="CB975" s="2">
        <f>SUM(CB$2:CB465)+AV465*O465</f>
        <v>26740</v>
      </c>
      <c r="CC975" s="2">
        <f>SUM(CC$2:CC465)+AW465*P465</f>
        <v>-20</v>
      </c>
      <c r="CD975" s="2">
        <f>SUM(CD$2:CD465)+AX465*Q465</f>
        <v>14050</v>
      </c>
      <c r="CE975" s="2">
        <f>SUM(CE$2:CE465)+AY465*R465</f>
        <v>27020</v>
      </c>
      <c r="CF975" s="2">
        <f>SUM(CF$2:CF465)+AZ465*S465</f>
        <v>15431.249999999978</v>
      </c>
      <c r="CG975" s="2">
        <f>SUM(CG$2:CG465)+BA465*T465</f>
        <v>44146.570000000022</v>
      </c>
      <c r="CH975" s="2">
        <f>SUM(CH$2:CH465)+BB465*U465</f>
        <v>24803.770000000026</v>
      </c>
      <c r="CI975" s="2">
        <f>SUM(CI$2:CI465)+BC465*V465</f>
        <v>-14420</v>
      </c>
      <c r="CJ975" s="2">
        <f>SUM(CJ$2:CJ465)+BD465*W465</f>
        <v>-56335</v>
      </c>
      <c r="CK975" s="2">
        <f>SUM(CK$2:CK465)+BE465*X465</f>
        <v>45830</v>
      </c>
      <c r="CL975" s="2">
        <f>SUM(CL$2:CL465)+BF465*Y465</f>
        <v>308170</v>
      </c>
      <c r="CM975" s="2">
        <f>SUM(CM$2:CM465)+BG465*Z465</f>
        <v>142400</v>
      </c>
      <c r="CN975" s="2">
        <f>SUM(CN$2:CN465)+BH465*AA465</f>
        <v>178407.5</v>
      </c>
      <c r="CO975" s="2">
        <f>SUM(CO$2:CO465)+BI465*AB465</f>
        <v>20710</v>
      </c>
      <c r="CP975" s="2">
        <f>SUM(CP$2:CP465)+BJ465*AC465</f>
        <v>-8765</v>
      </c>
      <c r="CQ975" s="2">
        <f>SUM(CQ$2:CQ465)+BK465*AD465</f>
        <v>35410.000000000007</v>
      </c>
      <c r="CR975" s="2">
        <f>SUM(CR$2:CR465)+BL465*AE465</f>
        <v>-2910</v>
      </c>
      <c r="CV975" t="s">
        <v>64</v>
      </c>
      <c r="CW975" t="s">
        <v>1048</v>
      </c>
      <c r="CX975" t="s">
        <v>19</v>
      </c>
      <c r="CY975" s="4">
        <v>42965</v>
      </c>
      <c r="CZ975" t="s">
        <v>67</v>
      </c>
      <c r="DA975" t="s">
        <v>68</v>
      </c>
      <c r="DB975">
        <v>56</v>
      </c>
      <c r="DC975">
        <v>70.900000000000006</v>
      </c>
      <c r="DD975" t="s">
        <v>69</v>
      </c>
      <c r="DE975" t="s">
        <v>70</v>
      </c>
      <c r="DF975">
        <v>3970.4000000000005</v>
      </c>
    </row>
    <row r="976" spans="66:110" x14ac:dyDescent="0.25">
      <c r="BN976" s="1">
        <f t="shared" si="342"/>
        <v>43409</v>
      </c>
      <c r="BO976" s="2">
        <f>SUM(BO$2:BO466)+AI466*B466</f>
        <v>128189.99999999977</v>
      </c>
      <c r="BP976" s="2">
        <f>SUM(BP$2:BP466)+AJ466*C466</f>
        <v>36297.399999999994</v>
      </c>
      <c r="BQ976" s="2">
        <f>SUM(BQ$2:BQ466)+AK466*D466</f>
        <v>238361.39999999988</v>
      </c>
      <c r="BR976" s="2">
        <f>SUM(BR$2:BR466)+AL466*E466</f>
        <v>36811.499999999956</v>
      </c>
      <c r="BS976" s="2">
        <f>SUM(BS$2:BS466)+AM466*F466</f>
        <v>20234.000000000015</v>
      </c>
      <c r="BT976" s="2">
        <f>SUM(BT$2:BT466)+AN466*G466</f>
        <v>10578.899999999965</v>
      </c>
      <c r="BU976" s="2">
        <f>SUM(BU$2:BU466)+AO466*H466</f>
        <v>14986.500000000029</v>
      </c>
      <c r="BV976" s="2">
        <f>SUM(BV$2:BV466)+AP466*I466</f>
        <v>-10116.300000000032</v>
      </c>
      <c r="BW976" s="2">
        <f>SUM(BW$2:BW466)+AQ466*J466</f>
        <v>-7520</v>
      </c>
      <c r="BX976" s="2">
        <f>SUM(BX$2:BX466)+AR466*K466</f>
        <v>13940</v>
      </c>
      <c r="BY976" s="2">
        <f>SUM(BY$2:BY466)+AS466*L466</f>
        <v>-5587.4000000000115</v>
      </c>
      <c r="BZ976" s="2">
        <f>SUM(BZ$2:BZ466)+AT466*M466</f>
        <v>740</v>
      </c>
      <c r="CA976" s="2">
        <f>SUM(CA$2:CA466)+AU466*N466</f>
        <v>12660</v>
      </c>
      <c r="CB976" s="2">
        <f>SUM(CB$2:CB466)+AV466*O466</f>
        <v>26740</v>
      </c>
      <c r="CC976" s="2">
        <f>SUM(CC$2:CC466)+AW466*P466</f>
        <v>-20</v>
      </c>
      <c r="CD976" s="2">
        <f>SUM(CD$2:CD466)+AX466*Q466</f>
        <v>14050</v>
      </c>
      <c r="CE976" s="2">
        <f>SUM(CE$2:CE466)+AY466*R466</f>
        <v>27020</v>
      </c>
      <c r="CF976" s="2">
        <f>SUM(CF$2:CF466)+AZ466*S466</f>
        <v>16241.849999999969</v>
      </c>
      <c r="CG976" s="2">
        <f>SUM(CG$2:CG466)+BA466*T466</f>
        <v>45565.42000000002</v>
      </c>
      <c r="CH976" s="2">
        <f>SUM(CH$2:CH466)+BB466*U466</f>
        <v>25725.270000000026</v>
      </c>
      <c r="CI976" s="2">
        <f>SUM(CI$2:CI466)+BC466*V466</f>
        <v>-15580</v>
      </c>
      <c r="CJ976" s="2">
        <f>SUM(CJ$2:CJ466)+BD466*W466</f>
        <v>-66610</v>
      </c>
      <c r="CK976" s="2">
        <f>SUM(CK$2:CK466)+BE466*X466</f>
        <v>53930</v>
      </c>
      <c r="CL976" s="2">
        <f>SUM(CL$2:CL466)+BF466*Y466</f>
        <v>308170</v>
      </c>
      <c r="CM976" s="2">
        <f>SUM(CM$2:CM466)+BG466*Z466</f>
        <v>141550</v>
      </c>
      <c r="CN976" s="2">
        <f>SUM(CN$2:CN466)+BH466*AA466</f>
        <v>178457.5</v>
      </c>
      <c r="CO976" s="2">
        <f>SUM(CO$2:CO466)+BI466*AB466</f>
        <v>22420</v>
      </c>
      <c r="CP976" s="2">
        <f>SUM(CP$2:CP466)+BJ466*AC466</f>
        <v>-10105</v>
      </c>
      <c r="CQ976" s="2">
        <f>SUM(CQ$2:CQ466)+BK466*AD466</f>
        <v>36970.000000000007</v>
      </c>
      <c r="CR976" s="2">
        <f>SUM(CR$2:CR466)+BL466*AE466</f>
        <v>-3220</v>
      </c>
      <c r="CV976" t="s">
        <v>64</v>
      </c>
      <c r="CW976" t="s">
        <v>1049</v>
      </c>
      <c r="CX976" t="s">
        <v>19</v>
      </c>
      <c r="CY976" s="4">
        <v>42968</v>
      </c>
      <c r="CZ976" t="s">
        <v>67</v>
      </c>
      <c r="DA976" t="s">
        <v>68</v>
      </c>
      <c r="DB976">
        <v>2</v>
      </c>
      <c r="DC976">
        <v>70.569999999999993</v>
      </c>
      <c r="DD976" t="s">
        <v>69</v>
      </c>
      <c r="DE976" t="s">
        <v>70</v>
      </c>
      <c r="DF976">
        <v>141.13999999999999</v>
      </c>
    </row>
    <row r="977" spans="66:110" x14ac:dyDescent="0.25">
      <c r="BN977" s="1">
        <f t="shared" si="342"/>
        <v>43410</v>
      </c>
      <c r="BO977" s="2">
        <f>SUM(BO$2:BO467)+AI467*B467</f>
        <v>138989.99999999977</v>
      </c>
      <c r="BP977" s="2">
        <f>SUM(BP$2:BP467)+AJ467*C467</f>
        <v>35991.5</v>
      </c>
      <c r="BQ977" s="2">
        <f>SUM(BQ$2:BQ467)+AK467*D467</f>
        <v>244266.59999999989</v>
      </c>
      <c r="BR977" s="2">
        <f>SUM(BR$2:BR467)+AL467*E467</f>
        <v>40668.499999999956</v>
      </c>
      <c r="BS977" s="2">
        <f>SUM(BS$2:BS467)+AM467*F467</f>
        <v>20699.500000000022</v>
      </c>
      <c r="BT977" s="2">
        <f>SUM(BT$2:BT467)+AN467*G467</f>
        <v>10525.699999999953</v>
      </c>
      <c r="BU977" s="2">
        <f>SUM(BU$2:BU467)+AO467*H467</f>
        <v>16649.000000000029</v>
      </c>
      <c r="BV977" s="2">
        <f>SUM(BV$2:BV467)+AP467*I467</f>
        <v>-9656.5000000000291</v>
      </c>
      <c r="BW977" s="2">
        <f>SUM(BW$2:BW467)+AQ467*J467</f>
        <v>-8040</v>
      </c>
      <c r="BX977" s="2">
        <f>SUM(BX$2:BX467)+AR467*K467</f>
        <v>13940</v>
      </c>
      <c r="BY977" s="2">
        <f>SUM(BY$2:BY467)+AS467*L467</f>
        <v>-5557.5000000000118</v>
      </c>
      <c r="BZ977" s="2">
        <f>SUM(BZ$2:BZ467)+AT467*M467</f>
        <v>740</v>
      </c>
      <c r="CA977" s="2">
        <f>SUM(CA$2:CA467)+AU467*N467</f>
        <v>12660</v>
      </c>
      <c r="CB977" s="2">
        <f>SUM(CB$2:CB467)+AV467*O467</f>
        <v>26740</v>
      </c>
      <c r="CC977" s="2">
        <f>SUM(CC$2:CC467)+AW467*P467</f>
        <v>-20</v>
      </c>
      <c r="CD977" s="2">
        <f>SUM(CD$2:CD467)+AX467*Q467</f>
        <v>14050</v>
      </c>
      <c r="CE977" s="2">
        <f>SUM(CE$2:CE467)+AY467*R467</f>
        <v>27020</v>
      </c>
      <c r="CF977" s="2">
        <f>SUM(CF$2:CF467)+AZ467*S467</f>
        <v>16434.129999999968</v>
      </c>
      <c r="CG977" s="2">
        <f>SUM(CG$2:CG467)+BA467*T467</f>
        <v>45762.400000000023</v>
      </c>
      <c r="CH977" s="2">
        <f>SUM(CH$2:CH467)+BB467*U467</f>
        <v>24674.070000000029</v>
      </c>
      <c r="CI977" s="2">
        <f>SUM(CI$2:CI467)+BC467*V467</f>
        <v>-14580</v>
      </c>
      <c r="CJ977" s="2">
        <f>SUM(CJ$2:CJ467)+BD467*W467</f>
        <v>-68935</v>
      </c>
      <c r="CK977" s="2">
        <f>SUM(CK$2:CK467)+BE467*X467</f>
        <v>64230</v>
      </c>
      <c r="CL977" s="2">
        <f>SUM(CL$2:CL467)+BF467*Y467</f>
        <v>320770</v>
      </c>
      <c r="CM977" s="2">
        <f>SUM(CM$2:CM467)+BG467*Z467</f>
        <v>144950</v>
      </c>
      <c r="CN977" s="2">
        <f>SUM(CN$2:CN467)+BH467*AA467</f>
        <v>180907.5</v>
      </c>
      <c r="CO977" s="2">
        <f>SUM(CO$2:CO467)+BI467*AB467</f>
        <v>22420</v>
      </c>
      <c r="CP977" s="2">
        <f>SUM(CP$2:CP467)+BJ467*AC467</f>
        <v>-11345</v>
      </c>
      <c r="CQ977" s="2">
        <f>SUM(CQ$2:CQ467)+BK467*AD467</f>
        <v>37390.000000000007</v>
      </c>
      <c r="CR977" s="2">
        <f>SUM(CR$2:CR467)+BL467*AE467</f>
        <v>-2870</v>
      </c>
      <c r="CV977" t="s">
        <v>64</v>
      </c>
      <c r="CW977" t="s">
        <v>1050</v>
      </c>
      <c r="CX977" t="s">
        <v>19</v>
      </c>
      <c r="CY977" s="4">
        <v>42969</v>
      </c>
      <c r="CZ977" t="s">
        <v>67</v>
      </c>
      <c r="DA977" t="s">
        <v>68</v>
      </c>
      <c r="DB977">
        <v>130</v>
      </c>
      <c r="DC977">
        <v>71.56</v>
      </c>
      <c r="DD977" t="s">
        <v>69</v>
      </c>
      <c r="DE977" t="s">
        <v>70</v>
      </c>
      <c r="DF977">
        <v>9302.8000000000011</v>
      </c>
    </row>
    <row r="978" spans="66:110" x14ac:dyDescent="0.25">
      <c r="BN978" s="1">
        <f t="shared" si="342"/>
        <v>43411</v>
      </c>
      <c r="BO978" s="2">
        <f>SUM(BO$2:BO468)+AI468*B468</f>
        <v>169689.99999999988</v>
      </c>
      <c r="BP978" s="2">
        <f>SUM(BP$2:BP468)+AJ468*C468</f>
        <v>39077.100000000006</v>
      </c>
      <c r="BQ978" s="2">
        <f>SUM(BQ$2:BQ468)+AK468*D468</f>
        <v>251581.59999999989</v>
      </c>
      <c r="BR978" s="2">
        <f>SUM(BR$2:BR468)+AL468*E468</f>
        <v>48302.699999999968</v>
      </c>
      <c r="BS978" s="2">
        <f>SUM(BS$2:BS468)+AM468*F468</f>
        <v>22548.200000000019</v>
      </c>
      <c r="BT978" s="2">
        <f>SUM(BT$2:BT468)+AN468*G468</f>
        <v>13092.599999999977</v>
      </c>
      <c r="BU978" s="2">
        <f>SUM(BU$2:BU468)+AO468*H468</f>
        <v>17101.200000000012</v>
      </c>
      <c r="BV978" s="2">
        <f>SUM(BV$2:BV468)+AP468*I468</f>
        <v>-7478.5000000000291</v>
      </c>
      <c r="BW978" s="2">
        <f>SUM(BW$2:BW468)+AQ468*J468</f>
        <v>-4970</v>
      </c>
      <c r="BX978" s="2">
        <f>SUM(BX$2:BX468)+AR468*K468</f>
        <v>13940</v>
      </c>
      <c r="BY978" s="2">
        <f>SUM(BY$2:BY468)+AS468*L468</f>
        <v>-5540.7000000000116</v>
      </c>
      <c r="BZ978" s="2">
        <f>SUM(BZ$2:BZ468)+AT468*M468</f>
        <v>740</v>
      </c>
      <c r="CA978" s="2">
        <f>SUM(CA$2:CA468)+AU468*N468</f>
        <v>12660</v>
      </c>
      <c r="CB978" s="2">
        <f>SUM(CB$2:CB468)+AV468*O468</f>
        <v>26740</v>
      </c>
      <c r="CC978" s="2">
        <f>SUM(CC$2:CC468)+AW468*P468</f>
        <v>-20</v>
      </c>
      <c r="CD978" s="2">
        <f>SUM(CD$2:CD468)+AX468*Q468</f>
        <v>14050</v>
      </c>
      <c r="CE978" s="2">
        <f>SUM(CE$2:CE468)+AY468*R468</f>
        <v>27020</v>
      </c>
      <c r="CF978" s="2">
        <f>SUM(CF$2:CF468)+AZ468*S468</f>
        <v>18180.049999999981</v>
      </c>
      <c r="CG978" s="2">
        <f>SUM(CG$2:CG468)+BA468*T468</f>
        <v>49784.060000000034</v>
      </c>
      <c r="CH978" s="2">
        <f>SUM(CH$2:CH468)+BB468*U468</f>
        <v>25962.070000000029</v>
      </c>
      <c r="CI978" s="2">
        <f>SUM(CI$2:CI468)+BC468*V468</f>
        <v>-17320</v>
      </c>
      <c r="CJ978" s="2">
        <f>SUM(CJ$2:CJ468)+BD468*W468</f>
        <v>-67285</v>
      </c>
      <c r="CK978" s="2">
        <f>SUM(CK$2:CK468)+BE468*X468</f>
        <v>72580</v>
      </c>
      <c r="CL978" s="2">
        <f>SUM(CL$2:CL468)+BF468*Y468</f>
        <v>376070</v>
      </c>
      <c r="CM978" s="2">
        <f>SUM(CM$2:CM468)+BG468*Z468</f>
        <v>157850</v>
      </c>
      <c r="CN978" s="2">
        <f>SUM(CN$2:CN468)+BH468*AA468</f>
        <v>190857.5</v>
      </c>
      <c r="CO978" s="2">
        <f>SUM(CO$2:CO468)+BI468*AB468</f>
        <v>23740</v>
      </c>
      <c r="CP978" s="2">
        <f>SUM(CP$2:CP468)+BJ468*AC468</f>
        <v>-13945</v>
      </c>
      <c r="CQ978" s="2">
        <f>SUM(CQ$2:CQ468)+BK468*AD468</f>
        <v>38370.000000000007</v>
      </c>
      <c r="CR978" s="2">
        <f>SUM(CR$2:CR468)+BL468*AE468</f>
        <v>-1860</v>
      </c>
      <c r="CV978" t="s">
        <v>64</v>
      </c>
      <c r="CW978" t="s">
        <v>1051</v>
      </c>
      <c r="CX978" t="s">
        <v>19</v>
      </c>
      <c r="CY978" s="4">
        <v>42970</v>
      </c>
      <c r="CZ978" t="s">
        <v>65</v>
      </c>
      <c r="DA978" t="s">
        <v>66</v>
      </c>
      <c r="DB978">
        <v>152</v>
      </c>
      <c r="DC978">
        <v>71.13</v>
      </c>
      <c r="DD978" t="s">
        <v>69</v>
      </c>
      <c r="DE978" t="s">
        <v>70</v>
      </c>
      <c r="DF978">
        <v>10811.759999999998</v>
      </c>
    </row>
    <row r="979" spans="66:110" x14ac:dyDescent="0.25">
      <c r="BN979" s="1">
        <f t="shared" si="342"/>
        <v>43412</v>
      </c>
      <c r="BO979" s="2">
        <f>SUM(BO$2:BO469)+AI469*B469</f>
        <v>166039.99999999977</v>
      </c>
      <c r="BP979" s="2">
        <f>SUM(BP$2:BP469)+AJ469*C469</f>
        <v>40659.800000000017</v>
      </c>
      <c r="BQ979" s="2">
        <f>SUM(BQ$2:BQ469)+AK469*D469</f>
        <v>252193.39999999994</v>
      </c>
      <c r="BR979" s="2">
        <f>SUM(BR$2:BR469)+AL469*E469</f>
        <v>43394.999999999985</v>
      </c>
      <c r="BS979" s="2">
        <f>SUM(BS$2:BS469)+AM469*F469</f>
        <v>23266.400000000016</v>
      </c>
      <c r="BT979" s="2">
        <f>SUM(BT$2:BT469)+AN469*G469</f>
        <v>11124.199999999953</v>
      </c>
      <c r="BU979" s="2">
        <f>SUM(BU$2:BU469)+AO469*H469</f>
        <v>15718</v>
      </c>
      <c r="BV979" s="2">
        <f>SUM(BV$2:BV469)+AP469*I469</f>
        <v>-7938.300000000032</v>
      </c>
      <c r="BW979" s="2">
        <f>SUM(BW$2:BW469)+AQ469*J469</f>
        <v>-4600</v>
      </c>
      <c r="BX979" s="2">
        <f>SUM(BX$2:BX469)+AR469*K469</f>
        <v>13940</v>
      </c>
      <c r="BY979" s="2">
        <f>SUM(BY$2:BY469)+AS469*L469</f>
        <v>-5539.6000000000113</v>
      </c>
      <c r="BZ979" s="2">
        <f>SUM(BZ$2:BZ469)+AT469*M469</f>
        <v>740</v>
      </c>
      <c r="CA979" s="2">
        <f>SUM(CA$2:CA469)+AU469*N469</f>
        <v>12660</v>
      </c>
      <c r="CB979" s="2">
        <f>SUM(CB$2:CB469)+AV469*O469</f>
        <v>26740</v>
      </c>
      <c r="CC979" s="2">
        <f>SUM(CC$2:CC469)+AW469*P469</f>
        <v>-20</v>
      </c>
      <c r="CD979" s="2">
        <f>SUM(CD$2:CD469)+AX469*Q469</f>
        <v>14050</v>
      </c>
      <c r="CE979" s="2">
        <f>SUM(CE$2:CE469)+AY469*R469</f>
        <v>27020</v>
      </c>
      <c r="CF979" s="2">
        <f>SUM(CF$2:CF469)+AZ469*S469</f>
        <v>18581.359999999986</v>
      </c>
      <c r="CG979" s="2">
        <f>SUM(CG$2:CG469)+BA469*T469</f>
        <v>49573.010000000024</v>
      </c>
      <c r="CH979" s="2">
        <f>SUM(CH$2:CH469)+BB469*U469</f>
        <v>25784.230000000032</v>
      </c>
      <c r="CI979" s="2">
        <f>SUM(CI$2:CI469)+BC469*V469</f>
        <v>-16900</v>
      </c>
      <c r="CJ979" s="2">
        <f>SUM(CJ$2:CJ469)+BD469*W469</f>
        <v>-67810</v>
      </c>
      <c r="CK979" s="2">
        <f>SUM(CK$2:CK469)+BE469*X469</f>
        <v>76130</v>
      </c>
      <c r="CL979" s="2">
        <f>SUM(CL$2:CL469)+BF469*Y469</f>
        <v>386120</v>
      </c>
      <c r="CM979" s="2">
        <f>SUM(CM$2:CM469)+BG469*Z469</f>
        <v>161750</v>
      </c>
      <c r="CN979" s="2">
        <f>SUM(CN$2:CN469)+BH469*AA469</f>
        <v>191982.5</v>
      </c>
      <c r="CO979" s="2">
        <f>SUM(CO$2:CO469)+BI469*AB469</f>
        <v>25570</v>
      </c>
      <c r="CP979" s="2">
        <f>SUM(CP$2:CP469)+BJ469*AC469</f>
        <v>-15865</v>
      </c>
      <c r="CQ979" s="2">
        <f>SUM(CQ$2:CQ469)+BK469*AD469</f>
        <v>38930.000000000007</v>
      </c>
      <c r="CR979" s="2">
        <f>SUM(CR$2:CR469)+BL469*AE469</f>
        <v>-3150</v>
      </c>
      <c r="CV979" t="s">
        <v>64</v>
      </c>
      <c r="CW979" t="s">
        <v>1052</v>
      </c>
      <c r="CX979" t="s">
        <v>19</v>
      </c>
      <c r="CY979" s="4">
        <v>42971</v>
      </c>
      <c r="CZ979" t="s">
        <v>67</v>
      </c>
      <c r="DA979" t="s">
        <v>68</v>
      </c>
      <c r="DB979">
        <v>111</v>
      </c>
      <c r="DC979">
        <v>71.099999999999994</v>
      </c>
      <c r="DD979" t="s">
        <v>69</v>
      </c>
      <c r="DE979" t="s">
        <v>70</v>
      </c>
      <c r="DF979">
        <v>7892.0999999999995</v>
      </c>
    </row>
    <row r="980" spans="66:110" x14ac:dyDescent="0.25">
      <c r="BN980" s="1">
        <f t="shared" si="342"/>
        <v>43413</v>
      </c>
      <c r="BO980" s="2">
        <f>SUM(BO$2:BO470)+AI470*B470</f>
        <v>146039.99999999977</v>
      </c>
      <c r="BP980" s="2">
        <f>SUM(BP$2:BP470)+AJ470*C470</f>
        <v>40367.200000000012</v>
      </c>
      <c r="BQ980" s="2">
        <f>SUM(BQ$2:BQ470)+AK470*D470</f>
        <v>250291.49999999991</v>
      </c>
      <c r="BR980" s="2">
        <f>SUM(BR$2:BR470)+AL470*E470</f>
        <v>37476.499999999956</v>
      </c>
      <c r="BS980" s="2">
        <f>SUM(BS$2:BS470)+AM470*F470</f>
        <v>21510.800000000017</v>
      </c>
      <c r="BT980" s="2">
        <f>SUM(BT$2:BT470)+AN470*G470</f>
        <v>11323.699999999983</v>
      </c>
      <c r="BU980" s="2">
        <f>SUM(BU$2:BU470)+AO470*H470</f>
        <v>18351.400000000023</v>
      </c>
      <c r="BV980" s="2">
        <f>SUM(BV$2:BV470)+AP470*I470</f>
        <v>-8857.9000000000378</v>
      </c>
      <c r="BW980" s="2">
        <f>SUM(BW$2:BW470)+AQ470*J470</f>
        <v>-13570</v>
      </c>
      <c r="BX980" s="2">
        <f>SUM(BX$2:BX470)+AR470*K470</f>
        <v>13940</v>
      </c>
      <c r="BY980" s="2">
        <f>SUM(BY$2:BY470)+AS470*L470</f>
        <v>-5538.0000000000118</v>
      </c>
      <c r="BZ980" s="2">
        <f>SUM(BZ$2:BZ470)+AT470*M470</f>
        <v>740</v>
      </c>
      <c r="CA980" s="2">
        <f>SUM(CA$2:CA470)+AU470*N470</f>
        <v>12660</v>
      </c>
      <c r="CB980" s="2">
        <f>SUM(CB$2:CB470)+AV470*O470</f>
        <v>26740</v>
      </c>
      <c r="CC980" s="2">
        <f>SUM(CC$2:CC470)+AW470*P470</f>
        <v>-20</v>
      </c>
      <c r="CD980" s="2">
        <f>SUM(CD$2:CD470)+AX470*Q470</f>
        <v>14050</v>
      </c>
      <c r="CE980" s="2">
        <f>SUM(CE$2:CE470)+AY470*R470</f>
        <v>27020</v>
      </c>
      <c r="CF980" s="2">
        <f>SUM(CF$2:CF470)+AZ470*S470</f>
        <v>17973.189999999981</v>
      </c>
      <c r="CG980" s="2">
        <f>SUM(CG$2:CG470)+BA470*T470</f>
        <v>47544.060000000019</v>
      </c>
      <c r="CH980" s="2">
        <f>SUM(CH$2:CH470)+BB470*U470</f>
        <v>24235.010000000024</v>
      </c>
      <c r="CI980" s="2">
        <f>SUM(CI$2:CI470)+BC470*V470</f>
        <v>-17760</v>
      </c>
      <c r="CJ980" s="2">
        <f>SUM(CJ$2:CJ470)+BD470*W470</f>
        <v>-75610</v>
      </c>
      <c r="CK980" s="2">
        <f>SUM(CK$2:CK470)+BE470*X470</f>
        <v>76330</v>
      </c>
      <c r="CL980" s="2">
        <f>SUM(CL$2:CL470)+BF470*Y470</f>
        <v>385620</v>
      </c>
      <c r="CM980" s="2">
        <f>SUM(CM$2:CM470)+BG470*Z470</f>
        <v>158650</v>
      </c>
      <c r="CN980" s="2">
        <f>SUM(CN$2:CN470)+BH470*AA470</f>
        <v>188732.49999999994</v>
      </c>
      <c r="CO980" s="2">
        <f>SUM(CO$2:CO470)+BI470*AB470</f>
        <v>26140</v>
      </c>
      <c r="CP980" s="2">
        <f>SUM(CP$2:CP470)+BJ470*AC470</f>
        <v>-15765</v>
      </c>
      <c r="CQ980" s="2">
        <f>SUM(CQ$2:CQ470)+BK470*AD470</f>
        <v>39610.000000000007</v>
      </c>
      <c r="CR980" s="2">
        <f>SUM(CR$2:CR470)+BL470*AE470</f>
        <v>-3170</v>
      </c>
      <c r="CV980" t="s">
        <v>64</v>
      </c>
      <c r="CW980" t="s">
        <v>1053</v>
      </c>
      <c r="CX980" t="s">
        <v>19</v>
      </c>
      <c r="CY980" s="4">
        <v>42972</v>
      </c>
      <c r="CZ980" t="s">
        <v>65</v>
      </c>
      <c r="DA980" t="s">
        <v>66</v>
      </c>
      <c r="DB980">
        <v>59</v>
      </c>
      <c r="DC980">
        <v>71.22</v>
      </c>
      <c r="DD980" t="s">
        <v>69</v>
      </c>
      <c r="DE980" t="s">
        <v>70</v>
      </c>
      <c r="DF980">
        <v>4201.9799999999996</v>
      </c>
    </row>
    <row r="981" spans="66:110" x14ac:dyDescent="0.25">
      <c r="BN981" s="1">
        <f t="shared" si="342"/>
        <v>43416</v>
      </c>
      <c r="BO981" s="2">
        <f>SUM(BO$2:BO471)+AI471*B471</f>
        <v>94739.999999999767</v>
      </c>
      <c r="BP981" s="2">
        <f>SUM(BP$2:BP471)+AJ471*C471</f>
        <v>37999.800000000017</v>
      </c>
      <c r="BQ981" s="2">
        <f>SUM(BQ$2:BQ471)+AK471*D471</f>
        <v>234012.2999999999</v>
      </c>
      <c r="BR981" s="2">
        <f>SUM(BR$2:BR471)+AL471*E471</f>
        <v>34949.499999999956</v>
      </c>
      <c r="BS981" s="2">
        <f>SUM(BS$2:BS471)+AM471*F471</f>
        <v>19542.400000000023</v>
      </c>
      <c r="BT981" s="2">
        <f>SUM(BT$2:BT471)+AN471*G471</f>
        <v>8557.2999999999593</v>
      </c>
      <c r="BU981" s="2">
        <f>SUM(BU$2:BU471)+AO471*H471</f>
        <v>16635.700000000012</v>
      </c>
      <c r="BV981" s="2">
        <f>SUM(BV$2:BV471)+AP471*I471</f>
        <v>-10031.600000000035</v>
      </c>
      <c r="BW981" s="2">
        <f>SUM(BW$2:BW471)+AQ471*J471</f>
        <v>-30100</v>
      </c>
      <c r="BX981" s="2">
        <f>SUM(BX$2:BX471)+AR471*K471</f>
        <v>13940</v>
      </c>
      <c r="BY981" s="2">
        <f>SUM(BY$2:BY471)+AS471*L471</f>
        <v>-5564.1000000000113</v>
      </c>
      <c r="BZ981" s="2">
        <f>SUM(BZ$2:BZ471)+AT471*M471</f>
        <v>740</v>
      </c>
      <c r="CA981" s="2">
        <f>SUM(CA$2:CA471)+AU471*N471</f>
        <v>12660</v>
      </c>
      <c r="CB981" s="2">
        <f>SUM(CB$2:CB471)+AV471*O471</f>
        <v>26740</v>
      </c>
      <c r="CC981" s="2">
        <f>SUM(CC$2:CC471)+AW471*P471</f>
        <v>-20</v>
      </c>
      <c r="CD981" s="2">
        <f>SUM(CD$2:CD471)+AX471*Q471</f>
        <v>14050</v>
      </c>
      <c r="CE981" s="2">
        <f>SUM(CE$2:CE471)+AY471*R471</f>
        <v>27020</v>
      </c>
      <c r="CF981" s="2">
        <f>SUM(CF$2:CF471)+AZ471*S471</f>
        <v>17806.929999999971</v>
      </c>
      <c r="CG981" s="2">
        <f>SUM(CG$2:CG471)+BA471*T471</f>
        <v>44802.950000000019</v>
      </c>
      <c r="CH981" s="2">
        <f>SUM(CH$2:CH471)+BB471*U471</f>
        <v>23022.510000000024</v>
      </c>
      <c r="CI981" s="2">
        <f>SUM(CI$2:CI471)+BC471*V471</f>
        <v>-17420</v>
      </c>
      <c r="CJ981" s="2">
        <f>SUM(CJ$2:CJ471)+BD471*W471</f>
        <v>-77785</v>
      </c>
      <c r="CK981" s="2">
        <f>SUM(CK$2:CK471)+BE471*X471</f>
        <v>56480</v>
      </c>
      <c r="CL981" s="2">
        <f>SUM(CL$2:CL471)+BF471*Y471</f>
        <v>364820</v>
      </c>
      <c r="CM981" s="2">
        <f>SUM(CM$2:CM471)+BG471*Z471</f>
        <v>146700</v>
      </c>
      <c r="CN981" s="2">
        <f>SUM(CN$2:CN471)+BH471*AA471</f>
        <v>178257.5</v>
      </c>
      <c r="CO981" s="2">
        <f>SUM(CO$2:CO471)+BI471*AB471</f>
        <v>26890</v>
      </c>
      <c r="CP981" s="2">
        <f>SUM(CP$2:CP471)+BJ471*AC471</f>
        <v>-14605</v>
      </c>
      <c r="CQ981" s="2">
        <f>SUM(CQ$2:CQ471)+BK471*AD471</f>
        <v>37930.000000000007</v>
      </c>
      <c r="CR981" s="2">
        <f>SUM(CR$2:CR471)+BL471*AE471</f>
        <v>-4200</v>
      </c>
      <c r="CV981" t="s">
        <v>64</v>
      </c>
      <c r="CW981" t="s">
        <v>1054</v>
      </c>
      <c r="CX981" t="s">
        <v>19</v>
      </c>
      <c r="CY981" s="4">
        <v>42975</v>
      </c>
      <c r="CZ981" t="s">
        <v>65</v>
      </c>
      <c r="DA981" t="s">
        <v>66</v>
      </c>
      <c r="DB981">
        <v>54</v>
      </c>
      <c r="DC981">
        <v>71.23</v>
      </c>
      <c r="DD981" t="s">
        <v>69</v>
      </c>
      <c r="DE981" t="s">
        <v>70</v>
      </c>
      <c r="DF981">
        <v>3846.42</v>
      </c>
    </row>
    <row r="982" spans="66:110" x14ac:dyDescent="0.25">
      <c r="BN982" s="1">
        <f t="shared" si="342"/>
        <v>43417</v>
      </c>
      <c r="BO982" s="2">
        <f>SUM(BO$2:BO472)+AI472*B472</f>
        <v>89914.999999999767</v>
      </c>
      <c r="BP982" s="2">
        <f>SUM(BP$2:BP472)+AJ472*C472</f>
        <v>39808.600000000006</v>
      </c>
      <c r="BQ982" s="2">
        <f>SUM(BQ$2:BQ472)+AK472*D472</f>
        <v>224050.59999999989</v>
      </c>
      <c r="BR982" s="2">
        <f>SUM(BR$2:BR472)+AL472*E472</f>
        <v>36212.999999999956</v>
      </c>
      <c r="BS982" s="2">
        <f>SUM(BS$2:BS472)+AM472*F472</f>
        <v>18877.400000000023</v>
      </c>
      <c r="BT982" s="2">
        <f>SUM(BT$2:BT472)+AN472*G472</f>
        <v>5897.2999999999593</v>
      </c>
      <c r="BU982" s="2">
        <f>SUM(BU$2:BU472)+AO472*H472</f>
        <v>16835.200000000012</v>
      </c>
      <c r="BV982" s="2">
        <f>SUM(BV$2:BV472)+AP472*I472</f>
        <v>-10309.900000000023</v>
      </c>
      <c r="BW982" s="2">
        <f>SUM(BW$2:BW472)+AQ472*J472</f>
        <v>-31100</v>
      </c>
      <c r="BX982" s="2">
        <f>SUM(BX$2:BX472)+AR472*K472</f>
        <v>13940</v>
      </c>
      <c r="BY982" s="2">
        <f>SUM(BY$2:BY472)+AS472*L472</f>
        <v>-5564.7000000000116</v>
      </c>
      <c r="BZ982" s="2">
        <f>SUM(BZ$2:BZ472)+AT472*M472</f>
        <v>740</v>
      </c>
      <c r="CA982" s="2">
        <f>SUM(CA$2:CA472)+AU472*N472</f>
        <v>12660</v>
      </c>
      <c r="CB982" s="2">
        <f>SUM(CB$2:CB472)+AV472*O472</f>
        <v>26740</v>
      </c>
      <c r="CC982" s="2">
        <f>SUM(CC$2:CC472)+AW472*P472</f>
        <v>-20</v>
      </c>
      <c r="CD982" s="2">
        <f>SUM(CD$2:CD472)+AX472*Q472</f>
        <v>14050</v>
      </c>
      <c r="CE982" s="2">
        <f>SUM(CE$2:CE472)+AY472*R472</f>
        <v>27020</v>
      </c>
      <c r="CF982" s="2">
        <f>SUM(CF$2:CF472)+AZ472*S472</f>
        <v>17727.489999999976</v>
      </c>
      <c r="CG982" s="2">
        <f>SUM(CG$2:CG472)+BA472*T472</f>
        <v>44868.47000000003</v>
      </c>
      <c r="CH982" s="2">
        <f>SUM(CH$2:CH472)+BB472*U472</f>
        <v>23132.010000000038</v>
      </c>
      <c r="CI982" s="2">
        <f>SUM(CI$2:CI472)+BC472*V472</f>
        <v>-16240</v>
      </c>
      <c r="CJ982" s="2">
        <f>SUM(CJ$2:CJ472)+BD472*W472</f>
        <v>-83560</v>
      </c>
      <c r="CK982" s="2">
        <f>SUM(CK$2:CK472)+BE472*X472</f>
        <v>55330</v>
      </c>
      <c r="CL982" s="2">
        <f>SUM(CL$2:CL472)+BF472*Y472</f>
        <v>349070</v>
      </c>
      <c r="CM982" s="2">
        <f>SUM(CM$2:CM472)+BG472*Z472</f>
        <v>150800</v>
      </c>
      <c r="CN982" s="2">
        <f>SUM(CN$2:CN472)+BH472*AA472</f>
        <v>178257.5</v>
      </c>
      <c r="CO982" s="2">
        <f>SUM(CO$2:CO472)+BI472*AB472</f>
        <v>26710</v>
      </c>
      <c r="CP982" s="2">
        <f>SUM(CP$2:CP472)+BJ472*AC472</f>
        <v>-14825</v>
      </c>
      <c r="CQ982" s="2">
        <f>SUM(CQ$2:CQ472)+BK472*AD472</f>
        <v>37000.000000000007</v>
      </c>
      <c r="CR982" s="2">
        <f>SUM(CR$2:CR472)+BL472*AE472</f>
        <v>-6010</v>
      </c>
      <c r="CV982" t="s">
        <v>64</v>
      </c>
      <c r="CW982" t="s">
        <v>1055</v>
      </c>
      <c r="CX982" t="s">
        <v>19</v>
      </c>
      <c r="CY982" s="4">
        <v>42976</v>
      </c>
      <c r="CZ982" t="s">
        <v>67</v>
      </c>
      <c r="DA982" t="s">
        <v>68</v>
      </c>
      <c r="DB982">
        <v>112</v>
      </c>
      <c r="DC982">
        <v>71.45</v>
      </c>
      <c r="DD982" t="s">
        <v>69</v>
      </c>
      <c r="DE982" t="s">
        <v>70</v>
      </c>
      <c r="DF982">
        <v>8002.4000000000005</v>
      </c>
    </row>
    <row r="983" spans="66:110" x14ac:dyDescent="0.25">
      <c r="BN983" s="1">
        <f t="shared" si="342"/>
        <v>43418</v>
      </c>
      <c r="BO983" s="2">
        <f>SUM(BO$2:BO473)+AI473*B473</f>
        <v>89914.999999999767</v>
      </c>
      <c r="BP983" s="2">
        <f>SUM(BP$2:BP473)+AJ473*C473</f>
        <v>39688.899999999994</v>
      </c>
      <c r="BQ983" s="2">
        <f>SUM(BQ$2:BQ473)+AK473*D473</f>
        <v>217719.7999999999</v>
      </c>
      <c r="BR983" s="2">
        <f>SUM(BR$2:BR473)+AL473*E473</f>
        <v>35082.499999999956</v>
      </c>
      <c r="BS983" s="2">
        <f>SUM(BS$2:BS473)+AM473*F473</f>
        <v>17840.000000000022</v>
      </c>
      <c r="BT983" s="2">
        <f>SUM(BT$2:BT473)+AN473*G473</f>
        <v>6376.0999999999476</v>
      </c>
      <c r="BU983" s="2">
        <f>SUM(BU$2:BU473)+AO473*H473</f>
        <v>17194.300000000017</v>
      </c>
      <c r="BV983" s="2">
        <f>SUM(BV$2:BV473)+AP473*I473</f>
        <v>-9692.800000000032</v>
      </c>
      <c r="BW983" s="2">
        <f>SUM(BW$2:BW473)+AQ473*J473</f>
        <v>-33650</v>
      </c>
      <c r="BX983" s="2">
        <f>SUM(BX$2:BX473)+AR473*K473</f>
        <v>13940</v>
      </c>
      <c r="BY983" s="2">
        <f>SUM(BY$2:BY473)+AS473*L473</f>
        <v>-5571.0000000000118</v>
      </c>
      <c r="BZ983" s="2">
        <f>SUM(BZ$2:BZ473)+AT473*M473</f>
        <v>740</v>
      </c>
      <c r="CA983" s="2">
        <f>SUM(CA$2:CA473)+AU473*N473</f>
        <v>12660</v>
      </c>
      <c r="CB983" s="2">
        <f>SUM(CB$2:CB473)+AV473*O473</f>
        <v>26740</v>
      </c>
      <c r="CC983" s="2">
        <f>SUM(CC$2:CC473)+AW473*P473</f>
        <v>-20</v>
      </c>
      <c r="CD983" s="2">
        <f>SUM(CD$2:CD473)+AX473*Q473</f>
        <v>14050</v>
      </c>
      <c r="CE983" s="2">
        <f>SUM(CE$2:CE473)+AY473*R473</f>
        <v>27020</v>
      </c>
      <c r="CF983" s="2">
        <f>SUM(CF$2:CF473)+AZ473*S473</f>
        <v>17188.249999999964</v>
      </c>
      <c r="CG983" s="2">
        <f>SUM(CG$2:CG473)+BA473*T473</f>
        <v>43329.780000000021</v>
      </c>
      <c r="CH983" s="2">
        <f>SUM(CH$2:CH473)+BB473*U473</f>
        <v>23132.010000000038</v>
      </c>
      <c r="CI983" s="2">
        <f>SUM(CI$2:CI473)+BC473*V473</f>
        <v>-15040</v>
      </c>
      <c r="CJ983" s="2">
        <f>SUM(CJ$2:CJ473)+BD473*W473</f>
        <v>-83710</v>
      </c>
      <c r="CK983" s="2">
        <f>SUM(CK$2:CK473)+BE473*X473</f>
        <v>36580</v>
      </c>
      <c r="CL983" s="2">
        <f>SUM(CL$2:CL473)+BF473*Y473</f>
        <v>327870</v>
      </c>
      <c r="CM983" s="2">
        <f>SUM(CM$2:CM473)+BG473*Z473</f>
        <v>149650</v>
      </c>
      <c r="CN983" s="2">
        <f>SUM(CN$2:CN473)+BH473*AA473</f>
        <v>177682.5</v>
      </c>
      <c r="CO983" s="2">
        <f>SUM(CO$2:CO473)+BI473*AB473</f>
        <v>27550</v>
      </c>
      <c r="CP983" s="2">
        <f>SUM(CP$2:CP473)+BJ473*AC473</f>
        <v>-14025</v>
      </c>
      <c r="CQ983" s="2">
        <f>SUM(CQ$2:CQ473)+BK473*AD473</f>
        <v>35600.000000000007</v>
      </c>
      <c r="CR983" s="2">
        <f>SUM(CR$2:CR473)+BL473*AE473</f>
        <v>-6610</v>
      </c>
      <c r="CV983" t="s">
        <v>64</v>
      </c>
      <c r="CW983" t="s">
        <v>1056</v>
      </c>
      <c r="CX983" t="s">
        <v>19</v>
      </c>
      <c r="CY983" s="4">
        <v>42977</v>
      </c>
      <c r="CZ983" t="s">
        <v>65</v>
      </c>
      <c r="DA983" t="s">
        <v>66</v>
      </c>
      <c r="DB983">
        <v>5</v>
      </c>
      <c r="DC983">
        <v>72.39</v>
      </c>
      <c r="DD983" t="s">
        <v>69</v>
      </c>
      <c r="DE983" t="s">
        <v>70</v>
      </c>
      <c r="DF983">
        <v>361.95</v>
      </c>
    </row>
    <row r="984" spans="66:110" x14ac:dyDescent="0.25">
      <c r="BN984" s="1">
        <f t="shared" si="342"/>
        <v>43419</v>
      </c>
      <c r="BO984" s="2">
        <f>SUM(BO$2:BO474)+AI474*B474</f>
        <v>66964.999999999767</v>
      </c>
      <c r="BP984" s="2">
        <f>SUM(BP$2:BP474)+AJ474*C474</f>
        <v>42109.5</v>
      </c>
      <c r="BQ984" s="2">
        <f>SUM(BQ$2:BQ474)+AK474*D474</f>
        <v>213543.59999999995</v>
      </c>
      <c r="BR984" s="2">
        <f>SUM(BR$2:BR474)+AL474*E474</f>
        <v>40788.199999999968</v>
      </c>
      <c r="BS984" s="2">
        <f>SUM(BS$2:BS474)+AM474*F474</f>
        <v>21058.600000000013</v>
      </c>
      <c r="BT984" s="2">
        <f>SUM(BT$2:BT474)+AN474*G474</f>
        <v>9474.9999999999709</v>
      </c>
      <c r="BU984" s="2">
        <f>SUM(BU$2:BU474)+AO474*H474</f>
        <v>17181</v>
      </c>
      <c r="BV984" s="2">
        <f>SUM(BV$2:BV474)+AP474*I474</f>
        <v>-8797.4000000000233</v>
      </c>
      <c r="BW984" s="2">
        <f>SUM(BW$2:BW474)+AQ474*J474</f>
        <v>-32400</v>
      </c>
      <c r="BX984" s="2">
        <f>SUM(BX$2:BX474)+AR474*K474</f>
        <v>13940</v>
      </c>
      <c r="BY984" s="2">
        <f>SUM(BY$2:BY474)+AS474*L474</f>
        <v>-5558.800000000012</v>
      </c>
      <c r="BZ984" s="2">
        <f>SUM(BZ$2:BZ474)+AT474*M474</f>
        <v>740</v>
      </c>
      <c r="CA984" s="2">
        <f>SUM(CA$2:CA474)+AU474*N474</f>
        <v>12660</v>
      </c>
      <c r="CB984" s="2">
        <f>SUM(CB$2:CB474)+AV474*O474</f>
        <v>26740</v>
      </c>
      <c r="CC984" s="2">
        <f>SUM(CC$2:CC474)+AW474*P474</f>
        <v>-20</v>
      </c>
      <c r="CD984" s="2">
        <f>SUM(CD$2:CD474)+AX474*Q474</f>
        <v>14050</v>
      </c>
      <c r="CE984" s="2">
        <f>SUM(CE$2:CE474)+AY474*R474</f>
        <v>27020</v>
      </c>
      <c r="CF984" s="2">
        <f>SUM(CF$2:CF474)+AZ474*S474</f>
        <v>17924.749999999971</v>
      </c>
      <c r="CG984" s="2">
        <f>SUM(CG$2:CG474)+BA474*T474</f>
        <v>45667.500000000022</v>
      </c>
      <c r="CH984" s="2">
        <f>SUM(CH$2:CH474)+BB474*U474</f>
        <v>22263.750000000029</v>
      </c>
      <c r="CI984" s="2">
        <f>SUM(CI$2:CI474)+BC474*V474</f>
        <v>-15640</v>
      </c>
      <c r="CJ984" s="2">
        <f>SUM(CJ$2:CJ474)+BD474*W474</f>
        <v>-86185</v>
      </c>
      <c r="CK984" s="2">
        <f>SUM(CK$2:CK474)+BE474*X474</f>
        <v>49280</v>
      </c>
      <c r="CL984" s="2">
        <f>SUM(CL$2:CL474)+BF474*Y474</f>
        <v>327770</v>
      </c>
      <c r="CM984" s="2">
        <f>SUM(CM$2:CM474)+BG474*Z474</f>
        <v>157450</v>
      </c>
      <c r="CN984" s="2">
        <f>SUM(CN$2:CN474)+BH474*AA474</f>
        <v>184157.5</v>
      </c>
      <c r="CO984" s="2">
        <f>SUM(CO$2:CO474)+BI474*AB474</f>
        <v>27970</v>
      </c>
      <c r="CP984" s="2">
        <f>SUM(CP$2:CP474)+BJ474*AC474</f>
        <v>-15565</v>
      </c>
      <c r="CQ984" s="2">
        <f>SUM(CQ$2:CQ474)+BK474*AD474</f>
        <v>33620.000000000007</v>
      </c>
      <c r="CR984" s="2">
        <f>SUM(CR$2:CR474)+BL474*AE474</f>
        <v>-5820</v>
      </c>
      <c r="CV984" t="s">
        <v>64</v>
      </c>
      <c r="CW984" t="s">
        <v>1057</v>
      </c>
      <c r="CX984" t="s">
        <v>19</v>
      </c>
      <c r="CY984" s="4">
        <v>42978</v>
      </c>
      <c r="CZ984" t="s">
        <v>67</v>
      </c>
      <c r="DA984" t="s">
        <v>68</v>
      </c>
      <c r="DB984">
        <v>5</v>
      </c>
      <c r="DC984">
        <v>73.13</v>
      </c>
      <c r="DD984" t="s">
        <v>69</v>
      </c>
      <c r="DE984" t="s">
        <v>70</v>
      </c>
      <c r="DF984">
        <v>365.65</v>
      </c>
    </row>
    <row r="985" spans="66:110" x14ac:dyDescent="0.25">
      <c r="BN985" s="1">
        <f t="shared" si="342"/>
        <v>43420</v>
      </c>
      <c r="BO985" s="2">
        <f>SUM(BO$2:BO475)+AI475*B475</f>
        <v>56414.999999999767</v>
      </c>
      <c r="BP985" s="2">
        <f>SUM(BP$2:BP475)+AJ475*C475</f>
        <v>41923.300000000017</v>
      </c>
      <c r="BQ985" s="2">
        <f>SUM(BQ$2:BQ475)+AK475*D475</f>
        <v>206108.89999999988</v>
      </c>
      <c r="BR985" s="2">
        <f>SUM(BR$2:BR475)+AL475*E475</f>
        <v>41506.399999999951</v>
      </c>
      <c r="BS985" s="2">
        <f>SUM(BS$2:BS475)+AM475*F475</f>
        <v>20500.000000000022</v>
      </c>
      <c r="BT985" s="2">
        <f>SUM(BT$2:BT475)+AN475*G475</f>
        <v>12254.699999999953</v>
      </c>
      <c r="BU985" s="2">
        <f>SUM(BU$2:BU475)+AO475*H475</f>
        <v>15970.700000000012</v>
      </c>
      <c r="BV985" s="2">
        <f>SUM(BV$2:BV475)+AP475*I475</f>
        <v>-8240.800000000032</v>
      </c>
      <c r="BW985" s="2">
        <f>SUM(BW$2:BW475)+AQ475*J475</f>
        <v>-34020</v>
      </c>
      <c r="BX985" s="2">
        <f>SUM(BX$2:BX475)+AR475*K475</f>
        <v>13940</v>
      </c>
      <c r="BY985" s="2">
        <f>SUM(BY$2:BY475)+AS475*L475</f>
        <v>-5557.5000000000118</v>
      </c>
      <c r="BZ985" s="2">
        <f>SUM(BZ$2:BZ475)+AT475*M475</f>
        <v>740</v>
      </c>
      <c r="CA985" s="2">
        <f>SUM(CA$2:CA475)+AU475*N475</f>
        <v>12660</v>
      </c>
      <c r="CB985" s="2">
        <f>SUM(CB$2:CB475)+AV475*O475</f>
        <v>26740</v>
      </c>
      <c r="CC985" s="2">
        <f>SUM(CC$2:CC475)+AW475*P475</f>
        <v>-20</v>
      </c>
      <c r="CD985" s="2">
        <f>SUM(CD$2:CD475)+AX475*Q475</f>
        <v>14050</v>
      </c>
      <c r="CE985" s="2">
        <f>SUM(CE$2:CE475)+AY475*R475</f>
        <v>27020</v>
      </c>
      <c r="CF985" s="2">
        <f>SUM(CF$2:CF475)+AZ475*S475</f>
        <v>19169.839999999967</v>
      </c>
      <c r="CG985" s="2">
        <f>SUM(CG$2:CG475)+BA475*T475</f>
        <v>46686.590000000033</v>
      </c>
      <c r="CH985" s="2">
        <f>SUM(CH$2:CH475)+BB475*U475</f>
        <v>22694.250000000029</v>
      </c>
      <c r="CI985" s="2">
        <f>SUM(CI$2:CI475)+BC475*V475</f>
        <v>-16220</v>
      </c>
      <c r="CJ985" s="2">
        <f>SUM(CJ$2:CJ475)+BD475*W475</f>
        <v>-86110</v>
      </c>
      <c r="CK985" s="2">
        <f>SUM(CK$2:CK475)+BE475*X475</f>
        <v>65080</v>
      </c>
      <c r="CL985" s="2">
        <f>SUM(CL$2:CL475)+BF475*Y475</f>
        <v>358520</v>
      </c>
      <c r="CM985" s="2">
        <f>SUM(CM$2:CM475)+BG475*Z475</f>
        <v>159450.00000000012</v>
      </c>
      <c r="CN985" s="2">
        <f>SUM(CN$2:CN475)+BH475*AA475</f>
        <v>180032.5</v>
      </c>
      <c r="CO985" s="2">
        <f>SUM(CO$2:CO475)+BI475*AB475</f>
        <v>31330</v>
      </c>
      <c r="CP985" s="2">
        <f>SUM(CP$2:CP475)+BJ475*AC475</f>
        <v>-16025</v>
      </c>
      <c r="CQ985" s="2">
        <f>SUM(CQ$2:CQ475)+BK475*AD475</f>
        <v>31780.000000000007</v>
      </c>
      <c r="CR985" s="2">
        <f>SUM(CR$2:CR475)+BL475*AE475</f>
        <v>-5060</v>
      </c>
      <c r="CV985" t="s">
        <v>64</v>
      </c>
      <c r="CW985" t="s">
        <v>1058</v>
      </c>
      <c r="CX985" t="s">
        <v>19</v>
      </c>
      <c r="CY985" s="4">
        <v>42979</v>
      </c>
      <c r="CZ985" t="s">
        <v>65</v>
      </c>
      <c r="DA985" t="s">
        <v>66</v>
      </c>
      <c r="DB985">
        <v>40</v>
      </c>
      <c r="DC985">
        <v>72.319999999999993</v>
      </c>
      <c r="DD985" t="s">
        <v>69</v>
      </c>
      <c r="DE985" t="s">
        <v>70</v>
      </c>
      <c r="DF985">
        <v>2892.7999999999997</v>
      </c>
    </row>
    <row r="986" spans="66:110" x14ac:dyDescent="0.25">
      <c r="BN986" s="1">
        <f t="shared" si="342"/>
        <v>43423</v>
      </c>
      <c r="BO986" s="2">
        <f>SUM(BO$2:BO476)+AI476*B476</f>
        <v>94564.999999999767</v>
      </c>
      <c r="BP986" s="2">
        <f>SUM(BP$2:BP476)+AJ476*C476</f>
        <v>40327.300000000017</v>
      </c>
      <c r="BQ986" s="2">
        <f>SUM(BQ$2:BQ476)+AK476*D476</f>
        <v>186251.99999999985</v>
      </c>
      <c r="BR986" s="2">
        <f>SUM(BR$2:BR476)+AL476*E476</f>
        <v>36239.599999999962</v>
      </c>
      <c r="BS986" s="2">
        <f>SUM(BS$2:BS476)+AM476*F476</f>
        <v>19715.300000000017</v>
      </c>
      <c r="BT986" s="2">
        <f>SUM(BT$2:BT476)+AN476*G476</f>
        <v>12720.199999999953</v>
      </c>
      <c r="BU986" s="2">
        <f>SUM(BU$2:BU476)+AO476*H476</f>
        <v>14946.600000000006</v>
      </c>
      <c r="BV986" s="2">
        <f>SUM(BV$2:BV476)+AP476*I476</f>
        <v>-9910.6000000000349</v>
      </c>
      <c r="BW986" s="2">
        <f>SUM(BW$2:BW476)+AQ476*J476</f>
        <v>-37900</v>
      </c>
      <c r="BX986" s="2">
        <f>SUM(BX$2:BX476)+AR476*K476</f>
        <v>13940</v>
      </c>
      <c r="BY986" s="2">
        <f>SUM(BY$2:BY476)+AS476*L476</f>
        <v>-5570.0000000000118</v>
      </c>
      <c r="BZ986" s="2">
        <f>SUM(BZ$2:BZ476)+AT476*M476</f>
        <v>740</v>
      </c>
      <c r="CA986" s="2">
        <f>SUM(CA$2:CA476)+AU476*N476</f>
        <v>12660</v>
      </c>
      <c r="CB986" s="2">
        <f>SUM(CB$2:CB476)+AV476*O476</f>
        <v>26740</v>
      </c>
      <c r="CC986" s="2">
        <f>SUM(CC$2:CC476)+AW476*P476</f>
        <v>-20</v>
      </c>
      <c r="CD986" s="2">
        <f>SUM(CD$2:CD476)+AX476*Q476</f>
        <v>14050</v>
      </c>
      <c r="CE986" s="2">
        <f>SUM(CE$2:CE476)+AY476*R476</f>
        <v>27020</v>
      </c>
      <c r="CF986" s="2">
        <f>SUM(CF$2:CF476)+AZ476*S476</f>
        <v>19460.709999999963</v>
      </c>
      <c r="CG986" s="2">
        <f>SUM(CG$2:CG476)+BA476*T476</f>
        <v>43023.930000000022</v>
      </c>
      <c r="CH986" s="2">
        <f>SUM(CH$2:CH476)+BB476*U476</f>
        <v>20570.440000000024</v>
      </c>
      <c r="CI986" s="2">
        <f>SUM(CI$2:CI476)+BC476*V476</f>
        <v>-17560</v>
      </c>
      <c r="CJ986" s="2">
        <f>SUM(CJ$2:CJ476)+BD476*W476</f>
        <v>-82210</v>
      </c>
      <c r="CK986" s="2">
        <f>SUM(CK$2:CK476)+BE476*X476</f>
        <v>73780</v>
      </c>
      <c r="CL986" s="2">
        <f>SUM(CL$2:CL476)+BF476*Y476</f>
        <v>333270</v>
      </c>
      <c r="CM986" s="2">
        <f>SUM(CM$2:CM476)+BG476*Z476</f>
        <v>148100</v>
      </c>
      <c r="CN986" s="2">
        <f>SUM(CN$2:CN476)+BH476*AA476</f>
        <v>166507.5</v>
      </c>
      <c r="CO986" s="2">
        <f>SUM(CO$2:CO476)+BI476*AB476</f>
        <v>32530</v>
      </c>
      <c r="CP986" s="2">
        <f>SUM(CP$2:CP476)+BJ476*AC476</f>
        <v>-14825</v>
      </c>
      <c r="CQ986" s="2">
        <f>SUM(CQ$2:CQ476)+BK476*AD476</f>
        <v>30870.000000000007</v>
      </c>
      <c r="CR986" s="2">
        <f>SUM(CR$2:CR476)+BL476*AE476</f>
        <v>-4800</v>
      </c>
      <c r="CV986" t="s">
        <v>64</v>
      </c>
      <c r="CW986" t="s">
        <v>1059</v>
      </c>
      <c r="CX986" t="s">
        <v>19</v>
      </c>
      <c r="CY986" s="4">
        <v>42983</v>
      </c>
      <c r="CZ986" t="s">
        <v>67</v>
      </c>
      <c r="DA986" t="s">
        <v>68</v>
      </c>
      <c r="DB986">
        <v>23</v>
      </c>
      <c r="DC986">
        <v>72</v>
      </c>
      <c r="DD986" t="s">
        <v>69</v>
      </c>
      <c r="DE986" t="s">
        <v>70</v>
      </c>
      <c r="DF986">
        <v>1656</v>
      </c>
    </row>
    <row r="987" spans="66:110" x14ac:dyDescent="0.25">
      <c r="BN987" s="1">
        <f t="shared" si="342"/>
        <v>43424</v>
      </c>
      <c r="BO987" s="2">
        <f>SUM(BO$2:BO477)+AI477*B477</f>
        <v>94564.999999999767</v>
      </c>
      <c r="BP987" s="2">
        <f>SUM(BP$2:BP477)+AJ477*C477</f>
        <v>37467.799999999988</v>
      </c>
      <c r="BQ987" s="2">
        <f>SUM(BQ$2:BQ477)+AK477*D477</f>
        <v>181956.09999999995</v>
      </c>
      <c r="BR987" s="2">
        <f>SUM(BR$2:BR477)+AL477*E477</f>
        <v>31345.199999999939</v>
      </c>
      <c r="BS987" s="2">
        <f>SUM(BS$2:BS477)+AM477*F477</f>
        <v>18052.800000000017</v>
      </c>
      <c r="BT987" s="2">
        <f>SUM(BT$2:BT477)+AN477*G477</f>
        <v>8344.4999999999418</v>
      </c>
      <c r="BU987" s="2">
        <f>SUM(BU$2:BU477)+AO477*H477</f>
        <v>10265.000000000029</v>
      </c>
      <c r="BV987" s="2">
        <f>SUM(BV$2:BV477)+AP477*I477</f>
        <v>-11628.800000000032</v>
      </c>
      <c r="BW987" s="2">
        <f>SUM(BW$2:BW477)+AQ477*J477</f>
        <v>-44750</v>
      </c>
      <c r="BX987" s="2">
        <f>SUM(BX$2:BX477)+AR477*K477</f>
        <v>13940</v>
      </c>
      <c r="BY987" s="2">
        <f>SUM(BY$2:BY477)+AS477*L477</f>
        <v>-5600.7000000000116</v>
      </c>
      <c r="BZ987" s="2">
        <f>SUM(BZ$2:BZ477)+AT477*M477</f>
        <v>740</v>
      </c>
      <c r="CA987" s="2">
        <f>SUM(CA$2:CA477)+AU477*N477</f>
        <v>12660</v>
      </c>
      <c r="CB987" s="2">
        <f>SUM(CB$2:CB477)+AV477*O477</f>
        <v>26740</v>
      </c>
      <c r="CC987" s="2">
        <f>SUM(CC$2:CC477)+AW477*P477</f>
        <v>-20</v>
      </c>
      <c r="CD987" s="2">
        <f>SUM(CD$2:CD477)+AX477*Q477</f>
        <v>14050</v>
      </c>
      <c r="CE987" s="2">
        <f>SUM(CE$2:CE477)+AY477*R477</f>
        <v>27020</v>
      </c>
      <c r="CF987" s="2">
        <f>SUM(CF$2:CF477)+AZ477*S477</f>
        <v>17866.38999999997</v>
      </c>
      <c r="CG987" s="2">
        <f>SUM(CG$2:CG477)+BA477*T477</f>
        <v>40387.470000000016</v>
      </c>
      <c r="CH987" s="2">
        <f>SUM(CH$2:CH477)+BB477*U477</f>
        <v>19283.840000000018</v>
      </c>
      <c r="CI987" s="2">
        <f>SUM(CI$2:CI477)+BC477*V477</f>
        <v>-16260</v>
      </c>
      <c r="CJ987" s="2">
        <f>SUM(CJ$2:CJ477)+BD477*W477</f>
        <v>-73360</v>
      </c>
      <c r="CK987" s="2">
        <f>SUM(CK$2:CK477)+BE477*X477</f>
        <v>63080</v>
      </c>
      <c r="CL987" s="2">
        <f>SUM(CL$2:CL477)+BF477*Y477</f>
        <v>310620</v>
      </c>
      <c r="CM987" s="2">
        <f>SUM(CM$2:CM477)+BG477*Z477</f>
        <v>138950</v>
      </c>
      <c r="CN987" s="2">
        <f>SUM(CN$2:CN477)+BH477*AA477</f>
        <v>163032.49999999994</v>
      </c>
      <c r="CO987" s="2">
        <f>SUM(CO$2:CO477)+BI477*AB477</f>
        <v>29110</v>
      </c>
      <c r="CP987" s="2">
        <f>SUM(CP$2:CP477)+BJ477*AC477</f>
        <v>-10605</v>
      </c>
      <c r="CQ987" s="2">
        <f>SUM(CQ$2:CQ477)+BK477*AD477</f>
        <v>28270.000000000007</v>
      </c>
      <c r="CR987" s="2">
        <f>SUM(CR$2:CR477)+BL477*AE477</f>
        <v>-7030</v>
      </c>
      <c r="CV987" t="s">
        <v>64</v>
      </c>
      <c r="CW987" t="s">
        <v>1060</v>
      </c>
      <c r="CX987" t="s">
        <v>19</v>
      </c>
      <c r="CY987" s="4">
        <v>42984</v>
      </c>
      <c r="CZ987" t="s">
        <v>67</v>
      </c>
      <c r="DA987" t="s">
        <v>68</v>
      </c>
      <c r="DB987">
        <v>3</v>
      </c>
      <c r="DC987">
        <v>71.790000000000006</v>
      </c>
      <c r="DD987" t="s">
        <v>69</v>
      </c>
      <c r="DE987" t="s">
        <v>70</v>
      </c>
      <c r="DF987">
        <v>215.37</v>
      </c>
    </row>
    <row r="988" spans="66:110" x14ac:dyDescent="0.25">
      <c r="BN988" s="1">
        <f t="shared" si="342"/>
        <v>43425</v>
      </c>
      <c r="BO988" s="2">
        <f>SUM(BO$2:BO478)+AI478*B478</f>
        <v>94564.999999999767</v>
      </c>
      <c r="BP988" s="2">
        <f>SUM(BP$2:BP478)+AJ478*C478</f>
        <v>38013.099999999991</v>
      </c>
      <c r="BQ988" s="2">
        <f>SUM(BQ$2:BQ478)+AK478*D478</f>
        <v>181450.69999999992</v>
      </c>
      <c r="BR988" s="2">
        <f>SUM(BR$2:BR478)+AL478*E478</f>
        <v>33459.899999999965</v>
      </c>
      <c r="BS988" s="2">
        <f>SUM(BS$2:BS478)+AM478*F478</f>
        <v>18584.80000000001</v>
      </c>
      <c r="BT988" s="2">
        <f>SUM(BT$2:BT478)+AN478*G478</f>
        <v>10286.299999999959</v>
      </c>
      <c r="BU988" s="2">
        <f>SUM(BU$2:BU478)+AO478*H478</f>
        <v>11794.5</v>
      </c>
      <c r="BV988" s="2">
        <f>SUM(BV$2:BV478)+AP478*I478</f>
        <v>-10914.900000000023</v>
      </c>
      <c r="BW988" s="2">
        <f>SUM(BW$2:BW478)+AQ478*J478</f>
        <v>-43500</v>
      </c>
      <c r="BX988" s="2">
        <f>SUM(BX$2:BX478)+AR478*K478</f>
        <v>13940</v>
      </c>
      <c r="BY988" s="2">
        <f>SUM(BY$2:BY478)+AS478*L478</f>
        <v>-5587.2000000000116</v>
      </c>
      <c r="BZ988" s="2">
        <f>SUM(BZ$2:BZ478)+AT478*M478</f>
        <v>740</v>
      </c>
      <c r="CA988" s="2">
        <f>SUM(CA$2:CA478)+AU478*N478</f>
        <v>12660</v>
      </c>
      <c r="CB988" s="2">
        <f>SUM(CB$2:CB478)+AV478*O478</f>
        <v>26740</v>
      </c>
      <c r="CC988" s="2">
        <f>SUM(CC$2:CC478)+AW478*P478</f>
        <v>-20</v>
      </c>
      <c r="CD988" s="2">
        <f>SUM(CD$2:CD478)+AX478*Q478</f>
        <v>14050</v>
      </c>
      <c r="CE988" s="2">
        <f>SUM(CE$2:CE478)+AY478*R478</f>
        <v>27020</v>
      </c>
      <c r="CF988" s="2">
        <f>SUM(CF$2:CF478)+AZ478*S478</f>
        <v>17876.109999999964</v>
      </c>
      <c r="CG988" s="2">
        <f>SUM(CG$2:CG478)+BA478*T478</f>
        <v>41828.070000000022</v>
      </c>
      <c r="CH988" s="2">
        <f>SUM(CH$2:CH478)+BB478*U478</f>
        <v>20573.840000000018</v>
      </c>
      <c r="CI988" s="2">
        <f>SUM(CI$2:CI478)+BC478*V478</f>
        <v>-14999.999999999985</v>
      </c>
      <c r="CJ988" s="2">
        <f>SUM(CJ$2:CJ478)+BD478*W478</f>
        <v>-68185</v>
      </c>
      <c r="CK988" s="2">
        <f>SUM(CK$2:CK478)+BE478*X478</f>
        <v>60080</v>
      </c>
      <c r="CL988" s="2">
        <f>SUM(CL$2:CL478)+BF478*Y478</f>
        <v>305870.00000000023</v>
      </c>
      <c r="CM988" s="2">
        <f>SUM(CM$2:CM478)+BG478*Z478</f>
        <v>137500</v>
      </c>
      <c r="CN988" s="2">
        <f>SUM(CN$2:CN478)+BH478*AA478</f>
        <v>165657.5</v>
      </c>
      <c r="CO988" s="2">
        <f>SUM(CO$2:CO478)+BI478*AB478</f>
        <v>28210</v>
      </c>
      <c r="CP988" s="2">
        <f>SUM(CP$2:CP478)+BJ478*AC478</f>
        <v>-10545</v>
      </c>
      <c r="CQ988" s="2">
        <f>SUM(CQ$2:CQ478)+BK478*AD478</f>
        <v>28280.000000000007</v>
      </c>
      <c r="CR988" s="2">
        <f>SUM(CR$2:CR478)+BL478*AE478</f>
        <v>-6440</v>
      </c>
      <c r="CV988" t="s">
        <v>64</v>
      </c>
      <c r="CW988" t="s">
        <v>1061</v>
      </c>
      <c r="CX988" t="s">
        <v>19</v>
      </c>
      <c r="CY988" s="4">
        <v>42985</v>
      </c>
      <c r="CZ988" t="s">
        <v>65</v>
      </c>
      <c r="DA988" t="s">
        <v>66</v>
      </c>
      <c r="DB988">
        <v>8</v>
      </c>
      <c r="DC988">
        <v>72.709999999999994</v>
      </c>
      <c r="DD988" t="s">
        <v>69</v>
      </c>
      <c r="DE988" t="s">
        <v>70</v>
      </c>
      <c r="DF988">
        <v>581.67999999999995</v>
      </c>
    </row>
    <row r="989" spans="66:110" x14ac:dyDescent="0.25">
      <c r="BN989" s="1">
        <f t="shared" si="342"/>
        <v>43427</v>
      </c>
      <c r="BO989" s="2">
        <f>SUM(BO$2:BO479)+AI479*B479</f>
        <v>94564.999999999767</v>
      </c>
      <c r="BP989" s="2">
        <f>SUM(BP$2:BP479)+AJ479*C479</f>
        <v>36994.699999999997</v>
      </c>
      <c r="BQ989" s="2">
        <f>SUM(BQ$2:BQ479)+AK479*D479</f>
        <v>174790.89999999988</v>
      </c>
      <c r="BR989" s="2">
        <f>SUM(BR$2:BR479)+AL479*E479</f>
        <v>31396.299999999959</v>
      </c>
      <c r="BS989" s="2">
        <f>SUM(BS$2:BS479)+AM479*F479</f>
        <v>18115.800000000025</v>
      </c>
      <c r="BT989" s="2">
        <f>SUM(BT$2:BT479)+AN479*G479</f>
        <v>5020.0999999999476</v>
      </c>
      <c r="BU989" s="2">
        <f>SUM(BU$2:BU479)+AO479*H479</f>
        <v>10534.899999999994</v>
      </c>
      <c r="BV989" s="2">
        <f>SUM(BV$2:BV479)+AP479*I479</f>
        <v>-11561.500000000029</v>
      </c>
      <c r="BW989" s="2">
        <f>SUM(BW$2:BW479)+AQ479*J479</f>
        <v>-46980</v>
      </c>
      <c r="BX989" s="2">
        <f>SUM(BX$2:BX479)+AR479*K479</f>
        <v>13940</v>
      </c>
      <c r="BY989" s="2">
        <f>SUM(BY$2:BY479)+AS479*L479</f>
        <v>-5600.800000000012</v>
      </c>
      <c r="BZ989" s="2">
        <f>SUM(BZ$2:BZ479)+AT479*M479</f>
        <v>740</v>
      </c>
      <c r="CA989" s="2">
        <f>SUM(CA$2:CA479)+AU479*N479</f>
        <v>12660</v>
      </c>
      <c r="CB989" s="2">
        <f>SUM(CB$2:CB479)+AV479*O479</f>
        <v>26740</v>
      </c>
      <c r="CC989" s="2">
        <f>SUM(CC$2:CC479)+AW479*P479</f>
        <v>-20</v>
      </c>
      <c r="CD989" s="2">
        <f>SUM(CD$2:CD479)+AX479*Q479</f>
        <v>14050</v>
      </c>
      <c r="CE989" s="2">
        <f>SUM(CE$2:CE479)+AY479*R479</f>
        <v>27020</v>
      </c>
      <c r="CF989" s="2">
        <f>SUM(CF$2:CF479)+AZ479*S479</f>
        <v>17755.869999999981</v>
      </c>
      <c r="CG989" s="2">
        <f>SUM(CG$2:CG479)+BA479*T479</f>
        <v>41790.110000000022</v>
      </c>
      <c r="CH989" s="2">
        <f>SUM(CH$2:CH479)+BB479*U479</f>
        <v>19702.640000000029</v>
      </c>
      <c r="CI989" s="2">
        <f>SUM(CI$2:CI479)+BC479*V479</f>
        <v>-15120.000000000015</v>
      </c>
      <c r="CJ989" s="2">
        <f>SUM(CJ$2:CJ479)+BD479*W479</f>
        <v>-69160</v>
      </c>
      <c r="CK989" s="2">
        <f>SUM(CK$2:CK479)+BE479*X479</f>
        <v>54280</v>
      </c>
      <c r="CL989" s="2">
        <f>SUM(CL$2:CL479)+BF479*Y479</f>
        <v>311220</v>
      </c>
      <c r="CM989" s="2">
        <f>SUM(CM$2:CM479)+BG479*Z479</f>
        <v>154050</v>
      </c>
      <c r="CN989" s="2">
        <f>SUM(CN$2:CN479)+BH479*AA479</f>
        <v>161782.49999999994</v>
      </c>
      <c r="CO989" s="2">
        <f>SUM(CO$2:CO479)+BI479*AB479</f>
        <v>26650</v>
      </c>
      <c r="CP989" s="2">
        <f>SUM(CP$2:CP479)+BJ479*AC479</f>
        <v>-12625</v>
      </c>
      <c r="CQ989" s="2">
        <f>SUM(CQ$2:CQ479)+BK479*AD479</f>
        <v>29200.000000000007</v>
      </c>
      <c r="CR989" s="2">
        <f>SUM(CR$2:CR479)+BL479*AE479</f>
        <v>-8490</v>
      </c>
      <c r="CV989" t="s">
        <v>64</v>
      </c>
      <c r="CW989" t="s">
        <v>1062</v>
      </c>
      <c r="CX989" t="s">
        <v>19</v>
      </c>
      <c r="CY989" s="4">
        <v>42986</v>
      </c>
      <c r="CZ989" t="s">
        <v>65</v>
      </c>
      <c r="DA989" t="s">
        <v>66</v>
      </c>
      <c r="DB989">
        <v>42</v>
      </c>
      <c r="DC989">
        <v>72.36</v>
      </c>
      <c r="DD989" t="s">
        <v>69</v>
      </c>
      <c r="DE989" t="s">
        <v>70</v>
      </c>
      <c r="DF989">
        <v>3039.12</v>
      </c>
    </row>
    <row r="990" spans="66:110" x14ac:dyDescent="0.25">
      <c r="BN990" s="1">
        <f t="shared" si="342"/>
        <v>43430</v>
      </c>
      <c r="BO990" s="2">
        <f>SUM(BO$2:BO480)+AI480*B480</f>
        <v>94564.999999999767</v>
      </c>
      <c r="BP990" s="2">
        <f>SUM(BP$2:BP480)+AJ480*C480</f>
        <v>42247.500000000015</v>
      </c>
      <c r="BQ990" s="2">
        <f>SUM(BQ$2:BQ480)+AK480*D480</f>
        <v>180177.69999999987</v>
      </c>
      <c r="BR990" s="2">
        <f>SUM(BR$2:BR480)+AL480*E480</f>
        <v>34692.699999999953</v>
      </c>
      <c r="BS990" s="2">
        <f>SUM(BS$2:BS480)+AM480*F480</f>
        <v>19482.600000000013</v>
      </c>
      <c r="BT990" s="2">
        <f>SUM(BT$2:BT480)+AN480*G480</f>
        <v>6855.8999999999651</v>
      </c>
      <c r="BU990" s="2">
        <f>SUM(BU$2:BU480)+AO480*H480</f>
        <v>11151.300000000017</v>
      </c>
      <c r="BV990" s="2">
        <f>SUM(BV$2:BV480)+AP480*I480</f>
        <v>-10073.10000000002</v>
      </c>
      <c r="BW990" s="2">
        <f>SUM(BW$2:BW480)+AQ480*J480</f>
        <v>-41760</v>
      </c>
      <c r="BX990" s="2">
        <f>SUM(BX$2:BX480)+AR480*K480</f>
        <v>13940</v>
      </c>
      <c r="BY990" s="2">
        <f>SUM(BY$2:BY480)+AS480*L480</f>
        <v>-5577.4000000000115</v>
      </c>
      <c r="BZ990" s="2">
        <f>SUM(BZ$2:BZ480)+AT480*M480</f>
        <v>740</v>
      </c>
      <c r="CA990" s="2">
        <f>SUM(CA$2:CA480)+AU480*N480</f>
        <v>12660</v>
      </c>
      <c r="CB990" s="2">
        <f>SUM(CB$2:CB480)+AV480*O480</f>
        <v>26740</v>
      </c>
      <c r="CC990" s="2">
        <f>SUM(CC$2:CC480)+AW480*P480</f>
        <v>-20</v>
      </c>
      <c r="CD990" s="2">
        <f>SUM(CD$2:CD480)+AX480*Q480</f>
        <v>14050</v>
      </c>
      <c r="CE990" s="2">
        <f>SUM(CE$2:CE480)+AY480*R480</f>
        <v>27020</v>
      </c>
      <c r="CF990" s="2">
        <f>SUM(CF$2:CF480)+AZ480*S480</f>
        <v>18505.229999999967</v>
      </c>
      <c r="CG990" s="2">
        <f>SUM(CG$2:CG480)+BA480*T480</f>
        <v>45139.11000000003</v>
      </c>
      <c r="CH990" s="2">
        <f>SUM(CH$2:CH480)+BB480*U480</f>
        <v>20923.530000000021</v>
      </c>
      <c r="CI990" s="2">
        <f>SUM(CI$2:CI480)+BC480*V480</f>
        <v>-15690</v>
      </c>
      <c r="CJ990" s="2">
        <f>SUM(CJ$2:CJ480)+BD480*W480</f>
        <v>-72160</v>
      </c>
      <c r="CK990" s="2">
        <f>SUM(CK$2:CK480)+BE480*X480</f>
        <v>72880</v>
      </c>
      <c r="CL990" s="2">
        <f>SUM(CL$2:CL480)+BF480*Y480</f>
        <v>333820</v>
      </c>
      <c r="CM990" s="2">
        <f>SUM(CM$2:CM480)+BG480*Z480</f>
        <v>148750</v>
      </c>
      <c r="CN990" s="2">
        <f>SUM(CN$2:CN480)+BH480*AA480</f>
        <v>169432.5</v>
      </c>
      <c r="CO990" s="2">
        <f>SUM(CO$2:CO480)+BI480*AB480</f>
        <v>28240</v>
      </c>
      <c r="CP990" s="2">
        <f>SUM(CP$2:CP480)+BJ480*AC480</f>
        <v>-14385</v>
      </c>
      <c r="CQ990" s="2">
        <f>SUM(CQ$2:CQ480)+BK480*AD480</f>
        <v>29250.000000000007</v>
      </c>
      <c r="CR990" s="2">
        <f>SUM(CR$2:CR480)+BL480*AE480</f>
        <v>-7020</v>
      </c>
      <c r="CV990" t="s">
        <v>64</v>
      </c>
      <c r="CW990" t="s">
        <v>1063</v>
      </c>
      <c r="CX990" t="s">
        <v>19</v>
      </c>
      <c r="CY990" s="4">
        <v>42989</v>
      </c>
      <c r="CZ990" t="s">
        <v>67</v>
      </c>
      <c r="DA990" t="s">
        <v>68</v>
      </c>
      <c r="DB990">
        <v>58</v>
      </c>
      <c r="DC990">
        <v>73.12</v>
      </c>
      <c r="DD990" t="s">
        <v>69</v>
      </c>
      <c r="DE990" t="s">
        <v>70</v>
      </c>
      <c r="DF990">
        <v>4240.96</v>
      </c>
    </row>
    <row r="991" spans="66:110" x14ac:dyDescent="0.25">
      <c r="BN991" s="1">
        <f t="shared" si="342"/>
        <v>43431</v>
      </c>
      <c r="BO991" s="2">
        <f>SUM(BO$2:BO481)+AI481*B481</f>
        <v>95489.999999999767</v>
      </c>
      <c r="BP991" s="2">
        <f>SUM(BP$2:BP481)+AJ481*C481</f>
        <v>42823.7</v>
      </c>
      <c r="BQ991" s="2">
        <f>SUM(BQ$2:BQ481)+AK481*D481</f>
        <v>182402.09999999989</v>
      </c>
      <c r="BR991" s="2">
        <f>SUM(BR$2:BR481)+AL481*E481</f>
        <v>34424.699999999953</v>
      </c>
      <c r="BS991" s="2">
        <f>SUM(BS$2:BS481)+AM481*F481</f>
        <v>20219.60000000002</v>
      </c>
      <c r="BT991" s="2">
        <f>SUM(BT$2:BT481)+AN481*G481</f>
        <v>7150.6999999999534</v>
      </c>
      <c r="BU991" s="2">
        <f>SUM(BU$2:BU481)+AO481*H481</f>
        <v>12946.899999999994</v>
      </c>
      <c r="BV991" s="2">
        <f>SUM(BV$2:BV481)+AP481*I481</f>
        <v>-10658.700000000026</v>
      </c>
      <c r="BW991" s="2">
        <f>SUM(BW$2:BW481)+AQ481*J481</f>
        <v>-42450</v>
      </c>
      <c r="BX991" s="2">
        <f>SUM(BX$2:BX481)+AR481*K481</f>
        <v>13940</v>
      </c>
      <c r="BY991" s="2">
        <f>SUM(BY$2:BY481)+AS481*L481</f>
        <v>-5572.7000000000116</v>
      </c>
      <c r="BZ991" s="2">
        <f>SUM(BZ$2:BZ481)+AT481*M481</f>
        <v>740</v>
      </c>
      <c r="CA991" s="2">
        <f>SUM(CA$2:CA481)+AU481*N481</f>
        <v>12660</v>
      </c>
      <c r="CB991" s="2">
        <f>SUM(CB$2:CB481)+AV481*O481</f>
        <v>26740</v>
      </c>
      <c r="CC991" s="2">
        <f>SUM(CC$2:CC481)+AW481*P481</f>
        <v>-20</v>
      </c>
      <c r="CD991" s="2">
        <f>SUM(CD$2:CD481)+AX481*Q481</f>
        <v>14050</v>
      </c>
      <c r="CE991" s="2">
        <f>SUM(CE$2:CE481)+AY481*R481</f>
        <v>27020</v>
      </c>
      <c r="CF991" s="2">
        <f>SUM(CF$2:CF481)+AZ481*S481</f>
        <v>19425.929999999971</v>
      </c>
      <c r="CG991" s="2">
        <f>SUM(CG$2:CG481)+BA481*T481</f>
        <v>45828.540000000037</v>
      </c>
      <c r="CH991" s="2">
        <f>SUM(CH$2:CH481)+BB481*U481</f>
        <v>20340.980000000018</v>
      </c>
      <c r="CI991" s="2">
        <f>SUM(CI$2:CI481)+BC481*V481</f>
        <v>-17880</v>
      </c>
      <c r="CJ991" s="2">
        <f>SUM(CJ$2:CJ481)+BD481*W481</f>
        <v>-77935</v>
      </c>
      <c r="CK991" s="2">
        <f>SUM(CK$2:CK481)+BE481*X481</f>
        <v>69230</v>
      </c>
      <c r="CL991" s="2">
        <f>SUM(CL$2:CL481)+BF481*Y481</f>
        <v>358720</v>
      </c>
      <c r="CM991" s="2">
        <f>SUM(CM$2:CM481)+BG481*Z481</f>
        <v>122450</v>
      </c>
      <c r="CN991" s="2">
        <f>SUM(CN$2:CN481)+BH481*AA481</f>
        <v>169357.49999999994</v>
      </c>
      <c r="CO991" s="2">
        <f>SUM(CO$2:CO481)+BI481*AB481</f>
        <v>32620</v>
      </c>
      <c r="CP991" s="2">
        <f>SUM(CP$2:CP481)+BJ481*AC481</f>
        <v>-18005</v>
      </c>
      <c r="CQ991" s="2">
        <f>SUM(CQ$2:CQ481)+BK481*AD481</f>
        <v>29140.000000000007</v>
      </c>
      <c r="CR991" s="2">
        <f>SUM(CR$2:CR481)+BL481*AE481</f>
        <v>-6950</v>
      </c>
      <c r="CV991" t="s">
        <v>64</v>
      </c>
      <c r="CW991" t="s">
        <v>1064</v>
      </c>
      <c r="CX991" t="s">
        <v>19</v>
      </c>
      <c r="CY991" s="4">
        <v>42990</v>
      </c>
      <c r="CZ991" t="s">
        <v>65</v>
      </c>
      <c r="DA991" t="s">
        <v>66</v>
      </c>
      <c r="DB991">
        <v>107</v>
      </c>
      <c r="DC991">
        <v>73.040000000000006</v>
      </c>
      <c r="DD991" t="s">
        <v>69</v>
      </c>
      <c r="DE991" t="s">
        <v>70</v>
      </c>
      <c r="DF991">
        <v>7815.2800000000007</v>
      </c>
    </row>
    <row r="992" spans="66:110" x14ac:dyDescent="0.25">
      <c r="BN992" s="1">
        <f t="shared" si="342"/>
        <v>43432</v>
      </c>
      <c r="BO992" s="2">
        <f>SUM(BO$2:BO482)+AI482*B482</f>
        <v>78814.999999999825</v>
      </c>
      <c r="BP992" s="2">
        <f>SUM(BP$2:BP482)+AJ482*C482</f>
        <v>46535.500000000015</v>
      </c>
      <c r="BQ992" s="2">
        <f>SUM(BQ$2:BQ482)+AK482*D482</f>
        <v>203024.69999999987</v>
      </c>
      <c r="BR992" s="2">
        <f>SUM(BR$2:BR482)+AL482*E482</f>
        <v>42638.899999999965</v>
      </c>
      <c r="BS992" s="2">
        <f>SUM(BS$2:BS482)+AM482*F482</f>
        <v>21774.000000000015</v>
      </c>
      <c r="BT992" s="2">
        <f>SUM(BT$2:BT482)+AN482*G482</f>
        <v>11036.699999999953</v>
      </c>
      <c r="BU992" s="2">
        <f>SUM(BU$2:BU482)+AO482*H482</f>
        <v>15881.5</v>
      </c>
      <c r="BV992" s="2">
        <f>SUM(BV$2:BV482)+AP482*I482</f>
        <v>-10609.900000000023</v>
      </c>
      <c r="BW992" s="2">
        <f>SUM(BW$2:BW482)+AQ482*J482</f>
        <v>-37770</v>
      </c>
      <c r="BX992" s="2">
        <f>SUM(BX$2:BX482)+AR482*K482</f>
        <v>13940</v>
      </c>
      <c r="BY992" s="2">
        <f>SUM(BY$2:BY482)+AS482*L482</f>
        <v>-5543.4000000000115</v>
      </c>
      <c r="BZ992" s="2">
        <f>SUM(BZ$2:BZ482)+AT482*M482</f>
        <v>740</v>
      </c>
      <c r="CA992" s="2">
        <f>SUM(CA$2:CA482)+AU482*N482</f>
        <v>12660</v>
      </c>
      <c r="CB992" s="2">
        <f>SUM(CB$2:CB482)+AV482*O482</f>
        <v>26740</v>
      </c>
      <c r="CC992" s="2">
        <f>SUM(CC$2:CC482)+AW482*P482</f>
        <v>-20</v>
      </c>
      <c r="CD992" s="2">
        <f>SUM(CD$2:CD482)+AX482*Q482</f>
        <v>14050</v>
      </c>
      <c r="CE992" s="2">
        <f>SUM(CE$2:CE482)+AY482*R482</f>
        <v>27020</v>
      </c>
      <c r="CF992" s="2">
        <f>SUM(CF$2:CF482)+AZ482*S482</f>
        <v>20339.369999999966</v>
      </c>
      <c r="CG992" s="2">
        <f>SUM(CG$2:CG482)+BA482*T482</f>
        <v>50059.280000000035</v>
      </c>
      <c r="CH992" s="2">
        <f>SUM(CH$2:CH482)+BB482*U482</f>
        <v>22647.540000000015</v>
      </c>
      <c r="CI992" s="2">
        <f>SUM(CI$2:CI482)+BC482*V482</f>
        <v>-20340</v>
      </c>
      <c r="CJ992" s="2">
        <f>SUM(CJ$2:CJ482)+BD482*W482</f>
        <v>-80110</v>
      </c>
      <c r="CK992" s="2">
        <f>SUM(CK$2:CK482)+BE482*X482</f>
        <v>74680</v>
      </c>
      <c r="CL992" s="2">
        <f>SUM(CL$2:CL482)+BF482*Y482</f>
        <v>407570</v>
      </c>
      <c r="CM992" s="2">
        <f>SUM(CM$2:CM482)+BG482*Z482</f>
        <v>122700</v>
      </c>
      <c r="CN992" s="2">
        <f>SUM(CN$2:CN482)+BH482*AA482</f>
        <v>183007.5</v>
      </c>
      <c r="CO992" s="2">
        <f>SUM(CO$2:CO482)+BI482*AB482</f>
        <v>30880</v>
      </c>
      <c r="CP992" s="2">
        <f>SUM(CP$2:CP482)+BJ482*AC482</f>
        <v>-20245</v>
      </c>
      <c r="CQ992" s="2">
        <f>SUM(CQ$2:CQ482)+BK482*AD482</f>
        <v>31550.000000000007</v>
      </c>
      <c r="CR992" s="2">
        <f>SUM(CR$2:CR482)+BL482*AE482</f>
        <v>-5560</v>
      </c>
      <c r="CV992" t="s">
        <v>64</v>
      </c>
      <c r="CW992" t="s">
        <v>1065</v>
      </c>
      <c r="CX992" t="s">
        <v>19</v>
      </c>
      <c r="CY992" s="4">
        <v>42991</v>
      </c>
      <c r="CZ992" t="s">
        <v>67</v>
      </c>
      <c r="DA992" t="s">
        <v>68</v>
      </c>
      <c r="DB992">
        <v>124</v>
      </c>
      <c r="DC992">
        <v>73.56</v>
      </c>
      <c r="DD992" t="s">
        <v>69</v>
      </c>
      <c r="DE992" t="s">
        <v>70</v>
      </c>
      <c r="DF992">
        <v>9121.44</v>
      </c>
    </row>
    <row r="993" spans="66:110" x14ac:dyDescent="0.25">
      <c r="BN993" s="1">
        <f t="shared" si="342"/>
        <v>43433</v>
      </c>
      <c r="BO993" s="2">
        <f>SUM(BO$2:BO483)+AI483*B483</f>
        <v>75339.999999999884</v>
      </c>
      <c r="BP993" s="2">
        <f>SUM(BP$2:BP483)+AJ483*C483</f>
        <v>44431.7</v>
      </c>
      <c r="BQ993" s="2">
        <f>SUM(BQ$2:BQ483)+AK483*D483</f>
        <v>215111.49999999997</v>
      </c>
      <c r="BR993" s="2">
        <f>SUM(BR$2:BR483)+AL483*E483</f>
        <v>41928.699999999953</v>
      </c>
      <c r="BS993" s="2">
        <f>SUM(BS$2:BS483)+AM483*F483</f>
        <v>21841.000000000015</v>
      </c>
      <c r="BT993" s="2">
        <f>SUM(BT$2:BT483)+AN483*G483</f>
        <v>11988.099999999948</v>
      </c>
      <c r="BU993" s="2">
        <f>SUM(BU$2:BU483)+AO483*H483</f>
        <v>16551.5</v>
      </c>
      <c r="BV993" s="2">
        <f>SUM(BV$2:BV483)+AP483*I483</f>
        <v>-10121.900000000023</v>
      </c>
      <c r="BW993" s="2">
        <f>SUM(BW$2:BW483)+AQ483*J483</f>
        <v>-40470</v>
      </c>
      <c r="BX993" s="2">
        <f>SUM(BX$2:BX483)+AR483*K483</f>
        <v>13940</v>
      </c>
      <c r="BY993" s="2">
        <f>SUM(BY$2:BY483)+AS483*L483</f>
        <v>-5558.4000000000115</v>
      </c>
      <c r="BZ993" s="2">
        <f>SUM(BZ$2:BZ483)+AT483*M483</f>
        <v>740</v>
      </c>
      <c r="CA993" s="2">
        <f>SUM(CA$2:CA483)+AU483*N483</f>
        <v>12660</v>
      </c>
      <c r="CB993" s="2">
        <f>SUM(CB$2:CB483)+AV483*O483</f>
        <v>26740</v>
      </c>
      <c r="CC993" s="2">
        <f>SUM(CC$2:CC483)+AW483*P483</f>
        <v>-20</v>
      </c>
      <c r="CD993" s="2">
        <f>SUM(CD$2:CD483)+AX483*Q483</f>
        <v>14050</v>
      </c>
      <c r="CE993" s="2">
        <f>SUM(CE$2:CE483)+AY483*R483</f>
        <v>27020</v>
      </c>
      <c r="CF993" s="2">
        <f>SUM(CF$2:CF483)+AZ483*S483</f>
        <v>21013.249999999978</v>
      </c>
      <c r="CG993" s="2">
        <f>SUM(CG$2:CG483)+BA483*T483</f>
        <v>49159.04000000003</v>
      </c>
      <c r="CH993" s="2">
        <f>SUM(CH$2:CH483)+BB483*U483</f>
        <v>22310.580000000024</v>
      </c>
      <c r="CI993" s="2">
        <f>SUM(CI$2:CI483)+BC483*V483</f>
        <v>-22170</v>
      </c>
      <c r="CJ993" s="2">
        <f>SUM(CJ$2:CJ483)+BD483*W483</f>
        <v>-78685</v>
      </c>
      <c r="CK993" s="2">
        <f>SUM(CK$2:CK483)+BE483*X483</f>
        <v>74330.000000000116</v>
      </c>
      <c r="CL993" s="2">
        <f>SUM(CL$2:CL483)+BF483*Y483</f>
        <v>415520</v>
      </c>
      <c r="CM993" s="2">
        <f>SUM(CM$2:CM483)+BG483*Z483</f>
        <v>115050</v>
      </c>
      <c r="CN993" s="2">
        <f>SUM(CN$2:CN483)+BH483*AA483</f>
        <v>177332.50000000006</v>
      </c>
      <c r="CO993" s="2">
        <f>SUM(CO$2:CO483)+BI483*AB483</f>
        <v>29080</v>
      </c>
      <c r="CP993" s="2">
        <f>SUM(CP$2:CP483)+BJ483*AC483</f>
        <v>-20645</v>
      </c>
      <c r="CQ993" s="2">
        <f>SUM(CQ$2:CQ483)+BK483*AD483</f>
        <v>31380.000000000007</v>
      </c>
      <c r="CR993" s="2">
        <f>SUM(CR$2:CR483)+BL483*AE483</f>
        <v>-4960</v>
      </c>
      <c r="CV993" t="s">
        <v>64</v>
      </c>
      <c r="CW993" t="s">
        <v>1066</v>
      </c>
      <c r="CX993" t="s">
        <v>19</v>
      </c>
      <c r="CY993" s="4">
        <v>42992</v>
      </c>
      <c r="CZ993" t="s">
        <v>65</v>
      </c>
      <c r="DA993" t="s">
        <v>66</v>
      </c>
      <c r="DB993">
        <v>76</v>
      </c>
      <c r="DC993">
        <v>73.13</v>
      </c>
      <c r="DD993" t="s">
        <v>69</v>
      </c>
      <c r="DE993" t="s">
        <v>70</v>
      </c>
      <c r="DF993">
        <v>5557.8799999999992</v>
      </c>
    </row>
    <row r="994" spans="66:110" x14ac:dyDescent="0.25">
      <c r="BN994" s="1">
        <f t="shared" si="342"/>
        <v>43434</v>
      </c>
      <c r="BO994" s="2">
        <f>SUM(BO$2:BO484)+AI484*B484</f>
        <v>70539.999999999884</v>
      </c>
      <c r="BP994" s="2">
        <f>SUM(BP$2:BP484)+AJ484*C484</f>
        <v>45704.7</v>
      </c>
      <c r="BQ994" s="2">
        <f>SUM(BQ$2:BQ484)+AK484*D484</f>
        <v>220712.69999999987</v>
      </c>
      <c r="BR994" s="2">
        <f>SUM(BR$2:BR484)+AL484*E484</f>
        <v>49164.699999999983</v>
      </c>
      <c r="BS994" s="2">
        <f>SUM(BS$2:BS484)+AM484*F484</f>
        <v>22537.800000000017</v>
      </c>
      <c r="BT994" s="2">
        <f>SUM(BT$2:BT484)+AN484*G484</f>
        <v>12108.699999999953</v>
      </c>
      <c r="BU994" s="2">
        <f>SUM(BU$2:BU484)+AO484*H484</f>
        <v>15064.100000000006</v>
      </c>
      <c r="BV994" s="2">
        <f>SUM(BV$2:BV484)+AP484*I484</f>
        <v>-9377.7000000000262</v>
      </c>
      <c r="BW994" s="2">
        <f>SUM(BW$2:BW484)+AQ484*J484</f>
        <v>-44630</v>
      </c>
      <c r="BX994" s="2">
        <f>SUM(BX$2:BX484)+AR484*K484</f>
        <v>13940</v>
      </c>
      <c r="BY994" s="2">
        <f>SUM(BY$2:BY484)+AS484*L484</f>
        <v>-5530.800000000012</v>
      </c>
      <c r="BZ994" s="2">
        <f>SUM(BZ$2:BZ484)+AT484*M484</f>
        <v>740</v>
      </c>
      <c r="CA994" s="2">
        <f>SUM(CA$2:CA484)+AU484*N484</f>
        <v>12660</v>
      </c>
      <c r="CB994" s="2">
        <f>SUM(CB$2:CB484)+AV484*O484</f>
        <v>26740</v>
      </c>
      <c r="CC994" s="2">
        <f>SUM(CC$2:CC484)+AW484*P484</f>
        <v>-20</v>
      </c>
      <c r="CD994" s="2">
        <f>SUM(CD$2:CD484)+AX484*Q484</f>
        <v>14050</v>
      </c>
      <c r="CE994" s="2">
        <f>SUM(CE$2:CE484)+AY484*R484</f>
        <v>27020</v>
      </c>
      <c r="CF994" s="2">
        <f>SUM(CF$2:CF484)+AZ484*S484</f>
        <v>22386.38999999997</v>
      </c>
      <c r="CG994" s="2">
        <f>SUM(CG$2:CG484)+BA484*T484</f>
        <v>49789.040000000023</v>
      </c>
      <c r="CH994" s="2">
        <f>SUM(CH$2:CH484)+BB484*U484</f>
        <v>23282.580000000024</v>
      </c>
      <c r="CI994" s="2">
        <f>SUM(CI$2:CI484)+BC484*V484</f>
        <v>-24300</v>
      </c>
      <c r="CJ994" s="2">
        <f>SUM(CJ$2:CJ484)+BD484*W484</f>
        <v>-91285</v>
      </c>
      <c r="CK994" s="2">
        <f>SUM(CK$2:CK484)+BE484*X484</f>
        <v>73030</v>
      </c>
      <c r="CL994" s="2">
        <f>SUM(CL$2:CL484)+BF484*Y484</f>
        <v>414070</v>
      </c>
      <c r="CM994" s="2">
        <f>SUM(CM$2:CM484)+BG484*Z484</f>
        <v>118250</v>
      </c>
      <c r="CN994" s="2">
        <f>SUM(CN$2:CN484)+BH484*AA484</f>
        <v>183832.5</v>
      </c>
      <c r="CO994" s="2">
        <f>SUM(CO$2:CO484)+BI484*AB484</f>
        <v>31600</v>
      </c>
      <c r="CP994" s="2">
        <f>SUM(CP$2:CP484)+BJ484*AC484</f>
        <v>-20305</v>
      </c>
      <c r="CQ994" s="2">
        <f>SUM(CQ$2:CQ484)+BK484*AD484</f>
        <v>31740.000000000007</v>
      </c>
      <c r="CR994" s="2">
        <f>SUM(CR$2:CR484)+BL484*AE484</f>
        <v>-4520</v>
      </c>
      <c r="CV994" t="s">
        <v>64</v>
      </c>
      <c r="CW994" t="s">
        <v>1067</v>
      </c>
      <c r="CX994" t="s">
        <v>19</v>
      </c>
      <c r="CY994" s="4">
        <v>42993</v>
      </c>
      <c r="CZ994" t="s">
        <v>65</v>
      </c>
      <c r="DA994" t="s">
        <v>66</v>
      </c>
      <c r="DB994">
        <v>23</v>
      </c>
      <c r="DC994">
        <v>73.66</v>
      </c>
      <c r="DD994" t="s">
        <v>69</v>
      </c>
      <c r="DE994" t="s">
        <v>70</v>
      </c>
      <c r="DF994">
        <v>1694.1799999999998</v>
      </c>
    </row>
    <row r="995" spans="66:110" x14ac:dyDescent="0.25">
      <c r="BN995" s="1">
        <f t="shared" si="342"/>
        <v>43437</v>
      </c>
      <c r="BO995" s="2">
        <f>SUM(BO$2:BO485)+AI485*B485</f>
        <v>101589.99999999988</v>
      </c>
      <c r="BP995" s="2">
        <f>SUM(BP$2:BP485)+AJ485*C485</f>
        <v>45825.3</v>
      </c>
      <c r="BQ995" s="2">
        <f>SUM(BQ$2:BQ485)+AK485*D485</f>
        <v>238306.89999999994</v>
      </c>
      <c r="BR995" s="2">
        <f>SUM(BR$2:BR485)+AL485*E485</f>
        <v>53533.099999999948</v>
      </c>
      <c r="BS995" s="2">
        <f>SUM(BS$2:BS485)+AM485*F485</f>
        <v>23703.600000000013</v>
      </c>
      <c r="BT995" s="2">
        <f>SUM(BT$2:BT485)+AN485*G485</f>
        <v>14400.099999999948</v>
      </c>
      <c r="BU995" s="2">
        <f>SUM(BU$2:BU485)+AO485*H485</f>
        <v>15399.100000000006</v>
      </c>
      <c r="BV995" s="2">
        <f>SUM(BV$2:BV485)+AP485*I485</f>
        <v>-7779.5000000000291</v>
      </c>
      <c r="BW995" s="2">
        <f>SUM(BW$2:BW485)+AQ485*J485</f>
        <v>-43690</v>
      </c>
      <c r="BX995" s="2">
        <f>SUM(BX$2:BX485)+AR485*K485</f>
        <v>13940</v>
      </c>
      <c r="BY995" s="2">
        <f>SUM(BY$2:BY485)+AS485*L485</f>
        <v>-5520.5000000000118</v>
      </c>
      <c r="BZ995" s="2">
        <f>SUM(BZ$2:BZ485)+AT485*M485</f>
        <v>740</v>
      </c>
      <c r="CA995" s="2">
        <f>SUM(CA$2:CA485)+AU485*N485</f>
        <v>12660</v>
      </c>
      <c r="CB995" s="2">
        <f>SUM(CB$2:CB485)+AV485*O485</f>
        <v>26740</v>
      </c>
      <c r="CC995" s="2">
        <f>SUM(CC$2:CC485)+AW485*P485</f>
        <v>-20</v>
      </c>
      <c r="CD995" s="2">
        <f>SUM(CD$2:CD485)+AX485*Q485</f>
        <v>14050</v>
      </c>
      <c r="CE995" s="2">
        <f>SUM(CE$2:CE485)+AY485*R485</f>
        <v>27020</v>
      </c>
      <c r="CF995" s="2">
        <f>SUM(CF$2:CF485)+AZ485*S485</f>
        <v>22264.229999999967</v>
      </c>
      <c r="CG995" s="2">
        <f>SUM(CG$2:CG485)+BA485*T485</f>
        <v>51077.840000000018</v>
      </c>
      <c r="CH995" s="2">
        <f>SUM(CH$2:CH485)+BB485*U485</f>
        <v>26297.160000000025</v>
      </c>
      <c r="CI995" s="2">
        <f>SUM(CI$2:CI485)+BC485*V485</f>
        <v>-23580</v>
      </c>
      <c r="CJ995" s="2">
        <f>SUM(CJ$2:CJ485)+BD485*W485</f>
        <v>-82435</v>
      </c>
      <c r="CK995" s="2">
        <f>SUM(CK$2:CK485)+BE485*X485</f>
        <v>71730</v>
      </c>
      <c r="CL995" s="2">
        <f>SUM(CL$2:CL485)+BF485*Y485</f>
        <v>438920</v>
      </c>
      <c r="CM995" s="2">
        <f>SUM(CM$2:CM485)+BG485*Z485</f>
        <v>127000</v>
      </c>
      <c r="CN995" s="2">
        <f>SUM(CN$2:CN485)+BH485*AA485</f>
        <v>192057.5</v>
      </c>
      <c r="CO995" s="2">
        <f>SUM(CO$2:CO485)+BI485*AB485</f>
        <v>25240</v>
      </c>
      <c r="CP995" s="2">
        <f>SUM(CP$2:CP485)+BJ485*AC485</f>
        <v>-22325</v>
      </c>
      <c r="CQ995" s="2">
        <f>SUM(CQ$2:CQ485)+BK485*AD485</f>
        <v>32830.000000000007</v>
      </c>
      <c r="CR995" s="2">
        <f>SUM(CR$2:CR485)+BL485*AE485</f>
        <v>-2820</v>
      </c>
      <c r="CV995" t="s">
        <v>64</v>
      </c>
      <c r="CW995" t="s">
        <v>1068</v>
      </c>
      <c r="CX995" t="s">
        <v>19</v>
      </c>
      <c r="CY995" s="4">
        <v>42996</v>
      </c>
      <c r="CZ995" t="s">
        <v>67</v>
      </c>
      <c r="DA995" t="s">
        <v>68</v>
      </c>
      <c r="DB995">
        <v>21</v>
      </c>
      <c r="DC995">
        <v>73.510000000000005</v>
      </c>
      <c r="DD995" t="s">
        <v>69</v>
      </c>
      <c r="DE995" t="s">
        <v>70</v>
      </c>
      <c r="DF995">
        <v>1543.71</v>
      </c>
    </row>
    <row r="996" spans="66:110" x14ac:dyDescent="0.25">
      <c r="BN996" s="1">
        <f t="shared" si="342"/>
        <v>43438</v>
      </c>
      <c r="BO996" s="2">
        <f>SUM(BO$2:BO486)+AI486*B486</f>
        <v>61139.999999999884</v>
      </c>
      <c r="BP996" s="2">
        <f>SUM(BP$2:BP486)+AJ486*C486</f>
        <v>39527.300000000003</v>
      </c>
      <c r="BQ996" s="2">
        <f>SUM(BQ$2:BQ486)+AK486*D486</f>
        <v>215031.09999999995</v>
      </c>
      <c r="BR996" s="2">
        <f>SUM(BR$2:BR486)+AL486*E486</f>
        <v>40709.299999999959</v>
      </c>
      <c r="BS996" s="2">
        <f>SUM(BS$2:BS486)+AM486*F486</f>
        <v>21854.400000000023</v>
      </c>
      <c r="BT996" s="2">
        <f>SUM(BT$2:BT486)+AN486*G486</f>
        <v>9844.0999999999476</v>
      </c>
      <c r="BU996" s="2">
        <f>SUM(BU$2:BU486)+AO486*H486</f>
        <v>11580.100000000006</v>
      </c>
      <c r="BV996" s="2">
        <f>SUM(BV$2:BV486)+AP486*I486</f>
        <v>-11036.900000000023</v>
      </c>
      <c r="BW996" s="2">
        <f>SUM(BW$2:BW486)+AQ486*J486</f>
        <v>-51010</v>
      </c>
      <c r="BX996" s="2">
        <f>SUM(BX$2:BX486)+AR486*K486</f>
        <v>13940</v>
      </c>
      <c r="BY996" s="2">
        <f>SUM(BY$2:BY486)+AS486*L486</f>
        <v>-5557.2000000000116</v>
      </c>
      <c r="BZ996" s="2">
        <f>SUM(BZ$2:BZ486)+AT486*M486</f>
        <v>740</v>
      </c>
      <c r="CA996" s="2">
        <f>SUM(CA$2:CA486)+AU486*N486</f>
        <v>12660</v>
      </c>
      <c r="CB996" s="2">
        <f>SUM(CB$2:CB486)+AV486*O486</f>
        <v>26740</v>
      </c>
      <c r="CC996" s="2">
        <f>SUM(CC$2:CC486)+AW486*P486</f>
        <v>-20</v>
      </c>
      <c r="CD996" s="2">
        <f>SUM(CD$2:CD486)+AX486*Q486</f>
        <v>14050</v>
      </c>
      <c r="CE996" s="2">
        <f>SUM(CE$2:CE486)+AY486*R486</f>
        <v>27020</v>
      </c>
      <c r="CF996" s="2">
        <f>SUM(CF$2:CF486)+AZ486*S486</f>
        <v>21311.229999999974</v>
      </c>
      <c r="CG996" s="2">
        <f>SUM(CG$2:CG486)+BA486*T486</f>
        <v>47504.270000000011</v>
      </c>
      <c r="CH996" s="2">
        <f>SUM(CH$2:CH486)+BB486*U486</f>
        <v>23942.910000000025</v>
      </c>
      <c r="CI996" s="2">
        <f>SUM(CI$2:CI486)+BC486*V486</f>
        <v>-21060</v>
      </c>
      <c r="CJ996" s="2">
        <f>SUM(CJ$2:CJ486)+BD486*W486</f>
        <v>-82360</v>
      </c>
      <c r="CK996" s="2">
        <f>SUM(CK$2:CK486)+BE486*X486</f>
        <v>54730</v>
      </c>
      <c r="CL996" s="2">
        <f>SUM(CL$2:CL486)+BF486*Y486</f>
        <v>400020</v>
      </c>
      <c r="CM996" s="2">
        <f>SUM(CM$2:CM486)+BG486*Z486</f>
        <v>113450</v>
      </c>
      <c r="CN996" s="2">
        <f>SUM(CN$2:CN486)+BH486*AA486</f>
        <v>176182.5</v>
      </c>
      <c r="CO996" s="2">
        <f>SUM(CO$2:CO486)+BI486*AB486</f>
        <v>25030</v>
      </c>
      <c r="CP996" s="2">
        <f>SUM(CP$2:CP486)+BJ486*AC486</f>
        <v>-16625</v>
      </c>
      <c r="CQ996" s="2">
        <f>SUM(CQ$2:CQ486)+BK486*AD486</f>
        <v>29910.000000000007</v>
      </c>
      <c r="CR996" s="2">
        <f>SUM(CR$2:CR486)+BL486*AE486</f>
        <v>-4590</v>
      </c>
      <c r="CV996" t="s">
        <v>64</v>
      </c>
      <c r="CW996" t="s">
        <v>1069</v>
      </c>
      <c r="CX996" t="s">
        <v>19</v>
      </c>
      <c r="CY996" s="4">
        <v>42997</v>
      </c>
      <c r="CZ996" t="s">
        <v>67</v>
      </c>
      <c r="DA996" t="s">
        <v>68</v>
      </c>
      <c r="DB996">
        <v>59</v>
      </c>
      <c r="DC996">
        <v>73.790000000000006</v>
      </c>
      <c r="DD996" t="s">
        <v>69</v>
      </c>
      <c r="DE996" t="s">
        <v>70</v>
      </c>
      <c r="DF996">
        <v>4353.6100000000006</v>
      </c>
    </row>
    <row r="997" spans="66:110" x14ac:dyDescent="0.25">
      <c r="BN997" s="1">
        <f t="shared" si="342"/>
        <v>43440</v>
      </c>
      <c r="BO997" s="2">
        <f>SUM(BO$2:BO487)+AI487*B487</f>
        <v>51289.999999999884</v>
      </c>
      <c r="BP997" s="2">
        <f>SUM(BP$2:BP487)+AJ487*C487</f>
        <v>40344.699999999997</v>
      </c>
      <c r="BQ997" s="2">
        <f>SUM(BQ$2:BQ487)+AK487*D487</f>
        <v>200894.09999999995</v>
      </c>
      <c r="BR997" s="2">
        <f>SUM(BR$2:BR487)+AL487*E487</f>
        <v>39449.699999999953</v>
      </c>
      <c r="BS997" s="2">
        <f>SUM(BS$2:BS487)+AM487*F487</f>
        <v>23234.60000000002</v>
      </c>
      <c r="BT997" s="2">
        <f>SUM(BT$2:BT487)+AN487*G487</f>
        <v>8088.6999999999534</v>
      </c>
      <c r="BU997" s="2">
        <f>SUM(BU$2:BU487)+AO487*H487</f>
        <v>13523.100000000006</v>
      </c>
      <c r="BV997" s="2">
        <f>SUM(BV$2:BV487)+AP487*I487</f>
        <v>-11732.300000000017</v>
      </c>
      <c r="BW997" s="2">
        <f>SUM(BW$2:BW487)+AQ487*J487</f>
        <v>-51230</v>
      </c>
      <c r="BX997" s="2">
        <f>SUM(BX$2:BX487)+AR487*K487</f>
        <v>13940</v>
      </c>
      <c r="BY997" s="2">
        <f>SUM(BY$2:BY487)+AS487*L487</f>
        <v>-5534.4000000000115</v>
      </c>
      <c r="BZ997" s="2">
        <f>SUM(BZ$2:BZ487)+AT487*M487</f>
        <v>740</v>
      </c>
      <c r="CA997" s="2">
        <f>SUM(CA$2:CA487)+AU487*N487</f>
        <v>12660</v>
      </c>
      <c r="CB997" s="2">
        <f>SUM(CB$2:CB487)+AV487*O487</f>
        <v>26740</v>
      </c>
      <c r="CC997" s="2">
        <f>SUM(CC$2:CC487)+AW487*P487</f>
        <v>-20</v>
      </c>
      <c r="CD997" s="2">
        <f>SUM(CD$2:CD487)+AX487*Q487</f>
        <v>14050</v>
      </c>
      <c r="CE997" s="2">
        <f>SUM(CE$2:CE487)+AY487*R487</f>
        <v>27020</v>
      </c>
      <c r="CF997" s="2">
        <f>SUM(CF$2:CF487)+AZ487*S487</f>
        <v>21463.479999999967</v>
      </c>
      <c r="CG997" s="2">
        <f>SUM(CG$2:CG487)+BA487*T487</f>
        <v>48189.680000000015</v>
      </c>
      <c r="CH997" s="2">
        <f>SUM(CH$2:CH487)+BB487*U487</f>
        <v>23671.410000000025</v>
      </c>
      <c r="CI997" s="2">
        <f>SUM(CI$2:CI487)+BC487*V487</f>
        <v>-20580</v>
      </c>
      <c r="CJ997" s="2">
        <f>SUM(CJ$2:CJ487)+BD487*W487</f>
        <v>-84160</v>
      </c>
      <c r="CK997" s="2">
        <f>SUM(CK$2:CK487)+BE487*X487</f>
        <v>48380</v>
      </c>
      <c r="CL997" s="2">
        <f>SUM(CL$2:CL487)+BF487*Y487</f>
        <v>391520</v>
      </c>
      <c r="CM997" s="2">
        <f>SUM(CM$2:CM487)+BG487*Z487</f>
        <v>116300</v>
      </c>
      <c r="CN997" s="2">
        <f>SUM(CN$2:CN487)+BH487*AA487</f>
        <v>182182.5</v>
      </c>
      <c r="CO997" s="2">
        <f>SUM(CO$2:CO487)+BI487*AB487</f>
        <v>25000</v>
      </c>
      <c r="CP997" s="2">
        <f>SUM(CP$2:CP487)+BJ487*AC487</f>
        <v>-16865</v>
      </c>
      <c r="CQ997" s="2">
        <f>SUM(CQ$2:CQ487)+BK487*AD487</f>
        <v>29390.000000000007</v>
      </c>
      <c r="CR997" s="2">
        <f>SUM(CR$2:CR487)+BL487*AE487</f>
        <v>-5620</v>
      </c>
      <c r="CV997" t="s">
        <v>64</v>
      </c>
      <c r="CW997" t="s">
        <v>1070</v>
      </c>
      <c r="CX997" t="s">
        <v>19</v>
      </c>
      <c r="CY997" s="4">
        <v>42998</v>
      </c>
      <c r="CZ997" t="s">
        <v>65</v>
      </c>
      <c r="DA997" t="s">
        <v>66</v>
      </c>
      <c r="DB997">
        <v>139</v>
      </c>
      <c r="DC997">
        <v>73.3</v>
      </c>
      <c r="DD997" t="s">
        <v>69</v>
      </c>
      <c r="DE997" t="s">
        <v>70</v>
      </c>
      <c r="DF997">
        <v>10188.699999999999</v>
      </c>
    </row>
    <row r="998" spans="66:110" x14ac:dyDescent="0.25">
      <c r="BN998" s="1">
        <f t="shared" si="342"/>
        <v>43441</v>
      </c>
      <c r="BO998" s="2">
        <f>SUM(BO$2:BO488)+AI488*B488</f>
        <v>20289.999999999884</v>
      </c>
      <c r="BP998" s="2">
        <f>SUM(BP$2:BP488)+AJ488*C488</f>
        <v>38254.300000000003</v>
      </c>
      <c r="BQ998" s="2">
        <f>SUM(BQ$2:BQ488)+AK488*D488</f>
        <v>189316.49999999997</v>
      </c>
      <c r="BR998" s="2">
        <f>SUM(BR$2:BR488)+AL488*E488</f>
        <v>33031.099999999948</v>
      </c>
      <c r="BS998" s="2">
        <f>SUM(BS$2:BS488)+AM488*F488</f>
        <v>20635.000000000015</v>
      </c>
      <c r="BT998" s="2">
        <f>SUM(BT$2:BT488)+AN488*G488</f>
        <v>7525.8999999999651</v>
      </c>
      <c r="BU998" s="2">
        <f>SUM(BU$2:BU488)+AO488*H488</f>
        <v>11553.300000000017</v>
      </c>
      <c r="BV998" s="2">
        <f>SUM(BV$2:BV488)+AP488*I488</f>
        <v>-14379.700000000026</v>
      </c>
      <c r="BW998" s="2">
        <f>SUM(BW$2:BW488)+AQ488*J488</f>
        <v>-55650</v>
      </c>
      <c r="BX998" s="2">
        <f>SUM(BX$2:BX488)+AR488*K488</f>
        <v>13940</v>
      </c>
      <c r="BY998" s="2">
        <f>SUM(BY$2:BY488)+AS488*L488</f>
        <v>-5579.5000000000118</v>
      </c>
      <c r="BZ998" s="2">
        <f>SUM(BZ$2:BZ488)+AT488*M488</f>
        <v>740</v>
      </c>
      <c r="CA998" s="2">
        <f>SUM(CA$2:CA488)+AU488*N488</f>
        <v>12660</v>
      </c>
      <c r="CB998" s="2">
        <f>SUM(CB$2:CB488)+AV488*O488</f>
        <v>26740</v>
      </c>
      <c r="CC998" s="2">
        <f>SUM(CC$2:CC488)+AW488*P488</f>
        <v>-20</v>
      </c>
      <c r="CD998" s="2">
        <f>SUM(CD$2:CD488)+AX488*Q488</f>
        <v>14050</v>
      </c>
      <c r="CE998" s="2">
        <f>SUM(CE$2:CE488)+AY488*R488</f>
        <v>27020</v>
      </c>
      <c r="CF998" s="2">
        <f>SUM(CF$2:CF488)+AZ488*S488</f>
        <v>19826.95999999997</v>
      </c>
      <c r="CG998" s="2">
        <f>SUM(CG$2:CG488)+BA488*T488</f>
        <v>43915.820000000022</v>
      </c>
      <c r="CH998" s="2">
        <f>SUM(CH$2:CH488)+BB488*U488</f>
        <v>21317.410000000018</v>
      </c>
      <c r="CI998" s="2">
        <f>SUM(CI$2:CI488)+BC488*V488</f>
        <v>-17430</v>
      </c>
      <c r="CJ998" s="2">
        <f>SUM(CJ$2:CJ488)+BD488*W488</f>
        <v>-75910</v>
      </c>
      <c r="CK998" s="2">
        <f>SUM(CK$2:CK488)+BE488*X488</f>
        <v>42980</v>
      </c>
      <c r="CL998" s="2">
        <f>SUM(CL$2:CL488)+BF488*Y488</f>
        <v>353170</v>
      </c>
      <c r="CM998" s="2">
        <f>SUM(CM$2:CM488)+BG488*Z488</f>
        <v>106350</v>
      </c>
      <c r="CN998" s="2">
        <f>SUM(CN$2:CN488)+BH488*AA488</f>
        <v>172357.5</v>
      </c>
      <c r="CO998" s="2">
        <f>SUM(CO$2:CO488)+BI488*AB488</f>
        <v>23800</v>
      </c>
      <c r="CP998" s="2">
        <f>SUM(CP$2:CP488)+BJ488*AC488</f>
        <v>-13385</v>
      </c>
      <c r="CQ998" s="2">
        <f>SUM(CQ$2:CQ488)+BK488*AD488</f>
        <v>27810.000000000007</v>
      </c>
      <c r="CR998" s="2">
        <f>SUM(CR$2:CR488)+BL488*AE488</f>
        <v>-6360</v>
      </c>
      <c r="CV998" t="s">
        <v>64</v>
      </c>
      <c r="CW998" t="s">
        <v>1071</v>
      </c>
      <c r="CX998" t="s">
        <v>19</v>
      </c>
      <c r="CY998" s="4">
        <v>42999</v>
      </c>
      <c r="CZ998" t="s">
        <v>67</v>
      </c>
      <c r="DA998" t="s">
        <v>68</v>
      </c>
      <c r="DB998">
        <v>12</v>
      </c>
      <c r="DC998">
        <v>72.58</v>
      </c>
      <c r="DD998" t="s">
        <v>69</v>
      </c>
      <c r="DE998" t="s">
        <v>70</v>
      </c>
      <c r="DF998">
        <v>870.96</v>
      </c>
    </row>
    <row r="999" spans="66:110" x14ac:dyDescent="0.25">
      <c r="BN999" s="1">
        <f t="shared" si="342"/>
        <v>43444</v>
      </c>
      <c r="BO999" s="2">
        <f>SUM(BO$2:BO489)+AI489*B489</f>
        <v>25839.999999999884</v>
      </c>
      <c r="BP999" s="2">
        <f>SUM(BP$2:BP489)+AJ489*C489</f>
        <v>37061.699999999997</v>
      </c>
      <c r="BQ999" s="2">
        <f>SUM(BQ$2:BQ489)+AK489*D489</f>
        <v>193497.29999999996</v>
      </c>
      <c r="BR999" s="2">
        <f>SUM(BR$2:BR489)+AL489*E489</f>
        <v>32816.699999999953</v>
      </c>
      <c r="BS999" s="2">
        <f>SUM(BS$2:BS489)+AM489*F489</f>
        <v>21197.800000000017</v>
      </c>
      <c r="BT999" s="2">
        <f>SUM(BT$2:BT489)+AN489*G489</f>
        <v>6802.2999999999593</v>
      </c>
      <c r="BU999" s="2">
        <f>SUM(BU$2:BU489)+AO489*H489</f>
        <v>11392.5</v>
      </c>
      <c r="BV999" s="2">
        <f>SUM(BV$2:BV489)+AP489*I489</f>
        <v>-14318.700000000026</v>
      </c>
      <c r="BW999" s="2">
        <f>SUM(BW$2:BW489)+AQ489*J489</f>
        <v>-56490</v>
      </c>
      <c r="BX999" s="2">
        <f>SUM(BX$2:BX489)+AR489*K489</f>
        <v>13940</v>
      </c>
      <c r="BY999" s="2">
        <f>SUM(BY$2:BY489)+AS489*L489</f>
        <v>-5561.9000000000115</v>
      </c>
      <c r="BZ999" s="2">
        <f>SUM(BZ$2:BZ489)+AT489*M489</f>
        <v>740</v>
      </c>
      <c r="CA999" s="2">
        <f>SUM(CA$2:CA489)+AU489*N489</f>
        <v>12660</v>
      </c>
      <c r="CB999" s="2">
        <f>SUM(CB$2:CB489)+AV489*O489</f>
        <v>26740</v>
      </c>
      <c r="CC999" s="2">
        <f>SUM(CC$2:CC489)+AW489*P489</f>
        <v>-20</v>
      </c>
      <c r="CD999" s="2">
        <f>SUM(CD$2:CD489)+AX489*Q489</f>
        <v>14050</v>
      </c>
      <c r="CE999" s="2">
        <f>SUM(CE$2:CE489)+AY489*R489</f>
        <v>27020</v>
      </c>
      <c r="CF999" s="2">
        <f>SUM(CF$2:CF489)+AZ489*S489</f>
        <v>20500.399999999965</v>
      </c>
      <c r="CG999" s="2">
        <f>SUM(CG$2:CG489)+BA489*T489</f>
        <v>46638.730000000025</v>
      </c>
      <c r="CH999" s="2">
        <f>SUM(CH$2:CH489)+BB489*U489</f>
        <v>20490.730000000025</v>
      </c>
      <c r="CI999" s="2">
        <f>SUM(CI$2:CI489)+BC489*V489</f>
        <v>-18870</v>
      </c>
      <c r="CJ999" s="2">
        <f>SUM(CJ$2:CJ489)+BD489*W489</f>
        <v>-80260</v>
      </c>
      <c r="CK999" s="2">
        <f>SUM(CK$2:CK489)+BE489*X489</f>
        <v>40180</v>
      </c>
      <c r="CL999" s="2">
        <f>SUM(CL$2:CL489)+BF489*Y489</f>
        <v>339919.99999999977</v>
      </c>
      <c r="CM999" s="2">
        <f>SUM(CM$2:CM489)+BG489*Z489</f>
        <v>106150</v>
      </c>
      <c r="CN999" s="2">
        <f>SUM(CN$2:CN489)+BH489*AA489</f>
        <v>174282.49999999994</v>
      </c>
      <c r="CO999" s="2">
        <f>SUM(CO$2:CO489)+BI489*AB489</f>
        <v>25570</v>
      </c>
      <c r="CP999" s="2">
        <f>SUM(CP$2:CP489)+BJ489*AC489</f>
        <v>-13325</v>
      </c>
      <c r="CQ999" s="2">
        <f>SUM(CQ$2:CQ489)+BK489*AD489</f>
        <v>28560.000000000007</v>
      </c>
      <c r="CR999" s="2">
        <f>SUM(CR$2:CR489)+BL489*AE489</f>
        <v>-7450</v>
      </c>
      <c r="CV999" t="s">
        <v>64</v>
      </c>
      <c r="CW999" t="s">
        <v>1072</v>
      </c>
      <c r="CX999" t="s">
        <v>19</v>
      </c>
      <c r="CY999" s="4">
        <v>43000</v>
      </c>
      <c r="CZ999" t="s">
        <v>67</v>
      </c>
      <c r="DA999" t="s">
        <v>68</v>
      </c>
      <c r="DB999">
        <v>111</v>
      </c>
      <c r="DC999">
        <v>72.78</v>
      </c>
      <c r="DD999" t="s">
        <v>69</v>
      </c>
      <c r="DE999" t="s">
        <v>70</v>
      </c>
      <c r="DF999">
        <v>8078.58</v>
      </c>
    </row>
    <row r="1000" spans="66:110" x14ac:dyDescent="0.25">
      <c r="BN1000" s="1">
        <f t="shared" si="342"/>
        <v>43445</v>
      </c>
      <c r="BO1000" s="2">
        <f>SUM(BO$2:BO490)+AI490*B490</f>
        <v>20989.999999999884</v>
      </c>
      <c r="BP1000" s="2">
        <f>SUM(BP$2:BP490)+AJ490*C490</f>
        <v>36539.099999999991</v>
      </c>
      <c r="BQ1000" s="2">
        <f>SUM(BQ$2:BQ490)+AK490*D490</f>
        <v>187735.29999999996</v>
      </c>
      <c r="BR1000" s="2">
        <f>SUM(BR$2:BR490)+AL490*E490</f>
        <v>32615.699999999953</v>
      </c>
      <c r="BS1000" s="2">
        <f>SUM(BS$2:BS490)+AM490*F490</f>
        <v>21506.000000000015</v>
      </c>
      <c r="BT1000" s="2">
        <f>SUM(BT$2:BT490)+AN490*G490</f>
        <v>7499.0999999999476</v>
      </c>
      <c r="BU1000" s="2">
        <f>SUM(BU$2:BU490)+AO490*H490</f>
        <v>11539.899999999994</v>
      </c>
      <c r="BV1000" s="2">
        <f>SUM(BV$2:BV490)+AP490*I490</f>
        <v>-14977.500000000029</v>
      </c>
      <c r="BW1000" s="2">
        <f>SUM(BW$2:BW490)+AQ490*J490</f>
        <v>-58520</v>
      </c>
      <c r="BX1000" s="2">
        <f>SUM(BX$2:BX490)+AR490*K490</f>
        <v>13940</v>
      </c>
      <c r="BY1000" s="2">
        <f>SUM(BY$2:BY490)+AS490*L490</f>
        <v>-5564.2000000000116</v>
      </c>
      <c r="BZ1000" s="2">
        <f>SUM(BZ$2:BZ490)+AT490*M490</f>
        <v>740</v>
      </c>
      <c r="CA1000" s="2">
        <f>SUM(CA$2:CA490)+AU490*N490</f>
        <v>12660</v>
      </c>
      <c r="CB1000" s="2">
        <f>SUM(CB$2:CB490)+AV490*O490</f>
        <v>26740</v>
      </c>
      <c r="CC1000" s="2">
        <f>SUM(CC$2:CC490)+AW490*P490</f>
        <v>-20</v>
      </c>
      <c r="CD1000" s="2">
        <f>SUM(CD$2:CD490)+AX490*Q490</f>
        <v>14050</v>
      </c>
      <c r="CE1000" s="2">
        <f>SUM(CE$2:CE490)+AY490*R490</f>
        <v>27020</v>
      </c>
      <c r="CF1000" s="2">
        <f>SUM(CF$2:CF490)+AZ490*S490</f>
        <v>20181.719999999958</v>
      </c>
      <c r="CG1000" s="2">
        <f>SUM(CG$2:CG490)+BA490*T490</f>
        <v>47625.730000000025</v>
      </c>
      <c r="CH1000" s="2">
        <f>SUM(CH$2:CH490)+BB490*U490</f>
        <v>21631.29</v>
      </c>
      <c r="CI1000" s="2">
        <f>SUM(CI$2:CI490)+BC490*V490</f>
        <v>-17700.000000000015</v>
      </c>
      <c r="CJ1000" s="2">
        <f>SUM(CJ$2:CJ490)+BD490*W490</f>
        <v>-86785</v>
      </c>
      <c r="CK1000" s="2">
        <f>SUM(CK$2:CK490)+BE490*X490</f>
        <v>30030</v>
      </c>
      <c r="CL1000" s="2">
        <f>SUM(CL$2:CL490)+BF490*Y490</f>
        <v>343370.00000000023</v>
      </c>
      <c r="CM1000" s="2">
        <f>SUM(CM$2:CM490)+BG490*Z490</f>
        <v>103800</v>
      </c>
      <c r="CN1000" s="2">
        <f>SUM(CN$2:CN490)+BH490*AA490</f>
        <v>171607.5</v>
      </c>
      <c r="CO1000" s="2">
        <f>SUM(CO$2:CO490)+BI490*AB490</f>
        <v>27280</v>
      </c>
      <c r="CP1000" s="2">
        <f>SUM(CP$2:CP490)+BJ490*AC490</f>
        <v>-14605</v>
      </c>
      <c r="CQ1000" s="2">
        <f>SUM(CQ$2:CQ490)+BK490*AD490</f>
        <v>28470.000000000007</v>
      </c>
      <c r="CR1000" s="2">
        <f>SUM(CR$2:CR490)+BL490*AE490</f>
        <v>-7310</v>
      </c>
      <c r="CV1000" t="s">
        <v>64</v>
      </c>
      <c r="CW1000" t="s">
        <v>1073</v>
      </c>
      <c r="CX1000" t="s">
        <v>19</v>
      </c>
      <c r="CY1000" s="4">
        <v>43003</v>
      </c>
      <c r="CZ1000" t="s">
        <v>67</v>
      </c>
      <c r="DA1000" t="s">
        <v>68</v>
      </c>
      <c r="DB1000">
        <v>37</v>
      </c>
      <c r="DC1000">
        <v>71.650000000000006</v>
      </c>
      <c r="DD1000" t="s">
        <v>69</v>
      </c>
      <c r="DE1000" t="s">
        <v>70</v>
      </c>
      <c r="DF1000">
        <v>2651.05</v>
      </c>
    </row>
    <row r="1001" spans="66:110" x14ac:dyDescent="0.25">
      <c r="BN1001" s="1">
        <f t="shared" si="342"/>
        <v>43446</v>
      </c>
      <c r="BO1001" s="2">
        <f>SUM(BO$2:BO491)+AI491*B491</f>
        <v>23339.999999999884</v>
      </c>
      <c r="BP1001" s="2">
        <f>SUM(BP$2:BP491)+AJ491*C491</f>
        <v>39312.900000000009</v>
      </c>
      <c r="BQ1001" s="2">
        <f>SUM(BQ$2:BQ491)+AK491*D491</f>
        <v>193952.89999999994</v>
      </c>
      <c r="BR1001" s="2">
        <f>SUM(BR$2:BR491)+AL491*E491</f>
        <v>35456.499999999942</v>
      </c>
      <c r="BS1001" s="2">
        <f>SUM(BS$2:BS491)+AM491*F491</f>
        <v>21948.200000000019</v>
      </c>
      <c r="BT1001" s="2">
        <f>SUM(BT$2:BT491)+AN491*G491</f>
        <v>7700.0999999999476</v>
      </c>
      <c r="BU1001" s="2">
        <f>SUM(BU$2:BU491)+AO491*H491</f>
        <v>11861.5</v>
      </c>
      <c r="BV1001" s="2">
        <f>SUM(BV$2:BV491)+AP491*I491</f>
        <v>-13647.700000000026</v>
      </c>
      <c r="BW1001" s="2">
        <f>SUM(BW$2:BW491)+AQ491*J491</f>
        <v>-58620</v>
      </c>
      <c r="BX1001" s="2">
        <f>SUM(BX$2:BX491)+AR491*K491</f>
        <v>13940</v>
      </c>
      <c r="BY1001" s="2">
        <f>SUM(BY$2:BY491)+AS491*L491</f>
        <v>-5561.6000000000113</v>
      </c>
      <c r="BZ1001" s="2">
        <f>SUM(BZ$2:BZ491)+AT491*M491</f>
        <v>740</v>
      </c>
      <c r="CA1001" s="2">
        <f>SUM(CA$2:CA491)+AU491*N491</f>
        <v>12660</v>
      </c>
      <c r="CB1001" s="2">
        <f>SUM(CB$2:CB491)+AV491*O491</f>
        <v>26740</v>
      </c>
      <c r="CC1001" s="2">
        <f>SUM(CC$2:CC491)+AW491*P491</f>
        <v>-20</v>
      </c>
      <c r="CD1001" s="2">
        <f>SUM(CD$2:CD491)+AX491*Q491</f>
        <v>14050</v>
      </c>
      <c r="CE1001" s="2">
        <f>SUM(CE$2:CE491)+AY491*R491</f>
        <v>27020</v>
      </c>
      <c r="CF1001" s="2">
        <f>SUM(CF$2:CF491)+AZ491*S491</f>
        <v>21039.419999999969</v>
      </c>
      <c r="CG1001" s="2">
        <f>SUM(CG$2:CG491)+BA491*T491</f>
        <v>48117.690000000031</v>
      </c>
      <c r="CH1001" s="2">
        <f>SUM(CH$2:CH491)+BB491*U491</f>
        <v>22448.790000000008</v>
      </c>
      <c r="CI1001" s="2">
        <f>SUM(CI$2:CI491)+BC491*V491</f>
        <v>-18150</v>
      </c>
      <c r="CJ1001" s="2">
        <f>SUM(CJ$2:CJ491)+BD491*W491</f>
        <v>-87685</v>
      </c>
      <c r="CK1001" s="2">
        <f>SUM(CK$2:CK491)+BE491*X491</f>
        <v>35230</v>
      </c>
      <c r="CL1001" s="2">
        <f>SUM(CL$2:CL491)+BF491*Y491</f>
        <v>360470</v>
      </c>
      <c r="CM1001" s="2">
        <f>SUM(CM$2:CM491)+BG491*Z491</f>
        <v>107400</v>
      </c>
      <c r="CN1001" s="2">
        <f>SUM(CN$2:CN491)+BH491*AA491</f>
        <v>174082.5</v>
      </c>
      <c r="CO1001" s="2">
        <f>SUM(CO$2:CO491)+BI491*AB491</f>
        <v>22540</v>
      </c>
      <c r="CP1001" s="2">
        <f>SUM(CP$2:CP491)+BJ491*AC491</f>
        <v>-15865</v>
      </c>
      <c r="CQ1001" s="2">
        <f>SUM(CQ$2:CQ491)+BK491*AD491</f>
        <v>27730.000000000007</v>
      </c>
      <c r="CR1001" s="2">
        <f>SUM(CR$2:CR491)+BL491*AE491</f>
        <v>-7960</v>
      </c>
      <c r="CV1001" t="s">
        <v>64</v>
      </c>
      <c r="CW1001" t="s">
        <v>1074</v>
      </c>
      <c r="CX1001" t="s">
        <v>19</v>
      </c>
      <c r="CY1001" s="4">
        <v>43004</v>
      </c>
      <c r="CZ1001" t="s">
        <v>67</v>
      </c>
      <c r="DA1001" t="s">
        <v>68</v>
      </c>
      <c r="DB1001">
        <v>1</v>
      </c>
      <c r="DC1001">
        <v>71.650000000000006</v>
      </c>
      <c r="DD1001" t="s">
        <v>69</v>
      </c>
      <c r="DE1001" t="s">
        <v>70</v>
      </c>
      <c r="DF1001">
        <v>71.650000000000006</v>
      </c>
    </row>
    <row r="1002" spans="66:110" x14ac:dyDescent="0.25">
      <c r="BN1002" s="1">
        <f t="shared" si="342"/>
        <v>43447</v>
      </c>
      <c r="BO1002" s="2">
        <f>SUM(BO$2:BO492)+AI492*B492</f>
        <v>32539.999999999884</v>
      </c>
      <c r="BP1002" s="2">
        <f>SUM(BP$2:BP492)+AJ492*C492</f>
        <v>38281.100000000006</v>
      </c>
      <c r="BQ1002" s="2">
        <f>SUM(BQ$2:BQ492)+AK492*D492</f>
        <v>192318.09999999986</v>
      </c>
      <c r="BR1002" s="2">
        <f>SUM(BR$2:BR492)+AL492*E492</f>
        <v>36166.699999999953</v>
      </c>
      <c r="BS1002" s="2">
        <f>SUM(BS$2:BS492)+AM492*F492</f>
        <v>22015.200000000019</v>
      </c>
      <c r="BT1002" s="2">
        <f>SUM(BT$2:BT492)+AN492*G492</f>
        <v>8128.8999999999651</v>
      </c>
      <c r="BU1002" s="2">
        <f>SUM(BU$2:BU492)+AO492*H492</f>
        <v>13442.700000000012</v>
      </c>
      <c r="BV1002" s="2">
        <f>SUM(BV$2:BV492)+AP492*I492</f>
        <v>-14343.100000000035</v>
      </c>
      <c r="BW1002" s="2">
        <f>SUM(BW$2:BW492)+AQ492*J492</f>
        <v>-59400</v>
      </c>
      <c r="BX1002" s="2">
        <f>SUM(BX$2:BX492)+AR492*K492</f>
        <v>13940</v>
      </c>
      <c r="BY1002" s="2">
        <f>SUM(BY$2:BY492)+AS492*L492</f>
        <v>-5565.800000000012</v>
      </c>
      <c r="BZ1002" s="2">
        <f>SUM(BZ$2:BZ492)+AT492*M492</f>
        <v>740</v>
      </c>
      <c r="CA1002" s="2">
        <f>SUM(CA$2:CA492)+AU492*N492</f>
        <v>12660</v>
      </c>
      <c r="CB1002" s="2">
        <f>SUM(CB$2:CB492)+AV492*O492</f>
        <v>26740</v>
      </c>
      <c r="CC1002" s="2">
        <f>SUM(CC$2:CC492)+AW492*P492</f>
        <v>-20</v>
      </c>
      <c r="CD1002" s="2">
        <f>SUM(CD$2:CD492)+AX492*Q492</f>
        <v>14050</v>
      </c>
      <c r="CE1002" s="2">
        <f>SUM(CE$2:CE492)+AY492*R492</f>
        <v>27020</v>
      </c>
      <c r="CF1002" s="2">
        <f>SUM(CF$2:CF492)+AZ492*S492</f>
        <v>22045.259999999951</v>
      </c>
      <c r="CG1002" s="2">
        <f>SUM(CG$2:CG492)+BA492*T492</f>
        <v>48518.770000000033</v>
      </c>
      <c r="CH1002" s="2">
        <f>SUM(CH$2:CH492)+BB492*U492</f>
        <v>21167.210000000021</v>
      </c>
      <c r="CI1002" s="2">
        <f>SUM(CI$2:CI492)+BC492*V492</f>
        <v>-19350</v>
      </c>
      <c r="CJ1002" s="2">
        <f>SUM(CJ$2:CJ492)+BD492*W492</f>
        <v>-105985</v>
      </c>
      <c r="CK1002" s="2">
        <f>SUM(CK$2:CK492)+BE492*X492</f>
        <v>32680</v>
      </c>
      <c r="CL1002" s="2">
        <f>SUM(CL$2:CL492)+BF492*Y492</f>
        <v>368020</v>
      </c>
      <c r="CM1002" s="2">
        <f>SUM(CM$2:CM492)+BG492*Z492</f>
        <v>105400</v>
      </c>
      <c r="CN1002" s="2">
        <f>SUM(CN$2:CN492)+BH492*AA492</f>
        <v>173432.5</v>
      </c>
      <c r="CO1002" s="2">
        <f>SUM(CO$2:CO492)+BI492*AB492</f>
        <v>22060</v>
      </c>
      <c r="CP1002" s="2">
        <f>SUM(CP$2:CP492)+BJ492*AC492</f>
        <v>-15625</v>
      </c>
      <c r="CQ1002" s="2">
        <f>SUM(CQ$2:CQ492)+BK492*AD492</f>
        <v>27580.000000000007</v>
      </c>
      <c r="CR1002" s="2">
        <f>SUM(CR$2:CR492)+BL492*AE492</f>
        <v>-7020</v>
      </c>
      <c r="CV1002" t="s">
        <v>64</v>
      </c>
      <c r="CW1002" t="s">
        <v>1075</v>
      </c>
      <c r="CX1002" t="s">
        <v>19</v>
      </c>
      <c r="CY1002" s="4">
        <v>43005</v>
      </c>
      <c r="CZ1002" t="s">
        <v>67</v>
      </c>
      <c r="DA1002" t="s">
        <v>68</v>
      </c>
      <c r="DB1002">
        <v>15</v>
      </c>
      <c r="DC1002">
        <v>72.23</v>
      </c>
      <c r="DD1002" t="s">
        <v>69</v>
      </c>
      <c r="DE1002" t="s">
        <v>70</v>
      </c>
      <c r="DF1002">
        <v>1083.45</v>
      </c>
    </row>
    <row r="1003" spans="66:110" x14ac:dyDescent="0.25">
      <c r="BN1003" s="1">
        <f t="shared" si="342"/>
        <v>43448</v>
      </c>
      <c r="BO1003" s="2">
        <f>SUM(BO$2:BO493)+AI493*B493</f>
        <v>5289.9999999998836</v>
      </c>
      <c r="BP1003" s="2">
        <f>SUM(BP$2:BP493)+AJ493*C493</f>
        <v>36931.100000000006</v>
      </c>
      <c r="BQ1003" s="2">
        <f>SUM(BQ$2:BQ493)+AK493*D493</f>
        <v>183300.09999999998</v>
      </c>
      <c r="BR1003" s="2">
        <f>SUM(BR$2:BR493)+AL493*E493</f>
        <v>37327.699999999953</v>
      </c>
      <c r="BS1003" s="2">
        <f>SUM(BS$2:BS493)+AM493*F493</f>
        <v>19801.200000000019</v>
      </c>
      <c r="BT1003" s="2">
        <f>SUM(BT$2:BT493)+AN493*G493</f>
        <v>5307.3999999999651</v>
      </c>
      <c r="BU1003" s="2">
        <f>SUM(BU$2:BU493)+AO493*H493</f>
        <v>11836.200000000012</v>
      </c>
      <c r="BV1003" s="2">
        <f>SUM(BV$2:BV493)+AP493*I493</f>
        <v>-15573.100000000028</v>
      </c>
      <c r="BW1003" s="2">
        <f>SUM(BW$2:BW493)+AQ493*J493</f>
        <v>-62550</v>
      </c>
      <c r="BX1003" s="2">
        <f>SUM(BX$2:BX493)+AR493*K493</f>
        <v>13940</v>
      </c>
      <c r="BY1003" s="2">
        <f>SUM(BY$2:BY493)+AS493*L493</f>
        <v>-5574.0000000000118</v>
      </c>
      <c r="BZ1003" s="2">
        <f>SUM(BZ$2:BZ493)+AT493*M493</f>
        <v>740</v>
      </c>
      <c r="CA1003" s="2">
        <f>SUM(CA$2:CA493)+AU493*N493</f>
        <v>12660</v>
      </c>
      <c r="CB1003" s="2">
        <f>SUM(CB$2:CB493)+AV493*O493</f>
        <v>26740</v>
      </c>
      <c r="CC1003" s="2">
        <f>SUM(CC$2:CC493)+AW493*P493</f>
        <v>-20</v>
      </c>
      <c r="CD1003" s="2">
        <f>SUM(CD$2:CD493)+AX493*Q493</f>
        <v>14050</v>
      </c>
      <c r="CE1003" s="2">
        <f>SUM(CE$2:CE493)+AY493*R493</f>
        <v>27020</v>
      </c>
      <c r="CF1003" s="2">
        <f>SUM(CF$2:CF493)+AZ493*S493</f>
        <v>20158.319999999971</v>
      </c>
      <c r="CG1003" s="2">
        <f>SUM(CG$2:CG493)+BA493*T493</f>
        <v>44965.390000000029</v>
      </c>
      <c r="CH1003" s="2">
        <f>SUM(CH$2:CH493)+BB493*U493</f>
        <v>20742.410000000011</v>
      </c>
      <c r="CI1003" s="2">
        <f>SUM(CI$2:CI493)+BC493*V493</f>
        <v>-17070</v>
      </c>
      <c r="CJ1003" s="2">
        <f>SUM(CJ$2:CJ493)+BD493*W493</f>
        <v>-107110</v>
      </c>
      <c r="CK1003" s="2">
        <f>SUM(CK$2:CK493)+BE493*X493</f>
        <v>27930</v>
      </c>
      <c r="CL1003" s="2">
        <f>SUM(CL$2:CL493)+BF493*Y493</f>
        <v>332370</v>
      </c>
      <c r="CM1003" s="2">
        <f>SUM(CM$2:CM493)+BG493*Z493</f>
        <v>103150</v>
      </c>
      <c r="CN1003" s="2">
        <f>SUM(CN$2:CN493)+BH493*AA493</f>
        <v>167307.5</v>
      </c>
      <c r="CO1003" s="2">
        <f>SUM(CO$2:CO493)+BI493*AB493</f>
        <v>22030</v>
      </c>
      <c r="CP1003" s="2">
        <f>SUM(CP$2:CP493)+BJ493*AC493</f>
        <v>-8505</v>
      </c>
      <c r="CQ1003" s="2">
        <f>SUM(CQ$2:CQ493)+BK493*AD493</f>
        <v>26470.000000000007</v>
      </c>
      <c r="CR1003" s="2">
        <f>SUM(CR$2:CR493)+BL493*AE493</f>
        <v>-8400</v>
      </c>
      <c r="CV1003" t="s">
        <v>64</v>
      </c>
      <c r="CW1003" t="s">
        <v>1076</v>
      </c>
      <c r="CX1003" t="s">
        <v>19</v>
      </c>
      <c r="CY1003" s="4">
        <v>43006</v>
      </c>
      <c r="CZ1003" t="s">
        <v>65</v>
      </c>
      <c r="DA1003" t="s">
        <v>66</v>
      </c>
      <c r="DB1003">
        <v>73</v>
      </c>
      <c r="DC1003">
        <v>72.25</v>
      </c>
      <c r="DD1003" t="s">
        <v>69</v>
      </c>
      <c r="DE1003" t="s">
        <v>70</v>
      </c>
      <c r="DF1003">
        <v>5274.25</v>
      </c>
    </row>
    <row r="1004" spans="66:110" x14ac:dyDescent="0.25">
      <c r="BN1004" s="1">
        <f t="shared" si="342"/>
        <v>43451</v>
      </c>
      <c r="BO1004" s="2">
        <f>SUM(BO$2:BO494)+AI494*B494</f>
        <v>-2360.0000000001164</v>
      </c>
      <c r="BP1004" s="2">
        <f>SUM(BP$2:BP494)+AJ494*C494</f>
        <v>30856.100000000006</v>
      </c>
      <c r="BQ1004" s="2">
        <f>SUM(BQ$2:BQ494)+AK494*D494</f>
        <v>179776.59999999992</v>
      </c>
      <c r="BR1004" s="2">
        <f>SUM(BR$2:BR494)+AL494*E494</f>
        <v>34236.199999999953</v>
      </c>
      <c r="BS1004" s="2">
        <f>SUM(BS$2:BS494)+AM494*F494</f>
        <v>17627.700000000019</v>
      </c>
      <c r="BT1004" s="2">
        <f>SUM(BT$2:BT494)+AN494*G494</f>
        <v>3457.8999999999651</v>
      </c>
      <c r="BU1004" s="2">
        <f>SUM(BU$2:BU494)+AO494*H494</f>
        <v>9703.2000000000116</v>
      </c>
      <c r="BV1004" s="2">
        <f>SUM(BV$2:BV494)+AP494*I494</f>
        <v>-16926.100000000028</v>
      </c>
      <c r="BW1004" s="2">
        <f>SUM(BW$2:BW494)+AQ494*J494</f>
        <v>-67310</v>
      </c>
      <c r="BX1004" s="2">
        <f>SUM(BX$2:BX494)+AR494*K494</f>
        <v>13940</v>
      </c>
      <c r="BY1004" s="2">
        <f>SUM(BY$2:BY494)+AS494*L494</f>
        <v>-5611.6000000000113</v>
      </c>
      <c r="BZ1004" s="2">
        <f>SUM(BZ$2:BZ494)+AT494*M494</f>
        <v>740</v>
      </c>
      <c r="CA1004" s="2">
        <f>SUM(CA$2:CA494)+AU494*N494</f>
        <v>12660</v>
      </c>
      <c r="CB1004" s="2">
        <f>SUM(CB$2:CB494)+AV494*O494</f>
        <v>26740</v>
      </c>
      <c r="CC1004" s="2">
        <f>SUM(CC$2:CC494)+AW494*P494</f>
        <v>-20</v>
      </c>
      <c r="CD1004" s="2">
        <f>SUM(CD$2:CD494)+AX494*Q494</f>
        <v>14050</v>
      </c>
      <c r="CE1004" s="2">
        <f>SUM(CE$2:CE494)+AY494*R494</f>
        <v>27020</v>
      </c>
      <c r="CF1004" s="2">
        <f>SUM(CF$2:CF494)+AZ494*S494</f>
        <v>18964.569999999963</v>
      </c>
      <c r="CG1004" s="2">
        <f>SUM(CG$2:CG494)+BA494*T494</f>
        <v>41982.390000000029</v>
      </c>
      <c r="CH1004" s="2">
        <f>SUM(CH$2:CH494)+BB494*U494</f>
        <v>18067.700000000019</v>
      </c>
      <c r="CI1004" s="2">
        <f>SUM(CI$2:CI494)+BC494*V494</f>
        <v>-15030</v>
      </c>
      <c r="CJ1004" s="2">
        <f>SUM(CJ$2:CJ494)+BD494*W494</f>
        <v>-78310</v>
      </c>
      <c r="CK1004" s="2">
        <f>SUM(CK$2:CK494)+BE494*X494</f>
        <v>24830</v>
      </c>
      <c r="CL1004" s="2">
        <f>SUM(CL$2:CL494)+BF494*Y494</f>
        <v>297620</v>
      </c>
      <c r="CM1004" s="2">
        <f>SUM(CM$2:CM494)+BG494*Z494</f>
        <v>85800</v>
      </c>
      <c r="CN1004" s="2">
        <f>SUM(CN$2:CN494)+BH494*AA494</f>
        <v>158107.49999999994</v>
      </c>
      <c r="CO1004" s="2">
        <f>SUM(CO$2:CO494)+BI494*AB494</f>
        <v>18670</v>
      </c>
      <c r="CP1004" s="2">
        <f>SUM(CP$2:CP494)+BJ494*AC494</f>
        <v>-3505</v>
      </c>
      <c r="CQ1004" s="2">
        <f>SUM(CQ$2:CQ494)+BK494*AD494</f>
        <v>25390.000000000007</v>
      </c>
      <c r="CR1004" s="2">
        <f>SUM(CR$2:CR494)+BL494*AE494</f>
        <v>-9920</v>
      </c>
      <c r="CV1004" t="s">
        <v>64</v>
      </c>
      <c r="CW1004" t="s">
        <v>1077</v>
      </c>
      <c r="CX1004" t="s">
        <v>19</v>
      </c>
      <c r="CY1004" s="4">
        <v>43007</v>
      </c>
      <c r="CZ1004" t="s">
        <v>67</v>
      </c>
      <c r="DA1004" t="s">
        <v>68</v>
      </c>
      <c r="DB1004">
        <v>23</v>
      </c>
      <c r="DC1004">
        <v>72.86</v>
      </c>
      <c r="DD1004" t="s">
        <v>69</v>
      </c>
      <c r="DE1004" t="s">
        <v>70</v>
      </c>
      <c r="DF1004">
        <v>1675.78</v>
      </c>
    </row>
    <row r="1005" spans="66:110" x14ac:dyDescent="0.25">
      <c r="BN1005" s="1">
        <f t="shared" si="342"/>
        <v>43452</v>
      </c>
      <c r="BO1005" s="2">
        <f>SUM(BO$2:BO495)+AI495*B495</f>
        <v>8240</v>
      </c>
      <c r="BP1005" s="2">
        <f>SUM(BP$2:BP495)+AJ495*C495</f>
        <v>30640.100000000006</v>
      </c>
      <c r="BQ1005" s="2">
        <f>SUM(BQ$2:BQ495)+AK495*D495</f>
        <v>195801.09999999992</v>
      </c>
      <c r="BR1005" s="2">
        <f>SUM(BR$2:BR495)+AL495*E495</f>
        <v>33979.699999999953</v>
      </c>
      <c r="BS1005" s="2">
        <f>SUM(BS$2:BS495)+AM495*F495</f>
        <v>17438.700000000019</v>
      </c>
      <c r="BT1005" s="2">
        <f>SUM(BT$2:BT495)+AN495*G495</f>
        <v>-160.10000000003492</v>
      </c>
      <c r="BU1005" s="2">
        <f>SUM(BU$2:BU495)+AO495*H495</f>
        <v>8123.7000000000116</v>
      </c>
      <c r="BV1005" s="2">
        <f>SUM(BV$2:BV495)+AP495*I495</f>
        <v>-16175.800000000032</v>
      </c>
      <c r="BW1005" s="2">
        <f>SUM(BW$2:BW495)+AQ495*J495</f>
        <v>-63820</v>
      </c>
      <c r="BX1005" s="2">
        <f>SUM(BX$2:BX495)+AR495*K495</f>
        <v>13940</v>
      </c>
      <c r="BY1005" s="2">
        <f>SUM(BY$2:BY495)+AS495*L495</f>
        <v>-5606.1000000000113</v>
      </c>
      <c r="BZ1005" s="2">
        <f>SUM(BZ$2:BZ495)+AT495*M495</f>
        <v>740</v>
      </c>
      <c r="CA1005" s="2">
        <f>SUM(CA$2:CA495)+AU495*N495</f>
        <v>12660</v>
      </c>
      <c r="CB1005" s="2">
        <f>SUM(CB$2:CB495)+AV495*O495</f>
        <v>26740</v>
      </c>
      <c r="CC1005" s="2">
        <f>SUM(CC$2:CC495)+AW495*P495</f>
        <v>-20</v>
      </c>
      <c r="CD1005" s="2">
        <f>SUM(CD$2:CD495)+AX495*Q495</f>
        <v>14050</v>
      </c>
      <c r="CE1005" s="2">
        <f>SUM(CE$2:CE495)+AY495*R495</f>
        <v>27020</v>
      </c>
      <c r="CF1005" s="2">
        <f>SUM(CF$2:CF495)+AZ495*S495</f>
        <v>18109.569999999963</v>
      </c>
      <c r="CG1005" s="2">
        <f>SUM(CG$2:CG495)+BA495*T495</f>
        <v>43149.870000000024</v>
      </c>
      <c r="CH1005" s="2">
        <f>SUM(CH$2:CH495)+BB495*U495</f>
        <v>19351.450000000026</v>
      </c>
      <c r="CI1005" s="2">
        <f>SUM(CI$2:CI495)+BC495*V495</f>
        <v>-12900</v>
      </c>
      <c r="CJ1005" s="2">
        <f>SUM(CJ$2:CJ495)+BD495*W495</f>
        <v>-76210</v>
      </c>
      <c r="CK1005" s="2">
        <f>SUM(CK$2:CK495)+BE495*X495</f>
        <v>21680</v>
      </c>
      <c r="CL1005" s="2">
        <f>SUM(CL$2:CL495)+BF495*Y495</f>
        <v>272120</v>
      </c>
      <c r="CM1005" s="2">
        <f>SUM(CM$2:CM495)+BG495*Z495</f>
        <v>88150</v>
      </c>
      <c r="CN1005" s="2">
        <f>SUM(CN$2:CN495)+BH495*AA495</f>
        <v>161257.5</v>
      </c>
      <c r="CO1005" s="2">
        <f>SUM(CO$2:CO495)+BI495*AB495</f>
        <v>17800</v>
      </c>
      <c r="CP1005" s="2">
        <f>SUM(CP$2:CP495)+BJ495*AC495</f>
        <v>-2025</v>
      </c>
      <c r="CQ1005" s="2">
        <f>SUM(CQ$2:CQ495)+BK495*AD495</f>
        <v>25700.000000000007</v>
      </c>
      <c r="CR1005" s="2">
        <f>SUM(CR$2:CR495)+BL495*AE495</f>
        <v>-11940</v>
      </c>
      <c r="CV1005" t="s">
        <v>64</v>
      </c>
      <c r="CW1005" t="s">
        <v>1078</v>
      </c>
      <c r="CX1005" t="s">
        <v>19</v>
      </c>
      <c r="CY1005" s="4">
        <v>43010</v>
      </c>
      <c r="CZ1005" t="s">
        <v>65</v>
      </c>
      <c r="DA1005" t="s">
        <v>66</v>
      </c>
      <c r="DB1005">
        <v>107</v>
      </c>
      <c r="DC1005">
        <v>72.97</v>
      </c>
      <c r="DD1005" t="s">
        <v>69</v>
      </c>
      <c r="DE1005" t="s">
        <v>70</v>
      </c>
      <c r="DF1005">
        <v>7807.79</v>
      </c>
    </row>
    <row r="1006" spans="66:110" x14ac:dyDescent="0.25">
      <c r="BN1006" s="1">
        <f t="shared" si="342"/>
        <v>43453</v>
      </c>
      <c r="BO1006" s="2">
        <f>SUM(BO$2:BO496)+AI496*B496</f>
        <v>-17560.000000000116</v>
      </c>
      <c r="BP1006" s="2">
        <f>SUM(BP$2:BP496)+AJ496*C496</f>
        <v>27616.100000000006</v>
      </c>
      <c r="BQ1006" s="2">
        <f>SUM(BQ$2:BQ496)+AK496*D496</f>
        <v>184366.59999999992</v>
      </c>
      <c r="BR1006" s="2">
        <f>SUM(BR$2:BR496)+AL496*E496</f>
        <v>31374.199999999953</v>
      </c>
      <c r="BS1006" s="2">
        <f>SUM(BS$2:BS496)+AM496*F496</f>
        <v>16210.200000000019</v>
      </c>
      <c r="BT1006" s="2">
        <f>SUM(BT$2:BT496)+AN496*G496</f>
        <v>-2711.6000000000349</v>
      </c>
      <c r="BU1006" s="2">
        <f>SUM(BU$2:BU496)+AO496*H496</f>
        <v>7813.2000000000116</v>
      </c>
      <c r="BV1006" s="2">
        <f>SUM(BV$2:BV496)+AP496*I496</f>
        <v>-16335.700000000033</v>
      </c>
      <c r="BW1006" s="2">
        <f>SUM(BW$2:BW496)+AQ496*J496</f>
        <v>-66070</v>
      </c>
      <c r="BX1006" s="2">
        <f>SUM(BX$2:BX496)+AR496*K496</f>
        <v>13940</v>
      </c>
      <c r="BY1006" s="2">
        <f>SUM(BY$2:BY496)+AS496*L496</f>
        <v>-5608.300000000012</v>
      </c>
      <c r="BZ1006" s="2">
        <f>SUM(BZ$2:BZ496)+AT496*M496</f>
        <v>740</v>
      </c>
      <c r="CA1006" s="2">
        <f>SUM(CA$2:CA496)+AU496*N496</f>
        <v>12660</v>
      </c>
      <c r="CB1006" s="2">
        <f>SUM(CB$2:CB496)+AV496*O496</f>
        <v>26740</v>
      </c>
      <c r="CC1006" s="2">
        <f>SUM(CC$2:CC496)+AW496*P496</f>
        <v>-20</v>
      </c>
      <c r="CD1006" s="2">
        <f>SUM(CD$2:CD496)+AX496*Q496</f>
        <v>14050</v>
      </c>
      <c r="CE1006" s="2">
        <f>SUM(CE$2:CE496)+AY496*R496</f>
        <v>27020</v>
      </c>
      <c r="CF1006" s="2">
        <f>SUM(CF$2:CF496)+AZ496*S496</f>
        <v>17557.969999999958</v>
      </c>
      <c r="CG1006" s="2">
        <f>SUM(CG$2:CG496)+BA496*T496</f>
        <v>42849.430000000029</v>
      </c>
      <c r="CH1006" s="2">
        <f>SUM(CH$2:CH496)+BB496*U496</f>
        <v>17332.770000000019</v>
      </c>
      <c r="CI1006" s="2">
        <f>SUM(CI$2:CI496)+BC496*V496</f>
        <v>-11640</v>
      </c>
      <c r="CJ1006" s="2">
        <f>SUM(CJ$2:CJ496)+BD496*W496</f>
        <v>-70810</v>
      </c>
      <c r="CK1006" s="2">
        <f>SUM(CK$2:CK496)+BE496*X496</f>
        <v>20980</v>
      </c>
      <c r="CL1006" s="2">
        <f>SUM(CL$2:CL496)+BF496*Y496</f>
        <v>258820</v>
      </c>
      <c r="CM1006" s="2">
        <f>SUM(CM$2:CM496)+BG496*Z496</f>
        <v>78300</v>
      </c>
      <c r="CN1006" s="2">
        <f>SUM(CN$2:CN496)+BH496*AA496</f>
        <v>157757.5</v>
      </c>
      <c r="CO1006" s="2">
        <f>SUM(CO$2:CO496)+BI496*AB496</f>
        <v>18400</v>
      </c>
      <c r="CP1006" s="2">
        <f>SUM(CP$2:CP496)+BJ496*AC496</f>
        <v>2335</v>
      </c>
      <c r="CQ1006" s="2">
        <f>SUM(CQ$2:CQ496)+BK496*AD496</f>
        <v>25170.000000000007</v>
      </c>
      <c r="CR1006" s="2">
        <f>SUM(CR$2:CR496)+BL496*AE496</f>
        <v>-13150</v>
      </c>
      <c r="CV1006" t="s">
        <v>64</v>
      </c>
      <c r="CW1006" t="s">
        <v>1079</v>
      </c>
      <c r="CX1006" t="s">
        <v>19</v>
      </c>
      <c r="CY1006" s="4">
        <v>43011</v>
      </c>
      <c r="CZ1006" t="s">
        <v>67</v>
      </c>
      <c r="DA1006" t="s">
        <v>68</v>
      </c>
      <c r="DB1006">
        <v>40</v>
      </c>
      <c r="DC1006">
        <v>72.63</v>
      </c>
      <c r="DD1006" t="s">
        <v>69</v>
      </c>
      <c r="DE1006" t="s">
        <v>70</v>
      </c>
      <c r="DF1006">
        <v>2905.2</v>
      </c>
    </row>
    <row r="1007" spans="66:110" x14ac:dyDescent="0.25">
      <c r="BN1007" s="1">
        <f t="shared" si="342"/>
        <v>43454</v>
      </c>
      <c r="BO1007" s="2">
        <f>SUM(BO$2:BO497)+AI497*B497</f>
        <v>-37760.000000000116</v>
      </c>
      <c r="BP1007" s="2">
        <f>SUM(BP$2:BP497)+AJ497*C497</f>
        <v>23579.600000000006</v>
      </c>
      <c r="BQ1007" s="2">
        <f>SUM(BQ$2:BQ497)+AK497*D497</f>
        <v>175645.59999999992</v>
      </c>
      <c r="BR1007" s="2">
        <f>SUM(BR$2:BR497)+AL497*E497</f>
        <v>30321.199999999953</v>
      </c>
      <c r="BS1007" s="2">
        <f>SUM(BS$2:BS497)+AM497*F497</f>
        <v>15332.700000000012</v>
      </c>
      <c r="BT1007" s="2">
        <f>SUM(BT$2:BT497)+AN497*G497</f>
        <v>-6518.6000000000349</v>
      </c>
      <c r="BU1007" s="2">
        <f>SUM(BU$2:BU497)+AO497*H497</f>
        <v>4816.2000000000116</v>
      </c>
      <c r="BV1007" s="2">
        <f>SUM(BV$2:BV497)+AP497*I497</f>
        <v>-17713.300000000032</v>
      </c>
      <c r="BW1007" s="2">
        <f>SUM(BW$2:BW497)+AQ497*J497</f>
        <v>-66910</v>
      </c>
      <c r="BX1007" s="2">
        <f>SUM(BX$2:BX497)+AR497*K497</f>
        <v>13940</v>
      </c>
      <c r="BY1007" s="2">
        <f>SUM(BY$2:BY497)+AS497*L497</f>
        <v>-5642.0000000000118</v>
      </c>
      <c r="BZ1007" s="2">
        <f>SUM(BZ$2:BZ497)+AT497*M497</f>
        <v>740</v>
      </c>
      <c r="CA1007" s="2">
        <f>SUM(CA$2:CA497)+AU497*N497</f>
        <v>12660</v>
      </c>
      <c r="CB1007" s="2">
        <f>SUM(CB$2:CB497)+AV497*O497</f>
        <v>26740</v>
      </c>
      <c r="CC1007" s="2">
        <f>SUM(CC$2:CC497)+AW497*P497</f>
        <v>-20</v>
      </c>
      <c r="CD1007" s="2">
        <f>SUM(CD$2:CD497)+AX497*Q497</f>
        <v>14050</v>
      </c>
      <c r="CE1007" s="2">
        <f>SUM(CE$2:CE497)+AY497*R497</f>
        <v>27020</v>
      </c>
      <c r="CF1007" s="2">
        <f>SUM(CF$2:CF497)+AZ497*S497</f>
        <v>17274.329999999958</v>
      </c>
      <c r="CG1007" s="2">
        <f>SUM(CG$2:CG497)+BA497*T497</f>
        <v>40846.010000000038</v>
      </c>
      <c r="CH1007" s="2">
        <f>SUM(CH$2:CH497)+BB497*U497</f>
        <v>15984.930000000022</v>
      </c>
      <c r="CI1007" s="2">
        <f>SUM(CI$2:CI497)+BC497*V497</f>
        <v>-11580.000000000015</v>
      </c>
      <c r="CJ1007" s="2">
        <f>SUM(CJ$2:CJ497)+BD497*W497</f>
        <v>-65035</v>
      </c>
      <c r="CK1007" s="2">
        <f>SUM(CK$2:CK497)+BE497*X497</f>
        <v>11780</v>
      </c>
      <c r="CL1007" s="2">
        <f>SUM(CL$2:CL497)+BF497*Y497</f>
        <v>219470</v>
      </c>
      <c r="CM1007" s="2">
        <f>SUM(CM$2:CM497)+BG497*Z497</f>
        <v>57500</v>
      </c>
      <c r="CN1007" s="2">
        <f>SUM(CN$2:CN497)+BH497*AA497</f>
        <v>151532.5</v>
      </c>
      <c r="CO1007" s="2">
        <f>SUM(CO$2:CO497)+BI497*AB497</f>
        <v>16060</v>
      </c>
      <c r="CP1007" s="2">
        <f>SUM(CP$2:CP497)+BJ497*AC497</f>
        <v>9635</v>
      </c>
      <c r="CQ1007" s="2">
        <f>SUM(CQ$2:CQ497)+BK497*AD497</f>
        <v>21900.000000000007</v>
      </c>
      <c r="CR1007" s="2">
        <f>SUM(CR$2:CR497)+BL497*AE497</f>
        <v>-15270</v>
      </c>
      <c r="CV1007" t="s">
        <v>64</v>
      </c>
      <c r="CW1007" t="s">
        <v>1080</v>
      </c>
      <c r="CX1007" t="s">
        <v>19</v>
      </c>
      <c r="CY1007" s="4">
        <v>43012</v>
      </c>
      <c r="CZ1007" t="s">
        <v>67</v>
      </c>
      <c r="DA1007" t="s">
        <v>68</v>
      </c>
      <c r="DB1007">
        <v>6</v>
      </c>
      <c r="DC1007">
        <v>73.05</v>
      </c>
      <c r="DD1007" t="s">
        <v>69</v>
      </c>
      <c r="DE1007" t="s">
        <v>70</v>
      </c>
      <c r="DF1007">
        <v>438.29999999999995</v>
      </c>
    </row>
    <row r="1008" spans="66:110" x14ac:dyDescent="0.25">
      <c r="BN1008" s="1">
        <f t="shared" si="342"/>
        <v>43455</v>
      </c>
      <c r="BO1008" s="2">
        <f>SUM(BO$2:BO498)+AI498*B498</f>
        <v>-68110.000000000116</v>
      </c>
      <c r="BP1008" s="2">
        <f>SUM(BP$2:BP498)+AJ498*C498</f>
        <v>17612.599999999991</v>
      </c>
      <c r="BQ1008" s="2">
        <f>SUM(BQ$2:BQ498)+AK498*D498</f>
        <v>164224.59999999986</v>
      </c>
      <c r="BR1008" s="2">
        <f>SUM(BR$2:BR498)+AL498*E498</f>
        <v>28336.699999999953</v>
      </c>
      <c r="BS1008" s="2">
        <f>SUM(BS$2:BS498)+AM498*F498</f>
        <v>14482.200000000019</v>
      </c>
      <c r="BT1008" s="2">
        <f>SUM(BT$2:BT498)+AN498*G498</f>
        <v>-7558.1000000000349</v>
      </c>
      <c r="BU1008" s="2">
        <f>SUM(BU$2:BU498)+AO498*H498</f>
        <v>1063.2000000000116</v>
      </c>
      <c r="BV1008" s="2">
        <f>SUM(BV$2:BV498)+AP498*I498</f>
        <v>-18266.800000000025</v>
      </c>
      <c r="BW1008" s="2">
        <f>SUM(BW$2:BW498)+AQ498*J498</f>
        <v>-75270</v>
      </c>
      <c r="BX1008" s="2">
        <f>SUM(BX$2:BX498)+AR498*K498</f>
        <v>13940</v>
      </c>
      <c r="BY1008" s="2">
        <f>SUM(BY$2:BY498)+AS498*L498</f>
        <v>-5662.6000000000113</v>
      </c>
      <c r="BZ1008" s="2">
        <f>SUM(BZ$2:BZ498)+AT498*M498</f>
        <v>740</v>
      </c>
      <c r="CA1008" s="2">
        <f>SUM(CA$2:CA498)+AU498*N498</f>
        <v>12660</v>
      </c>
      <c r="CB1008" s="2">
        <f>SUM(CB$2:CB498)+AV498*O498</f>
        <v>26740</v>
      </c>
      <c r="CC1008" s="2">
        <f>SUM(CC$2:CC498)+AW498*P498</f>
        <v>-20</v>
      </c>
      <c r="CD1008" s="2">
        <f>SUM(CD$2:CD498)+AX498*Q498</f>
        <v>14050</v>
      </c>
      <c r="CE1008" s="2">
        <f>SUM(CE$2:CE498)+AY498*R498</f>
        <v>27020</v>
      </c>
      <c r="CF1008" s="2">
        <f>SUM(CF$2:CF498)+AZ498*S498</f>
        <v>16696.719999999979</v>
      </c>
      <c r="CG1008" s="2">
        <f>SUM(CG$2:CG498)+BA498*T498</f>
        <v>37818.570000000029</v>
      </c>
      <c r="CH1008" s="2">
        <f>SUM(CH$2:CH498)+BB498*U498</f>
        <v>21246.010000000024</v>
      </c>
      <c r="CI1008" s="2">
        <f>SUM(CI$2:CI498)+BC498*V498</f>
        <v>-11520</v>
      </c>
      <c r="CJ1008" s="2">
        <f>SUM(CJ$2:CJ498)+BD498*W498</f>
        <v>-64960</v>
      </c>
      <c r="CK1008" s="2">
        <f>SUM(CK$2:CK498)+BE498*X498</f>
        <v>5480</v>
      </c>
      <c r="CL1008" s="2">
        <f>SUM(CL$2:CL498)+BF498*Y498</f>
        <v>198970</v>
      </c>
      <c r="CM1008" s="2">
        <f>SUM(CM$2:CM498)+BG498*Z498</f>
        <v>40400</v>
      </c>
      <c r="CN1008" s="2">
        <f>SUM(CN$2:CN498)+BH498*AA498</f>
        <v>140282.5</v>
      </c>
      <c r="CO1008" s="2">
        <f>SUM(CO$2:CO498)+BI498*AB498</f>
        <v>15610</v>
      </c>
      <c r="CP1008" s="2">
        <f>SUM(CP$2:CP498)+BJ498*AC498</f>
        <v>14315</v>
      </c>
      <c r="CQ1008" s="2">
        <f>SUM(CQ$2:CQ498)+BK498*AD498</f>
        <v>21750.000000000007</v>
      </c>
      <c r="CR1008" s="2">
        <f>SUM(CR$2:CR498)+BL498*AE498</f>
        <v>-15780</v>
      </c>
      <c r="CV1008" t="s">
        <v>64</v>
      </c>
      <c r="CW1008" t="s">
        <v>1081</v>
      </c>
      <c r="CX1008" t="s">
        <v>19</v>
      </c>
      <c r="CY1008" s="4">
        <v>43013</v>
      </c>
      <c r="CZ1008" t="s">
        <v>65</v>
      </c>
      <c r="DA1008" t="s">
        <v>66</v>
      </c>
      <c r="DB1008">
        <v>56</v>
      </c>
      <c r="DC1008">
        <v>74.3</v>
      </c>
      <c r="DD1008" t="s">
        <v>69</v>
      </c>
      <c r="DE1008" t="s">
        <v>70</v>
      </c>
      <c r="DF1008">
        <v>4160.8</v>
      </c>
    </row>
    <row r="1009" spans="66:110" x14ac:dyDescent="0.25">
      <c r="BN1009" s="1">
        <f t="shared" si="342"/>
        <v>43458</v>
      </c>
      <c r="BO1009" s="2">
        <f>SUM(BO$2:BO499)+AI499*B499</f>
        <v>-87560.000000000116</v>
      </c>
      <c r="BP1009" s="2">
        <f>SUM(BP$2:BP499)+AJ499*C499</f>
        <v>15155.600000000006</v>
      </c>
      <c r="BQ1009" s="2">
        <f>SUM(BQ$2:BQ499)+AK499*D499</f>
        <v>150265.59999999992</v>
      </c>
      <c r="BR1009" s="2">
        <f>SUM(BR$2:BR499)+AL499*E499</f>
        <v>24151.699999999953</v>
      </c>
      <c r="BS1009" s="2">
        <f>SUM(BS$2:BS499)+AM499*F499</f>
        <v>12376.200000000019</v>
      </c>
      <c r="BT1009" s="2">
        <f>SUM(BT$2:BT499)+AN499*G499</f>
        <v>-11864.600000000035</v>
      </c>
      <c r="BU1009" s="2">
        <f>SUM(BU$2:BU499)+AO499*H499</f>
        <v>-4161.2999999999884</v>
      </c>
      <c r="BV1009" s="2">
        <f>SUM(BV$2:BV499)+AP499*I499</f>
        <v>-20111.800000000025</v>
      </c>
      <c r="BW1009" s="2">
        <f>SUM(BW$2:BW499)+AQ499*J499</f>
        <v>-78970</v>
      </c>
      <c r="BX1009" s="2">
        <f>SUM(BX$2:BX499)+AR499*K499</f>
        <v>13940</v>
      </c>
      <c r="BY1009" s="2">
        <f>SUM(BY$2:BY499)+AS499*L499</f>
        <v>-5695.9000000000115</v>
      </c>
      <c r="BZ1009" s="2">
        <f>SUM(BZ$2:BZ499)+AT499*M499</f>
        <v>740</v>
      </c>
      <c r="CA1009" s="2">
        <f>SUM(CA$2:CA499)+AU499*N499</f>
        <v>12660</v>
      </c>
      <c r="CB1009" s="2">
        <f>SUM(CB$2:CB499)+AV499*O499</f>
        <v>26740</v>
      </c>
      <c r="CC1009" s="2">
        <f>SUM(CC$2:CC499)+AW499*P499</f>
        <v>-20</v>
      </c>
      <c r="CD1009" s="2">
        <f>SUM(CD$2:CD499)+AX499*Q499</f>
        <v>14050</v>
      </c>
      <c r="CE1009" s="2">
        <f>SUM(CE$2:CE499)+AY499*R499</f>
        <v>27020</v>
      </c>
      <c r="CF1009" s="2">
        <f>SUM(CF$2:CF499)+AZ499*S499</f>
        <v>14897.719999999972</v>
      </c>
      <c r="CG1009" s="2">
        <f>SUM(CG$2:CG499)+BA499*T499</f>
        <v>34071.170000000027</v>
      </c>
      <c r="CH1009" s="2">
        <f>SUM(CH$2:CH499)+BB499*U499</f>
        <v>16766.780000000013</v>
      </c>
      <c r="CI1009" s="2">
        <f>SUM(CI$2:CI499)+BC499*V499</f>
        <v>-7410.0000000000146</v>
      </c>
      <c r="CJ1009" s="2">
        <f>SUM(CJ$2:CJ499)+BD499*W499</f>
        <v>-38035</v>
      </c>
      <c r="CK1009" s="2">
        <f>SUM(CK$2:CK499)+BE499*X499</f>
        <v>-11670</v>
      </c>
      <c r="CL1009" s="2">
        <f>SUM(CL$2:CL499)+BF499*Y499</f>
        <v>171970</v>
      </c>
      <c r="CM1009" s="2">
        <f>SUM(CM$2:CM499)+BG499*Z499</f>
        <v>19949.999999999942</v>
      </c>
      <c r="CN1009" s="2">
        <f>SUM(CN$2:CN499)+BH499*AA499</f>
        <v>133982.5</v>
      </c>
      <c r="CO1009" s="2">
        <f>SUM(CO$2:CO499)+BI499*AB499</f>
        <v>10060</v>
      </c>
      <c r="CP1009" s="2">
        <f>SUM(CP$2:CP499)+BJ499*AC499</f>
        <v>18295</v>
      </c>
      <c r="CQ1009" s="2">
        <f>SUM(CQ$2:CQ499)+BK499*AD499</f>
        <v>20440.000000000007</v>
      </c>
      <c r="CR1009" s="2">
        <f>SUM(CR$2:CR499)+BL499*AE499</f>
        <v>-18359.999999999993</v>
      </c>
      <c r="CV1009" t="s">
        <v>64</v>
      </c>
      <c r="CW1009" t="s">
        <v>1082</v>
      </c>
      <c r="CX1009" t="s">
        <v>19</v>
      </c>
      <c r="CY1009" s="4">
        <v>43014</v>
      </c>
      <c r="CZ1009" t="s">
        <v>67</v>
      </c>
      <c r="DA1009" t="s">
        <v>68</v>
      </c>
      <c r="DB1009">
        <v>155</v>
      </c>
      <c r="DC1009">
        <v>74.33</v>
      </c>
      <c r="DD1009" t="s">
        <v>69</v>
      </c>
      <c r="DE1009" t="s">
        <v>70</v>
      </c>
      <c r="DF1009">
        <v>11521.15</v>
      </c>
    </row>
    <row r="1010" spans="66:110" x14ac:dyDescent="0.25">
      <c r="BN1010" s="1">
        <f t="shared" si="342"/>
        <v>43460</v>
      </c>
      <c r="BO1010" s="2">
        <f>SUM(BO$2:BO500)+AI500*B500</f>
        <v>-36060.000000000116</v>
      </c>
      <c r="BP1010" s="2">
        <f>SUM(BP$2:BP500)+AJ500*C500</f>
        <v>20987.599999999991</v>
      </c>
      <c r="BQ1010" s="2">
        <f>SUM(BQ$2:BQ500)+AK500*D500</f>
        <v>176820.09999999992</v>
      </c>
      <c r="BR1010" s="2">
        <f>SUM(BR$2:BR500)+AL500*E500</f>
        <v>34627.699999999953</v>
      </c>
      <c r="BS1010" s="2">
        <f>SUM(BS$2:BS500)+AM500*F500</f>
        <v>15305.700000000019</v>
      </c>
      <c r="BT1010" s="2">
        <f>SUM(BT$2:BT500)+AN500*G500</f>
        <v>-3305.6000000000349</v>
      </c>
      <c r="BU1010" s="2">
        <f>SUM(BU$2:BU500)+AO500*H500</f>
        <v>3236.7000000000116</v>
      </c>
      <c r="BV1010" s="2">
        <f>SUM(BV$2:BV500)+AP500*I500</f>
        <v>-16249.600000000035</v>
      </c>
      <c r="BW1010" s="2">
        <f>SUM(BW$2:BW500)+AQ500*J500</f>
        <v>-72390</v>
      </c>
      <c r="BX1010" s="2">
        <f>SUM(BX$2:BX500)+AR500*K500</f>
        <v>13940</v>
      </c>
      <c r="BY1010" s="2">
        <f>SUM(BY$2:BY500)+AS500*L500</f>
        <v>-5658.1000000000113</v>
      </c>
      <c r="BZ1010" s="2">
        <f>SUM(BZ$2:BZ500)+AT500*M500</f>
        <v>740</v>
      </c>
      <c r="CA1010" s="2">
        <f>SUM(CA$2:CA500)+AU500*N500</f>
        <v>12660</v>
      </c>
      <c r="CB1010" s="2">
        <f>SUM(CB$2:CB500)+AV500*O500</f>
        <v>26740</v>
      </c>
      <c r="CC1010" s="2">
        <f>SUM(CC$2:CC500)+AW500*P500</f>
        <v>-20</v>
      </c>
      <c r="CD1010" s="2">
        <f>SUM(CD$2:CD500)+AX500*Q500</f>
        <v>14050</v>
      </c>
      <c r="CE1010" s="2">
        <f>SUM(CE$2:CE500)+AY500*R500</f>
        <v>27020</v>
      </c>
      <c r="CF1010" s="2">
        <f>SUM(CF$2:CF500)+AZ500*S500</f>
        <v>17702.119999999966</v>
      </c>
      <c r="CG1010" s="2">
        <f>SUM(CG$2:CG500)+BA500*T500</f>
        <v>40597.620000000032</v>
      </c>
      <c r="CH1010" s="2">
        <f>SUM(CH$2:CH500)+BB500*U500</f>
        <v>21524.570000000029</v>
      </c>
      <c r="CI1010" s="2">
        <f>SUM(CI$2:CI500)+BC500*V500</f>
        <v>-12270</v>
      </c>
      <c r="CJ1010" s="2">
        <f>SUM(CJ$2:CJ500)+BD500*W500</f>
        <v>-58360</v>
      </c>
      <c r="CK1010" s="2">
        <f>SUM(CK$2:CK500)+BE500*X500</f>
        <v>11030</v>
      </c>
      <c r="CL1010" s="2">
        <f>SUM(CL$2:CL500)+BF500*Y500</f>
        <v>224020</v>
      </c>
      <c r="CM1010" s="2">
        <f>SUM(CM$2:CM500)+BG500*Z500</f>
        <v>39550</v>
      </c>
      <c r="CN1010" s="2">
        <f>SUM(CN$2:CN500)+BH500*AA500</f>
        <v>155182.5</v>
      </c>
      <c r="CO1010" s="2">
        <f>SUM(CO$2:CO500)+BI500*AB500</f>
        <v>14200</v>
      </c>
      <c r="CP1010" s="2">
        <f>SUM(CP$2:CP500)+BJ500*AC500</f>
        <v>13395</v>
      </c>
      <c r="CQ1010" s="2">
        <f>SUM(CQ$2:CQ500)+BK500*AD500</f>
        <v>25030.000000000007</v>
      </c>
      <c r="CR1010" s="2">
        <f>SUM(CR$2:CR500)+BL500*AE500</f>
        <v>-15260</v>
      </c>
      <c r="CV1010" t="s">
        <v>64</v>
      </c>
      <c r="CW1010" t="s">
        <v>1083</v>
      </c>
      <c r="CX1010" t="s">
        <v>19</v>
      </c>
      <c r="CY1010" s="4">
        <v>43017</v>
      </c>
      <c r="CZ1010" t="s">
        <v>65</v>
      </c>
      <c r="DA1010" t="s">
        <v>66</v>
      </c>
      <c r="DB1010">
        <v>163</v>
      </c>
      <c r="DC1010">
        <v>74.62</v>
      </c>
      <c r="DD1010" t="s">
        <v>69</v>
      </c>
      <c r="DE1010" t="s">
        <v>70</v>
      </c>
      <c r="DF1010">
        <v>12163.060000000001</v>
      </c>
    </row>
    <row r="1011" spans="66:110" x14ac:dyDescent="0.25">
      <c r="BN1011" s="1">
        <f t="shared" si="342"/>
        <v>43461</v>
      </c>
      <c r="BO1011" s="2">
        <f>SUM(BO$2:BO501)+AI501*B501</f>
        <v>-41160.000000000116</v>
      </c>
      <c r="BP1011" s="2">
        <f>SUM(BP$2:BP501)+AJ501*C501</f>
        <v>22108.10000000002</v>
      </c>
      <c r="BQ1011" s="2">
        <f>SUM(BQ$2:BQ501)+AK501*D501</f>
        <v>181126.59999999992</v>
      </c>
      <c r="BR1011" s="2">
        <f>SUM(BR$2:BR501)+AL501*E501</f>
        <v>37192.699999999953</v>
      </c>
      <c r="BS1011" s="2">
        <f>SUM(BS$2:BS501)+AM501*F501</f>
        <v>15899.700000000019</v>
      </c>
      <c r="BT1011" s="2">
        <f>SUM(BT$2:BT501)+AN501*G501</f>
        <v>-727.10000000003492</v>
      </c>
      <c r="BU1011" s="2">
        <f>SUM(BU$2:BU501)+AO501*H501</f>
        <v>4168.2000000000116</v>
      </c>
      <c r="BV1011" s="2">
        <f>SUM(BV$2:BV501)+AP501*I501</f>
        <v>-14896.600000000035</v>
      </c>
      <c r="BW1011" s="2">
        <f>SUM(BW$2:BW501)+AQ501*J501</f>
        <v>-69910</v>
      </c>
      <c r="BX1011" s="2">
        <f>SUM(BX$2:BX501)+AR501*K501</f>
        <v>13940</v>
      </c>
      <c r="BY1011" s="2">
        <f>SUM(BY$2:BY501)+AS501*L501</f>
        <v>-5634.5000000000118</v>
      </c>
      <c r="BZ1011" s="2">
        <f>SUM(BZ$2:BZ501)+AT501*M501</f>
        <v>740</v>
      </c>
      <c r="CA1011" s="2">
        <f>SUM(CA$2:CA501)+AU501*N501</f>
        <v>12660</v>
      </c>
      <c r="CB1011" s="2">
        <f>SUM(CB$2:CB501)+AV501*O501</f>
        <v>26740</v>
      </c>
      <c r="CC1011" s="2">
        <f>SUM(CC$2:CC501)+AW501*P501</f>
        <v>-20</v>
      </c>
      <c r="CD1011" s="2">
        <f>SUM(CD$2:CD501)+AX501*Q501</f>
        <v>14050</v>
      </c>
      <c r="CE1011" s="2">
        <f>SUM(CE$2:CE501)+AY501*R501</f>
        <v>27020</v>
      </c>
      <c r="CF1011" s="2">
        <f>SUM(CF$2:CF501)+AZ501*S501</f>
        <v>19135.939999999959</v>
      </c>
      <c r="CG1011" s="2">
        <f>SUM(CG$2:CG501)+BA501*T501</f>
        <v>41248.000000000029</v>
      </c>
      <c r="CH1011" s="2">
        <f>SUM(CH$2:CH501)+BB501*U501</f>
        <v>22241.99000000002</v>
      </c>
      <c r="CI1011" s="2">
        <f>SUM(CI$2:CI501)+BC501*V501</f>
        <v>-14249.999999999985</v>
      </c>
      <c r="CJ1011" s="2">
        <f>SUM(CJ$2:CJ501)+BD501*W501</f>
        <v>-72760</v>
      </c>
      <c r="CK1011" s="2">
        <f>SUM(CK$2:CK501)+BE501*X501</f>
        <v>18530</v>
      </c>
      <c r="CL1011" s="2">
        <f>SUM(CL$2:CL501)+BF501*Y501</f>
        <v>237120</v>
      </c>
      <c r="CM1011" s="2">
        <f>SUM(CM$2:CM501)+BG501*Z501</f>
        <v>38350</v>
      </c>
      <c r="CN1011" s="2">
        <f>SUM(CN$2:CN501)+BH501*AA501</f>
        <v>159632.5</v>
      </c>
      <c r="CO1011" s="2">
        <f>SUM(CO$2:CO501)+BI501*AB501</f>
        <v>16300</v>
      </c>
      <c r="CP1011" s="2">
        <f>SUM(CP$2:CP501)+BJ501*AC501</f>
        <v>12135</v>
      </c>
      <c r="CQ1011" s="2">
        <f>SUM(CQ$2:CQ501)+BK501*AD501</f>
        <v>26210.000000000007</v>
      </c>
      <c r="CR1011" s="2">
        <f>SUM(CR$2:CR501)+BL501*AE501</f>
        <v>-14970</v>
      </c>
      <c r="CV1011" t="s">
        <v>64</v>
      </c>
      <c r="CW1011" t="s">
        <v>1084</v>
      </c>
      <c r="CX1011" t="s">
        <v>19</v>
      </c>
      <c r="CY1011" s="4">
        <v>43018</v>
      </c>
      <c r="CZ1011" t="s">
        <v>67</v>
      </c>
      <c r="DA1011" t="s">
        <v>68</v>
      </c>
      <c r="DB1011">
        <v>53</v>
      </c>
      <c r="DC1011">
        <v>74.62</v>
      </c>
      <c r="DD1011" t="s">
        <v>69</v>
      </c>
      <c r="DE1011" t="s">
        <v>70</v>
      </c>
      <c r="DF1011">
        <v>3954.86</v>
      </c>
    </row>
    <row r="1012" spans="66:110" x14ac:dyDescent="0.25">
      <c r="BN1012" s="1">
        <f t="shared" si="342"/>
        <v>43462</v>
      </c>
      <c r="BO1012" s="2">
        <f>SUM(BO$2:BO502)+AI502*B502</f>
        <v>-40760.000000000116</v>
      </c>
      <c r="BP1012" s="2">
        <f>SUM(BP$2:BP502)+AJ502*C502</f>
        <v>21770.60000000002</v>
      </c>
      <c r="BQ1012" s="2">
        <f>SUM(BQ$2:BQ502)+AK502*D502</f>
        <v>180114.09999999992</v>
      </c>
      <c r="BR1012" s="2">
        <f>SUM(BR$2:BR502)+AL502*E502</f>
        <v>35775.199999999953</v>
      </c>
      <c r="BS1012" s="2">
        <f>SUM(BS$2:BS502)+AM502*F502</f>
        <v>15710.700000000019</v>
      </c>
      <c r="BT1012" s="2">
        <f>SUM(BT$2:BT502)+AN502*G502</f>
        <v>-1618.1000000000349</v>
      </c>
      <c r="BU1012" s="2">
        <f>SUM(BU$2:BU502)+AO502*H502</f>
        <v>5221.2000000000116</v>
      </c>
      <c r="BV1012" s="2">
        <f>SUM(BV$2:BV502)+AP502*I502</f>
        <v>-15277.900000000023</v>
      </c>
      <c r="BW1012" s="2">
        <f>SUM(BW$2:BW502)+AQ502*J502</f>
        <v>-72290</v>
      </c>
      <c r="BX1012" s="2">
        <f>SUM(BX$2:BX502)+AR502*K502</f>
        <v>13940</v>
      </c>
      <c r="BY1012" s="2">
        <f>SUM(BY$2:BY502)+AS502*L502</f>
        <v>-5641.9000000000115</v>
      </c>
      <c r="BZ1012" s="2">
        <f>SUM(BZ$2:BZ502)+AT502*M502</f>
        <v>740</v>
      </c>
      <c r="CA1012" s="2">
        <f>SUM(CA$2:CA502)+AU502*N502</f>
        <v>12660</v>
      </c>
      <c r="CB1012" s="2">
        <f>SUM(CB$2:CB502)+AV502*O502</f>
        <v>26740</v>
      </c>
      <c r="CC1012" s="2">
        <f>SUM(CC$2:CC502)+AW502*P502</f>
        <v>-20</v>
      </c>
      <c r="CD1012" s="2">
        <f>SUM(CD$2:CD502)+AX502*Q502</f>
        <v>14050</v>
      </c>
      <c r="CE1012" s="2">
        <f>SUM(CE$2:CE502)+AY502*R502</f>
        <v>27020</v>
      </c>
      <c r="CF1012" s="2">
        <f>SUM(CF$2:CF502)+AZ502*S502</f>
        <v>19125.649999999972</v>
      </c>
      <c r="CG1012" s="2">
        <f>SUM(CG$2:CG502)+BA502*T502</f>
        <v>40533.840000000033</v>
      </c>
      <c r="CH1012" s="2">
        <f>SUM(CH$2:CH502)+BB502*U502</f>
        <v>21890.210000000021</v>
      </c>
      <c r="CI1012" s="2">
        <f>SUM(CI$2:CI502)+BC502*V502</f>
        <v>-14580.000000000015</v>
      </c>
      <c r="CJ1012" s="2">
        <f>SUM(CJ$2:CJ502)+BD502*W502</f>
        <v>-66460</v>
      </c>
      <c r="CK1012" s="2">
        <f>SUM(CK$2:CK502)+BE502*X502</f>
        <v>16380</v>
      </c>
      <c r="CL1012" s="2">
        <f>SUM(CL$2:CL502)+BF502*Y502</f>
        <v>238470</v>
      </c>
      <c r="CM1012" s="2">
        <f>SUM(CM$2:CM502)+BG502*Z502</f>
        <v>36250</v>
      </c>
      <c r="CN1012" s="2">
        <f>SUM(CN$2:CN502)+BH502*AA502</f>
        <v>156957.5</v>
      </c>
      <c r="CO1012" s="2">
        <f>SUM(CO$2:CO502)+BI502*AB502</f>
        <v>16660</v>
      </c>
      <c r="CP1012" s="2">
        <f>SUM(CP$2:CP502)+BJ502*AC502</f>
        <v>12735</v>
      </c>
      <c r="CQ1012" s="2">
        <f>SUM(CQ$2:CQ502)+BK502*AD502</f>
        <v>26750.000000000007</v>
      </c>
      <c r="CR1012" s="2">
        <f>SUM(CR$2:CR502)+BL502*AE502</f>
        <v>-15730</v>
      </c>
      <c r="CV1012" t="s">
        <v>64</v>
      </c>
      <c r="CW1012" t="s">
        <v>1085</v>
      </c>
      <c r="CX1012" t="s">
        <v>19</v>
      </c>
      <c r="CY1012" s="4">
        <v>43019</v>
      </c>
      <c r="CZ1012" t="s">
        <v>67</v>
      </c>
      <c r="DA1012" t="s">
        <v>68</v>
      </c>
      <c r="DB1012">
        <v>135</v>
      </c>
      <c r="DC1012">
        <v>74.739999999999995</v>
      </c>
      <c r="DD1012" t="s">
        <v>69</v>
      </c>
      <c r="DE1012" t="s">
        <v>70</v>
      </c>
      <c r="DF1012">
        <v>10089.9</v>
      </c>
    </row>
    <row r="1013" spans="66:110" x14ac:dyDescent="0.25">
      <c r="BN1013" s="1">
        <f t="shared" si="342"/>
        <v>43465</v>
      </c>
      <c r="BO1013" s="2">
        <f>SUM(BO$2:BO503)+AI503*B503</f>
        <v>-33210.000000000116</v>
      </c>
      <c r="BP1013" s="2">
        <f>SUM(BP$2:BP503)+AJ503*C503</f>
        <v>22972.10000000002</v>
      </c>
      <c r="BQ1013" s="2">
        <f>SUM(BQ$2:BQ503)+AK503*D503</f>
        <v>188335.59999999992</v>
      </c>
      <c r="BR1013" s="2">
        <f>SUM(BR$2:BR503)+AL503*E503</f>
        <v>37732.699999999953</v>
      </c>
      <c r="BS1013" s="2">
        <f>SUM(BS$2:BS503)+AM503*F503</f>
        <v>16466.700000000019</v>
      </c>
      <c r="BT1013" s="2">
        <f>SUM(BT$2:BT503)+AN503*G503</f>
        <v>-1429.1000000000349</v>
      </c>
      <c r="BU1013" s="2">
        <f>SUM(BU$2:BU503)+AO503*H503</f>
        <v>8393.7000000000116</v>
      </c>
      <c r="BV1013" s="2">
        <f>SUM(BV$2:BV503)+AP503*I503</f>
        <v>-14712.100000000035</v>
      </c>
      <c r="BW1013" s="2">
        <f>SUM(BW$2:BW503)+AQ503*J503</f>
        <v>-68270</v>
      </c>
      <c r="BX1013" s="2">
        <f>SUM(BX$2:BX503)+AR503*K503</f>
        <v>13940</v>
      </c>
      <c r="BY1013" s="2">
        <f>SUM(BY$2:BY503)+AS503*L503</f>
        <v>-5635.6000000000113</v>
      </c>
      <c r="BZ1013" s="2">
        <f>SUM(BZ$2:BZ503)+AT503*M503</f>
        <v>740</v>
      </c>
      <c r="CA1013" s="2">
        <f>SUM(CA$2:CA503)+AU503*N503</f>
        <v>12660</v>
      </c>
      <c r="CB1013" s="2">
        <f>SUM(CB$2:CB503)+AV503*O503</f>
        <v>26740</v>
      </c>
      <c r="CC1013" s="2">
        <f>SUM(CC$2:CC503)+AW503*P503</f>
        <v>-20</v>
      </c>
      <c r="CD1013" s="2">
        <f>SUM(CD$2:CD503)+AX503*Q503</f>
        <v>14050</v>
      </c>
      <c r="CE1013" s="2">
        <f>SUM(CE$2:CE503)+AY503*R503</f>
        <v>27020</v>
      </c>
      <c r="CF1013" s="2">
        <f>SUM(CF$2:CF503)+AZ503*S503</f>
        <v>20191.649999999965</v>
      </c>
      <c r="CG1013" s="2">
        <f>SUM(CG$2:CG503)+BA503*T503</f>
        <v>41617.080000000024</v>
      </c>
      <c r="CH1013" s="2">
        <f>SUM(CH$2:CH503)+BB503*U503</f>
        <v>22660.61000000003</v>
      </c>
      <c r="CI1013" s="2">
        <f>SUM(CI$2:CI503)+BC503*V503</f>
        <v>-16620.000000000015</v>
      </c>
      <c r="CJ1013" s="2">
        <f>SUM(CJ$2:CJ503)+BD503*W503</f>
        <v>-72010</v>
      </c>
      <c r="CK1013" s="2">
        <f>SUM(CK$2:CK503)+BE503*X503</f>
        <v>23930</v>
      </c>
      <c r="CL1013" s="2">
        <f>SUM(CL$2:CL503)+BF503*Y503</f>
        <v>252870</v>
      </c>
      <c r="CM1013" s="2">
        <f>SUM(CM$2:CM503)+BG503*Z503</f>
        <v>41900</v>
      </c>
      <c r="CN1013" s="2">
        <f>SUM(CN$2:CN503)+BH503*AA503</f>
        <v>159457.5</v>
      </c>
      <c r="CO1013" s="2">
        <f>SUM(CO$2:CO503)+BI503*AB503</f>
        <v>19480</v>
      </c>
      <c r="CP1013" s="2">
        <f>SUM(CP$2:CP503)+BJ503*AC503</f>
        <v>12195</v>
      </c>
      <c r="CQ1013" s="2">
        <f>SUM(CQ$2:CQ503)+BK503*AD503</f>
        <v>27770.000000000007</v>
      </c>
      <c r="CR1013" s="2">
        <f>SUM(CR$2:CR503)+BL503*AE503</f>
        <v>-15710</v>
      </c>
      <c r="CV1013" t="s">
        <v>64</v>
      </c>
      <c r="CW1013" t="s">
        <v>1086</v>
      </c>
      <c r="CX1013" t="s">
        <v>19</v>
      </c>
      <c r="CY1013" s="4">
        <v>43020</v>
      </c>
      <c r="CZ1013" t="s">
        <v>65</v>
      </c>
      <c r="DA1013" t="s">
        <v>66</v>
      </c>
      <c r="DB1013">
        <v>32</v>
      </c>
      <c r="DC1013">
        <v>75.430000000000007</v>
      </c>
      <c r="DD1013" t="s">
        <v>69</v>
      </c>
      <c r="DE1013" t="s">
        <v>70</v>
      </c>
      <c r="DF1013">
        <v>2413.7600000000002</v>
      </c>
    </row>
    <row r="1014" spans="66:110" x14ac:dyDescent="0.25">
      <c r="CV1014" t="s">
        <v>64</v>
      </c>
      <c r="CW1014" t="s">
        <v>1087</v>
      </c>
      <c r="CX1014" t="s">
        <v>19</v>
      </c>
      <c r="CY1014" s="4">
        <v>43021</v>
      </c>
      <c r="CZ1014" t="s">
        <v>65</v>
      </c>
      <c r="DA1014" t="s">
        <v>66</v>
      </c>
      <c r="DB1014">
        <v>28</v>
      </c>
      <c r="DC1014">
        <v>75.790000000000006</v>
      </c>
      <c r="DD1014" t="s">
        <v>69</v>
      </c>
      <c r="DE1014" t="s">
        <v>70</v>
      </c>
      <c r="DF1014">
        <v>2122.1200000000003</v>
      </c>
    </row>
    <row r="1015" spans="66:110" x14ac:dyDescent="0.25">
      <c r="CV1015" t="s">
        <v>64</v>
      </c>
      <c r="CW1015" t="s">
        <v>1088</v>
      </c>
      <c r="CX1015" t="s">
        <v>19</v>
      </c>
      <c r="CY1015" s="4">
        <v>43024</v>
      </c>
      <c r="CZ1015" t="s">
        <v>65</v>
      </c>
      <c r="DA1015" t="s">
        <v>66</v>
      </c>
      <c r="DB1015">
        <v>102</v>
      </c>
      <c r="DC1015">
        <v>75.95</v>
      </c>
      <c r="DD1015" t="s">
        <v>69</v>
      </c>
      <c r="DE1015" t="s">
        <v>70</v>
      </c>
      <c r="DF1015">
        <v>7746.9000000000005</v>
      </c>
    </row>
    <row r="1016" spans="66:110" x14ac:dyDescent="0.25">
      <c r="CV1016" t="s">
        <v>64</v>
      </c>
      <c r="CW1016" t="s">
        <v>1089</v>
      </c>
      <c r="CX1016" t="s">
        <v>19</v>
      </c>
      <c r="CY1016" s="4">
        <v>43025</v>
      </c>
      <c r="CZ1016" t="s">
        <v>67</v>
      </c>
      <c r="DA1016" t="s">
        <v>68</v>
      </c>
      <c r="DB1016">
        <v>130</v>
      </c>
      <c r="DC1016">
        <v>75.89</v>
      </c>
      <c r="DD1016" t="s">
        <v>69</v>
      </c>
      <c r="DE1016" t="s">
        <v>70</v>
      </c>
      <c r="DF1016">
        <v>9865.7000000000007</v>
      </c>
    </row>
    <row r="1017" spans="66:110" x14ac:dyDescent="0.25">
      <c r="CV1017" t="s">
        <v>64</v>
      </c>
      <c r="CW1017" t="s">
        <v>1090</v>
      </c>
      <c r="CX1017" t="s">
        <v>19</v>
      </c>
      <c r="CY1017" s="4">
        <v>43026</v>
      </c>
      <c r="CZ1017" t="s">
        <v>65</v>
      </c>
      <c r="DA1017" t="s">
        <v>66</v>
      </c>
      <c r="DB1017">
        <v>162</v>
      </c>
      <c r="DC1017">
        <v>75.91</v>
      </c>
      <c r="DD1017" t="s">
        <v>69</v>
      </c>
      <c r="DE1017" t="s">
        <v>70</v>
      </c>
      <c r="DF1017">
        <v>12297.42</v>
      </c>
    </row>
    <row r="1018" spans="66:110" x14ac:dyDescent="0.25">
      <c r="CV1018" t="s">
        <v>64</v>
      </c>
      <c r="CW1018" t="s">
        <v>1091</v>
      </c>
      <c r="CX1018" t="s">
        <v>19</v>
      </c>
      <c r="CY1018" s="4">
        <v>43027</v>
      </c>
      <c r="CZ1018" t="s">
        <v>67</v>
      </c>
      <c r="DA1018" t="s">
        <v>68</v>
      </c>
      <c r="DB1018">
        <v>170</v>
      </c>
      <c r="DC1018">
        <v>76.2</v>
      </c>
      <c r="DD1018" t="s">
        <v>69</v>
      </c>
      <c r="DE1018" t="s">
        <v>70</v>
      </c>
      <c r="DF1018">
        <v>12954</v>
      </c>
    </row>
    <row r="1019" spans="66:110" x14ac:dyDescent="0.25">
      <c r="CV1019" t="s">
        <v>64</v>
      </c>
      <c r="CW1019" t="s">
        <v>1092</v>
      </c>
      <c r="CX1019" t="s">
        <v>19</v>
      </c>
      <c r="CY1019" s="4">
        <v>43028</v>
      </c>
      <c r="CZ1019" t="s">
        <v>65</v>
      </c>
      <c r="DA1019" t="s">
        <v>66</v>
      </c>
      <c r="DB1019">
        <v>10</v>
      </c>
      <c r="DC1019">
        <v>77.08</v>
      </c>
      <c r="DD1019" t="s">
        <v>69</v>
      </c>
      <c r="DE1019" t="s">
        <v>70</v>
      </c>
      <c r="DF1019">
        <v>770.8</v>
      </c>
    </row>
    <row r="1020" spans="66:110" x14ac:dyDescent="0.25">
      <c r="CV1020" t="s">
        <v>64</v>
      </c>
      <c r="CW1020" t="s">
        <v>1093</v>
      </c>
      <c r="CX1020" t="s">
        <v>19</v>
      </c>
      <c r="CY1020" s="4">
        <v>43031</v>
      </c>
      <c r="CZ1020" t="s">
        <v>65</v>
      </c>
      <c r="DA1020" t="s">
        <v>66</v>
      </c>
      <c r="DB1020">
        <v>121</v>
      </c>
      <c r="DC1020">
        <v>77.099999999999994</v>
      </c>
      <c r="DD1020" t="s">
        <v>69</v>
      </c>
      <c r="DE1020" t="s">
        <v>70</v>
      </c>
      <c r="DF1020">
        <v>9329.0999999999985</v>
      </c>
    </row>
    <row r="1021" spans="66:110" x14ac:dyDescent="0.25">
      <c r="CV1021" t="s">
        <v>64</v>
      </c>
      <c r="CW1021" t="s">
        <v>1094</v>
      </c>
      <c r="CX1021" t="s">
        <v>19</v>
      </c>
      <c r="CY1021" s="4">
        <v>43032</v>
      </c>
      <c r="CZ1021" t="s">
        <v>67</v>
      </c>
      <c r="DA1021" t="s">
        <v>68</v>
      </c>
      <c r="DB1021">
        <v>60</v>
      </c>
      <c r="DC1021">
        <v>77.13</v>
      </c>
      <c r="DD1021" t="s">
        <v>69</v>
      </c>
      <c r="DE1021" t="s">
        <v>70</v>
      </c>
      <c r="DF1021">
        <v>4627.7999999999993</v>
      </c>
    </row>
    <row r="1022" spans="66:110" x14ac:dyDescent="0.25">
      <c r="CV1022" t="s">
        <v>64</v>
      </c>
      <c r="CW1022" t="s">
        <v>1095</v>
      </c>
      <c r="CX1022" t="s">
        <v>19</v>
      </c>
      <c r="CY1022" s="4">
        <v>43033</v>
      </c>
      <c r="CZ1022" t="s">
        <v>67</v>
      </c>
      <c r="DA1022" t="s">
        <v>68</v>
      </c>
      <c r="DB1022">
        <v>23</v>
      </c>
      <c r="DC1022">
        <v>76.91</v>
      </c>
      <c r="DD1022" t="s">
        <v>69</v>
      </c>
      <c r="DE1022" t="s">
        <v>70</v>
      </c>
      <c r="DF1022">
        <v>1768.9299999999998</v>
      </c>
    </row>
    <row r="1023" spans="66:110" x14ac:dyDescent="0.25">
      <c r="CV1023" t="s">
        <v>64</v>
      </c>
      <c r="CW1023" t="s">
        <v>1096</v>
      </c>
      <c r="CX1023" t="s">
        <v>19</v>
      </c>
      <c r="CY1023" s="4">
        <v>43034</v>
      </c>
      <c r="CZ1023" t="s">
        <v>65</v>
      </c>
      <c r="DA1023" t="s">
        <v>66</v>
      </c>
      <c r="DB1023">
        <v>26</v>
      </c>
      <c r="DC1023">
        <v>77.03</v>
      </c>
      <c r="DD1023" t="s">
        <v>69</v>
      </c>
      <c r="DE1023" t="s">
        <v>70</v>
      </c>
      <c r="DF1023">
        <v>2002.78</v>
      </c>
    </row>
    <row r="1024" spans="66:110" x14ac:dyDescent="0.25">
      <c r="CV1024" t="s">
        <v>64</v>
      </c>
      <c r="CW1024" t="s">
        <v>1097</v>
      </c>
      <c r="CX1024" t="s">
        <v>19</v>
      </c>
      <c r="CY1024" s="4">
        <v>43035</v>
      </c>
      <c r="CZ1024" t="s">
        <v>67</v>
      </c>
      <c r="DA1024" t="s">
        <v>68</v>
      </c>
      <c r="DB1024">
        <v>4</v>
      </c>
      <c r="DC1024">
        <v>81.97</v>
      </c>
      <c r="DD1024" t="s">
        <v>69</v>
      </c>
      <c r="DE1024" t="s">
        <v>70</v>
      </c>
      <c r="DF1024">
        <v>327.88</v>
      </c>
    </row>
    <row r="1025" spans="100:110" x14ac:dyDescent="0.25">
      <c r="CV1025" t="s">
        <v>64</v>
      </c>
      <c r="CW1025" t="s">
        <v>1098</v>
      </c>
      <c r="CX1025" t="s">
        <v>19</v>
      </c>
      <c r="CY1025" s="4">
        <v>43038</v>
      </c>
      <c r="CZ1025" t="s">
        <v>67</v>
      </c>
      <c r="DA1025" t="s">
        <v>68</v>
      </c>
      <c r="DB1025">
        <v>36</v>
      </c>
      <c r="DC1025">
        <v>82.05</v>
      </c>
      <c r="DD1025" t="s">
        <v>69</v>
      </c>
      <c r="DE1025" t="s">
        <v>70</v>
      </c>
      <c r="DF1025">
        <v>2953.7999999999997</v>
      </c>
    </row>
    <row r="1026" spans="100:110" x14ac:dyDescent="0.25">
      <c r="CV1026" t="s">
        <v>64</v>
      </c>
      <c r="CW1026" t="s">
        <v>1099</v>
      </c>
      <c r="CX1026" t="s">
        <v>19</v>
      </c>
      <c r="CY1026" s="4">
        <v>43039</v>
      </c>
      <c r="CZ1026" t="s">
        <v>67</v>
      </c>
      <c r="DA1026" t="s">
        <v>68</v>
      </c>
      <c r="DB1026">
        <v>40</v>
      </c>
      <c r="DC1026">
        <v>81.36</v>
      </c>
      <c r="DD1026" t="s">
        <v>69</v>
      </c>
      <c r="DE1026" t="s">
        <v>70</v>
      </c>
      <c r="DF1026">
        <v>3254.4</v>
      </c>
    </row>
    <row r="1027" spans="100:110" x14ac:dyDescent="0.25">
      <c r="CV1027" t="s">
        <v>64</v>
      </c>
      <c r="CW1027" t="s">
        <v>1100</v>
      </c>
      <c r="CX1027" t="s">
        <v>19</v>
      </c>
      <c r="CY1027" s="4">
        <v>43040</v>
      </c>
      <c r="CZ1027" t="s">
        <v>65</v>
      </c>
      <c r="DA1027" t="s">
        <v>66</v>
      </c>
      <c r="DB1027">
        <v>27</v>
      </c>
      <c r="DC1027">
        <v>81.36</v>
      </c>
      <c r="DD1027" t="s">
        <v>69</v>
      </c>
      <c r="DE1027" t="s">
        <v>70</v>
      </c>
      <c r="DF1027">
        <v>2196.7199999999998</v>
      </c>
    </row>
    <row r="1028" spans="100:110" x14ac:dyDescent="0.25">
      <c r="CV1028" t="s">
        <v>64</v>
      </c>
      <c r="CW1028" t="s">
        <v>1101</v>
      </c>
      <c r="CX1028" t="s">
        <v>19</v>
      </c>
      <c r="CY1028" s="4">
        <v>43041</v>
      </c>
      <c r="CZ1028" t="s">
        <v>65</v>
      </c>
      <c r="DA1028" t="s">
        <v>66</v>
      </c>
      <c r="DB1028">
        <v>140</v>
      </c>
      <c r="DC1028">
        <v>82.21</v>
      </c>
      <c r="DD1028" t="s">
        <v>69</v>
      </c>
      <c r="DE1028" t="s">
        <v>70</v>
      </c>
      <c r="DF1028">
        <v>11509.4</v>
      </c>
    </row>
    <row r="1029" spans="100:110" x14ac:dyDescent="0.25">
      <c r="CV1029" t="s">
        <v>64</v>
      </c>
      <c r="CW1029" t="s">
        <v>1102</v>
      </c>
      <c r="CX1029" t="s">
        <v>19</v>
      </c>
      <c r="CY1029" s="4">
        <v>43042</v>
      </c>
      <c r="CZ1029" t="s">
        <v>67</v>
      </c>
      <c r="DA1029" t="s">
        <v>68</v>
      </c>
      <c r="DB1029">
        <v>65</v>
      </c>
      <c r="DC1029">
        <v>82.29</v>
      </c>
      <c r="DD1029" t="s">
        <v>69</v>
      </c>
      <c r="DE1029" t="s">
        <v>70</v>
      </c>
      <c r="DF1029">
        <v>5348.85</v>
      </c>
    </row>
    <row r="1030" spans="100:110" x14ac:dyDescent="0.25">
      <c r="CV1030" t="s">
        <v>64</v>
      </c>
      <c r="CW1030" t="s">
        <v>1103</v>
      </c>
      <c r="CX1030" t="s">
        <v>19</v>
      </c>
      <c r="CY1030" s="4">
        <v>43045</v>
      </c>
      <c r="CZ1030" t="s">
        <v>67</v>
      </c>
      <c r="DA1030" t="s">
        <v>68</v>
      </c>
      <c r="DB1030">
        <v>56</v>
      </c>
      <c r="DC1030">
        <v>82.62</v>
      </c>
      <c r="DD1030" t="s">
        <v>69</v>
      </c>
      <c r="DE1030" t="s">
        <v>70</v>
      </c>
      <c r="DF1030">
        <v>4626.72</v>
      </c>
    </row>
    <row r="1031" spans="100:110" x14ac:dyDescent="0.25">
      <c r="CV1031" t="s">
        <v>64</v>
      </c>
      <c r="CW1031" t="s">
        <v>1104</v>
      </c>
      <c r="CX1031" t="s">
        <v>19</v>
      </c>
      <c r="CY1031" s="4">
        <v>43046</v>
      </c>
      <c r="CZ1031" t="s">
        <v>65</v>
      </c>
      <c r="DA1031" t="s">
        <v>66</v>
      </c>
      <c r="DB1031">
        <v>13</v>
      </c>
      <c r="DC1031">
        <v>82.42</v>
      </c>
      <c r="DD1031" t="s">
        <v>69</v>
      </c>
      <c r="DE1031" t="s">
        <v>70</v>
      </c>
      <c r="DF1031">
        <v>1071.46</v>
      </c>
    </row>
    <row r="1032" spans="100:110" x14ac:dyDescent="0.25">
      <c r="CV1032" t="s">
        <v>64</v>
      </c>
      <c r="CW1032" t="s">
        <v>1105</v>
      </c>
      <c r="CX1032" t="s">
        <v>19</v>
      </c>
      <c r="CY1032" s="4">
        <v>43047</v>
      </c>
      <c r="CZ1032" t="s">
        <v>65</v>
      </c>
      <c r="DA1032" t="s">
        <v>66</v>
      </c>
      <c r="DB1032">
        <v>38</v>
      </c>
      <c r="DC1032">
        <v>82.71</v>
      </c>
      <c r="DD1032" t="s">
        <v>69</v>
      </c>
      <c r="DE1032" t="s">
        <v>70</v>
      </c>
      <c r="DF1032">
        <v>3142.9799999999996</v>
      </c>
    </row>
    <row r="1033" spans="100:110" x14ac:dyDescent="0.25">
      <c r="CV1033" t="s">
        <v>64</v>
      </c>
      <c r="CW1033" t="s">
        <v>1106</v>
      </c>
      <c r="CX1033" t="s">
        <v>19</v>
      </c>
      <c r="CY1033" s="4">
        <v>43048</v>
      </c>
      <c r="CZ1033" t="s">
        <v>65</v>
      </c>
      <c r="DA1033" t="s">
        <v>66</v>
      </c>
      <c r="DB1033">
        <v>9</v>
      </c>
      <c r="DC1033">
        <v>82.25</v>
      </c>
      <c r="DD1033" t="s">
        <v>69</v>
      </c>
      <c r="DE1033" t="s">
        <v>70</v>
      </c>
      <c r="DF1033">
        <v>740.25</v>
      </c>
    </row>
    <row r="1034" spans="100:110" x14ac:dyDescent="0.25">
      <c r="CV1034" t="s">
        <v>64</v>
      </c>
      <c r="CW1034" t="s">
        <v>1107</v>
      </c>
      <c r="CX1034" t="s">
        <v>19</v>
      </c>
      <c r="CY1034" s="4">
        <v>43049</v>
      </c>
      <c r="CZ1034" t="s">
        <v>65</v>
      </c>
      <c r="DA1034" t="s">
        <v>66</v>
      </c>
      <c r="DB1034">
        <v>70</v>
      </c>
      <c r="DC1034">
        <v>82.03</v>
      </c>
      <c r="DD1034" t="s">
        <v>69</v>
      </c>
      <c r="DE1034" t="s">
        <v>70</v>
      </c>
      <c r="DF1034">
        <v>5742.1</v>
      </c>
    </row>
    <row r="1035" spans="100:110" x14ac:dyDescent="0.25">
      <c r="CV1035" t="s">
        <v>64</v>
      </c>
      <c r="CW1035" t="s">
        <v>1108</v>
      </c>
      <c r="CX1035" t="s">
        <v>19</v>
      </c>
      <c r="CY1035" s="4">
        <v>43052</v>
      </c>
      <c r="CZ1035" t="s">
        <v>67</v>
      </c>
      <c r="DA1035" t="s">
        <v>68</v>
      </c>
      <c r="DB1035">
        <v>134</v>
      </c>
      <c r="DC1035">
        <v>82.09</v>
      </c>
      <c r="DD1035" t="s">
        <v>69</v>
      </c>
      <c r="DE1035" t="s">
        <v>70</v>
      </c>
      <c r="DF1035">
        <v>11000.060000000001</v>
      </c>
    </row>
    <row r="1036" spans="100:110" x14ac:dyDescent="0.25">
      <c r="CV1036" t="s">
        <v>64</v>
      </c>
      <c r="CW1036" t="s">
        <v>1109</v>
      </c>
      <c r="CX1036" t="s">
        <v>19</v>
      </c>
      <c r="CY1036" s="4">
        <v>43053</v>
      </c>
      <c r="CZ1036" t="s">
        <v>65</v>
      </c>
      <c r="DA1036" t="s">
        <v>66</v>
      </c>
      <c r="DB1036">
        <v>54</v>
      </c>
      <c r="DC1036">
        <v>82.21</v>
      </c>
      <c r="DD1036" t="s">
        <v>69</v>
      </c>
      <c r="DE1036" t="s">
        <v>70</v>
      </c>
      <c r="DF1036">
        <v>4439.3399999999992</v>
      </c>
    </row>
    <row r="1037" spans="100:110" x14ac:dyDescent="0.25">
      <c r="CV1037" t="s">
        <v>64</v>
      </c>
      <c r="CW1037" t="s">
        <v>1110</v>
      </c>
      <c r="CX1037" t="s">
        <v>19</v>
      </c>
      <c r="CY1037" s="4">
        <v>43054</v>
      </c>
      <c r="CZ1037" t="s">
        <v>65</v>
      </c>
      <c r="DA1037" t="s">
        <v>66</v>
      </c>
      <c r="DB1037">
        <v>26</v>
      </c>
      <c r="DC1037">
        <v>81.569999999999993</v>
      </c>
      <c r="DD1037" t="s">
        <v>69</v>
      </c>
      <c r="DE1037" t="s">
        <v>70</v>
      </c>
      <c r="DF1037">
        <v>2120.8199999999997</v>
      </c>
    </row>
    <row r="1038" spans="100:110" x14ac:dyDescent="0.25">
      <c r="CV1038" t="s">
        <v>64</v>
      </c>
      <c r="CW1038" t="s">
        <v>1111</v>
      </c>
      <c r="CX1038" t="s">
        <v>19</v>
      </c>
      <c r="CY1038" s="4">
        <v>43055</v>
      </c>
      <c r="CZ1038" t="s">
        <v>65</v>
      </c>
      <c r="DA1038" t="s">
        <v>66</v>
      </c>
      <c r="DB1038">
        <v>51</v>
      </c>
      <c r="DC1038">
        <v>81.78</v>
      </c>
      <c r="DD1038" t="s">
        <v>69</v>
      </c>
      <c r="DE1038" t="s">
        <v>70</v>
      </c>
      <c r="DF1038">
        <v>4170.78</v>
      </c>
    </row>
    <row r="1039" spans="100:110" x14ac:dyDescent="0.25">
      <c r="CV1039" t="s">
        <v>64</v>
      </c>
      <c r="CW1039" t="s">
        <v>1112</v>
      </c>
      <c r="CX1039" t="s">
        <v>19</v>
      </c>
      <c r="CY1039" s="4">
        <v>43056</v>
      </c>
      <c r="CZ1039" t="s">
        <v>67</v>
      </c>
      <c r="DA1039" t="s">
        <v>68</v>
      </c>
      <c r="DB1039">
        <v>127</v>
      </c>
      <c r="DC1039">
        <v>81</v>
      </c>
      <c r="DD1039" t="s">
        <v>69</v>
      </c>
      <c r="DE1039" t="s">
        <v>70</v>
      </c>
      <c r="DF1039">
        <v>10287</v>
      </c>
    </row>
    <row r="1040" spans="100:110" x14ac:dyDescent="0.25">
      <c r="CV1040" t="s">
        <v>64</v>
      </c>
      <c r="CW1040" t="s">
        <v>1113</v>
      </c>
      <c r="CX1040" t="s">
        <v>19</v>
      </c>
      <c r="CY1040" s="4">
        <v>43059</v>
      </c>
      <c r="CZ1040" t="s">
        <v>67</v>
      </c>
      <c r="DA1040" t="s">
        <v>68</v>
      </c>
      <c r="DB1040">
        <v>23</v>
      </c>
      <c r="DC1040">
        <v>81.13</v>
      </c>
      <c r="DD1040" t="s">
        <v>69</v>
      </c>
      <c r="DE1040" t="s">
        <v>70</v>
      </c>
      <c r="DF1040">
        <v>1865.9899999999998</v>
      </c>
    </row>
    <row r="1041" spans="100:110" x14ac:dyDescent="0.25">
      <c r="CV1041" t="s">
        <v>64</v>
      </c>
      <c r="CW1041" t="s">
        <v>1114</v>
      </c>
      <c r="CX1041" t="s">
        <v>19</v>
      </c>
      <c r="CY1041" s="4">
        <v>43060</v>
      </c>
      <c r="CZ1041" t="s">
        <v>65</v>
      </c>
      <c r="DA1041" t="s">
        <v>66</v>
      </c>
      <c r="DB1041">
        <v>64</v>
      </c>
      <c r="DC1041">
        <v>82.3</v>
      </c>
      <c r="DD1041" t="s">
        <v>69</v>
      </c>
      <c r="DE1041" t="s">
        <v>70</v>
      </c>
      <c r="DF1041">
        <v>5267.2</v>
      </c>
    </row>
    <row r="1042" spans="100:110" x14ac:dyDescent="0.25">
      <c r="CV1042" t="s">
        <v>64</v>
      </c>
      <c r="CW1042" t="s">
        <v>1115</v>
      </c>
      <c r="CX1042" t="s">
        <v>19</v>
      </c>
      <c r="CY1042" s="4">
        <v>43061</v>
      </c>
      <c r="CZ1042" t="s">
        <v>67</v>
      </c>
      <c r="DA1042" t="s">
        <v>68</v>
      </c>
      <c r="DB1042">
        <v>101</v>
      </c>
      <c r="DC1042">
        <v>81.7</v>
      </c>
      <c r="DD1042" t="s">
        <v>69</v>
      </c>
      <c r="DE1042" t="s">
        <v>70</v>
      </c>
      <c r="DF1042">
        <v>8251.7000000000007</v>
      </c>
    </row>
    <row r="1043" spans="100:110" x14ac:dyDescent="0.25">
      <c r="CV1043" t="s">
        <v>64</v>
      </c>
      <c r="CW1043" t="s">
        <v>1116</v>
      </c>
      <c r="CX1043" t="s">
        <v>19</v>
      </c>
      <c r="CY1043" s="4">
        <v>43063</v>
      </c>
      <c r="CZ1043" t="s">
        <v>65</v>
      </c>
      <c r="DA1043" t="s">
        <v>66</v>
      </c>
      <c r="DB1043">
        <v>18</v>
      </c>
      <c r="DC1043">
        <v>81.84</v>
      </c>
      <c r="DD1043" t="s">
        <v>69</v>
      </c>
      <c r="DE1043" t="s">
        <v>70</v>
      </c>
      <c r="DF1043">
        <v>1473.1200000000001</v>
      </c>
    </row>
    <row r="1044" spans="100:110" x14ac:dyDescent="0.25">
      <c r="CV1044" t="s">
        <v>64</v>
      </c>
      <c r="CW1044" t="s">
        <v>1117</v>
      </c>
      <c r="CX1044" t="s">
        <v>19</v>
      </c>
      <c r="CY1044" s="4">
        <v>43066</v>
      </c>
      <c r="CZ1044" t="s">
        <v>65</v>
      </c>
      <c r="DA1044" t="s">
        <v>66</v>
      </c>
      <c r="DB1044">
        <v>126</v>
      </c>
      <c r="DC1044">
        <v>82.44</v>
      </c>
      <c r="DD1044" t="s">
        <v>69</v>
      </c>
      <c r="DE1044" t="s">
        <v>70</v>
      </c>
      <c r="DF1044">
        <v>10387.44</v>
      </c>
    </row>
    <row r="1045" spans="100:110" x14ac:dyDescent="0.25">
      <c r="CV1045" t="s">
        <v>64</v>
      </c>
      <c r="CW1045" t="s">
        <v>1118</v>
      </c>
      <c r="CX1045" t="s">
        <v>19</v>
      </c>
      <c r="CY1045" s="4">
        <v>43067</v>
      </c>
      <c r="CZ1045" t="s">
        <v>67</v>
      </c>
      <c r="DA1045" t="s">
        <v>68</v>
      </c>
      <c r="DB1045">
        <v>61</v>
      </c>
      <c r="DC1045">
        <v>83.44</v>
      </c>
      <c r="DD1045" t="s">
        <v>69</v>
      </c>
      <c r="DE1045" t="s">
        <v>70</v>
      </c>
      <c r="DF1045">
        <v>5089.84</v>
      </c>
    </row>
    <row r="1046" spans="100:110" x14ac:dyDescent="0.25">
      <c r="CV1046" t="s">
        <v>64</v>
      </c>
      <c r="CW1046" t="s">
        <v>1119</v>
      </c>
      <c r="CX1046" t="s">
        <v>19</v>
      </c>
      <c r="CY1046" s="4">
        <v>43068</v>
      </c>
      <c r="CZ1046" t="s">
        <v>67</v>
      </c>
      <c r="DA1046" t="s">
        <v>68</v>
      </c>
      <c r="DB1046">
        <v>54</v>
      </c>
      <c r="DC1046">
        <v>81.92</v>
      </c>
      <c r="DD1046" t="s">
        <v>69</v>
      </c>
      <c r="DE1046" t="s">
        <v>70</v>
      </c>
      <c r="DF1046">
        <v>4423.68</v>
      </c>
    </row>
    <row r="1047" spans="100:110" x14ac:dyDescent="0.25">
      <c r="CV1047" t="s">
        <v>64</v>
      </c>
      <c r="CW1047" t="s">
        <v>1120</v>
      </c>
      <c r="CX1047" t="s">
        <v>19</v>
      </c>
      <c r="CY1047" s="4">
        <v>43069</v>
      </c>
      <c r="CZ1047" t="s">
        <v>67</v>
      </c>
      <c r="DA1047" t="s">
        <v>68</v>
      </c>
      <c r="DB1047">
        <v>31</v>
      </c>
      <c r="DC1047">
        <v>82.74</v>
      </c>
      <c r="DD1047" t="s">
        <v>69</v>
      </c>
      <c r="DE1047" t="s">
        <v>70</v>
      </c>
      <c r="DF1047">
        <v>2564.94</v>
      </c>
    </row>
    <row r="1048" spans="100:110" x14ac:dyDescent="0.25">
      <c r="CV1048" t="s">
        <v>64</v>
      </c>
      <c r="CW1048" t="s">
        <v>1121</v>
      </c>
      <c r="CX1048" t="s">
        <v>19</v>
      </c>
      <c r="CY1048" s="4">
        <v>43070</v>
      </c>
      <c r="CZ1048" t="s">
        <v>65</v>
      </c>
      <c r="DA1048" t="s">
        <v>66</v>
      </c>
      <c r="DB1048">
        <v>141</v>
      </c>
      <c r="DC1048">
        <v>82.83</v>
      </c>
      <c r="DD1048" t="s">
        <v>69</v>
      </c>
      <c r="DE1048" t="s">
        <v>70</v>
      </c>
      <c r="DF1048">
        <v>11679.03</v>
      </c>
    </row>
    <row r="1049" spans="100:110" x14ac:dyDescent="0.25">
      <c r="CV1049" t="s">
        <v>64</v>
      </c>
      <c r="CW1049" t="s">
        <v>1122</v>
      </c>
      <c r="CX1049" t="s">
        <v>19</v>
      </c>
      <c r="CY1049" s="4">
        <v>43073</v>
      </c>
      <c r="CZ1049" t="s">
        <v>67</v>
      </c>
      <c r="DA1049" t="s">
        <v>68</v>
      </c>
      <c r="DB1049">
        <v>38</v>
      </c>
      <c r="DC1049">
        <v>79.7</v>
      </c>
      <c r="DD1049" t="s">
        <v>69</v>
      </c>
      <c r="DE1049" t="s">
        <v>70</v>
      </c>
      <c r="DF1049">
        <v>3028.6</v>
      </c>
    </row>
    <row r="1050" spans="100:110" x14ac:dyDescent="0.25">
      <c r="CV1050" t="s">
        <v>64</v>
      </c>
      <c r="CW1050" t="s">
        <v>1123</v>
      </c>
      <c r="CX1050" t="s">
        <v>19</v>
      </c>
      <c r="CY1050" s="4">
        <v>43074</v>
      </c>
      <c r="CZ1050" t="s">
        <v>67</v>
      </c>
      <c r="DA1050" t="s">
        <v>68</v>
      </c>
      <c r="DB1050">
        <v>81</v>
      </c>
      <c r="DC1050">
        <v>80.2</v>
      </c>
      <c r="DD1050" t="s">
        <v>69</v>
      </c>
      <c r="DE1050" t="s">
        <v>70</v>
      </c>
      <c r="DF1050">
        <v>6496.2</v>
      </c>
    </row>
    <row r="1051" spans="100:110" x14ac:dyDescent="0.25">
      <c r="CV1051" t="s">
        <v>64</v>
      </c>
      <c r="CW1051" t="s">
        <v>1124</v>
      </c>
      <c r="CX1051" t="s">
        <v>19</v>
      </c>
      <c r="CY1051" s="4">
        <v>43075</v>
      </c>
      <c r="CZ1051" t="s">
        <v>65</v>
      </c>
      <c r="DA1051" t="s">
        <v>66</v>
      </c>
      <c r="DB1051">
        <v>86</v>
      </c>
      <c r="DC1051">
        <v>81.37</v>
      </c>
      <c r="DD1051" t="s">
        <v>69</v>
      </c>
      <c r="DE1051" t="s">
        <v>70</v>
      </c>
      <c r="DF1051">
        <v>6997.8200000000006</v>
      </c>
    </row>
    <row r="1052" spans="100:110" x14ac:dyDescent="0.25">
      <c r="CV1052" t="s">
        <v>64</v>
      </c>
      <c r="CW1052" t="s">
        <v>1125</v>
      </c>
      <c r="CX1052" t="s">
        <v>19</v>
      </c>
      <c r="CY1052" s="4">
        <v>43076</v>
      </c>
      <c r="CZ1052" t="s">
        <v>65</v>
      </c>
      <c r="DA1052" t="s">
        <v>66</v>
      </c>
      <c r="DB1052">
        <v>29</v>
      </c>
      <c r="DC1052">
        <v>81.09</v>
      </c>
      <c r="DD1052" t="s">
        <v>69</v>
      </c>
      <c r="DE1052" t="s">
        <v>70</v>
      </c>
      <c r="DF1052">
        <v>2351.61</v>
      </c>
    </row>
    <row r="1053" spans="100:110" x14ac:dyDescent="0.25">
      <c r="CV1053" t="s">
        <v>64</v>
      </c>
      <c r="CW1053" t="s">
        <v>1126</v>
      </c>
      <c r="CX1053" t="s">
        <v>19</v>
      </c>
      <c r="CY1053" s="4">
        <v>43077</v>
      </c>
      <c r="CZ1053" t="s">
        <v>65</v>
      </c>
      <c r="DA1053" t="s">
        <v>66</v>
      </c>
      <c r="DB1053">
        <v>2</v>
      </c>
      <c r="DC1053">
        <v>82.73</v>
      </c>
      <c r="DD1053" t="s">
        <v>69</v>
      </c>
      <c r="DE1053" t="s">
        <v>70</v>
      </c>
      <c r="DF1053">
        <v>165.46</v>
      </c>
    </row>
    <row r="1054" spans="100:110" x14ac:dyDescent="0.25">
      <c r="CV1054" t="s">
        <v>64</v>
      </c>
      <c r="CW1054" t="s">
        <v>1127</v>
      </c>
      <c r="CX1054" t="s">
        <v>19</v>
      </c>
      <c r="CY1054" s="4">
        <v>43080</v>
      </c>
      <c r="CZ1054" t="s">
        <v>67</v>
      </c>
      <c r="DA1054" t="s">
        <v>68</v>
      </c>
      <c r="DB1054">
        <v>99</v>
      </c>
      <c r="DC1054">
        <v>83.78</v>
      </c>
      <c r="DD1054" t="s">
        <v>69</v>
      </c>
      <c r="DE1054" t="s">
        <v>70</v>
      </c>
      <c r="DF1054">
        <v>8294.2199999999993</v>
      </c>
    </row>
    <row r="1055" spans="100:110" x14ac:dyDescent="0.25">
      <c r="CV1055" t="s">
        <v>64</v>
      </c>
      <c r="CW1055" t="s">
        <v>1128</v>
      </c>
      <c r="CX1055" t="s">
        <v>19</v>
      </c>
      <c r="CY1055" s="4">
        <v>43081</v>
      </c>
      <c r="CZ1055" t="s">
        <v>65</v>
      </c>
      <c r="DA1055" t="s">
        <v>66</v>
      </c>
      <c r="DB1055">
        <v>77</v>
      </c>
      <c r="DC1055">
        <v>84.12</v>
      </c>
      <c r="DD1055" t="s">
        <v>69</v>
      </c>
      <c r="DE1055" t="s">
        <v>70</v>
      </c>
      <c r="DF1055">
        <v>6477.2400000000007</v>
      </c>
    </row>
    <row r="1056" spans="100:110" x14ac:dyDescent="0.25">
      <c r="CV1056" t="s">
        <v>64</v>
      </c>
      <c r="CW1056" t="s">
        <v>1129</v>
      </c>
      <c r="CX1056" t="s">
        <v>19</v>
      </c>
      <c r="CY1056" s="4">
        <v>43082</v>
      </c>
      <c r="CZ1056" t="s">
        <v>65</v>
      </c>
      <c r="DA1056" t="s">
        <v>66</v>
      </c>
      <c r="DB1056">
        <v>72</v>
      </c>
      <c r="DC1056">
        <v>83.9</v>
      </c>
      <c r="DD1056" t="s">
        <v>69</v>
      </c>
      <c r="DE1056" t="s">
        <v>70</v>
      </c>
      <c r="DF1056">
        <v>6040.8</v>
      </c>
    </row>
    <row r="1057" spans="100:110" x14ac:dyDescent="0.25">
      <c r="CV1057" t="s">
        <v>64</v>
      </c>
      <c r="CW1057" t="s">
        <v>1130</v>
      </c>
      <c r="CX1057" t="s">
        <v>19</v>
      </c>
      <c r="CY1057" s="4">
        <v>43083</v>
      </c>
      <c r="CZ1057" t="s">
        <v>67</v>
      </c>
      <c r="DA1057" t="s">
        <v>68</v>
      </c>
      <c r="DB1057">
        <v>105</v>
      </c>
      <c r="DC1057">
        <v>83.25</v>
      </c>
      <c r="DD1057" t="s">
        <v>69</v>
      </c>
      <c r="DE1057" t="s">
        <v>70</v>
      </c>
      <c r="DF1057">
        <v>8741.25</v>
      </c>
    </row>
    <row r="1058" spans="100:110" x14ac:dyDescent="0.25">
      <c r="CV1058" t="s">
        <v>64</v>
      </c>
      <c r="CW1058" t="s">
        <v>1131</v>
      </c>
      <c r="CX1058" t="s">
        <v>19</v>
      </c>
      <c r="CY1058" s="4">
        <v>43084</v>
      </c>
      <c r="CZ1058" t="s">
        <v>65</v>
      </c>
      <c r="DA1058" t="s">
        <v>66</v>
      </c>
      <c r="DB1058">
        <v>97</v>
      </c>
      <c r="DC1058">
        <v>85.37</v>
      </c>
      <c r="DD1058" t="s">
        <v>69</v>
      </c>
      <c r="DE1058" t="s">
        <v>70</v>
      </c>
      <c r="DF1058">
        <v>8280.8900000000012</v>
      </c>
    </row>
    <row r="1059" spans="100:110" x14ac:dyDescent="0.25">
      <c r="CV1059" t="s">
        <v>64</v>
      </c>
      <c r="CW1059" t="s">
        <v>1132</v>
      </c>
      <c r="CX1059" t="s">
        <v>19</v>
      </c>
      <c r="CY1059" s="4">
        <v>43087</v>
      </c>
      <c r="CZ1059" t="s">
        <v>67</v>
      </c>
      <c r="DA1059" t="s">
        <v>68</v>
      </c>
      <c r="DB1059">
        <v>153</v>
      </c>
      <c r="DC1059">
        <v>84.91</v>
      </c>
      <c r="DD1059" t="s">
        <v>69</v>
      </c>
      <c r="DE1059" t="s">
        <v>70</v>
      </c>
      <c r="DF1059">
        <v>12991.23</v>
      </c>
    </row>
    <row r="1060" spans="100:110" x14ac:dyDescent="0.25">
      <c r="CV1060" t="s">
        <v>64</v>
      </c>
      <c r="CW1060" t="s">
        <v>1133</v>
      </c>
      <c r="CX1060" t="s">
        <v>19</v>
      </c>
      <c r="CY1060" s="4">
        <v>43088</v>
      </c>
      <c r="CZ1060" t="s">
        <v>65</v>
      </c>
      <c r="DA1060" t="s">
        <v>66</v>
      </c>
      <c r="DB1060">
        <v>1</v>
      </c>
      <c r="DC1060">
        <v>84.37</v>
      </c>
      <c r="DD1060" t="s">
        <v>69</v>
      </c>
      <c r="DE1060" t="s">
        <v>70</v>
      </c>
      <c r="DF1060">
        <v>84.37</v>
      </c>
    </row>
    <row r="1061" spans="100:110" x14ac:dyDescent="0.25">
      <c r="CV1061" t="s">
        <v>64</v>
      </c>
      <c r="CW1061" t="s">
        <v>1134</v>
      </c>
      <c r="CX1061" t="s">
        <v>19</v>
      </c>
      <c r="CY1061" s="4">
        <v>43089</v>
      </c>
      <c r="CZ1061" t="s">
        <v>65</v>
      </c>
      <c r="DA1061" t="s">
        <v>66</v>
      </c>
      <c r="DB1061">
        <v>85</v>
      </c>
      <c r="DC1061">
        <v>84.06</v>
      </c>
      <c r="DD1061" t="s">
        <v>69</v>
      </c>
      <c r="DE1061" t="s">
        <v>70</v>
      </c>
      <c r="DF1061">
        <v>7145.1</v>
      </c>
    </row>
    <row r="1062" spans="100:110" x14ac:dyDescent="0.25">
      <c r="CV1062" t="s">
        <v>64</v>
      </c>
      <c r="CW1062" t="s">
        <v>1135</v>
      </c>
      <c r="CX1062" t="s">
        <v>19</v>
      </c>
      <c r="CY1062" s="4">
        <v>43090</v>
      </c>
      <c r="CZ1062" t="s">
        <v>67</v>
      </c>
      <c r="DA1062" t="s">
        <v>68</v>
      </c>
      <c r="DB1062">
        <v>7</v>
      </c>
      <c r="DC1062">
        <v>84.05</v>
      </c>
      <c r="DD1062" t="s">
        <v>69</v>
      </c>
      <c r="DE1062" t="s">
        <v>70</v>
      </c>
      <c r="DF1062">
        <v>588.35</v>
      </c>
    </row>
    <row r="1063" spans="100:110" x14ac:dyDescent="0.25">
      <c r="CV1063" t="s">
        <v>64</v>
      </c>
      <c r="CW1063" t="s">
        <v>1136</v>
      </c>
      <c r="CX1063" t="s">
        <v>19</v>
      </c>
      <c r="CY1063" s="4">
        <v>43091</v>
      </c>
      <c r="CZ1063" t="s">
        <v>67</v>
      </c>
      <c r="DA1063" t="s">
        <v>68</v>
      </c>
      <c r="DB1063">
        <v>39</v>
      </c>
      <c r="DC1063">
        <v>84.05</v>
      </c>
      <c r="DD1063" t="s">
        <v>69</v>
      </c>
      <c r="DE1063" t="s">
        <v>70</v>
      </c>
      <c r="DF1063">
        <v>3277.95</v>
      </c>
    </row>
    <row r="1064" spans="100:110" x14ac:dyDescent="0.25">
      <c r="CV1064" t="s">
        <v>64</v>
      </c>
      <c r="CW1064" t="s">
        <v>1137</v>
      </c>
      <c r="CX1064" t="s">
        <v>19</v>
      </c>
      <c r="CY1064" s="4">
        <v>43095</v>
      </c>
      <c r="CZ1064" t="s">
        <v>65</v>
      </c>
      <c r="DA1064" t="s">
        <v>66</v>
      </c>
      <c r="DB1064">
        <v>90</v>
      </c>
      <c r="DC1064">
        <v>83.95</v>
      </c>
      <c r="DD1064" t="s">
        <v>69</v>
      </c>
      <c r="DE1064" t="s">
        <v>70</v>
      </c>
      <c r="DF1064">
        <v>7555.5</v>
      </c>
    </row>
    <row r="1065" spans="100:110" x14ac:dyDescent="0.25">
      <c r="CV1065" t="s">
        <v>64</v>
      </c>
      <c r="CW1065" t="s">
        <v>1138</v>
      </c>
      <c r="CX1065" t="s">
        <v>19</v>
      </c>
      <c r="CY1065" s="4">
        <v>43096</v>
      </c>
      <c r="CZ1065" t="s">
        <v>67</v>
      </c>
      <c r="DA1065" t="s">
        <v>68</v>
      </c>
      <c r="DB1065">
        <v>69</v>
      </c>
      <c r="DC1065">
        <v>84.25</v>
      </c>
      <c r="DD1065" t="s">
        <v>69</v>
      </c>
      <c r="DE1065" t="s">
        <v>70</v>
      </c>
      <c r="DF1065">
        <v>5813.25</v>
      </c>
    </row>
    <row r="1066" spans="100:110" x14ac:dyDescent="0.25">
      <c r="CV1066" t="s">
        <v>64</v>
      </c>
      <c r="CW1066" t="s">
        <v>1139</v>
      </c>
      <c r="CX1066" t="s">
        <v>19</v>
      </c>
      <c r="CY1066" s="4">
        <v>43097</v>
      </c>
      <c r="CZ1066" t="s">
        <v>67</v>
      </c>
      <c r="DA1066" t="s">
        <v>68</v>
      </c>
      <c r="DB1066">
        <v>4</v>
      </c>
      <c r="DC1066">
        <v>84.26</v>
      </c>
      <c r="DD1066" t="s">
        <v>69</v>
      </c>
      <c r="DE1066" t="s">
        <v>70</v>
      </c>
      <c r="DF1066">
        <v>337.04</v>
      </c>
    </row>
    <row r="1067" spans="100:110" x14ac:dyDescent="0.25">
      <c r="CV1067" t="s">
        <v>64</v>
      </c>
      <c r="CW1067" t="s">
        <v>1140</v>
      </c>
      <c r="CX1067" t="s">
        <v>19</v>
      </c>
      <c r="CY1067" s="4">
        <v>43098</v>
      </c>
      <c r="CZ1067" t="s">
        <v>65</v>
      </c>
      <c r="DA1067" t="s">
        <v>66</v>
      </c>
      <c r="DB1067">
        <v>29</v>
      </c>
      <c r="DC1067">
        <v>84.08</v>
      </c>
      <c r="DD1067" t="s">
        <v>69</v>
      </c>
      <c r="DE1067" t="s">
        <v>70</v>
      </c>
      <c r="DF1067">
        <v>2438.3200000000002</v>
      </c>
    </row>
    <row r="1068" spans="100:110" x14ac:dyDescent="0.25">
      <c r="CV1068" t="s">
        <v>64</v>
      </c>
      <c r="CW1068" t="s">
        <v>1141</v>
      </c>
      <c r="CX1068" t="s">
        <v>19</v>
      </c>
      <c r="CY1068" s="4">
        <v>43102</v>
      </c>
      <c r="CZ1068" t="s">
        <v>67</v>
      </c>
      <c r="DA1068" t="s">
        <v>68</v>
      </c>
      <c r="DB1068">
        <v>30</v>
      </c>
      <c r="DC1068">
        <v>84.49</v>
      </c>
      <c r="DD1068" t="s">
        <v>69</v>
      </c>
      <c r="DE1068" t="s">
        <v>70</v>
      </c>
      <c r="DF1068">
        <v>2534.6999999999998</v>
      </c>
    </row>
    <row r="1069" spans="100:110" x14ac:dyDescent="0.25">
      <c r="CV1069" t="s">
        <v>64</v>
      </c>
      <c r="CW1069" t="s">
        <v>1142</v>
      </c>
      <c r="CX1069" t="s">
        <v>19</v>
      </c>
      <c r="CY1069" s="4">
        <v>43103</v>
      </c>
      <c r="CZ1069" t="s">
        <v>65</v>
      </c>
      <c r="DA1069" t="s">
        <v>66</v>
      </c>
      <c r="DB1069">
        <v>105</v>
      </c>
      <c r="DC1069">
        <v>84.88</v>
      </c>
      <c r="DD1069" t="s">
        <v>69</v>
      </c>
      <c r="DE1069" t="s">
        <v>70</v>
      </c>
      <c r="DF1069">
        <v>8912.4</v>
      </c>
    </row>
    <row r="1070" spans="100:110" x14ac:dyDescent="0.25">
      <c r="CV1070" t="s">
        <v>64</v>
      </c>
      <c r="CW1070" t="s">
        <v>1143</v>
      </c>
      <c r="CX1070" t="s">
        <v>19</v>
      </c>
      <c r="CY1070" s="4">
        <v>43104</v>
      </c>
      <c r="CZ1070" t="s">
        <v>67</v>
      </c>
      <c r="DA1070" t="s">
        <v>68</v>
      </c>
      <c r="DB1070">
        <v>185</v>
      </c>
      <c r="DC1070">
        <v>85.63</v>
      </c>
      <c r="DD1070" t="s">
        <v>69</v>
      </c>
      <c r="DE1070" t="s">
        <v>70</v>
      </c>
      <c r="DF1070">
        <v>15841.55</v>
      </c>
    </row>
    <row r="1071" spans="100:110" x14ac:dyDescent="0.25">
      <c r="CV1071" t="s">
        <v>64</v>
      </c>
      <c r="CW1071" t="s">
        <v>1144</v>
      </c>
      <c r="CX1071" t="s">
        <v>19</v>
      </c>
      <c r="CY1071" s="4">
        <v>43105</v>
      </c>
      <c r="CZ1071" t="s">
        <v>65</v>
      </c>
      <c r="DA1071" t="s">
        <v>66</v>
      </c>
      <c r="DB1071">
        <v>64</v>
      </c>
      <c r="DC1071">
        <v>86.69</v>
      </c>
      <c r="DD1071" t="s">
        <v>69</v>
      </c>
      <c r="DE1071" t="s">
        <v>70</v>
      </c>
      <c r="DF1071">
        <v>5548.16</v>
      </c>
    </row>
    <row r="1072" spans="100:110" x14ac:dyDescent="0.25">
      <c r="CV1072" t="s">
        <v>64</v>
      </c>
      <c r="CW1072" t="s">
        <v>1145</v>
      </c>
      <c r="CX1072" t="s">
        <v>19</v>
      </c>
      <c r="CY1072" s="4">
        <v>43108</v>
      </c>
      <c r="CZ1072" t="s">
        <v>67</v>
      </c>
      <c r="DA1072" t="s">
        <v>68</v>
      </c>
      <c r="DB1072">
        <v>33</v>
      </c>
      <c r="DC1072">
        <v>86.78</v>
      </c>
      <c r="DD1072" t="s">
        <v>69</v>
      </c>
      <c r="DE1072" t="s">
        <v>70</v>
      </c>
      <c r="DF1072">
        <v>2863.7400000000002</v>
      </c>
    </row>
    <row r="1073" spans="100:110" x14ac:dyDescent="0.25">
      <c r="CV1073" t="s">
        <v>64</v>
      </c>
      <c r="CW1073" t="s">
        <v>1146</v>
      </c>
      <c r="CX1073" t="s">
        <v>19</v>
      </c>
      <c r="CY1073" s="4">
        <v>43109</v>
      </c>
      <c r="CZ1073" t="s">
        <v>65</v>
      </c>
      <c r="DA1073" t="s">
        <v>66</v>
      </c>
      <c r="DB1073">
        <v>138</v>
      </c>
      <c r="DC1073">
        <v>86.72</v>
      </c>
      <c r="DD1073" t="s">
        <v>69</v>
      </c>
      <c r="DE1073" t="s">
        <v>70</v>
      </c>
      <c r="DF1073">
        <v>11967.36</v>
      </c>
    </row>
    <row r="1074" spans="100:110" x14ac:dyDescent="0.25">
      <c r="CV1074" t="s">
        <v>64</v>
      </c>
      <c r="CW1074" t="s">
        <v>1147</v>
      </c>
      <c r="CX1074" t="s">
        <v>19</v>
      </c>
      <c r="CY1074" s="4">
        <v>43110</v>
      </c>
      <c r="CZ1074" t="s">
        <v>67</v>
      </c>
      <c r="DA1074" t="s">
        <v>68</v>
      </c>
      <c r="DB1074">
        <v>29</v>
      </c>
      <c r="DC1074">
        <v>86.33</v>
      </c>
      <c r="DD1074" t="s">
        <v>69</v>
      </c>
      <c r="DE1074" t="s">
        <v>70</v>
      </c>
      <c r="DF1074">
        <v>2503.5700000000002</v>
      </c>
    </row>
    <row r="1075" spans="100:110" x14ac:dyDescent="0.25">
      <c r="CV1075" t="s">
        <v>64</v>
      </c>
      <c r="CW1075" t="s">
        <v>1148</v>
      </c>
      <c r="CX1075" t="s">
        <v>19</v>
      </c>
      <c r="CY1075" s="4">
        <v>43111</v>
      </c>
      <c r="CZ1075" t="s">
        <v>65</v>
      </c>
      <c r="DA1075" t="s">
        <v>66</v>
      </c>
      <c r="DB1075">
        <v>35</v>
      </c>
      <c r="DC1075">
        <v>86.58</v>
      </c>
      <c r="DD1075" t="s">
        <v>69</v>
      </c>
      <c r="DE1075" t="s">
        <v>70</v>
      </c>
      <c r="DF1075">
        <v>3030.2999999999997</v>
      </c>
    </row>
    <row r="1076" spans="100:110" x14ac:dyDescent="0.25">
      <c r="CV1076" t="s">
        <v>64</v>
      </c>
      <c r="CW1076" t="s">
        <v>1149</v>
      </c>
      <c r="CX1076" t="s">
        <v>19</v>
      </c>
      <c r="CY1076" s="4">
        <v>43112</v>
      </c>
      <c r="CZ1076" t="s">
        <v>67</v>
      </c>
      <c r="DA1076" t="s">
        <v>68</v>
      </c>
      <c r="DB1076">
        <v>153</v>
      </c>
      <c r="DC1076">
        <v>88.08</v>
      </c>
      <c r="DD1076" t="s">
        <v>69</v>
      </c>
      <c r="DE1076" t="s">
        <v>70</v>
      </c>
      <c r="DF1076">
        <v>13476.24</v>
      </c>
    </row>
    <row r="1077" spans="100:110" x14ac:dyDescent="0.25">
      <c r="CV1077" t="s">
        <v>64</v>
      </c>
      <c r="CW1077" t="s">
        <v>1150</v>
      </c>
      <c r="CX1077" t="s">
        <v>19</v>
      </c>
      <c r="CY1077" s="4">
        <v>43116</v>
      </c>
      <c r="CZ1077" t="s">
        <v>65</v>
      </c>
      <c r="DA1077" t="s">
        <v>66</v>
      </c>
      <c r="DB1077">
        <v>33</v>
      </c>
      <c r="DC1077">
        <v>86.85</v>
      </c>
      <c r="DD1077" t="s">
        <v>69</v>
      </c>
      <c r="DE1077" t="s">
        <v>70</v>
      </c>
      <c r="DF1077">
        <v>2866.0499999999997</v>
      </c>
    </row>
    <row r="1078" spans="100:110" x14ac:dyDescent="0.25">
      <c r="CV1078" t="s">
        <v>64</v>
      </c>
      <c r="CW1078" t="s">
        <v>1151</v>
      </c>
      <c r="CX1078" t="s">
        <v>19</v>
      </c>
      <c r="CY1078" s="4">
        <v>43117</v>
      </c>
      <c r="CZ1078" t="s">
        <v>67</v>
      </c>
      <c r="DA1078" t="s">
        <v>68</v>
      </c>
      <c r="DB1078">
        <v>61</v>
      </c>
      <c r="DC1078">
        <v>88.61</v>
      </c>
      <c r="DD1078" t="s">
        <v>69</v>
      </c>
      <c r="DE1078" t="s">
        <v>70</v>
      </c>
      <c r="DF1078">
        <v>5405.21</v>
      </c>
    </row>
    <row r="1079" spans="100:110" x14ac:dyDescent="0.25">
      <c r="CV1079" t="s">
        <v>64</v>
      </c>
      <c r="CW1079" t="s">
        <v>1152</v>
      </c>
      <c r="CX1079" t="s">
        <v>19</v>
      </c>
      <c r="CY1079" s="4">
        <v>43118</v>
      </c>
      <c r="CZ1079" t="s">
        <v>65</v>
      </c>
      <c r="DA1079" t="s">
        <v>66</v>
      </c>
      <c r="DB1079">
        <v>167</v>
      </c>
      <c r="DC1079">
        <v>88.57</v>
      </c>
      <c r="DD1079" t="s">
        <v>69</v>
      </c>
      <c r="DE1079" t="s">
        <v>70</v>
      </c>
      <c r="DF1079">
        <v>14791.189999999999</v>
      </c>
    </row>
    <row r="1080" spans="100:110" x14ac:dyDescent="0.25">
      <c r="CV1080" t="s">
        <v>64</v>
      </c>
      <c r="CW1080" t="s">
        <v>1153</v>
      </c>
      <c r="CX1080" t="s">
        <v>19</v>
      </c>
      <c r="CY1080" s="4">
        <v>43119</v>
      </c>
      <c r="CZ1080" t="s">
        <v>65</v>
      </c>
      <c r="DA1080" t="s">
        <v>66</v>
      </c>
      <c r="DB1080">
        <v>9</v>
      </c>
      <c r="DC1080">
        <v>88.47</v>
      </c>
      <c r="DD1080" t="s">
        <v>69</v>
      </c>
      <c r="DE1080" t="s">
        <v>70</v>
      </c>
      <c r="DF1080">
        <v>796.23</v>
      </c>
    </row>
    <row r="1081" spans="100:110" x14ac:dyDescent="0.25">
      <c r="CV1081" t="s">
        <v>64</v>
      </c>
      <c r="CW1081" t="s">
        <v>1154</v>
      </c>
      <c r="CX1081" t="s">
        <v>19</v>
      </c>
      <c r="CY1081" s="4">
        <v>43122</v>
      </c>
      <c r="CZ1081" t="s">
        <v>67</v>
      </c>
      <c r="DA1081" t="s">
        <v>68</v>
      </c>
      <c r="DB1081">
        <v>85</v>
      </c>
      <c r="DC1081">
        <v>90.05</v>
      </c>
      <c r="DD1081" t="s">
        <v>69</v>
      </c>
      <c r="DE1081" t="s">
        <v>70</v>
      </c>
      <c r="DF1081">
        <v>7654.25</v>
      </c>
    </row>
    <row r="1082" spans="100:110" x14ac:dyDescent="0.25">
      <c r="CV1082" t="s">
        <v>64</v>
      </c>
      <c r="CW1082" t="s">
        <v>1155</v>
      </c>
      <c r="CX1082" t="s">
        <v>19</v>
      </c>
      <c r="CY1082" s="4">
        <v>43123</v>
      </c>
      <c r="CZ1082" t="s">
        <v>65</v>
      </c>
      <c r="DA1082" t="s">
        <v>66</v>
      </c>
      <c r="DB1082">
        <v>83</v>
      </c>
      <c r="DC1082">
        <v>90.34</v>
      </c>
      <c r="DD1082" t="s">
        <v>69</v>
      </c>
      <c r="DE1082" t="s">
        <v>70</v>
      </c>
      <c r="DF1082">
        <v>7498.22</v>
      </c>
    </row>
    <row r="1083" spans="100:110" x14ac:dyDescent="0.25">
      <c r="CV1083" t="s">
        <v>64</v>
      </c>
      <c r="CW1083" t="s">
        <v>1156</v>
      </c>
      <c r="CX1083" t="s">
        <v>19</v>
      </c>
      <c r="CY1083" s="4">
        <v>43124</v>
      </c>
      <c r="CZ1083" t="s">
        <v>67</v>
      </c>
      <c r="DA1083" t="s">
        <v>68</v>
      </c>
      <c r="DB1083">
        <v>140</v>
      </c>
      <c r="DC1083">
        <v>90.26</v>
      </c>
      <c r="DD1083" t="s">
        <v>69</v>
      </c>
      <c r="DE1083" t="s">
        <v>70</v>
      </c>
      <c r="DF1083">
        <v>12636.400000000001</v>
      </c>
    </row>
    <row r="1084" spans="100:110" x14ac:dyDescent="0.25">
      <c r="CV1084" t="s">
        <v>64</v>
      </c>
      <c r="CW1084" t="s">
        <v>1157</v>
      </c>
      <c r="CX1084" t="s">
        <v>19</v>
      </c>
      <c r="CY1084" s="4">
        <v>43125</v>
      </c>
      <c r="CZ1084" t="s">
        <v>65</v>
      </c>
      <c r="DA1084" t="s">
        <v>66</v>
      </c>
      <c r="DB1084">
        <v>15</v>
      </c>
      <c r="DC1084">
        <v>90.76</v>
      </c>
      <c r="DD1084" t="s">
        <v>69</v>
      </c>
      <c r="DE1084" t="s">
        <v>70</v>
      </c>
      <c r="DF1084">
        <v>1361.4</v>
      </c>
    </row>
    <row r="1085" spans="100:110" x14ac:dyDescent="0.25">
      <c r="CV1085" t="s">
        <v>64</v>
      </c>
      <c r="CW1085" t="s">
        <v>1158</v>
      </c>
      <c r="CX1085" t="s">
        <v>19</v>
      </c>
      <c r="CY1085" s="4">
        <v>43126</v>
      </c>
      <c r="CZ1085" t="s">
        <v>65</v>
      </c>
      <c r="DA1085" t="s">
        <v>66</v>
      </c>
      <c r="DB1085">
        <v>150</v>
      </c>
      <c r="DC1085">
        <v>92.46</v>
      </c>
      <c r="DD1085" t="s">
        <v>69</v>
      </c>
      <c r="DE1085" t="s">
        <v>70</v>
      </c>
      <c r="DF1085">
        <v>13868.999999999998</v>
      </c>
    </row>
    <row r="1086" spans="100:110" x14ac:dyDescent="0.25">
      <c r="CV1086" t="s">
        <v>64</v>
      </c>
      <c r="CW1086" t="s">
        <v>1159</v>
      </c>
      <c r="CX1086" t="s">
        <v>19</v>
      </c>
      <c r="CY1086" s="4">
        <v>43129</v>
      </c>
      <c r="CZ1086" t="s">
        <v>67</v>
      </c>
      <c r="DA1086" t="s">
        <v>68</v>
      </c>
      <c r="DB1086">
        <v>35</v>
      </c>
      <c r="DC1086">
        <v>92.32</v>
      </c>
      <c r="DD1086" t="s">
        <v>69</v>
      </c>
      <c r="DE1086" t="s">
        <v>70</v>
      </c>
      <c r="DF1086">
        <v>3231.2</v>
      </c>
    </row>
    <row r="1087" spans="100:110" x14ac:dyDescent="0.25">
      <c r="CV1087" t="s">
        <v>64</v>
      </c>
      <c r="CW1087" t="s">
        <v>1160</v>
      </c>
      <c r="CX1087" t="s">
        <v>19</v>
      </c>
      <c r="CY1087" s="4">
        <v>43130</v>
      </c>
      <c r="CZ1087" t="s">
        <v>67</v>
      </c>
      <c r="DA1087" t="s">
        <v>68</v>
      </c>
      <c r="DB1087">
        <v>161</v>
      </c>
      <c r="DC1087">
        <v>91.16</v>
      </c>
      <c r="DD1087" t="s">
        <v>69</v>
      </c>
      <c r="DE1087" t="s">
        <v>70</v>
      </c>
      <c r="DF1087">
        <v>14676.76</v>
      </c>
    </row>
    <row r="1088" spans="100:110" x14ac:dyDescent="0.25">
      <c r="CV1088" t="s">
        <v>64</v>
      </c>
      <c r="CW1088" t="s">
        <v>1161</v>
      </c>
      <c r="CX1088" t="s">
        <v>19</v>
      </c>
      <c r="CY1088" s="4">
        <v>43131</v>
      </c>
      <c r="CZ1088" t="s">
        <v>65</v>
      </c>
      <c r="DA1088" t="s">
        <v>66</v>
      </c>
      <c r="DB1088">
        <v>79</v>
      </c>
      <c r="DC1088">
        <v>93.39</v>
      </c>
      <c r="DD1088" t="s">
        <v>69</v>
      </c>
      <c r="DE1088" t="s">
        <v>70</v>
      </c>
      <c r="DF1088">
        <v>7377.81</v>
      </c>
    </row>
    <row r="1089" spans="100:110" x14ac:dyDescent="0.25">
      <c r="CV1089" t="s">
        <v>64</v>
      </c>
      <c r="CW1089" t="s">
        <v>1162</v>
      </c>
      <c r="CX1089" t="s">
        <v>19</v>
      </c>
      <c r="CY1089" s="4">
        <v>43132</v>
      </c>
      <c r="CZ1089" t="s">
        <v>65</v>
      </c>
      <c r="DA1089" t="s">
        <v>66</v>
      </c>
      <c r="DB1089">
        <v>34</v>
      </c>
      <c r="DC1089">
        <v>92.66</v>
      </c>
      <c r="DD1089" t="s">
        <v>69</v>
      </c>
      <c r="DE1089" t="s">
        <v>70</v>
      </c>
      <c r="DF1089">
        <v>3150.44</v>
      </c>
    </row>
    <row r="1090" spans="100:110" x14ac:dyDescent="0.25">
      <c r="CV1090" t="s">
        <v>64</v>
      </c>
      <c r="CW1090" t="s">
        <v>1163</v>
      </c>
      <c r="CX1090" t="s">
        <v>19</v>
      </c>
      <c r="CY1090" s="4">
        <v>43133</v>
      </c>
      <c r="CZ1090" t="s">
        <v>67</v>
      </c>
      <c r="DA1090" t="s">
        <v>68</v>
      </c>
      <c r="DB1090">
        <v>64</v>
      </c>
      <c r="DC1090">
        <v>90.22</v>
      </c>
      <c r="DD1090" t="s">
        <v>69</v>
      </c>
      <c r="DE1090" t="s">
        <v>70</v>
      </c>
      <c r="DF1090">
        <v>5774.08</v>
      </c>
    </row>
    <row r="1091" spans="100:110" x14ac:dyDescent="0.25">
      <c r="CV1091" t="s">
        <v>64</v>
      </c>
      <c r="CW1091" t="s">
        <v>1164</v>
      </c>
      <c r="CX1091" t="s">
        <v>19</v>
      </c>
      <c r="CY1091" s="4">
        <v>43136</v>
      </c>
      <c r="CZ1091" t="s">
        <v>65</v>
      </c>
      <c r="DA1091" t="s">
        <v>66</v>
      </c>
      <c r="DB1091">
        <v>145</v>
      </c>
      <c r="DC1091">
        <v>86.5</v>
      </c>
      <c r="DD1091" t="s">
        <v>69</v>
      </c>
      <c r="DE1091" t="s">
        <v>70</v>
      </c>
      <c r="DF1091">
        <v>12542.5</v>
      </c>
    </row>
    <row r="1092" spans="100:110" x14ac:dyDescent="0.25">
      <c r="CV1092" t="s">
        <v>64</v>
      </c>
      <c r="CW1092" t="s">
        <v>1165</v>
      </c>
      <c r="CX1092" t="s">
        <v>19</v>
      </c>
      <c r="CY1092" s="4">
        <v>43137</v>
      </c>
      <c r="CZ1092" t="s">
        <v>67</v>
      </c>
      <c r="DA1092" t="s">
        <v>68</v>
      </c>
      <c r="DB1092">
        <v>155</v>
      </c>
      <c r="DC1092">
        <v>89.78</v>
      </c>
      <c r="DD1092" t="s">
        <v>69</v>
      </c>
      <c r="DE1092" t="s">
        <v>70</v>
      </c>
      <c r="DF1092">
        <v>13915.9</v>
      </c>
    </row>
    <row r="1093" spans="100:110" x14ac:dyDescent="0.25">
      <c r="CV1093" t="s">
        <v>64</v>
      </c>
      <c r="CW1093" t="s">
        <v>1166</v>
      </c>
      <c r="CX1093" t="s">
        <v>19</v>
      </c>
      <c r="CY1093" s="4">
        <v>43138</v>
      </c>
      <c r="CZ1093" t="s">
        <v>65</v>
      </c>
      <c r="DA1093" t="s">
        <v>66</v>
      </c>
      <c r="DB1093">
        <v>16</v>
      </c>
      <c r="DC1093">
        <v>88.09</v>
      </c>
      <c r="DD1093" t="s">
        <v>69</v>
      </c>
      <c r="DE1093" t="s">
        <v>70</v>
      </c>
      <c r="DF1093">
        <v>1409.44</v>
      </c>
    </row>
    <row r="1094" spans="100:110" x14ac:dyDescent="0.25">
      <c r="CV1094" t="s">
        <v>64</v>
      </c>
      <c r="CW1094" t="s">
        <v>1167</v>
      </c>
      <c r="CX1094" t="s">
        <v>19</v>
      </c>
      <c r="CY1094" s="4">
        <v>43139</v>
      </c>
      <c r="CZ1094" t="s">
        <v>65</v>
      </c>
      <c r="DA1094" t="s">
        <v>66</v>
      </c>
      <c r="DB1094">
        <v>4</v>
      </c>
      <c r="DC1094">
        <v>83.56</v>
      </c>
      <c r="DD1094" t="s">
        <v>69</v>
      </c>
      <c r="DE1094" t="s">
        <v>70</v>
      </c>
      <c r="DF1094">
        <v>334.24</v>
      </c>
    </row>
    <row r="1095" spans="100:110" x14ac:dyDescent="0.25">
      <c r="CV1095" t="s">
        <v>64</v>
      </c>
      <c r="CW1095" t="s">
        <v>1168</v>
      </c>
      <c r="CX1095" t="s">
        <v>19</v>
      </c>
      <c r="CY1095" s="4">
        <v>43140</v>
      </c>
      <c r="CZ1095" t="s">
        <v>67</v>
      </c>
      <c r="DA1095" t="s">
        <v>68</v>
      </c>
      <c r="DB1095">
        <v>35</v>
      </c>
      <c r="DC1095">
        <v>86.68</v>
      </c>
      <c r="DD1095" t="s">
        <v>69</v>
      </c>
      <c r="DE1095" t="s">
        <v>70</v>
      </c>
      <c r="DF1095">
        <v>3033.8</v>
      </c>
    </row>
    <row r="1096" spans="100:110" x14ac:dyDescent="0.25">
      <c r="CV1096" t="s">
        <v>64</v>
      </c>
      <c r="CW1096" t="s">
        <v>1169</v>
      </c>
      <c r="CX1096" t="s">
        <v>19</v>
      </c>
      <c r="CY1096" s="4">
        <v>43143</v>
      </c>
      <c r="CZ1096" t="s">
        <v>67</v>
      </c>
      <c r="DA1096" t="s">
        <v>68</v>
      </c>
      <c r="DB1096">
        <v>7</v>
      </c>
      <c r="DC1096">
        <v>87.61</v>
      </c>
      <c r="DD1096" t="s">
        <v>69</v>
      </c>
      <c r="DE1096" t="s">
        <v>70</v>
      </c>
      <c r="DF1096">
        <v>613.27</v>
      </c>
    </row>
    <row r="1097" spans="100:110" x14ac:dyDescent="0.25">
      <c r="CV1097" t="s">
        <v>64</v>
      </c>
      <c r="CW1097" t="s">
        <v>1170</v>
      </c>
      <c r="CX1097" t="s">
        <v>19</v>
      </c>
      <c r="CY1097" s="4">
        <v>43144</v>
      </c>
      <c r="CZ1097" t="s">
        <v>65</v>
      </c>
      <c r="DA1097" t="s">
        <v>66</v>
      </c>
      <c r="DB1097">
        <v>135</v>
      </c>
      <c r="DC1097">
        <v>88.3</v>
      </c>
      <c r="DD1097" t="s">
        <v>69</v>
      </c>
      <c r="DE1097" t="s">
        <v>70</v>
      </c>
      <c r="DF1097">
        <v>11920.5</v>
      </c>
    </row>
    <row r="1098" spans="100:110" x14ac:dyDescent="0.25">
      <c r="CV1098" t="s">
        <v>64</v>
      </c>
      <c r="CW1098" t="s">
        <v>1171</v>
      </c>
      <c r="CX1098" t="s">
        <v>19</v>
      </c>
      <c r="CY1098" s="4">
        <v>43145</v>
      </c>
      <c r="CZ1098" t="s">
        <v>67</v>
      </c>
      <c r="DA1098" t="s">
        <v>68</v>
      </c>
      <c r="DB1098">
        <v>32</v>
      </c>
      <c r="DC1098">
        <v>89.68</v>
      </c>
      <c r="DD1098" t="s">
        <v>69</v>
      </c>
      <c r="DE1098" t="s">
        <v>70</v>
      </c>
      <c r="DF1098">
        <v>2869.76</v>
      </c>
    </row>
    <row r="1099" spans="100:110" x14ac:dyDescent="0.25">
      <c r="CV1099" t="s">
        <v>64</v>
      </c>
      <c r="CW1099" t="s">
        <v>1172</v>
      </c>
      <c r="CX1099" t="s">
        <v>19</v>
      </c>
      <c r="CY1099" s="4">
        <v>43146</v>
      </c>
      <c r="CZ1099" t="s">
        <v>67</v>
      </c>
      <c r="DA1099" t="s">
        <v>68</v>
      </c>
      <c r="DB1099">
        <v>97</v>
      </c>
      <c r="DC1099">
        <v>91.51</v>
      </c>
      <c r="DD1099" t="s">
        <v>69</v>
      </c>
      <c r="DE1099" t="s">
        <v>70</v>
      </c>
      <c r="DF1099">
        <v>8876.4700000000012</v>
      </c>
    </row>
    <row r="1100" spans="100:110" x14ac:dyDescent="0.25">
      <c r="CV1100" t="s">
        <v>64</v>
      </c>
      <c r="CW1100" t="s">
        <v>1173</v>
      </c>
      <c r="CX1100" t="s">
        <v>19</v>
      </c>
      <c r="CY1100" s="4">
        <v>43147</v>
      </c>
      <c r="CZ1100" t="s">
        <v>67</v>
      </c>
      <c r="DA1100" t="s">
        <v>68</v>
      </c>
      <c r="DB1100">
        <v>10</v>
      </c>
      <c r="DC1100">
        <v>90.86</v>
      </c>
      <c r="DD1100" t="s">
        <v>69</v>
      </c>
      <c r="DE1100" t="s">
        <v>70</v>
      </c>
      <c r="DF1100">
        <v>908.6</v>
      </c>
    </row>
    <row r="1101" spans="100:110" x14ac:dyDescent="0.25">
      <c r="CV1101" t="s">
        <v>64</v>
      </c>
      <c r="CW1101" t="s">
        <v>1174</v>
      </c>
      <c r="CX1101" t="s">
        <v>19</v>
      </c>
      <c r="CY1101" s="4">
        <v>43151</v>
      </c>
      <c r="CZ1101" t="s">
        <v>65</v>
      </c>
      <c r="DA1101" t="s">
        <v>66</v>
      </c>
      <c r="DB1101">
        <v>125</v>
      </c>
      <c r="DC1101">
        <v>91.57</v>
      </c>
      <c r="DD1101" t="s">
        <v>69</v>
      </c>
      <c r="DE1101" t="s">
        <v>70</v>
      </c>
      <c r="DF1101">
        <v>11446.25</v>
      </c>
    </row>
    <row r="1102" spans="100:110" x14ac:dyDescent="0.25">
      <c r="CV1102" t="s">
        <v>64</v>
      </c>
      <c r="CW1102" t="s">
        <v>1175</v>
      </c>
      <c r="CX1102" t="s">
        <v>19</v>
      </c>
      <c r="CY1102" s="4">
        <v>43152</v>
      </c>
      <c r="CZ1102" t="s">
        <v>67</v>
      </c>
      <c r="DA1102" t="s">
        <v>68</v>
      </c>
      <c r="DB1102">
        <v>139</v>
      </c>
      <c r="DC1102">
        <v>90.36</v>
      </c>
      <c r="DD1102" t="s">
        <v>69</v>
      </c>
      <c r="DE1102" t="s">
        <v>70</v>
      </c>
      <c r="DF1102">
        <v>12560.039999999999</v>
      </c>
    </row>
    <row r="1103" spans="100:110" x14ac:dyDescent="0.25">
      <c r="CV1103" t="s">
        <v>64</v>
      </c>
      <c r="CW1103" t="s">
        <v>1176</v>
      </c>
      <c r="CX1103" t="s">
        <v>19</v>
      </c>
      <c r="CY1103" s="4">
        <v>43153</v>
      </c>
      <c r="CZ1103" t="s">
        <v>65</v>
      </c>
      <c r="DA1103" t="s">
        <v>66</v>
      </c>
      <c r="DB1103">
        <v>8</v>
      </c>
      <c r="DC1103">
        <v>90.59</v>
      </c>
      <c r="DD1103" t="s">
        <v>69</v>
      </c>
      <c r="DE1103" t="s">
        <v>70</v>
      </c>
      <c r="DF1103">
        <v>724.72</v>
      </c>
    </row>
    <row r="1104" spans="100:110" x14ac:dyDescent="0.25">
      <c r="CV1104" t="s">
        <v>64</v>
      </c>
      <c r="CW1104" t="s">
        <v>1177</v>
      </c>
      <c r="CX1104" t="s">
        <v>19</v>
      </c>
      <c r="CY1104" s="4">
        <v>43154</v>
      </c>
      <c r="CZ1104" t="s">
        <v>65</v>
      </c>
      <c r="DA1104" t="s">
        <v>66</v>
      </c>
      <c r="DB1104">
        <v>74</v>
      </c>
      <c r="DC1104">
        <v>92.89</v>
      </c>
      <c r="DD1104" t="s">
        <v>69</v>
      </c>
      <c r="DE1104" t="s">
        <v>70</v>
      </c>
      <c r="DF1104">
        <v>6873.86</v>
      </c>
    </row>
    <row r="1105" spans="100:110" x14ac:dyDescent="0.25">
      <c r="CV1105" t="s">
        <v>64</v>
      </c>
      <c r="CW1105" t="s">
        <v>1178</v>
      </c>
      <c r="CX1105" t="s">
        <v>19</v>
      </c>
      <c r="CY1105" s="4">
        <v>43157</v>
      </c>
      <c r="CZ1105" t="s">
        <v>65</v>
      </c>
      <c r="DA1105" t="s">
        <v>66</v>
      </c>
      <c r="DB1105">
        <v>29</v>
      </c>
      <c r="DC1105">
        <v>94.24</v>
      </c>
      <c r="DD1105" t="s">
        <v>69</v>
      </c>
      <c r="DE1105" t="s">
        <v>70</v>
      </c>
      <c r="DF1105">
        <v>2732.96</v>
      </c>
    </row>
    <row r="1106" spans="100:110" x14ac:dyDescent="0.25">
      <c r="CV1106" t="s">
        <v>64</v>
      </c>
      <c r="CW1106" t="s">
        <v>1179</v>
      </c>
      <c r="CX1106" t="s">
        <v>19</v>
      </c>
      <c r="CY1106" s="4">
        <v>43158</v>
      </c>
      <c r="CZ1106" t="s">
        <v>65</v>
      </c>
      <c r="DA1106" t="s">
        <v>66</v>
      </c>
      <c r="DB1106">
        <v>41</v>
      </c>
      <c r="DC1106">
        <v>93.03</v>
      </c>
      <c r="DD1106" t="s">
        <v>69</v>
      </c>
      <c r="DE1106" t="s">
        <v>70</v>
      </c>
      <c r="DF1106">
        <v>3814.23</v>
      </c>
    </row>
    <row r="1107" spans="100:110" x14ac:dyDescent="0.25">
      <c r="CV1107" t="s">
        <v>64</v>
      </c>
      <c r="CW1107" t="s">
        <v>1180</v>
      </c>
      <c r="CX1107" t="s">
        <v>19</v>
      </c>
      <c r="CY1107" s="4">
        <v>43159</v>
      </c>
      <c r="CZ1107" t="s">
        <v>67</v>
      </c>
      <c r="DA1107" t="s">
        <v>68</v>
      </c>
      <c r="DB1107">
        <v>40</v>
      </c>
      <c r="DC1107">
        <v>92.61</v>
      </c>
      <c r="DD1107" t="s">
        <v>69</v>
      </c>
      <c r="DE1107" t="s">
        <v>70</v>
      </c>
      <c r="DF1107">
        <v>3704.4</v>
      </c>
    </row>
    <row r="1108" spans="100:110" x14ac:dyDescent="0.25">
      <c r="CV1108" t="s">
        <v>64</v>
      </c>
      <c r="CW1108" t="s">
        <v>1181</v>
      </c>
      <c r="CX1108" t="s">
        <v>19</v>
      </c>
      <c r="CY1108" s="4">
        <v>43160</v>
      </c>
      <c r="CZ1108" t="s">
        <v>65</v>
      </c>
      <c r="DA1108" t="s">
        <v>66</v>
      </c>
      <c r="DB1108">
        <v>71</v>
      </c>
      <c r="DC1108">
        <v>91.7</v>
      </c>
      <c r="DD1108" t="s">
        <v>69</v>
      </c>
      <c r="DE1108" t="s">
        <v>70</v>
      </c>
      <c r="DF1108">
        <v>6510.7</v>
      </c>
    </row>
    <row r="1109" spans="100:110" x14ac:dyDescent="0.25">
      <c r="CV1109" t="s">
        <v>64</v>
      </c>
      <c r="CW1109" t="s">
        <v>1182</v>
      </c>
      <c r="CX1109" t="s">
        <v>19</v>
      </c>
      <c r="CY1109" s="4">
        <v>43161</v>
      </c>
      <c r="CZ1109" t="s">
        <v>67</v>
      </c>
      <c r="DA1109" t="s">
        <v>68</v>
      </c>
      <c r="DB1109">
        <v>28</v>
      </c>
      <c r="DC1109">
        <v>91.9</v>
      </c>
      <c r="DD1109" t="s">
        <v>69</v>
      </c>
      <c r="DE1109" t="s">
        <v>70</v>
      </c>
      <c r="DF1109">
        <v>2573.2000000000003</v>
      </c>
    </row>
    <row r="1110" spans="100:110" x14ac:dyDescent="0.25">
      <c r="CV1110" t="s">
        <v>64</v>
      </c>
      <c r="CW1110" t="s">
        <v>1183</v>
      </c>
      <c r="CX1110" t="s">
        <v>19</v>
      </c>
      <c r="CY1110" s="4">
        <v>43164</v>
      </c>
      <c r="CZ1110" t="s">
        <v>67</v>
      </c>
      <c r="DA1110" t="s">
        <v>68</v>
      </c>
      <c r="DB1110">
        <v>109</v>
      </c>
      <c r="DC1110">
        <v>92.48</v>
      </c>
      <c r="DD1110" t="s">
        <v>69</v>
      </c>
      <c r="DE1110" t="s">
        <v>70</v>
      </c>
      <c r="DF1110">
        <v>10080.32</v>
      </c>
    </row>
    <row r="1111" spans="100:110" x14ac:dyDescent="0.25">
      <c r="CV1111" t="s">
        <v>64</v>
      </c>
      <c r="CW1111" t="s">
        <v>1184</v>
      </c>
      <c r="CX1111" t="s">
        <v>19</v>
      </c>
      <c r="CY1111" s="4">
        <v>43165</v>
      </c>
      <c r="CZ1111" t="s">
        <v>65</v>
      </c>
      <c r="DA1111" t="s">
        <v>66</v>
      </c>
      <c r="DB1111">
        <v>30</v>
      </c>
      <c r="DC1111">
        <v>92.16</v>
      </c>
      <c r="DD1111" t="s">
        <v>69</v>
      </c>
      <c r="DE1111" t="s">
        <v>70</v>
      </c>
      <c r="DF1111">
        <v>2764.7999999999997</v>
      </c>
    </row>
    <row r="1112" spans="100:110" x14ac:dyDescent="0.25">
      <c r="CV1112" t="s">
        <v>64</v>
      </c>
      <c r="CW1112" t="s">
        <v>1185</v>
      </c>
      <c r="CX1112" t="s">
        <v>19</v>
      </c>
      <c r="CY1112" s="4">
        <v>43166</v>
      </c>
      <c r="CZ1112" t="s">
        <v>67</v>
      </c>
      <c r="DA1112" t="s">
        <v>68</v>
      </c>
      <c r="DB1112">
        <v>25</v>
      </c>
      <c r="DC1112">
        <v>92.7</v>
      </c>
      <c r="DD1112" t="s">
        <v>69</v>
      </c>
      <c r="DE1112" t="s">
        <v>70</v>
      </c>
      <c r="DF1112">
        <v>2317.5</v>
      </c>
    </row>
    <row r="1113" spans="100:110" x14ac:dyDescent="0.25">
      <c r="CV1113" t="s">
        <v>64</v>
      </c>
      <c r="CW1113" t="s">
        <v>1186</v>
      </c>
      <c r="CX1113" t="s">
        <v>19</v>
      </c>
      <c r="CY1113" s="4">
        <v>43167</v>
      </c>
      <c r="CZ1113" t="s">
        <v>67</v>
      </c>
      <c r="DA1113" t="s">
        <v>68</v>
      </c>
      <c r="DB1113">
        <v>9</v>
      </c>
      <c r="DC1113">
        <v>93.26</v>
      </c>
      <c r="DD1113" t="s">
        <v>69</v>
      </c>
      <c r="DE1113" t="s">
        <v>70</v>
      </c>
      <c r="DF1113">
        <v>839.34</v>
      </c>
    </row>
    <row r="1114" spans="100:110" x14ac:dyDescent="0.25">
      <c r="CV1114" t="s">
        <v>64</v>
      </c>
      <c r="CW1114" t="s">
        <v>1187</v>
      </c>
      <c r="CX1114" t="s">
        <v>19</v>
      </c>
      <c r="CY1114" s="4">
        <v>43168</v>
      </c>
      <c r="CZ1114" t="s">
        <v>65</v>
      </c>
      <c r="DA1114" t="s">
        <v>66</v>
      </c>
      <c r="DB1114">
        <v>56</v>
      </c>
      <c r="DC1114">
        <v>95.34</v>
      </c>
      <c r="DD1114" t="s">
        <v>69</v>
      </c>
      <c r="DE1114" t="s">
        <v>70</v>
      </c>
      <c r="DF1114">
        <v>5339.04</v>
      </c>
    </row>
    <row r="1115" spans="100:110" x14ac:dyDescent="0.25">
      <c r="CV1115" t="s">
        <v>64</v>
      </c>
      <c r="CW1115" t="s">
        <v>1188</v>
      </c>
      <c r="CX1115" t="s">
        <v>19</v>
      </c>
      <c r="CY1115" s="4">
        <v>43171</v>
      </c>
      <c r="CZ1115" t="s">
        <v>65</v>
      </c>
      <c r="DA1115" t="s">
        <v>66</v>
      </c>
      <c r="DB1115">
        <v>2</v>
      </c>
      <c r="DC1115">
        <v>95.57</v>
      </c>
      <c r="DD1115" t="s">
        <v>69</v>
      </c>
      <c r="DE1115" t="s">
        <v>70</v>
      </c>
      <c r="DF1115">
        <v>191.14</v>
      </c>
    </row>
    <row r="1116" spans="100:110" x14ac:dyDescent="0.25">
      <c r="CV1116" t="s">
        <v>64</v>
      </c>
      <c r="CW1116" t="s">
        <v>1189</v>
      </c>
      <c r="CX1116" t="s">
        <v>19</v>
      </c>
      <c r="CY1116" s="4">
        <v>43172</v>
      </c>
      <c r="CZ1116" t="s">
        <v>67</v>
      </c>
      <c r="DA1116" t="s">
        <v>68</v>
      </c>
      <c r="DB1116">
        <v>3</v>
      </c>
      <c r="DC1116">
        <v>93.24</v>
      </c>
      <c r="DD1116" t="s">
        <v>69</v>
      </c>
      <c r="DE1116" t="s">
        <v>70</v>
      </c>
      <c r="DF1116">
        <v>279.71999999999997</v>
      </c>
    </row>
    <row r="1117" spans="100:110" x14ac:dyDescent="0.25">
      <c r="CV1117" t="s">
        <v>64</v>
      </c>
      <c r="CW1117" t="s">
        <v>1190</v>
      </c>
      <c r="CX1117" t="s">
        <v>19</v>
      </c>
      <c r="CY1117" s="4">
        <v>43173</v>
      </c>
      <c r="CZ1117" t="s">
        <v>67</v>
      </c>
      <c r="DA1117" t="s">
        <v>68</v>
      </c>
      <c r="DB1117">
        <v>80</v>
      </c>
      <c r="DC1117">
        <v>92.69</v>
      </c>
      <c r="DD1117" t="s">
        <v>69</v>
      </c>
      <c r="DE1117" t="s">
        <v>70</v>
      </c>
      <c r="DF1117">
        <v>7415.2</v>
      </c>
    </row>
    <row r="1118" spans="100:110" x14ac:dyDescent="0.25">
      <c r="CV1118" t="s">
        <v>64</v>
      </c>
      <c r="CW1118" t="s">
        <v>1191</v>
      </c>
      <c r="CX1118" t="s">
        <v>19</v>
      </c>
      <c r="CY1118" s="4">
        <v>43174</v>
      </c>
      <c r="CZ1118" t="s">
        <v>65</v>
      </c>
      <c r="DA1118" t="s">
        <v>66</v>
      </c>
      <c r="DB1118">
        <v>64</v>
      </c>
      <c r="DC1118">
        <v>93.01</v>
      </c>
      <c r="DD1118" t="s">
        <v>69</v>
      </c>
      <c r="DE1118" t="s">
        <v>70</v>
      </c>
      <c r="DF1118">
        <v>5952.64</v>
      </c>
    </row>
    <row r="1119" spans="100:110" x14ac:dyDescent="0.25">
      <c r="CV1119" t="s">
        <v>64</v>
      </c>
      <c r="CW1119" t="s">
        <v>1192</v>
      </c>
      <c r="CX1119" t="s">
        <v>19</v>
      </c>
      <c r="CY1119" s="4">
        <v>43175</v>
      </c>
      <c r="CZ1119" t="s">
        <v>65</v>
      </c>
      <c r="DA1119" t="s">
        <v>66</v>
      </c>
      <c r="DB1119">
        <v>102</v>
      </c>
      <c r="DC1119">
        <v>93.43</v>
      </c>
      <c r="DD1119" t="s">
        <v>69</v>
      </c>
      <c r="DE1119" t="s">
        <v>70</v>
      </c>
      <c r="DF1119">
        <v>9529.86</v>
      </c>
    </row>
    <row r="1120" spans="100:110" x14ac:dyDescent="0.25">
      <c r="CV1120" t="s">
        <v>64</v>
      </c>
      <c r="CW1120" t="s">
        <v>1193</v>
      </c>
      <c r="CX1120" t="s">
        <v>19</v>
      </c>
      <c r="CY1120" s="4">
        <v>43178</v>
      </c>
      <c r="CZ1120" t="s">
        <v>67</v>
      </c>
      <c r="DA1120" t="s">
        <v>68</v>
      </c>
      <c r="DB1120">
        <v>55</v>
      </c>
      <c r="DC1120">
        <v>91.74</v>
      </c>
      <c r="DD1120" t="s">
        <v>69</v>
      </c>
      <c r="DE1120" t="s">
        <v>70</v>
      </c>
      <c r="DF1120">
        <v>5045.7</v>
      </c>
    </row>
    <row r="1121" spans="100:110" x14ac:dyDescent="0.25">
      <c r="CV1121" t="s">
        <v>64</v>
      </c>
      <c r="CW1121" t="s">
        <v>1194</v>
      </c>
      <c r="CX1121" t="s">
        <v>19</v>
      </c>
      <c r="CY1121" s="4">
        <v>43179</v>
      </c>
      <c r="CZ1121" t="s">
        <v>67</v>
      </c>
      <c r="DA1121" t="s">
        <v>68</v>
      </c>
      <c r="DB1121">
        <v>9</v>
      </c>
      <c r="DC1121">
        <v>91.98</v>
      </c>
      <c r="DD1121" t="s">
        <v>69</v>
      </c>
      <c r="DE1121" t="s">
        <v>70</v>
      </c>
      <c r="DF1121">
        <v>827.82</v>
      </c>
    </row>
    <row r="1122" spans="100:110" x14ac:dyDescent="0.25">
      <c r="CV1122" t="s">
        <v>64</v>
      </c>
      <c r="CW1122" t="s">
        <v>1195</v>
      </c>
      <c r="CX1122" t="s">
        <v>19</v>
      </c>
      <c r="CY1122" s="4">
        <v>43180</v>
      </c>
      <c r="CZ1122" t="s">
        <v>65</v>
      </c>
      <c r="DA1122" t="s">
        <v>66</v>
      </c>
      <c r="DB1122">
        <v>6</v>
      </c>
      <c r="DC1122">
        <v>91.33</v>
      </c>
      <c r="DD1122" t="s">
        <v>69</v>
      </c>
      <c r="DE1122" t="s">
        <v>70</v>
      </c>
      <c r="DF1122">
        <v>547.98</v>
      </c>
    </row>
    <row r="1123" spans="100:110" x14ac:dyDescent="0.25">
      <c r="CV1123" t="s">
        <v>64</v>
      </c>
      <c r="CW1123" t="s">
        <v>1196</v>
      </c>
      <c r="CX1123" t="s">
        <v>19</v>
      </c>
      <c r="CY1123" s="4">
        <v>43181</v>
      </c>
      <c r="CZ1123" t="s">
        <v>67</v>
      </c>
      <c r="DA1123" t="s">
        <v>68</v>
      </c>
      <c r="DB1123">
        <v>18</v>
      </c>
      <c r="DC1123">
        <v>88.68</v>
      </c>
      <c r="DD1123" t="s">
        <v>69</v>
      </c>
      <c r="DE1123" t="s">
        <v>70</v>
      </c>
      <c r="DF1123">
        <v>1596.2400000000002</v>
      </c>
    </row>
    <row r="1124" spans="100:110" x14ac:dyDescent="0.25">
      <c r="CV1124" t="s">
        <v>64</v>
      </c>
      <c r="CW1124" t="s">
        <v>1197</v>
      </c>
      <c r="CX1124" t="s">
        <v>19</v>
      </c>
      <c r="CY1124" s="4">
        <v>43182</v>
      </c>
      <c r="CZ1124" t="s">
        <v>67</v>
      </c>
      <c r="DA1124" t="s">
        <v>68</v>
      </c>
      <c r="DB1124">
        <v>14</v>
      </c>
      <c r="DC1124">
        <v>86.1</v>
      </c>
      <c r="DD1124" t="s">
        <v>69</v>
      </c>
      <c r="DE1124" t="s">
        <v>70</v>
      </c>
      <c r="DF1124">
        <v>1205.3999999999999</v>
      </c>
    </row>
    <row r="1125" spans="100:110" x14ac:dyDescent="0.25">
      <c r="CV1125" t="s">
        <v>64</v>
      </c>
      <c r="CW1125" t="s">
        <v>1198</v>
      </c>
      <c r="CX1125" t="s">
        <v>19</v>
      </c>
      <c r="CY1125" s="4">
        <v>43185</v>
      </c>
      <c r="CZ1125" t="s">
        <v>67</v>
      </c>
      <c r="DA1125" t="s">
        <v>68</v>
      </c>
      <c r="DB1125">
        <v>26</v>
      </c>
      <c r="DC1125">
        <v>92.62</v>
      </c>
      <c r="DD1125" t="s">
        <v>69</v>
      </c>
      <c r="DE1125" t="s">
        <v>70</v>
      </c>
      <c r="DF1125">
        <v>2408.12</v>
      </c>
    </row>
    <row r="1126" spans="100:110" x14ac:dyDescent="0.25">
      <c r="CV1126" t="s">
        <v>64</v>
      </c>
      <c r="CW1126" t="s">
        <v>1199</v>
      </c>
      <c r="CX1126" t="s">
        <v>19</v>
      </c>
      <c r="CY1126" s="4">
        <v>43186</v>
      </c>
      <c r="CZ1126" t="s">
        <v>65</v>
      </c>
      <c r="DA1126" t="s">
        <v>66</v>
      </c>
      <c r="DB1126">
        <v>84</v>
      </c>
      <c r="DC1126">
        <v>88.36</v>
      </c>
      <c r="DD1126" t="s">
        <v>69</v>
      </c>
      <c r="DE1126" t="s">
        <v>70</v>
      </c>
      <c r="DF1126">
        <v>7422.24</v>
      </c>
    </row>
    <row r="1127" spans="100:110" x14ac:dyDescent="0.25">
      <c r="CV1127" t="s">
        <v>64</v>
      </c>
      <c r="CW1127" t="s">
        <v>1200</v>
      </c>
      <c r="CX1127" t="s">
        <v>19</v>
      </c>
      <c r="CY1127" s="4">
        <v>43187</v>
      </c>
      <c r="CZ1127" t="s">
        <v>67</v>
      </c>
      <c r="DA1127" t="s">
        <v>68</v>
      </c>
      <c r="DB1127">
        <v>4</v>
      </c>
      <c r="DC1127">
        <v>88.28</v>
      </c>
      <c r="DD1127" t="s">
        <v>69</v>
      </c>
      <c r="DE1127" t="s">
        <v>70</v>
      </c>
      <c r="DF1127">
        <v>353.12</v>
      </c>
    </row>
    <row r="1128" spans="100:110" x14ac:dyDescent="0.25">
      <c r="CV1128" t="s">
        <v>64</v>
      </c>
      <c r="CW1128" t="s">
        <v>1201</v>
      </c>
      <c r="CX1128" t="s">
        <v>19</v>
      </c>
      <c r="CY1128" s="4">
        <v>43188</v>
      </c>
      <c r="CZ1128" t="s">
        <v>67</v>
      </c>
      <c r="DA1128" t="s">
        <v>68</v>
      </c>
      <c r="DB1128">
        <v>19</v>
      </c>
      <c r="DC1128">
        <v>90.14</v>
      </c>
      <c r="DD1128" t="s">
        <v>69</v>
      </c>
      <c r="DE1128" t="s">
        <v>70</v>
      </c>
      <c r="DF1128">
        <v>1712.66</v>
      </c>
    </row>
    <row r="1129" spans="100:110" x14ac:dyDescent="0.25">
      <c r="CV1129" t="s">
        <v>64</v>
      </c>
      <c r="CW1129" t="s">
        <v>1202</v>
      </c>
      <c r="CX1129" t="s">
        <v>19</v>
      </c>
      <c r="CY1129" s="4">
        <v>43192</v>
      </c>
      <c r="CZ1129" t="s">
        <v>67</v>
      </c>
      <c r="DA1129" t="s">
        <v>68</v>
      </c>
      <c r="DB1129">
        <v>83</v>
      </c>
      <c r="DC1129">
        <v>87.42</v>
      </c>
      <c r="DD1129" t="s">
        <v>69</v>
      </c>
      <c r="DE1129" t="s">
        <v>70</v>
      </c>
      <c r="DF1129">
        <v>7255.8600000000006</v>
      </c>
    </row>
    <row r="1130" spans="100:110" x14ac:dyDescent="0.25">
      <c r="CV1130" t="s">
        <v>64</v>
      </c>
      <c r="CW1130" t="s">
        <v>1203</v>
      </c>
      <c r="CX1130" t="s">
        <v>19</v>
      </c>
      <c r="CY1130" s="4">
        <v>43193</v>
      </c>
      <c r="CZ1130" t="s">
        <v>65</v>
      </c>
      <c r="DA1130" t="s">
        <v>66</v>
      </c>
      <c r="DB1130">
        <v>34</v>
      </c>
      <c r="DC1130">
        <v>88.6</v>
      </c>
      <c r="DD1130" t="s">
        <v>69</v>
      </c>
      <c r="DE1130" t="s">
        <v>70</v>
      </c>
      <c r="DF1130">
        <v>3012.3999999999996</v>
      </c>
    </row>
    <row r="1131" spans="100:110" x14ac:dyDescent="0.25">
      <c r="CV1131" t="s">
        <v>64</v>
      </c>
      <c r="CW1131" t="s">
        <v>1204</v>
      </c>
      <c r="CX1131" t="s">
        <v>19</v>
      </c>
      <c r="CY1131" s="4">
        <v>43194</v>
      </c>
      <c r="CZ1131" t="s">
        <v>67</v>
      </c>
      <c r="DA1131" t="s">
        <v>68</v>
      </c>
      <c r="DB1131">
        <v>56</v>
      </c>
      <c r="DC1131">
        <v>91.19</v>
      </c>
      <c r="DD1131" t="s">
        <v>69</v>
      </c>
      <c r="DE1131" t="s">
        <v>70</v>
      </c>
      <c r="DF1131">
        <v>5106.6399999999994</v>
      </c>
    </row>
    <row r="1132" spans="100:110" x14ac:dyDescent="0.25">
      <c r="CV1132" t="s">
        <v>64</v>
      </c>
      <c r="CW1132" t="s">
        <v>1205</v>
      </c>
      <c r="CX1132" t="s">
        <v>19</v>
      </c>
      <c r="CY1132" s="4">
        <v>43195</v>
      </c>
      <c r="CZ1132" t="s">
        <v>65</v>
      </c>
      <c r="DA1132" t="s">
        <v>66</v>
      </c>
      <c r="DB1132">
        <v>151</v>
      </c>
      <c r="DC1132">
        <v>91.23</v>
      </c>
      <c r="DD1132" t="s">
        <v>69</v>
      </c>
      <c r="DE1132" t="s">
        <v>70</v>
      </c>
      <c r="DF1132">
        <v>13775.730000000001</v>
      </c>
    </row>
    <row r="1133" spans="100:110" x14ac:dyDescent="0.25">
      <c r="CV1133" t="s">
        <v>64</v>
      </c>
      <c r="CW1133" t="s">
        <v>1206</v>
      </c>
      <c r="CX1133" t="s">
        <v>19</v>
      </c>
      <c r="CY1133" s="4">
        <v>43196</v>
      </c>
      <c r="CZ1133" t="s">
        <v>67</v>
      </c>
      <c r="DA1133" t="s">
        <v>68</v>
      </c>
      <c r="DB1133">
        <v>34</v>
      </c>
      <c r="DC1133">
        <v>89.11</v>
      </c>
      <c r="DD1133" t="s">
        <v>69</v>
      </c>
      <c r="DE1133" t="s">
        <v>70</v>
      </c>
      <c r="DF1133">
        <v>3029.74</v>
      </c>
    </row>
    <row r="1134" spans="100:110" x14ac:dyDescent="0.25">
      <c r="CV1134" t="s">
        <v>64</v>
      </c>
      <c r="CW1134" t="s">
        <v>1207</v>
      </c>
      <c r="CX1134" t="s">
        <v>19</v>
      </c>
      <c r="CY1134" s="4">
        <v>43199</v>
      </c>
      <c r="CZ1134" t="s">
        <v>67</v>
      </c>
      <c r="DA1134" t="s">
        <v>68</v>
      </c>
      <c r="DB1134">
        <v>32</v>
      </c>
      <c r="DC1134">
        <v>89.64</v>
      </c>
      <c r="DD1134" t="s">
        <v>69</v>
      </c>
      <c r="DE1134" t="s">
        <v>70</v>
      </c>
      <c r="DF1134">
        <v>2868.48</v>
      </c>
    </row>
    <row r="1135" spans="100:110" x14ac:dyDescent="0.25">
      <c r="CV1135" t="s">
        <v>64</v>
      </c>
      <c r="CW1135" t="s">
        <v>1208</v>
      </c>
      <c r="CX1135" t="s">
        <v>19</v>
      </c>
      <c r="CY1135" s="4">
        <v>43200</v>
      </c>
      <c r="CZ1135" t="s">
        <v>65</v>
      </c>
      <c r="DA1135" t="s">
        <v>66</v>
      </c>
      <c r="DB1135">
        <v>20</v>
      </c>
      <c r="DC1135">
        <v>91.73</v>
      </c>
      <c r="DD1135" t="s">
        <v>69</v>
      </c>
      <c r="DE1135" t="s">
        <v>70</v>
      </c>
      <c r="DF1135">
        <v>1834.6000000000001</v>
      </c>
    </row>
    <row r="1136" spans="100:110" x14ac:dyDescent="0.25">
      <c r="CV1136" t="s">
        <v>64</v>
      </c>
      <c r="CW1136" t="s">
        <v>1209</v>
      </c>
      <c r="CX1136" t="s">
        <v>19</v>
      </c>
      <c r="CY1136" s="4">
        <v>43201</v>
      </c>
      <c r="CZ1136" t="s">
        <v>67</v>
      </c>
      <c r="DA1136" t="s">
        <v>68</v>
      </c>
      <c r="DB1136">
        <v>110</v>
      </c>
      <c r="DC1136">
        <v>90.72</v>
      </c>
      <c r="DD1136" t="s">
        <v>69</v>
      </c>
      <c r="DE1136" t="s">
        <v>70</v>
      </c>
      <c r="DF1136">
        <v>9979.2000000000007</v>
      </c>
    </row>
    <row r="1137" spans="100:110" x14ac:dyDescent="0.25">
      <c r="CV1137" t="s">
        <v>64</v>
      </c>
      <c r="CW1137" t="s">
        <v>1210</v>
      </c>
      <c r="CX1137" t="s">
        <v>19</v>
      </c>
      <c r="CY1137" s="4">
        <v>43202</v>
      </c>
      <c r="CZ1137" t="s">
        <v>65</v>
      </c>
      <c r="DA1137" t="s">
        <v>66</v>
      </c>
      <c r="DB1137">
        <v>64</v>
      </c>
      <c r="DC1137">
        <v>92.42</v>
      </c>
      <c r="DD1137" t="s">
        <v>69</v>
      </c>
      <c r="DE1137" t="s">
        <v>70</v>
      </c>
      <c r="DF1137">
        <v>5914.88</v>
      </c>
    </row>
    <row r="1138" spans="100:110" x14ac:dyDescent="0.25">
      <c r="CV1138" t="s">
        <v>64</v>
      </c>
      <c r="CW1138" t="s">
        <v>1211</v>
      </c>
      <c r="CX1138" t="s">
        <v>19</v>
      </c>
      <c r="CY1138" s="4">
        <v>43203</v>
      </c>
      <c r="CZ1138" t="s">
        <v>65</v>
      </c>
      <c r="DA1138" t="s">
        <v>66</v>
      </c>
      <c r="DB1138">
        <v>26</v>
      </c>
      <c r="DC1138">
        <v>91.93</v>
      </c>
      <c r="DD1138" t="s">
        <v>69</v>
      </c>
      <c r="DE1138" t="s">
        <v>70</v>
      </c>
      <c r="DF1138">
        <v>2390.1800000000003</v>
      </c>
    </row>
    <row r="1139" spans="100:110" x14ac:dyDescent="0.25">
      <c r="CV1139" t="s">
        <v>64</v>
      </c>
      <c r="CW1139" t="s">
        <v>1212</v>
      </c>
      <c r="CX1139" t="s">
        <v>19</v>
      </c>
      <c r="CY1139" s="4">
        <v>43206</v>
      </c>
      <c r="CZ1139" t="s">
        <v>65</v>
      </c>
      <c r="DA1139" t="s">
        <v>66</v>
      </c>
      <c r="DB1139">
        <v>37</v>
      </c>
      <c r="DC1139">
        <v>93</v>
      </c>
      <c r="DD1139" t="s">
        <v>69</v>
      </c>
      <c r="DE1139" t="s">
        <v>70</v>
      </c>
      <c r="DF1139">
        <v>3441</v>
      </c>
    </row>
    <row r="1140" spans="100:110" x14ac:dyDescent="0.25">
      <c r="CV1140" t="s">
        <v>64</v>
      </c>
      <c r="CW1140" t="s">
        <v>1213</v>
      </c>
      <c r="CX1140" t="s">
        <v>19</v>
      </c>
      <c r="CY1140" s="4">
        <v>43207</v>
      </c>
      <c r="CZ1140" t="s">
        <v>67</v>
      </c>
      <c r="DA1140" t="s">
        <v>68</v>
      </c>
      <c r="DB1140">
        <v>63</v>
      </c>
      <c r="DC1140">
        <v>94.88</v>
      </c>
      <c r="DD1140" t="s">
        <v>69</v>
      </c>
      <c r="DE1140" t="s">
        <v>70</v>
      </c>
      <c r="DF1140">
        <v>5977.44</v>
      </c>
    </row>
    <row r="1141" spans="100:110" x14ac:dyDescent="0.25">
      <c r="CV1141" t="s">
        <v>64</v>
      </c>
      <c r="CW1141" t="s">
        <v>1214</v>
      </c>
      <c r="CX1141" t="s">
        <v>19</v>
      </c>
      <c r="CY1141" s="4">
        <v>43208</v>
      </c>
      <c r="CZ1141" t="s">
        <v>67</v>
      </c>
      <c r="DA1141" t="s">
        <v>68</v>
      </c>
      <c r="DB1141">
        <v>74</v>
      </c>
      <c r="DC1141">
        <v>95.24</v>
      </c>
      <c r="DD1141" t="s">
        <v>69</v>
      </c>
      <c r="DE1141" t="s">
        <v>70</v>
      </c>
      <c r="DF1141">
        <v>7047.7599999999993</v>
      </c>
    </row>
    <row r="1142" spans="100:110" x14ac:dyDescent="0.25">
      <c r="CV1142" t="s">
        <v>64</v>
      </c>
      <c r="CW1142" t="s">
        <v>1215</v>
      </c>
      <c r="CX1142" t="s">
        <v>19</v>
      </c>
      <c r="CY1142" s="4">
        <v>43209</v>
      </c>
      <c r="CZ1142" t="s">
        <v>65</v>
      </c>
      <c r="DA1142" t="s">
        <v>66</v>
      </c>
      <c r="DB1142">
        <v>64</v>
      </c>
      <c r="DC1142">
        <v>94.92</v>
      </c>
      <c r="DD1142" t="s">
        <v>69</v>
      </c>
      <c r="DE1142" t="s">
        <v>70</v>
      </c>
      <c r="DF1142">
        <v>6074.88</v>
      </c>
    </row>
    <row r="1143" spans="100:110" x14ac:dyDescent="0.25">
      <c r="CV1143" t="s">
        <v>64</v>
      </c>
      <c r="CW1143" t="s">
        <v>1216</v>
      </c>
      <c r="CX1143" t="s">
        <v>19</v>
      </c>
      <c r="CY1143" s="4">
        <v>43210</v>
      </c>
      <c r="CZ1143" t="s">
        <v>67</v>
      </c>
      <c r="DA1143" t="s">
        <v>68</v>
      </c>
      <c r="DB1143">
        <v>48</v>
      </c>
      <c r="DC1143">
        <v>93.82</v>
      </c>
      <c r="DD1143" t="s">
        <v>69</v>
      </c>
      <c r="DE1143" t="s">
        <v>70</v>
      </c>
      <c r="DF1143">
        <v>4503.3599999999997</v>
      </c>
    </row>
    <row r="1144" spans="100:110" x14ac:dyDescent="0.25">
      <c r="CV1144" t="s">
        <v>64</v>
      </c>
      <c r="CW1144" t="s">
        <v>1217</v>
      </c>
      <c r="CX1144" t="s">
        <v>19</v>
      </c>
      <c r="CY1144" s="4">
        <v>43213</v>
      </c>
      <c r="CZ1144" t="s">
        <v>65</v>
      </c>
      <c r="DA1144" t="s">
        <v>66</v>
      </c>
      <c r="DB1144">
        <v>144</v>
      </c>
      <c r="DC1144">
        <v>94.17</v>
      </c>
      <c r="DD1144" t="s">
        <v>69</v>
      </c>
      <c r="DE1144" t="s">
        <v>70</v>
      </c>
      <c r="DF1144">
        <v>13560.48</v>
      </c>
    </row>
    <row r="1145" spans="100:110" x14ac:dyDescent="0.25">
      <c r="CV1145" t="s">
        <v>64</v>
      </c>
      <c r="CW1145" t="s">
        <v>1218</v>
      </c>
      <c r="CX1145" t="s">
        <v>19</v>
      </c>
      <c r="CY1145" s="4">
        <v>43214</v>
      </c>
      <c r="CZ1145" t="s">
        <v>67</v>
      </c>
      <c r="DA1145" t="s">
        <v>68</v>
      </c>
      <c r="DB1145">
        <v>34</v>
      </c>
      <c r="DC1145">
        <v>91.97</v>
      </c>
      <c r="DD1145" t="s">
        <v>69</v>
      </c>
      <c r="DE1145" t="s">
        <v>70</v>
      </c>
      <c r="DF1145">
        <v>3126.98</v>
      </c>
    </row>
    <row r="1146" spans="100:110" x14ac:dyDescent="0.25">
      <c r="CV1146" t="s">
        <v>64</v>
      </c>
      <c r="CW1146" t="s">
        <v>1219</v>
      </c>
      <c r="CX1146" t="s">
        <v>19</v>
      </c>
      <c r="CY1146" s="4">
        <v>43215</v>
      </c>
      <c r="CZ1146" t="s">
        <v>65</v>
      </c>
      <c r="DA1146" t="s">
        <v>66</v>
      </c>
      <c r="DB1146">
        <v>18</v>
      </c>
      <c r="DC1146">
        <v>91.17</v>
      </c>
      <c r="DD1146" t="s">
        <v>69</v>
      </c>
      <c r="DE1146" t="s">
        <v>70</v>
      </c>
      <c r="DF1146">
        <v>1641.06</v>
      </c>
    </row>
    <row r="1147" spans="100:110" x14ac:dyDescent="0.25">
      <c r="CV1147" t="s">
        <v>64</v>
      </c>
      <c r="CW1147" t="s">
        <v>1220</v>
      </c>
      <c r="CX1147" t="s">
        <v>19</v>
      </c>
      <c r="CY1147" s="4">
        <v>43216</v>
      </c>
      <c r="CZ1147" t="s">
        <v>67</v>
      </c>
      <c r="DA1147" t="s">
        <v>68</v>
      </c>
      <c r="DB1147">
        <v>106</v>
      </c>
      <c r="DC1147">
        <v>93.09</v>
      </c>
      <c r="DD1147" t="s">
        <v>69</v>
      </c>
      <c r="DE1147" t="s">
        <v>70</v>
      </c>
      <c r="DF1147">
        <v>9867.5400000000009</v>
      </c>
    </row>
    <row r="1148" spans="100:110" x14ac:dyDescent="0.25">
      <c r="CV1148" t="s">
        <v>64</v>
      </c>
      <c r="CW1148" t="s">
        <v>1221</v>
      </c>
      <c r="CX1148" t="s">
        <v>19</v>
      </c>
      <c r="CY1148" s="4">
        <v>43217</v>
      </c>
      <c r="CZ1148" t="s">
        <v>65</v>
      </c>
      <c r="DA1148" t="s">
        <v>66</v>
      </c>
      <c r="DB1148">
        <v>85</v>
      </c>
      <c r="DC1148">
        <v>94.63</v>
      </c>
      <c r="DD1148" t="s">
        <v>69</v>
      </c>
      <c r="DE1148" t="s">
        <v>70</v>
      </c>
      <c r="DF1148">
        <v>8043.5499999999993</v>
      </c>
    </row>
    <row r="1149" spans="100:110" x14ac:dyDescent="0.25">
      <c r="CV1149" t="s">
        <v>64</v>
      </c>
      <c r="CW1149" t="s">
        <v>1222</v>
      </c>
      <c r="CX1149" t="s">
        <v>19</v>
      </c>
      <c r="CY1149" s="4">
        <v>43220</v>
      </c>
      <c r="CZ1149" t="s">
        <v>65</v>
      </c>
      <c r="DA1149" t="s">
        <v>66</v>
      </c>
      <c r="DB1149">
        <v>3</v>
      </c>
      <c r="DC1149">
        <v>92.36</v>
      </c>
      <c r="DD1149" t="s">
        <v>69</v>
      </c>
      <c r="DE1149" t="s">
        <v>70</v>
      </c>
      <c r="DF1149">
        <v>277.08</v>
      </c>
    </row>
    <row r="1150" spans="100:110" x14ac:dyDescent="0.25">
      <c r="CV1150" t="s">
        <v>64</v>
      </c>
      <c r="CW1150" t="s">
        <v>1223</v>
      </c>
      <c r="CX1150" t="s">
        <v>19</v>
      </c>
      <c r="CY1150" s="4">
        <v>43221</v>
      </c>
      <c r="CZ1150" t="s">
        <v>65</v>
      </c>
      <c r="DA1150" t="s">
        <v>66</v>
      </c>
      <c r="DB1150">
        <v>59</v>
      </c>
      <c r="DC1150">
        <v>93.82</v>
      </c>
      <c r="DD1150" t="s">
        <v>69</v>
      </c>
      <c r="DE1150" t="s">
        <v>70</v>
      </c>
      <c r="DF1150">
        <v>5535.3799999999992</v>
      </c>
    </row>
    <row r="1151" spans="100:110" x14ac:dyDescent="0.25">
      <c r="CV1151" t="s">
        <v>64</v>
      </c>
      <c r="CW1151" t="s">
        <v>1224</v>
      </c>
      <c r="CX1151" t="s">
        <v>19</v>
      </c>
      <c r="CY1151" s="4">
        <v>43222</v>
      </c>
      <c r="CZ1151" t="s">
        <v>67</v>
      </c>
      <c r="DA1151" t="s">
        <v>68</v>
      </c>
      <c r="DB1151">
        <v>57</v>
      </c>
      <c r="DC1151">
        <v>92.35</v>
      </c>
      <c r="DD1151" t="s">
        <v>69</v>
      </c>
      <c r="DE1151" t="s">
        <v>70</v>
      </c>
      <c r="DF1151">
        <v>5263.95</v>
      </c>
    </row>
    <row r="1152" spans="100:110" x14ac:dyDescent="0.25">
      <c r="CV1152" t="s">
        <v>64</v>
      </c>
      <c r="CW1152" t="s">
        <v>1225</v>
      </c>
      <c r="CX1152" t="s">
        <v>19</v>
      </c>
      <c r="CY1152" s="4">
        <v>43223</v>
      </c>
      <c r="CZ1152" t="s">
        <v>67</v>
      </c>
      <c r="DA1152" t="s">
        <v>68</v>
      </c>
      <c r="DB1152">
        <v>126</v>
      </c>
      <c r="DC1152">
        <v>92.9</v>
      </c>
      <c r="DD1152" t="s">
        <v>69</v>
      </c>
      <c r="DE1152" t="s">
        <v>70</v>
      </c>
      <c r="DF1152">
        <v>11705.400000000001</v>
      </c>
    </row>
    <row r="1153" spans="100:110" x14ac:dyDescent="0.25">
      <c r="CV1153" t="s">
        <v>64</v>
      </c>
      <c r="CW1153" t="s">
        <v>1226</v>
      </c>
      <c r="CX1153" t="s">
        <v>19</v>
      </c>
      <c r="CY1153" s="4">
        <v>43224</v>
      </c>
      <c r="CZ1153" t="s">
        <v>65</v>
      </c>
      <c r="DA1153" t="s">
        <v>66</v>
      </c>
      <c r="DB1153">
        <v>22</v>
      </c>
      <c r="DC1153">
        <v>93.98</v>
      </c>
      <c r="DD1153" t="s">
        <v>69</v>
      </c>
      <c r="DE1153" t="s">
        <v>70</v>
      </c>
      <c r="DF1153">
        <v>2067.56</v>
      </c>
    </row>
    <row r="1154" spans="100:110" x14ac:dyDescent="0.25">
      <c r="CV1154" t="s">
        <v>64</v>
      </c>
      <c r="CW1154" t="s">
        <v>1227</v>
      </c>
      <c r="CX1154" t="s">
        <v>19</v>
      </c>
      <c r="CY1154" s="4">
        <v>43227</v>
      </c>
      <c r="CZ1154" t="s">
        <v>65</v>
      </c>
      <c r="DA1154" t="s">
        <v>66</v>
      </c>
      <c r="DB1154">
        <v>148</v>
      </c>
      <c r="DC1154">
        <v>95.03</v>
      </c>
      <c r="DD1154" t="s">
        <v>69</v>
      </c>
      <c r="DE1154" t="s">
        <v>70</v>
      </c>
      <c r="DF1154">
        <v>14064.44</v>
      </c>
    </row>
    <row r="1155" spans="100:110" x14ac:dyDescent="0.25">
      <c r="CV1155" t="s">
        <v>64</v>
      </c>
      <c r="CW1155" t="s">
        <v>1228</v>
      </c>
      <c r="CX1155" t="s">
        <v>19</v>
      </c>
      <c r="CY1155" s="4">
        <v>43228</v>
      </c>
      <c r="CZ1155" t="s">
        <v>67</v>
      </c>
      <c r="DA1155" t="s">
        <v>68</v>
      </c>
      <c r="DB1155">
        <v>80</v>
      </c>
      <c r="DC1155">
        <v>94.62</v>
      </c>
      <c r="DD1155" t="s">
        <v>69</v>
      </c>
      <c r="DE1155" t="s">
        <v>70</v>
      </c>
      <c r="DF1155">
        <v>7569.6</v>
      </c>
    </row>
    <row r="1156" spans="100:110" x14ac:dyDescent="0.25">
      <c r="CV1156" t="s">
        <v>64</v>
      </c>
      <c r="CW1156" t="s">
        <v>1229</v>
      </c>
      <c r="CX1156" t="s">
        <v>19</v>
      </c>
      <c r="CY1156" s="4">
        <v>43229</v>
      </c>
      <c r="CZ1156" t="s">
        <v>67</v>
      </c>
      <c r="DA1156" t="s">
        <v>68</v>
      </c>
      <c r="DB1156">
        <v>93</v>
      </c>
      <c r="DC1156">
        <v>95.74</v>
      </c>
      <c r="DD1156" t="s">
        <v>69</v>
      </c>
      <c r="DE1156" t="s">
        <v>70</v>
      </c>
      <c r="DF1156">
        <v>8903.82</v>
      </c>
    </row>
    <row r="1157" spans="100:110" x14ac:dyDescent="0.25">
      <c r="CV1157" t="s">
        <v>64</v>
      </c>
      <c r="CW1157" t="s">
        <v>1230</v>
      </c>
      <c r="CX1157" t="s">
        <v>19</v>
      </c>
      <c r="CY1157" s="4">
        <v>43230</v>
      </c>
      <c r="CZ1157" t="s">
        <v>65</v>
      </c>
      <c r="DA1157" t="s">
        <v>66</v>
      </c>
      <c r="DB1157">
        <v>124</v>
      </c>
      <c r="DC1157">
        <v>96.7</v>
      </c>
      <c r="DD1157" t="s">
        <v>69</v>
      </c>
      <c r="DE1157" t="s">
        <v>70</v>
      </c>
      <c r="DF1157">
        <v>11990.800000000001</v>
      </c>
    </row>
    <row r="1158" spans="100:110" x14ac:dyDescent="0.25">
      <c r="CV1158" t="s">
        <v>64</v>
      </c>
      <c r="CW1158" t="s">
        <v>1231</v>
      </c>
      <c r="CX1158" t="s">
        <v>19</v>
      </c>
      <c r="CY1158" s="4">
        <v>43231</v>
      </c>
      <c r="CZ1158" t="s">
        <v>67</v>
      </c>
      <c r="DA1158" t="s">
        <v>68</v>
      </c>
      <c r="DB1158">
        <v>56</v>
      </c>
      <c r="DC1158">
        <v>96.49</v>
      </c>
      <c r="DD1158" t="s">
        <v>69</v>
      </c>
      <c r="DE1158" t="s">
        <v>70</v>
      </c>
      <c r="DF1158">
        <v>5403.44</v>
      </c>
    </row>
    <row r="1159" spans="100:110" x14ac:dyDescent="0.25">
      <c r="CV1159" t="s">
        <v>64</v>
      </c>
      <c r="CW1159" t="s">
        <v>1232</v>
      </c>
      <c r="CX1159" t="s">
        <v>19</v>
      </c>
      <c r="CY1159" s="4">
        <v>43234</v>
      </c>
      <c r="CZ1159" t="s">
        <v>65</v>
      </c>
      <c r="DA1159" t="s">
        <v>66</v>
      </c>
      <c r="DB1159">
        <v>75</v>
      </c>
      <c r="DC1159">
        <v>96.81</v>
      </c>
      <c r="DD1159" t="s">
        <v>69</v>
      </c>
      <c r="DE1159" t="s">
        <v>70</v>
      </c>
      <c r="DF1159">
        <v>7260.75</v>
      </c>
    </row>
    <row r="1160" spans="100:110" x14ac:dyDescent="0.25">
      <c r="CV1160" t="s">
        <v>64</v>
      </c>
      <c r="CW1160" t="s">
        <v>1233</v>
      </c>
      <c r="CX1160" t="s">
        <v>19</v>
      </c>
      <c r="CY1160" s="4">
        <v>43235</v>
      </c>
      <c r="CZ1160" t="s">
        <v>67</v>
      </c>
      <c r="DA1160" t="s">
        <v>68</v>
      </c>
      <c r="DB1160">
        <v>58</v>
      </c>
      <c r="DC1160">
        <v>96.11</v>
      </c>
      <c r="DD1160" t="s">
        <v>69</v>
      </c>
      <c r="DE1160" t="s">
        <v>70</v>
      </c>
      <c r="DF1160">
        <v>5574.38</v>
      </c>
    </row>
    <row r="1161" spans="100:110" x14ac:dyDescent="0.25">
      <c r="CV1161" t="s">
        <v>64</v>
      </c>
      <c r="CW1161" t="s">
        <v>1234</v>
      </c>
      <c r="CX1161" t="s">
        <v>19</v>
      </c>
      <c r="CY1161" s="4">
        <v>43236</v>
      </c>
      <c r="CZ1161" t="s">
        <v>67</v>
      </c>
      <c r="DA1161" t="s">
        <v>68</v>
      </c>
      <c r="DB1161">
        <v>92</v>
      </c>
      <c r="DC1161">
        <v>96.36</v>
      </c>
      <c r="DD1161" t="s">
        <v>69</v>
      </c>
      <c r="DE1161" t="s">
        <v>70</v>
      </c>
      <c r="DF1161">
        <v>8865.1200000000008</v>
      </c>
    </row>
    <row r="1162" spans="100:110" x14ac:dyDescent="0.25">
      <c r="CV1162" t="s">
        <v>64</v>
      </c>
      <c r="CW1162" t="s">
        <v>1235</v>
      </c>
      <c r="CX1162" t="s">
        <v>19</v>
      </c>
      <c r="CY1162" s="4">
        <v>43237</v>
      </c>
      <c r="CZ1162" t="s">
        <v>65</v>
      </c>
      <c r="DA1162" t="s">
        <v>66</v>
      </c>
      <c r="DB1162">
        <v>72</v>
      </c>
      <c r="DC1162">
        <v>95.4</v>
      </c>
      <c r="DD1162" t="s">
        <v>69</v>
      </c>
      <c r="DE1162" t="s">
        <v>70</v>
      </c>
      <c r="DF1162">
        <v>6868.8</v>
      </c>
    </row>
    <row r="1163" spans="100:110" x14ac:dyDescent="0.25">
      <c r="CV1163" t="s">
        <v>64</v>
      </c>
      <c r="CW1163" t="s">
        <v>1236</v>
      </c>
      <c r="CX1163" t="s">
        <v>19</v>
      </c>
      <c r="CY1163" s="4">
        <v>43238</v>
      </c>
      <c r="CZ1163" t="s">
        <v>67</v>
      </c>
      <c r="DA1163" t="s">
        <v>68</v>
      </c>
      <c r="DB1163">
        <v>52</v>
      </c>
      <c r="DC1163">
        <v>95.58</v>
      </c>
      <c r="DD1163" t="s">
        <v>69</v>
      </c>
      <c r="DE1163" t="s">
        <v>70</v>
      </c>
      <c r="DF1163">
        <v>4970.16</v>
      </c>
    </row>
    <row r="1164" spans="100:110" x14ac:dyDescent="0.25">
      <c r="CV1164" t="s">
        <v>64</v>
      </c>
      <c r="CW1164" t="s">
        <v>1237</v>
      </c>
      <c r="CX1164" t="s">
        <v>19</v>
      </c>
      <c r="CY1164" s="4">
        <v>43241</v>
      </c>
      <c r="CZ1164" t="s">
        <v>67</v>
      </c>
      <c r="DA1164" t="s">
        <v>68</v>
      </c>
      <c r="DB1164">
        <v>2</v>
      </c>
      <c r="DC1164">
        <v>96.81</v>
      </c>
      <c r="DD1164" t="s">
        <v>69</v>
      </c>
      <c r="DE1164" t="s">
        <v>70</v>
      </c>
      <c r="DF1164">
        <v>193.62</v>
      </c>
    </row>
    <row r="1165" spans="100:110" x14ac:dyDescent="0.25">
      <c r="CV1165" t="s">
        <v>64</v>
      </c>
      <c r="CW1165" t="s">
        <v>1238</v>
      </c>
      <c r="CX1165" t="s">
        <v>19</v>
      </c>
      <c r="CY1165" s="4">
        <v>43242</v>
      </c>
      <c r="CZ1165" t="s">
        <v>65</v>
      </c>
      <c r="DA1165" t="s">
        <v>66</v>
      </c>
      <c r="DB1165">
        <v>111</v>
      </c>
      <c r="DC1165">
        <v>96.71</v>
      </c>
      <c r="DD1165" t="s">
        <v>69</v>
      </c>
      <c r="DE1165" t="s">
        <v>70</v>
      </c>
      <c r="DF1165">
        <v>10734.81</v>
      </c>
    </row>
    <row r="1166" spans="100:110" x14ac:dyDescent="0.25">
      <c r="CV1166" t="s">
        <v>64</v>
      </c>
      <c r="CW1166" t="s">
        <v>1239</v>
      </c>
      <c r="CX1166" t="s">
        <v>19</v>
      </c>
      <c r="CY1166" s="4">
        <v>43243</v>
      </c>
      <c r="CZ1166" t="s">
        <v>67</v>
      </c>
      <c r="DA1166" t="s">
        <v>68</v>
      </c>
      <c r="DB1166">
        <v>4</v>
      </c>
      <c r="DC1166">
        <v>97.86</v>
      </c>
      <c r="DD1166" t="s">
        <v>69</v>
      </c>
      <c r="DE1166" t="s">
        <v>70</v>
      </c>
      <c r="DF1166">
        <v>391.44</v>
      </c>
    </row>
    <row r="1167" spans="100:110" x14ac:dyDescent="0.25">
      <c r="CV1167" t="s">
        <v>64</v>
      </c>
      <c r="CW1167" t="s">
        <v>1240</v>
      </c>
      <c r="CX1167" t="s">
        <v>19</v>
      </c>
      <c r="CY1167" s="4">
        <v>43244</v>
      </c>
      <c r="CZ1167" t="s">
        <v>67</v>
      </c>
      <c r="DA1167" t="s">
        <v>68</v>
      </c>
      <c r="DB1167">
        <v>81</v>
      </c>
      <c r="DC1167">
        <v>97.51</v>
      </c>
      <c r="DD1167" t="s">
        <v>69</v>
      </c>
      <c r="DE1167" t="s">
        <v>70</v>
      </c>
      <c r="DF1167">
        <v>7898.31</v>
      </c>
    </row>
    <row r="1168" spans="100:110" x14ac:dyDescent="0.25">
      <c r="CV1168" t="s">
        <v>64</v>
      </c>
      <c r="CW1168" t="s">
        <v>1241</v>
      </c>
      <c r="CX1168" t="s">
        <v>19</v>
      </c>
      <c r="CY1168" s="4">
        <v>43245</v>
      </c>
      <c r="CZ1168" t="s">
        <v>65</v>
      </c>
      <c r="DA1168" t="s">
        <v>66</v>
      </c>
      <c r="DB1168">
        <v>50</v>
      </c>
      <c r="DC1168">
        <v>97.56</v>
      </c>
      <c r="DD1168" t="s">
        <v>69</v>
      </c>
      <c r="DE1168" t="s">
        <v>70</v>
      </c>
      <c r="DF1168">
        <v>4878</v>
      </c>
    </row>
    <row r="1169" spans="100:110" x14ac:dyDescent="0.25">
      <c r="CV1169" t="s">
        <v>64</v>
      </c>
      <c r="CW1169" t="s">
        <v>1242</v>
      </c>
      <c r="CX1169" t="s">
        <v>19</v>
      </c>
      <c r="CY1169" s="4">
        <v>43249</v>
      </c>
      <c r="CZ1169" t="s">
        <v>67</v>
      </c>
      <c r="DA1169" t="s">
        <v>68</v>
      </c>
      <c r="DB1169">
        <v>76</v>
      </c>
      <c r="DC1169">
        <v>97.21</v>
      </c>
      <c r="DD1169" t="s">
        <v>69</v>
      </c>
      <c r="DE1169" t="s">
        <v>70</v>
      </c>
      <c r="DF1169">
        <v>7387.9599999999991</v>
      </c>
    </row>
    <row r="1170" spans="100:110" x14ac:dyDescent="0.25">
      <c r="CV1170" t="s">
        <v>64</v>
      </c>
      <c r="CW1170" t="s">
        <v>1243</v>
      </c>
      <c r="CX1170" t="s">
        <v>19</v>
      </c>
      <c r="CY1170" s="4">
        <v>43250</v>
      </c>
      <c r="CZ1170" t="s">
        <v>65</v>
      </c>
      <c r="DA1170" t="s">
        <v>66</v>
      </c>
      <c r="DB1170">
        <v>160</v>
      </c>
      <c r="DC1170">
        <v>98.15</v>
      </c>
      <c r="DD1170" t="s">
        <v>69</v>
      </c>
      <c r="DE1170" t="s">
        <v>70</v>
      </c>
      <c r="DF1170">
        <v>15704</v>
      </c>
    </row>
    <row r="1171" spans="100:110" x14ac:dyDescent="0.25">
      <c r="CV1171" t="s">
        <v>64</v>
      </c>
      <c r="CW1171" t="s">
        <v>1244</v>
      </c>
      <c r="CX1171" t="s">
        <v>19</v>
      </c>
      <c r="CY1171" s="4">
        <v>43251</v>
      </c>
      <c r="CZ1171" t="s">
        <v>67</v>
      </c>
      <c r="DA1171" t="s">
        <v>68</v>
      </c>
      <c r="DB1171">
        <v>16</v>
      </c>
      <c r="DC1171">
        <v>98.04</v>
      </c>
      <c r="DD1171" t="s">
        <v>69</v>
      </c>
      <c r="DE1171" t="s">
        <v>70</v>
      </c>
      <c r="DF1171">
        <v>1568.64</v>
      </c>
    </row>
    <row r="1172" spans="100:110" x14ac:dyDescent="0.25">
      <c r="CV1172" t="s">
        <v>64</v>
      </c>
      <c r="CW1172" t="s">
        <v>1245</v>
      </c>
      <c r="CX1172" t="s">
        <v>19</v>
      </c>
      <c r="CY1172" s="4">
        <v>43252</v>
      </c>
      <c r="CZ1172" t="s">
        <v>67</v>
      </c>
      <c r="DA1172" t="s">
        <v>68</v>
      </c>
      <c r="DB1172">
        <v>117</v>
      </c>
      <c r="DC1172">
        <v>99.97</v>
      </c>
      <c r="DD1172" t="s">
        <v>69</v>
      </c>
      <c r="DE1172" t="s">
        <v>70</v>
      </c>
      <c r="DF1172">
        <v>11696.49</v>
      </c>
    </row>
    <row r="1173" spans="100:110" x14ac:dyDescent="0.25">
      <c r="CV1173" t="s">
        <v>64</v>
      </c>
      <c r="CW1173" t="s">
        <v>1246</v>
      </c>
      <c r="CX1173" t="s">
        <v>19</v>
      </c>
      <c r="CY1173" s="4">
        <v>43255</v>
      </c>
      <c r="CZ1173" t="s">
        <v>65</v>
      </c>
      <c r="DA1173" t="s">
        <v>66</v>
      </c>
      <c r="DB1173">
        <v>56</v>
      </c>
      <c r="DC1173">
        <v>100.84</v>
      </c>
      <c r="DD1173" t="s">
        <v>69</v>
      </c>
      <c r="DE1173" t="s">
        <v>70</v>
      </c>
      <c r="DF1173">
        <v>5647.04</v>
      </c>
    </row>
    <row r="1174" spans="100:110" x14ac:dyDescent="0.25">
      <c r="CV1174" t="s">
        <v>64</v>
      </c>
      <c r="CW1174" t="s">
        <v>1247</v>
      </c>
      <c r="CX1174" t="s">
        <v>19</v>
      </c>
      <c r="CY1174" s="4">
        <v>43256</v>
      </c>
      <c r="CZ1174" t="s">
        <v>67</v>
      </c>
      <c r="DA1174" t="s">
        <v>68</v>
      </c>
      <c r="DB1174">
        <v>39</v>
      </c>
      <c r="DC1174">
        <v>101.36</v>
      </c>
      <c r="DD1174" t="s">
        <v>69</v>
      </c>
      <c r="DE1174" t="s">
        <v>70</v>
      </c>
      <c r="DF1174">
        <v>3953.04</v>
      </c>
    </row>
    <row r="1175" spans="100:110" x14ac:dyDescent="0.25">
      <c r="CV1175" t="s">
        <v>64</v>
      </c>
      <c r="CW1175" t="s">
        <v>1248</v>
      </c>
      <c r="CX1175" t="s">
        <v>19</v>
      </c>
      <c r="CY1175" s="4">
        <v>43257</v>
      </c>
      <c r="CZ1175" t="s">
        <v>65</v>
      </c>
      <c r="DA1175" t="s">
        <v>66</v>
      </c>
      <c r="DB1175">
        <v>33</v>
      </c>
      <c r="DC1175">
        <v>101.66</v>
      </c>
      <c r="DD1175" t="s">
        <v>69</v>
      </c>
      <c r="DE1175" t="s">
        <v>70</v>
      </c>
      <c r="DF1175">
        <v>3354.7799999999997</v>
      </c>
    </row>
    <row r="1176" spans="100:110" x14ac:dyDescent="0.25">
      <c r="CV1176" t="s">
        <v>64</v>
      </c>
      <c r="CW1176" t="s">
        <v>1249</v>
      </c>
      <c r="CX1176" t="s">
        <v>19</v>
      </c>
      <c r="CY1176" s="4">
        <v>43258</v>
      </c>
      <c r="CZ1176" t="s">
        <v>67</v>
      </c>
      <c r="DA1176" t="s">
        <v>68</v>
      </c>
      <c r="DB1176">
        <v>31</v>
      </c>
      <c r="DC1176">
        <v>100.06</v>
      </c>
      <c r="DD1176" t="s">
        <v>69</v>
      </c>
      <c r="DE1176" t="s">
        <v>70</v>
      </c>
      <c r="DF1176">
        <v>3101.86</v>
      </c>
    </row>
    <row r="1177" spans="100:110" x14ac:dyDescent="0.25">
      <c r="CV1177" t="s">
        <v>64</v>
      </c>
      <c r="CW1177" t="s">
        <v>1250</v>
      </c>
      <c r="CX1177" t="s">
        <v>19</v>
      </c>
      <c r="CY1177" s="4">
        <v>43259</v>
      </c>
      <c r="CZ1177" t="s">
        <v>65</v>
      </c>
      <c r="DA1177" t="s">
        <v>66</v>
      </c>
      <c r="DB1177">
        <v>86</v>
      </c>
      <c r="DC1177">
        <v>100.8</v>
      </c>
      <c r="DD1177" t="s">
        <v>69</v>
      </c>
      <c r="DE1177" t="s">
        <v>70</v>
      </c>
      <c r="DF1177">
        <v>8668.7999999999993</v>
      </c>
    </row>
    <row r="1178" spans="100:110" x14ac:dyDescent="0.25">
      <c r="CV1178" t="s">
        <v>64</v>
      </c>
      <c r="CW1178" t="s">
        <v>1251</v>
      </c>
      <c r="CX1178" t="s">
        <v>19</v>
      </c>
      <c r="CY1178" s="4">
        <v>43262</v>
      </c>
      <c r="CZ1178" t="s">
        <v>67</v>
      </c>
      <c r="DA1178" t="s">
        <v>68</v>
      </c>
      <c r="DB1178">
        <v>57</v>
      </c>
      <c r="DC1178">
        <v>100.23</v>
      </c>
      <c r="DD1178" t="s">
        <v>69</v>
      </c>
      <c r="DE1178" t="s">
        <v>70</v>
      </c>
      <c r="DF1178">
        <v>5713.1100000000006</v>
      </c>
    </row>
    <row r="1179" spans="100:110" x14ac:dyDescent="0.25">
      <c r="CV1179" t="s">
        <v>64</v>
      </c>
      <c r="CW1179" t="s">
        <v>1252</v>
      </c>
      <c r="CX1179" t="s">
        <v>19</v>
      </c>
      <c r="CY1179" s="4">
        <v>43263</v>
      </c>
      <c r="CZ1179" t="s">
        <v>67</v>
      </c>
      <c r="DA1179" t="s">
        <v>68</v>
      </c>
      <c r="DB1179">
        <v>21</v>
      </c>
      <c r="DC1179">
        <v>100.49</v>
      </c>
      <c r="DD1179" t="s">
        <v>69</v>
      </c>
      <c r="DE1179" t="s">
        <v>70</v>
      </c>
      <c r="DF1179">
        <v>2110.29</v>
      </c>
    </row>
    <row r="1180" spans="100:110" x14ac:dyDescent="0.25">
      <c r="CV1180" t="s">
        <v>64</v>
      </c>
      <c r="CW1180" t="s">
        <v>1253</v>
      </c>
      <c r="CX1180" t="s">
        <v>19</v>
      </c>
      <c r="CY1180" s="4">
        <v>43264</v>
      </c>
      <c r="CZ1180" t="s">
        <v>65</v>
      </c>
      <c r="DA1180" t="s">
        <v>66</v>
      </c>
      <c r="DB1180">
        <v>120</v>
      </c>
      <c r="DC1180">
        <v>100.03</v>
      </c>
      <c r="DD1180" t="s">
        <v>69</v>
      </c>
      <c r="DE1180" t="s">
        <v>70</v>
      </c>
      <c r="DF1180">
        <v>12003.6</v>
      </c>
    </row>
    <row r="1181" spans="100:110" x14ac:dyDescent="0.25">
      <c r="CV1181" t="s">
        <v>64</v>
      </c>
      <c r="CW1181" t="s">
        <v>1254</v>
      </c>
      <c r="CX1181" t="s">
        <v>19</v>
      </c>
      <c r="CY1181" s="4">
        <v>43265</v>
      </c>
      <c r="CZ1181" t="s">
        <v>67</v>
      </c>
      <c r="DA1181" t="s">
        <v>68</v>
      </c>
      <c r="DB1181">
        <v>56</v>
      </c>
      <c r="DC1181">
        <v>100.6</v>
      </c>
      <c r="DD1181" t="s">
        <v>69</v>
      </c>
      <c r="DE1181" t="s">
        <v>70</v>
      </c>
      <c r="DF1181">
        <v>5633.5999999999995</v>
      </c>
    </row>
    <row r="1182" spans="100:110" x14ac:dyDescent="0.25">
      <c r="CV1182" t="s">
        <v>64</v>
      </c>
      <c r="CW1182" t="s">
        <v>1255</v>
      </c>
      <c r="CX1182" t="s">
        <v>19</v>
      </c>
      <c r="CY1182" s="4">
        <v>43266</v>
      </c>
      <c r="CZ1182" t="s">
        <v>67</v>
      </c>
      <c r="DA1182" t="s">
        <v>68</v>
      </c>
      <c r="DB1182">
        <v>55</v>
      </c>
      <c r="DC1182">
        <v>99.32</v>
      </c>
      <c r="DD1182" t="s">
        <v>69</v>
      </c>
      <c r="DE1182" t="s">
        <v>70</v>
      </c>
      <c r="DF1182">
        <v>5462.5999999999995</v>
      </c>
    </row>
    <row r="1183" spans="100:110" x14ac:dyDescent="0.25">
      <c r="CV1183" t="s">
        <v>64</v>
      </c>
      <c r="CW1183" t="s">
        <v>1256</v>
      </c>
      <c r="CX1183" t="s">
        <v>19</v>
      </c>
      <c r="CY1183" s="4">
        <v>43269</v>
      </c>
      <c r="CZ1183" t="s">
        <v>65</v>
      </c>
      <c r="DA1183" t="s">
        <v>66</v>
      </c>
      <c r="DB1183">
        <v>90</v>
      </c>
      <c r="DC1183">
        <v>100.04</v>
      </c>
      <c r="DD1183" t="s">
        <v>69</v>
      </c>
      <c r="DE1183" t="s">
        <v>70</v>
      </c>
      <c r="DF1183">
        <v>9003.6</v>
      </c>
    </row>
    <row r="1184" spans="100:110" x14ac:dyDescent="0.25">
      <c r="CV1184" t="s">
        <v>64</v>
      </c>
      <c r="CW1184" t="s">
        <v>1257</v>
      </c>
      <c r="CX1184" t="s">
        <v>19</v>
      </c>
      <c r="CY1184" s="4">
        <v>43270</v>
      </c>
      <c r="CZ1184" t="s">
        <v>67</v>
      </c>
      <c r="DA1184" t="s">
        <v>68</v>
      </c>
      <c r="DB1184">
        <v>143</v>
      </c>
      <c r="DC1184">
        <v>100.04</v>
      </c>
      <c r="DD1184" t="s">
        <v>69</v>
      </c>
      <c r="DE1184" t="s">
        <v>70</v>
      </c>
      <c r="DF1184">
        <v>14305.720000000001</v>
      </c>
    </row>
    <row r="1185" spans="100:110" x14ac:dyDescent="0.25">
      <c r="CV1185" t="s">
        <v>64</v>
      </c>
      <c r="CW1185" t="s">
        <v>1258</v>
      </c>
      <c r="CX1185" t="s">
        <v>19</v>
      </c>
      <c r="CY1185" s="4">
        <v>43271</v>
      </c>
      <c r="CZ1185" t="s">
        <v>65</v>
      </c>
      <c r="DA1185" t="s">
        <v>66</v>
      </c>
      <c r="DB1185">
        <v>151</v>
      </c>
      <c r="DC1185">
        <v>101.04</v>
      </c>
      <c r="DD1185" t="s">
        <v>69</v>
      </c>
      <c r="DE1185" t="s">
        <v>70</v>
      </c>
      <c r="DF1185">
        <v>15257.04</v>
      </c>
    </row>
    <row r="1186" spans="100:110" x14ac:dyDescent="0.25">
      <c r="CV1186" t="s">
        <v>64</v>
      </c>
      <c r="CW1186" t="s">
        <v>1259</v>
      </c>
      <c r="CX1186" t="s">
        <v>19</v>
      </c>
      <c r="CY1186" s="4">
        <v>43272</v>
      </c>
      <c r="CZ1186" t="s">
        <v>67</v>
      </c>
      <c r="DA1186" t="s">
        <v>68</v>
      </c>
      <c r="DB1186">
        <v>132</v>
      </c>
      <c r="DC1186">
        <v>100.32</v>
      </c>
      <c r="DD1186" t="s">
        <v>69</v>
      </c>
      <c r="DE1186" t="s">
        <v>70</v>
      </c>
      <c r="DF1186">
        <v>13242.24</v>
      </c>
    </row>
    <row r="1187" spans="100:110" x14ac:dyDescent="0.25">
      <c r="CV1187" t="s">
        <v>64</v>
      </c>
      <c r="CW1187" t="s">
        <v>1260</v>
      </c>
      <c r="CX1187" t="s">
        <v>19</v>
      </c>
      <c r="CY1187" s="4">
        <v>43273</v>
      </c>
      <c r="CZ1187" t="s">
        <v>65</v>
      </c>
      <c r="DA1187" t="s">
        <v>66</v>
      </c>
      <c r="DB1187">
        <v>109</v>
      </c>
      <c r="DC1187">
        <v>99.59</v>
      </c>
      <c r="DD1187" t="s">
        <v>69</v>
      </c>
      <c r="DE1187" t="s">
        <v>70</v>
      </c>
      <c r="DF1187">
        <v>10855.31</v>
      </c>
    </row>
    <row r="1188" spans="100:110" x14ac:dyDescent="0.25">
      <c r="CV1188" t="s">
        <v>64</v>
      </c>
      <c r="CW1188" t="s">
        <v>1261</v>
      </c>
      <c r="CX1188" t="s">
        <v>19</v>
      </c>
      <c r="CY1188" s="4">
        <v>43276</v>
      </c>
      <c r="CZ1188" t="s">
        <v>67</v>
      </c>
      <c r="DA1188" t="s">
        <v>68</v>
      </c>
      <c r="DB1188">
        <v>54</v>
      </c>
      <c r="DC1188">
        <v>97.59</v>
      </c>
      <c r="DD1188" t="s">
        <v>69</v>
      </c>
      <c r="DE1188" t="s">
        <v>70</v>
      </c>
      <c r="DF1188">
        <v>5269.8600000000006</v>
      </c>
    </row>
    <row r="1189" spans="100:110" x14ac:dyDescent="0.25">
      <c r="CV1189" t="s">
        <v>64</v>
      </c>
      <c r="CW1189" t="s">
        <v>1262</v>
      </c>
      <c r="CX1189" t="s">
        <v>19</v>
      </c>
      <c r="CY1189" s="4">
        <v>43277</v>
      </c>
      <c r="CZ1189" t="s">
        <v>67</v>
      </c>
      <c r="DA1189" t="s">
        <v>68</v>
      </c>
      <c r="DB1189">
        <v>63</v>
      </c>
      <c r="DC1189">
        <v>98.28</v>
      </c>
      <c r="DD1189" t="s">
        <v>69</v>
      </c>
      <c r="DE1189" t="s">
        <v>70</v>
      </c>
      <c r="DF1189">
        <v>6191.64</v>
      </c>
    </row>
    <row r="1190" spans="100:110" x14ac:dyDescent="0.25">
      <c r="CV1190" t="s">
        <v>64</v>
      </c>
      <c r="CW1190" t="s">
        <v>1263</v>
      </c>
      <c r="CX1190" t="s">
        <v>19</v>
      </c>
      <c r="CY1190" s="4">
        <v>43278</v>
      </c>
      <c r="CZ1190" t="s">
        <v>65</v>
      </c>
      <c r="DA1190" t="s">
        <v>66</v>
      </c>
      <c r="DB1190">
        <v>18</v>
      </c>
      <c r="DC1190">
        <v>96.75</v>
      </c>
      <c r="DD1190" t="s">
        <v>69</v>
      </c>
      <c r="DE1190" t="s">
        <v>70</v>
      </c>
      <c r="DF1190">
        <v>1741.5</v>
      </c>
    </row>
    <row r="1191" spans="100:110" x14ac:dyDescent="0.25">
      <c r="CV1191" t="s">
        <v>64</v>
      </c>
      <c r="CW1191" t="s">
        <v>1264</v>
      </c>
      <c r="CX1191" t="s">
        <v>19</v>
      </c>
      <c r="CY1191" s="4">
        <v>43279</v>
      </c>
      <c r="CZ1191" t="s">
        <v>65</v>
      </c>
      <c r="DA1191" t="s">
        <v>66</v>
      </c>
      <c r="DB1191">
        <v>99</v>
      </c>
      <c r="DC1191">
        <v>97.83</v>
      </c>
      <c r="DD1191" t="s">
        <v>69</v>
      </c>
      <c r="DE1191" t="s">
        <v>70</v>
      </c>
      <c r="DF1191">
        <v>9685.17</v>
      </c>
    </row>
    <row r="1192" spans="100:110" x14ac:dyDescent="0.25">
      <c r="CV1192" t="s">
        <v>64</v>
      </c>
      <c r="CW1192" t="s">
        <v>1265</v>
      </c>
      <c r="CX1192" t="s">
        <v>19</v>
      </c>
      <c r="CY1192" s="4">
        <v>43280</v>
      </c>
      <c r="CZ1192" t="s">
        <v>65</v>
      </c>
      <c r="DA1192" t="s">
        <v>66</v>
      </c>
      <c r="DB1192">
        <v>34</v>
      </c>
      <c r="DC1192">
        <v>97.81</v>
      </c>
      <c r="DD1192" t="s">
        <v>69</v>
      </c>
      <c r="DE1192" t="s">
        <v>70</v>
      </c>
      <c r="DF1192">
        <v>3325.54</v>
      </c>
    </row>
    <row r="1193" spans="100:110" x14ac:dyDescent="0.25">
      <c r="CV1193" t="s">
        <v>64</v>
      </c>
      <c r="CW1193" t="s">
        <v>1266</v>
      </c>
      <c r="CX1193" t="s">
        <v>19</v>
      </c>
      <c r="CY1193" s="4">
        <v>43283</v>
      </c>
      <c r="CZ1193" t="s">
        <v>67</v>
      </c>
      <c r="DA1193" t="s">
        <v>68</v>
      </c>
      <c r="DB1193">
        <v>25</v>
      </c>
      <c r="DC1193">
        <v>99.2</v>
      </c>
      <c r="DD1193" t="s">
        <v>69</v>
      </c>
      <c r="DE1193" t="s">
        <v>70</v>
      </c>
      <c r="DF1193">
        <v>2480</v>
      </c>
    </row>
    <row r="1194" spans="100:110" x14ac:dyDescent="0.25">
      <c r="CV1194" t="s">
        <v>64</v>
      </c>
      <c r="CW1194" t="s">
        <v>1267</v>
      </c>
      <c r="CX1194" t="s">
        <v>19</v>
      </c>
      <c r="CY1194" s="4">
        <v>43284</v>
      </c>
      <c r="CZ1194" t="s">
        <v>65</v>
      </c>
      <c r="DA1194" t="s">
        <v>66</v>
      </c>
      <c r="DB1194">
        <v>21</v>
      </c>
      <c r="DC1194">
        <v>98.25</v>
      </c>
      <c r="DD1194" t="s">
        <v>69</v>
      </c>
      <c r="DE1194" t="s">
        <v>70</v>
      </c>
      <c r="DF1194">
        <v>2063.25</v>
      </c>
    </row>
    <row r="1195" spans="100:110" x14ac:dyDescent="0.25">
      <c r="CV1195" t="s">
        <v>64</v>
      </c>
      <c r="CW1195" t="s">
        <v>1268</v>
      </c>
      <c r="CX1195" t="s">
        <v>19</v>
      </c>
      <c r="CY1195" s="4">
        <v>43286</v>
      </c>
      <c r="CZ1195" t="s">
        <v>67</v>
      </c>
      <c r="DA1195" t="s">
        <v>68</v>
      </c>
      <c r="DB1195">
        <v>38</v>
      </c>
      <c r="DC1195">
        <v>98.95</v>
      </c>
      <c r="DD1195" t="s">
        <v>69</v>
      </c>
      <c r="DE1195" t="s">
        <v>70</v>
      </c>
      <c r="DF1195">
        <v>3760.1</v>
      </c>
    </row>
    <row r="1196" spans="100:110" x14ac:dyDescent="0.25">
      <c r="CV1196" t="s">
        <v>64</v>
      </c>
      <c r="CW1196" t="s">
        <v>1269</v>
      </c>
      <c r="CX1196" t="s">
        <v>19</v>
      </c>
      <c r="CY1196" s="4">
        <v>43287</v>
      </c>
      <c r="CZ1196" t="s">
        <v>67</v>
      </c>
      <c r="DA1196" t="s">
        <v>68</v>
      </c>
      <c r="DB1196">
        <v>54</v>
      </c>
      <c r="DC1196">
        <v>100.34</v>
      </c>
      <c r="DD1196" t="s">
        <v>69</v>
      </c>
      <c r="DE1196" t="s">
        <v>70</v>
      </c>
      <c r="DF1196">
        <v>5418.3600000000006</v>
      </c>
    </row>
    <row r="1197" spans="100:110" x14ac:dyDescent="0.25">
      <c r="CV1197" t="s">
        <v>64</v>
      </c>
      <c r="CW1197" t="s">
        <v>1270</v>
      </c>
      <c r="CX1197" t="s">
        <v>19</v>
      </c>
      <c r="CY1197" s="4">
        <v>43290</v>
      </c>
      <c r="CZ1197" t="s">
        <v>65</v>
      </c>
      <c r="DA1197" t="s">
        <v>66</v>
      </c>
      <c r="DB1197">
        <v>23</v>
      </c>
      <c r="DC1197">
        <v>101.02</v>
      </c>
      <c r="DD1197" t="s">
        <v>69</v>
      </c>
      <c r="DE1197" t="s">
        <v>70</v>
      </c>
      <c r="DF1197">
        <v>2323.46</v>
      </c>
    </row>
    <row r="1198" spans="100:110" x14ac:dyDescent="0.25">
      <c r="CV1198" t="s">
        <v>64</v>
      </c>
      <c r="CW1198" t="s">
        <v>1271</v>
      </c>
      <c r="CX1198" t="s">
        <v>19</v>
      </c>
      <c r="CY1198" s="4">
        <v>43291</v>
      </c>
      <c r="CZ1198" t="s">
        <v>67</v>
      </c>
      <c r="DA1198" t="s">
        <v>68</v>
      </c>
      <c r="DB1198">
        <v>31</v>
      </c>
      <c r="DC1198">
        <v>101.29</v>
      </c>
      <c r="DD1198" t="s">
        <v>69</v>
      </c>
      <c r="DE1198" t="s">
        <v>70</v>
      </c>
      <c r="DF1198">
        <v>3139.9900000000002</v>
      </c>
    </row>
    <row r="1199" spans="100:110" x14ac:dyDescent="0.25">
      <c r="CV1199" t="s">
        <v>64</v>
      </c>
      <c r="CW1199" t="s">
        <v>1272</v>
      </c>
      <c r="CX1199" t="s">
        <v>19</v>
      </c>
      <c r="CY1199" s="4">
        <v>43292</v>
      </c>
      <c r="CZ1199" t="s">
        <v>65</v>
      </c>
      <c r="DA1199" t="s">
        <v>66</v>
      </c>
      <c r="DB1199">
        <v>2</v>
      </c>
      <c r="DC1199">
        <v>101.15</v>
      </c>
      <c r="DD1199" t="s">
        <v>69</v>
      </c>
      <c r="DE1199" t="s">
        <v>70</v>
      </c>
      <c r="DF1199">
        <v>202.3</v>
      </c>
    </row>
    <row r="1200" spans="100:110" x14ac:dyDescent="0.25">
      <c r="CV1200" t="s">
        <v>64</v>
      </c>
      <c r="CW1200" t="s">
        <v>1273</v>
      </c>
      <c r="CX1200" t="s">
        <v>19</v>
      </c>
      <c r="CY1200" s="4">
        <v>43293</v>
      </c>
      <c r="CZ1200" t="s">
        <v>65</v>
      </c>
      <c r="DA1200" t="s">
        <v>66</v>
      </c>
      <c r="DB1200">
        <v>33</v>
      </c>
      <c r="DC1200">
        <v>103.34</v>
      </c>
      <c r="DD1200" t="s">
        <v>69</v>
      </c>
      <c r="DE1200" t="s">
        <v>70</v>
      </c>
      <c r="DF1200">
        <v>3410.2200000000003</v>
      </c>
    </row>
    <row r="1201" spans="100:110" x14ac:dyDescent="0.25">
      <c r="CV1201" t="s">
        <v>64</v>
      </c>
      <c r="CW1201" t="s">
        <v>1274</v>
      </c>
      <c r="CX1201" t="s">
        <v>19</v>
      </c>
      <c r="CY1201" s="4">
        <v>43294</v>
      </c>
      <c r="CZ1201" t="s">
        <v>67</v>
      </c>
      <c r="DA1201" t="s">
        <v>68</v>
      </c>
      <c r="DB1201">
        <v>29</v>
      </c>
      <c r="DC1201">
        <v>104.57</v>
      </c>
      <c r="DD1201" t="s">
        <v>69</v>
      </c>
      <c r="DE1201" t="s">
        <v>70</v>
      </c>
      <c r="DF1201">
        <v>3032.5299999999997</v>
      </c>
    </row>
    <row r="1202" spans="100:110" x14ac:dyDescent="0.25">
      <c r="CV1202" t="s">
        <v>64</v>
      </c>
      <c r="CW1202" t="s">
        <v>1275</v>
      </c>
      <c r="CX1202" t="s">
        <v>19</v>
      </c>
      <c r="CY1202" s="4">
        <v>43297</v>
      </c>
      <c r="CZ1202" t="s">
        <v>67</v>
      </c>
      <c r="DA1202" t="s">
        <v>68</v>
      </c>
      <c r="DB1202">
        <v>92</v>
      </c>
      <c r="DC1202">
        <v>104.06</v>
      </c>
      <c r="DD1202" t="s">
        <v>69</v>
      </c>
      <c r="DE1202" t="s">
        <v>70</v>
      </c>
      <c r="DF1202">
        <v>9573.52</v>
      </c>
    </row>
    <row r="1203" spans="100:110" x14ac:dyDescent="0.25">
      <c r="CV1203" t="s">
        <v>64</v>
      </c>
      <c r="CW1203" t="s">
        <v>1276</v>
      </c>
      <c r="CX1203" t="s">
        <v>19</v>
      </c>
      <c r="CY1203" s="4">
        <v>43298</v>
      </c>
      <c r="CZ1203" t="s">
        <v>65</v>
      </c>
      <c r="DA1203" t="s">
        <v>66</v>
      </c>
      <c r="DB1203">
        <v>118</v>
      </c>
      <c r="DC1203">
        <v>105.09</v>
      </c>
      <c r="DD1203" t="s">
        <v>69</v>
      </c>
      <c r="DE1203" t="s">
        <v>70</v>
      </c>
      <c r="DF1203">
        <v>12400.62</v>
      </c>
    </row>
    <row r="1204" spans="100:110" x14ac:dyDescent="0.25">
      <c r="CV1204" t="s">
        <v>64</v>
      </c>
      <c r="CW1204" t="s">
        <v>1277</v>
      </c>
      <c r="CX1204" t="s">
        <v>19</v>
      </c>
      <c r="CY1204" s="4">
        <v>43299</v>
      </c>
      <c r="CZ1204" t="s">
        <v>67</v>
      </c>
      <c r="DA1204" t="s">
        <v>68</v>
      </c>
      <c r="DB1204">
        <v>24</v>
      </c>
      <c r="DC1204">
        <v>104.27</v>
      </c>
      <c r="DD1204" t="s">
        <v>69</v>
      </c>
      <c r="DE1204" t="s">
        <v>70</v>
      </c>
      <c r="DF1204">
        <v>2502.48</v>
      </c>
    </row>
    <row r="1205" spans="100:110" x14ac:dyDescent="0.25">
      <c r="CV1205" t="s">
        <v>64</v>
      </c>
      <c r="CW1205" t="s">
        <v>1278</v>
      </c>
      <c r="CX1205" t="s">
        <v>19</v>
      </c>
      <c r="CY1205" s="4">
        <v>43300</v>
      </c>
      <c r="CZ1205" t="s">
        <v>67</v>
      </c>
      <c r="DA1205" t="s">
        <v>68</v>
      </c>
      <c r="DB1205">
        <v>38</v>
      </c>
      <c r="DC1205">
        <v>103.55</v>
      </c>
      <c r="DD1205" t="s">
        <v>69</v>
      </c>
      <c r="DE1205" t="s">
        <v>70</v>
      </c>
      <c r="DF1205">
        <v>3934.9</v>
      </c>
    </row>
    <row r="1206" spans="100:110" x14ac:dyDescent="0.25">
      <c r="CV1206" t="s">
        <v>64</v>
      </c>
      <c r="CW1206" t="s">
        <v>1279</v>
      </c>
      <c r="CX1206" t="s">
        <v>19</v>
      </c>
      <c r="CY1206" s="4">
        <v>43301</v>
      </c>
      <c r="CZ1206" t="s">
        <v>65</v>
      </c>
      <c r="DA1206" t="s">
        <v>66</v>
      </c>
      <c r="DB1206">
        <v>12</v>
      </c>
      <c r="DC1206">
        <v>105.41</v>
      </c>
      <c r="DD1206" t="s">
        <v>69</v>
      </c>
      <c r="DE1206" t="s">
        <v>70</v>
      </c>
      <c r="DF1206">
        <v>1264.92</v>
      </c>
    </row>
    <row r="1207" spans="100:110" x14ac:dyDescent="0.25">
      <c r="CV1207" t="s">
        <v>64</v>
      </c>
      <c r="CW1207" t="s">
        <v>1280</v>
      </c>
      <c r="CX1207" t="s">
        <v>19</v>
      </c>
      <c r="CY1207" s="4">
        <v>43304</v>
      </c>
      <c r="CZ1207" t="s">
        <v>67</v>
      </c>
      <c r="DA1207" t="s">
        <v>68</v>
      </c>
      <c r="DB1207">
        <v>64</v>
      </c>
      <c r="DC1207">
        <v>107.09</v>
      </c>
      <c r="DD1207" t="s">
        <v>69</v>
      </c>
      <c r="DE1207" t="s">
        <v>70</v>
      </c>
      <c r="DF1207">
        <v>6853.76</v>
      </c>
    </row>
    <row r="1208" spans="100:110" x14ac:dyDescent="0.25">
      <c r="CV1208" t="s">
        <v>64</v>
      </c>
      <c r="CW1208" t="s">
        <v>1281</v>
      </c>
      <c r="CX1208" t="s">
        <v>19</v>
      </c>
      <c r="CY1208" s="4">
        <v>43305</v>
      </c>
      <c r="CZ1208" t="s">
        <v>65</v>
      </c>
      <c r="DA1208" t="s">
        <v>66</v>
      </c>
      <c r="DB1208">
        <v>29</v>
      </c>
      <c r="DC1208">
        <v>106.79</v>
      </c>
      <c r="DD1208" t="s">
        <v>69</v>
      </c>
      <c r="DE1208" t="s">
        <v>70</v>
      </c>
      <c r="DF1208">
        <v>3096.9100000000003</v>
      </c>
    </row>
    <row r="1209" spans="100:110" x14ac:dyDescent="0.25">
      <c r="CV1209" t="s">
        <v>64</v>
      </c>
      <c r="CW1209" t="s">
        <v>1282</v>
      </c>
      <c r="CX1209" t="s">
        <v>19</v>
      </c>
      <c r="CY1209" s="4">
        <v>43306</v>
      </c>
      <c r="CZ1209" t="s">
        <v>65</v>
      </c>
      <c r="DA1209" t="s">
        <v>66</v>
      </c>
      <c r="DB1209">
        <v>150</v>
      </c>
      <c r="DC1209">
        <v>109.93</v>
      </c>
      <c r="DD1209" t="s">
        <v>69</v>
      </c>
      <c r="DE1209" t="s">
        <v>70</v>
      </c>
      <c r="DF1209">
        <v>16489.5</v>
      </c>
    </row>
    <row r="1210" spans="100:110" x14ac:dyDescent="0.25">
      <c r="CV1210" t="s">
        <v>64</v>
      </c>
      <c r="CW1210" t="s">
        <v>1283</v>
      </c>
      <c r="CX1210" t="s">
        <v>19</v>
      </c>
      <c r="CY1210" s="4">
        <v>43307</v>
      </c>
      <c r="CZ1210" t="s">
        <v>65</v>
      </c>
      <c r="DA1210" t="s">
        <v>66</v>
      </c>
      <c r="DB1210">
        <v>5</v>
      </c>
      <c r="DC1210">
        <v>108.73</v>
      </c>
      <c r="DD1210" t="s">
        <v>69</v>
      </c>
      <c r="DE1210" t="s">
        <v>70</v>
      </c>
      <c r="DF1210">
        <v>543.65</v>
      </c>
    </row>
    <row r="1211" spans="100:110" x14ac:dyDescent="0.25">
      <c r="CV1211" t="s">
        <v>64</v>
      </c>
      <c r="CW1211" t="s">
        <v>1284</v>
      </c>
      <c r="CX1211" t="s">
        <v>19</v>
      </c>
      <c r="CY1211" s="4">
        <v>43308</v>
      </c>
      <c r="CZ1211" t="s">
        <v>67</v>
      </c>
      <c r="DA1211" t="s">
        <v>68</v>
      </c>
      <c r="DB1211">
        <v>61</v>
      </c>
      <c r="DC1211">
        <v>106.81</v>
      </c>
      <c r="DD1211" t="s">
        <v>69</v>
      </c>
      <c r="DE1211" t="s">
        <v>70</v>
      </c>
      <c r="DF1211">
        <v>6515.41</v>
      </c>
    </row>
    <row r="1212" spans="100:110" x14ac:dyDescent="0.25">
      <c r="CV1212" t="s">
        <v>64</v>
      </c>
      <c r="CW1212" t="s">
        <v>1285</v>
      </c>
      <c r="CX1212" t="s">
        <v>19</v>
      </c>
      <c r="CY1212" s="4">
        <v>43311</v>
      </c>
      <c r="CZ1212" t="s">
        <v>65</v>
      </c>
      <c r="DA1212" t="s">
        <v>66</v>
      </c>
      <c r="DB1212">
        <v>4</v>
      </c>
      <c r="DC1212">
        <v>104.51</v>
      </c>
      <c r="DD1212" t="s">
        <v>69</v>
      </c>
      <c r="DE1212" t="s">
        <v>70</v>
      </c>
      <c r="DF1212">
        <v>418.04</v>
      </c>
    </row>
    <row r="1213" spans="100:110" x14ac:dyDescent="0.25">
      <c r="CV1213" t="s">
        <v>64</v>
      </c>
      <c r="CW1213" t="s">
        <v>1286</v>
      </c>
      <c r="CX1213" t="s">
        <v>19</v>
      </c>
      <c r="CY1213" s="4">
        <v>43312</v>
      </c>
      <c r="CZ1213" t="s">
        <v>67</v>
      </c>
      <c r="DA1213" t="s">
        <v>68</v>
      </c>
      <c r="DB1213">
        <v>63</v>
      </c>
      <c r="DC1213">
        <v>105.22</v>
      </c>
      <c r="DD1213" t="s">
        <v>69</v>
      </c>
      <c r="DE1213" t="s">
        <v>70</v>
      </c>
      <c r="DF1213">
        <v>6628.86</v>
      </c>
    </row>
    <row r="1214" spans="100:110" x14ac:dyDescent="0.25">
      <c r="CV1214" t="s">
        <v>64</v>
      </c>
      <c r="CW1214" t="s">
        <v>1287</v>
      </c>
      <c r="CX1214" t="s">
        <v>19</v>
      </c>
      <c r="CY1214" s="4">
        <v>43313</v>
      </c>
      <c r="CZ1214" t="s">
        <v>67</v>
      </c>
      <c r="DA1214" t="s">
        <v>68</v>
      </c>
      <c r="DB1214">
        <v>26</v>
      </c>
      <c r="DC1214">
        <v>105.42</v>
      </c>
      <c r="DD1214" t="s">
        <v>69</v>
      </c>
      <c r="DE1214" t="s">
        <v>70</v>
      </c>
      <c r="DF1214">
        <v>2740.92</v>
      </c>
    </row>
    <row r="1215" spans="100:110" x14ac:dyDescent="0.25">
      <c r="CV1215" t="s">
        <v>64</v>
      </c>
      <c r="CW1215" t="s">
        <v>1288</v>
      </c>
      <c r="CX1215" t="s">
        <v>19</v>
      </c>
      <c r="CY1215" s="4">
        <v>43314</v>
      </c>
      <c r="CZ1215" t="s">
        <v>65</v>
      </c>
      <c r="DA1215" t="s">
        <v>66</v>
      </c>
      <c r="DB1215">
        <v>92</v>
      </c>
      <c r="DC1215">
        <v>106.7</v>
      </c>
      <c r="DD1215" t="s">
        <v>69</v>
      </c>
      <c r="DE1215" t="s">
        <v>70</v>
      </c>
      <c r="DF1215">
        <v>9816.4</v>
      </c>
    </row>
    <row r="1216" spans="100:110" x14ac:dyDescent="0.25">
      <c r="CV1216" t="s">
        <v>64</v>
      </c>
      <c r="CW1216" t="s">
        <v>1289</v>
      </c>
      <c r="CX1216" t="s">
        <v>19</v>
      </c>
      <c r="CY1216" s="4">
        <v>43315</v>
      </c>
      <c r="CZ1216" t="s">
        <v>67</v>
      </c>
      <c r="DA1216" t="s">
        <v>68</v>
      </c>
      <c r="DB1216">
        <v>22</v>
      </c>
      <c r="DC1216">
        <v>107.16</v>
      </c>
      <c r="DD1216" t="s">
        <v>69</v>
      </c>
      <c r="DE1216" t="s">
        <v>70</v>
      </c>
      <c r="DF1216">
        <v>2357.52</v>
      </c>
    </row>
    <row r="1217" spans="100:110" x14ac:dyDescent="0.25">
      <c r="CV1217" t="s">
        <v>64</v>
      </c>
      <c r="CW1217" t="s">
        <v>1290</v>
      </c>
      <c r="CX1217" t="s">
        <v>19</v>
      </c>
      <c r="CY1217" s="4">
        <v>43318</v>
      </c>
      <c r="CZ1217" t="s">
        <v>65</v>
      </c>
      <c r="DA1217" t="s">
        <v>66</v>
      </c>
      <c r="DB1217">
        <v>57</v>
      </c>
      <c r="DC1217">
        <v>107.25</v>
      </c>
      <c r="DD1217" t="s">
        <v>69</v>
      </c>
      <c r="DE1217" t="s">
        <v>70</v>
      </c>
      <c r="DF1217">
        <v>6113.25</v>
      </c>
    </row>
    <row r="1218" spans="100:110" x14ac:dyDescent="0.25">
      <c r="CV1218" t="s">
        <v>64</v>
      </c>
      <c r="CW1218" t="s">
        <v>1291</v>
      </c>
      <c r="CX1218" t="s">
        <v>19</v>
      </c>
      <c r="CY1218" s="4">
        <v>43319</v>
      </c>
      <c r="CZ1218" t="s">
        <v>67</v>
      </c>
      <c r="DA1218" t="s">
        <v>68</v>
      </c>
      <c r="DB1218">
        <v>88</v>
      </c>
      <c r="DC1218">
        <v>108</v>
      </c>
      <c r="DD1218" t="s">
        <v>69</v>
      </c>
      <c r="DE1218" t="s">
        <v>70</v>
      </c>
      <c r="DF1218">
        <v>9504</v>
      </c>
    </row>
    <row r="1219" spans="100:110" x14ac:dyDescent="0.25">
      <c r="CV1219" t="s">
        <v>64</v>
      </c>
      <c r="CW1219" t="s">
        <v>1292</v>
      </c>
      <c r="CX1219" t="s">
        <v>19</v>
      </c>
      <c r="CY1219" s="4">
        <v>43320</v>
      </c>
      <c r="CZ1219" t="s">
        <v>65</v>
      </c>
      <c r="DA1219" t="s">
        <v>66</v>
      </c>
      <c r="DB1219">
        <v>9</v>
      </c>
      <c r="DC1219">
        <v>108.6</v>
      </c>
      <c r="DD1219" t="s">
        <v>69</v>
      </c>
      <c r="DE1219" t="s">
        <v>70</v>
      </c>
      <c r="DF1219">
        <v>977.4</v>
      </c>
    </row>
    <row r="1220" spans="100:110" x14ac:dyDescent="0.25">
      <c r="CV1220" t="s">
        <v>64</v>
      </c>
      <c r="CW1220" t="s">
        <v>1293</v>
      </c>
      <c r="CX1220" t="s">
        <v>19</v>
      </c>
      <c r="CY1220" s="4">
        <v>43321</v>
      </c>
      <c r="CZ1220" t="s">
        <v>65</v>
      </c>
      <c r="DA1220" t="s">
        <v>66</v>
      </c>
      <c r="DB1220">
        <v>82</v>
      </c>
      <c r="DC1220">
        <v>108.78</v>
      </c>
      <c r="DD1220" t="s">
        <v>69</v>
      </c>
      <c r="DE1220" t="s">
        <v>70</v>
      </c>
      <c r="DF1220">
        <v>8919.9600000000009</v>
      </c>
    </row>
    <row r="1221" spans="100:110" x14ac:dyDescent="0.25">
      <c r="CV1221" t="s">
        <v>64</v>
      </c>
      <c r="CW1221" t="s">
        <v>1294</v>
      </c>
      <c r="CX1221" t="s">
        <v>19</v>
      </c>
      <c r="CY1221" s="4">
        <v>43322</v>
      </c>
      <c r="CZ1221" t="s">
        <v>67</v>
      </c>
      <c r="DA1221" t="s">
        <v>68</v>
      </c>
      <c r="DB1221">
        <v>122</v>
      </c>
      <c r="DC1221">
        <v>108.12</v>
      </c>
      <c r="DD1221" t="s">
        <v>69</v>
      </c>
      <c r="DE1221" t="s">
        <v>70</v>
      </c>
      <c r="DF1221">
        <v>13190.640000000001</v>
      </c>
    </row>
    <row r="1222" spans="100:110" x14ac:dyDescent="0.25">
      <c r="CV1222" t="s">
        <v>64</v>
      </c>
      <c r="CW1222" t="s">
        <v>1295</v>
      </c>
      <c r="CX1222" t="s">
        <v>19</v>
      </c>
      <c r="CY1222" s="4">
        <v>43325</v>
      </c>
      <c r="CZ1222" t="s">
        <v>65</v>
      </c>
      <c r="DA1222" t="s">
        <v>66</v>
      </c>
      <c r="DB1222">
        <v>56</v>
      </c>
      <c r="DC1222">
        <v>107.33</v>
      </c>
      <c r="DD1222" t="s">
        <v>69</v>
      </c>
      <c r="DE1222" t="s">
        <v>70</v>
      </c>
      <c r="DF1222">
        <v>6010.48</v>
      </c>
    </row>
    <row r="1223" spans="100:110" x14ac:dyDescent="0.25">
      <c r="CV1223" t="s">
        <v>64</v>
      </c>
      <c r="CW1223" t="s">
        <v>1296</v>
      </c>
      <c r="CX1223" t="s">
        <v>19</v>
      </c>
      <c r="CY1223" s="4">
        <v>43326</v>
      </c>
      <c r="CZ1223" t="s">
        <v>65</v>
      </c>
      <c r="DA1223" t="s">
        <v>66</v>
      </c>
      <c r="DB1223">
        <v>23</v>
      </c>
      <c r="DC1223">
        <v>108.67</v>
      </c>
      <c r="DD1223" t="s">
        <v>69</v>
      </c>
      <c r="DE1223" t="s">
        <v>70</v>
      </c>
      <c r="DF1223">
        <v>2499.41</v>
      </c>
    </row>
    <row r="1224" spans="100:110" x14ac:dyDescent="0.25">
      <c r="CV1224" t="s">
        <v>64</v>
      </c>
      <c r="CW1224" t="s">
        <v>1297</v>
      </c>
      <c r="CX1224" t="s">
        <v>19</v>
      </c>
      <c r="CY1224" s="4">
        <v>43327</v>
      </c>
      <c r="CZ1224" t="s">
        <v>65</v>
      </c>
      <c r="DA1224" t="s">
        <v>66</v>
      </c>
      <c r="DB1224">
        <v>24</v>
      </c>
      <c r="DC1224">
        <v>107.2</v>
      </c>
      <c r="DD1224" t="s">
        <v>69</v>
      </c>
      <c r="DE1224" t="s">
        <v>70</v>
      </c>
      <c r="DF1224">
        <v>2572.8000000000002</v>
      </c>
    </row>
    <row r="1225" spans="100:110" x14ac:dyDescent="0.25">
      <c r="CV1225" t="s">
        <v>64</v>
      </c>
      <c r="CW1225" t="s">
        <v>1298</v>
      </c>
      <c r="CX1225" t="s">
        <v>19</v>
      </c>
      <c r="CY1225" s="4">
        <v>43328</v>
      </c>
      <c r="CZ1225" t="s">
        <v>67</v>
      </c>
      <c r="DA1225" t="s">
        <v>68</v>
      </c>
      <c r="DB1225">
        <v>56</v>
      </c>
      <c r="DC1225">
        <v>107.18</v>
      </c>
      <c r="DD1225" t="s">
        <v>69</v>
      </c>
      <c r="DE1225" t="s">
        <v>70</v>
      </c>
      <c r="DF1225">
        <v>6002.08</v>
      </c>
    </row>
    <row r="1226" spans="100:110" x14ac:dyDescent="0.25">
      <c r="CV1226" t="s">
        <v>64</v>
      </c>
      <c r="CW1226" t="s">
        <v>1299</v>
      </c>
      <c r="CX1226" t="s">
        <v>19</v>
      </c>
      <c r="CY1226" s="4">
        <v>43329</v>
      </c>
      <c r="CZ1226" t="s">
        <v>65</v>
      </c>
      <c r="DA1226" t="s">
        <v>66</v>
      </c>
      <c r="DB1226">
        <v>32</v>
      </c>
      <c r="DC1226">
        <v>107.12</v>
      </c>
      <c r="DD1226" t="s">
        <v>69</v>
      </c>
      <c r="DE1226" t="s">
        <v>70</v>
      </c>
      <c r="DF1226">
        <v>3427.84</v>
      </c>
    </row>
    <row r="1227" spans="100:110" x14ac:dyDescent="0.25">
      <c r="CV1227" t="s">
        <v>64</v>
      </c>
      <c r="CW1227" t="s">
        <v>1300</v>
      </c>
      <c r="CX1227" t="s">
        <v>19</v>
      </c>
      <c r="CY1227" s="4">
        <v>43332</v>
      </c>
      <c r="CZ1227" t="s">
        <v>67</v>
      </c>
      <c r="DA1227" t="s">
        <v>68</v>
      </c>
      <c r="DB1227">
        <v>24</v>
      </c>
      <c r="DC1227">
        <v>106.41</v>
      </c>
      <c r="DD1227" t="s">
        <v>69</v>
      </c>
      <c r="DE1227" t="s">
        <v>70</v>
      </c>
      <c r="DF1227">
        <v>2553.84</v>
      </c>
    </row>
    <row r="1228" spans="100:110" x14ac:dyDescent="0.25">
      <c r="CV1228" t="s">
        <v>64</v>
      </c>
      <c r="CW1228" t="s">
        <v>1301</v>
      </c>
      <c r="CX1228" t="s">
        <v>19</v>
      </c>
      <c r="CY1228" s="4">
        <v>43333</v>
      </c>
      <c r="CZ1228" t="s">
        <v>65</v>
      </c>
      <c r="DA1228" t="s">
        <v>66</v>
      </c>
      <c r="DB1228">
        <v>6</v>
      </c>
      <c r="DC1228">
        <v>105.52</v>
      </c>
      <c r="DD1228" t="s">
        <v>69</v>
      </c>
      <c r="DE1228" t="s">
        <v>70</v>
      </c>
      <c r="DF1228">
        <v>633.12</v>
      </c>
    </row>
    <row r="1229" spans="100:110" x14ac:dyDescent="0.25">
      <c r="CV1229" t="s">
        <v>64</v>
      </c>
      <c r="CW1229" t="s">
        <v>1302</v>
      </c>
      <c r="CX1229" t="s">
        <v>19</v>
      </c>
      <c r="CY1229" s="4">
        <v>43334</v>
      </c>
      <c r="CZ1229" t="s">
        <v>65</v>
      </c>
      <c r="DA1229" t="s">
        <v>66</v>
      </c>
      <c r="DB1229">
        <v>67</v>
      </c>
      <c r="DC1229">
        <v>106.6</v>
      </c>
      <c r="DD1229" t="s">
        <v>69</v>
      </c>
      <c r="DE1229" t="s">
        <v>70</v>
      </c>
      <c r="DF1229">
        <v>7142.2</v>
      </c>
    </row>
    <row r="1230" spans="100:110" x14ac:dyDescent="0.25">
      <c r="CV1230" t="s">
        <v>64</v>
      </c>
      <c r="CW1230" t="s">
        <v>1303</v>
      </c>
      <c r="CX1230" t="s">
        <v>19</v>
      </c>
      <c r="CY1230" s="4">
        <v>43335</v>
      </c>
      <c r="CZ1230" t="s">
        <v>65</v>
      </c>
      <c r="DA1230" t="s">
        <v>66</v>
      </c>
      <c r="DB1230">
        <v>19</v>
      </c>
      <c r="DC1230">
        <v>107.1</v>
      </c>
      <c r="DD1230" t="s">
        <v>69</v>
      </c>
      <c r="DE1230" t="s">
        <v>70</v>
      </c>
      <c r="DF1230">
        <v>2034.8999999999999</v>
      </c>
    </row>
    <row r="1231" spans="100:110" x14ac:dyDescent="0.25">
      <c r="CV1231" t="s">
        <v>64</v>
      </c>
      <c r="CW1231" t="s">
        <v>1304</v>
      </c>
      <c r="CX1231" t="s">
        <v>19</v>
      </c>
      <c r="CY1231" s="4">
        <v>43336</v>
      </c>
      <c r="CZ1231" t="s">
        <v>67</v>
      </c>
      <c r="DA1231" t="s">
        <v>68</v>
      </c>
      <c r="DB1231">
        <v>90</v>
      </c>
      <c r="DC1231">
        <v>107.93</v>
      </c>
      <c r="DD1231" t="s">
        <v>69</v>
      </c>
      <c r="DE1231" t="s">
        <v>70</v>
      </c>
      <c r="DF1231">
        <v>9713.7000000000007</v>
      </c>
    </row>
    <row r="1232" spans="100:110" x14ac:dyDescent="0.25">
      <c r="CV1232" t="s">
        <v>64</v>
      </c>
      <c r="CW1232" t="s">
        <v>1305</v>
      </c>
      <c r="CX1232" t="s">
        <v>19</v>
      </c>
      <c r="CY1232" s="4">
        <v>43339</v>
      </c>
      <c r="CZ1232" t="s">
        <v>67</v>
      </c>
      <c r="DA1232" t="s">
        <v>68</v>
      </c>
      <c r="DB1232">
        <v>52</v>
      </c>
      <c r="DC1232">
        <v>109.13</v>
      </c>
      <c r="DD1232" t="s">
        <v>69</v>
      </c>
      <c r="DE1232" t="s">
        <v>70</v>
      </c>
      <c r="DF1232">
        <v>5674.76</v>
      </c>
    </row>
    <row r="1233" spans="100:110" x14ac:dyDescent="0.25">
      <c r="CV1233" t="s">
        <v>64</v>
      </c>
      <c r="CW1233" t="s">
        <v>1306</v>
      </c>
      <c r="CX1233" t="s">
        <v>19</v>
      </c>
      <c r="CY1233" s="4">
        <v>43340</v>
      </c>
      <c r="CZ1233" t="s">
        <v>65</v>
      </c>
      <c r="DA1233" t="s">
        <v>66</v>
      </c>
      <c r="DB1233">
        <v>35</v>
      </c>
      <c r="DC1233">
        <v>109.79</v>
      </c>
      <c r="DD1233" t="s">
        <v>69</v>
      </c>
      <c r="DE1233" t="s">
        <v>70</v>
      </c>
      <c r="DF1233">
        <v>3842.65</v>
      </c>
    </row>
    <row r="1234" spans="100:110" x14ac:dyDescent="0.25">
      <c r="CV1234" t="s">
        <v>64</v>
      </c>
      <c r="CW1234" t="s">
        <v>1307</v>
      </c>
      <c r="CX1234" t="s">
        <v>19</v>
      </c>
      <c r="CY1234" s="4">
        <v>43341</v>
      </c>
      <c r="CZ1234" t="s">
        <v>65</v>
      </c>
      <c r="DA1234" t="s">
        <v>66</v>
      </c>
      <c r="DB1234">
        <v>19</v>
      </c>
      <c r="DC1234">
        <v>111.54</v>
      </c>
      <c r="DD1234" t="s">
        <v>69</v>
      </c>
      <c r="DE1234" t="s">
        <v>70</v>
      </c>
      <c r="DF1234">
        <v>2119.2600000000002</v>
      </c>
    </row>
    <row r="1235" spans="100:110" x14ac:dyDescent="0.25">
      <c r="CV1235" t="s">
        <v>64</v>
      </c>
      <c r="CW1235" t="s">
        <v>1308</v>
      </c>
      <c r="CX1235" t="s">
        <v>19</v>
      </c>
      <c r="CY1235" s="4">
        <v>43342</v>
      </c>
      <c r="CZ1235" t="s">
        <v>65</v>
      </c>
      <c r="DA1235" t="s">
        <v>66</v>
      </c>
      <c r="DB1235">
        <v>35</v>
      </c>
      <c r="DC1235">
        <v>111.47</v>
      </c>
      <c r="DD1235" t="s">
        <v>69</v>
      </c>
      <c r="DE1235" t="s">
        <v>70</v>
      </c>
      <c r="DF1235">
        <v>3901.45</v>
      </c>
    </row>
    <row r="1236" spans="100:110" x14ac:dyDescent="0.25">
      <c r="CV1236" t="s">
        <v>64</v>
      </c>
      <c r="CW1236" t="s">
        <v>1309</v>
      </c>
      <c r="CX1236" t="s">
        <v>19</v>
      </c>
      <c r="CY1236" s="4">
        <v>43343</v>
      </c>
      <c r="CZ1236" t="s">
        <v>65</v>
      </c>
      <c r="DA1236" t="s">
        <v>66</v>
      </c>
      <c r="DB1236">
        <v>30</v>
      </c>
      <c r="DC1236">
        <v>111.85</v>
      </c>
      <c r="DD1236" t="s">
        <v>69</v>
      </c>
      <c r="DE1236" t="s">
        <v>70</v>
      </c>
      <c r="DF1236">
        <v>3355.5</v>
      </c>
    </row>
    <row r="1237" spans="100:110" x14ac:dyDescent="0.25">
      <c r="CV1237" t="s">
        <v>64</v>
      </c>
      <c r="CW1237" t="s">
        <v>1310</v>
      </c>
      <c r="CX1237" t="s">
        <v>19</v>
      </c>
      <c r="CY1237" s="4">
        <v>43347</v>
      </c>
      <c r="CZ1237" t="s">
        <v>67</v>
      </c>
      <c r="DA1237" t="s">
        <v>68</v>
      </c>
      <c r="DB1237">
        <v>107</v>
      </c>
      <c r="DC1237">
        <v>111.23</v>
      </c>
      <c r="DD1237" t="s">
        <v>69</v>
      </c>
      <c r="DE1237" t="s">
        <v>70</v>
      </c>
      <c r="DF1237">
        <v>11901.61</v>
      </c>
    </row>
    <row r="1238" spans="100:110" x14ac:dyDescent="0.25">
      <c r="CV1238" t="s">
        <v>64</v>
      </c>
      <c r="CW1238" t="s">
        <v>1311</v>
      </c>
      <c r="CX1238" t="s">
        <v>19</v>
      </c>
      <c r="CY1238" s="4">
        <v>43348</v>
      </c>
      <c r="CZ1238" t="s">
        <v>67</v>
      </c>
      <c r="DA1238" t="s">
        <v>68</v>
      </c>
      <c r="DB1238">
        <v>50</v>
      </c>
      <c r="DC1238">
        <v>108.02</v>
      </c>
      <c r="DD1238" t="s">
        <v>69</v>
      </c>
      <c r="DE1238" t="s">
        <v>70</v>
      </c>
      <c r="DF1238">
        <v>5401</v>
      </c>
    </row>
    <row r="1239" spans="100:110" x14ac:dyDescent="0.25">
      <c r="CV1239" t="s">
        <v>64</v>
      </c>
      <c r="CW1239" t="s">
        <v>1312</v>
      </c>
      <c r="CX1239" t="s">
        <v>19</v>
      </c>
      <c r="CY1239" s="4">
        <v>43349</v>
      </c>
      <c r="CZ1239" t="s">
        <v>65</v>
      </c>
      <c r="DA1239" t="s">
        <v>66</v>
      </c>
      <c r="DB1239">
        <v>179</v>
      </c>
      <c r="DC1239">
        <v>108.27</v>
      </c>
      <c r="DD1239" t="s">
        <v>69</v>
      </c>
      <c r="DE1239" t="s">
        <v>70</v>
      </c>
      <c r="DF1239">
        <v>19380.329999999998</v>
      </c>
    </row>
    <row r="1240" spans="100:110" x14ac:dyDescent="0.25">
      <c r="CV1240" t="s">
        <v>64</v>
      </c>
      <c r="CW1240" t="s">
        <v>1313</v>
      </c>
      <c r="CX1240" t="s">
        <v>19</v>
      </c>
      <c r="CY1240" s="4">
        <v>43350</v>
      </c>
      <c r="CZ1240" t="s">
        <v>67</v>
      </c>
      <c r="DA1240" t="s">
        <v>68</v>
      </c>
      <c r="DB1240">
        <v>11</v>
      </c>
      <c r="DC1240">
        <v>107.74</v>
      </c>
      <c r="DD1240" t="s">
        <v>69</v>
      </c>
      <c r="DE1240" t="s">
        <v>70</v>
      </c>
      <c r="DF1240">
        <v>1185.1399999999999</v>
      </c>
    </row>
    <row r="1241" spans="100:110" x14ac:dyDescent="0.25">
      <c r="CV1241" t="s">
        <v>64</v>
      </c>
      <c r="CW1241" t="s">
        <v>1314</v>
      </c>
      <c r="CX1241" t="s">
        <v>19</v>
      </c>
      <c r="CY1241" s="4">
        <v>43353</v>
      </c>
      <c r="CZ1241" t="s">
        <v>65</v>
      </c>
      <c r="DA1241" t="s">
        <v>66</v>
      </c>
      <c r="DB1241">
        <v>4</v>
      </c>
      <c r="DC1241">
        <v>108.91</v>
      </c>
      <c r="DD1241" t="s">
        <v>69</v>
      </c>
      <c r="DE1241" t="s">
        <v>70</v>
      </c>
      <c r="DF1241">
        <v>435.64</v>
      </c>
    </row>
    <row r="1242" spans="100:110" x14ac:dyDescent="0.25">
      <c r="CV1242" t="s">
        <v>64</v>
      </c>
      <c r="CW1242" t="s">
        <v>1315</v>
      </c>
      <c r="CX1242" t="s">
        <v>19</v>
      </c>
      <c r="CY1242" s="4">
        <v>43354</v>
      </c>
      <c r="CZ1242" t="s">
        <v>67</v>
      </c>
      <c r="DA1242" t="s">
        <v>68</v>
      </c>
      <c r="DB1242">
        <v>185</v>
      </c>
      <c r="DC1242">
        <v>110.76</v>
      </c>
      <c r="DD1242" t="s">
        <v>69</v>
      </c>
      <c r="DE1242" t="s">
        <v>70</v>
      </c>
      <c r="DF1242">
        <v>20490.600000000002</v>
      </c>
    </row>
    <row r="1243" spans="100:110" x14ac:dyDescent="0.25">
      <c r="CV1243" t="s">
        <v>64</v>
      </c>
      <c r="CW1243" t="s">
        <v>1316</v>
      </c>
      <c r="CX1243" t="s">
        <v>19</v>
      </c>
      <c r="CY1243" s="4">
        <v>43355</v>
      </c>
      <c r="CZ1243" t="s">
        <v>65</v>
      </c>
      <c r="DA1243" t="s">
        <v>66</v>
      </c>
      <c r="DB1243">
        <v>77</v>
      </c>
      <c r="DC1243">
        <v>111.23</v>
      </c>
      <c r="DD1243" t="s">
        <v>69</v>
      </c>
      <c r="DE1243" t="s">
        <v>70</v>
      </c>
      <c r="DF1243">
        <v>8564.7100000000009</v>
      </c>
    </row>
    <row r="1244" spans="100:110" x14ac:dyDescent="0.25">
      <c r="CV1244" t="s">
        <v>64</v>
      </c>
      <c r="CW1244" t="s">
        <v>1317</v>
      </c>
      <c r="CX1244" t="s">
        <v>19</v>
      </c>
      <c r="CY1244" s="4">
        <v>43356</v>
      </c>
      <c r="CZ1244" t="s">
        <v>65</v>
      </c>
      <c r="DA1244" t="s">
        <v>66</v>
      </c>
      <c r="DB1244">
        <v>112</v>
      </c>
      <c r="DC1244">
        <v>112.42</v>
      </c>
      <c r="DD1244" t="s">
        <v>69</v>
      </c>
      <c r="DE1244" t="s">
        <v>70</v>
      </c>
      <c r="DF1244">
        <v>12591.04</v>
      </c>
    </row>
    <row r="1245" spans="100:110" x14ac:dyDescent="0.25">
      <c r="CV1245" t="s">
        <v>64</v>
      </c>
      <c r="CW1245" t="s">
        <v>1318</v>
      </c>
      <c r="CX1245" t="s">
        <v>19</v>
      </c>
      <c r="CY1245" s="4">
        <v>43357</v>
      </c>
      <c r="CZ1245" t="s">
        <v>67</v>
      </c>
      <c r="DA1245" t="s">
        <v>68</v>
      </c>
      <c r="DB1245">
        <v>87</v>
      </c>
      <c r="DC1245">
        <v>112.88</v>
      </c>
      <c r="DD1245" t="s">
        <v>69</v>
      </c>
      <c r="DE1245" t="s">
        <v>70</v>
      </c>
      <c r="DF1245">
        <v>9820.56</v>
      </c>
    </row>
    <row r="1246" spans="100:110" x14ac:dyDescent="0.25">
      <c r="CV1246" t="s">
        <v>64</v>
      </c>
      <c r="CW1246" t="s">
        <v>1319</v>
      </c>
      <c r="CX1246" t="s">
        <v>19</v>
      </c>
      <c r="CY1246" s="4">
        <v>43360</v>
      </c>
      <c r="CZ1246" t="s">
        <v>67</v>
      </c>
      <c r="DA1246" t="s">
        <v>68</v>
      </c>
      <c r="DB1246">
        <v>101</v>
      </c>
      <c r="DC1246">
        <v>111.66</v>
      </c>
      <c r="DD1246" t="s">
        <v>69</v>
      </c>
      <c r="DE1246" t="s">
        <v>70</v>
      </c>
      <c r="DF1246">
        <v>11277.66</v>
      </c>
    </row>
    <row r="1247" spans="100:110" x14ac:dyDescent="0.25">
      <c r="CV1247" t="s">
        <v>64</v>
      </c>
      <c r="CW1247" t="s">
        <v>1320</v>
      </c>
      <c r="CX1247" t="s">
        <v>19</v>
      </c>
      <c r="CY1247" s="4">
        <v>43361</v>
      </c>
      <c r="CZ1247" t="s">
        <v>67</v>
      </c>
      <c r="DA1247" t="s">
        <v>68</v>
      </c>
      <c r="DB1247">
        <v>3</v>
      </c>
      <c r="DC1247">
        <v>112.72</v>
      </c>
      <c r="DD1247" t="s">
        <v>69</v>
      </c>
      <c r="DE1247" t="s">
        <v>70</v>
      </c>
      <c r="DF1247">
        <v>338.15999999999997</v>
      </c>
    </row>
    <row r="1248" spans="100:110" x14ac:dyDescent="0.25">
      <c r="CV1248" t="s">
        <v>64</v>
      </c>
      <c r="CW1248" t="s">
        <v>1321</v>
      </c>
      <c r="CX1248" t="s">
        <v>19</v>
      </c>
      <c r="CY1248" s="4">
        <v>43362</v>
      </c>
      <c r="CZ1248" t="s">
        <v>65</v>
      </c>
      <c r="DA1248" t="s">
        <v>66</v>
      </c>
      <c r="DB1248">
        <v>188</v>
      </c>
      <c r="DC1248">
        <v>111.22</v>
      </c>
      <c r="DD1248" t="s">
        <v>69</v>
      </c>
      <c r="DE1248" t="s">
        <v>70</v>
      </c>
      <c r="DF1248">
        <v>20909.36</v>
      </c>
    </row>
    <row r="1249" spans="100:110" x14ac:dyDescent="0.25">
      <c r="CV1249" t="s">
        <v>64</v>
      </c>
      <c r="CW1249" t="s">
        <v>1322</v>
      </c>
      <c r="CX1249" t="s">
        <v>19</v>
      </c>
      <c r="CY1249" s="4">
        <v>43363</v>
      </c>
      <c r="CZ1249" t="s">
        <v>67</v>
      </c>
      <c r="DA1249" t="s">
        <v>68</v>
      </c>
      <c r="DB1249">
        <v>74</v>
      </c>
      <c r="DC1249">
        <v>113.08</v>
      </c>
      <c r="DD1249" t="s">
        <v>69</v>
      </c>
      <c r="DE1249" t="s">
        <v>70</v>
      </c>
      <c r="DF1249">
        <v>8367.92</v>
      </c>
    </row>
    <row r="1250" spans="100:110" x14ac:dyDescent="0.25">
      <c r="CV1250" t="s">
        <v>64</v>
      </c>
      <c r="CW1250" t="s">
        <v>1323</v>
      </c>
      <c r="CX1250" t="s">
        <v>19</v>
      </c>
      <c r="CY1250" s="4">
        <v>43364</v>
      </c>
      <c r="CZ1250" t="s">
        <v>67</v>
      </c>
      <c r="DA1250" t="s">
        <v>68</v>
      </c>
      <c r="DB1250">
        <v>27</v>
      </c>
      <c r="DC1250">
        <v>113.77</v>
      </c>
      <c r="DD1250" t="s">
        <v>69</v>
      </c>
      <c r="DE1250" t="s">
        <v>70</v>
      </c>
      <c r="DF1250">
        <v>3071.79</v>
      </c>
    </row>
    <row r="1251" spans="100:110" x14ac:dyDescent="0.25">
      <c r="CV1251" t="s">
        <v>64</v>
      </c>
      <c r="CW1251" t="s">
        <v>1324</v>
      </c>
      <c r="CX1251" t="s">
        <v>19</v>
      </c>
      <c r="CY1251" s="4">
        <v>43367</v>
      </c>
      <c r="CZ1251" t="s">
        <v>65</v>
      </c>
      <c r="DA1251" t="s">
        <v>66</v>
      </c>
      <c r="DB1251">
        <v>76</v>
      </c>
      <c r="DC1251">
        <v>114.18</v>
      </c>
      <c r="DD1251" t="s">
        <v>69</v>
      </c>
      <c r="DE1251" t="s">
        <v>70</v>
      </c>
      <c r="DF1251">
        <v>8677.68</v>
      </c>
    </row>
    <row r="1252" spans="100:110" x14ac:dyDescent="0.25">
      <c r="CV1252" t="s">
        <v>64</v>
      </c>
      <c r="CW1252" t="s">
        <v>1325</v>
      </c>
      <c r="CX1252" t="s">
        <v>19</v>
      </c>
      <c r="CY1252" s="4">
        <v>43368</v>
      </c>
      <c r="CZ1252" t="s">
        <v>67</v>
      </c>
      <c r="DA1252" t="s">
        <v>68</v>
      </c>
      <c r="DB1252">
        <v>147</v>
      </c>
      <c r="DC1252">
        <v>113.96</v>
      </c>
      <c r="DD1252" t="s">
        <v>69</v>
      </c>
      <c r="DE1252" t="s">
        <v>70</v>
      </c>
      <c r="DF1252">
        <v>16752.12</v>
      </c>
    </row>
    <row r="1253" spans="100:110" x14ac:dyDescent="0.25">
      <c r="CV1253" t="s">
        <v>64</v>
      </c>
      <c r="CW1253" t="s">
        <v>1326</v>
      </c>
      <c r="CX1253" t="s">
        <v>19</v>
      </c>
      <c r="CY1253" s="4">
        <v>43369</v>
      </c>
      <c r="CZ1253" t="s">
        <v>65</v>
      </c>
      <c r="DA1253" t="s">
        <v>66</v>
      </c>
      <c r="DB1253">
        <v>144</v>
      </c>
      <c r="DC1253">
        <v>113.49</v>
      </c>
      <c r="DD1253" t="s">
        <v>69</v>
      </c>
      <c r="DE1253" t="s">
        <v>70</v>
      </c>
      <c r="DF1253">
        <v>16342.56</v>
      </c>
    </row>
    <row r="1254" spans="100:110" x14ac:dyDescent="0.25">
      <c r="CV1254" t="s">
        <v>64</v>
      </c>
      <c r="CW1254" t="s">
        <v>1327</v>
      </c>
      <c r="CX1254" t="s">
        <v>19</v>
      </c>
      <c r="CY1254" s="4">
        <v>43370</v>
      </c>
      <c r="CZ1254" t="s">
        <v>67</v>
      </c>
      <c r="DA1254" t="s">
        <v>68</v>
      </c>
      <c r="DB1254">
        <v>52</v>
      </c>
      <c r="DC1254">
        <v>113.92</v>
      </c>
      <c r="DD1254" t="s">
        <v>69</v>
      </c>
      <c r="DE1254" t="s">
        <v>70</v>
      </c>
      <c r="DF1254">
        <v>5923.84</v>
      </c>
    </row>
    <row r="1255" spans="100:110" x14ac:dyDescent="0.25">
      <c r="CV1255" t="s">
        <v>64</v>
      </c>
      <c r="CW1255" t="s">
        <v>1328</v>
      </c>
      <c r="CX1255" t="s">
        <v>19</v>
      </c>
      <c r="CY1255" s="4">
        <v>43371</v>
      </c>
      <c r="CZ1255" t="s">
        <v>65</v>
      </c>
      <c r="DA1255" t="s">
        <v>66</v>
      </c>
      <c r="DB1255">
        <v>32</v>
      </c>
      <c r="DC1255">
        <v>113.88</v>
      </c>
      <c r="DD1255" t="s">
        <v>69</v>
      </c>
      <c r="DE1255" t="s">
        <v>70</v>
      </c>
      <c r="DF1255">
        <v>3644.16</v>
      </c>
    </row>
    <row r="1256" spans="100:110" x14ac:dyDescent="0.25">
      <c r="CV1256" t="s">
        <v>64</v>
      </c>
      <c r="CW1256" t="s">
        <v>1329</v>
      </c>
      <c r="CX1256" t="s">
        <v>19</v>
      </c>
      <c r="CY1256" s="4">
        <v>43374</v>
      </c>
      <c r="CZ1256" t="s">
        <v>67</v>
      </c>
      <c r="DA1256" t="s">
        <v>68</v>
      </c>
      <c r="DB1256">
        <v>112</v>
      </c>
      <c r="DC1256">
        <v>115.11</v>
      </c>
      <c r="DD1256" t="s">
        <v>69</v>
      </c>
      <c r="DE1256" t="s">
        <v>70</v>
      </c>
      <c r="DF1256">
        <v>12892.32</v>
      </c>
    </row>
    <row r="1257" spans="100:110" x14ac:dyDescent="0.25">
      <c r="CV1257" t="s">
        <v>64</v>
      </c>
      <c r="CW1257" t="s">
        <v>1330</v>
      </c>
      <c r="CX1257" t="s">
        <v>19</v>
      </c>
      <c r="CY1257" s="4">
        <v>43375</v>
      </c>
      <c r="CZ1257" t="s">
        <v>65</v>
      </c>
      <c r="DA1257" t="s">
        <v>66</v>
      </c>
      <c r="DB1257">
        <v>162</v>
      </c>
      <c r="DC1257">
        <v>114.65</v>
      </c>
      <c r="DD1257" t="s">
        <v>69</v>
      </c>
      <c r="DE1257" t="s">
        <v>70</v>
      </c>
      <c r="DF1257">
        <v>18573.3</v>
      </c>
    </row>
    <row r="1258" spans="100:110" x14ac:dyDescent="0.25">
      <c r="CV1258" t="s">
        <v>64</v>
      </c>
      <c r="CW1258" t="s">
        <v>1331</v>
      </c>
      <c r="CX1258" t="s">
        <v>19</v>
      </c>
      <c r="CY1258" s="4">
        <v>43376</v>
      </c>
      <c r="CZ1258" t="s">
        <v>67</v>
      </c>
      <c r="DA1258" t="s">
        <v>68</v>
      </c>
      <c r="DB1258">
        <v>126</v>
      </c>
      <c r="DC1258">
        <v>114.67</v>
      </c>
      <c r="DD1258" t="s">
        <v>69</v>
      </c>
      <c r="DE1258" t="s">
        <v>70</v>
      </c>
      <c r="DF1258">
        <v>14448.42</v>
      </c>
    </row>
    <row r="1259" spans="100:110" x14ac:dyDescent="0.25">
      <c r="CV1259" t="s">
        <v>64</v>
      </c>
      <c r="CW1259" t="s">
        <v>1332</v>
      </c>
      <c r="CX1259" t="s">
        <v>19</v>
      </c>
      <c r="CY1259" s="4">
        <v>43377</v>
      </c>
      <c r="CZ1259" t="s">
        <v>65</v>
      </c>
      <c r="DA1259" t="s">
        <v>66</v>
      </c>
      <c r="DB1259">
        <v>70</v>
      </c>
      <c r="DC1259">
        <v>112.3</v>
      </c>
      <c r="DD1259" t="s">
        <v>69</v>
      </c>
      <c r="DE1259" t="s">
        <v>70</v>
      </c>
      <c r="DF1259">
        <v>7861</v>
      </c>
    </row>
    <row r="1260" spans="100:110" x14ac:dyDescent="0.25">
      <c r="CV1260" t="s">
        <v>64</v>
      </c>
      <c r="CW1260" t="s">
        <v>1333</v>
      </c>
      <c r="CX1260" t="s">
        <v>19</v>
      </c>
      <c r="CY1260" s="4">
        <v>43378</v>
      </c>
      <c r="CZ1260" t="s">
        <v>65</v>
      </c>
      <c r="DA1260" t="s">
        <v>66</v>
      </c>
      <c r="DB1260">
        <v>37</v>
      </c>
      <c r="DC1260">
        <v>111.65</v>
      </c>
      <c r="DD1260" t="s">
        <v>69</v>
      </c>
      <c r="DE1260" t="s">
        <v>70</v>
      </c>
      <c r="DF1260">
        <v>4131.05</v>
      </c>
    </row>
    <row r="1261" spans="100:110" x14ac:dyDescent="0.25">
      <c r="CV1261" t="s">
        <v>64</v>
      </c>
      <c r="CW1261" t="s">
        <v>1334</v>
      </c>
      <c r="CX1261" t="s">
        <v>19</v>
      </c>
      <c r="CY1261" s="4">
        <v>43381</v>
      </c>
      <c r="CZ1261" t="s">
        <v>67</v>
      </c>
      <c r="DA1261" t="s">
        <v>68</v>
      </c>
      <c r="DB1261">
        <v>96</v>
      </c>
      <c r="DC1261">
        <v>110.37</v>
      </c>
      <c r="DD1261" t="s">
        <v>69</v>
      </c>
      <c r="DE1261" t="s">
        <v>70</v>
      </c>
      <c r="DF1261">
        <v>10595.52</v>
      </c>
    </row>
    <row r="1262" spans="100:110" x14ac:dyDescent="0.25">
      <c r="CV1262" t="s">
        <v>64</v>
      </c>
      <c r="CW1262" t="s">
        <v>1335</v>
      </c>
      <c r="CX1262" t="s">
        <v>19</v>
      </c>
      <c r="CY1262" s="4">
        <v>43382</v>
      </c>
      <c r="CZ1262" t="s">
        <v>65</v>
      </c>
      <c r="DA1262" t="s">
        <v>66</v>
      </c>
      <c r="DB1262">
        <v>117</v>
      </c>
      <c r="DC1262">
        <v>111.78</v>
      </c>
      <c r="DD1262" t="s">
        <v>69</v>
      </c>
      <c r="DE1262" t="s">
        <v>70</v>
      </c>
      <c r="DF1262">
        <v>13078.26</v>
      </c>
    </row>
    <row r="1263" spans="100:110" x14ac:dyDescent="0.25">
      <c r="CV1263" t="s">
        <v>64</v>
      </c>
      <c r="CW1263" t="s">
        <v>1336</v>
      </c>
      <c r="CX1263" t="s">
        <v>19</v>
      </c>
      <c r="CY1263" s="4">
        <v>43383</v>
      </c>
      <c r="CZ1263" t="s">
        <v>67</v>
      </c>
      <c r="DA1263" t="s">
        <v>68</v>
      </c>
      <c r="DB1263">
        <v>99</v>
      </c>
      <c r="DC1263">
        <v>105.7</v>
      </c>
      <c r="DD1263" t="s">
        <v>69</v>
      </c>
      <c r="DE1263" t="s">
        <v>70</v>
      </c>
      <c r="DF1263">
        <v>10464.300000000001</v>
      </c>
    </row>
    <row r="1264" spans="100:110" x14ac:dyDescent="0.25">
      <c r="CV1264" t="s">
        <v>64</v>
      </c>
      <c r="CW1264" t="s">
        <v>1337</v>
      </c>
      <c r="CX1264" t="s">
        <v>19</v>
      </c>
      <c r="CY1264" s="4">
        <v>43384</v>
      </c>
      <c r="CZ1264" t="s">
        <v>65</v>
      </c>
      <c r="DA1264" t="s">
        <v>66</v>
      </c>
      <c r="DB1264">
        <v>82</v>
      </c>
      <c r="DC1264">
        <v>105.45</v>
      </c>
      <c r="DD1264" t="s">
        <v>69</v>
      </c>
      <c r="DE1264" t="s">
        <v>70</v>
      </c>
      <c r="DF1264">
        <v>8646.9</v>
      </c>
    </row>
    <row r="1265" spans="100:110" x14ac:dyDescent="0.25">
      <c r="CV1265" t="s">
        <v>64</v>
      </c>
      <c r="CW1265" t="s">
        <v>1338</v>
      </c>
      <c r="CX1265" t="s">
        <v>19</v>
      </c>
      <c r="CY1265" s="4">
        <v>43385</v>
      </c>
      <c r="CZ1265" t="s">
        <v>65</v>
      </c>
      <c r="DA1265" t="s">
        <v>66</v>
      </c>
      <c r="DB1265">
        <v>20</v>
      </c>
      <c r="DC1265">
        <v>109.1</v>
      </c>
      <c r="DD1265" t="s">
        <v>69</v>
      </c>
      <c r="DE1265" t="s">
        <v>70</v>
      </c>
      <c r="DF1265">
        <v>2182</v>
      </c>
    </row>
    <row r="1266" spans="100:110" x14ac:dyDescent="0.25">
      <c r="CV1266" t="s">
        <v>64</v>
      </c>
      <c r="CW1266" t="s">
        <v>1339</v>
      </c>
      <c r="CX1266" t="s">
        <v>19</v>
      </c>
      <c r="CY1266" s="4">
        <v>43388</v>
      </c>
      <c r="CZ1266" t="s">
        <v>67</v>
      </c>
      <c r="DA1266" t="s">
        <v>68</v>
      </c>
      <c r="DB1266">
        <v>122</v>
      </c>
      <c r="DC1266">
        <v>107.14</v>
      </c>
      <c r="DD1266" t="s">
        <v>69</v>
      </c>
      <c r="DE1266" t="s">
        <v>70</v>
      </c>
      <c r="DF1266">
        <v>13071.08</v>
      </c>
    </row>
    <row r="1267" spans="100:110" x14ac:dyDescent="0.25">
      <c r="CV1267" t="s">
        <v>64</v>
      </c>
      <c r="CW1267" t="s">
        <v>1340</v>
      </c>
      <c r="CX1267" t="s">
        <v>19</v>
      </c>
      <c r="CY1267" s="4">
        <v>43389</v>
      </c>
      <c r="CZ1267" t="s">
        <v>65</v>
      </c>
      <c r="DA1267" t="s">
        <v>66</v>
      </c>
      <c r="DB1267">
        <v>60</v>
      </c>
      <c r="DC1267">
        <v>110.52</v>
      </c>
      <c r="DD1267" t="s">
        <v>69</v>
      </c>
      <c r="DE1267" t="s">
        <v>70</v>
      </c>
      <c r="DF1267">
        <v>6631.2</v>
      </c>
    </row>
    <row r="1268" spans="100:110" x14ac:dyDescent="0.25">
      <c r="CV1268" t="s">
        <v>64</v>
      </c>
      <c r="CW1268" t="s">
        <v>1341</v>
      </c>
      <c r="CX1268" t="s">
        <v>19</v>
      </c>
      <c r="CY1268" s="4">
        <v>43390</v>
      </c>
      <c r="CZ1268" t="s">
        <v>67</v>
      </c>
      <c r="DA1268" t="s">
        <v>68</v>
      </c>
      <c r="DB1268">
        <v>74</v>
      </c>
      <c r="DC1268">
        <v>110.23</v>
      </c>
      <c r="DD1268" t="s">
        <v>69</v>
      </c>
      <c r="DE1268" t="s">
        <v>70</v>
      </c>
      <c r="DF1268">
        <v>8157.02</v>
      </c>
    </row>
    <row r="1269" spans="100:110" x14ac:dyDescent="0.25">
      <c r="CV1269" t="s">
        <v>64</v>
      </c>
      <c r="CW1269" t="s">
        <v>1342</v>
      </c>
      <c r="CX1269" t="s">
        <v>19</v>
      </c>
      <c r="CY1269" s="4">
        <v>43391</v>
      </c>
      <c r="CZ1269" t="s">
        <v>67</v>
      </c>
      <c r="DA1269" t="s">
        <v>68</v>
      </c>
      <c r="DB1269">
        <v>49</v>
      </c>
      <c r="DC1269">
        <v>108.03</v>
      </c>
      <c r="DD1269" t="s">
        <v>69</v>
      </c>
      <c r="DE1269" t="s">
        <v>70</v>
      </c>
      <c r="DF1269">
        <v>5293.47</v>
      </c>
    </row>
    <row r="1270" spans="100:110" x14ac:dyDescent="0.25">
      <c r="CV1270" t="s">
        <v>64</v>
      </c>
      <c r="CW1270" t="s">
        <v>1343</v>
      </c>
      <c r="CX1270" t="s">
        <v>19</v>
      </c>
      <c r="CY1270" s="4">
        <v>43392</v>
      </c>
      <c r="CZ1270" t="s">
        <v>65</v>
      </c>
      <c r="DA1270" t="s">
        <v>66</v>
      </c>
      <c r="DB1270">
        <v>52</v>
      </c>
      <c r="DC1270">
        <v>108.19</v>
      </c>
      <c r="DD1270" t="s">
        <v>69</v>
      </c>
      <c r="DE1270" t="s">
        <v>70</v>
      </c>
      <c r="DF1270">
        <v>5625.88</v>
      </c>
    </row>
    <row r="1271" spans="100:110" x14ac:dyDescent="0.25">
      <c r="CV1271" t="s">
        <v>64</v>
      </c>
      <c r="CW1271" t="s">
        <v>1344</v>
      </c>
      <c r="CX1271" t="s">
        <v>19</v>
      </c>
      <c r="CY1271" s="4">
        <v>43395</v>
      </c>
      <c r="CZ1271" t="s">
        <v>65</v>
      </c>
      <c r="DA1271" t="s">
        <v>66</v>
      </c>
      <c r="DB1271">
        <v>16</v>
      </c>
      <c r="DC1271">
        <v>109.16</v>
      </c>
      <c r="DD1271" t="s">
        <v>69</v>
      </c>
      <c r="DE1271" t="s">
        <v>70</v>
      </c>
      <c r="DF1271">
        <v>1746.56</v>
      </c>
    </row>
    <row r="1272" spans="100:110" x14ac:dyDescent="0.25">
      <c r="CV1272" t="s">
        <v>64</v>
      </c>
      <c r="CW1272" t="s">
        <v>1345</v>
      </c>
      <c r="CX1272" t="s">
        <v>19</v>
      </c>
      <c r="CY1272" s="4">
        <v>43396</v>
      </c>
      <c r="CZ1272" t="s">
        <v>67</v>
      </c>
      <c r="DA1272" t="s">
        <v>68</v>
      </c>
      <c r="DB1272">
        <v>29</v>
      </c>
      <c r="DC1272">
        <v>107.64</v>
      </c>
      <c r="DD1272" t="s">
        <v>69</v>
      </c>
      <c r="DE1272" t="s">
        <v>70</v>
      </c>
      <c r="DF1272">
        <v>3121.56</v>
      </c>
    </row>
    <row r="1273" spans="100:110" x14ac:dyDescent="0.25">
      <c r="CV1273" t="s">
        <v>64</v>
      </c>
      <c r="CW1273" t="s">
        <v>1346</v>
      </c>
      <c r="CX1273" t="s">
        <v>19</v>
      </c>
      <c r="CY1273" s="4">
        <v>43397</v>
      </c>
      <c r="CZ1273" t="s">
        <v>65</v>
      </c>
      <c r="DA1273" t="s">
        <v>66</v>
      </c>
      <c r="DB1273">
        <v>63</v>
      </c>
      <c r="DC1273">
        <v>101.88</v>
      </c>
      <c r="DD1273" t="s">
        <v>69</v>
      </c>
      <c r="DE1273" t="s">
        <v>70</v>
      </c>
      <c r="DF1273">
        <v>6418.44</v>
      </c>
    </row>
    <row r="1274" spans="100:110" x14ac:dyDescent="0.25">
      <c r="CV1274" t="s">
        <v>64</v>
      </c>
      <c r="CW1274" t="s">
        <v>1347</v>
      </c>
      <c r="CX1274" t="s">
        <v>19</v>
      </c>
      <c r="CY1274" s="4">
        <v>43398</v>
      </c>
      <c r="CZ1274" t="s">
        <v>67</v>
      </c>
      <c r="DA1274" t="s">
        <v>68</v>
      </c>
      <c r="DB1274">
        <v>10</v>
      </c>
      <c r="DC1274">
        <v>107.83</v>
      </c>
      <c r="DD1274" t="s">
        <v>69</v>
      </c>
      <c r="DE1274" t="s">
        <v>70</v>
      </c>
      <c r="DF1274">
        <v>1078.3</v>
      </c>
    </row>
    <row r="1275" spans="100:110" x14ac:dyDescent="0.25">
      <c r="CV1275" t="s">
        <v>64</v>
      </c>
      <c r="CW1275" t="s">
        <v>1348</v>
      </c>
      <c r="CX1275" t="s">
        <v>19</v>
      </c>
      <c r="CY1275" s="4">
        <v>43399</v>
      </c>
      <c r="CZ1275" t="s">
        <v>67</v>
      </c>
      <c r="DA1275" t="s">
        <v>68</v>
      </c>
      <c r="DB1275">
        <v>96</v>
      </c>
      <c r="DC1275">
        <v>106.5</v>
      </c>
      <c r="DD1275" t="s">
        <v>69</v>
      </c>
      <c r="DE1275" t="s">
        <v>70</v>
      </c>
      <c r="DF1275">
        <v>10224</v>
      </c>
    </row>
    <row r="1276" spans="100:110" x14ac:dyDescent="0.25">
      <c r="CV1276" t="s">
        <v>64</v>
      </c>
      <c r="CW1276" t="s">
        <v>1349</v>
      </c>
      <c r="CX1276" t="s">
        <v>19</v>
      </c>
      <c r="CY1276" s="4">
        <v>43402</v>
      </c>
      <c r="CZ1276" t="s">
        <v>65</v>
      </c>
      <c r="DA1276" t="s">
        <v>66</v>
      </c>
      <c r="DB1276">
        <v>23</v>
      </c>
      <c r="DC1276">
        <v>103.4</v>
      </c>
      <c r="DD1276" t="s">
        <v>69</v>
      </c>
      <c r="DE1276" t="s">
        <v>70</v>
      </c>
      <c r="DF1276">
        <v>2378.2000000000003</v>
      </c>
    </row>
    <row r="1277" spans="100:110" x14ac:dyDescent="0.25">
      <c r="CV1277" t="s">
        <v>64</v>
      </c>
      <c r="CW1277" t="s">
        <v>1350</v>
      </c>
      <c r="CX1277" t="s">
        <v>19</v>
      </c>
      <c r="CY1277" s="4">
        <v>43403</v>
      </c>
      <c r="CZ1277" t="s">
        <v>65</v>
      </c>
      <c r="DA1277" t="s">
        <v>66</v>
      </c>
      <c r="DB1277">
        <v>55</v>
      </c>
      <c r="DC1277">
        <v>103.28</v>
      </c>
      <c r="DD1277" t="s">
        <v>69</v>
      </c>
      <c r="DE1277" t="s">
        <v>70</v>
      </c>
      <c r="DF1277">
        <v>5680.4</v>
      </c>
    </row>
    <row r="1278" spans="100:110" x14ac:dyDescent="0.25">
      <c r="CV1278" t="s">
        <v>64</v>
      </c>
      <c r="CW1278" t="s">
        <v>1351</v>
      </c>
      <c r="CX1278" t="s">
        <v>19</v>
      </c>
      <c r="CY1278" s="4">
        <v>43404</v>
      </c>
      <c r="CZ1278" t="s">
        <v>67</v>
      </c>
      <c r="DA1278" t="s">
        <v>68</v>
      </c>
      <c r="DB1278">
        <v>3</v>
      </c>
      <c r="DC1278">
        <v>106.35</v>
      </c>
      <c r="DD1278" t="s">
        <v>69</v>
      </c>
      <c r="DE1278" t="s">
        <v>70</v>
      </c>
      <c r="DF1278">
        <v>319.04999999999995</v>
      </c>
    </row>
    <row r="1279" spans="100:110" x14ac:dyDescent="0.25">
      <c r="CV1279" t="s">
        <v>64</v>
      </c>
      <c r="CW1279" t="s">
        <v>1352</v>
      </c>
      <c r="CX1279" t="s">
        <v>19</v>
      </c>
      <c r="CY1279" s="4">
        <v>43405</v>
      </c>
      <c r="CZ1279" t="s">
        <v>65</v>
      </c>
      <c r="DA1279" t="s">
        <v>66</v>
      </c>
      <c r="DB1279">
        <v>2</v>
      </c>
      <c r="DC1279">
        <v>105.46</v>
      </c>
      <c r="DD1279" t="s">
        <v>69</v>
      </c>
      <c r="DE1279" t="s">
        <v>70</v>
      </c>
      <c r="DF1279">
        <v>210.92</v>
      </c>
    </row>
    <row r="1280" spans="100:110" x14ac:dyDescent="0.25">
      <c r="CV1280" t="s">
        <v>64</v>
      </c>
      <c r="CW1280" t="s">
        <v>1353</v>
      </c>
      <c r="CX1280" t="s">
        <v>19</v>
      </c>
      <c r="CY1280" s="4">
        <v>43406</v>
      </c>
      <c r="CZ1280" t="s">
        <v>65</v>
      </c>
      <c r="DA1280" t="s">
        <v>66</v>
      </c>
      <c r="DB1280">
        <v>63</v>
      </c>
      <c r="DC1280">
        <v>105.7</v>
      </c>
      <c r="DD1280" t="s">
        <v>69</v>
      </c>
      <c r="DE1280" t="s">
        <v>70</v>
      </c>
      <c r="DF1280">
        <v>6659.1</v>
      </c>
    </row>
    <row r="1281" spans="100:110" x14ac:dyDescent="0.25">
      <c r="CV1281" t="s">
        <v>64</v>
      </c>
      <c r="CW1281" t="s">
        <v>1354</v>
      </c>
      <c r="CX1281" t="s">
        <v>19</v>
      </c>
      <c r="CY1281" s="4">
        <v>43409</v>
      </c>
      <c r="CZ1281" t="s">
        <v>67</v>
      </c>
      <c r="DA1281" t="s">
        <v>68</v>
      </c>
      <c r="DB1281">
        <v>113</v>
      </c>
      <c r="DC1281">
        <v>107.05</v>
      </c>
      <c r="DD1281" t="s">
        <v>69</v>
      </c>
      <c r="DE1281" t="s">
        <v>70</v>
      </c>
      <c r="DF1281">
        <v>12096.65</v>
      </c>
    </row>
    <row r="1282" spans="100:110" x14ac:dyDescent="0.25">
      <c r="CV1282" t="s">
        <v>64</v>
      </c>
      <c r="CW1282" t="s">
        <v>1355</v>
      </c>
      <c r="CX1282" t="s">
        <v>19</v>
      </c>
      <c r="CY1282" s="4">
        <v>43410</v>
      </c>
      <c r="CZ1282" t="s">
        <v>65</v>
      </c>
      <c r="DA1282" t="s">
        <v>66</v>
      </c>
      <c r="DB1282">
        <v>15</v>
      </c>
      <c r="DC1282">
        <v>107.26</v>
      </c>
      <c r="DD1282" t="s">
        <v>69</v>
      </c>
      <c r="DE1282" t="s">
        <v>70</v>
      </c>
      <c r="DF1282">
        <v>1608.9</v>
      </c>
    </row>
    <row r="1283" spans="100:110" x14ac:dyDescent="0.25">
      <c r="CV1283" t="s">
        <v>64</v>
      </c>
      <c r="CW1283" t="s">
        <v>1356</v>
      </c>
      <c r="CX1283" t="s">
        <v>19</v>
      </c>
      <c r="CY1283" s="4">
        <v>43411</v>
      </c>
      <c r="CZ1283" t="s">
        <v>65</v>
      </c>
      <c r="DA1283" t="s">
        <v>66</v>
      </c>
      <c r="DB1283">
        <v>52</v>
      </c>
      <c r="DC1283">
        <v>111.48</v>
      </c>
      <c r="DD1283" t="s">
        <v>69</v>
      </c>
      <c r="DE1283" t="s">
        <v>70</v>
      </c>
      <c r="DF1283">
        <v>5796.96</v>
      </c>
    </row>
    <row r="1284" spans="100:110" x14ac:dyDescent="0.25">
      <c r="CV1284" t="s">
        <v>64</v>
      </c>
      <c r="CW1284" t="s">
        <v>1357</v>
      </c>
      <c r="CX1284" t="s">
        <v>19</v>
      </c>
      <c r="CY1284" s="4">
        <v>43412</v>
      </c>
      <c r="CZ1284" t="s">
        <v>67</v>
      </c>
      <c r="DA1284" t="s">
        <v>68</v>
      </c>
      <c r="DB1284">
        <v>70</v>
      </c>
      <c r="DC1284">
        <v>111.27</v>
      </c>
      <c r="DD1284" t="s">
        <v>69</v>
      </c>
      <c r="DE1284" t="s">
        <v>70</v>
      </c>
      <c r="DF1284">
        <v>7788.9</v>
      </c>
    </row>
    <row r="1285" spans="100:110" x14ac:dyDescent="0.25">
      <c r="CV1285" t="s">
        <v>64</v>
      </c>
      <c r="CW1285" t="s">
        <v>1358</v>
      </c>
      <c r="CX1285" t="s">
        <v>19</v>
      </c>
      <c r="CY1285" s="4">
        <v>43413</v>
      </c>
      <c r="CZ1285" t="s">
        <v>65</v>
      </c>
      <c r="DA1285" t="s">
        <v>66</v>
      </c>
      <c r="DB1285">
        <v>84</v>
      </c>
      <c r="DC1285">
        <v>109.1</v>
      </c>
      <c r="DD1285" t="s">
        <v>69</v>
      </c>
      <c r="DE1285" t="s">
        <v>70</v>
      </c>
      <c r="DF1285">
        <v>9164.4</v>
      </c>
    </row>
    <row r="1286" spans="100:110" x14ac:dyDescent="0.25">
      <c r="CV1286" t="s">
        <v>64</v>
      </c>
      <c r="CW1286" t="s">
        <v>1359</v>
      </c>
      <c r="CX1286" t="s">
        <v>19</v>
      </c>
      <c r="CY1286" s="4">
        <v>43416</v>
      </c>
      <c r="CZ1286" t="s">
        <v>67</v>
      </c>
      <c r="DA1286" t="s">
        <v>68</v>
      </c>
      <c r="DB1286">
        <v>83</v>
      </c>
      <c r="DC1286">
        <v>106.41</v>
      </c>
      <c r="DD1286" t="s">
        <v>69</v>
      </c>
      <c r="DE1286" t="s">
        <v>70</v>
      </c>
      <c r="DF1286">
        <v>8832.0299999999988</v>
      </c>
    </row>
    <row r="1287" spans="100:110" x14ac:dyDescent="0.25">
      <c r="CV1287" t="s">
        <v>64</v>
      </c>
      <c r="CW1287" t="s">
        <v>1360</v>
      </c>
      <c r="CX1287" t="s">
        <v>19</v>
      </c>
      <c r="CY1287" s="4">
        <v>43417</v>
      </c>
      <c r="CZ1287" t="s">
        <v>65</v>
      </c>
      <c r="DA1287" t="s">
        <v>66</v>
      </c>
      <c r="DB1287">
        <v>83</v>
      </c>
      <c r="DC1287">
        <v>106.48</v>
      </c>
      <c r="DD1287" t="s">
        <v>69</v>
      </c>
      <c r="DE1287" t="s">
        <v>70</v>
      </c>
      <c r="DF1287">
        <v>8837.84</v>
      </c>
    </row>
    <row r="1288" spans="100:110" x14ac:dyDescent="0.25">
      <c r="CV1288" t="s">
        <v>64</v>
      </c>
      <c r="CW1288" t="s">
        <v>1361</v>
      </c>
      <c r="CX1288" t="s">
        <v>19</v>
      </c>
      <c r="CY1288" s="4">
        <v>43418</v>
      </c>
      <c r="CZ1288" t="s">
        <v>67</v>
      </c>
      <c r="DA1288" t="s">
        <v>68</v>
      </c>
      <c r="DB1288">
        <v>7</v>
      </c>
      <c r="DC1288">
        <v>104.97</v>
      </c>
      <c r="DD1288" t="s">
        <v>69</v>
      </c>
      <c r="DE1288" t="s">
        <v>70</v>
      </c>
      <c r="DF1288">
        <v>734.79</v>
      </c>
    </row>
    <row r="1289" spans="100:110" x14ac:dyDescent="0.25">
      <c r="CV1289" t="s">
        <v>64</v>
      </c>
      <c r="CW1289" t="s">
        <v>1362</v>
      </c>
      <c r="CX1289" t="s">
        <v>19</v>
      </c>
      <c r="CY1289" s="4">
        <v>43419</v>
      </c>
      <c r="CZ1289" t="s">
        <v>67</v>
      </c>
      <c r="DA1289" t="s">
        <v>68</v>
      </c>
      <c r="DB1289">
        <v>3</v>
      </c>
      <c r="DC1289">
        <v>107.28</v>
      </c>
      <c r="DD1289" t="s">
        <v>69</v>
      </c>
      <c r="DE1289" t="s">
        <v>70</v>
      </c>
      <c r="DF1289">
        <v>321.84000000000003</v>
      </c>
    </row>
    <row r="1290" spans="100:110" x14ac:dyDescent="0.25">
      <c r="CV1290" t="s">
        <v>64</v>
      </c>
      <c r="CW1290" t="s">
        <v>1363</v>
      </c>
      <c r="CX1290" t="s">
        <v>19</v>
      </c>
      <c r="CY1290" s="4">
        <v>43420</v>
      </c>
      <c r="CZ1290" t="s">
        <v>67</v>
      </c>
      <c r="DA1290" t="s">
        <v>68</v>
      </c>
      <c r="DB1290">
        <v>11</v>
      </c>
      <c r="DC1290">
        <v>108.29</v>
      </c>
      <c r="DD1290" t="s">
        <v>69</v>
      </c>
      <c r="DE1290" t="s">
        <v>70</v>
      </c>
      <c r="DF1290">
        <v>1191.19</v>
      </c>
    </row>
    <row r="1291" spans="100:110" x14ac:dyDescent="0.25">
      <c r="CV1291" t="s">
        <v>64</v>
      </c>
      <c r="CW1291" t="s">
        <v>1364</v>
      </c>
      <c r="CX1291" t="s">
        <v>19</v>
      </c>
      <c r="CY1291" s="4">
        <v>43423</v>
      </c>
      <c r="CZ1291" t="s">
        <v>67</v>
      </c>
      <c r="DA1291" t="s">
        <v>68</v>
      </c>
      <c r="DB1291">
        <v>92</v>
      </c>
      <c r="DC1291">
        <v>104.62</v>
      </c>
      <c r="DD1291" t="s">
        <v>69</v>
      </c>
      <c r="DE1291" t="s">
        <v>70</v>
      </c>
      <c r="DF1291">
        <v>9625.0400000000009</v>
      </c>
    </row>
    <row r="1292" spans="100:110" x14ac:dyDescent="0.25">
      <c r="CV1292" t="s">
        <v>64</v>
      </c>
      <c r="CW1292" t="s">
        <v>1365</v>
      </c>
      <c r="CX1292" t="s">
        <v>19</v>
      </c>
      <c r="CY1292" s="4">
        <v>43424</v>
      </c>
      <c r="CZ1292" t="s">
        <v>65</v>
      </c>
      <c r="DA1292" t="s">
        <v>66</v>
      </c>
      <c r="DB1292">
        <v>123</v>
      </c>
      <c r="DC1292">
        <v>101.71</v>
      </c>
      <c r="DD1292" t="s">
        <v>69</v>
      </c>
      <c r="DE1292" t="s">
        <v>70</v>
      </c>
      <c r="DF1292">
        <v>12510.33</v>
      </c>
    </row>
    <row r="1293" spans="100:110" x14ac:dyDescent="0.25">
      <c r="CV1293" t="s">
        <v>64</v>
      </c>
      <c r="CW1293" t="s">
        <v>1366</v>
      </c>
      <c r="CX1293" t="s">
        <v>19</v>
      </c>
      <c r="CY1293" s="4">
        <v>43425</v>
      </c>
      <c r="CZ1293" t="s">
        <v>67</v>
      </c>
      <c r="DA1293" t="s">
        <v>68</v>
      </c>
      <c r="DB1293">
        <v>80</v>
      </c>
      <c r="DC1293">
        <v>103.11</v>
      </c>
      <c r="DD1293" t="s">
        <v>69</v>
      </c>
      <c r="DE1293" t="s">
        <v>70</v>
      </c>
      <c r="DF1293">
        <v>8248.7999999999993</v>
      </c>
    </row>
    <row r="1294" spans="100:110" x14ac:dyDescent="0.25">
      <c r="CV1294" t="s">
        <v>64</v>
      </c>
      <c r="CW1294" t="s">
        <v>1367</v>
      </c>
      <c r="CX1294" t="s">
        <v>19</v>
      </c>
      <c r="CY1294" s="4">
        <v>43427</v>
      </c>
      <c r="CZ1294" t="s">
        <v>65</v>
      </c>
      <c r="DA1294" t="s">
        <v>66</v>
      </c>
      <c r="DB1294">
        <v>36</v>
      </c>
      <c r="DC1294">
        <v>103.07</v>
      </c>
      <c r="DD1294" t="s">
        <v>69</v>
      </c>
      <c r="DE1294" t="s">
        <v>70</v>
      </c>
      <c r="DF1294">
        <v>3710.5199999999995</v>
      </c>
    </row>
    <row r="1295" spans="100:110" x14ac:dyDescent="0.25">
      <c r="CV1295" t="s">
        <v>64</v>
      </c>
      <c r="CW1295" t="s">
        <v>1368</v>
      </c>
      <c r="CX1295" t="s">
        <v>19</v>
      </c>
      <c r="CY1295" s="4">
        <v>43430</v>
      </c>
      <c r="CZ1295" t="s">
        <v>65</v>
      </c>
      <c r="DA1295" t="s">
        <v>66</v>
      </c>
      <c r="DB1295">
        <v>44</v>
      </c>
      <c r="DC1295">
        <v>106.47</v>
      </c>
      <c r="DD1295" t="s">
        <v>69</v>
      </c>
      <c r="DE1295" t="s">
        <v>70</v>
      </c>
      <c r="DF1295">
        <v>4684.68</v>
      </c>
    </row>
    <row r="1296" spans="100:110" x14ac:dyDescent="0.25">
      <c r="CV1296" t="s">
        <v>64</v>
      </c>
      <c r="CW1296" t="s">
        <v>1369</v>
      </c>
      <c r="CX1296" t="s">
        <v>19</v>
      </c>
      <c r="CY1296" s="4">
        <v>43431</v>
      </c>
      <c r="CZ1296" t="s">
        <v>65</v>
      </c>
      <c r="DA1296" t="s">
        <v>66</v>
      </c>
      <c r="DB1296">
        <v>34</v>
      </c>
      <c r="DC1296">
        <v>107.14</v>
      </c>
      <c r="DD1296" t="s">
        <v>69</v>
      </c>
      <c r="DE1296" t="s">
        <v>70</v>
      </c>
      <c r="DF1296">
        <v>3642.76</v>
      </c>
    </row>
    <row r="1297" spans="100:110" x14ac:dyDescent="0.25">
      <c r="CV1297" t="s">
        <v>64</v>
      </c>
      <c r="CW1297" t="s">
        <v>1370</v>
      </c>
      <c r="CX1297" t="s">
        <v>19</v>
      </c>
      <c r="CY1297" s="4">
        <v>43432</v>
      </c>
      <c r="CZ1297" t="s">
        <v>67</v>
      </c>
      <c r="DA1297" t="s">
        <v>68</v>
      </c>
      <c r="DB1297">
        <v>95</v>
      </c>
      <c r="DC1297">
        <v>111.12</v>
      </c>
      <c r="DD1297" t="s">
        <v>69</v>
      </c>
      <c r="DE1297" t="s">
        <v>70</v>
      </c>
      <c r="DF1297">
        <v>10556.4</v>
      </c>
    </row>
    <row r="1298" spans="100:110" x14ac:dyDescent="0.25">
      <c r="CV1298" t="s">
        <v>64</v>
      </c>
      <c r="CW1298" t="s">
        <v>1371</v>
      </c>
      <c r="CX1298" t="s">
        <v>19</v>
      </c>
      <c r="CY1298" s="4">
        <v>43433</v>
      </c>
      <c r="CZ1298" t="s">
        <v>67</v>
      </c>
      <c r="DA1298" t="s">
        <v>68</v>
      </c>
      <c r="DB1298">
        <v>68</v>
      </c>
      <c r="DC1298">
        <v>110.19</v>
      </c>
      <c r="DD1298" t="s">
        <v>69</v>
      </c>
      <c r="DE1298" t="s">
        <v>70</v>
      </c>
      <c r="DF1298">
        <v>7492.92</v>
      </c>
    </row>
    <row r="1299" spans="100:110" x14ac:dyDescent="0.25">
      <c r="CV1299" t="s">
        <v>64</v>
      </c>
      <c r="CW1299" t="s">
        <v>1372</v>
      </c>
      <c r="CX1299" t="s">
        <v>19</v>
      </c>
      <c r="CY1299" s="4">
        <v>43434</v>
      </c>
      <c r="CZ1299" t="s">
        <v>65</v>
      </c>
      <c r="DA1299" t="s">
        <v>66</v>
      </c>
      <c r="DB1299">
        <v>174</v>
      </c>
      <c r="DC1299">
        <v>110.89</v>
      </c>
      <c r="DD1299" t="s">
        <v>69</v>
      </c>
      <c r="DE1299" t="s">
        <v>70</v>
      </c>
      <c r="DF1299">
        <v>19294.86</v>
      </c>
    </row>
    <row r="1300" spans="100:110" x14ac:dyDescent="0.25">
      <c r="CV1300" t="s">
        <v>64</v>
      </c>
      <c r="CW1300" t="s">
        <v>1373</v>
      </c>
      <c r="CX1300" t="s">
        <v>19</v>
      </c>
      <c r="CY1300" s="4">
        <v>43437</v>
      </c>
      <c r="CZ1300" t="s">
        <v>67</v>
      </c>
      <c r="DA1300" t="s">
        <v>68</v>
      </c>
      <c r="DB1300">
        <v>73</v>
      </c>
      <c r="DC1300">
        <v>112.09</v>
      </c>
      <c r="DD1300" t="s">
        <v>69</v>
      </c>
      <c r="DE1300" t="s">
        <v>70</v>
      </c>
      <c r="DF1300">
        <v>8182.5700000000006</v>
      </c>
    </row>
    <row r="1301" spans="100:110" x14ac:dyDescent="0.25">
      <c r="CV1301" t="s">
        <v>64</v>
      </c>
      <c r="CW1301" t="s">
        <v>1374</v>
      </c>
      <c r="CX1301" t="s">
        <v>19</v>
      </c>
      <c r="CY1301" s="4">
        <v>43438</v>
      </c>
      <c r="CZ1301" t="s">
        <v>65</v>
      </c>
      <c r="DA1301" t="s">
        <v>66</v>
      </c>
      <c r="DB1301">
        <v>22</v>
      </c>
      <c r="DC1301">
        <v>108.52</v>
      </c>
      <c r="DD1301" t="s">
        <v>69</v>
      </c>
      <c r="DE1301" t="s">
        <v>70</v>
      </c>
      <c r="DF1301">
        <v>2387.44</v>
      </c>
    </row>
    <row r="1302" spans="100:110" x14ac:dyDescent="0.25">
      <c r="CV1302" t="s">
        <v>64</v>
      </c>
      <c r="CW1302" t="s">
        <v>1375</v>
      </c>
      <c r="CX1302" t="s">
        <v>19</v>
      </c>
      <c r="CY1302" s="4">
        <v>43440</v>
      </c>
      <c r="CZ1302" t="s">
        <v>67</v>
      </c>
      <c r="DA1302" t="s">
        <v>68</v>
      </c>
      <c r="DB1302">
        <v>45</v>
      </c>
      <c r="DC1302">
        <v>109.19</v>
      </c>
      <c r="DD1302" t="s">
        <v>69</v>
      </c>
      <c r="DE1302" t="s">
        <v>70</v>
      </c>
      <c r="DF1302">
        <v>4913.55</v>
      </c>
    </row>
    <row r="1303" spans="100:110" x14ac:dyDescent="0.25">
      <c r="CV1303" t="s">
        <v>64</v>
      </c>
      <c r="CW1303" t="s">
        <v>1376</v>
      </c>
      <c r="CX1303" t="s">
        <v>19</v>
      </c>
      <c r="CY1303" s="4">
        <v>43441</v>
      </c>
      <c r="CZ1303" t="s">
        <v>65</v>
      </c>
      <c r="DA1303" t="s">
        <v>66</v>
      </c>
      <c r="DB1303">
        <v>5</v>
      </c>
      <c r="DC1303">
        <v>104.82</v>
      </c>
      <c r="DD1303" t="s">
        <v>69</v>
      </c>
      <c r="DE1303" t="s">
        <v>70</v>
      </c>
      <c r="DF1303">
        <v>524.09999999999991</v>
      </c>
    </row>
    <row r="1304" spans="100:110" x14ac:dyDescent="0.25">
      <c r="CV1304" t="s">
        <v>64</v>
      </c>
      <c r="CW1304" t="s">
        <v>1377</v>
      </c>
      <c r="CX1304" t="s">
        <v>19</v>
      </c>
      <c r="CY1304" s="4">
        <v>43444</v>
      </c>
      <c r="CZ1304" t="s">
        <v>65</v>
      </c>
      <c r="DA1304" t="s">
        <v>66</v>
      </c>
      <c r="DB1304">
        <v>4</v>
      </c>
      <c r="DC1304">
        <v>107.59</v>
      </c>
      <c r="DD1304" t="s">
        <v>69</v>
      </c>
      <c r="DE1304" t="s">
        <v>70</v>
      </c>
      <c r="DF1304">
        <v>430.36</v>
      </c>
    </row>
    <row r="1305" spans="100:110" x14ac:dyDescent="0.25">
      <c r="CV1305" t="s">
        <v>64</v>
      </c>
      <c r="CW1305" t="s">
        <v>1378</v>
      </c>
      <c r="CX1305" t="s">
        <v>19</v>
      </c>
      <c r="CY1305" s="4">
        <v>43445</v>
      </c>
      <c r="CZ1305" t="s">
        <v>65</v>
      </c>
      <c r="DA1305" t="s">
        <v>66</v>
      </c>
      <c r="DB1305">
        <v>17</v>
      </c>
      <c r="DC1305">
        <v>108.59</v>
      </c>
      <c r="DD1305" t="s">
        <v>69</v>
      </c>
      <c r="DE1305" t="s">
        <v>70</v>
      </c>
      <c r="DF1305">
        <v>1846.03</v>
      </c>
    </row>
    <row r="1306" spans="100:110" x14ac:dyDescent="0.25">
      <c r="CV1306" t="s">
        <v>64</v>
      </c>
      <c r="CW1306" t="s">
        <v>1379</v>
      </c>
      <c r="CX1306" t="s">
        <v>19</v>
      </c>
      <c r="CY1306" s="4">
        <v>43446</v>
      </c>
      <c r="CZ1306" t="s">
        <v>65</v>
      </c>
      <c r="DA1306" t="s">
        <v>66</v>
      </c>
      <c r="DB1306">
        <v>80</v>
      </c>
      <c r="DC1306">
        <v>109.08</v>
      </c>
      <c r="DD1306" t="s">
        <v>69</v>
      </c>
      <c r="DE1306" t="s">
        <v>70</v>
      </c>
      <c r="DF1306">
        <v>8726.4</v>
      </c>
    </row>
    <row r="1307" spans="100:110" x14ac:dyDescent="0.25">
      <c r="CV1307" t="s">
        <v>64</v>
      </c>
      <c r="CW1307" t="s">
        <v>1380</v>
      </c>
      <c r="CX1307" t="s">
        <v>19</v>
      </c>
      <c r="CY1307" s="4">
        <v>43447</v>
      </c>
      <c r="CZ1307" t="s">
        <v>67</v>
      </c>
      <c r="DA1307" t="s">
        <v>68</v>
      </c>
      <c r="DB1307">
        <v>45</v>
      </c>
      <c r="DC1307">
        <v>109.45</v>
      </c>
      <c r="DD1307" t="s">
        <v>69</v>
      </c>
      <c r="DE1307" t="s">
        <v>70</v>
      </c>
      <c r="DF1307">
        <v>4925.25</v>
      </c>
    </row>
    <row r="1308" spans="100:110" x14ac:dyDescent="0.25">
      <c r="CV1308" t="s">
        <v>64</v>
      </c>
      <c r="CW1308" t="s">
        <v>1381</v>
      </c>
      <c r="CX1308" t="s">
        <v>19</v>
      </c>
      <c r="CY1308" s="4">
        <v>43448</v>
      </c>
      <c r="CZ1308" t="s">
        <v>67</v>
      </c>
      <c r="DA1308" t="s">
        <v>68</v>
      </c>
      <c r="DB1308">
        <v>89</v>
      </c>
      <c r="DC1308">
        <v>106.03</v>
      </c>
      <c r="DD1308" t="s">
        <v>69</v>
      </c>
      <c r="DE1308" t="s">
        <v>70</v>
      </c>
      <c r="DF1308">
        <v>9436.67</v>
      </c>
    </row>
    <row r="1309" spans="100:110" x14ac:dyDescent="0.25">
      <c r="CV1309" t="s">
        <v>64</v>
      </c>
      <c r="CW1309" t="s">
        <v>1382</v>
      </c>
      <c r="CX1309" t="s">
        <v>19</v>
      </c>
      <c r="CY1309" s="4">
        <v>43451</v>
      </c>
      <c r="CZ1309" t="s">
        <v>65</v>
      </c>
      <c r="DA1309" t="s">
        <v>66</v>
      </c>
      <c r="DB1309">
        <v>131</v>
      </c>
      <c r="DC1309">
        <v>102.89</v>
      </c>
      <c r="DD1309" t="s">
        <v>69</v>
      </c>
      <c r="DE1309" t="s">
        <v>70</v>
      </c>
      <c r="DF1309">
        <v>13478.59</v>
      </c>
    </row>
    <row r="1310" spans="100:110" x14ac:dyDescent="0.25">
      <c r="CV1310" t="s">
        <v>64</v>
      </c>
      <c r="CW1310" t="s">
        <v>1383</v>
      </c>
      <c r="CX1310" t="s">
        <v>19</v>
      </c>
      <c r="CY1310" s="4">
        <v>43452</v>
      </c>
      <c r="CZ1310" t="s">
        <v>67</v>
      </c>
      <c r="DA1310" t="s">
        <v>68</v>
      </c>
      <c r="DB1310">
        <v>8</v>
      </c>
      <c r="DC1310">
        <v>103.97</v>
      </c>
      <c r="DD1310" t="s">
        <v>69</v>
      </c>
      <c r="DE1310" t="s">
        <v>70</v>
      </c>
      <c r="DF1310">
        <v>831.76</v>
      </c>
    </row>
    <row r="1311" spans="100:110" x14ac:dyDescent="0.25">
      <c r="CV1311" t="s">
        <v>64</v>
      </c>
      <c r="CW1311" t="s">
        <v>1384</v>
      </c>
      <c r="CX1311" t="s">
        <v>19</v>
      </c>
      <c r="CY1311" s="4">
        <v>43453</v>
      </c>
      <c r="CZ1311" t="s">
        <v>67</v>
      </c>
      <c r="DA1311" t="s">
        <v>68</v>
      </c>
      <c r="DB1311">
        <v>154</v>
      </c>
      <c r="DC1311">
        <v>103.69</v>
      </c>
      <c r="DD1311" t="s">
        <v>69</v>
      </c>
      <c r="DE1311" t="s">
        <v>70</v>
      </c>
      <c r="DF1311">
        <v>15968.26</v>
      </c>
    </row>
    <row r="1312" spans="100:110" x14ac:dyDescent="0.25">
      <c r="CV1312" t="s">
        <v>64</v>
      </c>
      <c r="CW1312" t="s">
        <v>1385</v>
      </c>
      <c r="CX1312" t="s">
        <v>19</v>
      </c>
      <c r="CY1312" s="4">
        <v>43454</v>
      </c>
      <c r="CZ1312" t="s">
        <v>65</v>
      </c>
      <c r="DA1312" t="s">
        <v>66</v>
      </c>
      <c r="DB1312">
        <v>4</v>
      </c>
      <c r="DC1312">
        <v>101.51</v>
      </c>
      <c r="DD1312" t="s">
        <v>69</v>
      </c>
      <c r="DE1312" t="s">
        <v>70</v>
      </c>
      <c r="DF1312">
        <v>406.04</v>
      </c>
    </row>
    <row r="1313" spans="100:110" x14ac:dyDescent="0.25">
      <c r="CV1313" t="s">
        <v>64</v>
      </c>
      <c r="CW1313" t="s">
        <v>1386</v>
      </c>
      <c r="CX1313" t="s">
        <v>19</v>
      </c>
      <c r="CY1313" s="4">
        <v>43455</v>
      </c>
      <c r="CZ1313" t="s">
        <v>67</v>
      </c>
      <c r="DA1313" t="s">
        <v>68</v>
      </c>
      <c r="DB1313">
        <v>9</v>
      </c>
      <c r="DC1313">
        <v>98.23</v>
      </c>
      <c r="DD1313" t="s">
        <v>69</v>
      </c>
      <c r="DE1313" t="s">
        <v>70</v>
      </c>
      <c r="DF1313">
        <v>884.07</v>
      </c>
    </row>
    <row r="1314" spans="100:110" x14ac:dyDescent="0.25">
      <c r="CV1314" t="s">
        <v>64</v>
      </c>
      <c r="CW1314" t="s">
        <v>1387</v>
      </c>
      <c r="CX1314" t="s">
        <v>19</v>
      </c>
      <c r="CY1314" s="4">
        <v>43458</v>
      </c>
      <c r="CZ1314" t="s">
        <v>65</v>
      </c>
      <c r="DA1314" t="s">
        <v>66</v>
      </c>
      <c r="DB1314">
        <v>101</v>
      </c>
      <c r="DC1314">
        <v>94.13</v>
      </c>
      <c r="DD1314" t="s">
        <v>69</v>
      </c>
      <c r="DE1314" t="s">
        <v>70</v>
      </c>
      <c r="DF1314">
        <v>9507.1299999999992</v>
      </c>
    </row>
    <row r="1315" spans="100:110" x14ac:dyDescent="0.25">
      <c r="CV1315" t="s">
        <v>64</v>
      </c>
      <c r="CW1315" t="s">
        <v>1388</v>
      </c>
      <c r="CX1315" t="s">
        <v>19</v>
      </c>
      <c r="CY1315" s="4">
        <v>43460</v>
      </c>
      <c r="CZ1315" t="s">
        <v>65</v>
      </c>
      <c r="DA1315" t="s">
        <v>66</v>
      </c>
      <c r="DB1315">
        <v>34</v>
      </c>
      <c r="DC1315">
        <v>100.56</v>
      </c>
      <c r="DD1315" t="s">
        <v>69</v>
      </c>
      <c r="DE1315" t="s">
        <v>70</v>
      </c>
      <c r="DF1315">
        <v>3419.04</v>
      </c>
    </row>
    <row r="1316" spans="100:110" x14ac:dyDescent="0.25">
      <c r="CV1316" t="s">
        <v>64</v>
      </c>
      <c r="CW1316" t="s">
        <v>1389</v>
      </c>
      <c r="CX1316" t="s">
        <v>19</v>
      </c>
      <c r="CY1316" s="4">
        <v>43461</v>
      </c>
      <c r="CZ1316" t="s">
        <v>67</v>
      </c>
      <c r="DA1316" t="s">
        <v>68</v>
      </c>
      <c r="DB1316">
        <v>145</v>
      </c>
      <c r="DC1316">
        <v>101.18</v>
      </c>
      <c r="DD1316" t="s">
        <v>69</v>
      </c>
      <c r="DE1316" t="s">
        <v>70</v>
      </c>
      <c r="DF1316">
        <v>14671.1</v>
      </c>
    </row>
    <row r="1317" spans="100:110" x14ac:dyDescent="0.25">
      <c r="CV1317" t="s">
        <v>64</v>
      </c>
      <c r="CW1317" t="s">
        <v>1390</v>
      </c>
      <c r="CX1317" t="s">
        <v>19</v>
      </c>
      <c r="CY1317" s="4">
        <v>43462</v>
      </c>
      <c r="CZ1317" t="s">
        <v>65</v>
      </c>
      <c r="DA1317" t="s">
        <v>66</v>
      </c>
      <c r="DB1317">
        <v>14</v>
      </c>
      <c r="DC1317">
        <v>100.39</v>
      </c>
      <c r="DD1317" t="s">
        <v>69</v>
      </c>
      <c r="DE1317" t="s">
        <v>70</v>
      </c>
      <c r="DF1317">
        <v>1405.46</v>
      </c>
    </row>
    <row r="1318" spans="100:110" x14ac:dyDescent="0.25">
      <c r="CV1318" t="s">
        <v>64</v>
      </c>
      <c r="CW1318" t="s">
        <v>1391</v>
      </c>
      <c r="CX1318" t="s">
        <v>19</v>
      </c>
      <c r="CY1318" s="4">
        <v>43465</v>
      </c>
      <c r="CZ1318" t="s">
        <v>67</v>
      </c>
      <c r="DA1318" t="s">
        <v>68</v>
      </c>
      <c r="DB1318">
        <v>8</v>
      </c>
      <c r="DC1318">
        <v>101.57</v>
      </c>
      <c r="DD1318" t="s">
        <v>69</v>
      </c>
      <c r="DE1318" t="s">
        <v>70</v>
      </c>
      <c r="DF1318">
        <v>812.56</v>
      </c>
    </row>
    <row r="1319" spans="100:110" x14ac:dyDescent="0.25">
      <c r="CV1319" t="s">
        <v>64</v>
      </c>
      <c r="CW1319" t="s">
        <v>1392</v>
      </c>
      <c r="CX1319" t="s">
        <v>20</v>
      </c>
      <c r="CY1319" s="4">
        <v>42738</v>
      </c>
      <c r="CZ1319" t="s">
        <v>65</v>
      </c>
      <c r="DA1319" t="s">
        <v>66</v>
      </c>
      <c r="DB1319">
        <v>1000</v>
      </c>
      <c r="DC1319">
        <v>50.72</v>
      </c>
      <c r="DD1319" t="s">
        <v>69</v>
      </c>
      <c r="DE1319" t="s">
        <v>70</v>
      </c>
      <c r="DF1319">
        <v>50720</v>
      </c>
    </row>
    <row r="1320" spans="100:110" x14ac:dyDescent="0.25">
      <c r="CV1320" t="s">
        <v>64</v>
      </c>
      <c r="CW1320" t="s">
        <v>1393</v>
      </c>
      <c r="CX1320" t="s">
        <v>20</v>
      </c>
      <c r="CY1320" s="4">
        <v>42739</v>
      </c>
      <c r="CZ1320" t="s">
        <v>65</v>
      </c>
      <c r="DA1320" t="s">
        <v>66</v>
      </c>
      <c r="DB1320">
        <v>25</v>
      </c>
      <c r="DC1320">
        <v>51.79</v>
      </c>
      <c r="DD1320" t="s">
        <v>69</v>
      </c>
      <c r="DE1320" t="s">
        <v>70</v>
      </c>
      <c r="DF1320">
        <v>1294.75</v>
      </c>
    </row>
    <row r="1321" spans="100:110" x14ac:dyDescent="0.25">
      <c r="CV1321" t="s">
        <v>64</v>
      </c>
      <c r="CW1321" t="s">
        <v>1394</v>
      </c>
      <c r="CX1321" t="s">
        <v>20</v>
      </c>
      <c r="CY1321" s="4">
        <v>42740</v>
      </c>
      <c r="CZ1321" t="s">
        <v>65</v>
      </c>
      <c r="DA1321" t="s">
        <v>66</v>
      </c>
      <c r="DB1321">
        <v>34</v>
      </c>
      <c r="DC1321">
        <v>51.78</v>
      </c>
      <c r="DD1321" t="s">
        <v>69</v>
      </c>
      <c r="DE1321" t="s">
        <v>70</v>
      </c>
      <c r="DF1321">
        <v>1760.52</v>
      </c>
    </row>
    <row r="1322" spans="100:110" x14ac:dyDescent="0.25">
      <c r="CV1322" t="s">
        <v>64</v>
      </c>
      <c r="CW1322" t="s">
        <v>1395</v>
      </c>
      <c r="CX1322" t="s">
        <v>20</v>
      </c>
      <c r="CY1322" s="4">
        <v>42741</v>
      </c>
      <c r="CZ1322" t="s">
        <v>65</v>
      </c>
      <c r="DA1322" t="s">
        <v>66</v>
      </c>
      <c r="DB1322">
        <v>13</v>
      </c>
      <c r="DC1322">
        <v>52.61</v>
      </c>
      <c r="DD1322" t="s">
        <v>69</v>
      </c>
      <c r="DE1322" t="s">
        <v>70</v>
      </c>
      <c r="DF1322">
        <v>683.93</v>
      </c>
    </row>
    <row r="1323" spans="100:110" x14ac:dyDescent="0.25">
      <c r="CV1323" t="s">
        <v>64</v>
      </c>
      <c r="CW1323" t="s">
        <v>1396</v>
      </c>
      <c r="CX1323" t="s">
        <v>20</v>
      </c>
      <c r="CY1323" s="4">
        <v>42744</v>
      </c>
      <c r="CZ1323" t="s">
        <v>67</v>
      </c>
      <c r="DA1323" t="s">
        <v>68</v>
      </c>
      <c r="DB1323">
        <v>60</v>
      </c>
      <c r="DC1323">
        <v>52.09</v>
      </c>
      <c r="DD1323" t="s">
        <v>69</v>
      </c>
      <c r="DE1323" t="s">
        <v>70</v>
      </c>
      <c r="DF1323">
        <v>3125.4</v>
      </c>
    </row>
    <row r="1324" spans="100:110" x14ac:dyDescent="0.25">
      <c r="CV1324" t="s">
        <v>64</v>
      </c>
      <c r="CW1324" t="s">
        <v>1397</v>
      </c>
      <c r="CX1324" t="s">
        <v>20</v>
      </c>
      <c r="CY1324" s="4">
        <v>42745</v>
      </c>
      <c r="CZ1324" t="s">
        <v>67</v>
      </c>
      <c r="DA1324" t="s">
        <v>68</v>
      </c>
      <c r="DB1324">
        <v>59</v>
      </c>
      <c r="DC1324">
        <v>51.83</v>
      </c>
      <c r="DD1324" t="s">
        <v>69</v>
      </c>
      <c r="DE1324" t="s">
        <v>70</v>
      </c>
      <c r="DF1324">
        <v>3057.97</v>
      </c>
    </row>
    <row r="1325" spans="100:110" x14ac:dyDescent="0.25">
      <c r="CV1325" t="s">
        <v>64</v>
      </c>
      <c r="CW1325" t="s">
        <v>1398</v>
      </c>
      <c r="CX1325" t="s">
        <v>20</v>
      </c>
      <c r="CY1325" s="4">
        <v>42746</v>
      </c>
      <c r="CZ1325" t="s">
        <v>67</v>
      </c>
      <c r="DA1325" t="s">
        <v>68</v>
      </c>
      <c r="DB1325">
        <v>44</v>
      </c>
      <c r="DC1325">
        <v>51.42</v>
      </c>
      <c r="DD1325" t="s">
        <v>69</v>
      </c>
      <c r="DE1325" t="s">
        <v>70</v>
      </c>
      <c r="DF1325">
        <v>2262.48</v>
      </c>
    </row>
    <row r="1326" spans="100:110" x14ac:dyDescent="0.25">
      <c r="CV1326" t="s">
        <v>64</v>
      </c>
      <c r="CW1326" t="s">
        <v>1399</v>
      </c>
      <c r="CX1326" t="s">
        <v>20</v>
      </c>
      <c r="CY1326" s="4">
        <v>42747</v>
      </c>
      <c r="CZ1326" t="s">
        <v>65</v>
      </c>
      <c r="DA1326" t="s">
        <v>66</v>
      </c>
      <c r="DB1326">
        <v>172</v>
      </c>
      <c r="DC1326">
        <v>51.13</v>
      </c>
      <c r="DD1326" t="s">
        <v>69</v>
      </c>
      <c r="DE1326" t="s">
        <v>70</v>
      </c>
      <c r="DF1326">
        <v>8794.36</v>
      </c>
    </row>
    <row r="1327" spans="100:110" x14ac:dyDescent="0.25">
      <c r="CV1327" t="s">
        <v>64</v>
      </c>
      <c r="CW1327" t="s">
        <v>1400</v>
      </c>
      <c r="CX1327" t="s">
        <v>20</v>
      </c>
      <c r="CY1327" s="4">
        <v>42748</v>
      </c>
      <c r="CZ1327" t="s">
        <v>67</v>
      </c>
      <c r="DA1327" t="s">
        <v>68</v>
      </c>
      <c r="DB1327">
        <v>79</v>
      </c>
      <c r="DC1327">
        <v>51.64</v>
      </c>
      <c r="DD1327" t="s">
        <v>69</v>
      </c>
      <c r="DE1327" t="s">
        <v>70</v>
      </c>
      <c r="DF1327">
        <v>4079.56</v>
      </c>
    </row>
    <row r="1328" spans="100:110" x14ac:dyDescent="0.25">
      <c r="CV1328" t="s">
        <v>64</v>
      </c>
      <c r="CW1328" t="s">
        <v>1401</v>
      </c>
      <c r="CX1328" t="s">
        <v>20</v>
      </c>
      <c r="CY1328" s="4">
        <v>42752</v>
      </c>
      <c r="CZ1328" t="s">
        <v>65</v>
      </c>
      <c r="DA1328" t="s">
        <v>66</v>
      </c>
      <c r="DB1328">
        <v>52</v>
      </c>
      <c r="DC1328">
        <v>52.35</v>
      </c>
      <c r="DD1328" t="s">
        <v>69</v>
      </c>
      <c r="DE1328" t="s">
        <v>70</v>
      </c>
      <c r="DF1328">
        <v>2722.2000000000003</v>
      </c>
    </row>
    <row r="1329" spans="100:110" x14ac:dyDescent="0.25">
      <c r="CV1329" t="s">
        <v>64</v>
      </c>
      <c r="CW1329" t="s">
        <v>1402</v>
      </c>
      <c r="CX1329" t="s">
        <v>20</v>
      </c>
      <c r="CY1329" s="4">
        <v>42753</v>
      </c>
      <c r="CZ1329" t="s">
        <v>67</v>
      </c>
      <c r="DA1329" t="s">
        <v>68</v>
      </c>
      <c r="DB1329">
        <v>107</v>
      </c>
      <c r="DC1329">
        <v>51.98</v>
      </c>
      <c r="DD1329" t="s">
        <v>69</v>
      </c>
      <c r="DE1329" t="s">
        <v>70</v>
      </c>
      <c r="DF1329">
        <v>5561.86</v>
      </c>
    </row>
    <row r="1330" spans="100:110" x14ac:dyDescent="0.25">
      <c r="CV1330" t="s">
        <v>64</v>
      </c>
      <c r="CW1330" t="s">
        <v>1403</v>
      </c>
      <c r="CX1330" t="s">
        <v>20</v>
      </c>
      <c r="CY1330" s="4">
        <v>42754</v>
      </c>
      <c r="CZ1330" t="s">
        <v>67</v>
      </c>
      <c r="DA1330" t="s">
        <v>68</v>
      </c>
      <c r="DB1330">
        <v>34</v>
      </c>
      <c r="DC1330">
        <v>51.65</v>
      </c>
      <c r="DD1330" t="s">
        <v>69</v>
      </c>
      <c r="DE1330" t="s">
        <v>70</v>
      </c>
      <c r="DF1330">
        <v>1756.1</v>
      </c>
    </row>
    <row r="1331" spans="100:110" x14ac:dyDescent="0.25">
      <c r="CV1331" t="s">
        <v>64</v>
      </c>
      <c r="CW1331" t="s">
        <v>1404</v>
      </c>
      <c r="CX1331" t="s">
        <v>20</v>
      </c>
      <c r="CY1331" s="4">
        <v>42755</v>
      </c>
      <c r="CZ1331" t="s">
        <v>65</v>
      </c>
      <c r="DA1331" t="s">
        <v>66</v>
      </c>
      <c r="DB1331">
        <v>173</v>
      </c>
      <c r="DC1331">
        <v>51.91</v>
      </c>
      <c r="DD1331" t="s">
        <v>69</v>
      </c>
      <c r="DE1331" t="s">
        <v>70</v>
      </c>
      <c r="DF1331">
        <v>8980.43</v>
      </c>
    </row>
    <row r="1332" spans="100:110" x14ac:dyDescent="0.25">
      <c r="CV1332" t="s">
        <v>64</v>
      </c>
      <c r="CW1332" t="s">
        <v>1405</v>
      </c>
      <c r="CX1332" t="s">
        <v>20</v>
      </c>
      <c r="CY1332" s="4">
        <v>42758</v>
      </c>
      <c r="CZ1332" t="s">
        <v>67</v>
      </c>
      <c r="DA1332" t="s">
        <v>68</v>
      </c>
      <c r="DB1332">
        <v>186</v>
      </c>
      <c r="DC1332">
        <v>51.95</v>
      </c>
      <c r="DD1332" t="s">
        <v>69</v>
      </c>
      <c r="DE1332" t="s">
        <v>70</v>
      </c>
      <c r="DF1332">
        <v>9662.7000000000007</v>
      </c>
    </row>
    <row r="1333" spans="100:110" x14ac:dyDescent="0.25">
      <c r="CV1333" t="s">
        <v>64</v>
      </c>
      <c r="CW1333" t="s">
        <v>1406</v>
      </c>
      <c r="CX1333" t="s">
        <v>20</v>
      </c>
      <c r="CY1333" s="4">
        <v>42759</v>
      </c>
      <c r="CZ1333" t="s">
        <v>65</v>
      </c>
      <c r="DA1333" t="s">
        <v>66</v>
      </c>
      <c r="DB1333">
        <v>132</v>
      </c>
      <c r="DC1333">
        <v>52.16</v>
      </c>
      <c r="DD1333" t="s">
        <v>69</v>
      </c>
      <c r="DE1333" t="s">
        <v>70</v>
      </c>
      <c r="DF1333">
        <v>6885.12</v>
      </c>
    </row>
    <row r="1334" spans="100:110" x14ac:dyDescent="0.25">
      <c r="CV1334" t="s">
        <v>64</v>
      </c>
      <c r="CW1334" t="s">
        <v>1407</v>
      </c>
      <c r="CX1334" t="s">
        <v>20</v>
      </c>
      <c r="CY1334" s="4">
        <v>42760</v>
      </c>
      <c r="CZ1334" t="s">
        <v>67</v>
      </c>
      <c r="DA1334" t="s">
        <v>68</v>
      </c>
      <c r="DB1334">
        <v>2</v>
      </c>
      <c r="DC1334">
        <v>52.56</v>
      </c>
      <c r="DD1334" t="s">
        <v>69</v>
      </c>
      <c r="DE1334" t="s">
        <v>70</v>
      </c>
      <c r="DF1334">
        <v>105.12</v>
      </c>
    </row>
    <row r="1335" spans="100:110" x14ac:dyDescent="0.25">
      <c r="CV1335" t="s">
        <v>64</v>
      </c>
      <c r="CW1335" t="s">
        <v>1408</v>
      </c>
      <c r="CX1335" t="s">
        <v>20</v>
      </c>
      <c r="CY1335" s="4">
        <v>42761</v>
      </c>
      <c r="CZ1335" t="s">
        <v>67</v>
      </c>
      <c r="DA1335" t="s">
        <v>68</v>
      </c>
      <c r="DB1335">
        <v>86</v>
      </c>
      <c r="DC1335">
        <v>52.35</v>
      </c>
      <c r="DD1335" t="s">
        <v>69</v>
      </c>
      <c r="DE1335" t="s">
        <v>70</v>
      </c>
      <c r="DF1335">
        <v>4502.1000000000004</v>
      </c>
    </row>
    <row r="1336" spans="100:110" x14ac:dyDescent="0.25">
      <c r="CV1336" t="s">
        <v>64</v>
      </c>
      <c r="CW1336" t="s">
        <v>1409</v>
      </c>
      <c r="CX1336" t="s">
        <v>20</v>
      </c>
      <c r="CY1336" s="4">
        <v>42762</v>
      </c>
      <c r="CZ1336" t="s">
        <v>65</v>
      </c>
      <c r="DA1336" t="s">
        <v>66</v>
      </c>
      <c r="DB1336">
        <v>130</v>
      </c>
      <c r="DC1336">
        <v>51.9</v>
      </c>
      <c r="DD1336" t="s">
        <v>69</v>
      </c>
      <c r="DE1336" t="s">
        <v>70</v>
      </c>
      <c r="DF1336">
        <v>6747</v>
      </c>
    </row>
    <row r="1337" spans="100:110" x14ac:dyDescent="0.25">
      <c r="CV1337" t="s">
        <v>64</v>
      </c>
      <c r="CW1337" t="s">
        <v>1410</v>
      </c>
      <c r="CX1337" t="s">
        <v>20</v>
      </c>
      <c r="CY1337" s="4">
        <v>42765</v>
      </c>
      <c r="CZ1337" t="s">
        <v>67</v>
      </c>
      <c r="DA1337" t="s">
        <v>68</v>
      </c>
      <c r="DB1337">
        <v>119</v>
      </c>
      <c r="DC1337">
        <v>51.8</v>
      </c>
      <c r="DD1337" t="s">
        <v>69</v>
      </c>
      <c r="DE1337" t="s">
        <v>70</v>
      </c>
      <c r="DF1337">
        <v>6164.2</v>
      </c>
    </row>
    <row r="1338" spans="100:110" x14ac:dyDescent="0.25">
      <c r="CV1338" t="s">
        <v>64</v>
      </c>
      <c r="CW1338" t="s">
        <v>1411</v>
      </c>
      <c r="CX1338" t="s">
        <v>20</v>
      </c>
      <c r="CY1338" s="4">
        <v>42766</v>
      </c>
      <c r="CZ1338" t="s">
        <v>65</v>
      </c>
      <c r="DA1338" t="s">
        <v>66</v>
      </c>
      <c r="DB1338">
        <v>125</v>
      </c>
      <c r="DC1338">
        <v>51.62</v>
      </c>
      <c r="DD1338" t="s">
        <v>69</v>
      </c>
      <c r="DE1338" t="s">
        <v>70</v>
      </c>
      <c r="DF1338">
        <v>6452.5</v>
      </c>
    </row>
    <row r="1339" spans="100:110" x14ac:dyDescent="0.25">
      <c r="CV1339" t="s">
        <v>64</v>
      </c>
      <c r="CW1339" t="s">
        <v>1412</v>
      </c>
      <c r="CX1339" t="s">
        <v>20</v>
      </c>
      <c r="CY1339" s="4">
        <v>42767</v>
      </c>
      <c r="CZ1339" t="s">
        <v>65</v>
      </c>
      <c r="DA1339" t="s">
        <v>66</v>
      </c>
      <c r="DB1339">
        <v>13</v>
      </c>
      <c r="DC1339">
        <v>51.74</v>
      </c>
      <c r="DD1339" t="s">
        <v>69</v>
      </c>
      <c r="DE1339" t="s">
        <v>70</v>
      </c>
      <c r="DF1339">
        <v>672.62</v>
      </c>
    </row>
    <row r="1340" spans="100:110" x14ac:dyDescent="0.25">
      <c r="CV1340" t="s">
        <v>64</v>
      </c>
      <c r="CW1340" t="s">
        <v>1413</v>
      </c>
      <c r="CX1340" t="s">
        <v>20</v>
      </c>
      <c r="CY1340" s="4">
        <v>42768</v>
      </c>
      <c r="CZ1340" t="s">
        <v>67</v>
      </c>
      <c r="DA1340" t="s">
        <v>68</v>
      </c>
      <c r="DB1340">
        <v>24</v>
      </c>
      <c r="DC1340">
        <v>51.52</v>
      </c>
      <c r="DD1340" t="s">
        <v>69</v>
      </c>
      <c r="DE1340" t="s">
        <v>70</v>
      </c>
      <c r="DF1340">
        <v>1236.48</v>
      </c>
    </row>
    <row r="1341" spans="100:110" x14ac:dyDescent="0.25">
      <c r="CV1341" t="s">
        <v>64</v>
      </c>
      <c r="CW1341" t="s">
        <v>1414</v>
      </c>
      <c r="CX1341" t="s">
        <v>20</v>
      </c>
      <c r="CY1341" s="4">
        <v>42769</v>
      </c>
      <c r="CZ1341" t="s">
        <v>65</v>
      </c>
      <c r="DA1341" t="s">
        <v>66</v>
      </c>
      <c r="DB1341">
        <v>2</v>
      </c>
      <c r="DC1341">
        <v>51.09</v>
      </c>
      <c r="DD1341" t="s">
        <v>69</v>
      </c>
      <c r="DE1341" t="s">
        <v>70</v>
      </c>
      <c r="DF1341">
        <v>102.18</v>
      </c>
    </row>
    <row r="1342" spans="100:110" x14ac:dyDescent="0.25">
      <c r="CV1342" t="s">
        <v>64</v>
      </c>
      <c r="CW1342" t="s">
        <v>1415</v>
      </c>
      <c r="CX1342" t="s">
        <v>20</v>
      </c>
      <c r="CY1342" s="4">
        <v>42772</v>
      </c>
      <c r="CZ1342" t="s">
        <v>67</v>
      </c>
      <c r="DA1342" t="s">
        <v>68</v>
      </c>
      <c r="DB1342">
        <v>116</v>
      </c>
      <c r="DC1342">
        <v>51.52</v>
      </c>
      <c r="DD1342" t="s">
        <v>69</v>
      </c>
      <c r="DE1342" t="s">
        <v>70</v>
      </c>
      <c r="DF1342">
        <v>5976.3200000000006</v>
      </c>
    </row>
    <row r="1343" spans="100:110" x14ac:dyDescent="0.25">
      <c r="CV1343" t="s">
        <v>64</v>
      </c>
      <c r="CW1343" t="s">
        <v>1416</v>
      </c>
      <c r="CX1343" t="s">
        <v>20</v>
      </c>
      <c r="CY1343" s="4">
        <v>42773</v>
      </c>
      <c r="CZ1343" t="s">
        <v>67</v>
      </c>
      <c r="DA1343" t="s">
        <v>68</v>
      </c>
      <c r="DB1343">
        <v>14</v>
      </c>
      <c r="DC1343">
        <v>51.53</v>
      </c>
      <c r="DD1343" t="s">
        <v>69</v>
      </c>
      <c r="DE1343" t="s">
        <v>70</v>
      </c>
      <c r="DF1343">
        <v>721.42000000000007</v>
      </c>
    </row>
    <row r="1344" spans="100:110" x14ac:dyDescent="0.25">
      <c r="CV1344" t="s">
        <v>64</v>
      </c>
      <c r="CW1344" t="s">
        <v>1417</v>
      </c>
      <c r="CX1344" t="s">
        <v>20</v>
      </c>
      <c r="CY1344" s="4">
        <v>42774</v>
      </c>
      <c r="CZ1344" t="s">
        <v>65</v>
      </c>
      <c r="DA1344" t="s">
        <v>66</v>
      </c>
      <c r="DB1344">
        <v>27</v>
      </c>
      <c r="DC1344">
        <v>52.58</v>
      </c>
      <c r="DD1344" t="s">
        <v>69</v>
      </c>
      <c r="DE1344" t="s">
        <v>70</v>
      </c>
      <c r="DF1344">
        <v>1419.6599999999999</v>
      </c>
    </row>
    <row r="1345" spans="100:110" x14ac:dyDescent="0.25">
      <c r="CV1345" t="s">
        <v>64</v>
      </c>
      <c r="CW1345" t="s">
        <v>1418</v>
      </c>
      <c r="CX1345" t="s">
        <v>20</v>
      </c>
      <c r="CY1345" s="4">
        <v>42775</v>
      </c>
      <c r="CZ1345" t="s">
        <v>65</v>
      </c>
      <c r="DA1345" t="s">
        <v>66</v>
      </c>
      <c r="DB1345">
        <v>132</v>
      </c>
      <c r="DC1345">
        <v>53.97</v>
      </c>
      <c r="DD1345" t="s">
        <v>69</v>
      </c>
      <c r="DE1345" t="s">
        <v>70</v>
      </c>
      <c r="DF1345">
        <v>7124.04</v>
      </c>
    </row>
    <row r="1346" spans="100:110" x14ac:dyDescent="0.25">
      <c r="CV1346" t="s">
        <v>64</v>
      </c>
      <c r="CW1346" t="s">
        <v>1419</v>
      </c>
      <c r="CX1346" t="s">
        <v>20</v>
      </c>
      <c r="CY1346" s="4">
        <v>42776</v>
      </c>
      <c r="CZ1346" t="s">
        <v>67</v>
      </c>
      <c r="DA1346" t="s">
        <v>68</v>
      </c>
      <c r="DB1346">
        <v>108</v>
      </c>
      <c r="DC1346">
        <v>54.86</v>
      </c>
      <c r="DD1346" t="s">
        <v>69</v>
      </c>
      <c r="DE1346" t="s">
        <v>70</v>
      </c>
      <c r="DF1346">
        <v>5924.88</v>
      </c>
    </row>
    <row r="1347" spans="100:110" x14ac:dyDescent="0.25">
      <c r="CV1347" t="s">
        <v>64</v>
      </c>
      <c r="CW1347" t="s">
        <v>1420</v>
      </c>
      <c r="CX1347" t="s">
        <v>20</v>
      </c>
      <c r="CY1347" s="4">
        <v>42779</v>
      </c>
      <c r="CZ1347" t="s">
        <v>65</v>
      </c>
      <c r="DA1347" t="s">
        <v>66</v>
      </c>
      <c r="DB1347">
        <v>5</v>
      </c>
      <c r="DC1347">
        <v>54.73</v>
      </c>
      <c r="DD1347" t="s">
        <v>69</v>
      </c>
      <c r="DE1347" t="s">
        <v>70</v>
      </c>
      <c r="DF1347">
        <v>273.64999999999998</v>
      </c>
    </row>
    <row r="1348" spans="100:110" x14ac:dyDescent="0.25">
      <c r="CV1348" t="s">
        <v>64</v>
      </c>
      <c r="CW1348" t="s">
        <v>1421</v>
      </c>
      <c r="CX1348" t="s">
        <v>20</v>
      </c>
      <c r="CY1348" s="4">
        <v>42780</v>
      </c>
      <c r="CZ1348" t="s">
        <v>65</v>
      </c>
      <c r="DA1348" t="s">
        <v>66</v>
      </c>
      <c r="DB1348">
        <v>2</v>
      </c>
      <c r="DC1348">
        <v>55.08</v>
      </c>
      <c r="DD1348" t="s">
        <v>69</v>
      </c>
      <c r="DE1348" t="s">
        <v>70</v>
      </c>
      <c r="DF1348">
        <v>110.16</v>
      </c>
    </row>
    <row r="1349" spans="100:110" x14ac:dyDescent="0.25">
      <c r="CV1349" t="s">
        <v>64</v>
      </c>
      <c r="CW1349" t="s">
        <v>1422</v>
      </c>
      <c r="CX1349" t="s">
        <v>20</v>
      </c>
      <c r="CY1349" s="4">
        <v>42781</v>
      </c>
      <c r="CZ1349" t="s">
        <v>67</v>
      </c>
      <c r="DA1349" t="s">
        <v>68</v>
      </c>
      <c r="DB1349">
        <v>88</v>
      </c>
      <c r="DC1349">
        <v>55.27</v>
      </c>
      <c r="DD1349" t="s">
        <v>69</v>
      </c>
      <c r="DE1349" t="s">
        <v>70</v>
      </c>
      <c r="DF1349">
        <v>4863.76</v>
      </c>
    </row>
    <row r="1350" spans="100:110" x14ac:dyDescent="0.25">
      <c r="CV1350" t="s">
        <v>64</v>
      </c>
      <c r="CW1350" t="s">
        <v>1423</v>
      </c>
      <c r="CX1350" t="s">
        <v>20</v>
      </c>
      <c r="CY1350" s="4">
        <v>42782</v>
      </c>
      <c r="CZ1350" t="s">
        <v>65</v>
      </c>
      <c r="DA1350" t="s">
        <v>66</v>
      </c>
      <c r="DB1350">
        <v>47</v>
      </c>
      <c r="DC1350">
        <v>54.93</v>
      </c>
      <c r="DD1350" t="s">
        <v>69</v>
      </c>
      <c r="DE1350" t="s">
        <v>70</v>
      </c>
      <c r="DF1350">
        <v>2581.71</v>
      </c>
    </row>
    <row r="1351" spans="100:110" x14ac:dyDescent="0.25">
      <c r="CV1351" t="s">
        <v>64</v>
      </c>
      <c r="CW1351" t="s">
        <v>1424</v>
      </c>
      <c r="CX1351" t="s">
        <v>20</v>
      </c>
      <c r="CY1351" s="4">
        <v>42783</v>
      </c>
      <c r="CZ1351" t="s">
        <v>65</v>
      </c>
      <c r="DA1351" t="s">
        <v>66</v>
      </c>
      <c r="DB1351">
        <v>141</v>
      </c>
      <c r="DC1351">
        <v>55.38</v>
      </c>
      <c r="DD1351" t="s">
        <v>69</v>
      </c>
      <c r="DE1351" t="s">
        <v>70</v>
      </c>
      <c r="DF1351">
        <v>7808.58</v>
      </c>
    </row>
    <row r="1352" spans="100:110" x14ac:dyDescent="0.25">
      <c r="CV1352" t="s">
        <v>64</v>
      </c>
      <c r="CW1352" t="s">
        <v>1425</v>
      </c>
      <c r="CX1352" t="s">
        <v>20</v>
      </c>
      <c r="CY1352" s="4">
        <v>42787</v>
      </c>
      <c r="CZ1352" t="s">
        <v>67</v>
      </c>
      <c r="DA1352" t="s">
        <v>68</v>
      </c>
      <c r="DB1352">
        <v>161</v>
      </c>
      <c r="DC1352">
        <v>55.97</v>
      </c>
      <c r="DD1352" t="s">
        <v>69</v>
      </c>
      <c r="DE1352" t="s">
        <v>70</v>
      </c>
      <c r="DF1352">
        <v>9011.17</v>
      </c>
    </row>
    <row r="1353" spans="100:110" x14ac:dyDescent="0.25">
      <c r="CV1353" t="s">
        <v>64</v>
      </c>
      <c r="CW1353" t="s">
        <v>1426</v>
      </c>
      <c r="CX1353" t="s">
        <v>20</v>
      </c>
      <c r="CY1353" s="4">
        <v>42788</v>
      </c>
      <c r="CZ1353" t="s">
        <v>65</v>
      </c>
      <c r="DA1353" t="s">
        <v>66</v>
      </c>
      <c r="DB1353">
        <v>129</v>
      </c>
      <c r="DC1353">
        <v>56.83</v>
      </c>
      <c r="DD1353" t="s">
        <v>69</v>
      </c>
      <c r="DE1353" t="s">
        <v>70</v>
      </c>
      <c r="DF1353">
        <v>7331.07</v>
      </c>
    </row>
    <row r="1354" spans="100:110" x14ac:dyDescent="0.25">
      <c r="CV1354" t="s">
        <v>64</v>
      </c>
      <c r="CW1354" t="s">
        <v>1427</v>
      </c>
      <c r="CX1354" t="s">
        <v>20</v>
      </c>
      <c r="CY1354" s="4">
        <v>42789</v>
      </c>
      <c r="CZ1354" t="s">
        <v>67</v>
      </c>
      <c r="DA1354" t="s">
        <v>68</v>
      </c>
      <c r="DB1354">
        <v>87</v>
      </c>
      <c r="DC1354">
        <v>56</v>
      </c>
      <c r="DD1354" t="s">
        <v>69</v>
      </c>
      <c r="DE1354" t="s">
        <v>70</v>
      </c>
      <c r="DF1354">
        <v>4872</v>
      </c>
    </row>
    <row r="1355" spans="100:110" x14ac:dyDescent="0.25">
      <c r="CV1355" t="s">
        <v>64</v>
      </c>
      <c r="CW1355" t="s">
        <v>1428</v>
      </c>
      <c r="CX1355" t="s">
        <v>20</v>
      </c>
      <c r="CY1355" s="4">
        <v>42790</v>
      </c>
      <c r="CZ1355" t="s">
        <v>65</v>
      </c>
      <c r="DA1355" t="s">
        <v>66</v>
      </c>
      <c r="DB1355">
        <v>90</v>
      </c>
      <c r="DC1355">
        <v>56.46</v>
      </c>
      <c r="DD1355" t="s">
        <v>69</v>
      </c>
      <c r="DE1355" t="s">
        <v>70</v>
      </c>
      <c r="DF1355">
        <v>5081.3999999999996</v>
      </c>
    </row>
    <row r="1356" spans="100:110" x14ac:dyDescent="0.25">
      <c r="CV1356" t="s">
        <v>64</v>
      </c>
      <c r="CW1356" t="s">
        <v>1429</v>
      </c>
      <c r="CX1356" t="s">
        <v>20</v>
      </c>
      <c r="CY1356" s="4">
        <v>42793</v>
      </c>
      <c r="CZ1356" t="s">
        <v>67</v>
      </c>
      <c r="DA1356" t="s">
        <v>68</v>
      </c>
      <c r="DB1356">
        <v>92</v>
      </c>
      <c r="DC1356">
        <v>56.29</v>
      </c>
      <c r="DD1356" t="s">
        <v>69</v>
      </c>
      <c r="DE1356" t="s">
        <v>70</v>
      </c>
      <c r="DF1356">
        <v>5178.68</v>
      </c>
    </row>
    <row r="1357" spans="100:110" x14ac:dyDescent="0.25">
      <c r="CV1357" t="s">
        <v>64</v>
      </c>
      <c r="CW1357" t="s">
        <v>1430</v>
      </c>
      <c r="CX1357" t="s">
        <v>20</v>
      </c>
      <c r="CY1357" s="4">
        <v>42794</v>
      </c>
      <c r="CZ1357" t="s">
        <v>65</v>
      </c>
      <c r="DA1357" t="s">
        <v>66</v>
      </c>
      <c r="DB1357">
        <v>54</v>
      </c>
      <c r="DC1357">
        <v>55.78</v>
      </c>
      <c r="DD1357" t="s">
        <v>69</v>
      </c>
      <c r="DE1357" t="s">
        <v>70</v>
      </c>
      <c r="DF1357">
        <v>3012.12</v>
      </c>
    </row>
    <row r="1358" spans="100:110" x14ac:dyDescent="0.25">
      <c r="CV1358" t="s">
        <v>64</v>
      </c>
      <c r="CW1358" t="s">
        <v>1431</v>
      </c>
      <c r="CX1358" t="s">
        <v>20</v>
      </c>
      <c r="CY1358" s="4">
        <v>42795</v>
      </c>
      <c r="CZ1358" t="s">
        <v>67</v>
      </c>
      <c r="DA1358" t="s">
        <v>68</v>
      </c>
      <c r="DB1358">
        <v>28</v>
      </c>
      <c r="DC1358">
        <v>56.55</v>
      </c>
      <c r="DD1358" t="s">
        <v>69</v>
      </c>
      <c r="DE1358" t="s">
        <v>70</v>
      </c>
      <c r="DF1358">
        <v>1583.3999999999999</v>
      </c>
    </row>
    <row r="1359" spans="100:110" x14ac:dyDescent="0.25">
      <c r="CV1359" t="s">
        <v>64</v>
      </c>
      <c r="CW1359" t="s">
        <v>1432</v>
      </c>
      <c r="CX1359" t="s">
        <v>20</v>
      </c>
      <c r="CY1359" s="4">
        <v>42796</v>
      </c>
      <c r="CZ1359" t="s">
        <v>67</v>
      </c>
      <c r="DA1359" t="s">
        <v>68</v>
      </c>
      <c r="DB1359">
        <v>90</v>
      </c>
      <c r="DC1359">
        <v>56.58</v>
      </c>
      <c r="DD1359" t="s">
        <v>69</v>
      </c>
      <c r="DE1359" t="s">
        <v>70</v>
      </c>
      <c r="DF1359">
        <v>5092.2</v>
      </c>
    </row>
    <row r="1360" spans="100:110" x14ac:dyDescent="0.25">
      <c r="CV1360" t="s">
        <v>64</v>
      </c>
      <c r="CW1360" t="s">
        <v>1433</v>
      </c>
      <c r="CX1360" t="s">
        <v>20</v>
      </c>
      <c r="CY1360" s="4">
        <v>42797</v>
      </c>
      <c r="CZ1360" t="s">
        <v>67</v>
      </c>
      <c r="DA1360" t="s">
        <v>68</v>
      </c>
      <c r="DB1360">
        <v>4</v>
      </c>
      <c r="DC1360">
        <v>55.5</v>
      </c>
      <c r="DD1360" t="s">
        <v>69</v>
      </c>
      <c r="DE1360" t="s">
        <v>70</v>
      </c>
      <c r="DF1360">
        <v>222</v>
      </c>
    </row>
    <row r="1361" spans="100:110" x14ac:dyDescent="0.25">
      <c r="CV1361" t="s">
        <v>64</v>
      </c>
      <c r="CW1361" t="s">
        <v>1434</v>
      </c>
      <c r="CX1361" t="s">
        <v>20</v>
      </c>
      <c r="CY1361" s="4">
        <v>42800</v>
      </c>
      <c r="CZ1361" t="s">
        <v>67</v>
      </c>
      <c r="DA1361" t="s">
        <v>68</v>
      </c>
      <c r="DB1361">
        <v>10</v>
      </c>
      <c r="DC1361">
        <v>55.57</v>
      </c>
      <c r="DD1361" t="s">
        <v>69</v>
      </c>
      <c r="DE1361" t="s">
        <v>70</v>
      </c>
      <c r="DF1361">
        <v>555.70000000000005</v>
      </c>
    </row>
    <row r="1362" spans="100:110" x14ac:dyDescent="0.25">
      <c r="CV1362" t="s">
        <v>64</v>
      </c>
      <c r="CW1362" t="s">
        <v>1435</v>
      </c>
      <c r="CX1362" t="s">
        <v>20</v>
      </c>
      <c r="CY1362" s="4">
        <v>42801</v>
      </c>
      <c r="CZ1362" t="s">
        <v>65</v>
      </c>
      <c r="DA1362" t="s">
        <v>66</v>
      </c>
      <c r="DB1362">
        <v>121</v>
      </c>
      <c r="DC1362">
        <v>55.35</v>
      </c>
      <c r="DD1362" t="s">
        <v>69</v>
      </c>
      <c r="DE1362" t="s">
        <v>70</v>
      </c>
      <c r="DF1362">
        <v>6697.35</v>
      </c>
    </row>
    <row r="1363" spans="100:110" x14ac:dyDescent="0.25">
      <c r="CV1363" t="s">
        <v>64</v>
      </c>
      <c r="CW1363" t="s">
        <v>1436</v>
      </c>
      <c r="CX1363" t="s">
        <v>20</v>
      </c>
      <c r="CY1363" s="4">
        <v>42802</v>
      </c>
      <c r="CZ1363" t="s">
        <v>65</v>
      </c>
      <c r="DA1363" t="s">
        <v>66</v>
      </c>
      <c r="DB1363">
        <v>46</v>
      </c>
      <c r="DC1363">
        <v>55.31</v>
      </c>
      <c r="DD1363" t="s">
        <v>69</v>
      </c>
      <c r="DE1363" t="s">
        <v>70</v>
      </c>
      <c r="DF1363">
        <v>2544.2600000000002</v>
      </c>
    </row>
    <row r="1364" spans="100:110" x14ac:dyDescent="0.25">
      <c r="CV1364" t="s">
        <v>64</v>
      </c>
      <c r="CW1364" t="s">
        <v>1437</v>
      </c>
      <c r="CX1364" t="s">
        <v>20</v>
      </c>
      <c r="CY1364" s="4">
        <v>42803</v>
      </c>
      <c r="CZ1364" t="s">
        <v>67</v>
      </c>
      <c r="DA1364" t="s">
        <v>68</v>
      </c>
      <c r="DB1364">
        <v>153</v>
      </c>
      <c r="DC1364">
        <v>55.17</v>
      </c>
      <c r="DD1364" t="s">
        <v>69</v>
      </c>
      <c r="DE1364" t="s">
        <v>70</v>
      </c>
      <c r="DF1364">
        <v>8441.01</v>
      </c>
    </row>
    <row r="1365" spans="100:110" x14ac:dyDescent="0.25">
      <c r="CV1365" t="s">
        <v>64</v>
      </c>
      <c r="CW1365" t="s">
        <v>1438</v>
      </c>
      <c r="CX1365" t="s">
        <v>20</v>
      </c>
      <c r="CY1365" s="4">
        <v>42804</v>
      </c>
      <c r="CZ1365" t="s">
        <v>65</v>
      </c>
      <c r="DA1365" t="s">
        <v>66</v>
      </c>
      <c r="DB1365">
        <v>128</v>
      </c>
      <c r="DC1365">
        <v>55.24</v>
      </c>
      <c r="DD1365" t="s">
        <v>69</v>
      </c>
      <c r="DE1365" t="s">
        <v>70</v>
      </c>
      <c r="DF1365">
        <v>7070.72</v>
      </c>
    </row>
    <row r="1366" spans="100:110" x14ac:dyDescent="0.25">
      <c r="CV1366" t="s">
        <v>64</v>
      </c>
      <c r="CW1366" t="s">
        <v>1439</v>
      </c>
      <c r="CX1366" t="s">
        <v>20</v>
      </c>
      <c r="CY1366" s="4">
        <v>42807</v>
      </c>
      <c r="CZ1366" t="s">
        <v>65</v>
      </c>
      <c r="DA1366" t="s">
        <v>66</v>
      </c>
      <c r="DB1366">
        <v>28</v>
      </c>
      <c r="DC1366">
        <v>55.47</v>
      </c>
      <c r="DD1366" t="s">
        <v>69</v>
      </c>
      <c r="DE1366" t="s">
        <v>70</v>
      </c>
      <c r="DF1366">
        <v>1553.1599999999999</v>
      </c>
    </row>
    <row r="1367" spans="100:110" x14ac:dyDescent="0.25">
      <c r="CV1367" t="s">
        <v>64</v>
      </c>
      <c r="CW1367" t="s">
        <v>1440</v>
      </c>
      <c r="CX1367" t="s">
        <v>20</v>
      </c>
      <c r="CY1367" s="4">
        <v>42808</v>
      </c>
      <c r="CZ1367" t="s">
        <v>67</v>
      </c>
      <c r="DA1367" t="s">
        <v>68</v>
      </c>
      <c r="DB1367">
        <v>66</v>
      </c>
      <c r="DC1367">
        <v>56.07</v>
      </c>
      <c r="DD1367" t="s">
        <v>69</v>
      </c>
      <c r="DE1367" t="s">
        <v>70</v>
      </c>
      <c r="DF1367">
        <v>3700.62</v>
      </c>
    </row>
    <row r="1368" spans="100:110" x14ac:dyDescent="0.25">
      <c r="CV1368" t="s">
        <v>64</v>
      </c>
      <c r="CW1368" t="s">
        <v>1441</v>
      </c>
      <c r="CX1368" t="s">
        <v>20</v>
      </c>
      <c r="CY1368" s="4">
        <v>42809</v>
      </c>
      <c r="CZ1368" t="s">
        <v>67</v>
      </c>
      <c r="DA1368" t="s">
        <v>68</v>
      </c>
      <c r="DB1368">
        <v>27</v>
      </c>
      <c r="DC1368">
        <v>56.44</v>
      </c>
      <c r="DD1368" t="s">
        <v>69</v>
      </c>
      <c r="DE1368" t="s">
        <v>70</v>
      </c>
      <c r="DF1368">
        <v>1523.8799999999999</v>
      </c>
    </row>
    <row r="1369" spans="100:110" x14ac:dyDescent="0.25">
      <c r="CV1369" t="s">
        <v>64</v>
      </c>
      <c r="CW1369" t="s">
        <v>1442</v>
      </c>
      <c r="CX1369" t="s">
        <v>20</v>
      </c>
      <c r="CY1369" s="4">
        <v>42810</v>
      </c>
      <c r="CZ1369" t="s">
        <v>67</v>
      </c>
      <c r="DA1369" t="s">
        <v>68</v>
      </c>
      <c r="DB1369">
        <v>67</v>
      </c>
      <c r="DC1369">
        <v>56.38</v>
      </c>
      <c r="DD1369" t="s">
        <v>69</v>
      </c>
      <c r="DE1369" t="s">
        <v>70</v>
      </c>
      <c r="DF1369">
        <v>3777.46</v>
      </c>
    </row>
    <row r="1370" spans="100:110" x14ac:dyDescent="0.25">
      <c r="CV1370" t="s">
        <v>64</v>
      </c>
      <c r="CW1370" t="s">
        <v>1443</v>
      </c>
      <c r="CX1370" t="s">
        <v>20</v>
      </c>
      <c r="CY1370" s="4">
        <v>42811</v>
      </c>
      <c r="CZ1370" t="s">
        <v>65</v>
      </c>
      <c r="DA1370" t="s">
        <v>66</v>
      </c>
      <c r="DB1370">
        <v>133</v>
      </c>
      <c r="DC1370">
        <v>56.58</v>
      </c>
      <c r="DD1370" t="s">
        <v>69</v>
      </c>
      <c r="DE1370" t="s">
        <v>70</v>
      </c>
      <c r="DF1370">
        <v>7525.1399999999994</v>
      </c>
    </row>
    <row r="1371" spans="100:110" x14ac:dyDescent="0.25">
      <c r="CV1371" t="s">
        <v>64</v>
      </c>
      <c r="CW1371" t="s">
        <v>1444</v>
      </c>
      <c r="CX1371" t="s">
        <v>20</v>
      </c>
      <c r="CY1371" s="4">
        <v>42814</v>
      </c>
      <c r="CZ1371" t="s">
        <v>67</v>
      </c>
      <c r="DA1371" t="s">
        <v>68</v>
      </c>
      <c r="DB1371">
        <v>143</v>
      </c>
      <c r="DC1371">
        <v>57.44</v>
      </c>
      <c r="DD1371" t="s">
        <v>69</v>
      </c>
      <c r="DE1371" t="s">
        <v>70</v>
      </c>
      <c r="DF1371">
        <v>8213.92</v>
      </c>
    </row>
    <row r="1372" spans="100:110" x14ac:dyDescent="0.25">
      <c r="CV1372" t="s">
        <v>64</v>
      </c>
      <c r="CW1372" t="s">
        <v>1445</v>
      </c>
      <c r="CX1372" t="s">
        <v>20</v>
      </c>
      <c r="CY1372" s="4">
        <v>42815</v>
      </c>
      <c r="CZ1372" t="s">
        <v>65</v>
      </c>
      <c r="DA1372" t="s">
        <v>66</v>
      </c>
      <c r="DB1372">
        <v>95</v>
      </c>
      <c r="DC1372">
        <v>56.78</v>
      </c>
      <c r="DD1372" t="s">
        <v>69</v>
      </c>
      <c r="DE1372" t="s">
        <v>70</v>
      </c>
      <c r="DF1372">
        <v>5394.1</v>
      </c>
    </row>
    <row r="1373" spans="100:110" x14ac:dyDescent="0.25">
      <c r="CV1373" t="s">
        <v>64</v>
      </c>
      <c r="CW1373" t="s">
        <v>1446</v>
      </c>
      <c r="CX1373" t="s">
        <v>20</v>
      </c>
      <c r="CY1373" s="4">
        <v>42816</v>
      </c>
      <c r="CZ1373" t="s">
        <v>67</v>
      </c>
      <c r="DA1373" t="s">
        <v>68</v>
      </c>
      <c r="DB1373">
        <v>54</v>
      </c>
      <c r="DC1373">
        <v>52.78</v>
      </c>
      <c r="DD1373" t="s">
        <v>69</v>
      </c>
      <c r="DE1373" t="s">
        <v>70</v>
      </c>
      <c r="DF1373">
        <v>2850.12</v>
      </c>
    </row>
    <row r="1374" spans="100:110" x14ac:dyDescent="0.25">
      <c r="CV1374" t="s">
        <v>64</v>
      </c>
      <c r="CW1374" t="s">
        <v>1447</v>
      </c>
      <c r="CX1374" t="s">
        <v>20</v>
      </c>
      <c r="CY1374" s="4">
        <v>42817</v>
      </c>
      <c r="CZ1374" t="s">
        <v>65</v>
      </c>
      <c r="DA1374" t="s">
        <v>66</v>
      </c>
      <c r="DB1374">
        <v>3</v>
      </c>
      <c r="DC1374">
        <v>54.2</v>
      </c>
      <c r="DD1374" t="s">
        <v>69</v>
      </c>
      <c r="DE1374" t="s">
        <v>70</v>
      </c>
      <c r="DF1374">
        <v>162.60000000000002</v>
      </c>
    </row>
    <row r="1375" spans="100:110" x14ac:dyDescent="0.25">
      <c r="CV1375" t="s">
        <v>64</v>
      </c>
      <c r="CW1375" t="s">
        <v>1448</v>
      </c>
      <c r="CX1375" t="s">
        <v>20</v>
      </c>
      <c r="CY1375" s="4">
        <v>42818</v>
      </c>
      <c r="CZ1375" t="s">
        <v>65</v>
      </c>
      <c r="DA1375" t="s">
        <v>66</v>
      </c>
      <c r="DB1375">
        <v>149</v>
      </c>
      <c r="DC1375">
        <v>55.17</v>
      </c>
      <c r="DD1375" t="s">
        <v>69</v>
      </c>
      <c r="DE1375" t="s">
        <v>70</v>
      </c>
      <c r="DF1375">
        <v>8220.33</v>
      </c>
    </row>
    <row r="1376" spans="100:110" x14ac:dyDescent="0.25">
      <c r="CV1376" t="s">
        <v>64</v>
      </c>
      <c r="CW1376" t="s">
        <v>1449</v>
      </c>
      <c r="CX1376" t="s">
        <v>20</v>
      </c>
      <c r="CY1376" s="4">
        <v>42821</v>
      </c>
      <c r="CZ1376" t="s">
        <v>67</v>
      </c>
      <c r="DA1376" t="s">
        <v>68</v>
      </c>
      <c r="DB1376">
        <v>33</v>
      </c>
      <c r="DC1376">
        <v>54.75</v>
      </c>
      <c r="DD1376" t="s">
        <v>69</v>
      </c>
      <c r="DE1376" t="s">
        <v>70</v>
      </c>
      <c r="DF1376">
        <v>1806.75</v>
      </c>
    </row>
    <row r="1377" spans="100:110" x14ac:dyDescent="0.25">
      <c r="CV1377" t="s">
        <v>64</v>
      </c>
      <c r="CW1377" t="s">
        <v>1450</v>
      </c>
      <c r="CX1377" t="s">
        <v>20</v>
      </c>
      <c r="CY1377" s="4">
        <v>42822</v>
      </c>
      <c r="CZ1377" t="s">
        <v>67</v>
      </c>
      <c r="DA1377" t="s">
        <v>68</v>
      </c>
      <c r="DB1377">
        <v>139</v>
      </c>
      <c r="DC1377">
        <v>55.42</v>
      </c>
      <c r="DD1377" t="s">
        <v>69</v>
      </c>
      <c r="DE1377" t="s">
        <v>70</v>
      </c>
      <c r="DF1377">
        <v>7703.38</v>
      </c>
    </row>
    <row r="1378" spans="100:110" x14ac:dyDescent="0.25">
      <c r="CV1378" t="s">
        <v>64</v>
      </c>
      <c r="CW1378" t="s">
        <v>1451</v>
      </c>
      <c r="CX1378" t="s">
        <v>20</v>
      </c>
      <c r="CY1378" s="4">
        <v>42823</v>
      </c>
      <c r="CZ1378" t="s">
        <v>65</v>
      </c>
      <c r="DA1378" t="s">
        <v>66</v>
      </c>
      <c r="DB1378">
        <v>151</v>
      </c>
      <c r="DC1378">
        <v>55.48</v>
      </c>
      <c r="DD1378" t="s">
        <v>69</v>
      </c>
      <c r="DE1378" t="s">
        <v>70</v>
      </c>
      <c r="DF1378">
        <v>8377.48</v>
      </c>
    </row>
    <row r="1379" spans="100:110" x14ac:dyDescent="0.25">
      <c r="CV1379" t="s">
        <v>64</v>
      </c>
      <c r="CW1379" t="s">
        <v>1452</v>
      </c>
      <c r="CX1379" t="s">
        <v>20</v>
      </c>
      <c r="CY1379" s="4">
        <v>42824</v>
      </c>
      <c r="CZ1379" t="s">
        <v>67</v>
      </c>
      <c r="DA1379" t="s">
        <v>68</v>
      </c>
      <c r="DB1379">
        <v>64</v>
      </c>
      <c r="DC1379">
        <v>54.85</v>
      </c>
      <c r="DD1379" t="s">
        <v>69</v>
      </c>
      <c r="DE1379" t="s">
        <v>70</v>
      </c>
      <c r="DF1379">
        <v>3510.4</v>
      </c>
    </row>
    <row r="1380" spans="100:110" x14ac:dyDescent="0.25">
      <c r="CV1380" t="s">
        <v>64</v>
      </c>
      <c r="CW1380" t="s">
        <v>1453</v>
      </c>
      <c r="CX1380" t="s">
        <v>20</v>
      </c>
      <c r="CY1380" s="4">
        <v>42825</v>
      </c>
      <c r="CZ1380" t="s">
        <v>67</v>
      </c>
      <c r="DA1380" t="s">
        <v>68</v>
      </c>
      <c r="DB1380">
        <v>20</v>
      </c>
      <c r="DC1380">
        <v>54.55</v>
      </c>
      <c r="DD1380" t="s">
        <v>69</v>
      </c>
      <c r="DE1380" t="s">
        <v>70</v>
      </c>
      <c r="DF1380">
        <v>1091</v>
      </c>
    </row>
    <row r="1381" spans="100:110" x14ac:dyDescent="0.25">
      <c r="CV1381" t="s">
        <v>64</v>
      </c>
      <c r="CW1381" t="s">
        <v>1454</v>
      </c>
      <c r="CX1381" t="s">
        <v>20</v>
      </c>
      <c r="CY1381" s="4">
        <v>42828</v>
      </c>
      <c r="CZ1381" t="s">
        <v>65</v>
      </c>
      <c r="DA1381" t="s">
        <v>66</v>
      </c>
      <c r="DB1381">
        <v>38</v>
      </c>
      <c r="DC1381">
        <v>54.38</v>
      </c>
      <c r="DD1381" t="s">
        <v>69</v>
      </c>
      <c r="DE1381" t="s">
        <v>70</v>
      </c>
      <c r="DF1381">
        <v>2066.44</v>
      </c>
    </row>
    <row r="1382" spans="100:110" x14ac:dyDescent="0.25">
      <c r="CV1382" t="s">
        <v>64</v>
      </c>
      <c r="CW1382" t="s">
        <v>1455</v>
      </c>
      <c r="CX1382" t="s">
        <v>20</v>
      </c>
      <c r="CY1382" s="4">
        <v>42829</v>
      </c>
      <c r="CZ1382" t="s">
        <v>65</v>
      </c>
      <c r="DA1382" t="s">
        <v>66</v>
      </c>
      <c r="DB1382">
        <v>64</v>
      </c>
      <c r="DC1382">
        <v>53.88</v>
      </c>
      <c r="DD1382" t="s">
        <v>69</v>
      </c>
      <c r="DE1382" t="s">
        <v>70</v>
      </c>
      <c r="DF1382">
        <v>3448.32</v>
      </c>
    </row>
    <row r="1383" spans="100:110" x14ac:dyDescent="0.25">
      <c r="CV1383" t="s">
        <v>64</v>
      </c>
      <c r="CW1383" t="s">
        <v>1456</v>
      </c>
      <c r="CX1383" t="s">
        <v>20</v>
      </c>
      <c r="CY1383" s="4">
        <v>42830</v>
      </c>
      <c r="CZ1383" t="s">
        <v>65</v>
      </c>
      <c r="DA1383" t="s">
        <v>66</v>
      </c>
      <c r="DB1383">
        <v>8</v>
      </c>
      <c r="DC1383">
        <v>53.82</v>
      </c>
      <c r="DD1383" t="s">
        <v>69</v>
      </c>
      <c r="DE1383" t="s">
        <v>70</v>
      </c>
      <c r="DF1383">
        <v>430.56</v>
      </c>
    </row>
    <row r="1384" spans="100:110" x14ac:dyDescent="0.25">
      <c r="CV1384" t="s">
        <v>64</v>
      </c>
      <c r="CW1384" t="s">
        <v>1457</v>
      </c>
      <c r="CX1384" t="s">
        <v>20</v>
      </c>
      <c r="CY1384" s="4">
        <v>42831</v>
      </c>
      <c r="CZ1384" t="s">
        <v>67</v>
      </c>
      <c r="DA1384" t="s">
        <v>68</v>
      </c>
      <c r="DB1384">
        <v>21</v>
      </c>
      <c r="DC1384">
        <v>53.97</v>
      </c>
      <c r="DD1384" t="s">
        <v>69</v>
      </c>
      <c r="DE1384" t="s">
        <v>70</v>
      </c>
      <c r="DF1384">
        <v>1133.3699999999999</v>
      </c>
    </row>
    <row r="1385" spans="100:110" x14ac:dyDescent="0.25">
      <c r="CV1385" t="s">
        <v>64</v>
      </c>
      <c r="CW1385" t="s">
        <v>1458</v>
      </c>
      <c r="CX1385" t="s">
        <v>20</v>
      </c>
      <c r="CY1385" s="4">
        <v>42832</v>
      </c>
      <c r="CZ1385" t="s">
        <v>67</v>
      </c>
      <c r="DA1385" t="s">
        <v>68</v>
      </c>
      <c r="DB1385">
        <v>6</v>
      </c>
      <c r="DC1385">
        <v>53.94</v>
      </c>
      <c r="DD1385" t="s">
        <v>69</v>
      </c>
      <c r="DE1385" t="s">
        <v>70</v>
      </c>
      <c r="DF1385">
        <v>323.64</v>
      </c>
    </row>
    <row r="1386" spans="100:110" x14ac:dyDescent="0.25">
      <c r="CV1386" t="s">
        <v>64</v>
      </c>
      <c r="CW1386" t="s">
        <v>1459</v>
      </c>
      <c r="CX1386" t="s">
        <v>20</v>
      </c>
      <c r="CY1386" s="4">
        <v>42835</v>
      </c>
      <c r="CZ1386" t="s">
        <v>65</v>
      </c>
      <c r="DA1386" t="s">
        <v>66</v>
      </c>
      <c r="DB1386">
        <v>11</v>
      </c>
      <c r="DC1386">
        <v>53.74</v>
      </c>
      <c r="DD1386" t="s">
        <v>69</v>
      </c>
      <c r="DE1386" t="s">
        <v>70</v>
      </c>
      <c r="DF1386">
        <v>591.14</v>
      </c>
    </row>
    <row r="1387" spans="100:110" x14ac:dyDescent="0.25">
      <c r="CV1387" t="s">
        <v>64</v>
      </c>
      <c r="CW1387" t="s">
        <v>1460</v>
      </c>
      <c r="CX1387" t="s">
        <v>20</v>
      </c>
      <c r="CY1387" s="4">
        <v>42836</v>
      </c>
      <c r="CZ1387" t="s">
        <v>67</v>
      </c>
      <c r="DA1387" t="s">
        <v>68</v>
      </c>
      <c r="DB1387">
        <v>135</v>
      </c>
      <c r="DC1387">
        <v>53.76</v>
      </c>
      <c r="DD1387" t="s">
        <v>69</v>
      </c>
      <c r="DE1387" t="s">
        <v>70</v>
      </c>
      <c r="DF1387">
        <v>7257.5999999999995</v>
      </c>
    </row>
    <row r="1388" spans="100:110" x14ac:dyDescent="0.25">
      <c r="CV1388" t="s">
        <v>64</v>
      </c>
      <c r="CW1388" t="s">
        <v>1461</v>
      </c>
      <c r="CX1388" t="s">
        <v>20</v>
      </c>
      <c r="CY1388" s="4">
        <v>42837</v>
      </c>
      <c r="CZ1388" t="s">
        <v>67</v>
      </c>
      <c r="DA1388" t="s">
        <v>68</v>
      </c>
      <c r="DB1388">
        <v>26</v>
      </c>
      <c r="DC1388">
        <v>54.39</v>
      </c>
      <c r="DD1388" t="s">
        <v>69</v>
      </c>
      <c r="DE1388" t="s">
        <v>70</v>
      </c>
      <c r="DF1388">
        <v>1414.14</v>
      </c>
    </row>
    <row r="1389" spans="100:110" x14ac:dyDescent="0.25">
      <c r="CV1389" t="s">
        <v>64</v>
      </c>
      <c r="CW1389" t="s">
        <v>1462</v>
      </c>
      <c r="CX1389" t="s">
        <v>20</v>
      </c>
      <c r="CY1389" s="4">
        <v>42838</v>
      </c>
      <c r="CZ1389" t="s">
        <v>67</v>
      </c>
      <c r="DA1389" t="s">
        <v>68</v>
      </c>
      <c r="DB1389">
        <v>6</v>
      </c>
      <c r="DC1389">
        <v>54.17</v>
      </c>
      <c r="DD1389" t="s">
        <v>69</v>
      </c>
      <c r="DE1389" t="s">
        <v>70</v>
      </c>
      <c r="DF1389">
        <v>325.02</v>
      </c>
    </row>
    <row r="1390" spans="100:110" x14ac:dyDescent="0.25">
      <c r="CV1390" t="s">
        <v>64</v>
      </c>
      <c r="CW1390" t="s">
        <v>1463</v>
      </c>
      <c r="CX1390" t="s">
        <v>20</v>
      </c>
      <c r="CY1390" s="4">
        <v>42842</v>
      </c>
      <c r="CZ1390" t="s">
        <v>65</v>
      </c>
      <c r="DA1390" t="s">
        <v>66</v>
      </c>
      <c r="DB1390">
        <v>146</v>
      </c>
      <c r="DC1390">
        <v>55.05</v>
      </c>
      <c r="DD1390" t="s">
        <v>69</v>
      </c>
      <c r="DE1390" t="s">
        <v>70</v>
      </c>
      <c r="DF1390">
        <v>8037.2999999999993</v>
      </c>
    </row>
    <row r="1391" spans="100:110" x14ac:dyDescent="0.25">
      <c r="CV1391" t="s">
        <v>64</v>
      </c>
      <c r="CW1391" t="s">
        <v>1464</v>
      </c>
      <c r="CX1391" t="s">
        <v>20</v>
      </c>
      <c r="CY1391" s="4">
        <v>42843</v>
      </c>
      <c r="CZ1391" t="s">
        <v>67</v>
      </c>
      <c r="DA1391" t="s">
        <v>68</v>
      </c>
      <c r="DB1391">
        <v>156</v>
      </c>
      <c r="DC1391">
        <v>54.92</v>
      </c>
      <c r="DD1391" t="s">
        <v>69</v>
      </c>
      <c r="DE1391" t="s">
        <v>70</v>
      </c>
      <c r="DF1391">
        <v>8567.52</v>
      </c>
    </row>
    <row r="1392" spans="100:110" x14ac:dyDescent="0.25">
      <c r="CV1392" t="s">
        <v>64</v>
      </c>
      <c r="CW1392" t="s">
        <v>1465</v>
      </c>
      <c r="CX1392" t="s">
        <v>20</v>
      </c>
      <c r="CY1392" s="4">
        <v>42844</v>
      </c>
      <c r="CZ1392" t="s">
        <v>65</v>
      </c>
      <c r="DA1392" t="s">
        <v>66</v>
      </c>
      <c r="DB1392">
        <v>11</v>
      </c>
      <c r="DC1392">
        <v>54.68</v>
      </c>
      <c r="DD1392" t="s">
        <v>69</v>
      </c>
      <c r="DE1392" t="s">
        <v>70</v>
      </c>
      <c r="DF1392">
        <v>601.48</v>
      </c>
    </row>
    <row r="1393" spans="100:110" x14ac:dyDescent="0.25">
      <c r="CV1393" t="s">
        <v>64</v>
      </c>
      <c r="CW1393" t="s">
        <v>1466</v>
      </c>
      <c r="CX1393" t="s">
        <v>20</v>
      </c>
      <c r="CY1393" s="4">
        <v>42845</v>
      </c>
      <c r="CZ1393" t="s">
        <v>67</v>
      </c>
      <c r="DA1393" t="s">
        <v>68</v>
      </c>
      <c r="DB1393">
        <v>6</v>
      </c>
      <c r="DC1393">
        <v>55.21</v>
      </c>
      <c r="DD1393" t="s">
        <v>69</v>
      </c>
      <c r="DE1393" t="s">
        <v>70</v>
      </c>
      <c r="DF1393">
        <v>331.26</v>
      </c>
    </row>
    <row r="1394" spans="100:110" x14ac:dyDescent="0.25">
      <c r="CV1394" t="s">
        <v>64</v>
      </c>
      <c r="CW1394" t="s">
        <v>1467</v>
      </c>
      <c r="CX1394" t="s">
        <v>20</v>
      </c>
      <c r="CY1394" s="4">
        <v>42846</v>
      </c>
      <c r="CZ1394" t="s">
        <v>65</v>
      </c>
      <c r="DA1394" t="s">
        <v>66</v>
      </c>
      <c r="DB1394">
        <v>143</v>
      </c>
      <c r="DC1394">
        <v>54.67</v>
      </c>
      <c r="DD1394" t="s">
        <v>69</v>
      </c>
      <c r="DE1394" t="s">
        <v>70</v>
      </c>
      <c r="DF1394">
        <v>7817.81</v>
      </c>
    </row>
    <row r="1395" spans="100:110" x14ac:dyDescent="0.25">
      <c r="CV1395" t="s">
        <v>64</v>
      </c>
      <c r="CW1395" t="s">
        <v>1468</v>
      </c>
      <c r="CX1395" t="s">
        <v>20</v>
      </c>
      <c r="CY1395" s="4">
        <v>42849</v>
      </c>
      <c r="CZ1395" t="s">
        <v>65</v>
      </c>
      <c r="DA1395" t="s">
        <v>66</v>
      </c>
      <c r="DB1395">
        <v>39</v>
      </c>
      <c r="DC1395">
        <v>54.3</v>
      </c>
      <c r="DD1395" t="s">
        <v>69</v>
      </c>
      <c r="DE1395" t="s">
        <v>70</v>
      </c>
      <c r="DF1395">
        <v>2117.6999999999998</v>
      </c>
    </row>
    <row r="1396" spans="100:110" x14ac:dyDescent="0.25">
      <c r="CV1396" t="s">
        <v>64</v>
      </c>
      <c r="CW1396" t="s">
        <v>1469</v>
      </c>
      <c r="CX1396" t="s">
        <v>20</v>
      </c>
      <c r="CY1396" s="4">
        <v>42850</v>
      </c>
      <c r="CZ1396" t="s">
        <v>67</v>
      </c>
      <c r="DA1396" t="s">
        <v>68</v>
      </c>
      <c r="DB1396">
        <v>132</v>
      </c>
      <c r="DC1396">
        <v>54.28</v>
      </c>
      <c r="DD1396" t="s">
        <v>69</v>
      </c>
      <c r="DE1396" t="s">
        <v>70</v>
      </c>
      <c r="DF1396">
        <v>7164.96</v>
      </c>
    </row>
    <row r="1397" spans="100:110" x14ac:dyDescent="0.25">
      <c r="CV1397" t="s">
        <v>64</v>
      </c>
      <c r="CW1397" t="s">
        <v>1470</v>
      </c>
      <c r="CX1397" t="s">
        <v>20</v>
      </c>
      <c r="CY1397" s="4">
        <v>42851</v>
      </c>
      <c r="CZ1397" t="s">
        <v>65</v>
      </c>
      <c r="DA1397" t="s">
        <v>66</v>
      </c>
      <c r="DB1397">
        <v>25</v>
      </c>
      <c r="DC1397">
        <v>53.99</v>
      </c>
      <c r="DD1397" t="s">
        <v>69</v>
      </c>
      <c r="DE1397" t="s">
        <v>70</v>
      </c>
      <c r="DF1397">
        <v>1349.75</v>
      </c>
    </row>
    <row r="1398" spans="100:110" x14ac:dyDescent="0.25">
      <c r="CV1398" t="s">
        <v>64</v>
      </c>
      <c r="CW1398" t="s">
        <v>1471</v>
      </c>
      <c r="CX1398" t="s">
        <v>20</v>
      </c>
      <c r="CY1398" s="4">
        <v>42852</v>
      </c>
      <c r="CZ1398" t="s">
        <v>65</v>
      </c>
      <c r="DA1398" t="s">
        <v>66</v>
      </c>
      <c r="DB1398">
        <v>103</v>
      </c>
      <c r="DC1398">
        <v>54.3</v>
      </c>
      <c r="DD1398" t="s">
        <v>69</v>
      </c>
      <c r="DE1398" t="s">
        <v>70</v>
      </c>
      <c r="DF1398">
        <v>5592.9</v>
      </c>
    </row>
    <row r="1399" spans="100:110" x14ac:dyDescent="0.25">
      <c r="CV1399" t="s">
        <v>64</v>
      </c>
      <c r="CW1399" t="s">
        <v>1472</v>
      </c>
      <c r="CX1399" t="s">
        <v>20</v>
      </c>
      <c r="CY1399" s="4">
        <v>42853</v>
      </c>
      <c r="CZ1399" t="s">
        <v>67</v>
      </c>
      <c r="DA1399" t="s">
        <v>68</v>
      </c>
      <c r="DB1399">
        <v>90</v>
      </c>
      <c r="DC1399">
        <v>54.24</v>
      </c>
      <c r="DD1399" t="s">
        <v>69</v>
      </c>
      <c r="DE1399" t="s">
        <v>70</v>
      </c>
      <c r="DF1399">
        <v>4881.6000000000004</v>
      </c>
    </row>
    <row r="1400" spans="100:110" x14ac:dyDescent="0.25">
      <c r="CV1400" t="s">
        <v>64</v>
      </c>
      <c r="CW1400" t="s">
        <v>1473</v>
      </c>
      <c r="CX1400" t="s">
        <v>20</v>
      </c>
      <c r="CY1400" s="4">
        <v>42856</v>
      </c>
      <c r="CZ1400" t="s">
        <v>67</v>
      </c>
      <c r="DA1400" t="s">
        <v>68</v>
      </c>
      <c r="DB1400">
        <v>53</v>
      </c>
      <c r="DC1400">
        <v>53.83</v>
      </c>
      <c r="DD1400" t="s">
        <v>69</v>
      </c>
      <c r="DE1400" t="s">
        <v>70</v>
      </c>
      <c r="DF1400">
        <v>2852.99</v>
      </c>
    </row>
    <row r="1401" spans="100:110" x14ac:dyDescent="0.25">
      <c r="CV1401" t="s">
        <v>64</v>
      </c>
      <c r="CW1401" t="s">
        <v>1474</v>
      </c>
      <c r="CX1401" t="s">
        <v>20</v>
      </c>
      <c r="CY1401" s="4">
        <v>42857</v>
      </c>
      <c r="CZ1401" t="s">
        <v>65</v>
      </c>
      <c r="DA1401" t="s">
        <v>66</v>
      </c>
      <c r="DB1401">
        <v>128</v>
      </c>
      <c r="DC1401">
        <v>53.91</v>
      </c>
      <c r="DD1401" t="s">
        <v>69</v>
      </c>
      <c r="DE1401" t="s">
        <v>70</v>
      </c>
      <c r="DF1401">
        <v>6900.48</v>
      </c>
    </row>
    <row r="1402" spans="100:110" x14ac:dyDescent="0.25">
      <c r="CV1402" t="s">
        <v>64</v>
      </c>
      <c r="CW1402" t="s">
        <v>1475</v>
      </c>
      <c r="CX1402" t="s">
        <v>20</v>
      </c>
      <c r="CY1402" s="4">
        <v>42858</v>
      </c>
      <c r="CZ1402" t="s">
        <v>67</v>
      </c>
      <c r="DA1402" t="s">
        <v>68</v>
      </c>
      <c r="DB1402">
        <v>55</v>
      </c>
      <c r="DC1402">
        <v>53.38</v>
      </c>
      <c r="DD1402" t="s">
        <v>69</v>
      </c>
      <c r="DE1402" t="s">
        <v>70</v>
      </c>
      <c r="DF1402">
        <v>2935.9</v>
      </c>
    </row>
    <row r="1403" spans="100:110" x14ac:dyDescent="0.25">
      <c r="CV1403" t="s">
        <v>64</v>
      </c>
      <c r="CW1403" t="s">
        <v>1476</v>
      </c>
      <c r="CX1403" t="s">
        <v>20</v>
      </c>
      <c r="CY1403" s="4">
        <v>42859</v>
      </c>
      <c r="CZ1403" t="s">
        <v>65</v>
      </c>
      <c r="DA1403" t="s">
        <v>66</v>
      </c>
      <c r="DB1403">
        <v>76</v>
      </c>
      <c r="DC1403">
        <v>53.32</v>
      </c>
      <c r="DD1403" t="s">
        <v>69</v>
      </c>
      <c r="DE1403" t="s">
        <v>70</v>
      </c>
      <c r="DF1403">
        <v>4052.32</v>
      </c>
    </row>
    <row r="1404" spans="100:110" x14ac:dyDescent="0.25">
      <c r="CV1404" t="s">
        <v>64</v>
      </c>
      <c r="CW1404" t="s">
        <v>1477</v>
      </c>
      <c r="CX1404" t="s">
        <v>20</v>
      </c>
      <c r="CY1404" s="4">
        <v>42860</v>
      </c>
      <c r="CZ1404" t="s">
        <v>67</v>
      </c>
      <c r="DA1404" t="s">
        <v>68</v>
      </c>
      <c r="DB1404">
        <v>81</v>
      </c>
      <c r="DC1404">
        <v>52.81</v>
      </c>
      <c r="DD1404" t="s">
        <v>69</v>
      </c>
      <c r="DE1404" t="s">
        <v>70</v>
      </c>
      <c r="DF1404">
        <v>4277.6100000000006</v>
      </c>
    </row>
    <row r="1405" spans="100:110" x14ac:dyDescent="0.25">
      <c r="CV1405" t="s">
        <v>64</v>
      </c>
      <c r="CW1405" t="s">
        <v>1478</v>
      </c>
      <c r="CX1405" t="s">
        <v>20</v>
      </c>
      <c r="CY1405" s="4">
        <v>42863</v>
      </c>
      <c r="CZ1405" t="s">
        <v>65</v>
      </c>
      <c r="DA1405" t="s">
        <v>66</v>
      </c>
      <c r="DB1405">
        <v>5</v>
      </c>
      <c r="DC1405">
        <v>53.15</v>
      </c>
      <c r="DD1405" t="s">
        <v>69</v>
      </c>
      <c r="DE1405" t="s">
        <v>70</v>
      </c>
      <c r="DF1405">
        <v>265.75</v>
      </c>
    </row>
    <row r="1406" spans="100:110" x14ac:dyDescent="0.25">
      <c r="CV1406" t="s">
        <v>64</v>
      </c>
      <c r="CW1406" t="s">
        <v>1479</v>
      </c>
      <c r="CX1406" t="s">
        <v>20</v>
      </c>
      <c r="CY1406" s="4">
        <v>42864</v>
      </c>
      <c r="CZ1406" t="s">
        <v>67</v>
      </c>
      <c r="DA1406" t="s">
        <v>68</v>
      </c>
      <c r="DB1406">
        <v>111</v>
      </c>
      <c r="DC1406">
        <v>53.73</v>
      </c>
      <c r="DD1406" t="s">
        <v>69</v>
      </c>
      <c r="DE1406" t="s">
        <v>70</v>
      </c>
      <c r="DF1406">
        <v>5964.03</v>
      </c>
    </row>
    <row r="1407" spans="100:110" x14ac:dyDescent="0.25">
      <c r="CV1407" t="s">
        <v>64</v>
      </c>
      <c r="CW1407" t="s">
        <v>1480</v>
      </c>
      <c r="CX1407" t="s">
        <v>20</v>
      </c>
      <c r="CY1407" s="4">
        <v>42865</v>
      </c>
      <c r="CZ1407" t="s">
        <v>65</v>
      </c>
      <c r="DA1407" t="s">
        <v>66</v>
      </c>
      <c r="DB1407">
        <v>84</v>
      </c>
      <c r="DC1407">
        <v>53.41</v>
      </c>
      <c r="DD1407" t="s">
        <v>69</v>
      </c>
      <c r="DE1407" t="s">
        <v>70</v>
      </c>
      <c r="DF1407">
        <v>4486.4399999999996</v>
      </c>
    </row>
    <row r="1408" spans="100:110" x14ac:dyDescent="0.25">
      <c r="CV1408" t="s">
        <v>64</v>
      </c>
      <c r="CW1408" t="s">
        <v>1481</v>
      </c>
      <c r="CX1408" t="s">
        <v>20</v>
      </c>
      <c r="CY1408" s="4">
        <v>42866</v>
      </c>
      <c r="CZ1408" t="s">
        <v>67</v>
      </c>
      <c r="DA1408" t="s">
        <v>68</v>
      </c>
      <c r="DB1408">
        <v>78</v>
      </c>
      <c r="DC1408">
        <v>53.09</v>
      </c>
      <c r="DD1408" t="s">
        <v>69</v>
      </c>
      <c r="DE1408" t="s">
        <v>70</v>
      </c>
      <c r="DF1408">
        <v>4141.0200000000004</v>
      </c>
    </row>
    <row r="1409" spans="100:110" x14ac:dyDescent="0.25">
      <c r="CV1409" t="s">
        <v>64</v>
      </c>
      <c r="CW1409" t="s">
        <v>1482</v>
      </c>
      <c r="CX1409" t="s">
        <v>20</v>
      </c>
      <c r="CY1409" s="4">
        <v>42867</v>
      </c>
      <c r="CZ1409" t="s">
        <v>65</v>
      </c>
      <c r="DA1409" t="s">
        <v>66</v>
      </c>
      <c r="DB1409">
        <v>147</v>
      </c>
      <c r="DC1409">
        <v>53.05</v>
      </c>
      <c r="DD1409" t="s">
        <v>69</v>
      </c>
      <c r="DE1409" t="s">
        <v>70</v>
      </c>
      <c r="DF1409">
        <v>7798.3499999999995</v>
      </c>
    </row>
    <row r="1410" spans="100:110" x14ac:dyDescent="0.25">
      <c r="CV1410" t="s">
        <v>64</v>
      </c>
      <c r="CW1410" t="s">
        <v>1483</v>
      </c>
      <c r="CX1410" t="s">
        <v>20</v>
      </c>
      <c r="CY1410" s="4">
        <v>42870</v>
      </c>
      <c r="CZ1410" t="s">
        <v>65</v>
      </c>
      <c r="DA1410" t="s">
        <v>66</v>
      </c>
      <c r="DB1410">
        <v>9</v>
      </c>
      <c r="DC1410">
        <v>52.63</v>
      </c>
      <c r="DD1410" t="s">
        <v>69</v>
      </c>
      <c r="DE1410" t="s">
        <v>70</v>
      </c>
      <c r="DF1410">
        <v>473.67</v>
      </c>
    </row>
    <row r="1411" spans="100:110" x14ac:dyDescent="0.25">
      <c r="CV1411" t="s">
        <v>64</v>
      </c>
      <c r="CW1411" t="s">
        <v>1484</v>
      </c>
      <c r="CX1411" t="s">
        <v>20</v>
      </c>
      <c r="CY1411" s="4">
        <v>42871</v>
      </c>
      <c r="CZ1411" t="s">
        <v>67</v>
      </c>
      <c r="DA1411" t="s">
        <v>68</v>
      </c>
      <c r="DB1411">
        <v>68</v>
      </c>
      <c r="DC1411">
        <v>51.66</v>
      </c>
      <c r="DD1411" t="s">
        <v>69</v>
      </c>
      <c r="DE1411" t="s">
        <v>70</v>
      </c>
      <c r="DF1411">
        <v>3512.8799999999997</v>
      </c>
    </row>
    <row r="1412" spans="100:110" x14ac:dyDescent="0.25">
      <c r="CV1412" t="s">
        <v>64</v>
      </c>
      <c r="CW1412" t="s">
        <v>1485</v>
      </c>
      <c r="CX1412" t="s">
        <v>20</v>
      </c>
      <c r="CY1412" s="4">
        <v>42872</v>
      </c>
      <c r="CZ1412" t="s">
        <v>65</v>
      </c>
      <c r="DA1412" t="s">
        <v>66</v>
      </c>
      <c r="DB1412">
        <v>8</v>
      </c>
      <c r="DC1412">
        <v>50.7</v>
      </c>
      <c r="DD1412" t="s">
        <v>69</v>
      </c>
      <c r="DE1412" t="s">
        <v>70</v>
      </c>
      <c r="DF1412">
        <v>405.6</v>
      </c>
    </row>
    <row r="1413" spans="100:110" x14ac:dyDescent="0.25">
      <c r="CV1413" t="s">
        <v>64</v>
      </c>
      <c r="CW1413" t="s">
        <v>1486</v>
      </c>
      <c r="CX1413" t="s">
        <v>20</v>
      </c>
      <c r="CY1413" s="4">
        <v>42873</v>
      </c>
      <c r="CZ1413" t="s">
        <v>65</v>
      </c>
      <c r="DA1413" t="s">
        <v>66</v>
      </c>
      <c r="DB1413">
        <v>18</v>
      </c>
      <c r="DC1413">
        <v>50.59</v>
      </c>
      <c r="DD1413" t="s">
        <v>69</v>
      </c>
      <c r="DE1413" t="s">
        <v>70</v>
      </c>
      <c r="DF1413">
        <v>910.62000000000012</v>
      </c>
    </row>
    <row r="1414" spans="100:110" x14ac:dyDescent="0.25">
      <c r="CV1414" t="s">
        <v>64</v>
      </c>
      <c r="CW1414" t="s">
        <v>1487</v>
      </c>
      <c r="CX1414" t="s">
        <v>20</v>
      </c>
      <c r="CY1414" s="4">
        <v>42874</v>
      </c>
      <c r="CZ1414" t="s">
        <v>67</v>
      </c>
      <c r="DA1414" t="s">
        <v>68</v>
      </c>
      <c r="DB1414">
        <v>91</v>
      </c>
      <c r="DC1414">
        <v>50.67</v>
      </c>
      <c r="DD1414" t="s">
        <v>69</v>
      </c>
      <c r="DE1414" t="s">
        <v>70</v>
      </c>
      <c r="DF1414">
        <v>4610.97</v>
      </c>
    </row>
    <row r="1415" spans="100:110" x14ac:dyDescent="0.25">
      <c r="CV1415" t="s">
        <v>64</v>
      </c>
      <c r="CW1415" t="s">
        <v>1488</v>
      </c>
      <c r="CX1415" t="s">
        <v>20</v>
      </c>
      <c r="CY1415" s="4">
        <v>42877</v>
      </c>
      <c r="CZ1415" t="s">
        <v>67</v>
      </c>
      <c r="DA1415" t="s">
        <v>68</v>
      </c>
      <c r="DB1415">
        <v>14</v>
      </c>
      <c r="DC1415">
        <v>50.48</v>
      </c>
      <c r="DD1415" t="s">
        <v>69</v>
      </c>
      <c r="DE1415" t="s">
        <v>70</v>
      </c>
      <c r="DF1415">
        <v>706.71999999999991</v>
      </c>
    </row>
    <row r="1416" spans="100:110" x14ac:dyDescent="0.25">
      <c r="CV1416" t="s">
        <v>64</v>
      </c>
      <c r="CW1416" t="s">
        <v>1489</v>
      </c>
      <c r="CX1416" t="s">
        <v>20</v>
      </c>
      <c r="CY1416" s="4">
        <v>42878</v>
      </c>
      <c r="CZ1416" t="s">
        <v>65</v>
      </c>
      <c r="DA1416" t="s">
        <v>66</v>
      </c>
      <c r="DB1416">
        <v>23</v>
      </c>
      <c r="DC1416">
        <v>51.1</v>
      </c>
      <c r="DD1416" t="s">
        <v>69</v>
      </c>
      <c r="DE1416" t="s">
        <v>70</v>
      </c>
      <c r="DF1416">
        <v>1175.3</v>
      </c>
    </row>
    <row r="1417" spans="100:110" x14ac:dyDescent="0.25">
      <c r="CV1417" t="s">
        <v>64</v>
      </c>
      <c r="CW1417" t="s">
        <v>1490</v>
      </c>
      <c r="CX1417" t="s">
        <v>20</v>
      </c>
      <c r="CY1417" s="4">
        <v>42879</v>
      </c>
      <c r="CZ1417" t="s">
        <v>65</v>
      </c>
      <c r="DA1417" t="s">
        <v>66</v>
      </c>
      <c r="DB1417">
        <v>153</v>
      </c>
      <c r="DC1417">
        <v>50.91</v>
      </c>
      <c r="DD1417" t="s">
        <v>69</v>
      </c>
      <c r="DE1417" t="s">
        <v>70</v>
      </c>
      <c r="DF1417">
        <v>7789.23</v>
      </c>
    </row>
    <row r="1418" spans="100:110" x14ac:dyDescent="0.25">
      <c r="CV1418" t="s">
        <v>64</v>
      </c>
      <c r="CW1418" t="s">
        <v>1491</v>
      </c>
      <c r="CX1418" t="s">
        <v>20</v>
      </c>
      <c r="CY1418" s="4">
        <v>42880</v>
      </c>
      <c r="CZ1418" t="s">
        <v>67</v>
      </c>
      <c r="DA1418" t="s">
        <v>68</v>
      </c>
      <c r="DB1418">
        <v>131</v>
      </c>
      <c r="DC1418">
        <v>51.24</v>
      </c>
      <c r="DD1418" t="s">
        <v>69</v>
      </c>
      <c r="DE1418" t="s">
        <v>70</v>
      </c>
      <c r="DF1418">
        <v>6712.4400000000005</v>
      </c>
    </row>
    <row r="1419" spans="100:110" x14ac:dyDescent="0.25">
      <c r="CV1419" t="s">
        <v>64</v>
      </c>
      <c r="CW1419" t="s">
        <v>1492</v>
      </c>
      <c r="CX1419" t="s">
        <v>20</v>
      </c>
      <c r="CY1419" s="4">
        <v>42881</v>
      </c>
      <c r="CZ1419" t="s">
        <v>65</v>
      </c>
      <c r="DA1419" t="s">
        <v>66</v>
      </c>
      <c r="DB1419">
        <v>45</v>
      </c>
      <c r="DC1419">
        <v>51.48</v>
      </c>
      <c r="DD1419" t="s">
        <v>69</v>
      </c>
      <c r="DE1419" t="s">
        <v>70</v>
      </c>
      <c r="DF1419">
        <v>2316.6</v>
      </c>
    </row>
    <row r="1420" spans="100:110" x14ac:dyDescent="0.25">
      <c r="CV1420" t="s">
        <v>64</v>
      </c>
      <c r="CW1420" t="s">
        <v>1493</v>
      </c>
      <c r="CX1420" t="s">
        <v>20</v>
      </c>
      <c r="CY1420" s="4">
        <v>42885</v>
      </c>
      <c r="CZ1420" t="s">
        <v>65</v>
      </c>
      <c r="DA1420" t="s">
        <v>66</v>
      </c>
      <c r="DB1420">
        <v>14</v>
      </c>
      <c r="DC1420">
        <v>51.8</v>
      </c>
      <c r="DD1420" t="s">
        <v>69</v>
      </c>
      <c r="DE1420" t="s">
        <v>70</v>
      </c>
      <c r="DF1420">
        <v>725.19999999999993</v>
      </c>
    </row>
    <row r="1421" spans="100:110" x14ac:dyDescent="0.25">
      <c r="CV1421" t="s">
        <v>64</v>
      </c>
      <c r="CW1421" t="s">
        <v>1494</v>
      </c>
      <c r="CX1421" t="s">
        <v>20</v>
      </c>
      <c r="CY1421" s="4">
        <v>42886</v>
      </c>
      <c r="CZ1421" t="s">
        <v>67</v>
      </c>
      <c r="DA1421" t="s">
        <v>68</v>
      </c>
      <c r="DB1421">
        <v>38</v>
      </c>
      <c r="DC1421">
        <v>51.87</v>
      </c>
      <c r="DD1421" t="s">
        <v>69</v>
      </c>
      <c r="DE1421" t="s">
        <v>70</v>
      </c>
      <c r="DF1421">
        <v>1971.06</v>
      </c>
    </row>
    <row r="1422" spans="100:110" x14ac:dyDescent="0.25">
      <c r="CV1422" t="s">
        <v>64</v>
      </c>
      <c r="CW1422" t="s">
        <v>1495</v>
      </c>
      <c r="CX1422" t="s">
        <v>20</v>
      </c>
      <c r="CY1422" s="4">
        <v>42887</v>
      </c>
      <c r="CZ1422" t="s">
        <v>65</v>
      </c>
      <c r="DA1422" t="s">
        <v>66</v>
      </c>
      <c r="DB1422">
        <v>53</v>
      </c>
      <c r="DC1422">
        <v>51.37</v>
      </c>
      <c r="DD1422" t="s">
        <v>69</v>
      </c>
      <c r="DE1422" t="s">
        <v>70</v>
      </c>
      <c r="DF1422">
        <v>2722.6099999999997</v>
      </c>
    </row>
    <row r="1423" spans="100:110" x14ac:dyDescent="0.25">
      <c r="CV1423" t="s">
        <v>64</v>
      </c>
      <c r="CW1423" t="s">
        <v>1496</v>
      </c>
      <c r="CX1423" t="s">
        <v>20</v>
      </c>
      <c r="CY1423" s="4">
        <v>42888</v>
      </c>
      <c r="CZ1423" t="s">
        <v>67</v>
      </c>
      <c r="DA1423" t="s">
        <v>68</v>
      </c>
      <c r="DB1423">
        <v>29</v>
      </c>
      <c r="DC1423">
        <v>52.04</v>
      </c>
      <c r="DD1423" t="s">
        <v>69</v>
      </c>
      <c r="DE1423" t="s">
        <v>70</v>
      </c>
      <c r="DF1423">
        <v>1509.16</v>
      </c>
    </row>
    <row r="1424" spans="100:110" x14ac:dyDescent="0.25">
      <c r="CV1424" t="s">
        <v>64</v>
      </c>
      <c r="CW1424" t="s">
        <v>1497</v>
      </c>
      <c r="CX1424" t="s">
        <v>20</v>
      </c>
      <c r="CY1424" s="4">
        <v>42891</v>
      </c>
      <c r="CZ1424" t="s">
        <v>65</v>
      </c>
      <c r="DA1424" t="s">
        <v>66</v>
      </c>
      <c r="DB1424">
        <v>72</v>
      </c>
      <c r="DC1424">
        <v>52.07</v>
      </c>
      <c r="DD1424" t="s">
        <v>69</v>
      </c>
      <c r="DE1424" t="s">
        <v>70</v>
      </c>
      <c r="DF1424">
        <v>3749.04</v>
      </c>
    </row>
    <row r="1425" spans="100:110" x14ac:dyDescent="0.25">
      <c r="CV1425" t="s">
        <v>64</v>
      </c>
      <c r="CW1425" t="s">
        <v>1498</v>
      </c>
      <c r="CX1425" t="s">
        <v>20</v>
      </c>
      <c r="CY1425" s="4">
        <v>42892</v>
      </c>
      <c r="CZ1425" t="s">
        <v>67</v>
      </c>
      <c r="DA1425" t="s">
        <v>68</v>
      </c>
      <c r="DB1425">
        <v>159</v>
      </c>
      <c r="DC1425">
        <v>51.54</v>
      </c>
      <c r="DD1425" t="s">
        <v>69</v>
      </c>
      <c r="DE1425" t="s">
        <v>70</v>
      </c>
      <c r="DF1425">
        <v>8194.86</v>
      </c>
    </row>
    <row r="1426" spans="100:110" x14ac:dyDescent="0.25">
      <c r="CV1426" t="s">
        <v>64</v>
      </c>
      <c r="CW1426" t="s">
        <v>1499</v>
      </c>
      <c r="CX1426" t="s">
        <v>20</v>
      </c>
      <c r="CY1426" s="4">
        <v>42893</v>
      </c>
      <c r="CZ1426" t="s">
        <v>67</v>
      </c>
      <c r="DA1426" t="s">
        <v>68</v>
      </c>
      <c r="DB1426">
        <v>12</v>
      </c>
      <c r="DC1426">
        <v>52.28</v>
      </c>
      <c r="DD1426" t="s">
        <v>69</v>
      </c>
      <c r="DE1426" t="s">
        <v>70</v>
      </c>
      <c r="DF1426">
        <v>627.36</v>
      </c>
    </row>
    <row r="1427" spans="100:110" x14ac:dyDescent="0.25">
      <c r="CV1427" t="s">
        <v>64</v>
      </c>
      <c r="CW1427" t="s">
        <v>1500</v>
      </c>
      <c r="CX1427" t="s">
        <v>20</v>
      </c>
      <c r="CY1427" s="4">
        <v>42894</v>
      </c>
      <c r="CZ1427" t="s">
        <v>65</v>
      </c>
      <c r="DA1427" t="s">
        <v>66</v>
      </c>
      <c r="DB1427">
        <v>27</v>
      </c>
      <c r="DC1427">
        <v>52.25</v>
      </c>
      <c r="DD1427" t="s">
        <v>69</v>
      </c>
      <c r="DE1427" t="s">
        <v>70</v>
      </c>
      <c r="DF1427">
        <v>1410.75</v>
      </c>
    </row>
    <row r="1428" spans="100:110" x14ac:dyDescent="0.25">
      <c r="CV1428" t="s">
        <v>64</v>
      </c>
      <c r="CW1428" t="s">
        <v>1501</v>
      </c>
      <c r="CX1428" t="s">
        <v>20</v>
      </c>
      <c r="CY1428" s="4">
        <v>42895</v>
      </c>
      <c r="CZ1428" t="s">
        <v>65</v>
      </c>
      <c r="DA1428" t="s">
        <v>66</v>
      </c>
      <c r="DB1428">
        <v>123</v>
      </c>
      <c r="DC1428">
        <v>52.51</v>
      </c>
      <c r="DD1428" t="s">
        <v>69</v>
      </c>
      <c r="DE1428" t="s">
        <v>70</v>
      </c>
      <c r="DF1428">
        <v>6458.73</v>
      </c>
    </row>
    <row r="1429" spans="100:110" x14ac:dyDescent="0.25">
      <c r="CV1429" t="s">
        <v>64</v>
      </c>
      <c r="CW1429" t="s">
        <v>1502</v>
      </c>
      <c r="CX1429" t="s">
        <v>20</v>
      </c>
      <c r="CY1429" s="4">
        <v>42898</v>
      </c>
      <c r="CZ1429" t="s">
        <v>65</v>
      </c>
      <c r="DA1429" t="s">
        <v>66</v>
      </c>
      <c r="DB1429">
        <v>17</v>
      </c>
      <c r="DC1429">
        <v>53.07</v>
      </c>
      <c r="DD1429" t="s">
        <v>69</v>
      </c>
      <c r="DE1429" t="s">
        <v>70</v>
      </c>
      <c r="DF1429">
        <v>902.19</v>
      </c>
    </row>
    <row r="1430" spans="100:110" x14ac:dyDescent="0.25">
      <c r="CV1430" t="s">
        <v>64</v>
      </c>
      <c r="CW1430" t="s">
        <v>1503</v>
      </c>
      <c r="CX1430" t="s">
        <v>20</v>
      </c>
      <c r="CY1430" s="4">
        <v>42899</v>
      </c>
      <c r="CZ1430" t="s">
        <v>67</v>
      </c>
      <c r="DA1430" t="s">
        <v>68</v>
      </c>
      <c r="DB1430">
        <v>10</v>
      </c>
      <c r="DC1430">
        <v>53.34</v>
      </c>
      <c r="DD1430" t="s">
        <v>69</v>
      </c>
      <c r="DE1430" t="s">
        <v>70</v>
      </c>
      <c r="DF1430">
        <v>533.40000000000009</v>
      </c>
    </row>
    <row r="1431" spans="100:110" x14ac:dyDescent="0.25">
      <c r="CV1431" t="s">
        <v>64</v>
      </c>
      <c r="CW1431" t="s">
        <v>1504</v>
      </c>
      <c r="CX1431" t="s">
        <v>20</v>
      </c>
      <c r="CY1431" s="4">
        <v>42900</v>
      </c>
      <c r="CZ1431" t="s">
        <v>67</v>
      </c>
      <c r="DA1431" t="s">
        <v>68</v>
      </c>
      <c r="DB1431">
        <v>109</v>
      </c>
      <c r="DC1431">
        <v>53.69</v>
      </c>
      <c r="DD1431" t="s">
        <v>69</v>
      </c>
      <c r="DE1431" t="s">
        <v>70</v>
      </c>
      <c r="DF1431">
        <v>5852.21</v>
      </c>
    </row>
    <row r="1432" spans="100:110" x14ac:dyDescent="0.25">
      <c r="CV1432" t="s">
        <v>64</v>
      </c>
      <c r="CW1432" t="s">
        <v>1505</v>
      </c>
      <c r="CX1432" t="s">
        <v>20</v>
      </c>
      <c r="CY1432" s="4">
        <v>42901</v>
      </c>
      <c r="CZ1432" t="s">
        <v>65</v>
      </c>
      <c r="DA1432" t="s">
        <v>66</v>
      </c>
      <c r="DB1432">
        <v>64</v>
      </c>
      <c r="DC1432">
        <v>51.96</v>
      </c>
      <c r="DD1432" t="s">
        <v>69</v>
      </c>
      <c r="DE1432" t="s">
        <v>70</v>
      </c>
      <c r="DF1432">
        <v>3325.44</v>
      </c>
    </row>
    <row r="1433" spans="100:110" x14ac:dyDescent="0.25">
      <c r="CV1433" t="s">
        <v>64</v>
      </c>
      <c r="CW1433" t="s">
        <v>1506</v>
      </c>
      <c r="CX1433" t="s">
        <v>20</v>
      </c>
      <c r="CY1433" s="4">
        <v>42902</v>
      </c>
      <c r="CZ1433" t="s">
        <v>67</v>
      </c>
      <c r="DA1433" t="s">
        <v>68</v>
      </c>
      <c r="DB1433">
        <v>89</v>
      </c>
      <c r="DC1433">
        <v>50.19</v>
      </c>
      <c r="DD1433" t="s">
        <v>69</v>
      </c>
      <c r="DE1433" t="s">
        <v>70</v>
      </c>
      <c r="DF1433">
        <v>4466.91</v>
      </c>
    </row>
    <row r="1434" spans="100:110" x14ac:dyDescent="0.25">
      <c r="CV1434" t="s">
        <v>64</v>
      </c>
      <c r="CW1434" t="s">
        <v>1507</v>
      </c>
      <c r="CX1434" t="s">
        <v>20</v>
      </c>
      <c r="CY1434" s="4">
        <v>42905</v>
      </c>
      <c r="CZ1434" t="s">
        <v>65</v>
      </c>
      <c r="DA1434" t="s">
        <v>66</v>
      </c>
      <c r="DB1434">
        <v>125</v>
      </c>
      <c r="DC1434">
        <v>51.09</v>
      </c>
      <c r="DD1434" t="s">
        <v>69</v>
      </c>
      <c r="DE1434" t="s">
        <v>70</v>
      </c>
      <c r="DF1434">
        <v>6386.25</v>
      </c>
    </row>
    <row r="1435" spans="100:110" x14ac:dyDescent="0.25">
      <c r="CV1435" t="s">
        <v>64</v>
      </c>
      <c r="CW1435" t="s">
        <v>1508</v>
      </c>
      <c r="CX1435" t="s">
        <v>20</v>
      </c>
      <c r="CY1435" s="4">
        <v>42906</v>
      </c>
      <c r="CZ1435" t="s">
        <v>67</v>
      </c>
      <c r="DA1435" t="s">
        <v>68</v>
      </c>
      <c r="DB1435">
        <v>34</v>
      </c>
      <c r="DC1435">
        <v>50.64</v>
      </c>
      <c r="DD1435" t="s">
        <v>69</v>
      </c>
      <c r="DE1435" t="s">
        <v>70</v>
      </c>
      <c r="DF1435">
        <v>1721.76</v>
      </c>
    </row>
    <row r="1436" spans="100:110" x14ac:dyDescent="0.25">
      <c r="CV1436" t="s">
        <v>64</v>
      </c>
      <c r="CW1436" t="s">
        <v>1509</v>
      </c>
      <c r="CX1436" t="s">
        <v>20</v>
      </c>
      <c r="CY1436" s="4">
        <v>42907</v>
      </c>
      <c r="CZ1436" t="s">
        <v>65</v>
      </c>
      <c r="DA1436" t="s">
        <v>66</v>
      </c>
      <c r="DB1436">
        <v>20</v>
      </c>
      <c r="DC1436">
        <v>51.65</v>
      </c>
      <c r="DD1436" t="s">
        <v>69</v>
      </c>
      <c r="DE1436" t="s">
        <v>70</v>
      </c>
      <c r="DF1436">
        <v>1033</v>
      </c>
    </row>
    <row r="1437" spans="100:110" x14ac:dyDescent="0.25">
      <c r="CV1437" t="s">
        <v>64</v>
      </c>
      <c r="CW1437" t="s">
        <v>1510</v>
      </c>
      <c r="CX1437" t="s">
        <v>20</v>
      </c>
      <c r="CY1437" s="4">
        <v>42908</v>
      </c>
      <c r="CZ1437" t="s">
        <v>67</v>
      </c>
      <c r="DA1437" t="s">
        <v>68</v>
      </c>
      <c r="DB1437">
        <v>58</v>
      </c>
      <c r="DC1437">
        <v>51.47</v>
      </c>
      <c r="DD1437" t="s">
        <v>69</v>
      </c>
      <c r="DE1437" t="s">
        <v>70</v>
      </c>
      <c r="DF1437">
        <v>2985.2599999999998</v>
      </c>
    </row>
    <row r="1438" spans="100:110" x14ac:dyDescent="0.25">
      <c r="CV1438" t="s">
        <v>64</v>
      </c>
      <c r="CW1438" t="s">
        <v>1511</v>
      </c>
      <c r="CX1438" t="s">
        <v>20</v>
      </c>
      <c r="CY1438" s="4">
        <v>42909</v>
      </c>
      <c r="CZ1438" t="s">
        <v>65</v>
      </c>
      <c r="DA1438" t="s">
        <v>66</v>
      </c>
      <c r="DB1438">
        <v>86</v>
      </c>
      <c r="DC1438">
        <v>51.91</v>
      </c>
      <c r="DD1438" t="s">
        <v>69</v>
      </c>
      <c r="DE1438" t="s">
        <v>70</v>
      </c>
      <c r="DF1438">
        <v>4464.2599999999993</v>
      </c>
    </row>
    <row r="1439" spans="100:110" x14ac:dyDescent="0.25">
      <c r="CV1439" t="s">
        <v>64</v>
      </c>
      <c r="CW1439" t="s">
        <v>1512</v>
      </c>
      <c r="CX1439" t="s">
        <v>20</v>
      </c>
      <c r="CY1439" s="4">
        <v>42912</v>
      </c>
      <c r="CZ1439" t="s">
        <v>67</v>
      </c>
      <c r="DA1439" t="s">
        <v>68</v>
      </c>
      <c r="DB1439">
        <v>130</v>
      </c>
      <c r="DC1439">
        <v>52.33</v>
      </c>
      <c r="DD1439" t="s">
        <v>69</v>
      </c>
      <c r="DE1439" t="s">
        <v>70</v>
      </c>
      <c r="DF1439">
        <v>6802.9</v>
      </c>
    </row>
    <row r="1440" spans="100:110" x14ac:dyDescent="0.25">
      <c r="CV1440" t="s">
        <v>64</v>
      </c>
      <c r="CW1440" t="s">
        <v>1513</v>
      </c>
      <c r="CX1440" t="s">
        <v>20</v>
      </c>
      <c r="CY1440" s="4">
        <v>42913</v>
      </c>
      <c r="CZ1440" t="s">
        <v>65</v>
      </c>
      <c r="DA1440" t="s">
        <v>66</v>
      </c>
      <c r="DB1440">
        <v>78</v>
      </c>
      <c r="DC1440">
        <v>52.01</v>
      </c>
      <c r="DD1440" t="s">
        <v>69</v>
      </c>
      <c r="DE1440" t="s">
        <v>70</v>
      </c>
      <c r="DF1440">
        <v>4056.7799999999997</v>
      </c>
    </row>
    <row r="1441" spans="100:110" x14ac:dyDescent="0.25">
      <c r="CV1441" t="s">
        <v>64</v>
      </c>
      <c r="CW1441" t="s">
        <v>1514</v>
      </c>
      <c r="CX1441" t="s">
        <v>20</v>
      </c>
      <c r="CY1441" s="4">
        <v>42914</v>
      </c>
      <c r="CZ1441" t="s">
        <v>65</v>
      </c>
      <c r="DA1441" t="s">
        <v>66</v>
      </c>
      <c r="DB1441">
        <v>12</v>
      </c>
      <c r="DC1441">
        <v>52.41</v>
      </c>
      <c r="DD1441" t="s">
        <v>69</v>
      </c>
      <c r="DE1441" t="s">
        <v>70</v>
      </c>
      <c r="DF1441">
        <v>628.91999999999996</v>
      </c>
    </row>
    <row r="1442" spans="100:110" x14ac:dyDescent="0.25">
      <c r="CV1442" t="s">
        <v>64</v>
      </c>
      <c r="CW1442" t="s">
        <v>1515</v>
      </c>
      <c r="CX1442" t="s">
        <v>20</v>
      </c>
      <c r="CY1442" s="4">
        <v>42915</v>
      </c>
      <c r="CZ1442" t="s">
        <v>65</v>
      </c>
      <c r="DA1442" t="s">
        <v>66</v>
      </c>
      <c r="DB1442">
        <v>2</v>
      </c>
      <c r="DC1442">
        <v>52.22</v>
      </c>
      <c r="DD1442" t="s">
        <v>69</v>
      </c>
      <c r="DE1442" t="s">
        <v>70</v>
      </c>
      <c r="DF1442">
        <v>104.44</v>
      </c>
    </row>
    <row r="1443" spans="100:110" x14ac:dyDescent="0.25">
      <c r="CV1443" t="s">
        <v>64</v>
      </c>
      <c r="CW1443" t="s">
        <v>1516</v>
      </c>
      <c r="CX1443" t="s">
        <v>20</v>
      </c>
      <c r="CY1443" s="4">
        <v>42916</v>
      </c>
      <c r="CZ1443" t="s">
        <v>65</v>
      </c>
      <c r="DA1443" t="s">
        <v>66</v>
      </c>
      <c r="DB1443">
        <v>54</v>
      </c>
      <c r="DC1443">
        <v>57.95</v>
      </c>
      <c r="DD1443" t="s">
        <v>69</v>
      </c>
      <c r="DE1443" t="s">
        <v>70</v>
      </c>
      <c r="DF1443">
        <v>3129.3</v>
      </c>
    </row>
    <row r="1444" spans="100:110" x14ac:dyDescent="0.25">
      <c r="CV1444" t="s">
        <v>64</v>
      </c>
      <c r="CW1444" t="s">
        <v>1517</v>
      </c>
      <c r="CX1444" t="s">
        <v>20</v>
      </c>
      <c r="CY1444" s="4">
        <v>42919</v>
      </c>
      <c r="CZ1444" t="s">
        <v>67</v>
      </c>
      <c r="DA1444" t="s">
        <v>68</v>
      </c>
      <c r="DB1444">
        <v>54</v>
      </c>
      <c r="DC1444">
        <v>57.6</v>
      </c>
      <c r="DD1444" t="s">
        <v>69</v>
      </c>
      <c r="DE1444" t="s">
        <v>70</v>
      </c>
      <c r="DF1444">
        <v>3110.4</v>
      </c>
    </row>
    <row r="1445" spans="100:110" x14ac:dyDescent="0.25">
      <c r="CV1445" t="s">
        <v>64</v>
      </c>
      <c r="CW1445" t="s">
        <v>1518</v>
      </c>
      <c r="CX1445" t="s">
        <v>20</v>
      </c>
      <c r="CY1445" s="4">
        <v>42921</v>
      </c>
      <c r="CZ1445" t="s">
        <v>67</v>
      </c>
      <c r="DA1445" t="s">
        <v>68</v>
      </c>
      <c r="DB1445">
        <v>76</v>
      </c>
      <c r="DC1445">
        <v>56.53</v>
      </c>
      <c r="DD1445" t="s">
        <v>69</v>
      </c>
      <c r="DE1445" t="s">
        <v>70</v>
      </c>
      <c r="DF1445">
        <v>4296.28</v>
      </c>
    </row>
    <row r="1446" spans="100:110" x14ac:dyDescent="0.25">
      <c r="CV1446" t="s">
        <v>64</v>
      </c>
      <c r="CW1446" t="s">
        <v>1519</v>
      </c>
      <c r="CX1446" t="s">
        <v>20</v>
      </c>
      <c r="CY1446" s="4">
        <v>42922</v>
      </c>
      <c r="CZ1446" t="s">
        <v>67</v>
      </c>
      <c r="DA1446" t="s">
        <v>68</v>
      </c>
      <c r="DB1446">
        <v>40</v>
      </c>
      <c r="DC1446">
        <v>56.14</v>
      </c>
      <c r="DD1446" t="s">
        <v>69</v>
      </c>
      <c r="DE1446" t="s">
        <v>70</v>
      </c>
      <c r="DF1446">
        <v>2245.6</v>
      </c>
    </row>
    <row r="1447" spans="100:110" x14ac:dyDescent="0.25">
      <c r="CV1447" t="s">
        <v>64</v>
      </c>
      <c r="CW1447" t="s">
        <v>1520</v>
      </c>
      <c r="CX1447" t="s">
        <v>20</v>
      </c>
      <c r="CY1447" s="4">
        <v>42923</v>
      </c>
      <c r="CZ1447" t="s">
        <v>65</v>
      </c>
      <c r="DA1447" t="s">
        <v>66</v>
      </c>
      <c r="DB1447">
        <v>45</v>
      </c>
      <c r="DC1447">
        <v>56.95</v>
      </c>
      <c r="DD1447" t="s">
        <v>69</v>
      </c>
      <c r="DE1447" t="s">
        <v>70</v>
      </c>
      <c r="DF1447">
        <v>2562.75</v>
      </c>
    </row>
    <row r="1448" spans="100:110" x14ac:dyDescent="0.25">
      <c r="CV1448" t="s">
        <v>64</v>
      </c>
      <c r="CW1448" t="s">
        <v>1521</v>
      </c>
      <c r="CX1448" t="s">
        <v>20</v>
      </c>
      <c r="CY1448" s="4">
        <v>42926</v>
      </c>
      <c r="CZ1448" t="s">
        <v>65</v>
      </c>
      <c r="DA1448" t="s">
        <v>66</v>
      </c>
      <c r="DB1448">
        <v>29</v>
      </c>
      <c r="DC1448">
        <v>57.68</v>
      </c>
      <c r="DD1448" t="s">
        <v>69</v>
      </c>
      <c r="DE1448" t="s">
        <v>70</v>
      </c>
      <c r="DF1448">
        <v>1672.72</v>
      </c>
    </row>
    <row r="1449" spans="100:110" x14ac:dyDescent="0.25">
      <c r="CV1449" t="s">
        <v>64</v>
      </c>
      <c r="CW1449" t="s">
        <v>1522</v>
      </c>
      <c r="CX1449" t="s">
        <v>20</v>
      </c>
      <c r="CY1449" s="4">
        <v>42927</v>
      </c>
      <c r="CZ1449" t="s">
        <v>67</v>
      </c>
      <c r="DA1449" t="s">
        <v>68</v>
      </c>
      <c r="DB1449">
        <v>17</v>
      </c>
      <c r="DC1449">
        <v>57.14</v>
      </c>
      <c r="DD1449" t="s">
        <v>69</v>
      </c>
      <c r="DE1449" t="s">
        <v>70</v>
      </c>
      <c r="DF1449">
        <v>971.38</v>
      </c>
    </row>
    <row r="1450" spans="100:110" x14ac:dyDescent="0.25">
      <c r="CV1450" t="s">
        <v>64</v>
      </c>
      <c r="CW1450" t="s">
        <v>1523</v>
      </c>
      <c r="CX1450" t="s">
        <v>20</v>
      </c>
      <c r="CY1450" s="4">
        <v>42928</v>
      </c>
      <c r="CZ1450" t="s">
        <v>67</v>
      </c>
      <c r="DA1450" t="s">
        <v>68</v>
      </c>
      <c r="DB1450">
        <v>11</v>
      </c>
      <c r="DC1450">
        <v>57.18</v>
      </c>
      <c r="DD1450" t="s">
        <v>69</v>
      </c>
      <c r="DE1450" t="s">
        <v>70</v>
      </c>
      <c r="DF1450">
        <v>628.98</v>
      </c>
    </row>
    <row r="1451" spans="100:110" x14ac:dyDescent="0.25">
      <c r="CV1451" t="s">
        <v>64</v>
      </c>
      <c r="CW1451" t="s">
        <v>1524</v>
      </c>
      <c r="CX1451" t="s">
        <v>20</v>
      </c>
      <c r="CY1451" s="4">
        <v>42929</v>
      </c>
      <c r="CZ1451" t="s">
        <v>67</v>
      </c>
      <c r="DA1451" t="s">
        <v>68</v>
      </c>
      <c r="DB1451">
        <v>66</v>
      </c>
      <c r="DC1451">
        <v>56.91</v>
      </c>
      <c r="DD1451" t="s">
        <v>69</v>
      </c>
      <c r="DE1451" t="s">
        <v>70</v>
      </c>
      <c r="DF1451">
        <v>3756.06</v>
      </c>
    </row>
    <row r="1452" spans="100:110" x14ac:dyDescent="0.25">
      <c r="CV1452" t="s">
        <v>64</v>
      </c>
      <c r="CW1452" t="s">
        <v>1525</v>
      </c>
      <c r="CX1452" t="s">
        <v>20</v>
      </c>
      <c r="CY1452" s="4">
        <v>42930</v>
      </c>
      <c r="CZ1452" t="s">
        <v>65</v>
      </c>
      <c r="DA1452" t="s">
        <v>66</v>
      </c>
      <c r="DB1452">
        <v>170</v>
      </c>
      <c r="DC1452">
        <v>56.97</v>
      </c>
      <c r="DD1452" t="s">
        <v>69</v>
      </c>
      <c r="DE1452" t="s">
        <v>70</v>
      </c>
      <c r="DF1452">
        <v>9684.9</v>
      </c>
    </row>
    <row r="1453" spans="100:110" x14ac:dyDescent="0.25">
      <c r="CV1453" t="s">
        <v>64</v>
      </c>
      <c r="CW1453" t="s">
        <v>1526</v>
      </c>
      <c r="CX1453" t="s">
        <v>20</v>
      </c>
      <c r="CY1453" s="4">
        <v>42933</v>
      </c>
      <c r="CZ1453" t="s">
        <v>67</v>
      </c>
      <c r="DA1453" t="s">
        <v>68</v>
      </c>
      <c r="DB1453">
        <v>135</v>
      </c>
      <c r="DC1453">
        <v>56.76</v>
      </c>
      <c r="DD1453" t="s">
        <v>69</v>
      </c>
      <c r="DE1453" t="s">
        <v>70</v>
      </c>
      <c r="DF1453">
        <v>7662.5999999999995</v>
      </c>
    </row>
    <row r="1454" spans="100:110" x14ac:dyDescent="0.25">
      <c r="CV1454" t="s">
        <v>64</v>
      </c>
      <c r="CW1454" t="s">
        <v>1527</v>
      </c>
      <c r="CX1454" t="s">
        <v>20</v>
      </c>
      <c r="CY1454" s="4">
        <v>42934</v>
      </c>
      <c r="CZ1454" t="s">
        <v>67</v>
      </c>
      <c r="DA1454" t="s">
        <v>68</v>
      </c>
      <c r="DB1454">
        <v>25</v>
      </c>
      <c r="DC1454">
        <v>56.62</v>
      </c>
      <c r="DD1454" t="s">
        <v>69</v>
      </c>
      <c r="DE1454" t="s">
        <v>70</v>
      </c>
      <c r="DF1454">
        <v>1415.5</v>
      </c>
    </row>
    <row r="1455" spans="100:110" x14ac:dyDescent="0.25">
      <c r="CV1455" t="s">
        <v>64</v>
      </c>
      <c r="CW1455" t="s">
        <v>1528</v>
      </c>
      <c r="CX1455" t="s">
        <v>20</v>
      </c>
      <c r="CY1455" s="4">
        <v>42935</v>
      </c>
      <c r="CZ1455" t="s">
        <v>65</v>
      </c>
      <c r="DA1455" t="s">
        <v>66</v>
      </c>
      <c r="DB1455">
        <v>125</v>
      </c>
      <c r="DC1455">
        <v>56.74</v>
      </c>
      <c r="DD1455" t="s">
        <v>69</v>
      </c>
      <c r="DE1455" t="s">
        <v>70</v>
      </c>
      <c r="DF1455">
        <v>7092.5</v>
      </c>
    </row>
    <row r="1456" spans="100:110" x14ac:dyDescent="0.25">
      <c r="CV1456" t="s">
        <v>64</v>
      </c>
      <c r="CW1456" t="s">
        <v>1529</v>
      </c>
      <c r="CX1456" t="s">
        <v>20</v>
      </c>
      <c r="CY1456" s="4">
        <v>42936</v>
      </c>
      <c r="CZ1456" t="s">
        <v>65</v>
      </c>
      <c r="DA1456" t="s">
        <v>66</v>
      </c>
      <c r="DB1456">
        <v>16</v>
      </c>
      <c r="DC1456">
        <v>58.05</v>
      </c>
      <c r="DD1456" t="s">
        <v>69</v>
      </c>
      <c r="DE1456" t="s">
        <v>70</v>
      </c>
      <c r="DF1456">
        <v>928.8</v>
      </c>
    </row>
    <row r="1457" spans="100:110" x14ac:dyDescent="0.25">
      <c r="CV1457" t="s">
        <v>64</v>
      </c>
      <c r="CW1457" t="s">
        <v>1530</v>
      </c>
      <c r="CX1457" t="s">
        <v>20</v>
      </c>
      <c r="CY1457" s="4">
        <v>42937</v>
      </c>
      <c r="CZ1457" t="s">
        <v>67</v>
      </c>
      <c r="DA1457" t="s">
        <v>68</v>
      </c>
      <c r="DB1457">
        <v>115</v>
      </c>
      <c r="DC1457">
        <v>58.88</v>
      </c>
      <c r="DD1457" t="s">
        <v>69</v>
      </c>
      <c r="DE1457" t="s">
        <v>70</v>
      </c>
      <c r="DF1457">
        <v>6771.2000000000007</v>
      </c>
    </row>
    <row r="1458" spans="100:110" x14ac:dyDescent="0.25">
      <c r="CV1458" t="s">
        <v>64</v>
      </c>
      <c r="CW1458" t="s">
        <v>1531</v>
      </c>
      <c r="CX1458" t="s">
        <v>20</v>
      </c>
      <c r="CY1458" s="4">
        <v>42940</v>
      </c>
      <c r="CZ1458" t="s">
        <v>67</v>
      </c>
      <c r="DA1458" t="s">
        <v>68</v>
      </c>
      <c r="DB1458">
        <v>3</v>
      </c>
      <c r="DC1458">
        <v>57.9</v>
      </c>
      <c r="DD1458" t="s">
        <v>69</v>
      </c>
      <c r="DE1458" t="s">
        <v>70</v>
      </c>
      <c r="DF1458">
        <v>173.7</v>
      </c>
    </row>
    <row r="1459" spans="100:110" x14ac:dyDescent="0.25">
      <c r="CV1459" t="s">
        <v>64</v>
      </c>
      <c r="CW1459" t="s">
        <v>1532</v>
      </c>
      <c r="CX1459" t="s">
        <v>20</v>
      </c>
      <c r="CY1459" s="4">
        <v>42941</v>
      </c>
      <c r="CZ1459" t="s">
        <v>65</v>
      </c>
      <c r="DA1459" t="s">
        <v>66</v>
      </c>
      <c r="DB1459">
        <v>10</v>
      </c>
      <c r="DC1459">
        <v>58.33</v>
      </c>
      <c r="DD1459" t="s">
        <v>69</v>
      </c>
      <c r="DE1459" t="s">
        <v>70</v>
      </c>
      <c r="DF1459">
        <v>583.29999999999995</v>
      </c>
    </row>
    <row r="1460" spans="100:110" x14ac:dyDescent="0.25">
      <c r="CV1460" t="s">
        <v>64</v>
      </c>
      <c r="CW1460" t="s">
        <v>1533</v>
      </c>
      <c r="CX1460" t="s">
        <v>20</v>
      </c>
      <c r="CY1460" s="4">
        <v>42942</v>
      </c>
      <c r="CZ1460" t="s">
        <v>65</v>
      </c>
      <c r="DA1460" t="s">
        <v>66</v>
      </c>
      <c r="DB1460">
        <v>95</v>
      </c>
      <c r="DC1460">
        <v>57.32</v>
      </c>
      <c r="DD1460" t="s">
        <v>69</v>
      </c>
      <c r="DE1460" t="s">
        <v>70</v>
      </c>
      <c r="DF1460">
        <v>5445.4</v>
      </c>
    </row>
    <row r="1461" spans="100:110" x14ac:dyDescent="0.25">
      <c r="CV1461" t="s">
        <v>64</v>
      </c>
      <c r="CW1461" t="s">
        <v>1534</v>
      </c>
      <c r="CX1461" t="s">
        <v>20</v>
      </c>
      <c r="CY1461" s="4">
        <v>42943</v>
      </c>
      <c r="CZ1461" t="s">
        <v>67</v>
      </c>
      <c r="DA1461" t="s">
        <v>68</v>
      </c>
      <c r="DB1461">
        <v>94</v>
      </c>
      <c r="DC1461">
        <v>57.11</v>
      </c>
      <c r="DD1461" t="s">
        <v>69</v>
      </c>
      <c r="DE1461" t="s">
        <v>70</v>
      </c>
      <c r="DF1461">
        <v>5368.34</v>
      </c>
    </row>
    <row r="1462" spans="100:110" x14ac:dyDescent="0.25">
      <c r="CV1462" t="s">
        <v>64</v>
      </c>
      <c r="CW1462" t="s">
        <v>1535</v>
      </c>
      <c r="CX1462" t="s">
        <v>20</v>
      </c>
      <c r="CY1462" s="4">
        <v>42944</v>
      </c>
      <c r="CZ1462" t="s">
        <v>67</v>
      </c>
      <c r="DA1462" t="s">
        <v>68</v>
      </c>
      <c r="DB1462">
        <v>12</v>
      </c>
      <c r="DC1462">
        <v>57.62</v>
      </c>
      <c r="DD1462" t="s">
        <v>69</v>
      </c>
      <c r="DE1462" t="s">
        <v>70</v>
      </c>
      <c r="DF1462">
        <v>691.43999999999994</v>
      </c>
    </row>
    <row r="1463" spans="100:110" x14ac:dyDescent="0.25">
      <c r="CV1463" t="s">
        <v>64</v>
      </c>
      <c r="CW1463" t="s">
        <v>1536</v>
      </c>
      <c r="CX1463" t="s">
        <v>20</v>
      </c>
      <c r="CY1463" s="4">
        <v>42947</v>
      </c>
      <c r="CZ1463" t="s">
        <v>65</v>
      </c>
      <c r="DA1463" t="s">
        <v>66</v>
      </c>
      <c r="DB1463">
        <v>104</v>
      </c>
      <c r="DC1463">
        <v>58</v>
      </c>
      <c r="DD1463" t="s">
        <v>69</v>
      </c>
      <c r="DE1463" t="s">
        <v>70</v>
      </c>
      <c r="DF1463">
        <v>6032</v>
      </c>
    </row>
    <row r="1464" spans="100:110" x14ac:dyDescent="0.25">
      <c r="CV1464" t="s">
        <v>64</v>
      </c>
      <c r="CW1464" t="s">
        <v>1537</v>
      </c>
      <c r="CX1464" t="s">
        <v>20</v>
      </c>
      <c r="CY1464" s="4">
        <v>42948</v>
      </c>
      <c r="CZ1464" t="s">
        <v>67</v>
      </c>
      <c r="DA1464" t="s">
        <v>68</v>
      </c>
      <c r="DB1464">
        <v>19</v>
      </c>
      <c r="DC1464">
        <v>58.77</v>
      </c>
      <c r="DD1464" t="s">
        <v>69</v>
      </c>
      <c r="DE1464" t="s">
        <v>70</v>
      </c>
      <c r="DF1464">
        <v>1116.6300000000001</v>
      </c>
    </row>
    <row r="1465" spans="100:110" x14ac:dyDescent="0.25">
      <c r="CV1465" t="s">
        <v>64</v>
      </c>
      <c r="CW1465" t="s">
        <v>1538</v>
      </c>
      <c r="CX1465" t="s">
        <v>20</v>
      </c>
      <c r="CY1465" s="4">
        <v>42949</v>
      </c>
      <c r="CZ1465" t="s">
        <v>67</v>
      </c>
      <c r="DA1465" t="s">
        <v>68</v>
      </c>
      <c r="DB1465">
        <v>43</v>
      </c>
      <c r="DC1465">
        <v>58.72</v>
      </c>
      <c r="DD1465" t="s">
        <v>69</v>
      </c>
      <c r="DE1465" t="s">
        <v>70</v>
      </c>
      <c r="DF1465">
        <v>2524.96</v>
      </c>
    </row>
    <row r="1466" spans="100:110" x14ac:dyDescent="0.25">
      <c r="CV1466" t="s">
        <v>64</v>
      </c>
      <c r="CW1466" t="s">
        <v>1539</v>
      </c>
      <c r="CX1466" t="s">
        <v>20</v>
      </c>
      <c r="CY1466" s="4">
        <v>42950</v>
      </c>
      <c r="CZ1466" t="s">
        <v>65</v>
      </c>
      <c r="DA1466" t="s">
        <v>66</v>
      </c>
      <c r="DB1466">
        <v>45</v>
      </c>
      <c r="DC1466">
        <v>59.07</v>
      </c>
      <c r="DD1466" t="s">
        <v>69</v>
      </c>
      <c r="DE1466" t="s">
        <v>70</v>
      </c>
      <c r="DF1466">
        <v>2658.15</v>
      </c>
    </row>
    <row r="1467" spans="100:110" x14ac:dyDescent="0.25">
      <c r="CV1467" t="s">
        <v>64</v>
      </c>
      <c r="CW1467" t="s">
        <v>1540</v>
      </c>
      <c r="CX1467" t="s">
        <v>20</v>
      </c>
      <c r="CY1467" s="4">
        <v>42951</v>
      </c>
      <c r="CZ1467" t="s">
        <v>67</v>
      </c>
      <c r="DA1467" t="s">
        <v>68</v>
      </c>
      <c r="DB1467">
        <v>46</v>
      </c>
      <c r="DC1467">
        <v>58.7</v>
      </c>
      <c r="DD1467" t="s">
        <v>69</v>
      </c>
      <c r="DE1467" t="s">
        <v>70</v>
      </c>
      <c r="DF1467">
        <v>2700.2000000000003</v>
      </c>
    </row>
    <row r="1468" spans="100:110" x14ac:dyDescent="0.25">
      <c r="CV1468" t="s">
        <v>64</v>
      </c>
      <c r="CW1468" t="s">
        <v>1541</v>
      </c>
      <c r="CX1468" t="s">
        <v>20</v>
      </c>
      <c r="CY1468" s="4">
        <v>42954</v>
      </c>
      <c r="CZ1468" t="s">
        <v>65</v>
      </c>
      <c r="DA1468" t="s">
        <v>66</v>
      </c>
      <c r="DB1468">
        <v>64</v>
      </c>
      <c r="DC1468">
        <v>58.72</v>
      </c>
      <c r="DD1468" t="s">
        <v>69</v>
      </c>
      <c r="DE1468" t="s">
        <v>70</v>
      </c>
      <c r="DF1468">
        <v>3758.08</v>
      </c>
    </row>
    <row r="1469" spans="100:110" x14ac:dyDescent="0.25">
      <c r="CV1469" t="s">
        <v>64</v>
      </c>
      <c r="CW1469" t="s">
        <v>1542</v>
      </c>
      <c r="CX1469" t="s">
        <v>20</v>
      </c>
      <c r="CY1469" s="4">
        <v>42955</v>
      </c>
      <c r="CZ1469" t="s">
        <v>67</v>
      </c>
      <c r="DA1469" t="s">
        <v>68</v>
      </c>
      <c r="DB1469">
        <v>45</v>
      </c>
      <c r="DC1469">
        <v>58.4</v>
      </c>
      <c r="DD1469" t="s">
        <v>69</v>
      </c>
      <c r="DE1469" t="s">
        <v>70</v>
      </c>
      <c r="DF1469">
        <v>2628</v>
      </c>
    </row>
    <row r="1470" spans="100:110" x14ac:dyDescent="0.25">
      <c r="CV1470" t="s">
        <v>64</v>
      </c>
      <c r="CW1470" t="s">
        <v>1543</v>
      </c>
      <c r="CX1470" t="s">
        <v>20</v>
      </c>
      <c r="CY1470" s="4">
        <v>42956</v>
      </c>
      <c r="CZ1470" t="s">
        <v>67</v>
      </c>
      <c r="DA1470" t="s">
        <v>68</v>
      </c>
      <c r="DB1470">
        <v>15</v>
      </c>
      <c r="DC1470">
        <v>58.83</v>
      </c>
      <c r="DD1470" t="s">
        <v>69</v>
      </c>
      <c r="DE1470" t="s">
        <v>70</v>
      </c>
      <c r="DF1470">
        <v>882.44999999999993</v>
      </c>
    </row>
    <row r="1471" spans="100:110" x14ac:dyDescent="0.25">
      <c r="CV1471" t="s">
        <v>64</v>
      </c>
      <c r="CW1471" t="s">
        <v>1544</v>
      </c>
      <c r="CX1471" t="s">
        <v>20</v>
      </c>
      <c r="CY1471" s="4">
        <v>42957</v>
      </c>
      <c r="CZ1471" t="s">
        <v>65</v>
      </c>
      <c r="DA1471" t="s">
        <v>66</v>
      </c>
      <c r="DB1471">
        <v>63</v>
      </c>
      <c r="DC1471">
        <v>58.02</v>
      </c>
      <c r="DD1471" t="s">
        <v>69</v>
      </c>
      <c r="DE1471" t="s">
        <v>70</v>
      </c>
      <c r="DF1471">
        <v>3655.26</v>
      </c>
    </row>
    <row r="1472" spans="100:110" x14ac:dyDescent="0.25">
      <c r="CV1472" t="s">
        <v>64</v>
      </c>
      <c r="CW1472" t="s">
        <v>1545</v>
      </c>
      <c r="CX1472" t="s">
        <v>20</v>
      </c>
      <c r="CY1472" s="4">
        <v>42958</v>
      </c>
      <c r="CZ1472" t="s">
        <v>67</v>
      </c>
      <c r="DA1472" t="s">
        <v>68</v>
      </c>
      <c r="DB1472">
        <v>112</v>
      </c>
      <c r="DC1472">
        <v>57.92</v>
      </c>
      <c r="DD1472" t="s">
        <v>69</v>
      </c>
      <c r="DE1472" t="s">
        <v>70</v>
      </c>
      <c r="DF1472">
        <v>6487.04</v>
      </c>
    </row>
    <row r="1473" spans="100:110" x14ac:dyDescent="0.25">
      <c r="CV1473" t="s">
        <v>64</v>
      </c>
      <c r="CW1473" t="s">
        <v>1546</v>
      </c>
      <c r="CX1473" t="s">
        <v>20</v>
      </c>
      <c r="CY1473" s="4">
        <v>42961</v>
      </c>
      <c r="CZ1473" t="s">
        <v>65</v>
      </c>
      <c r="DA1473" t="s">
        <v>66</v>
      </c>
      <c r="DB1473">
        <v>136</v>
      </c>
      <c r="DC1473">
        <v>58.71</v>
      </c>
      <c r="DD1473" t="s">
        <v>69</v>
      </c>
      <c r="DE1473" t="s">
        <v>70</v>
      </c>
      <c r="DF1473">
        <v>7984.56</v>
      </c>
    </row>
    <row r="1474" spans="100:110" x14ac:dyDescent="0.25">
      <c r="CV1474" t="s">
        <v>64</v>
      </c>
      <c r="CW1474" t="s">
        <v>1547</v>
      </c>
      <c r="CX1474" t="s">
        <v>20</v>
      </c>
      <c r="CY1474" s="4">
        <v>42962</v>
      </c>
      <c r="CZ1474" t="s">
        <v>65</v>
      </c>
      <c r="DA1474" t="s">
        <v>66</v>
      </c>
      <c r="DB1474">
        <v>5</v>
      </c>
      <c r="DC1474">
        <v>57.52</v>
      </c>
      <c r="DD1474" t="s">
        <v>69</v>
      </c>
      <c r="DE1474" t="s">
        <v>70</v>
      </c>
      <c r="DF1474">
        <v>287.60000000000002</v>
      </c>
    </row>
    <row r="1475" spans="100:110" x14ac:dyDescent="0.25">
      <c r="CV1475" t="s">
        <v>64</v>
      </c>
      <c r="CW1475" t="s">
        <v>1548</v>
      </c>
      <c r="CX1475" t="s">
        <v>20</v>
      </c>
      <c r="CY1475" s="4">
        <v>42963</v>
      </c>
      <c r="CZ1475" t="s">
        <v>67</v>
      </c>
      <c r="DA1475" t="s">
        <v>68</v>
      </c>
      <c r="DB1475">
        <v>96</v>
      </c>
      <c r="DC1475">
        <v>57.5</v>
      </c>
      <c r="DD1475" t="s">
        <v>69</v>
      </c>
      <c r="DE1475" t="s">
        <v>70</v>
      </c>
      <c r="DF1475">
        <v>5520</v>
      </c>
    </row>
    <row r="1476" spans="100:110" x14ac:dyDescent="0.25">
      <c r="CV1476" t="s">
        <v>64</v>
      </c>
      <c r="CW1476" t="s">
        <v>1549</v>
      </c>
      <c r="CX1476" t="s">
        <v>20</v>
      </c>
      <c r="CY1476" s="4">
        <v>42964</v>
      </c>
      <c r="CZ1476" t="s">
        <v>67</v>
      </c>
      <c r="DA1476" t="s">
        <v>68</v>
      </c>
      <c r="DB1476">
        <v>57</v>
      </c>
      <c r="DC1476">
        <v>56.44</v>
      </c>
      <c r="DD1476" t="s">
        <v>69</v>
      </c>
      <c r="DE1476" t="s">
        <v>70</v>
      </c>
      <c r="DF1476">
        <v>3217.08</v>
      </c>
    </row>
    <row r="1477" spans="100:110" x14ac:dyDescent="0.25">
      <c r="CV1477" t="s">
        <v>64</v>
      </c>
      <c r="CW1477" t="s">
        <v>1550</v>
      </c>
      <c r="CX1477" t="s">
        <v>20</v>
      </c>
      <c r="CY1477" s="4">
        <v>42965</v>
      </c>
      <c r="CZ1477" t="s">
        <v>65</v>
      </c>
      <c r="DA1477" t="s">
        <v>66</v>
      </c>
      <c r="DB1477">
        <v>65</v>
      </c>
      <c r="DC1477">
        <v>53.97</v>
      </c>
      <c r="DD1477" t="s">
        <v>69</v>
      </c>
      <c r="DE1477" t="s">
        <v>70</v>
      </c>
      <c r="DF1477">
        <v>3508.0499999999997</v>
      </c>
    </row>
    <row r="1478" spans="100:110" x14ac:dyDescent="0.25">
      <c r="CV1478" t="s">
        <v>64</v>
      </c>
      <c r="CW1478" t="s">
        <v>1551</v>
      </c>
      <c r="CX1478" t="s">
        <v>20</v>
      </c>
      <c r="CY1478" s="4">
        <v>42968</v>
      </c>
      <c r="CZ1478" t="s">
        <v>65</v>
      </c>
      <c r="DA1478" t="s">
        <v>66</v>
      </c>
      <c r="DB1478">
        <v>109</v>
      </c>
      <c r="DC1478">
        <v>52.65</v>
      </c>
      <c r="DD1478" t="s">
        <v>69</v>
      </c>
      <c r="DE1478" t="s">
        <v>70</v>
      </c>
      <c r="DF1478">
        <v>5738.8499999999995</v>
      </c>
    </row>
    <row r="1479" spans="100:110" x14ac:dyDescent="0.25">
      <c r="CV1479" t="s">
        <v>64</v>
      </c>
      <c r="CW1479" t="s">
        <v>1552</v>
      </c>
      <c r="CX1479" t="s">
        <v>20</v>
      </c>
      <c r="CY1479" s="4">
        <v>42969</v>
      </c>
      <c r="CZ1479" t="s">
        <v>67</v>
      </c>
      <c r="DA1479" t="s">
        <v>68</v>
      </c>
      <c r="DB1479">
        <v>22</v>
      </c>
      <c r="DC1479">
        <v>53.17</v>
      </c>
      <c r="DD1479" t="s">
        <v>69</v>
      </c>
      <c r="DE1479" t="s">
        <v>70</v>
      </c>
      <c r="DF1479">
        <v>1169.74</v>
      </c>
    </row>
    <row r="1480" spans="100:110" x14ac:dyDescent="0.25">
      <c r="CV1480" t="s">
        <v>64</v>
      </c>
      <c r="CW1480" t="s">
        <v>1553</v>
      </c>
      <c r="CX1480" t="s">
        <v>20</v>
      </c>
      <c r="CY1480" s="4">
        <v>42970</v>
      </c>
      <c r="CZ1480" t="s">
        <v>67</v>
      </c>
      <c r="DA1480" t="s">
        <v>68</v>
      </c>
      <c r="DB1480">
        <v>9</v>
      </c>
      <c r="DC1480">
        <v>52.65</v>
      </c>
      <c r="DD1480" t="s">
        <v>69</v>
      </c>
      <c r="DE1480" t="s">
        <v>70</v>
      </c>
      <c r="DF1480">
        <v>473.84999999999997</v>
      </c>
    </row>
    <row r="1481" spans="100:110" x14ac:dyDescent="0.25">
      <c r="CV1481" t="s">
        <v>64</v>
      </c>
      <c r="CW1481" t="s">
        <v>1554</v>
      </c>
      <c r="CX1481" t="s">
        <v>20</v>
      </c>
      <c r="CY1481" s="4">
        <v>42971</v>
      </c>
      <c r="CZ1481" t="s">
        <v>67</v>
      </c>
      <c r="DA1481" t="s">
        <v>68</v>
      </c>
      <c r="DB1481">
        <v>22</v>
      </c>
      <c r="DC1481">
        <v>52.88</v>
      </c>
      <c r="DD1481" t="s">
        <v>69</v>
      </c>
      <c r="DE1481" t="s">
        <v>70</v>
      </c>
      <c r="DF1481">
        <v>1163.3600000000001</v>
      </c>
    </row>
    <row r="1482" spans="100:110" x14ac:dyDescent="0.25">
      <c r="CV1482" t="s">
        <v>64</v>
      </c>
      <c r="CW1482" t="s">
        <v>1555</v>
      </c>
      <c r="CX1482" t="s">
        <v>20</v>
      </c>
      <c r="CY1482" s="4">
        <v>42972</v>
      </c>
      <c r="CZ1482" t="s">
        <v>67</v>
      </c>
      <c r="DA1482" t="s">
        <v>68</v>
      </c>
      <c r="DB1482">
        <v>48</v>
      </c>
      <c r="DC1482">
        <v>52.94</v>
      </c>
      <c r="DD1482" t="s">
        <v>69</v>
      </c>
      <c r="DE1482" t="s">
        <v>70</v>
      </c>
      <c r="DF1482">
        <v>2541.12</v>
      </c>
    </row>
    <row r="1483" spans="100:110" x14ac:dyDescent="0.25">
      <c r="CV1483" t="s">
        <v>64</v>
      </c>
      <c r="CW1483" t="s">
        <v>1556</v>
      </c>
      <c r="CX1483" t="s">
        <v>20</v>
      </c>
      <c r="CY1483" s="4">
        <v>42975</v>
      </c>
      <c r="CZ1483" t="s">
        <v>67</v>
      </c>
      <c r="DA1483" t="s">
        <v>68</v>
      </c>
      <c r="DB1483">
        <v>10</v>
      </c>
      <c r="DC1483">
        <v>52.77</v>
      </c>
      <c r="DD1483" t="s">
        <v>69</v>
      </c>
      <c r="DE1483" t="s">
        <v>70</v>
      </c>
      <c r="DF1483">
        <v>527.70000000000005</v>
      </c>
    </row>
    <row r="1484" spans="100:110" x14ac:dyDescent="0.25">
      <c r="CV1484" t="s">
        <v>64</v>
      </c>
      <c r="CW1484" t="s">
        <v>1557</v>
      </c>
      <c r="CX1484" t="s">
        <v>20</v>
      </c>
      <c r="CY1484" s="4">
        <v>42976</v>
      </c>
      <c r="CZ1484" t="s">
        <v>65</v>
      </c>
      <c r="DA1484" t="s">
        <v>66</v>
      </c>
      <c r="DB1484">
        <v>81</v>
      </c>
      <c r="DC1484">
        <v>51.79</v>
      </c>
      <c r="DD1484" t="s">
        <v>69</v>
      </c>
      <c r="DE1484" t="s">
        <v>70</v>
      </c>
      <c r="DF1484">
        <v>4194.99</v>
      </c>
    </row>
    <row r="1485" spans="100:110" x14ac:dyDescent="0.25">
      <c r="CV1485" t="s">
        <v>64</v>
      </c>
      <c r="CW1485" t="s">
        <v>1558</v>
      </c>
      <c r="CX1485" t="s">
        <v>20</v>
      </c>
      <c r="CY1485" s="4">
        <v>42977</v>
      </c>
      <c r="CZ1485" t="s">
        <v>67</v>
      </c>
      <c r="DA1485" t="s">
        <v>68</v>
      </c>
      <c r="DB1485">
        <v>112</v>
      </c>
      <c r="DC1485">
        <v>51.62</v>
      </c>
      <c r="DD1485" t="s">
        <v>69</v>
      </c>
      <c r="DE1485" t="s">
        <v>70</v>
      </c>
      <c r="DF1485">
        <v>5781.44</v>
      </c>
    </row>
    <row r="1486" spans="100:110" x14ac:dyDescent="0.25">
      <c r="CV1486" t="s">
        <v>64</v>
      </c>
      <c r="CW1486" t="s">
        <v>1559</v>
      </c>
      <c r="CX1486" t="s">
        <v>20</v>
      </c>
      <c r="CY1486" s="4">
        <v>42978</v>
      </c>
      <c r="CZ1486" t="s">
        <v>65</v>
      </c>
      <c r="DA1486" t="s">
        <v>66</v>
      </c>
      <c r="DB1486">
        <v>111</v>
      </c>
      <c r="DC1486">
        <v>52.05</v>
      </c>
      <c r="DD1486" t="s">
        <v>69</v>
      </c>
      <c r="DE1486" t="s">
        <v>70</v>
      </c>
      <c r="DF1486">
        <v>5777.5499999999993</v>
      </c>
    </row>
    <row r="1487" spans="100:110" x14ac:dyDescent="0.25">
      <c r="CV1487" t="s">
        <v>64</v>
      </c>
      <c r="CW1487" t="s">
        <v>1560</v>
      </c>
      <c r="CX1487" t="s">
        <v>20</v>
      </c>
      <c r="CY1487" s="4">
        <v>42979</v>
      </c>
      <c r="CZ1487" t="s">
        <v>67</v>
      </c>
      <c r="DA1487" t="s">
        <v>68</v>
      </c>
      <c r="DB1487">
        <v>10</v>
      </c>
      <c r="DC1487">
        <v>52.59</v>
      </c>
      <c r="DD1487" t="s">
        <v>69</v>
      </c>
      <c r="DE1487" t="s">
        <v>70</v>
      </c>
      <c r="DF1487">
        <v>525.90000000000009</v>
      </c>
    </row>
    <row r="1488" spans="100:110" x14ac:dyDescent="0.25">
      <c r="CV1488" t="s">
        <v>64</v>
      </c>
      <c r="CW1488" t="s">
        <v>1561</v>
      </c>
      <c r="CX1488" t="s">
        <v>20</v>
      </c>
      <c r="CY1488" s="4">
        <v>42983</v>
      </c>
      <c r="CZ1488" t="s">
        <v>67</v>
      </c>
      <c r="DA1488" t="s">
        <v>68</v>
      </c>
      <c r="DB1488">
        <v>50</v>
      </c>
      <c r="DC1488">
        <v>52.24</v>
      </c>
      <c r="DD1488" t="s">
        <v>69</v>
      </c>
      <c r="DE1488" t="s">
        <v>70</v>
      </c>
      <c r="DF1488">
        <v>2612</v>
      </c>
    </row>
    <row r="1489" spans="100:110" x14ac:dyDescent="0.25">
      <c r="CV1489" t="s">
        <v>64</v>
      </c>
      <c r="CW1489" t="s">
        <v>1562</v>
      </c>
      <c r="CX1489" t="s">
        <v>20</v>
      </c>
      <c r="CY1489" s="4">
        <v>42984</v>
      </c>
      <c r="CZ1489" t="s">
        <v>67</v>
      </c>
      <c r="DA1489" t="s">
        <v>68</v>
      </c>
      <c r="DB1489">
        <v>83</v>
      </c>
      <c r="DC1489">
        <v>52</v>
      </c>
      <c r="DD1489" t="s">
        <v>69</v>
      </c>
      <c r="DE1489" t="s">
        <v>70</v>
      </c>
      <c r="DF1489">
        <v>4316</v>
      </c>
    </row>
    <row r="1490" spans="100:110" x14ac:dyDescent="0.25">
      <c r="CV1490" t="s">
        <v>64</v>
      </c>
      <c r="CW1490" t="s">
        <v>1563</v>
      </c>
      <c r="CX1490" t="s">
        <v>20</v>
      </c>
      <c r="CY1490" s="4">
        <v>42985</v>
      </c>
      <c r="CZ1490" t="s">
        <v>65</v>
      </c>
      <c r="DA1490" t="s">
        <v>66</v>
      </c>
      <c r="DB1490">
        <v>150</v>
      </c>
      <c r="DC1490">
        <v>51.63</v>
      </c>
      <c r="DD1490" t="s">
        <v>69</v>
      </c>
      <c r="DE1490" t="s">
        <v>70</v>
      </c>
      <c r="DF1490">
        <v>7744.5</v>
      </c>
    </row>
    <row r="1491" spans="100:110" x14ac:dyDescent="0.25">
      <c r="CV1491" t="s">
        <v>64</v>
      </c>
      <c r="CW1491" t="s">
        <v>1564</v>
      </c>
      <c r="CX1491" t="s">
        <v>20</v>
      </c>
      <c r="CY1491" s="4">
        <v>42986</v>
      </c>
      <c r="CZ1491" t="s">
        <v>67</v>
      </c>
      <c r="DA1491" t="s">
        <v>68</v>
      </c>
      <c r="DB1491">
        <v>32</v>
      </c>
      <c r="DC1491">
        <v>51.45</v>
      </c>
      <c r="DD1491" t="s">
        <v>69</v>
      </c>
      <c r="DE1491" t="s">
        <v>70</v>
      </c>
      <c r="DF1491">
        <v>1646.4</v>
      </c>
    </row>
    <row r="1492" spans="100:110" x14ac:dyDescent="0.25">
      <c r="CV1492" t="s">
        <v>64</v>
      </c>
      <c r="CW1492" t="s">
        <v>1565</v>
      </c>
      <c r="CX1492" t="s">
        <v>20</v>
      </c>
      <c r="CY1492" s="4">
        <v>42989</v>
      </c>
      <c r="CZ1492" t="s">
        <v>67</v>
      </c>
      <c r="DA1492" t="s">
        <v>68</v>
      </c>
      <c r="DB1492">
        <v>1</v>
      </c>
      <c r="DC1492">
        <v>52.26</v>
      </c>
      <c r="DD1492" t="s">
        <v>69</v>
      </c>
      <c r="DE1492" t="s">
        <v>70</v>
      </c>
      <c r="DF1492">
        <v>52.26</v>
      </c>
    </row>
    <row r="1493" spans="100:110" x14ac:dyDescent="0.25">
      <c r="CV1493" t="s">
        <v>64</v>
      </c>
      <c r="CW1493" t="s">
        <v>1566</v>
      </c>
      <c r="CX1493" t="s">
        <v>20</v>
      </c>
      <c r="CY1493" s="4">
        <v>42990</v>
      </c>
      <c r="CZ1493" t="s">
        <v>67</v>
      </c>
      <c r="DA1493" t="s">
        <v>68</v>
      </c>
      <c r="DB1493">
        <v>68</v>
      </c>
      <c r="DC1493">
        <v>52.63</v>
      </c>
      <c r="DD1493" t="s">
        <v>69</v>
      </c>
      <c r="DE1493" t="s">
        <v>70</v>
      </c>
      <c r="DF1493">
        <v>3578.84</v>
      </c>
    </row>
    <row r="1494" spans="100:110" x14ac:dyDescent="0.25">
      <c r="CV1494" t="s">
        <v>64</v>
      </c>
      <c r="CW1494" t="s">
        <v>1567</v>
      </c>
      <c r="CX1494" t="s">
        <v>20</v>
      </c>
      <c r="CY1494" s="4">
        <v>42991</v>
      </c>
      <c r="CZ1494" t="s">
        <v>65</v>
      </c>
      <c r="DA1494" t="s">
        <v>66</v>
      </c>
      <c r="DB1494">
        <v>97</v>
      </c>
      <c r="DC1494">
        <v>52.75</v>
      </c>
      <c r="DD1494" t="s">
        <v>69</v>
      </c>
      <c r="DE1494" t="s">
        <v>70</v>
      </c>
      <c r="DF1494">
        <v>5116.75</v>
      </c>
    </row>
    <row r="1495" spans="100:110" x14ac:dyDescent="0.25">
      <c r="CV1495" t="s">
        <v>64</v>
      </c>
      <c r="CW1495" t="s">
        <v>1568</v>
      </c>
      <c r="CX1495" t="s">
        <v>20</v>
      </c>
      <c r="CY1495" s="4">
        <v>42992</v>
      </c>
      <c r="CZ1495" t="s">
        <v>67</v>
      </c>
      <c r="DA1495" t="s">
        <v>68</v>
      </c>
      <c r="DB1495">
        <v>26</v>
      </c>
      <c r="DC1495">
        <v>52.95</v>
      </c>
      <c r="DD1495" t="s">
        <v>69</v>
      </c>
      <c r="DE1495" t="s">
        <v>70</v>
      </c>
      <c r="DF1495">
        <v>1376.7</v>
      </c>
    </row>
    <row r="1496" spans="100:110" x14ac:dyDescent="0.25">
      <c r="CV1496" t="s">
        <v>64</v>
      </c>
      <c r="CW1496" t="s">
        <v>1569</v>
      </c>
      <c r="CX1496" t="s">
        <v>20</v>
      </c>
      <c r="CY1496" s="4">
        <v>42993</v>
      </c>
      <c r="CZ1496" t="s">
        <v>67</v>
      </c>
      <c r="DA1496" t="s">
        <v>68</v>
      </c>
      <c r="DB1496">
        <v>49</v>
      </c>
      <c r="DC1496">
        <v>53.09</v>
      </c>
      <c r="DD1496" t="s">
        <v>69</v>
      </c>
      <c r="DE1496" t="s">
        <v>70</v>
      </c>
      <c r="DF1496">
        <v>2601.4100000000003</v>
      </c>
    </row>
    <row r="1497" spans="100:110" x14ac:dyDescent="0.25">
      <c r="CV1497" t="s">
        <v>64</v>
      </c>
      <c r="CW1497" t="s">
        <v>1570</v>
      </c>
      <c r="CX1497" t="s">
        <v>20</v>
      </c>
      <c r="CY1497" s="4">
        <v>42996</v>
      </c>
      <c r="CZ1497" t="s">
        <v>65</v>
      </c>
      <c r="DA1497" t="s">
        <v>66</v>
      </c>
      <c r="DB1497">
        <v>111</v>
      </c>
      <c r="DC1497">
        <v>52.73</v>
      </c>
      <c r="DD1497" t="s">
        <v>69</v>
      </c>
      <c r="DE1497" t="s">
        <v>70</v>
      </c>
      <c r="DF1497">
        <v>5853.03</v>
      </c>
    </row>
    <row r="1498" spans="100:110" x14ac:dyDescent="0.25">
      <c r="CV1498" t="s">
        <v>64</v>
      </c>
      <c r="CW1498" t="s">
        <v>1571</v>
      </c>
      <c r="CX1498" t="s">
        <v>20</v>
      </c>
      <c r="CY1498" s="4">
        <v>42997</v>
      </c>
      <c r="CZ1498" t="s">
        <v>67</v>
      </c>
      <c r="DA1498" t="s">
        <v>68</v>
      </c>
      <c r="DB1498">
        <v>52</v>
      </c>
      <c r="DC1498">
        <v>52.56</v>
      </c>
      <c r="DD1498" t="s">
        <v>69</v>
      </c>
      <c r="DE1498" t="s">
        <v>70</v>
      </c>
      <c r="DF1498">
        <v>2733.12</v>
      </c>
    </row>
    <row r="1499" spans="100:110" x14ac:dyDescent="0.25">
      <c r="CV1499" t="s">
        <v>64</v>
      </c>
      <c r="CW1499" t="s">
        <v>1572</v>
      </c>
      <c r="CX1499" t="s">
        <v>20</v>
      </c>
      <c r="CY1499" s="4">
        <v>42998</v>
      </c>
      <c r="CZ1499" t="s">
        <v>67</v>
      </c>
      <c r="DA1499" t="s">
        <v>68</v>
      </c>
      <c r="DB1499">
        <v>107</v>
      </c>
      <c r="DC1499">
        <v>52.79</v>
      </c>
      <c r="DD1499" t="s">
        <v>69</v>
      </c>
      <c r="DE1499" t="s">
        <v>70</v>
      </c>
      <c r="DF1499">
        <v>5648.53</v>
      </c>
    </row>
    <row r="1500" spans="100:110" x14ac:dyDescent="0.25">
      <c r="CV1500" t="s">
        <v>64</v>
      </c>
      <c r="CW1500" t="s">
        <v>1573</v>
      </c>
      <c r="CX1500" t="s">
        <v>20</v>
      </c>
      <c r="CY1500" s="4">
        <v>42999</v>
      </c>
      <c r="CZ1500" t="s">
        <v>65</v>
      </c>
      <c r="DA1500" t="s">
        <v>66</v>
      </c>
      <c r="DB1500">
        <v>63</v>
      </c>
      <c r="DC1500">
        <v>52.42</v>
      </c>
      <c r="DD1500" t="s">
        <v>69</v>
      </c>
      <c r="DE1500" t="s">
        <v>70</v>
      </c>
      <c r="DF1500">
        <v>3302.46</v>
      </c>
    </row>
    <row r="1501" spans="100:110" x14ac:dyDescent="0.25">
      <c r="CV1501" t="s">
        <v>64</v>
      </c>
      <c r="CW1501" t="s">
        <v>1574</v>
      </c>
      <c r="CX1501" t="s">
        <v>20</v>
      </c>
      <c r="CY1501" s="4">
        <v>43000</v>
      </c>
      <c r="CZ1501" t="s">
        <v>65</v>
      </c>
      <c r="DA1501" t="s">
        <v>66</v>
      </c>
      <c r="DB1501">
        <v>88</v>
      </c>
      <c r="DC1501">
        <v>52.47</v>
      </c>
      <c r="DD1501" t="s">
        <v>69</v>
      </c>
      <c r="DE1501" t="s">
        <v>70</v>
      </c>
      <c r="DF1501">
        <v>4617.3599999999997</v>
      </c>
    </row>
    <row r="1502" spans="100:110" x14ac:dyDescent="0.25">
      <c r="CV1502" t="s">
        <v>64</v>
      </c>
      <c r="CW1502" t="s">
        <v>1575</v>
      </c>
      <c r="CX1502" t="s">
        <v>20</v>
      </c>
      <c r="CY1502" s="4">
        <v>43003</v>
      </c>
      <c r="CZ1502" t="s">
        <v>67</v>
      </c>
      <c r="DA1502" t="s">
        <v>68</v>
      </c>
      <c r="DB1502">
        <v>88</v>
      </c>
      <c r="DC1502">
        <v>52.46</v>
      </c>
      <c r="DD1502" t="s">
        <v>69</v>
      </c>
      <c r="DE1502" t="s">
        <v>70</v>
      </c>
      <c r="DF1502">
        <v>4616.4800000000005</v>
      </c>
    </row>
    <row r="1503" spans="100:110" x14ac:dyDescent="0.25">
      <c r="CV1503" t="s">
        <v>64</v>
      </c>
      <c r="CW1503" t="s">
        <v>1576</v>
      </c>
      <c r="CX1503" t="s">
        <v>20</v>
      </c>
      <c r="CY1503" s="4">
        <v>43004</v>
      </c>
      <c r="CZ1503" t="s">
        <v>67</v>
      </c>
      <c r="DA1503" t="s">
        <v>68</v>
      </c>
      <c r="DB1503">
        <v>4</v>
      </c>
      <c r="DC1503">
        <v>52.92</v>
      </c>
      <c r="DD1503" t="s">
        <v>69</v>
      </c>
      <c r="DE1503" t="s">
        <v>70</v>
      </c>
      <c r="DF1503">
        <v>211.68</v>
      </c>
    </row>
    <row r="1504" spans="100:110" x14ac:dyDescent="0.25">
      <c r="CV1504" t="s">
        <v>64</v>
      </c>
      <c r="CW1504" t="s">
        <v>1577</v>
      </c>
      <c r="CX1504" t="s">
        <v>20</v>
      </c>
      <c r="CY1504" s="4">
        <v>43005</v>
      </c>
      <c r="CZ1504" t="s">
        <v>67</v>
      </c>
      <c r="DA1504" t="s">
        <v>68</v>
      </c>
      <c r="DB1504">
        <v>24</v>
      </c>
      <c r="DC1504">
        <v>51.91</v>
      </c>
      <c r="DD1504" t="s">
        <v>69</v>
      </c>
      <c r="DE1504" t="s">
        <v>70</v>
      </c>
      <c r="DF1504">
        <v>1245.8399999999999</v>
      </c>
    </row>
    <row r="1505" spans="100:110" x14ac:dyDescent="0.25">
      <c r="CV1505" t="s">
        <v>64</v>
      </c>
      <c r="CW1505" t="s">
        <v>1578</v>
      </c>
      <c r="CX1505" t="s">
        <v>20</v>
      </c>
      <c r="CY1505" s="4">
        <v>43006</v>
      </c>
      <c r="CZ1505" t="s">
        <v>65</v>
      </c>
      <c r="DA1505" t="s">
        <v>66</v>
      </c>
      <c r="DB1505">
        <v>63</v>
      </c>
      <c r="DC1505">
        <v>51.87</v>
      </c>
      <c r="DD1505" t="s">
        <v>69</v>
      </c>
      <c r="DE1505" t="s">
        <v>70</v>
      </c>
      <c r="DF1505">
        <v>3267.81</v>
      </c>
    </row>
    <row r="1506" spans="100:110" x14ac:dyDescent="0.25">
      <c r="CV1506" t="s">
        <v>64</v>
      </c>
      <c r="CW1506" t="s">
        <v>1579</v>
      </c>
      <c r="CX1506" t="s">
        <v>20</v>
      </c>
      <c r="CY1506" s="4">
        <v>43007</v>
      </c>
      <c r="CZ1506" t="s">
        <v>65</v>
      </c>
      <c r="DA1506" t="s">
        <v>66</v>
      </c>
      <c r="DB1506">
        <v>30</v>
      </c>
      <c r="DC1506">
        <v>51.1</v>
      </c>
      <c r="DD1506" t="s">
        <v>69</v>
      </c>
      <c r="DE1506" t="s">
        <v>70</v>
      </c>
      <c r="DF1506">
        <v>1533</v>
      </c>
    </row>
    <row r="1507" spans="100:110" x14ac:dyDescent="0.25">
      <c r="CV1507" t="s">
        <v>64</v>
      </c>
      <c r="CW1507" t="s">
        <v>1580</v>
      </c>
      <c r="CX1507" t="s">
        <v>20</v>
      </c>
      <c r="CY1507" s="4">
        <v>43010</v>
      </c>
      <c r="CZ1507" t="s">
        <v>67</v>
      </c>
      <c r="DA1507" t="s">
        <v>68</v>
      </c>
      <c r="DB1507">
        <v>60</v>
      </c>
      <c r="DC1507">
        <v>51.12</v>
      </c>
      <c r="DD1507" t="s">
        <v>69</v>
      </c>
      <c r="DE1507" t="s">
        <v>70</v>
      </c>
      <c r="DF1507">
        <v>3067.2</v>
      </c>
    </row>
    <row r="1508" spans="100:110" x14ac:dyDescent="0.25">
      <c r="CV1508" t="s">
        <v>64</v>
      </c>
      <c r="CW1508" t="s">
        <v>1581</v>
      </c>
      <c r="CX1508" t="s">
        <v>20</v>
      </c>
      <c r="CY1508" s="4">
        <v>43011</v>
      </c>
      <c r="CZ1508" t="s">
        <v>67</v>
      </c>
      <c r="DA1508" t="s">
        <v>68</v>
      </c>
      <c r="DB1508">
        <v>37</v>
      </c>
      <c r="DC1508">
        <v>50.73</v>
      </c>
      <c r="DD1508" t="s">
        <v>69</v>
      </c>
      <c r="DE1508" t="s">
        <v>70</v>
      </c>
      <c r="DF1508">
        <v>1877.01</v>
      </c>
    </row>
    <row r="1509" spans="100:110" x14ac:dyDescent="0.25">
      <c r="CV1509" t="s">
        <v>64</v>
      </c>
      <c r="CW1509" t="s">
        <v>1582</v>
      </c>
      <c r="CX1509" t="s">
        <v>20</v>
      </c>
      <c r="CY1509" s="4">
        <v>43012</v>
      </c>
      <c r="CZ1509" t="s">
        <v>67</v>
      </c>
      <c r="DA1509" t="s">
        <v>68</v>
      </c>
      <c r="DB1509">
        <v>26</v>
      </c>
      <c r="DC1509">
        <v>51.33</v>
      </c>
      <c r="DD1509" t="s">
        <v>69</v>
      </c>
      <c r="DE1509" t="s">
        <v>70</v>
      </c>
      <c r="DF1509">
        <v>1334.58</v>
      </c>
    </row>
    <row r="1510" spans="100:110" x14ac:dyDescent="0.25">
      <c r="CV1510" t="s">
        <v>64</v>
      </c>
      <c r="CW1510" t="s">
        <v>1583</v>
      </c>
      <c r="CX1510" t="s">
        <v>20</v>
      </c>
      <c r="CY1510" s="4">
        <v>43013</v>
      </c>
      <c r="CZ1510" t="s">
        <v>65</v>
      </c>
      <c r="DA1510" t="s">
        <v>66</v>
      </c>
      <c r="DB1510">
        <v>146</v>
      </c>
      <c r="DC1510">
        <v>51.43</v>
      </c>
      <c r="DD1510" t="s">
        <v>69</v>
      </c>
      <c r="DE1510" t="s">
        <v>70</v>
      </c>
      <c r="DF1510">
        <v>7508.78</v>
      </c>
    </row>
    <row r="1511" spans="100:110" x14ac:dyDescent="0.25">
      <c r="CV1511" t="s">
        <v>64</v>
      </c>
      <c r="CW1511" t="s">
        <v>1584</v>
      </c>
      <c r="CX1511" t="s">
        <v>20</v>
      </c>
      <c r="CY1511" s="4">
        <v>43014</v>
      </c>
      <c r="CZ1511" t="s">
        <v>67</v>
      </c>
      <c r="DA1511" t="s">
        <v>68</v>
      </c>
      <c r="DB1511">
        <v>36</v>
      </c>
      <c r="DC1511">
        <v>51.66</v>
      </c>
      <c r="DD1511" t="s">
        <v>69</v>
      </c>
      <c r="DE1511" t="s">
        <v>70</v>
      </c>
      <c r="DF1511">
        <v>1859.7599999999998</v>
      </c>
    </row>
    <row r="1512" spans="100:110" x14ac:dyDescent="0.25">
      <c r="CV1512" t="s">
        <v>64</v>
      </c>
      <c r="CW1512" t="s">
        <v>1585</v>
      </c>
      <c r="CX1512" t="s">
        <v>20</v>
      </c>
      <c r="CY1512" s="4">
        <v>43017</v>
      </c>
      <c r="CZ1512" t="s">
        <v>67</v>
      </c>
      <c r="DA1512" t="s">
        <v>68</v>
      </c>
      <c r="DB1512">
        <v>50</v>
      </c>
      <c r="DC1512">
        <v>50.78</v>
      </c>
      <c r="DD1512" t="s">
        <v>69</v>
      </c>
      <c r="DE1512" t="s">
        <v>70</v>
      </c>
      <c r="DF1512">
        <v>2539</v>
      </c>
    </row>
    <row r="1513" spans="100:110" x14ac:dyDescent="0.25">
      <c r="CV1513" t="s">
        <v>64</v>
      </c>
      <c r="CW1513" t="s">
        <v>1586</v>
      </c>
      <c r="CX1513" t="s">
        <v>20</v>
      </c>
      <c r="CY1513" s="4">
        <v>43018</v>
      </c>
      <c r="CZ1513" t="s">
        <v>67</v>
      </c>
      <c r="DA1513" t="s">
        <v>68</v>
      </c>
      <c r="DB1513">
        <v>2</v>
      </c>
      <c r="DC1513">
        <v>50.79</v>
      </c>
      <c r="DD1513" t="s">
        <v>69</v>
      </c>
      <c r="DE1513" t="s">
        <v>70</v>
      </c>
      <c r="DF1513">
        <v>101.58</v>
      </c>
    </row>
    <row r="1514" spans="100:110" x14ac:dyDescent="0.25">
      <c r="CV1514" t="s">
        <v>64</v>
      </c>
      <c r="CW1514" t="s">
        <v>1587</v>
      </c>
      <c r="CX1514" t="s">
        <v>20</v>
      </c>
      <c r="CY1514" s="4">
        <v>43019</v>
      </c>
      <c r="CZ1514" t="s">
        <v>67</v>
      </c>
      <c r="DA1514" t="s">
        <v>68</v>
      </c>
      <c r="DB1514">
        <v>69</v>
      </c>
      <c r="DC1514">
        <v>50.29</v>
      </c>
      <c r="DD1514" t="s">
        <v>69</v>
      </c>
      <c r="DE1514" t="s">
        <v>70</v>
      </c>
      <c r="DF1514">
        <v>3470.0099999999998</v>
      </c>
    </row>
    <row r="1515" spans="100:110" x14ac:dyDescent="0.25">
      <c r="CV1515" t="s">
        <v>64</v>
      </c>
      <c r="CW1515" t="s">
        <v>1588</v>
      </c>
      <c r="CX1515" t="s">
        <v>20</v>
      </c>
      <c r="CY1515" s="4">
        <v>43020</v>
      </c>
      <c r="CZ1515" t="s">
        <v>65</v>
      </c>
      <c r="DA1515" t="s">
        <v>66</v>
      </c>
      <c r="DB1515">
        <v>76</v>
      </c>
      <c r="DC1515">
        <v>50.1</v>
      </c>
      <c r="DD1515" t="s">
        <v>69</v>
      </c>
      <c r="DE1515" t="s">
        <v>70</v>
      </c>
      <c r="DF1515">
        <v>3807.6</v>
      </c>
    </row>
    <row r="1516" spans="100:110" x14ac:dyDescent="0.25">
      <c r="CV1516" t="s">
        <v>64</v>
      </c>
      <c r="CW1516" t="s">
        <v>1589</v>
      </c>
      <c r="CX1516" t="s">
        <v>20</v>
      </c>
      <c r="CY1516" s="4">
        <v>43021</v>
      </c>
      <c r="CZ1516" t="s">
        <v>65</v>
      </c>
      <c r="DA1516" t="s">
        <v>66</v>
      </c>
      <c r="DB1516">
        <v>23</v>
      </c>
      <c r="DC1516">
        <v>50.24</v>
      </c>
      <c r="DD1516" t="s">
        <v>69</v>
      </c>
      <c r="DE1516" t="s">
        <v>70</v>
      </c>
      <c r="DF1516">
        <v>1155.52</v>
      </c>
    </row>
    <row r="1517" spans="100:110" x14ac:dyDescent="0.25">
      <c r="CV1517" t="s">
        <v>64</v>
      </c>
      <c r="CW1517" t="s">
        <v>1590</v>
      </c>
      <c r="CX1517" t="s">
        <v>20</v>
      </c>
      <c r="CY1517" s="4">
        <v>43024</v>
      </c>
      <c r="CZ1517" t="s">
        <v>65</v>
      </c>
      <c r="DA1517" t="s">
        <v>66</v>
      </c>
      <c r="DB1517">
        <v>5</v>
      </c>
      <c r="DC1517">
        <v>50.63</v>
      </c>
      <c r="DD1517" t="s">
        <v>69</v>
      </c>
      <c r="DE1517" t="s">
        <v>70</v>
      </c>
      <c r="DF1517">
        <v>253.15</v>
      </c>
    </row>
    <row r="1518" spans="100:110" x14ac:dyDescent="0.25">
      <c r="CV1518" t="s">
        <v>64</v>
      </c>
      <c r="CW1518" t="s">
        <v>1591</v>
      </c>
      <c r="CX1518" t="s">
        <v>20</v>
      </c>
      <c r="CY1518" s="4">
        <v>43025</v>
      </c>
      <c r="CZ1518" t="s">
        <v>67</v>
      </c>
      <c r="DA1518" t="s">
        <v>68</v>
      </c>
      <c r="DB1518">
        <v>133</v>
      </c>
      <c r="DC1518">
        <v>51.25</v>
      </c>
      <c r="DD1518" t="s">
        <v>69</v>
      </c>
      <c r="DE1518" t="s">
        <v>70</v>
      </c>
      <c r="DF1518">
        <v>6816.25</v>
      </c>
    </row>
    <row r="1519" spans="100:110" x14ac:dyDescent="0.25">
      <c r="CV1519" t="s">
        <v>64</v>
      </c>
      <c r="CW1519" t="s">
        <v>1592</v>
      </c>
      <c r="CX1519" t="s">
        <v>20</v>
      </c>
      <c r="CY1519" s="4">
        <v>43026</v>
      </c>
      <c r="CZ1519" t="s">
        <v>65</v>
      </c>
      <c r="DA1519" t="s">
        <v>66</v>
      </c>
      <c r="DB1519">
        <v>83</v>
      </c>
      <c r="DC1519">
        <v>51.54</v>
      </c>
      <c r="DD1519" t="s">
        <v>69</v>
      </c>
      <c r="DE1519" t="s">
        <v>70</v>
      </c>
      <c r="DF1519">
        <v>4277.82</v>
      </c>
    </row>
    <row r="1520" spans="100:110" x14ac:dyDescent="0.25">
      <c r="CV1520" t="s">
        <v>64</v>
      </c>
      <c r="CW1520" t="s">
        <v>1593</v>
      </c>
      <c r="CX1520" t="s">
        <v>20</v>
      </c>
      <c r="CY1520" s="4">
        <v>43027</v>
      </c>
      <c r="CZ1520" t="s">
        <v>65</v>
      </c>
      <c r="DA1520" t="s">
        <v>66</v>
      </c>
      <c r="DB1520">
        <v>60</v>
      </c>
      <c r="DC1520">
        <v>51.93</v>
      </c>
      <c r="DD1520" t="s">
        <v>69</v>
      </c>
      <c r="DE1520" t="s">
        <v>70</v>
      </c>
      <c r="DF1520">
        <v>3115.8</v>
      </c>
    </row>
    <row r="1521" spans="100:110" x14ac:dyDescent="0.25">
      <c r="CV1521" t="s">
        <v>64</v>
      </c>
      <c r="CW1521" t="s">
        <v>1594</v>
      </c>
      <c r="CX1521" t="s">
        <v>20</v>
      </c>
      <c r="CY1521" s="4">
        <v>43028</v>
      </c>
      <c r="CZ1521" t="s">
        <v>67</v>
      </c>
      <c r="DA1521" t="s">
        <v>68</v>
      </c>
      <c r="DB1521">
        <v>94</v>
      </c>
      <c r="DC1521">
        <v>52.29</v>
      </c>
      <c r="DD1521" t="s">
        <v>69</v>
      </c>
      <c r="DE1521" t="s">
        <v>70</v>
      </c>
      <c r="DF1521">
        <v>4915.26</v>
      </c>
    </row>
    <row r="1522" spans="100:110" x14ac:dyDescent="0.25">
      <c r="CV1522" t="s">
        <v>64</v>
      </c>
      <c r="CW1522" t="s">
        <v>1595</v>
      </c>
      <c r="CX1522" t="s">
        <v>20</v>
      </c>
      <c r="CY1522" s="4">
        <v>43031</v>
      </c>
      <c r="CZ1522" t="s">
        <v>65</v>
      </c>
      <c r="DA1522" t="s">
        <v>66</v>
      </c>
      <c r="DB1522">
        <v>115</v>
      </c>
      <c r="DC1522">
        <v>52.88</v>
      </c>
      <c r="DD1522" t="s">
        <v>69</v>
      </c>
      <c r="DE1522" t="s">
        <v>70</v>
      </c>
      <c r="DF1522">
        <v>6081.2000000000007</v>
      </c>
    </row>
    <row r="1523" spans="100:110" x14ac:dyDescent="0.25">
      <c r="CV1523" t="s">
        <v>64</v>
      </c>
      <c r="CW1523" t="s">
        <v>1596</v>
      </c>
      <c r="CX1523" t="s">
        <v>20</v>
      </c>
      <c r="CY1523" s="4">
        <v>43032</v>
      </c>
      <c r="CZ1523" t="s">
        <v>67</v>
      </c>
      <c r="DA1523" t="s">
        <v>68</v>
      </c>
      <c r="DB1523">
        <v>17</v>
      </c>
      <c r="DC1523">
        <v>52.65</v>
      </c>
      <c r="DD1523" t="s">
        <v>69</v>
      </c>
      <c r="DE1523" t="s">
        <v>70</v>
      </c>
      <c r="DF1523">
        <v>895.05</v>
      </c>
    </row>
    <row r="1524" spans="100:110" x14ac:dyDescent="0.25">
      <c r="CV1524" t="s">
        <v>64</v>
      </c>
      <c r="CW1524" t="s">
        <v>1597</v>
      </c>
      <c r="CX1524" t="s">
        <v>20</v>
      </c>
      <c r="CY1524" s="4">
        <v>43033</v>
      </c>
      <c r="CZ1524" t="s">
        <v>65</v>
      </c>
      <c r="DA1524" t="s">
        <v>66</v>
      </c>
      <c r="DB1524">
        <v>12</v>
      </c>
      <c r="DC1524">
        <v>54.15</v>
      </c>
      <c r="DD1524" t="s">
        <v>69</v>
      </c>
      <c r="DE1524" t="s">
        <v>70</v>
      </c>
      <c r="DF1524">
        <v>649.79999999999995</v>
      </c>
    </row>
    <row r="1525" spans="100:110" x14ac:dyDescent="0.25">
      <c r="CV1525" t="s">
        <v>64</v>
      </c>
      <c r="CW1525" t="s">
        <v>1598</v>
      </c>
      <c r="CX1525" t="s">
        <v>20</v>
      </c>
      <c r="CY1525" s="4">
        <v>43034</v>
      </c>
      <c r="CZ1525" t="s">
        <v>67</v>
      </c>
      <c r="DA1525" t="s">
        <v>68</v>
      </c>
      <c r="DB1525">
        <v>53</v>
      </c>
      <c r="DC1525">
        <v>55.99</v>
      </c>
      <c r="DD1525" t="s">
        <v>69</v>
      </c>
      <c r="DE1525" t="s">
        <v>70</v>
      </c>
      <c r="DF1525">
        <v>2967.4700000000003</v>
      </c>
    </row>
    <row r="1526" spans="100:110" x14ac:dyDescent="0.25">
      <c r="CV1526" t="s">
        <v>64</v>
      </c>
      <c r="CW1526" t="s">
        <v>1599</v>
      </c>
      <c r="CX1526" t="s">
        <v>20</v>
      </c>
      <c r="CY1526" s="4">
        <v>43035</v>
      </c>
      <c r="CZ1526" t="s">
        <v>65</v>
      </c>
      <c r="DA1526" t="s">
        <v>66</v>
      </c>
      <c r="DB1526">
        <v>43</v>
      </c>
      <c r="DC1526">
        <v>55.15</v>
      </c>
      <c r="DD1526" t="s">
        <v>69</v>
      </c>
      <c r="DE1526" t="s">
        <v>70</v>
      </c>
      <c r="DF1526">
        <v>2371.4499999999998</v>
      </c>
    </row>
    <row r="1527" spans="100:110" x14ac:dyDescent="0.25">
      <c r="CV1527" t="s">
        <v>64</v>
      </c>
      <c r="CW1527" t="s">
        <v>1600</v>
      </c>
      <c r="CX1527" t="s">
        <v>20</v>
      </c>
      <c r="CY1527" s="4">
        <v>43038</v>
      </c>
      <c r="CZ1527" t="s">
        <v>67</v>
      </c>
      <c r="DA1527" t="s">
        <v>68</v>
      </c>
      <c r="DB1527">
        <v>31</v>
      </c>
      <c r="DC1527">
        <v>54.47</v>
      </c>
      <c r="DD1527" t="s">
        <v>69</v>
      </c>
      <c r="DE1527" t="s">
        <v>70</v>
      </c>
      <c r="DF1527">
        <v>1688.57</v>
      </c>
    </row>
    <row r="1528" spans="100:110" x14ac:dyDescent="0.25">
      <c r="CV1528" t="s">
        <v>64</v>
      </c>
      <c r="CW1528" t="s">
        <v>1601</v>
      </c>
      <c r="CX1528" t="s">
        <v>20</v>
      </c>
      <c r="CY1528" s="4">
        <v>43039</v>
      </c>
      <c r="CZ1528" t="s">
        <v>67</v>
      </c>
      <c r="DA1528" t="s">
        <v>68</v>
      </c>
      <c r="DB1528">
        <v>8</v>
      </c>
      <c r="DC1528">
        <v>54.2</v>
      </c>
      <c r="DD1528" t="s">
        <v>69</v>
      </c>
      <c r="DE1528" t="s">
        <v>70</v>
      </c>
      <c r="DF1528">
        <v>433.6</v>
      </c>
    </row>
    <row r="1529" spans="100:110" x14ac:dyDescent="0.25">
      <c r="CV1529" t="s">
        <v>64</v>
      </c>
      <c r="CW1529" t="s">
        <v>1602</v>
      </c>
      <c r="CX1529" t="s">
        <v>20</v>
      </c>
      <c r="CY1529" s="4">
        <v>43040</v>
      </c>
      <c r="CZ1529" t="s">
        <v>67</v>
      </c>
      <c r="DA1529" t="s">
        <v>68</v>
      </c>
      <c r="DB1529">
        <v>28</v>
      </c>
      <c r="DC1529">
        <v>54.27</v>
      </c>
      <c r="DD1529" t="s">
        <v>69</v>
      </c>
      <c r="DE1529" t="s">
        <v>70</v>
      </c>
      <c r="DF1529">
        <v>1519.5600000000002</v>
      </c>
    </row>
    <row r="1530" spans="100:110" x14ac:dyDescent="0.25">
      <c r="CV1530" t="s">
        <v>64</v>
      </c>
      <c r="CW1530" t="s">
        <v>1603</v>
      </c>
      <c r="CX1530" t="s">
        <v>20</v>
      </c>
      <c r="CY1530" s="4">
        <v>43041</v>
      </c>
      <c r="CZ1530" t="s">
        <v>67</v>
      </c>
      <c r="DA1530" t="s">
        <v>68</v>
      </c>
      <c r="DB1530">
        <v>54</v>
      </c>
      <c r="DC1530">
        <v>54.32</v>
      </c>
      <c r="DD1530" t="s">
        <v>69</v>
      </c>
      <c r="DE1530" t="s">
        <v>70</v>
      </c>
      <c r="DF1530">
        <v>2933.28</v>
      </c>
    </row>
    <row r="1531" spans="100:110" x14ac:dyDescent="0.25">
      <c r="CV1531" t="s">
        <v>64</v>
      </c>
      <c r="CW1531" t="s">
        <v>1604</v>
      </c>
      <c r="CX1531" t="s">
        <v>20</v>
      </c>
      <c r="CY1531" s="4">
        <v>43042</v>
      </c>
      <c r="CZ1531" t="s">
        <v>65</v>
      </c>
      <c r="DA1531" t="s">
        <v>66</v>
      </c>
      <c r="DB1531">
        <v>15</v>
      </c>
      <c r="DC1531">
        <v>54.91</v>
      </c>
      <c r="DD1531" t="s">
        <v>69</v>
      </c>
      <c r="DE1531" t="s">
        <v>70</v>
      </c>
      <c r="DF1531">
        <v>823.65</v>
      </c>
    </row>
    <row r="1532" spans="100:110" x14ac:dyDescent="0.25">
      <c r="CV1532" t="s">
        <v>64</v>
      </c>
      <c r="CW1532" t="s">
        <v>1605</v>
      </c>
      <c r="CX1532" t="s">
        <v>20</v>
      </c>
      <c r="CY1532" s="4">
        <v>43045</v>
      </c>
      <c r="CZ1532" t="s">
        <v>65</v>
      </c>
      <c r="DA1532" t="s">
        <v>66</v>
      </c>
      <c r="DB1532">
        <v>88</v>
      </c>
      <c r="DC1532">
        <v>55.23</v>
      </c>
      <c r="DD1532" t="s">
        <v>69</v>
      </c>
      <c r="DE1532" t="s">
        <v>70</v>
      </c>
      <c r="DF1532">
        <v>4860.24</v>
      </c>
    </row>
    <row r="1533" spans="100:110" x14ac:dyDescent="0.25">
      <c r="CV1533" t="s">
        <v>64</v>
      </c>
      <c r="CW1533" t="s">
        <v>1606</v>
      </c>
      <c r="CX1533" t="s">
        <v>20</v>
      </c>
      <c r="CY1533" s="4">
        <v>43046</v>
      </c>
      <c r="CZ1533" t="s">
        <v>67</v>
      </c>
      <c r="DA1533" t="s">
        <v>68</v>
      </c>
      <c r="DB1533">
        <v>41</v>
      </c>
      <c r="DC1533">
        <v>54.35</v>
      </c>
      <c r="DD1533" t="s">
        <v>69</v>
      </c>
      <c r="DE1533" t="s">
        <v>70</v>
      </c>
      <c r="DF1533">
        <v>2228.35</v>
      </c>
    </row>
    <row r="1534" spans="100:110" x14ac:dyDescent="0.25">
      <c r="CV1534" t="s">
        <v>64</v>
      </c>
      <c r="CW1534" t="s">
        <v>1607</v>
      </c>
      <c r="CX1534" t="s">
        <v>20</v>
      </c>
      <c r="CY1534" s="4">
        <v>43047</v>
      </c>
      <c r="CZ1534" t="s">
        <v>65</v>
      </c>
      <c r="DA1534" t="s">
        <v>66</v>
      </c>
      <c r="DB1534">
        <v>100</v>
      </c>
      <c r="DC1534">
        <v>54.95</v>
      </c>
      <c r="DD1534" t="s">
        <v>69</v>
      </c>
      <c r="DE1534" t="s">
        <v>70</v>
      </c>
      <c r="DF1534">
        <v>5495</v>
      </c>
    </row>
    <row r="1535" spans="100:110" x14ac:dyDescent="0.25">
      <c r="CV1535" t="s">
        <v>64</v>
      </c>
      <c r="CW1535" t="s">
        <v>1608</v>
      </c>
      <c r="CX1535" t="s">
        <v>20</v>
      </c>
      <c r="CY1535" s="4">
        <v>43048</v>
      </c>
      <c r="CZ1535" t="s">
        <v>67</v>
      </c>
      <c r="DA1535" t="s">
        <v>68</v>
      </c>
      <c r="DB1535">
        <v>61</v>
      </c>
      <c r="DC1535">
        <v>55.32</v>
      </c>
      <c r="DD1535" t="s">
        <v>69</v>
      </c>
      <c r="DE1535" t="s">
        <v>70</v>
      </c>
      <c r="DF1535">
        <v>3374.52</v>
      </c>
    </row>
    <row r="1536" spans="100:110" x14ac:dyDescent="0.25">
      <c r="CV1536" t="s">
        <v>64</v>
      </c>
      <c r="CW1536" t="s">
        <v>1609</v>
      </c>
      <c r="CX1536" t="s">
        <v>20</v>
      </c>
      <c r="CY1536" s="4">
        <v>43049</v>
      </c>
      <c r="CZ1536" t="s">
        <v>67</v>
      </c>
      <c r="DA1536" t="s">
        <v>68</v>
      </c>
      <c r="DB1536">
        <v>52</v>
      </c>
      <c r="DC1536">
        <v>55.28</v>
      </c>
      <c r="DD1536" t="s">
        <v>69</v>
      </c>
      <c r="DE1536" t="s">
        <v>70</v>
      </c>
      <c r="DF1536">
        <v>2874.56</v>
      </c>
    </row>
    <row r="1537" spans="100:110" x14ac:dyDescent="0.25">
      <c r="CV1537" t="s">
        <v>64</v>
      </c>
      <c r="CW1537" t="s">
        <v>1610</v>
      </c>
      <c r="CX1537" t="s">
        <v>20</v>
      </c>
      <c r="CY1537" s="4">
        <v>43052</v>
      </c>
      <c r="CZ1537" t="s">
        <v>67</v>
      </c>
      <c r="DA1537" t="s">
        <v>68</v>
      </c>
      <c r="DB1537">
        <v>40</v>
      </c>
      <c r="DC1537">
        <v>55.1</v>
      </c>
      <c r="DD1537" t="s">
        <v>69</v>
      </c>
      <c r="DE1537" t="s">
        <v>70</v>
      </c>
      <c r="DF1537">
        <v>2204</v>
      </c>
    </row>
    <row r="1538" spans="100:110" x14ac:dyDescent="0.25">
      <c r="CV1538" t="s">
        <v>64</v>
      </c>
      <c r="CW1538" t="s">
        <v>1611</v>
      </c>
      <c r="CX1538" t="s">
        <v>20</v>
      </c>
      <c r="CY1538" s="4">
        <v>43053</v>
      </c>
      <c r="CZ1538" t="s">
        <v>67</v>
      </c>
      <c r="DA1538" t="s">
        <v>68</v>
      </c>
      <c r="DB1538">
        <v>14</v>
      </c>
      <c r="DC1538">
        <v>55.17</v>
      </c>
      <c r="DD1538" t="s">
        <v>69</v>
      </c>
      <c r="DE1538" t="s">
        <v>70</v>
      </c>
      <c r="DF1538">
        <v>772.38</v>
      </c>
    </row>
    <row r="1539" spans="100:110" x14ac:dyDescent="0.25">
      <c r="CV1539" t="s">
        <v>64</v>
      </c>
      <c r="CW1539" t="s">
        <v>1612</v>
      </c>
      <c r="CX1539" t="s">
        <v>20</v>
      </c>
      <c r="CY1539" s="4">
        <v>43054</v>
      </c>
      <c r="CZ1539" t="s">
        <v>65</v>
      </c>
      <c r="DA1539" t="s">
        <v>66</v>
      </c>
      <c r="DB1539">
        <v>156</v>
      </c>
      <c r="DC1539">
        <v>55.81</v>
      </c>
      <c r="DD1539" t="s">
        <v>69</v>
      </c>
      <c r="DE1539" t="s">
        <v>70</v>
      </c>
      <c r="DF1539">
        <v>8706.36</v>
      </c>
    </row>
    <row r="1540" spans="100:110" x14ac:dyDescent="0.25">
      <c r="CV1540" t="s">
        <v>64</v>
      </c>
      <c r="CW1540" t="s">
        <v>1613</v>
      </c>
      <c r="CX1540" t="s">
        <v>20</v>
      </c>
      <c r="CY1540" s="4">
        <v>43055</v>
      </c>
      <c r="CZ1540" t="s">
        <v>67</v>
      </c>
      <c r="DA1540" t="s">
        <v>68</v>
      </c>
      <c r="DB1540">
        <v>177</v>
      </c>
      <c r="DC1540">
        <v>56.4</v>
      </c>
      <c r="DD1540" t="s">
        <v>69</v>
      </c>
      <c r="DE1540" t="s">
        <v>70</v>
      </c>
      <c r="DF1540">
        <v>9982.7999999999993</v>
      </c>
    </row>
    <row r="1541" spans="100:110" x14ac:dyDescent="0.25">
      <c r="CV1541" t="s">
        <v>64</v>
      </c>
      <c r="CW1541" t="s">
        <v>1614</v>
      </c>
      <c r="CX1541" t="s">
        <v>20</v>
      </c>
      <c r="CY1541" s="4">
        <v>43056</v>
      </c>
      <c r="CZ1541" t="s">
        <v>65</v>
      </c>
      <c r="DA1541" t="s">
        <v>66</v>
      </c>
      <c r="DB1541">
        <v>157</v>
      </c>
      <c r="DC1541">
        <v>58.34</v>
      </c>
      <c r="DD1541" t="s">
        <v>69</v>
      </c>
      <c r="DE1541" t="s">
        <v>70</v>
      </c>
      <c r="DF1541">
        <v>9159.380000000001</v>
      </c>
    </row>
    <row r="1542" spans="100:110" x14ac:dyDescent="0.25">
      <c r="CV1542" t="s">
        <v>64</v>
      </c>
      <c r="CW1542" t="s">
        <v>1615</v>
      </c>
      <c r="CX1542" t="s">
        <v>20</v>
      </c>
      <c r="CY1542" s="4">
        <v>43059</v>
      </c>
      <c r="CZ1542" t="s">
        <v>67</v>
      </c>
      <c r="DA1542" t="s">
        <v>68</v>
      </c>
      <c r="DB1542">
        <v>109</v>
      </c>
      <c r="DC1542">
        <v>58.39</v>
      </c>
      <c r="DD1542" t="s">
        <v>69</v>
      </c>
      <c r="DE1542" t="s">
        <v>70</v>
      </c>
      <c r="DF1542">
        <v>6364.51</v>
      </c>
    </row>
    <row r="1543" spans="100:110" x14ac:dyDescent="0.25">
      <c r="CV1543" t="s">
        <v>64</v>
      </c>
      <c r="CW1543" t="s">
        <v>1616</v>
      </c>
      <c r="CX1543" t="s">
        <v>20</v>
      </c>
      <c r="CY1543" s="4">
        <v>43060</v>
      </c>
      <c r="CZ1543" t="s">
        <v>65</v>
      </c>
      <c r="DA1543" t="s">
        <v>66</v>
      </c>
      <c r="DB1543">
        <v>36</v>
      </c>
      <c r="DC1543">
        <v>58.53</v>
      </c>
      <c r="DD1543" t="s">
        <v>69</v>
      </c>
      <c r="DE1543" t="s">
        <v>70</v>
      </c>
      <c r="DF1543">
        <v>2107.08</v>
      </c>
    </row>
    <row r="1544" spans="100:110" x14ac:dyDescent="0.25">
      <c r="CV1544" t="s">
        <v>64</v>
      </c>
      <c r="CW1544" t="s">
        <v>1617</v>
      </c>
      <c r="CX1544" t="s">
        <v>20</v>
      </c>
      <c r="CY1544" s="4">
        <v>43061</v>
      </c>
      <c r="CZ1544" t="s">
        <v>65</v>
      </c>
      <c r="DA1544" t="s">
        <v>66</v>
      </c>
      <c r="DB1544">
        <v>46</v>
      </c>
      <c r="DC1544">
        <v>58.22</v>
      </c>
      <c r="DD1544" t="s">
        <v>69</v>
      </c>
      <c r="DE1544" t="s">
        <v>70</v>
      </c>
      <c r="DF1544">
        <v>2678.12</v>
      </c>
    </row>
    <row r="1545" spans="100:110" x14ac:dyDescent="0.25">
      <c r="CV1545" t="s">
        <v>64</v>
      </c>
      <c r="CW1545" t="s">
        <v>1618</v>
      </c>
      <c r="CX1545" t="s">
        <v>20</v>
      </c>
      <c r="CY1545" s="4">
        <v>43063</v>
      </c>
      <c r="CZ1545" t="s">
        <v>65</v>
      </c>
      <c r="DA1545" t="s">
        <v>66</v>
      </c>
      <c r="DB1545">
        <v>23</v>
      </c>
      <c r="DC1545">
        <v>58.46</v>
      </c>
      <c r="DD1545" t="s">
        <v>69</v>
      </c>
      <c r="DE1545" t="s">
        <v>70</v>
      </c>
      <c r="DF1545">
        <v>1344.58</v>
      </c>
    </row>
    <row r="1546" spans="100:110" x14ac:dyDescent="0.25">
      <c r="CV1546" t="s">
        <v>64</v>
      </c>
      <c r="CW1546" t="s">
        <v>1619</v>
      </c>
      <c r="CX1546" t="s">
        <v>20</v>
      </c>
      <c r="CY1546" s="4">
        <v>43066</v>
      </c>
      <c r="CZ1546" t="s">
        <v>67</v>
      </c>
      <c r="DA1546" t="s">
        <v>68</v>
      </c>
      <c r="DB1546">
        <v>100</v>
      </c>
      <c r="DC1546">
        <v>58.77</v>
      </c>
      <c r="DD1546" t="s">
        <v>69</v>
      </c>
      <c r="DE1546" t="s">
        <v>70</v>
      </c>
      <c r="DF1546">
        <v>5877</v>
      </c>
    </row>
    <row r="1547" spans="100:110" x14ac:dyDescent="0.25">
      <c r="CV1547" t="s">
        <v>64</v>
      </c>
      <c r="CW1547" t="s">
        <v>1620</v>
      </c>
      <c r="CX1547" t="s">
        <v>20</v>
      </c>
      <c r="CY1547" s="4">
        <v>43067</v>
      </c>
      <c r="CZ1547" t="s">
        <v>65</v>
      </c>
      <c r="DA1547" t="s">
        <v>66</v>
      </c>
      <c r="DB1547">
        <v>74</v>
      </c>
      <c r="DC1547">
        <v>58.72</v>
      </c>
      <c r="DD1547" t="s">
        <v>69</v>
      </c>
      <c r="DE1547" t="s">
        <v>70</v>
      </c>
      <c r="DF1547">
        <v>4345.28</v>
      </c>
    </row>
    <row r="1548" spans="100:110" x14ac:dyDescent="0.25">
      <c r="CV1548" t="s">
        <v>64</v>
      </c>
      <c r="CW1548" t="s">
        <v>1621</v>
      </c>
      <c r="CX1548" t="s">
        <v>20</v>
      </c>
      <c r="CY1548" s="4">
        <v>43068</v>
      </c>
      <c r="CZ1548" t="s">
        <v>65</v>
      </c>
      <c r="DA1548" t="s">
        <v>66</v>
      </c>
      <c r="DB1548">
        <v>18</v>
      </c>
      <c r="DC1548">
        <v>59.49</v>
      </c>
      <c r="DD1548" t="s">
        <v>69</v>
      </c>
      <c r="DE1548" t="s">
        <v>70</v>
      </c>
      <c r="DF1548">
        <v>1070.82</v>
      </c>
    </row>
    <row r="1549" spans="100:110" x14ac:dyDescent="0.25">
      <c r="CV1549" t="s">
        <v>64</v>
      </c>
      <c r="CW1549" t="s">
        <v>1622</v>
      </c>
      <c r="CX1549" t="s">
        <v>20</v>
      </c>
      <c r="CY1549" s="4">
        <v>43069</v>
      </c>
      <c r="CZ1549" t="s">
        <v>65</v>
      </c>
      <c r="DA1549" t="s">
        <v>66</v>
      </c>
      <c r="DB1549">
        <v>32</v>
      </c>
      <c r="DC1549">
        <v>59.55</v>
      </c>
      <c r="DD1549" t="s">
        <v>69</v>
      </c>
      <c r="DE1549" t="s">
        <v>70</v>
      </c>
      <c r="DF1549">
        <v>1905.6</v>
      </c>
    </row>
    <row r="1550" spans="100:110" x14ac:dyDescent="0.25">
      <c r="CV1550" t="s">
        <v>64</v>
      </c>
      <c r="CW1550" t="s">
        <v>1623</v>
      </c>
      <c r="CX1550" t="s">
        <v>20</v>
      </c>
      <c r="CY1550" s="4">
        <v>43070</v>
      </c>
      <c r="CZ1550" t="s">
        <v>67</v>
      </c>
      <c r="DA1550" t="s">
        <v>68</v>
      </c>
      <c r="DB1550">
        <v>139</v>
      </c>
      <c r="DC1550">
        <v>59.21</v>
      </c>
      <c r="DD1550" t="s">
        <v>69</v>
      </c>
      <c r="DE1550" t="s">
        <v>70</v>
      </c>
      <c r="DF1550">
        <v>8230.19</v>
      </c>
    </row>
    <row r="1551" spans="100:110" x14ac:dyDescent="0.25">
      <c r="CV1551" t="s">
        <v>64</v>
      </c>
      <c r="CW1551" t="s">
        <v>1624</v>
      </c>
      <c r="CX1551" t="s">
        <v>20</v>
      </c>
      <c r="CY1551" s="4">
        <v>43073</v>
      </c>
      <c r="CZ1551" t="s">
        <v>65</v>
      </c>
      <c r="DA1551" t="s">
        <v>66</v>
      </c>
      <c r="DB1551">
        <v>43</v>
      </c>
      <c r="DC1551">
        <v>59.43</v>
      </c>
      <c r="DD1551" t="s">
        <v>69</v>
      </c>
      <c r="DE1551" t="s">
        <v>70</v>
      </c>
      <c r="DF1551">
        <v>2555.4899999999998</v>
      </c>
    </row>
    <row r="1552" spans="100:110" x14ac:dyDescent="0.25">
      <c r="CV1552" t="s">
        <v>64</v>
      </c>
      <c r="CW1552" t="s">
        <v>1625</v>
      </c>
      <c r="CX1552" t="s">
        <v>20</v>
      </c>
      <c r="CY1552" s="4">
        <v>43074</v>
      </c>
      <c r="CZ1552" t="s">
        <v>65</v>
      </c>
      <c r="DA1552" t="s">
        <v>66</v>
      </c>
      <c r="DB1552">
        <v>4</v>
      </c>
      <c r="DC1552">
        <v>59.75</v>
      </c>
      <c r="DD1552" t="s">
        <v>69</v>
      </c>
      <c r="DE1552" t="s">
        <v>70</v>
      </c>
      <c r="DF1552">
        <v>239</v>
      </c>
    </row>
    <row r="1553" spans="100:110" x14ac:dyDescent="0.25">
      <c r="CV1553" t="s">
        <v>64</v>
      </c>
      <c r="CW1553" t="s">
        <v>1626</v>
      </c>
      <c r="CX1553" t="s">
        <v>20</v>
      </c>
      <c r="CY1553" s="4">
        <v>43075</v>
      </c>
      <c r="CZ1553" t="s">
        <v>67</v>
      </c>
      <c r="DA1553" t="s">
        <v>68</v>
      </c>
      <c r="DB1553">
        <v>14</v>
      </c>
      <c r="DC1553">
        <v>59.05</v>
      </c>
      <c r="DD1553" t="s">
        <v>69</v>
      </c>
      <c r="DE1553" t="s">
        <v>70</v>
      </c>
      <c r="DF1553">
        <v>826.69999999999993</v>
      </c>
    </row>
    <row r="1554" spans="100:110" x14ac:dyDescent="0.25">
      <c r="CV1554" t="s">
        <v>64</v>
      </c>
      <c r="CW1554" t="s">
        <v>1627</v>
      </c>
      <c r="CX1554" t="s">
        <v>20</v>
      </c>
      <c r="CY1554" s="4">
        <v>43076</v>
      </c>
      <c r="CZ1554" t="s">
        <v>65</v>
      </c>
      <c r="DA1554" t="s">
        <v>66</v>
      </c>
      <c r="DB1554">
        <v>41</v>
      </c>
      <c r="DC1554">
        <v>59.92</v>
      </c>
      <c r="DD1554" t="s">
        <v>69</v>
      </c>
      <c r="DE1554" t="s">
        <v>70</v>
      </c>
      <c r="DF1554">
        <v>2456.7200000000003</v>
      </c>
    </row>
    <row r="1555" spans="100:110" x14ac:dyDescent="0.25">
      <c r="CV1555" t="s">
        <v>64</v>
      </c>
      <c r="CW1555" t="s">
        <v>1628</v>
      </c>
      <c r="CX1555" t="s">
        <v>20</v>
      </c>
      <c r="CY1555" s="4">
        <v>43077</v>
      </c>
      <c r="CZ1555" t="s">
        <v>67</v>
      </c>
      <c r="DA1555" t="s">
        <v>68</v>
      </c>
      <c r="DB1555">
        <v>45</v>
      </c>
      <c r="DC1555">
        <v>60.62</v>
      </c>
      <c r="DD1555" t="s">
        <v>69</v>
      </c>
      <c r="DE1555" t="s">
        <v>70</v>
      </c>
      <c r="DF1555">
        <v>2727.9</v>
      </c>
    </row>
    <row r="1556" spans="100:110" x14ac:dyDescent="0.25">
      <c r="CV1556" t="s">
        <v>64</v>
      </c>
      <c r="CW1556" t="s">
        <v>1629</v>
      </c>
      <c r="CX1556" t="s">
        <v>20</v>
      </c>
      <c r="CY1556" s="4">
        <v>43080</v>
      </c>
      <c r="CZ1556" t="s">
        <v>67</v>
      </c>
      <c r="DA1556" t="s">
        <v>68</v>
      </c>
      <c r="DB1556">
        <v>33</v>
      </c>
      <c r="DC1556">
        <v>61.22</v>
      </c>
      <c r="DD1556" t="s">
        <v>69</v>
      </c>
      <c r="DE1556" t="s">
        <v>70</v>
      </c>
      <c r="DF1556">
        <v>2020.26</v>
      </c>
    </row>
    <row r="1557" spans="100:110" x14ac:dyDescent="0.25">
      <c r="CV1557" t="s">
        <v>64</v>
      </c>
      <c r="CW1557" t="s">
        <v>1630</v>
      </c>
      <c r="CX1557" t="s">
        <v>20</v>
      </c>
      <c r="CY1557" s="4">
        <v>43081</v>
      </c>
      <c r="CZ1557" t="s">
        <v>65</v>
      </c>
      <c r="DA1557" t="s">
        <v>66</v>
      </c>
      <c r="DB1557">
        <v>103</v>
      </c>
      <c r="DC1557">
        <v>61.48</v>
      </c>
      <c r="DD1557" t="s">
        <v>69</v>
      </c>
      <c r="DE1557" t="s">
        <v>70</v>
      </c>
      <c r="DF1557">
        <v>6332.44</v>
      </c>
    </row>
    <row r="1558" spans="100:110" x14ac:dyDescent="0.25">
      <c r="CV1558" t="s">
        <v>64</v>
      </c>
      <c r="CW1558" t="s">
        <v>1631</v>
      </c>
      <c r="CX1558" t="s">
        <v>20</v>
      </c>
      <c r="CY1558" s="4">
        <v>43082</v>
      </c>
      <c r="CZ1558" t="s">
        <v>67</v>
      </c>
      <c r="DA1558" t="s">
        <v>68</v>
      </c>
      <c r="DB1558">
        <v>55</v>
      </c>
      <c r="DC1558">
        <v>63.58</v>
      </c>
      <c r="DD1558" t="s">
        <v>69</v>
      </c>
      <c r="DE1558" t="s">
        <v>70</v>
      </c>
      <c r="DF1558">
        <v>3496.9</v>
      </c>
    </row>
    <row r="1559" spans="100:110" x14ac:dyDescent="0.25">
      <c r="CV1559" t="s">
        <v>64</v>
      </c>
      <c r="CW1559" t="s">
        <v>1632</v>
      </c>
      <c r="CX1559" t="s">
        <v>20</v>
      </c>
      <c r="CY1559" s="4">
        <v>43083</v>
      </c>
      <c r="CZ1559" t="s">
        <v>65</v>
      </c>
      <c r="DA1559" t="s">
        <v>66</v>
      </c>
      <c r="DB1559">
        <v>35</v>
      </c>
      <c r="DC1559">
        <v>63.81</v>
      </c>
      <c r="DD1559" t="s">
        <v>69</v>
      </c>
      <c r="DE1559" t="s">
        <v>70</v>
      </c>
      <c r="DF1559">
        <v>2233.35</v>
      </c>
    </row>
    <row r="1560" spans="100:110" x14ac:dyDescent="0.25">
      <c r="CV1560" t="s">
        <v>64</v>
      </c>
      <c r="CW1560" t="s">
        <v>1633</v>
      </c>
      <c r="CX1560" t="s">
        <v>20</v>
      </c>
      <c r="CY1560" s="4">
        <v>43084</v>
      </c>
      <c r="CZ1560" t="s">
        <v>65</v>
      </c>
      <c r="DA1560" t="s">
        <v>66</v>
      </c>
      <c r="DB1560">
        <v>18</v>
      </c>
      <c r="DC1560">
        <v>64.069999999999993</v>
      </c>
      <c r="DD1560" t="s">
        <v>69</v>
      </c>
      <c r="DE1560" t="s">
        <v>70</v>
      </c>
      <c r="DF1560">
        <v>1153.2599999999998</v>
      </c>
    </row>
    <row r="1561" spans="100:110" x14ac:dyDescent="0.25">
      <c r="CV1561" t="s">
        <v>64</v>
      </c>
      <c r="CW1561" t="s">
        <v>1634</v>
      </c>
      <c r="CX1561" t="s">
        <v>20</v>
      </c>
      <c r="CY1561" s="4">
        <v>43087</v>
      </c>
      <c r="CZ1561" t="s">
        <v>67</v>
      </c>
      <c r="DA1561" t="s">
        <v>68</v>
      </c>
      <c r="DB1561">
        <v>8</v>
      </c>
      <c r="DC1561">
        <v>64.09</v>
      </c>
      <c r="DD1561" t="s">
        <v>69</v>
      </c>
      <c r="DE1561" t="s">
        <v>70</v>
      </c>
      <c r="DF1561">
        <v>512.72</v>
      </c>
    </row>
    <row r="1562" spans="100:110" x14ac:dyDescent="0.25">
      <c r="CV1562" t="s">
        <v>64</v>
      </c>
      <c r="CW1562" t="s">
        <v>1635</v>
      </c>
      <c r="CX1562" t="s">
        <v>20</v>
      </c>
      <c r="CY1562" s="4">
        <v>43088</v>
      </c>
      <c r="CZ1562" t="s">
        <v>65</v>
      </c>
      <c r="DA1562" t="s">
        <v>66</v>
      </c>
      <c r="DB1562">
        <v>64</v>
      </c>
      <c r="DC1562">
        <v>63.52</v>
      </c>
      <c r="DD1562" t="s">
        <v>69</v>
      </c>
      <c r="DE1562" t="s">
        <v>70</v>
      </c>
      <c r="DF1562">
        <v>4065.28</v>
      </c>
    </row>
    <row r="1563" spans="100:110" x14ac:dyDescent="0.25">
      <c r="CV1563" t="s">
        <v>64</v>
      </c>
      <c r="CW1563" t="s">
        <v>1636</v>
      </c>
      <c r="CX1563" t="s">
        <v>20</v>
      </c>
      <c r="CY1563" s="4">
        <v>43089</v>
      </c>
      <c r="CZ1563" t="s">
        <v>67</v>
      </c>
      <c r="DA1563" t="s">
        <v>68</v>
      </c>
      <c r="DB1563">
        <v>9</v>
      </c>
      <c r="DC1563">
        <v>62.88</v>
      </c>
      <c r="DD1563" t="s">
        <v>69</v>
      </c>
      <c r="DE1563" t="s">
        <v>70</v>
      </c>
      <c r="DF1563">
        <v>565.92000000000007</v>
      </c>
    </row>
    <row r="1564" spans="100:110" x14ac:dyDescent="0.25">
      <c r="CV1564" t="s">
        <v>64</v>
      </c>
      <c r="CW1564" t="s">
        <v>1637</v>
      </c>
      <c r="CX1564" t="s">
        <v>20</v>
      </c>
      <c r="CY1564" s="4">
        <v>43090</v>
      </c>
      <c r="CZ1564" t="s">
        <v>67</v>
      </c>
      <c r="DA1564" t="s">
        <v>68</v>
      </c>
      <c r="DB1564">
        <v>71</v>
      </c>
      <c r="DC1564">
        <v>64.05</v>
      </c>
      <c r="DD1564" t="s">
        <v>69</v>
      </c>
      <c r="DE1564" t="s">
        <v>70</v>
      </c>
      <c r="DF1564">
        <v>4547.55</v>
      </c>
    </row>
    <row r="1565" spans="100:110" x14ac:dyDescent="0.25">
      <c r="CV1565" t="s">
        <v>64</v>
      </c>
      <c r="CW1565" t="s">
        <v>1638</v>
      </c>
      <c r="CX1565" t="s">
        <v>20</v>
      </c>
      <c r="CY1565" s="4">
        <v>43091</v>
      </c>
      <c r="CZ1565" t="s">
        <v>67</v>
      </c>
      <c r="DA1565" t="s">
        <v>68</v>
      </c>
      <c r="DB1565">
        <v>94</v>
      </c>
      <c r="DC1565">
        <v>62.58</v>
      </c>
      <c r="DD1565" t="s">
        <v>69</v>
      </c>
      <c r="DE1565" t="s">
        <v>70</v>
      </c>
      <c r="DF1565">
        <v>5882.5199999999995</v>
      </c>
    </row>
    <row r="1566" spans="100:110" x14ac:dyDescent="0.25">
      <c r="CV1566" t="s">
        <v>64</v>
      </c>
      <c r="CW1566" t="s">
        <v>1639</v>
      </c>
      <c r="CX1566" t="s">
        <v>20</v>
      </c>
      <c r="CY1566" s="4">
        <v>43095</v>
      </c>
      <c r="CZ1566" t="s">
        <v>65</v>
      </c>
      <c r="DA1566" t="s">
        <v>66</v>
      </c>
      <c r="DB1566">
        <v>39</v>
      </c>
      <c r="DC1566">
        <v>62.94</v>
      </c>
      <c r="DD1566" t="s">
        <v>69</v>
      </c>
      <c r="DE1566" t="s">
        <v>70</v>
      </c>
      <c r="DF1566">
        <v>2454.66</v>
      </c>
    </row>
    <row r="1567" spans="100:110" x14ac:dyDescent="0.25">
      <c r="CV1567" t="s">
        <v>64</v>
      </c>
      <c r="CW1567" t="s">
        <v>1640</v>
      </c>
      <c r="CX1567" t="s">
        <v>20</v>
      </c>
      <c r="CY1567" s="4">
        <v>43096</v>
      </c>
      <c r="CZ1567" t="s">
        <v>67</v>
      </c>
      <c r="DA1567" t="s">
        <v>68</v>
      </c>
      <c r="DB1567">
        <v>45</v>
      </c>
      <c r="DC1567">
        <v>62.25</v>
      </c>
      <c r="DD1567" t="s">
        <v>69</v>
      </c>
      <c r="DE1567" t="s">
        <v>70</v>
      </c>
      <c r="DF1567">
        <v>2801.25</v>
      </c>
    </row>
    <row r="1568" spans="100:110" x14ac:dyDescent="0.25">
      <c r="CV1568" t="s">
        <v>64</v>
      </c>
      <c r="CW1568" t="s">
        <v>1641</v>
      </c>
      <c r="CX1568" t="s">
        <v>20</v>
      </c>
      <c r="CY1568" s="4">
        <v>43097</v>
      </c>
      <c r="CZ1568" t="s">
        <v>67</v>
      </c>
      <c r="DA1568" t="s">
        <v>68</v>
      </c>
      <c r="DB1568">
        <v>16</v>
      </c>
      <c r="DC1568">
        <v>62.25</v>
      </c>
      <c r="DD1568" t="s">
        <v>69</v>
      </c>
      <c r="DE1568" t="s">
        <v>70</v>
      </c>
      <c r="DF1568">
        <v>996</v>
      </c>
    </row>
    <row r="1569" spans="100:110" x14ac:dyDescent="0.25">
      <c r="CV1569" t="s">
        <v>64</v>
      </c>
      <c r="CW1569" t="s">
        <v>1642</v>
      </c>
      <c r="CX1569" t="s">
        <v>20</v>
      </c>
      <c r="CY1569" s="4">
        <v>43098</v>
      </c>
      <c r="CZ1569" t="s">
        <v>65</v>
      </c>
      <c r="DA1569" t="s">
        <v>66</v>
      </c>
      <c r="DB1569">
        <v>81</v>
      </c>
      <c r="DC1569">
        <v>61.85</v>
      </c>
      <c r="DD1569" t="s">
        <v>69</v>
      </c>
      <c r="DE1569" t="s">
        <v>70</v>
      </c>
      <c r="DF1569">
        <v>5009.8500000000004</v>
      </c>
    </row>
    <row r="1570" spans="100:110" x14ac:dyDescent="0.25">
      <c r="CV1570" t="s">
        <v>64</v>
      </c>
      <c r="CW1570" t="s">
        <v>1643</v>
      </c>
      <c r="CX1570" t="s">
        <v>20</v>
      </c>
      <c r="CY1570" s="4">
        <v>43102</v>
      </c>
      <c r="CZ1570" t="s">
        <v>67</v>
      </c>
      <c r="DA1570" t="s">
        <v>68</v>
      </c>
      <c r="DB1570">
        <v>32</v>
      </c>
      <c r="DC1570">
        <v>62.78</v>
      </c>
      <c r="DD1570" t="s">
        <v>69</v>
      </c>
      <c r="DE1570" t="s">
        <v>70</v>
      </c>
      <c r="DF1570">
        <v>2008.96</v>
      </c>
    </row>
    <row r="1571" spans="100:110" x14ac:dyDescent="0.25">
      <c r="CV1571" t="s">
        <v>64</v>
      </c>
      <c r="CW1571" t="s">
        <v>1644</v>
      </c>
      <c r="CX1571" t="s">
        <v>20</v>
      </c>
      <c r="CY1571" s="4">
        <v>43103</v>
      </c>
      <c r="CZ1571" t="s">
        <v>67</v>
      </c>
      <c r="DA1571" t="s">
        <v>68</v>
      </c>
      <c r="DB1571">
        <v>46</v>
      </c>
      <c r="DC1571">
        <v>62.77</v>
      </c>
      <c r="DD1571" t="s">
        <v>69</v>
      </c>
      <c r="DE1571" t="s">
        <v>70</v>
      </c>
      <c r="DF1571">
        <v>2887.42</v>
      </c>
    </row>
    <row r="1572" spans="100:110" x14ac:dyDescent="0.25">
      <c r="CV1572" t="s">
        <v>64</v>
      </c>
      <c r="CW1572" t="s">
        <v>1645</v>
      </c>
      <c r="CX1572" t="s">
        <v>20</v>
      </c>
      <c r="CY1572" s="4">
        <v>43104</v>
      </c>
      <c r="CZ1572" t="s">
        <v>67</v>
      </c>
      <c r="DA1572" t="s">
        <v>68</v>
      </c>
      <c r="DB1572">
        <v>1</v>
      </c>
      <c r="DC1572">
        <v>62.73</v>
      </c>
      <c r="DD1572" t="s">
        <v>69</v>
      </c>
      <c r="DE1572" t="s">
        <v>70</v>
      </c>
      <c r="DF1572">
        <v>62.73</v>
      </c>
    </row>
    <row r="1573" spans="100:110" x14ac:dyDescent="0.25">
      <c r="CV1573" t="s">
        <v>64</v>
      </c>
      <c r="CW1573" t="s">
        <v>1646</v>
      </c>
      <c r="CX1573" t="s">
        <v>20</v>
      </c>
      <c r="CY1573" s="4">
        <v>43105</v>
      </c>
      <c r="CZ1573" t="s">
        <v>65</v>
      </c>
      <c r="DA1573" t="s">
        <v>66</v>
      </c>
      <c r="DB1573">
        <v>126</v>
      </c>
      <c r="DC1573">
        <v>63.27</v>
      </c>
      <c r="DD1573" t="s">
        <v>69</v>
      </c>
      <c r="DE1573" t="s">
        <v>70</v>
      </c>
      <c r="DF1573">
        <v>7972.02</v>
      </c>
    </row>
    <row r="1574" spans="100:110" x14ac:dyDescent="0.25">
      <c r="CV1574" t="s">
        <v>64</v>
      </c>
      <c r="CW1574" t="s">
        <v>1647</v>
      </c>
      <c r="CX1574" t="s">
        <v>20</v>
      </c>
      <c r="CY1574" s="4">
        <v>43108</v>
      </c>
      <c r="CZ1574" t="s">
        <v>67</v>
      </c>
      <c r="DA1574" t="s">
        <v>68</v>
      </c>
      <c r="DB1574">
        <v>27</v>
      </c>
      <c r="DC1574">
        <v>63.83</v>
      </c>
      <c r="DD1574" t="s">
        <v>69</v>
      </c>
      <c r="DE1574" t="s">
        <v>70</v>
      </c>
      <c r="DF1574">
        <v>1723.4099999999999</v>
      </c>
    </row>
    <row r="1575" spans="100:110" x14ac:dyDescent="0.25">
      <c r="CV1575" t="s">
        <v>64</v>
      </c>
      <c r="CW1575" t="s">
        <v>1648</v>
      </c>
      <c r="CX1575" t="s">
        <v>20</v>
      </c>
      <c r="CY1575" s="4">
        <v>43109</v>
      </c>
      <c r="CZ1575" t="s">
        <v>67</v>
      </c>
      <c r="DA1575" t="s">
        <v>68</v>
      </c>
      <c r="DB1575">
        <v>75</v>
      </c>
      <c r="DC1575">
        <v>63.37</v>
      </c>
      <c r="DD1575" t="s">
        <v>69</v>
      </c>
      <c r="DE1575" t="s">
        <v>70</v>
      </c>
      <c r="DF1575">
        <v>4752.75</v>
      </c>
    </row>
    <row r="1576" spans="100:110" x14ac:dyDescent="0.25">
      <c r="CV1576" t="s">
        <v>64</v>
      </c>
      <c r="CW1576" t="s">
        <v>1649</v>
      </c>
      <c r="CX1576" t="s">
        <v>20</v>
      </c>
      <c r="CY1576" s="4">
        <v>43110</v>
      </c>
      <c r="CZ1576" t="s">
        <v>65</v>
      </c>
      <c r="DA1576" t="s">
        <v>66</v>
      </c>
      <c r="DB1576">
        <v>164</v>
      </c>
      <c r="DC1576">
        <v>63.5</v>
      </c>
      <c r="DD1576" t="s">
        <v>69</v>
      </c>
      <c r="DE1576" t="s">
        <v>70</v>
      </c>
      <c r="DF1576">
        <v>10414</v>
      </c>
    </row>
    <row r="1577" spans="100:110" x14ac:dyDescent="0.25">
      <c r="CV1577" t="s">
        <v>64</v>
      </c>
      <c r="CW1577" t="s">
        <v>1650</v>
      </c>
      <c r="CX1577" t="s">
        <v>20</v>
      </c>
      <c r="CY1577" s="4">
        <v>43111</v>
      </c>
      <c r="CZ1577" t="s">
        <v>67</v>
      </c>
      <c r="DA1577" t="s">
        <v>68</v>
      </c>
      <c r="DB1577">
        <v>18</v>
      </c>
      <c r="DC1577">
        <v>63.57</v>
      </c>
      <c r="DD1577" t="s">
        <v>69</v>
      </c>
      <c r="DE1577" t="s">
        <v>70</v>
      </c>
      <c r="DF1577">
        <v>1144.26</v>
      </c>
    </row>
    <row r="1578" spans="100:110" x14ac:dyDescent="0.25">
      <c r="CV1578" t="s">
        <v>64</v>
      </c>
      <c r="CW1578" t="s">
        <v>1651</v>
      </c>
      <c r="CX1578" t="s">
        <v>20</v>
      </c>
      <c r="CY1578" s="4">
        <v>43112</v>
      </c>
      <c r="CZ1578" t="s">
        <v>65</v>
      </c>
      <c r="DA1578" t="s">
        <v>66</v>
      </c>
      <c r="DB1578">
        <v>6</v>
      </c>
      <c r="DC1578">
        <v>63.95</v>
      </c>
      <c r="DD1578" t="s">
        <v>69</v>
      </c>
      <c r="DE1578" t="s">
        <v>70</v>
      </c>
      <c r="DF1578">
        <v>383.70000000000005</v>
      </c>
    </row>
    <row r="1579" spans="100:110" x14ac:dyDescent="0.25">
      <c r="CV1579" t="s">
        <v>64</v>
      </c>
      <c r="CW1579" t="s">
        <v>1652</v>
      </c>
      <c r="CX1579" t="s">
        <v>20</v>
      </c>
      <c r="CY1579" s="4">
        <v>43116</v>
      </c>
      <c r="CZ1579" t="s">
        <v>67</v>
      </c>
      <c r="DA1579" t="s">
        <v>68</v>
      </c>
      <c r="DB1579">
        <v>82</v>
      </c>
      <c r="DC1579">
        <v>62.71</v>
      </c>
      <c r="DD1579" t="s">
        <v>69</v>
      </c>
      <c r="DE1579" t="s">
        <v>70</v>
      </c>
      <c r="DF1579">
        <v>5142.22</v>
      </c>
    </row>
    <row r="1580" spans="100:110" x14ac:dyDescent="0.25">
      <c r="CV1580" t="s">
        <v>64</v>
      </c>
      <c r="CW1580" t="s">
        <v>1653</v>
      </c>
      <c r="CX1580" t="s">
        <v>20</v>
      </c>
      <c r="CY1580" s="4">
        <v>43117</v>
      </c>
      <c r="CZ1580" t="s">
        <v>67</v>
      </c>
      <c r="DA1580" t="s">
        <v>68</v>
      </c>
      <c r="DB1580">
        <v>12</v>
      </c>
      <c r="DC1580">
        <v>63.1</v>
      </c>
      <c r="DD1580" t="s">
        <v>69</v>
      </c>
      <c r="DE1580" t="s">
        <v>70</v>
      </c>
      <c r="DF1580">
        <v>757.2</v>
      </c>
    </row>
    <row r="1581" spans="100:110" x14ac:dyDescent="0.25">
      <c r="CV1581" t="s">
        <v>64</v>
      </c>
      <c r="CW1581" t="s">
        <v>1654</v>
      </c>
      <c r="CX1581" t="s">
        <v>20</v>
      </c>
      <c r="CY1581" s="4">
        <v>43118</v>
      </c>
      <c r="CZ1581" t="s">
        <v>65</v>
      </c>
      <c r="DA1581" t="s">
        <v>66</v>
      </c>
      <c r="DB1581">
        <v>26</v>
      </c>
      <c r="DC1581">
        <v>63.39</v>
      </c>
      <c r="DD1581" t="s">
        <v>69</v>
      </c>
      <c r="DE1581" t="s">
        <v>70</v>
      </c>
      <c r="DF1581">
        <v>1648.14</v>
      </c>
    </row>
    <row r="1582" spans="100:110" x14ac:dyDescent="0.25">
      <c r="CV1582" t="s">
        <v>64</v>
      </c>
      <c r="CW1582" t="s">
        <v>1655</v>
      </c>
      <c r="CX1582" t="s">
        <v>20</v>
      </c>
      <c r="CY1582" s="4">
        <v>43119</v>
      </c>
      <c r="CZ1582" t="s">
        <v>65</v>
      </c>
      <c r="DA1582" t="s">
        <v>66</v>
      </c>
      <c r="DB1582">
        <v>18</v>
      </c>
      <c r="DC1582">
        <v>66.459999999999994</v>
      </c>
      <c r="DD1582" t="s">
        <v>69</v>
      </c>
      <c r="DE1582" t="s">
        <v>70</v>
      </c>
      <c r="DF1582">
        <v>1196.28</v>
      </c>
    </row>
    <row r="1583" spans="100:110" x14ac:dyDescent="0.25">
      <c r="CV1583" t="s">
        <v>64</v>
      </c>
      <c r="CW1583" t="s">
        <v>1656</v>
      </c>
      <c r="CX1583" t="s">
        <v>20</v>
      </c>
      <c r="CY1583" s="4">
        <v>43122</v>
      </c>
      <c r="CZ1583" t="s">
        <v>67</v>
      </c>
      <c r="DA1583" t="s">
        <v>68</v>
      </c>
      <c r="DB1583">
        <v>125</v>
      </c>
      <c r="DC1583">
        <v>65.650000000000006</v>
      </c>
      <c r="DD1583" t="s">
        <v>69</v>
      </c>
      <c r="DE1583" t="s">
        <v>70</v>
      </c>
      <c r="DF1583">
        <v>8206.25</v>
      </c>
    </row>
    <row r="1584" spans="100:110" x14ac:dyDescent="0.25">
      <c r="CV1584" t="s">
        <v>64</v>
      </c>
      <c r="CW1584" t="s">
        <v>1657</v>
      </c>
      <c r="CX1584" t="s">
        <v>20</v>
      </c>
      <c r="CY1584" s="4">
        <v>43123</v>
      </c>
      <c r="CZ1584" t="s">
        <v>65</v>
      </c>
      <c r="DA1584" t="s">
        <v>66</v>
      </c>
      <c r="DB1584">
        <v>94</v>
      </c>
      <c r="DC1584">
        <v>66.39</v>
      </c>
      <c r="DD1584" t="s">
        <v>69</v>
      </c>
      <c r="DE1584" t="s">
        <v>70</v>
      </c>
      <c r="DF1584">
        <v>6240.66</v>
      </c>
    </row>
    <row r="1585" spans="100:110" x14ac:dyDescent="0.25">
      <c r="CV1585" t="s">
        <v>64</v>
      </c>
      <c r="CW1585" t="s">
        <v>1658</v>
      </c>
      <c r="CX1585" t="s">
        <v>20</v>
      </c>
      <c r="CY1585" s="4">
        <v>43124</v>
      </c>
      <c r="CZ1585" t="s">
        <v>65</v>
      </c>
      <c r="DA1585" t="s">
        <v>66</v>
      </c>
      <c r="DB1585">
        <v>44</v>
      </c>
      <c r="DC1585">
        <v>67.239999999999995</v>
      </c>
      <c r="DD1585" t="s">
        <v>69</v>
      </c>
      <c r="DE1585" t="s">
        <v>70</v>
      </c>
      <c r="DF1585">
        <v>2958.56</v>
      </c>
    </row>
    <row r="1586" spans="100:110" x14ac:dyDescent="0.25">
      <c r="CV1586" t="s">
        <v>64</v>
      </c>
      <c r="CW1586" t="s">
        <v>1659</v>
      </c>
      <c r="CX1586" t="s">
        <v>20</v>
      </c>
      <c r="CY1586" s="4">
        <v>43125</v>
      </c>
      <c r="CZ1586" t="s">
        <v>67</v>
      </c>
      <c r="DA1586" t="s">
        <v>68</v>
      </c>
      <c r="DB1586">
        <v>54</v>
      </c>
      <c r="DC1586">
        <v>66.95</v>
      </c>
      <c r="DD1586" t="s">
        <v>69</v>
      </c>
      <c r="DE1586" t="s">
        <v>70</v>
      </c>
      <c r="DF1586">
        <v>3615.3</v>
      </c>
    </row>
    <row r="1587" spans="100:110" x14ac:dyDescent="0.25">
      <c r="CV1587" t="s">
        <v>64</v>
      </c>
      <c r="CW1587" t="s">
        <v>1660</v>
      </c>
      <c r="CX1587" t="s">
        <v>20</v>
      </c>
      <c r="CY1587" s="4">
        <v>43126</v>
      </c>
      <c r="CZ1587" t="s">
        <v>65</v>
      </c>
      <c r="DA1587" t="s">
        <v>66</v>
      </c>
      <c r="DB1587">
        <v>99</v>
      </c>
      <c r="DC1587">
        <v>67.28</v>
      </c>
      <c r="DD1587" t="s">
        <v>69</v>
      </c>
      <c r="DE1587" t="s">
        <v>70</v>
      </c>
      <c r="DF1587">
        <v>6660.72</v>
      </c>
    </row>
    <row r="1588" spans="100:110" x14ac:dyDescent="0.25">
      <c r="CV1588" t="s">
        <v>64</v>
      </c>
      <c r="CW1588" t="s">
        <v>1661</v>
      </c>
      <c r="CX1588" t="s">
        <v>20</v>
      </c>
      <c r="CY1588" s="4">
        <v>43129</v>
      </c>
      <c r="CZ1588" t="s">
        <v>67</v>
      </c>
      <c r="DA1588" t="s">
        <v>68</v>
      </c>
      <c r="DB1588">
        <v>46</v>
      </c>
      <c r="DC1588">
        <v>66.83</v>
      </c>
      <c r="DD1588" t="s">
        <v>69</v>
      </c>
      <c r="DE1588" t="s">
        <v>70</v>
      </c>
      <c r="DF1588">
        <v>3074.18</v>
      </c>
    </row>
    <row r="1589" spans="100:110" x14ac:dyDescent="0.25">
      <c r="CV1589" t="s">
        <v>64</v>
      </c>
      <c r="CW1589" t="s">
        <v>1662</v>
      </c>
      <c r="CX1589" t="s">
        <v>20</v>
      </c>
      <c r="CY1589" s="4">
        <v>43130</v>
      </c>
      <c r="CZ1589" t="s">
        <v>65</v>
      </c>
      <c r="DA1589" t="s">
        <v>66</v>
      </c>
      <c r="DB1589">
        <v>1</v>
      </c>
      <c r="DC1589">
        <v>66.58</v>
      </c>
      <c r="DD1589" t="s">
        <v>69</v>
      </c>
      <c r="DE1589" t="s">
        <v>70</v>
      </c>
      <c r="DF1589">
        <v>66.58</v>
      </c>
    </row>
    <row r="1590" spans="100:110" x14ac:dyDescent="0.25">
      <c r="CV1590" t="s">
        <v>64</v>
      </c>
      <c r="CW1590" t="s">
        <v>1663</v>
      </c>
      <c r="CX1590" t="s">
        <v>20</v>
      </c>
      <c r="CY1590" s="4">
        <v>43131</v>
      </c>
      <c r="CZ1590" t="s">
        <v>67</v>
      </c>
      <c r="DA1590" t="s">
        <v>68</v>
      </c>
      <c r="DB1590">
        <v>92</v>
      </c>
      <c r="DC1590">
        <v>67.459999999999994</v>
      </c>
      <c r="DD1590" t="s">
        <v>69</v>
      </c>
      <c r="DE1590" t="s">
        <v>70</v>
      </c>
      <c r="DF1590">
        <v>6206.32</v>
      </c>
    </row>
    <row r="1591" spans="100:110" x14ac:dyDescent="0.25">
      <c r="CV1591" t="s">
        <v>64</v>
      </c>
      <c r="CW1591" t="s">
        <v>1664</v>
      </c>
      <c r="CX1591" t="s">
        <v>20</v>
      </c>
      <c r="CY1591" s="4">
        <v>43132</v>
      </c>
      <c r="CZ1591" t="s">
        <v>65</v>
      </c>
      <c r="DA1591" t="s">
        <v>66</v>
      </c>
      <c r="DB1591">
        <v>114</v>
      </c>
      <c r="DC1591">
        <v>66.89</v>
      </c>
      <c r="DD1591" t="s">
        <v>69</v>
      </c>
      <c r="DE1591" t="s">
        <v>70</v>
      </c>
      <c r="DF1591">
        <v>7625.46</v>
      </c>
    </row>
    <row r="1592" spans="100:110" x14ac:dyDescent="0.25">
      <c r="CV1592" t="s">
        <v>64</v>
      </c>
      <c r="CW1592" t="s">
        <v>1665</v>
      </c>
      <c r="CX1592" t="s">
        <v>20</v>
      </c>
      <c r="CY1592" s="4">
        <v>43133</v>
      </c>
      <c r="CZ1592" t="s">
        <v>67</v>
      </c>
      <c r="DA1592" t="s">
        <v>68</v>
      </c>
      <c r="DB1592">
        <v>133</v>
      </c>
      <c r="DC1592">
        <v>66.47</v>
      </c>
      <c r="DD1592" t="s">
        <v>69</v>
      </c>
      <c r="DE1592" t="s">
        <v>70</v>
      </c>
      <c r="DF1592">
        <v>8840.51</v>
      </c>
    </row>
    <row r="1593" spans="100:110" x14ac:dyDescent="0.25">
      <c r="CV1593" t="s">
        <v>64</v>
      </c>
      <c r="CW1593" t="s">
        <v>1666</v>
      </c>
      <c r="CX1593" t="s">
        <v>20</v>
      </c>
      <c r="CY1593" s="4">
        <v>43136</v>
      </c>
      <c r="CZ1593" t="s">
        <v>65</v>
      </c>
      <c r="DA1593" t="s">
        <v>66</v>
      </c>
      <c r="DB1593">
        <v>131</v>
      </c>
      <c r="DC1593">
        <v>63.67</v>
      </c>
      <c r="DD1593" t="s">
        <v>69</v>
      </c>
      <c r="DE1593" t="s">
        <v>70</v>
      </c>
      <c r="DF1593">
        <v>8340.77</v>
      </c>
    </row>
    <row r="1594" spans="100:110" x14ac:dyDescent="0.25">
      <c r="CV1594" t="s">
        <v>64</v>
      </c>
      <c r="CW1594" t="s">
        <v>1667</v>
      </c>
      <c r="CX1594" t="s">
        <v>20</v>
      </c>
      <c r="CY1594" s="4">
        <v>43137</v>
      </c>
      <c r="CZ1594" t="s">
        <v>67</v>
      </c>
      <c r="DA1594" t="s">
        <v>68</v>
      </c>
      <c r="DB1594">
        <v>145</v>
      </c>
      <c r="DC1594">
        <v>64.489999999999995</v>
      </c>
      <c r="DD1594" t="s">
        <v>69</v>
      </c>
      <c r="DE1594" t="s">
        <v>70</v>
      </c>
      <c r="DF1594">
        <v>9351.0499999999993</v>
      </c>
    </row>
    <row r="1595" spans="100:110" x14ac:dyDescent="0.25">
      <c r="CV1595" t="s">
        <v>64</v>
      </c>
      <c r="CW1595" t="s">
        <v>1668</v>
      </c>
      <c r="CX1595" t="s">
        <v>20</v>
      </c>
      <c r="CY1595" s="4">
        <v>43138</v>
      </c>
      <c r="CZ1595" t="s">
        <v>65</v>
      </c>
      <c r="DA1595" t="s">
        <v>66</v>
      </c>
      <c r="DB1595">
        <v>21</v>
      </c>
      <c r="DC1595">
        <v>64.900000000000006</v>
      </c>
      <c r="DD1595" t="s">
        <v>69</v>
      </c>
      <c r="DE1595" t="s">
        <v>70</v>
      </c>
      <c r="DF1595">
        <v>1362.9</v>
      </c>
    </row>
    <row r="1596" spans="100:110" x14ac:dyDescent="0.25">
      <c r="CV1596" t="s">
        <v>64</v>
      </c>
      <c r="CW1596" t="s">
        <v>1669</v>
      </c>
      <c r="CX1596" t="s">
        <v>20</v>
      </c>
      <c r="CY1596" s="4">
        <v>43139</v>
      </c>
      <c r="CZ1596" t="s">
        <v>65</v>
      </c>
      <c r="DA1596" t="s">
        <v>66</v>
      </c>
      <c r="DB1596">
        <v>111</v>
      </c>
      <c r="DC1596">
        <v>61.79</v>
      </c>
      <c r="DD1596" t="s">
        <v>69</v>
      </c>
      <c r="DE1596" t="s">
        <v>70</v>
      </c>
      <c r="DF1596">
        <v>6858.69</v>
      </c>
    </row>
    <row r="1597" spans="100:110" x14ac:dyDescent="0.25">
      <c r="CV1597" t="s">
        <v>64</v>
      </c>
      <c r="CW1597" t="s">
        <v>1670</v>
      </c>
      <c r="CX1597" t="s">
        <v>20</v>
      </c>
      <c r="CY1597" s="4">
        <v>43140</v>
      </c>
      <c r="CZ1597" t="s">
        <v>67</v>
      </c>
      <c r="DA1597" t="s">
        <v>68</v>
      </c>
      <c r="DB1597">
        <v>149</v>
      </c>
      <c r="DC1597">
        <v>64.760000000000005</v>
      </c>
      <c r="DD1597" t="s">
        <v>69</v>
      </c>
      <c r="DE1597" t="s">
        <v>70</v>
      </c>
      <c r="DF1597">
        <v>9649.2400000000016</v>
      </c>
    </row>
    <row r="1598" spans="100:110" x14ac:dyDescent="0.25">
      <c r="CV1598" t="s">
        <v>64</v>
      </c>
      <c r="CW1598" t="s">
        <v>1671</v>
      </c>
      <c r="CX1598" t="s">
        <v>20</v>
      </c>
      <c r="CY1598" s="4">
        <v>43143</v>
      </c>
      <c r="CZ1598" t="s">
        <v>65</v>
      </c>
      <c r="DA1598" t="s">
        <v>66</v>
      </c>
      <c r="DB1598">
        <v>152</v>
      </c>
      <c r="DC1598">
        <v>65.239999999999995</v>
      </c>
      <c r="DD1598" t="s">
        <v>69</v>
      </c>
      <c r="DE1598" t="s">
        <v>70</v>
      </c>
      <c r="DF1598">
        <v>9916.48</v>
      </c>
    </row>
    <row r="1599" spans="100:110" x14ac:dyDescent="0.25">
      <c r="CV1599" t="s">
        <v>64</v>
      </c>
      <c r="CW1599" t="s">
        <v>1672</v>
      </c>
      <c r="CX1599" t="s">
        <v>20</v>
      </c>
      <c r="CY1599" s="4">
        <v>43144</v>
      </c>
      <c r="CZ1599" t="s">
        <v>67</v>
      </c>
      <c r="DA1599" t="s">
        <v>68</v>
      </c>
      <c r="DB1599">
        <v>66</v>
      </c>
      <c r="DC1599">
        <v>65.13</v>
      </c>
      <c r="DD1599" t="s">
        <v>69</v>
      </c>
      <c r="DE1599" t="s">
        <v>70</v>
      </c>
      <c r="DF1599">
        <v>4298.58</v>
      </c>
    </row>
    <row r="1600" spans="100:110" x14ac:dyDescent="0.25">
      <c r="CV1600" t="s">
        <v>64</v>
      </c>
      <c r="CW1600" t="s">
        <v>1673</v>
      </c>
      <c r="CX1600" t="s">
        <v>20</v>
      </c>
      <c r="CY1600" s="4">
        <v>43145</v>
      </c>
      <c r="CZ1600" t="s">
        <v>65</v>
      </c>
      <c r="DA1600" t="s">
        <v>66</v>
      </c>
      <c r="DB1600">
        <v>25</v>
      </c>
      <c r="DC1600">
        <v>67.2</v>
      </c>
      <c r="DD1600" t="s">
        <v>69</v>
      </c>
      <c r="DE1600" t="s">
        <v>70</v>
      </c>
      <c r="DF1600">
        <v>1680</v>
      </c>
    </row>
    <row r="1601" spans="100:110" x14ac:dyDescent="0.25">
      <c r="CV1601" t="s">
        <v>64</v>
      </c>
      <c r="CW1601" t="s">
        <v>1674</v>
      </c>
      <c r="CX1601" t="s">
        <v>20</v>
      </c>
      <c r="CY1601" s="4">
        <v>43146</v>
      </c>
      <c r="CZ1601" t="s">
        <v>67</v>
      </c>
      <c r="DA1601" t="s">
        <v>68</v>
      </c>
      <c r="DB1601">
        <v>104</v>
      </c>
      <c r="DC1601">
        <v>67.53</v>
      </c>
      <c r="DD1601" t="s">
        <v>69</v>
      </c>
      <c r="DE1601" t="s">
        <v>70</v>
      </c>
      <c r="DF1601">
        <v>7023.12</v>
      </c>
    </row>
    <row r="1602" spans="100:110" x14ac:dyDescent="0.25">
      <c r="CV1602" t="s">
        <v>64</v>
      </c>
      <c r="CW1602" t="s">
        <v>1675</v>
      </c>
      <c r="CX1602" t="s">
        <v>20</v>
      </c>
      <c r="CY1602" s="4">
        <v>43147</v>
      </c>
      <c r="CZ1602" t="s">
        <v>65</v>
      </c>
      <c r="DA1602" t="s">
        <v>66</v>
      </c>
      <c r="DB1602">
        <v>170</v>
      </c>
      <c r="DC1602">
        <v>67.540000000000006</v>
      </c>
      <c r="DD1602" t="s">
        <v>69</v>
      </c>
      <c r="DE1602" t="s">
        <v>70</v>
      </c>
      <c r="DF1602">
        <v>11481.800000000001</v>
      </c>
    </row>
    <row r="1603" spans="100:110" x14ac:dyDescent="0.25">
      <c r="CV1603" t="s">
        <v>64</v>
      </c>
      <c r="CW1603" t="s">
        <v>1676</v>
      </c>
      <c r="CX1603" t="s">
        <v>20</v>
      </c>
      <c r="CY1603" s="4">
        <v>43151</v>
      </c>
      <c r="CZ1603" t="s">
        <v>67</v>
      </c>
      <c r="DA1603" t="s">
        <v>68</v>
      </c>
      <c r="DB1603">
        <v>132</v>
      </c>
      <c r="DC1603">
        <v>66.739999999999995</v>
      </c>
      <c r="DD1603" t="s">
        <v>69</v>
      </c>
      <c r="DE1603" t="s">
        <v>70</v>
      </c>
      <c r="DF1603">
        <v>8809.6799999999985</v>
      </c>
    </row>
    <row r="1604" spans="100:110" x14ac:dyDescent="0.25">
      <c r="CV1604" t="s">
        <v>64</v>
      </c>
      <c r="CW1604" t="s">
        <v>1677</v>
      </c>
      <c r="CX1604" t="s">
        <v>20</v>
      </c>
      <c r="CY1604" s="4">
        <v>43152</v>
      </c>
      <c r="CZ1604" t="s">
        <v>67</v>
      </c>
      <c r="DA1604" t="s">
        <v>68</v>
      </c>
      <c r="DB1604">
        <v>33</v>
      </c>
      <c r="DC1604">
        <v>66.3</v>
      </c>
      <c r="DD1604" t="s">
        <v>69</v>
      </c>
      <c r="DE1604" t="s">
        <v>70</v>
      </c>
      <c r="DF1604">
        <v>2187.9</v>
      </c>
    </row>
    <row r="1605" spans="100:110" x14ac:dyDescent="0.25">
      <c r="CV1605" t="s">
        <v>64</v>
      </c>
      <c r="CW1605" t="s">
        <v>1678</v>
      </c>
      <c r="CX1605" t="s">
        <v>20</v>
      </c>
      <c r="CY1605" s="4">
        <v>43153</v>
      </c>
      <c r="CZ1605" t="s">
        <v>65</v>
      </c>
      <c r="DA1605" t="s">
        <v>66</v>
      </c>
      <c r="DB1605">
        <v>99</v>
      </c>
      <c r="DC1605">
        <v>66.38</v>
      </c>
      <c r="DD1605" t="s">
        <v>69</v>
      </c>
      <c r="DE1605" t="s">
        <v>70</v>
      </c>
      <c r="DF1605">
        <v>6571.62</v>
      </c>
    </row>
    <row r="1606" spans="100:110" x14ac:dyDescent="0.25">
      <c r="CV1606" t="s">
        <v>64</v>
      </c>
      <c r="CW1606" t="s">
        <v>1679</v>
      </c>
      <c r="CX1606" t="s">
        <v>20</v>
      </c>
      <c r="CY1606" s="4">
        <v>43154</v>
      </c>
      <c r="CZ1606" t="s">
        <v>65</v>
      </c>
      <c r="DA1606" t="s">
        <v>66</v>
      </c>
      <c r="DB1606">
        <v>56</v>
      </c>
      <c r="DC1606">
        <v>67.400000000000006</v>
      </c>
      <c r="DD1606" t="s">
        <v>69</v>
      </c>
      <c r="DE1606" t="s">
        <v>70</v>
      </c>
      <c r="DF1606">
        <v>3774.4000000000005</v>
      </c>
    </row>
    <row r="1607" spans="100:110" x14ac:dyDescent="0.25">
      <c r="CV1607" t="s">
        <v>64</v>
      </c>
      <c r="CW1607" t="s">
        <v>1680</v>
      </c>
      <c r="CX1607" t="s">
        <v>20</v>
      </c>
      <c r="CY1607" s="4">
        <v>43157</v>
      </c>
      <c r="CZ1607" t="s">
        <v>67</v>
      </c>
      <c r="DA1607" t="s">
        <v>68</v>
      </c>
      <c r="DB1607">
        <v>14</v>
      </c>
      <c r="DC1607">
        <v>68.87</v>
      </c>
      <c r="DD1607" t="s">
        <v>69</v>
      </c>
      <c r="DE1607" t="s">
        <v>70</v>
      </c>
      <c r="DF1607">
        <v>964.18000000000006</v>
      </c>
    </row>
    <row r="1608" spans="100:110" x14ac:dyDescent="0.25">
      <c r="CV1608" t="s">
        <v>64</v>
      </c>
      <c r="CW1608" t="s">
        <v>1681</v>
      </c>
      <c r="CX1608" t="s">
        <v>20</v>
      </c>
      <c r="CY1608" s="4">
        <v>43158</v>
      </c>
      <c r="CZ1608" t="s">
        <v>65</v>
      </c>
      <c r="DA1608" t="s">
        <v>66</v>
      </c>
      <c r="DB1608">
        <v>13</v>
      </c>
      <c r="DC1608">
        <v>67.27</v>
      </c>
      <c r="DD1608" t="s">
        <v>69</v>
      </c>
      <c r="DE1608" t="s">
        <v>70</v>
      </c>
      <c r="DF1608">
        <v>874.51</v>
      </c>
    </row>
    <row r="1609" spans="100:110" x14ac:dyDescent="0.25">
      <c r="CV1609" t="s">
        <v>64</v>
      </c>
      <c r="CW1609" t="s">
        <v>1682</v>
      </c>
      <c r="CX1609" t="s">
        <v>20</v>
      </c>
      <c r="CY1609" s="4">
        <v>43159</v>
      </c>
      <c r="CZ1609" t="s">
        <v>67</v>
      </c>
      <c r="DA1609" t="s">
        <v>68</v>
      </c>
      <c r="DB1609">
        <v>59</v>
      </c>
      <c r="DC1609">
        <v>66.28</v>
      </c>
      <c r="DD1609" t="s">
        <v>69</v>
      </c>
      <c r="DE1609" t="s">
        <v>70</v>
      </c>
      <c r="DF1609">
        <v>3910.52</v>
      </c>
    </row>
    <row r="1610" spans="100:110" x14ac:dyDescent="0.25">
      <c r="CV1610" t="s">
        <v>64</v>
      </c>
      <c r="CW1610" t="s">
        <v>1683</v>
      </c>
      <c r="CX1610" t="s">
        <v>20</v>
      </c>
      <c r="CY1610" s="4">
        <v>43160</v>
      </c>
      <c r="CZ1610" t="s">
        <v>67</v>
      </c>
      <c r="DA1610" t="s">
        <v>68</v>
      </c>
      <c r="DB1610">
        <v>68</v>
      </c>
      <c r="DC1610">
        <v>65.58</v>
      </c>
      <c r="DD1610" t="s">
        <v>69</v>
      </c>
      <c r="DE1610" t="s">
        <v>70</v>
      </c>
      <c r="DF1610">
        <v>4459.4399999999996</v>
      </c>
    </row>
    <row r="1611" spans="100:110" x14ac:dyDescent="0.25">
      <c r="CV1611" t="s">
        <v>64</v>
      </c>
      <c r="CW1611" t="s">
        <v>1684</v>
      </c>
      <c r="CX1611" t="s">
        <v>20</v>
      </c>
      <c r="CY1611" s="4">
        <v>43161</v>
      </c>
      <c r="CZ1611" t="s">
        <v>65</v>
      </c>
      <c r="DA1611" t="s">
        <v>66</v>
      </c>
      <c r="DB1611">
        <v>102</v>
      </c>
      <c r="DC1611">
        <v>65.349999999999994</v>
      </c>
      <c r="DD1611" t="s">
        <v>69</v>
      </c>
      <c r="DE1611" t="s">
        <v>70</v>
      </c>
      <c r="DF1611">
        <v>6665.7</v>
      </c>
    </row>
    <row r="1612" spans="100:110" x14ac:dyDescent="0.25">
      <c r="CV1612" t="s">
        <v>64</v>
      </c>
      <c r="CW1612" t="s">
        <v>1685</v>
      </c>
      <c r="CX1612" t="s">
        <v>20</v>
      </c>
      <c r="CY1612" s="4">
        <v>43164</v>
      </c>
      <c r="CZ1612" t="s">
        <v>67</v>
      </c>
      <c r="DA1612" t="s">
        <v>68</v>
      </c>
      <c r="DB1612">
        <v>64</v>
      </c>
      <c r="DC1612">
        <v>64.52</v>
      </c>
      <c r="DD1612" t="s">
        <v>69</v>
      </c>
      <c r="DE1612" t="s">
        <v>70</v>
      </c>
      <c r="DF1612">
        <v>4129.28</v>
      </c>
    </row>
    <row r="1613" spans="100:110" x14ac:dyDescent="0.25">
      <c r="CV1613" t="s">
        <v>64</v>
      </c>
      <c r="CW1613" t="s">
        <v>1686</v>
      </c>
      <c r="CX1613" t="s">
        <v>20</v>
      </c>
      <c r="CY1613" s="4">
        <v>43165</v>
      </c>
      <c r="CZ1613" t="s">
        <v>65</v>
      </c>
      <c r="DA1613" t="s">
        <v>66</v>
      </c>
      <c r="DB1613">
        <v>7</v>
      </c>
      <c r="DC1613">
        <v>64.709999999999994</v>
      </c>
      <c r="DD1613" t="s">
        <v>69</v>
      </c>
      <c r="DE1613" t="s">
        <v>70</v>
      </c>
      <c r="DF1613">
        <v>452.96999999999997</v>
      </c>
    </row>
    <row r="1614" spans="100:110" x14ac:dyDescent="0.25">
      <c r="CV1614" t="s">
        <v>64</v>
      </c>
      <c r="CW1614" t="s">
        <v>1687</v>
      </c>
      <c r="CX1614" t="s">
        <v>20</v>
      </c>
      <c r="CY1614" s="4">
        <v>43166</v>
      </c>
      <c r="CZ1614" t="s">
        <v>65</v>
      </c>
      <c r="DA1614" t="s">
        <v>66</v>
      </c>
      <c r="DB1614">
        <v>60</v>
      </c>
      <c r="DC1614">
        <v>63.65</v>
      </c>
      <c r="DD1614" t="s">
        <v>69</v>
      </c>
      <c r="DE1614" t="s">
        <v>70</v>
      </c>
      <c r="DF1614">
        <v>3819</v>
      </c>
    </row>
    <row r="1615" spans="100:110" x14ac:dyDescent="0.25">
      <c r="CV1615" t="s">
        <v>64</v>
      </c>
      <c r="CW1615" t="s">
        <v>1688</v>
      </c>
      <c r="CX1615" t="s">
        <v>20</v>
      </c>
      <c r="CY1615" s="4">
        <v>43167</v>
      </c>
      <c r="CZ1615" t="s">
        <v>67</v>
      </c>
      <c r="DA1615" t="s">
        <v>68</v>
      </c>
      <c r="DB1615">
        <v>50</v>
      </c>
      <c r="DC1615">
        <v>64.58</v>
      </c>
      <c r="DD1615" t="s">
        <v>69</v>
      </c>
      <c r="DE1615" t="s">
        <v>70</v>
      </c>
      <c r="DF1615">
        <v>3229</v>
      </c>
    </row>
    <row r="1616" spans="100:110" x14ac:dyDescent="0.25">
      <c r="CV1616" t="s">
        <v>64</v>
      </c>
      <c r="CW1616" t="s">
        <v>1689</v>
      </c>
      <c r="CX1616" t="s">
        <v>20</v>
      </c>
      <c r="CY1616" s="4">
        <v>43168</v>
      </c>
      <c r="CZ1616" t="s">
        <v>67</v>
      </c>
      <c r="DA1616" t="s">
        <v>68</v>
      </c>
      <c r="DB1616">
        <v>70</v>
      </c>
      <c r="DC1616">
        <v>65.760000000000005</v>
      </c>
      <c r="DD1616" t="s">
        <v>69</v>
      </c>
      <c r="DE1616" t="s">
        <v>70</v>
      </c>
      <c r="DF1616">
        <v>4603.2000000000007</v>
      </c>
    </row>
    <row r="1617" spans="100:110" x14ac:dyDescent="0.25">
      <c r="CV1617" t="s">
        <v>64</v>
      </c>
      <c r="CW1617" t="s">
        <v>1690</v>
      </c>
      <c r="CX1617" t="s">
        <v>20</v>
      </c>
      <c r="CY1617" s="4">
        <v>43171</v>
      </c>
      <c r="CZ1617" t="s">
        <v>65</v>
      </c>
      <c r="DA1617" t="s">
        <v>66</v>
      </c>
      <c r="DB1617">
        <v>66</v>
      </c>
      <c r="DC1617">
        <v>66.27</v>
      </c>
      <c r="DD1617" t="s">
        <v>69</v>
      </c>
      <c r="DE1617" t="s">
        <v>70</v>
      </c>
      <c r="DF1617">
        <v>4373.82</v>
      </c>
    </row>
    <row r="1618" spans="100:110" x14ac:dyDescent="0.25">
      <c r="CV1618" t="s">
        <v>64</v>
      </c>
      <c r="CW1618" t="s">
        <v>1691</v>
      </c>
      <c r="CX1618" t="s">
        <v>20</v>
      </c>
      <c r="CY1618" s="4">
        <v>43172</v>
      </c>
      <c r="CZ1618" t="s">
        <v>65</v>
      </c>
      <c r="DA1618" t="s">
        <v>66</v>
      </c>
      <c r="DB1618">
        <v>11</v>
      </c>
      <c r="DC1618">
        <v>65.63</v>
      </c>
      <c r="DD1618" t="s">
        <v>69</v>
      </c>
      <c r="DE1618" t="s">
        <v>70</v>
      </c>
      <c r="DF1618">
        <v>721.93</v>
      </c>
    </row>
    <row r="1619" spans="100:110" x14ac:dyDescent="0.25">
      <c r="CV1619" t="s">
        <v>64</v>
      </c>
      <c r="CW1619" t="s">
        <v>1692</v>
      </c>
      <c r="CX1619" t="s">
        <v>20</v>
      </c>
      <c r="CY1619" s="4">
        <v>43173</v>
      </c>
      <c r="CZ1619" t="s">
        <v>65</v>
      </c>
      <c r="DA1619" t="s">
        <v>66</v>
      </c>
      <c r="DB1619">
        <v>70</v>
      </c>
      <c r="DC1619">
        <v>65.66</v>
      </c>
      <c r="DD1619" t="s">
        <v>69</v>
      </c>
      <c r="DE1619" t="s">
        <v>70</v>
      </c>
      <c r="DF1619">
        <v>4596.2</v>
      </c>
    </row>
    <row r="1620" spans="100:110" x14ac:dyDescent="0.25">
      <c r="CV1620" t="s">
        <v>64</v>
      </c>
      <c r="CW1620" t="s">
        <v>1693</v>
      </c>
      <c r="CX1620" t="s">
        <v>20</v>
      </c>
      <c r="CY1620" s="4">
        <v>43174</v>
      </c>
      <c r="CZ1620" t="s">
        <v>67</v>
      </c>
      <c r="DA1620" t="s">
        <v>68</v>
      </c>
      <c r="DB1620">
        <v>53</v>
      </c>
      <c r="DC1620">
        <v>65.849999999999994</v>
      </c>
      <c r="DD1620" t="s">
        <v>69</v>
      </c>
      <c r="DE1620" t="s">
        <v>70</v>
      </c>
      <c r="DF1620">
        <v>3490.0499999999997</v>
      </c>
    </row>
    <row r="1621" spans="100:110" x14ac:dyDescent="0.25">
      <c r="CV1621" t="s">
        <v>64</v>
      </c>
      <c r="CW1621" t="s">
        <v>1694</v>
      </c>
      <c r="CX1621" t="s">
        <v>20</v>
      </c>
      <c r="CY1621" s="4">
        <v>43175</v>
      </c>
      <c r="CZ1621" t="s">
        <v>65</v>
      </c>
      <c r="DA1621" t="s">
        <v>66</v>
      </c>
      <c r="DB1621">
        <v>80</v>
      </c>
      <c r="DC1621">
        <v>65.37</v>
      </c>
      <c r="DD1621" t="s">
        <v>69</v>
      </c>
      <c r="DE1621" t="s">
        <v>70</v>
      </c>
      <c r="DF1621">
        <v>5229.6000000000004</v>
      </c>
    </row>
    <row r="1622" spans="100:110" x14ac:dyDescent="0.25">
      <c r="CV1622" t="s">
        <v>64</v>
      </c>
      <c r="CW1622" t="s">
        <v>1695</v>
      </c>
      <c r="CX1622" t="s">
        <v>20</v>
      </c>
      <c r="CY1622" s="4">
        <v>43178</v>
      </c>
      <c r="CZ1622" t="s">
        <v>67</v>
      </c>
      <c r="DA1622" t="s">
        <v>68</v>
      </c>
      <c r="DB1622">
        <v>113</v>
      </c>
      <c r="DC1622">
        <v>65.17</v>
      </c>
      <c r="DD1622" t="s">
        <v>69</v>
      </c>
      <c r="DE1622" t="s">
        <v>70</v>
      </c>
      <c r="DF1622">
        <v>7364.21</v>
      </c>
    </row>
    <row r="1623" spans="100:110" x14ac:dyDescent="0.25">
      <c r="CV1623" t="s">
        <v>64</v>
      </c>
      <c r="CW1623" t="s">
        <v>1696</v>
      </c>
      <c r="CX1623" t="s">
        <v>20</v>
      </c>
      <c r="CY1623" s="4">
        <v>43179</v>
      </c>
      <c r="CZ1623" t="s">
        <v>67</v>
      </c>
      <c r="DA1623" t="s">
        <v>68</v>
      </c>
      <c r="DB1623">
        <v>39</v>
      </c>
      <c r="DC1623">
        <v>66.25</v>
      </c>
      <c r="DD1623" t="s">
        <v>69</v>
      </c>
      <c r="DE1623" t="s">
        <v>70</v>
      </c>
      <c r="DF1623">
        <v>2583.75</v>
      </c>
    </row>
    <row r="1624" spans="100:110" x14ac:dyDescent="0.25">
      <c r="CV1624" t="s">
        <v>64</v>
      </c>
      <c r="CW1624" t="s">
        <v>1697</v>
      </c>
      <c r="CX1624" t="s">
        <v>20</v>
      </c>
      <c r="CY1624" s="4">
        <v>43180</v>
      </c>
      <c r="CZ1624" t="s">
        <v>65</v>
      </c>
      <c r="DA1624" t="s">
        <v>66</v>
      </c>
      <c r="DB1624">
        <v>139</v>
      </c>
      <c r="DC1624">
        <v>65.81</v>
      </c>
      <c r="DD1624" t="s">
        <v>69</v>
      </c>
      <c r="DE1624" t="s">
        <v>70</v>
      </c>
      <c r="DF1624">
        <v>9147.59</v>
      </c>
    </row>
    <row r="1625" spans="100:110" x14ac:dyDescent="0.25">
      <c r="CV1625" t="s">
        <v>64</v>
      </c>
      <c r="CW1625" t="s">
        <v>1698</v>
      </c>
      <c r="CX1625" t="s">
        <v>20</v>
      </c>
      <c r="CY1625" s="4">
        <v>43181</v>
      </c>
      <c r="CZ1625" t="s">
        <v>67</v>
      </c>
      <c r="DA1625" t="s">
        <v>68</v>
      </c>
      <c r="DB1625">
        <v>153</v>
      </c>
      <c r="DC1625">
        <v>63.89</v>
      </c>
      <c r="DD1625" t="s">
        <v>69</v>
      </c>
      <c r="DE1625" t="s">
        <v>70</v>
      </c>
      <c r="DF1625">
        <v>9775.17</v>
      </c>
    </row>
    <row r="1626" spans="100:110" x14ac:dyDescent="0.25">
      <c r="CV1626" t="s">
        <v>64</v>
      </c>
      <c r="CW1626" t="s">
        <v>1699</v>
      </c>
      <c r="CX1626" t="s">
        <v>20</v>
      </c>
      <c r="CY1626" s="4">
        <v>43182</v>
      </c>
      <c r="CZ1626" t="s">
        <v>65</v>
      </c>
      <c r="DA1626" t="s">
        <v>66</v>
      </c>
      <c r="DB1626">
        <v>32</v>
      </c>
      <c r="DC1626">
        <v>64.099999999999994</v>
      </c>
      <c r="DD1626" t="s">
        <v>69</v>
      </c>
      <c r="DE1626" t="s">
        <v>70</v>
      </c>
      <c r="DF1626">
        <v>2051.1999999999998</v>
      </c>
    </row>
    <row r="1627" spans="100:110" x14ac:dyDescent="0.25">
      <c r="CV1627" t="s">
        <v>64</v>
      </c>
      <c r="CW1627" t="s">
        <v>1700</v>
      </c>
      <c r="CX1627" t="s">
        <v>20</v>
      </c>
      <c r="CY1627" s="4">
        <v>43185</v>
      </c>
      <c r="CZ1627" t="s">
        <v>65</v>
      </c>
      <c r="DA1627" t="s">
        <v>66</v>
      </c>
      <c r="DB1627">
        <v>100</v>
      </c>
      <c r="DC1627">
        <v>65.36</v>
      </c>
      <c r="DD1627" t="s">
        <v>69</v>
      </c>
      <c r="DE1627" t="s">
        <v>70</v>
      </c>
      <c r="DF1627">
        <v>6536</v>
      </c>
    </row>
    <row r="1628" spans="100:110" x14ac:dyDescent="0.25">
      <c r="CV1628" t="s">
        <v>64</v>
      </c>
      <c r="CW1628" t="s">
        <v>1701</v>
      </c>
      <c r="CX1628" t="s">
        <v>20</v>
      </c>
      <c r="CY1628" s="4">
        <v>43186</v>
      </c>
      <c r="CZ1628" t="s">
        <v>67</v>
      </c>
      <c r="DA1628" t="s">
        <v>68</v>
      </c>
      <c r="DB1628">
        <v>80</v>
      </c>
      <c r="DC1628">
        <v>65.63</v>
      </c>
      <c r="DD1628" t="s">
        <v>69</v>
      </c>
      <c r="DE1628" t="s">
        <v>70</v>
      </c>
      <c r="DF1628">
        <v>5250.4</v>
      </c>
    </row>
    <row r="1629" spans="100:110" x14ac:dyDescent="0.25">
      <c r="CV1629" t="s">
        <v>64</v>
      </c>
      <c r="CW1629" t="s">
        <v>1702</v>
      </c>
      <c r="CX1629" t="s">
        <v>20</v>
      </c>
      <c r="CY1629" s="4">
        <v>43187</v>
      </c>
      <c r="CZ1629" t="s">
        <v>65</v>
      </c>
      <c r="DA1629" t="s">
        <v>66</v>
      </c>
      <c r="DB1629">
        <v>20</v>
      </c>
      <c r="DC1629">
        <v>64.900000000000006</v>
      </c>
      <c r="DD1629" t="s">
        <v>69</v>
      </c>
      <c r="DE1629" t="s">
        <v>70</v>
      </c>
      <c r="DF1629">
        <v>1298</v>
      </c>
    </row>
    <row r="1630" spans="100:110" x14ac:dyDescent="0.25">
      <c r="CV1630" t="s">
        <v>64</v>
      </c>
      <c r="CW1630" t="s">
        <v>1703</v>
      </c>
      <c r="CX1630" t="s">
        <v>20</v>
      </c>
      <c r="CY1630" s="4">
        <v>43188</v>
      </c>
      <c r="CZ1630" t="s">
        <v>67</v>
      </c>
      <c r="DA1630" t="s">
        <v>68</v>
      </c>
      <c r="DB1630">
        <v>27</v>
      </c>
      <c r="DC1630">
        <v>65.900000000000006</v>
      </c>
      <c r="DD1630" t="s">
        <v>69</v>
      </c>
      <c r="DE1630" t="s">
        <v>70</v>
      </c>
      <c r="DF1630">
        <v>1779.3000000000002</v>
      </c>
    </row>
    <row r="1631" spans="100:110" x14ac:dyDescent="0.25">
      <c r="CV1631" t="s">
        <v>64</v>
      </c>
      <c r="CW1631" t="s">
        <v>1704</v>
      </c>
      <c r="CX1631" t="s">
        <v>20</v>
      </c>
      <c r="CY1631" s="4">
        <v>43192</v>
      </c>
      <c r="CZ1631" t="s">
        <v>65</v>
      </c>
      <c r="DA1631" t="s">
        <v>66</v>
      </c>
      <c r="DB1631">
        <v>26</v>
      </c>
      <c r="DC1631">
        <v>63.6</v>
      </c>
      <c r="DD1631" t="s">
        <v>69</v>
      </c>
      <c r="DE1631" t="s">
        <v>70</v>
      </c>
      <c r="DF1631">
        <v>1653.6000000000001</v>
      </c>
    </row>
    <row r="1632" spans="100:110" x14ac:dyDescent="0.25">
      <c r="CV1632" t="s">
        <v>64</v>
      </c>
      <c r="CW1632" t="s">
        <v>1705</v>
      </c>
      <c r="CX1632" t="s">
        <v>20</v>
      </c>
      <c r="CY1632" s="4">
        <v>43193</v>
      </c>
      <c r="CZ1632" t="s">
        <v>67</v>
      </c>
      <c r="DA1632" t="s">
        <v>68</v>
      </c>
      <c r="DB1632">
        <v>48</v>
      </c>
      <c r="DC1632">
        <v>66.150000000000006</v>
      </c>
      <c r="DD1632" t="s">
        <v>69</v>
      </c>
      <c r="DE1632" t="s">
        <v>70</v>
      </c>
      <c r="DF1632">
        <v>3175.2000000000003</v>
      </c>
    </row>
    <row r="1633" spans="100:110" x14ac:dyDescent="0.25">
      <c r="CV1633" t="s">
        <v>64</v>
      </c>
      <c r="CW1633" t="s">
        <v>1706</v>
      </c>
      <c r="CX1633" t="s">
        <v>20</v>
      </c>
      <c r="CY1633" s="4">
        <v>43194</v>
      </c>
      <c r="CZ1633" t="s">
        <v>65</v>
      </c>
      <c r="DA1633" t="s">
        <v>66</v>
      </c>
      <c r="DB1633">
        <v>58</v>
      </c>
      <c r="DC1633">
        <v>67.86</v>
      </c>
      <c r="DD1633" t="s">
        <v>69</v>
      </c>
      <c r="DE1633" t="s">
        <v>70</v>
      </c>
      <c r="DF1633">
        <v>3935.88</v>
      </c>
    </row>
    <row r="1634" spans="100:110" x14ac:dyDescent="0.25">
      <c r="CV1634" t="s">
        <v>64</v>
      </c>
      <c r="CW1634" t="s">
        <v>1707</v>
      </c>
      <c r="CX1634" t="s">
        <v>20</v>
      </c>
      <c r="CY1634" s="4">
        <v>43195</v>
      </c>
      <c r="CZ1634" t="s">
        <v>65</v>
      </c>
      <c r="DA1634" t="s">
        <v>66</v>
      </c>
      <c r="DB1634">
        <v>6</v>
      </c>
      <c r="DC1634">
        <v>69.02</v>
      </c>
      <c r="DD1634" t="s">
        <v>69</v>
      </c>
      <c r="DE1634" t="s">
        <v>70</v>
      </c>
      <c r="DF1634">
        <v>414.12</v>
      </c>
    </row>
    <row r="1635" spans="100:110" x14ac:dyDescent="0.25">
      <c r="CV1635" t="s">
        <v>64</v>
      </c>
      <c r="CW1635" t="s">
        <v>1708</v>
      </c>
      <c r="CX1635" t="s">
        <v>20</v>
      </c>
      <c r="CY1635" s="4">
        <v>43196</v>
      </c>
      <c r="CZ1635" t="s">
        <v>67</v>
      </c>
      <c r="DA1635" t="s">
        <v>68</v>
      </c>
      <c r="DB1635">
        <v>101</v>
      </c>
      <c r="DC1635">
        <v>67</v>
      </c>
      <c r="DD1635" t="s">
        <v>69</v>
      </c>
      <c r="DE1635" t="s">
        <v>70</v>
      </c>
      <c r="DF1635">
        <v>6767</v>
      </c>
    </row>
    <row r="1636" spans="100:110" x14ac:dyDescent="0.25">
      <c r="CV1636" t="s">
        <v>64</v>
      </c>
      <c r="CW1636" t="s">
        <v>1709</v>
      </c>
      <c r="CX1636" t="s">
        <v>20</v>
      </c>
      <c r="CY1636" s="4">
        <v>43199</v>
      </c>
      <c r="CZ1636" t="s">
        <v>67</v>
      </c>
      <c r="DA1636" t="s">
        <v>68</v>
      </c>
      <c r="DB1636">
        <v>11</v>
      </c>
      <c r="DC1636">
        <v>66.63</v>
      </c>
      <c r="DD1636" t="s">
        <v>69</v>
      </c>
      <c r="DE1636" t="s">
        <v>70</v>
      </c>
      <c r="DF1636">
        <v>732.93</v>
      </c>
    </row>
    <row r="1637" spans="100:110" x14ac:dyDescent="0.25">
      <c r="CV1637" t="s">
        <v>64</v>
      </c>
      <c r="CW1637" t="s">
        <v>1710</v>
      </c>
      <c r="CX1637" t="s">
        <v>20</v>
      </c>
      <c r="CY1637" s="4">
        <v>43200</v>
      </c>
      <c r="CZ1637" t="s">
        <v>65</v>
      </c>
      <c r="DA1637" t="s">
        <v>66</v>
      </c>
      <c r="DB1637">
        <v>102</v>
      </c>
      <c r="DC1637">
        <v>66.45</v>
      </c>
      <c r="DD1637" t="s">
        <v>69</v>
      </c>
      <c r="DE1637" t="s">
        <v>70</v>
      </c>
      <c r="DF1637">
        <v>6777.9000000000005</v>
      </c>
    </row>
    <row r="1638" spans="100:110" x14ac:dyDescent="0.25">
      <c r="CV1638" t="s">
        <v>64</v>
      </c>
      <c r="CW1638" t="s">
        <v>1711</v>
      </c>
      <c r="CX1638" t="s">
        <v>20</v>
      </c>
      <c r="CY1638" s="4">
        <v>43201</v>
      </c>
      <c r="CZ1638" t="s">
        <v>65</v>
      </c>
      <c r="DA1638" t="s">
        <v>66</v>
      </c>
      <c r="DB1638">
        <v>85</v>
      </c>
      <c r="DC1638">
        <v>66.28</v>
      </c>
      <c r="DD1638" t="s">
        <v>69</v>
      </c>
      <c r="DE1638" t="s">
        <v>70</v>
      </c>
      <c r="DF1638">
        <v>5633.8</v>
      </c>
    </row>
    <row r="1639" spans="100:110" x14ac:dyDescent="0.25">
      <c r="CV1639" t="s">
        <v>64</v>
      </c>
      <c r="CW1639" t="s">
        <v>1712</v>
      </c>
      <c r="CX1639" t="s">
        <v>20</v>
      </c>
      <c r="CY1639" s="4">
        <v>43202</v>
      </c>
      <c r="CZ1639" t="s">
        <v>67</v>
      </c>
      <c r="DA1639" t="s">
        <v>68</v>
      </c>
      <c r="DB1639">
        <v>24</v>
      </c>
      <c r="DC1639">
        <v>67.22</v>
      </c>
      <c r="DD1639" t="s">
        <v>69</v>
      </c>
      <c r="DE1639" t="s">
        <v>70</v>
      </c>
      <c r="DF1639">
        <v>1613.28</v>
      </c>
    </row>
    <row r="1640" spans="100:110" x14ac:dyDescent="0.25">
      <c r="CV1640" t="s">
        <v>64</v>
      </c>
      <c r="CW1640" t="s">
        <v>1713</v>
      </c>
      <c r="CX1640" t="s">
        <v>20</v>
      </c>
      <c r="CY1640" s="4">
        <v>43203</v>
      </c>
      <c r="CZ1640" t="s">
        <v>67</v>
      </c>
      <c r="DA1640" t="s">
        <v>68</v>
      </c>
      <c r="DB1640">
        <v>52</v>
      </c>
      <c r="DC1640">
        <v>66.7</v>
      </c>
      <c r="DD1640" t="s">
        <v>69</v>
      </c>
      <c r="DE1640" t="s">
        <v>70</v>
      </c>
      <c r="DF1640">
        <v>3468.4</v>
      </c>
    </row>
    <row r="1641" spans="100:110" x14ac:dyDescent="0.25">
      <c r="CV1641" t="s">
        <v>64</v>
      </c>
      <c r="CW1641" t="s">
        <v>1714</v>
      </c>
      <c r="CX1641" t="s">
        <v>20</v>
      </c>
      <c r="CY1641" s="4">
        <v>43206</v>
      </c>
      <c r="CZ1641" t="s">
        <v>67</v>
      </c>
      <c r="DA1641" t="s">
        <v>68</v>
      </c>
      <c r="DB1641">
        <v>37</v>
      </c>
      <c r="DC1641">
        <v>66.510000000000005</v>
      </c>
      <c r="DD1641" t="s">
        <v>69</v>
      </c>
      <c r="DE1641" t="s">
        <v>70</v>
      </c>
      <c r="DF1641">
        <v>2460.8700000000003</v>
      </c>
    </row>
    <row r="1642" spans="100:110" x14ac:dyDescent="0.25">
      <c r="CV1642" t="s">
        <v>64</v>
      </c>
      <c r="CW1642" t="s">
        <v>1715</v>
      </c>
      <c r="CX1642" t="s">
        <v>20</v>
      </c>
      <c r="CY1642" s="4">
        <v>43207</v>
      </c>
      <c r="CZ1642" t="s">
        <v>67</v>
      </c>
      <c r="DA1642" t="s">
        <v>68</v>
      </c>
      <c r="DB1642">
        <v>26</v>
      </c>
      <c r="DC1642">
        <v>66.959999999999994</v>
      </c>
      <c r="DD1642" t="s">
        <v>69</v>
      </c>
      <c r="DE1642" t="s">
        <v>70</v>
      </c>
      <c r="DF1642">
        <v>1740.9599999999998</v>
      </c>
    </row>
    <row r="1643" spans="100:110" x14ac:dyDescent="0.25">
      <c r="CV1643" t="s">
        <v>64</v>
      </c>
      <c r="CW1643" t="s">
        <v>1716</v>
      </c>
      <c r="CX1643" t="s">
        <v>20</v>
      </c>
      <c r="CY1643" s="4">
        <v>43208</v>
      </c>
      <c r="CZ1643" t="s">
        <v>65</v>
      </c>
      <c r="DA1643" t="s">
        <v>66</v>
      </c>
      <c r="DB1643">
        <v>128</v>
      </c>
      <c r="DC1643">
        <v>65.66</v>
      </c>
      <c r="DD1643" t="s">
        <v>69</v>
      </c>
      <c r="DE1643" t="s">
        <v>70</v>
      </c>
      <c r="DF1643">
        <v>8404.48</v>
      </c>
    </row>
    <row r="1644" spans="100:110" x14ac:dyDescent="0.25">
      <c r="CV1644" t="s">
        <v>64</v>
      </c>
      <c r="CW1644" t="s">
        <v>1717</v>
      </c>
      <c r="CX1644" t="s">
        <v>20</v>
      </c>
      <c r="CY1644" s="4">
        <v>43209</v>
      </c>
      <c r="CZ1644" t="s">
        <v>67</v>
      </c>
      <c r="DA1644" t="s">
        <v>68</v>
      </c>
      <c r="DB1644">
        <v>13</v>
      </c>
      <c r="DC1644">
        <v>65.19</v>
      </c>
      <c r="DD1644" t="s">
        <v>69</v>
      </c>
      <c r="DE1644" t="s">
        <v>70</v>
      </c>
      <c r="DF1644">
        <v>847.47</v>
      </c>
    </row>
    <row r="1645" spans="100:110" x14ac:dyDescent="0.25">
      <c r="CV1645" t="s">
        <v>64</v>
      </c>
      <c r="CW1645" t="s">
        <v>1718</v>
      </c>
      <c r="CX1645" t="s">
        <v>20</v>
      </c>
      <c r="CY1645" s="4">
        <v>43210</v>
      </c>
      <c r="CZ1645" t="s">
        <v>67</v>
      </c>
      <c r="DA1645" t="s">
        <v>68</v>
      </c>
      <c r="DB1645">
        <v>20</v>
      </c>
      <c r="DC1645">
        <v>65.55</v>
      </c>
      <c r="DD1645" t="s">
        <v>69</v>
      </c>
      <c r="DE1645" t="s">
        <v>70</v>
      </c>
      <c r="DF1645">
        <v>1311</v>
      </c>
    </row>
    <row r="1646" spans="100:110" x14ac:dyDescent="0.25">
      <c r="CV1646" t="s">
        <v>64</v>
      </c>
      <c r="CW1646" t="s">
        <v>1719</v>
      </c>
      <c r="CX1646" t="s">
        <v>20</v>
      </c>
      <c r="CY1646" s="4">
        <v>43213</v>
      </c>
      <c r="CZ1646" t="s">
        <v>65</v>
      </c>
      <c r="DA1646" t="s">
        <v>66</v>
      </c>
      <c r="DB1646">
        <v>14</v>
      </c>
      <c r="DC1646">
        <v>66.33</v>
      </c>
      <c r="DD1646" t="s">
        <v>69</v>
      </c>
      <c r="DE1646" t="s">
        <v>70</v>
      </c>
      <c r="DF1646">
        <v>928.62</v>
      </c>
    </row>
    <row r="1647" spans="100:110" x14ac:dyDescent="0.25">
      <c r="CV1647" t="s">
        <v>64</v>
      </c>
      <c r="CW1647" t="s">
        <v>1720</v>
      </c>
      <c r="CX1647" t="s">
        <v>20</v>
      </c>
      <c r="CY1647" s="4">
        <v>43214</v>
      </c>
      <c r="CZ1647" t="s">
        <v>67</v>
      </c>
      <c r="DA1647" t="s">
        <v>68</v>
      </c>
      <c r="DB1647">
        <v>90</v>
      </c>
      <c r="DC1647">
        <v>66.42</v>
      </c>
      <c r="DD1647" t="s">
        <v>69</v>
      </c>
      <c r="DE1647" t="s">
        <v>70</v>
      </c>
      <c r="DF1647">
        <v>5977.8</v>
      </c>
    </row>
    <row r="1648" spans="100:110" x14ac:dyDescent="0.25">
      <c r="CV1648" t="s">
        <v>64</v>
      </c>
      <c r="CW1648" t="s">
        <v>1721</v>
      </c>
      <c r="CX1648" t="s">
        <v>20</v>
      </c>
      <c r="CY1648" s="4">
        <v>43215</v>
      </c>
      <c r="CZ1648" t="s">
        <v>67</v>
      </c>
      <c r="DA1648" t="s">
        <v>68</v>
      </c>
      <c r="DB1648">
        <v>23</v>
      </c>
      <c r="DC1648">
        <v>66.12</v>
      </c>
      <c r="DD1648" t="s">
        <v>69</v>
      </c>
      <c r="DE1648" t="s">
        <v>70</v>
      </c>
      <c r="DF1648">
        <v>1520.7600000000002</v>
      </c>
    </row>
    <row r="1649" spans="100:110" x14ac:dyDescent="0.25">
      <c r="CV1649" t="s">
        <v>64</v>
      </c>
      <c r="CW1649" t="s">
        <v>1722</v>
      </c>
      <c r="CX1649" t="s">
        <v>20</v>
      </c>
      <c r="CY1649" s="4">
        <v>43216</v>
      </c>
      <c r="CZ1649" t="s">
        <v>67</v>
      </c>
      <c r="DA1649" t="s">
        <v>68</v>
      </c>
      <c r="DB1649">
        <v>49</v>
      </c>
      <c r="DC1649">
        <v>67.489999999999995</v>
      </c>
      <c r="DD1649" t="s">
        <v>69</v>
      </c>
      <c r="DE1649" t="s">
        <v>70</v>
      </c>
      <c r="DF1649">
        <v>3307.0099999999998</v>
      </c>
    </row>
    <row r="1650" spans="100:110" x14ac:dyDescent="0.25">
      <c r="CV1650" t="s">
        <v>64</v>
      </c>
      <c r="CW1650" t="s">
        <v>1723</v>
      </c>
      <c r="CX1650" t="s">
        <v>20</v>
      </c>
      <c r="CY1650" s="4">
        <v>43217</v>
      </c>
      <c r="CZ1650" t="s">
        <v>65</v>
      </c>
      <c r="DA1650" t="s">
        <v>66</v>
      </c>
      <c r="DB1650">
        <v>80</v>
      </c>
      <c r="DC1650">
        <v>68.989999999999995</v>
      </c>
      <c r="DD1650" t="s">
        <v>69</v>
      </c>
      <c r="DE1650" t="s">
        <v>70</v>
      </c>
      <c r="DF1650">
        <v>5519.2</v>
      </c>
    </row>
    <row r="1651" spans="100:110" x14ac:dyDescent="0.25">
      <c r="CV1651" t="s">
        <v>64</v>
      </c>
      <c r="CW1651" t="s">
        <v>1724</v>
      </c>
      <c r="CX1651" t="s">
        <v>20</v>
      </c>
      <c r="CY1651" s="4">
        <v>43220</v>
      </c>
      <c r="CZ1651" t="s">
        <v>65</v>
      </c>
      <c r="DA1651" t="s">
        <v>66</v>
      </c>
      <c r="DB1651">
        <v>80</v>
      </c>
      <c r="DC1651">
        <v>67.83</v>
      </c>
      <c r="DD1651" t="s">
        <v>69</v>
      </c>
      <c r="DE1651" t="s">
        <v>70</v>
      </c>
      <c r="DF1651">
        <v>5426.4</v>
      </c>
    </row>
    <row r="1652" spans="100:110" x14ac:dyDescent="0.25">
      <c r="CV1652" t="s">
        <v>64</v>
      </c>
      <c r="CW1652" t="s">
        <v>1725</v>
      </c>
      <c r="CX1652" t="s">
        <v>20</v>
      </c>
      <c r="CY1652" s="4">
        <v>43221</v>
      </c>
      <c r="CZ1652" t="s">
        <v>67</v>
      </c>
      <c r="DA1652" t="s">
        <v>68</v>
      </c>
      <c r="DB1652">
        <v>55</v>
      </c>
      <c r="DC1652">
        <v>67.540000000000006</v>
      </c>
      <c r="DD1652" t="s">
        <v>69</v>
      </c>
      <c r="DE1652" t="s">
        <v>70</v>
      </c>
      <c r="DF1652">
        <v>3714.7000000000003</v>
      </c>
    </row>
    <row r="1653" spans="100:110" x14ac:dyDescent="0.25">
      <c r="CV1653" t="s">
        <v>64</v>
      </c>
      <c r="CW1653" t="s">
        <v>1726</v>
      </c>
      <c r="CX1653" t="s">
        <v>20</v>
      </c>
      <c r="CY1653" s="4">
        <v>43222</v>
      </c>
      <c r="CZ1653" t="s">
        <v>65</v>
      </c>
      <c r="DA1653" t="s">
        <v>66</v>
      </c>
      <c r="DB1653">
        <v>12</v>
      </c>
      <c r="DC1653">
        <v>67.7</v>
      </c>
      <c r="DD1653" t="s">
        <v>69</v>
      </c>
      <c r="DE1653" t="s">
        <v>70</v>
      </c>
      <c r="DF1653">
        <v>812.40000000000009</v>
      </c>
    </row>
    <row r="1654" spans="100:110" x14ac:dyDescent="0.25">
      <c r="CV1654" t="s">
        <v>64</v>
      </c>
      <c r="CW1654" t="s">
        <v>1727</v>
      </c>
      <c r="CX1654" t="s">
        <v>20</v>
      </c>
      <c r="CY1654" s="4">
        <v>43223</v>
      </c>
      <c r="CZ1654" t="s">
        <v>67</v>
      </c>
      <c r="DA1654" t="s">
        <v>68</v>
      </c>
      <c r="DB1654">
        <v>91</v>
      </c>
      <c r="DC1654">
        <v>66.349999999999994</v>
      </c>
      <c r="DD1654" t="s">
        <v>69</v>
      </c>
      <c r="DE1654" t="s">
        <v>70</v>
      </c>
      <c r="DF1654">
        <v>6037.8499999999995</v>
      </c>
    </row>
    <row r="1655" spans="100:110" x14ac:dyDescent="0.25">
      <c r="CV1655" t="s">
        <v>64</v>
      </c>
      <c r="CW1655" t="s">
        <v>1728</v>
      </c>
      <c r="CX1655" t="s">
        <v>20</v>
      </c>
      <c r="CY1655" s="4">
        <v>43224</v>
      </c>
      <c r="CZ1655" t="s">
        <v>65</v>
      </c>
      <c r="DA1655" t="s">
        <v>66</v>
      </c>
      <c r="DB1655">
        <v>155</v>
      </c>
      <c r="DC1655">
        <v>67.540000000000006</v>
      </c>
      <c r="DD1655" t="s">
        <v>69</v>
      </c>
      <c r="DE1655" t="s">
        <v>70</v>
      </c>
      <c r="DF1655">
        <v>10468.700000000001</v>
      </c>
    </row>
    <row r="1656" spans="100:110" x14ac:dyDescent="0.25">
      <c r="CV1656" t="s">
        <v>64</v>
      </c>
      <c r="CW1656" t="s">
        <v>1729</v>
      </c>
      <c r="CX1656" t="s">
        <v>20</v>
      </c>
      <c r="CY1656" s="4">
        <v>43227</v>
      </c>
      <c r="CZ1656" t="s">
        <v>67</v>
      </c>
      <c r="DA1656" t="s">
        <v>68</v>
      </c>
      <c r="DB1656">
        <v>31</v>
      </c>
      <c r="DC1656">
        <v>68.77</v>
      </c>
      <c r="DD1656" t="s">
        <v>69</v>
      </c>
      <c r="DE1656" t="s">
        <v>70</v>
      </c>
      <c r="DF1656">
        <v>2131.87</v>
      </c>
    </row>
    <row r="1657" spans="100:110" x14ac:dyDescent="0.25">
      <c r="CV1657" t="s">
        <v>64</v>
      </c>
      <c r="CW1657" t="s">
        <v>1730</v>
      </c>
      <c r="CX1657" t="s">
        <v>20</v>
      </c>
      <c r="CY1657" s="4">
        <v>43228</v>
      </c>
      <c r="CZ1657" t="s">
        <v>67</v>
      </c>
      <c r="DA1657" t="s">
        <v>68</v>
      </c>
      <c r="DB1657">
        <v>26</v>
      </c>
      <c r="DC1657">
        <v>67.900000000000006</v>
      </c>
      <c r="DD1657" t="s">
        <v>69</v>
      </c>
      <c r="DE1657" t="s">
        <v>70</v>
      </c>
      <c r="DF1657">
        <v>1765.4</v>
      </c>
    </row>
    <row r="1658" spans="100:110" x14ac:dyDescent="0.25">
      <c r="CV1658" t="s">
        <v>64</v>
      </c>
      <c r="CW1658" t="s">
        <v>1731</v>
      </c>
      <c r="CX1658" t="s">
        <v>20</v>
      </c>
      <c r="CY1658" s="4">
        <v>43229</v>
      </c>
      <c r="CZ1658" t="s">
        <v>67</v>
      </c>
      <c r="DA1658" t="s">
        <v>68</v>
      </c>
      <c r="DB1658">
        <v>2</v>
      </c>
      <c r="DC1658">
        <v>67.39</v>
      </c>
      <c r="DD1658" t="s">
        <v>69</v>
      </c>
      <c r="DE1658" t="s">
        <v>70</v>
      </c>
      <c r="DF1658">
        <v>134.78</v>
      </c>
    </row>
    <row r="1659" spans="100:110" x14ac:dyDescent="0.25">
      <c r="CV1659" t="s">
        <v>64</v>
      </c>
      <c r="CW1659" t="s">
        <v>1732</v>
      </c>
      <c r="CX1659" t="s">
        <v>20</v>
      </c>
      <c r="CY1659" s="4">
        <v>43230</v>
      </c>
      <c r="CZ1659" t="s">
        <v>67</v>
      </c>
      <c r="DA1659" t="s">
        <v>68</v>
      </c>
      <c r="DB1659">
        <v>10</v>
      </c>
      <c r="DC1659">
        <v>67.36</v>
      </c>
      <c r="DD1659" t="s">
        <v>69</v>
      </c>
      <c r="DE1659" t="s">
        <v>70</v>
      </c>
      <c r="DF1659">
        <v>673.6</v>
      </c>
    </row>
    <row r="1660" spans="100:110" x14ac:dyDescent="0.25">
      <c r="CV1660" t="s">
        <v>64</v>
      </c>
      <c r="CW1660" t="s">
        <v>1733</v>
      </c>
      <c r="CX1660" t="s">
        <v>20</v>
      </c>
      <c r="CY1660" s="4">
        <v>43231</v>
      </c>
      <c r="CZ1660" t="s">
        <v>65</v>
      </c>
      <c r="DA1660" t="s">
        <v>66</v>
      </c>
      <c r="DB1660">
        <v>30</v>
      </c>
      <c r="DC1660">
        <v>67.87</v>
      </c>
      <c r="DD1660" t="s">
        <v>69</v>
      </c>
      <c r="DE1660" t="s">
        <v>70</v>
      </c>
      <c r="DF1660">
        <v>2036.1000000000001</v>
      </c>
    </row>
    <row r="1661" spans="100:110" x14ac:dyDescent="0.25">
      <c r="CV1661" t="s">
        <v>64</v>
      </c>
      <c r="CW1661" t="s">
        <v>1734</v>
      </c>
      <c r="CX1661" t="s">
        <v>20</v>
      </c>
      <c r="CY1661" s="4">
        <v>43234</v>
      </c>
      <c r="CZ1661" t="s">
        <v>67</v>
      </c>
      <c r="DA1661" t="s">
        <v>68</v>
      </c>
      <c r="DB1661">
        <v>81</v>
      </c>
      <c r="DC1661">
        <v>68.28</v>
      </c>
      <c r="DD1661" t="s">
        <v>69</v>
      </c>
      <c r="DE1661" t="s">
        <v>70</v>
      </c>
      <c r="DF1661">
        <v>5530.68</v>
      </c>
    </row>
    <row r="1662" spans="100:110" x14ac:dyDescent="0.25">
      <c r="CV1662" t="s">
        <v>64</v>
      </c>
      <c r="CW1662" t="s">
        <v>1735</v>
      </c>
      <c r="CX1662" t="s">
        <v>20</v>
      </c>
      <c r="CY1662" s="4">
        <v>43235</v>
      </c>
      <c r="CZ1662" t="s">
        <v>65</v>
      </c>
      <c r="DA1662" t="s">
        <v>66</v>
      </c>
      <c r="DB1662">
        <v>71</v>
      </c>
      <c r="DC1662">
        <v>68.930000000000007</v>
      </c>
      <c r="DD1662" t="s">
        <v>69</v>
      </c>
      <c r="DE1662" t="s">
        <v>70</v>
      </c>
      <c r="DF1662">
        <v>4894.0300000000007</v>
      </c>
    </row>
    <row r="1663" spans="100:110" x14ac:dyDescent="0.25">
      <c r="CV1663" t="s">
        <v>64</v>
      </c>
      <c r="CW1663" t="s">
        <v>1736</v>
      </c>
      <c r="CX1663" t="s">
        <v>20</v>
      </c>
      <c r="CY1663" s="4">
        <v>43236</v>
      </c>
      <c r="CZ1663" t="s">
        <v>65</v>
      </c>
      <c r="DA1663" t="s">
        <v>66</v>
      </c>
      <c r="DB1663">
        <v>14</v>
      </c>
      <c r="DC1663">
        <v>70.760000000000005</v>
      </c>
      <c r="DD1663" t="s">
        <v>69</v>
      </c>
      <c r="DE1663" t="s">
        <v>70</v>
      </c>
      <c r="DF1663">
        <v>990.6400000000001</v>
      </c>
    </row>
    <row r="1664" spans="100:110" x14ac:dyDescent="0.25">
      <c r="CV1664" t="s">
        <v>64</v>
      </c>
      <c r="CW1664" t="s">
        <v>1737</v>
      </c>
      <c r="CX1664" t="s">
        <v>20</v>
      </c>
      <c r="CY1664" s="4">
        <v>43237</v>
      </c>
      <c r="CZ1664" t="s">
        <v>67</v>
      </c>
      <c r="DA1664" t="s">
        <v>68</v>
      </c>
      <c r="DB1664">
        <v>104</v>
      </c>
      <c r="DC1664">
        <v>70.36</v>
      </c>
      <c r="DD1664" t="s">
        <v>69</v>
      </c>
      <c r="DE1664" t="s">
        <v>70</v>
      </c>
      <c r="DF1664">
        <v>7317.44</v>
      </c>
    </row>
    <row r="1665" spans="100:110" x14ac:dyDescent="0.25">
      <c r="CV1665" t="s">
        <v>64</v>
      </c>
      <c r="CW1665" t="s">
        <v>1738</v>
      </c>
      <c r="CX1665" t="s">
        <v>20</v>
      </c>
      <c r="CY1665" s="4">
        <v>43238</v>
      </c>
      <c r="CZ1665" t="s">
        <v>67</v>
      </c>
      <c r="DA1665" t="s">
        <v>68</v>
      </c>
      <c r="DB1665">
        <v>22</v>
      </c>
      <c r="DC1665">
        <v>70.739999999999995</v>
      </c>
      <c r="DD1665" t="s">
        <v>69</v>
      </c>
      <c r="DE1665" t="s">
        <v>70</v>
      </c>
      <c r="DF1665">
        <v>1556.28</v>
      </c>
    </row>
    <row r="1666" spans="100:110" x14ac:dyDescent="0.25">
      <c r="CV1666" t="s">
        <v>64</v>
      </c>
      <c r="CW1666" t="s">
        <v>1739</v>
      </c>
      <c r="CX1666" t="s">
        <v>20</v>
      </c>
      <c r="CY1666" s="4">
        <v>43241</v>
      </c>
      <c r="CZ1666" t="s">
        <v>65</v>
      </c>
      <c r="DA1666" t="s">
        <v>66</v>
      </c>
      <c r="DB1666">
        <v>37</v>
      </c>
      <c r="DC1666">
        <v>70.8</v>
      </c>
      <c r="DD1666" t="s">
        <v>69</v>
      </c>
      <c r="DE1666" t="s">
        <v>70</v>
      </c>
      <c r="DF1666">
        <v>2619.6</v>
      </c>
    </row>
    <row r="1667" spans="100:110" x14ac:dyDescent="0.25">
      <c r="CV1667" t="s">
        <v>64</v>
      </c>
      <c r="CW1667" t="s">
        <v>1740</v>
      </c>
      <c r="CX1667" t="s">
        <v>20</v>
      </c>
      <c r="CY1667" s="4">
        <v>43242</v>
      </c>
      <c r="CZ1667" t="s">
        <v>67</v>
      </c>
      <c r="DA1667" t="s">
        <v>68</v>
      </c>
      <c r="DB1667">
        <v>3</v>
      </c>
      <c r="DC1667">
        <v>70.73</v>
      </c>
      <c r="DD1667" t="s">
        <v>69</v>
      </c>
      <c r="DE1667" t="s">
        <v>70</v>
      </c>
      <c r="DF1667">
        <v>212.19</v>
      </c>
    </row>
    <row r="1668" spans="100:110" x14ac:dyDescent="0.25">
      <c r="CV1668" t="s">
        <v>64</v>
      </c>
      <c r="CW1668" t="s">
        <v>1741</v>
      </c>
      <c r="CX1668" t="s">
        <v>20</v>
      </c>
      <c r="CY1668" s="4">
        <v>43243</v>
      </c>
      <c r="CZ1668" t="s">
        <v>65</v>
      </c>
      <c r="DA1668" t="s">
        <v>66</v>
      </c>
      <c r="DB1668">
        <v>4</v>
      </c>
      <c r="DC1668">
        <v>70.760000000000005</v>
      </c>
      <c r="DD1668" t="s">
        <v>69</v>
      </c>
      <c r="DE1668" t="s">
        <v>70</v>
      </c>
      <c r="DF1668">
        <v>283.04000000000002</v>
      </c>
    </row>
    <row r="1669" spans="100:110" x14ac:dyDescent="0.25">
      <c r="CV1669" t="s">
        <v>64</v>
      </c>
      <c r="CW1669" t="s">
        <v>1742</v>
      </c>
      <c r="CX1669" t="s">
        <v>20</v>
      </c>
      <c r="CY1669" s="4">
        <v>43244</v>
      </c>
      <c r="CZ1669" t="s">
        <v>65</v>
      </c>
      <c r="DA1669" t="s">
        <v>66</v>
      </c>
      <c r="DB1669">
        <v>118</v>
      </c>
      <c r="DC1669">
        <v>71.59</v>
      </c>
      <c r="DD1669" t="s">
        <v>69</v>
      </c>
      <c r="DE1669" t="s">
        <v>70</v>
      </c>
      <c r="DF1669">
        <v>8447.6200000000008</v>
      </c>
    </row>
    <row r="1670" spans="100:110" x14ac:dyDescent="0.25">
      <c r="CV1670" t="s">
        <v>64</v>
      </c>
      <c r="CW1670" t="s">
        <v>1743</v>
      </c>
      <c r="CX1670" t="s">
        <v>20</v>
      </c>
      <c r="CY1670" s="4">
        <v>43245</v>
      </c>
      <c r="CZ1670" t="s">
        <v>67</v>
      </c>
      <c r="DA1670" t="s">
        <v>68</v>
      </c>
      <c r="DB1670">
        <v>88</v>
      </c>
      <c r="DC1670">
        <v>71.66</v>
      </c>
      <c r="DD1670" t="s">
        <v>69</v>
      </c>
      <c r="DE1670" t="s">
        <v>70</v>
      </c>
      <c r="DF1670">
        <v>6306.08</v>
      </c>
    </row>
    <row r="1671" spans="100:110" x14ac:dyDescent="0.25">
      <c r="CV1671" t="s">
        <v>64</v>
      </c>
      <c r="CW1671" t="s">
        <v>1744</v>
      </c>
      <c r="CX1671" t="s">
        <v>20</v>
      </c>
      <c r="CY1671" s="4">
        <v>43249</v>
      </c>
      <c r="CZ1671" t="s">
        <v>65</v>
      </c>
      <c r="DA1671" t="s">
        <v>66</v>
      </c>
      <c r="DB1671">
        <v>3</v>
      </c>
      <c r="DC1671">
        <v>70.34</v>
      </c>
      <c r="DD1671" t="s">
        <v>69</v>
      </c>
      <c r="DE1671" t="s">
        <v>70</v>
      </c>
      <c r="DF1671">
        <v>211.02</v>
      </c>
    </row>
    <row r="1672" spans="100:110" x14ac:dyDescent="0.25">
      <c r="CV1672" t="s">
        <v>64</v>
      </c>
      <c r="CW1672" t="s">
        <v>1745</v>
      </c>
      <c r="CX1672" t="s">
        <v>20</v>
      </c>
      <c r="CY1672" s="4">
        <v>43250</v>
      </c>
      <c r="CZ1672" t="s">
        <v>65</v>
      </c>
      <c r="DA1672" t="s">
        <v>66</v>
      </c>
      <c r="DB1672">
        <v>28</v>
      </c>
      <c r="DC1672">
        <v>71.64</v>
      </c>
      <c r="DD1672" t="s">
        <v>69</v>
      </c>
      <c r="DE1672" t="s">
        <v>70</v>
      </c>
      <c r="DF1672">
        <v>2005.92</v>
      </c>
    </row>
    <row r="1673" spans="100:110" x14ac:dyDescent="0.25">
      <c r="CV1673" t="s">
        <v>64</v>
      </c>
      <c r="CW1673" t="s">
        <v>1746</v>
      </c>
      <c r="CX1673" t="s">
        <v>20</v>
      </c>
      <c r="CY1673" s="4">
        <v>43251</v>
      </c>
      <c r="CZ1673" t="s">
        <v>67</v>
      </c>
      <c r="DA1673" t="s">
        <v>68</v>
      </c>
      <c r="DB1673">
        <v>65</v>
      </c>
      <c r="DC1673">
        <v>71.209999999999994</v>
      </c>
      <c r="DD1673" t="s">
        <v>69</v>
      </c>
      <c r="DE1673" t="s">
        <v>70</v>
      </c>
      <c r="DF1673">
        <v>4628.6499999999996</v>
      </c>
    </row>
    <row r="1674" spans="100:110" x14ac:dyDescent="0.25">
      <c r="CV1674" t="s">
        <v>64</v>
      </c>
      <c r="CW1674" t="s">
        <v>1747</v>
      </c>
      <c r="CX1674" t="s">
        <v>20</v>
      </c>
      <c r="CY1674" s="4">
        <v>43252</v>
      </c>
      <c r="CZ1674" t="s">
        <v>67</v>
      </c>
      <c r="DA1674" t="s">
        <v>68</v>
      </c>
      <c r="DB1674">
        <v>57</v>
      </c>
      <c r="DC1674">
        <v>72.37</v>
      </c>
      <c r="DD1674" t="s">
        <v>69</v>
      </c>
      <c r="DE1674" t="s">
        <v>70</v>
      </c>
      <c r="DF1674">
        <v>4125.09</v>
      </c>
    </row>
    <row r="1675" spans="100:110" x14ac:dyDescent="0.25">
      <c r="CV1675" t="s">
        <v>64</v>
      </c>
      <c r="CW1675" t="s">
        <v>1748</v>
      </c>
      <c r="CX1675" t="s">
        <v>20</v>
      </c>
      <c r="CY1675" s="4">
        <v>43255</v>
      </c>
      <c r="CZ1675" t="s">
        <v>65</v>
      </c>
      <c r="DA1675" t="s">
        <v>66</v>
      </c>
      <c r="DB1675">
        <v>23</v>
      </c>
      <c r="DC1675">
        <v>73.430000000000007</v>
      </c>
      <c r="DD1675" t="s">
        <v>69</v>
      </c>
      <c r="DE1675" t="s">
        <v>70</v>
      </c>
      <c r="DF1675">
        <v>1688.89</v>
      </c>
    </row>
    <row r="1676" spans="100:110" x14ac:dyDescent="0.25">
      <c r="CV1676" t="s">
        <v>64</v>
      </c>
      <c r="CW1676" t="s">
        <v>1749</v>
      </c>
      <c r="CX1676" t="s">
        <v>20</v>
      </c>
      <c r="CY1676" s="4">
        <v>43256</v>
      </c>
      <c r="CZ1676" t="s">
        <v>65</v>
      </c>
      <c r="DA1676" t="s">
        <v>66</v>
      </c>
      <c r="DB1676">
        <v>76</v>
      </c>
      <c r="DC1676">
        <v>73.650000000000006</v>
      </c>
      <c r="DD1676" t="s">
        <v>69</v>
      </c>
      <c r="DE1676" t="s">
        <v>70</v>
      </c>
      <c r="DF1676">
        <v>5597.4000000000005</v>
      </c>
    </row>
    <row r="1677" spans="100:110" x14ac:dyDescent="0.25">
      <c r="CV1677" t="s">
        <v>64</v>
      </c>
      <c r="CW1677" t="s">
        <v>1750</v>
      </c>
      <c r="CX1677" t="s">
        <v>20</v>
      </c>
      <c r="CY1677" s="4">
        <v>43257</v>
      </c>
      <c r="CZ1677" t="s">
        <v>67</v>
      </c>
      <c r="DA1677" t="s">
        <v>68</v>
      </c>
      <c r="DB1677">
        <v>85</v>
      </c>
      <c r="DC1677">
        <v>74.349999999999994</v>
      </c>
      <c r="DD1677" t="s">
        <v>69</v>
      </c>
      <c r="DE1677" t="s">
        <v>70</v>
      </c>
      <c r="DF1677">
        <v>6319.7499999999991</v>
      </c>
    </row>
    <row r="1678" spans="100:110" x14ac:dyDescent="0.25">
      <c r="CV1678" t="s">
        <v>64</v>
      </c>
      <c r="CW1678" t="s">
        <v>1751</v>
      </c>
      <c r="CX1678" t="s">
        <v>20</v>
      </c>
      <c r="CY1678" s="4">
        <v>43258</v>
      </c>
      <c r="CZ1678" t="s">
        <v>65</v>
      </c>
      <c r="DA1678" t="s">
        <v>66</v>
      </c>
      <c r="DB1678">
        <v>69</v>
      </c>
      <c r="DC1678">
        <v>74.36</v>
      </c>
      <c r="DD1678" t="s">
        <v>69</v>
      </c>
      <c r="DE1678" t="s">
        <v>70</v>
      </c>
      <c r="DF1678">
        <v>5130.84</v>
      </c>
    </row>
    <row r="1679" spans="100:110" x14ac:dyDescent="0.25">
      <c r="CV1679" t="s">
        <v>64</v>
      </c>
      <c r="CW1679" t="s">
        <v>1752</v>
      </c>
      <c r="CX1679" t="s">
        <v>20</v>
      </c>
      <c r="CY1679" s="4">
        <v>43259</v>
      </c>
      <c r="CZ1679" t="s">
        <v>67</v>
      </c>
      <c r="DA1679" t="s">
        <v>68</v>
      </c>
      <c r="DB1679">
        <v>11</v>
      </c>
      <c r="DC1679">
        <v>74.489999999999995</v>
      </c>
      <c r="DD1679" t="s">
        <v>69</v>
      </c>
      <c r="DE1679" t="s">
        <v>70</v>
      </c>
      <c r="DF1679">
        <v>819.39</v>
      </c>
    </row>
    <row r="1680" spans="100:110" x14ac:dyDescent="0.25">
      <c r="CV1680" t="s">
        <v>64</v>
      </c>
      <c r="CW1680" t="s">
        <v>1753</v>
      </c>
      <c r="CX1680" t="s">
        <v>20</v>
      </c>
      <c r="CY1680" s="4">
        <v>43262</v>
      </c>
      <c r="CZ1680" t="s">
        <v>67</v>
      </c>
      <c r="DA1680" t="s">
        <v>68</v>
      </c>
      <c r="DB1680">
        <v>47</v>
      </c>
      <c r="DC1680">
        <v>74.19</v>
      </c>
      <c r="DD1680" t="s">
        <v>69</v>
      </c>
      <c r="DE1680" t="s">
        <v>70</v>
      </c>
      <c r="DF1680">
        <v>3486.93</v>
      </c>
    </row>
    <row r="1681" spans="100:110" x14ac:dyDescent="0.25">
      <c r="CV1681" t="s">
        <v>64</v>
      </c>
      <c r="CW1681" t="s">
        <v>1754</v>
      </c>
      <c r="CX1681" t="s">
        <v>20</v>
      </c>
      <c r="CY1681" s="4">
        <v>43263</v>
      </c>
      <c r="CZ1681" t="s">
        <v>65</v>
      </c>
      <c r="DA1681" t="s">
        <v>66</v>
      </c>
      <c r="DB1681">
        <v>160</v>
      </c>
      <c r="DC1681">
        <v>73.89</v>
      </c>
      <c r="DD1681" t="s">
        <v>69</v>
      </c>
      <c r="DE1681" t="s">
        <v>70</v>
      </c>
      <c r="DF1681">
        <v>11822.4</v>
      </c>
    </row>
    <row r="1682" spans="100:110" x14ac:dyDescent="0.25">
      <c r="CV1682" t="s">
        <v>64</v>
      </c>
      <c r="CW1682" t="s">
        <v>1755</v>
      </c>
      <c r="CX1682" t="s">
        <v>20</v>
      </c>
      <c r="CY1682" s="4">
        <v>43264</v>
      </c>
      <c r="CZ1682" t="s">
        <v>67</v>
      </c>
      <c r="DA1682" t="s">
        <v>68</v>
      </c>
      <c r="DB1682">
        <v>153</v>
      </c>
      <c r="DC1682">
        <v>73.709999999999994</v>
      </c>
      <c r="DD1682" t="s">
        <v>69</v>
      </c>
      <c r="DE1682" t="s">
        <v>70</v>
      </c>
      <c r="DF1682">
        <v>11277.63</v>
      </c>
    </row>
    <row r="1683" spans="100:110" x14ac:dyDescent="0.25">
      <c r="CV1683" t="s">
        <v>64</v>
      </c>
      <c r="CW1683" t="s">
        <v>1756</v>
      </c>
      <c r="CX1683" t="s">
        <v>20</v>
      </c>
      <c r="CY1683" s="4">
        <v>43265</v>
      </c>
      <c r="CZ1683" t="s">
        <v>65</v>
      </c>
      <c r="DA1683" t="s">
        <v>66</v>
      </c>
      <c r="DB1683">
        <v>50</v>
      </c>
      <c r="DC1683">
        <v>74.3</v>
      </c>
      <c r="DD1683" t="s">
        <v>69</v>
      </c>
      <c r="DE1683" t="s">
        <v>70</v>
      </c>
      <c r="DF1683">
        <v>3715</v>
      </c>
    </row>
    <row r="1684" spans="100:110" x14ac:dyDescent="0.25">
      <c r="CV1684" t="s">
        <v>64</v>
      </c>
      <c r="CW1684" t="s">
        <v>1757</v>
      </c>
      <c r="CX1684" t="s">
        <v>20</v>
      </c>
      <c r="CY1684" s="4">
        <v>43266</v>
      </c>
      <c r="CZ1684" t="s">
        <v>65</v>
      </c>
      <c r="DA1684" t="s">
        <v>66</v>
      </c>
      <c r="DB1684">
        <v>5</v>
      </c>
      <c r="DC1684">
        <v>75.430000000000007</v>
      </c>
      <c r="DD1684" t="s">
        <v>69</v>
      </c>
      <c r="DE1684" t="s">
        <v>70</v>
      </c>
      <c r="DF1684">
        <v>377.15000000000003</v>
      </c>
    </row>
    <row r="1685" spans="100:110" x14ac:dyDescent="0.25">
      <c r="CV1685" t="s">
        <v>64</v>
      </c>
      <c r="CW1685" t="s">
        <v>1758</v>
      </c>
      <c r="CX1685" t="s">
        <v>20</v>
      </c>
      <c r="CY1685" s="4">
        <v>43269</v>
      </c>
      <c r="CZ1685" t="s">
        <v>65</v>
      </c>
      <c r="DA1685" t="s">
        <v>66</v>
      </c>
      <c r="DB1685">
        <v>77</v>
      </c>
      <c r="DC1685">
        <v>75.2</v>
      </c>
      <c r="DD1685" t="s">
        <v>69</v>
      </c>
      <c r="DE1685" t="s">
        <v>70</v>
      </c>
      <c r="DF1685">
        <v>5790.4000000000005</v>
      </c>
    </row>
    <row r="1686" spans="100:110" x14ac:dyDescent="0.25">
      <c r="CV1686" t="s">
        <v>64</v>
      </c>
      <c r="CW1686" t="s">
        <v>1759</v>
      </c>
      <c r="CX1686" t="s">
        <v>20</v>
      </c>
      <c r="CY1686" s="4">
        <v>43270</v>
      </c>
      <c r="CZ1686" t="s">
        <v>67</v>
      </c>
      <c r="DA1686" t="s">
        <v>68</v>
      </c>
      <c r="DB1686">
        <v>52</v>
      </c>
      <c r="DC1686">
        <v>73.86</v>
      </c>
      <c r="DD1686" t="s">
        <v>69</v>
      </c>
      <c r="DE1686" t="s">
        <v>70</v>
      </c>
      <c r="DF1686">
        <v>3840.72</v>
      </c>
    </row>
    <row r="1687" spans="100:110" x14ac:dyDescent="0.25">
      <c r="CV1687" t="s">
        <v>64</v>
      </c>
      <c r="CW1687" t="s">
        <v>1760</v>
      </c>
      <c r="CX1687" t="s">
        <v>20</v>
      </c>
      <c r="CY1687" s="4">
        <v>43271</v>
      </c>
      <c r="CZ1687" t="s">
        <v>65</v>
      </c>
      <c r="DA1687" t="s">
        <v>66</v>
      </c>
      <c r="DB1687">
        <v>55</v>
      </c>
      <c r="DC1687">
        <v>74.319999999999993</v>
      </c>
      <c r="DD1687" t="s">
        <v>69</v>
      </c>
      <c r="DE1687" t="s">
        <v>70</v>
      </c>
      <c r="DF1687">
        <v>4087.5999999999995</v>
      </c>
    </row>
    <row r="1688" spans="100:110" x14ac:dyDescent="0.25">
      <c r="CV1688" t="s">
        <v>64</v>
      </c>
      <c r="CW1688" t="s">
        <v>1761</v>
      </c>
      <c r="CX1688" t="s">
        <v>20</v>
      </c>
      <c r="CY1688" s="4">
        <v>43272</v>
      </c>
      <c r="CZ1688" t="s">
        <v>67</v>
      </c>
      <c r="DA1688" t="s">
        <v>68</v>
      </c>
      <c r="DB1688">
        <v>31</v>
      </c>
      <c r="DC1688">
        <v>73.540000000000006</v>
      </c>
      <c r="DD1688" t="s">
        <v>69</v>
      </c>
      <c r="DE1688" t="s">
        <v>70</v>
      </c>
      <c r="DF1688">
        <v>2279.7400000000002</v>
      </c>
    </row>
    <row r="1689" spans="100:110" x14ac:dyDescent="0.25">
      <c r="CV1689" t="s">
        <v>64</v>
      </c>
      <c r="CW1689" t="s">
        <v>1762</v>
      </c>
      <c r="CX1689" t="s">
        <v>20</v>
      </c>
      <c r="CY1689" s="4">
        <v>43273</v>
      </c>
      <c r="CZ1689" t="s">
        <v>67</v>
      </c>
      <c r="DA1689" t="s">
        <v>68</v>
      </c>
      <c r="DB1689">
        <v>23</v>
      </c>
      <c r="DC1689">
        <v>73.03</v>
      </c>
      <c r="DD1689" t="s">
        <v>69</v>
      </c>
      <c r="DE1689" t="s">
        <v>70</v>
      </c>
      <c r="DF1689">
        <v>1679.69</v>
      </c>
    </row>
    <row r="1690" spans="100:110" x14ac:dyDescent="0.25">
      <c r="CV1690" t="s">
        <v>64</v>
      </c>
      <c r="CW1690" t="s">
        <v>1763</v>
      </c>
      <c r="CX1690" t="s">
        <v>20</v>
      </c>
      <c r="CY1690" s="4">
        <v>43276</v>
      </c>
      <c r="CZ1690" t="s">
        <v>67</v>
      </c>
      <c r="DA1690" t="s">
        <v>68</v>
      </c>
      <c r="DB1690">
        <v>34</v>
      </c>
      <c r="DC1690">
        <v>71.959999999999994</v>
      </c>
      <c r="DD1690" t="s">
        <v>69</v>
      </c>
      <c r="DE1690" t="s">
        <v>70</v>
      </c>
      <c r="DF1690">
        <v>2446.64</v>
      </c>
    </row>
    <row r="1691" spans="100:110" x14ac:dyDescent="0.25">
      <c r="CV1691" t="s">
        <v>64</v>
      </c>
      <c r="CW1691" t="s">
        <v>1764</v>
      </c>
      <c r="CX1691" t="s">
        <v>20</v>
      </c>
      <c r="CY1691" s="4">
        <v>43277</v>
      </c>
      <c r="CZ1691" t="s">
        <v>65</v>
      </c>
      <c r="DA1691" t="s">
        <v>66</v>
      </c>
      <c r="DB1691">
        <v>98</v>
      </c>
      <c r="DC1691">
        <v>72.17</v>
      </c>
      <c r="DD1691" t="s">
        <v>69</v>
      </c>
      <c r="DE1691" t="s">
        <v>70</v>
      </c>
      <c r="DF1691">
        <v>7072.66</v>
      </c>
    </row>
    <row r="1692" spans="100:110" x14ac:dyDescent="0.25">
      <c r="CV1692" t="s">
        <v>64</v>
      </c>
      <c r="CW1692" t="s">
        <v>1765</v>
      </c>
      <c r="CX1692" t="s">
        <v>20</v>
      </c>
      <c r="CY1692" s="4">
        <v>43278</v>
      </c>
      <c r="CZ1692" t="s">
        <v>65</v>
      </c>
      <c r="DA1692" t="s">
        <v>66</v>
      </c>
      <c r="DB1692">
        <v>23</v>
      </c>
      <c r="DC1692">
        <v>70.959999999999994</v>
      </c>
      <c r="DD1692" t="s">
        <v>69</v>
      </c>
      <c r="DE1692" t="s">
        <v>70</v>
      </c>
      <c r="DF1692">
        <v>1632.08</v>
      </c>
    </row>
    <row r="1693" spans="100:110" x14ac:dyDescent="0.25">
      <c r="CV1693" t="s">
        <v>64</v>
      </c>
      <c r="CW1693" t="s">
        <v>1766</v>
      </c>
      <c r="CX1693" t="s">
        <v>20</v>
      </c>
      <c r="CY1693" s="4">
        <v>43279</v>
      </c>
      <c r="CZ1693" t="s">
        <v>67</v>
      </c>
      <c r="DA1693" t="s">
        <v>68</v>
      </c>
      <c r="DB1693">
        <v>120</v>
      </c>
      <c r="DC1693">
        <v>71.31</v>
      </c>
      <c r="DD1693" t="s">
        <v>69</v>
      </c>
      <c r="DE1693" t="s">
        <v>70</v>
      </c>
      <c r="DF1693">
        <v>8557.2000000000007</v>
      </c>
    </row>
    <row r="1694" spans="100:110" x14ac:dyDescent="0.25">
      <c r="CV1694" t="s">
        <v>64</v>
      </c>
      <c r="CW1694" t="s">
        <v>1767</v>
      </c>
      <c r="CX1694" t="s">
        <v>20</v>
      </c>
      <c r="CY1694" s="4">
        <v>43280</v>
      </c>
      <c r="CZ1694" t="s">
        <v>65</v>
      </c>
      <c r="DA1694" t="s">
        <v>66</v>
      </c>
      <c r="DB1694">
        <v>84</v>
      </c>
      <c r="DC1694">
        <v>79.25</v>
      </c>
      <c r="DD1694" t="s">
        <v>69</v>
      </c>
      <c r="DE1694" t="s">
        <v>70</v>
      </c>
      <c r="DF1694">
        <v>6657</v>
      </c>
    </row>
    <row r="1695" spans="100:110" x14ac:dyDescent="0.25">
      <c r="CV1695" t="s">
        <v>64</v>
      </c>
      <c r="CW1695" t="s">
        <v>1768</v>
      </c>
      <c r="CX1695" t="s">
        <v>20</v>
      </c>
      <c r="CY1695" s="4">
        <v>43283</v>
      </c>
      <c r="CZ1695" t="s">
        <v>65</v>
      </c>
      <c r="DA1695" t="s">
        <v>66</v>
      </c>
      <c r="DB1695">
        <v>3</v>
      </c>
      <c r="DC1695">
        <v>77.930000000000007</v>
      </c>
      <c r="DD1695" t="s">
        <v>69</v>
      </c>
      <c r="DE1695" t="s">
        <v>70</v>
      </c>
      <c r="DF1695">
        <v>233.79000000000002</v>
      </c>
    </row>
    <row r="1696" spans="100:110" x14ac:dyDescent="0.25">
      <c r="CV1696" t="s">
        <v>64</v>
      </c>
      <c r="CW1696" t="s">
        <v>1769</v>
      </c>
      <c r="CX1696" t="s">
        <v>20</v>
      </c>
      <c r="CY1696" s="4">
        <v>43284</v>
      </c>
      <c r="CZ1696" t="s">
        <v>67</v>
      </c>
      <c r="DA1696" t="s">
        <v>68</v>
      </c>
      <c r="DB1696">
        <v>115</v>
      </c>
      <c r="DC1696">
        <v>75.87</v>
      </c>
      <c r="DD1696" t="s">
        <v>69</v>
      </c>
      <c r="DE1696" t="s">
        <v>70</v>
      </c>
      <c r="DF1696">
        <v>8725.0500000000011</v>
      </c>
    </row>
    <row r="1697" spans="100:110" x14ac:dyDescent="0.25">
      <c r="CV1697" t="s">
        <v>64</v>
      </c>
      <c r="CW1697" t="s">
        <v>1770</v>
      </c>
      <c r="CX1697" t="s">
        <v>20</v>
      </c>
      <c r="CY1697" s="4">
        <v>43286</v>
      </c>
      <c r="CZ1697" t="s">
        <v>65</v>
      </c>
      <c r="DA1697" t="s">
        <v>66</v>
      </c>
      <c r="DB1697">
        <v>17</v>
      </c>
      <c r="DC1697">
        <v>76.14</v>
      </c>
      <c r="DD1697" t="s">
        <v>69</v>
      </c>
      <c r="DE1697" t="s">
        <v>70</v>
      </c>
      <c r="DF1697">
        <v>1294.3800000000001</v>
      </c>
    </row>
    <row r="1698" spans="100:110" x14ac:dyDescent="0.25">
      <c r="CV1698" t="s">
        <v>64</v>
      </c>
      <c r="CW1698" t="s">
        <v>1771</v>
      </c>
      <c r="CX1698" t="s">
        <v>20</v>
      </c>
      <c r="CY1698" s="4">
        <v>43287</v>
      </c>
      <c r="CZ1698" t="s">
        <v>67</v>
      </c>
      <c r="DA1698" t="s">
        <v>68</v>
      </c>
      <c r="DB1698">
        <v>40</v>
      </c>
      <c r="DC1698">
        <v>76.069999999999993</v>
      </c>
      <c r="DD1698" t="s">
        <v>69</v>
      </c>
      <c r="DE1698" t="s">
        <v>70</v>
      </c>
      <c r="DF1698">
        <v>3042.7999999999997</v>
      </c>
    </row>
    <row r="1699" spans="100:110" x14ac:dyDescent="0.25">
      <c r="CV1699" t="s">
        <v>64</v>
      </c>
      <c r="CW1699" t="s">
        <v>1772</v>
      </c>
      <c r="CX1699" t="s">
        <v>20</v>
      </c>
      <c r="CY1699" s="4">
        <v>43290</v>
      </c>
      <c r="CZ1699" t="s">
        <v>65</v>
      </c>
      <c r="DA1699" t="s">
        <v>66</v>
      </c>
      <c r="DB1699">
        <v>79</v>
      </c>
      <c r="DC1699">
        <v>76.86</v>
      </c>
      <c r="DD1699" t="s">
        <v>69</v>
      </c>
      <c r="DE1699" t="s">
        <v>70</v>
      </c>
      <c r="DF1699">
        <v>6071.94</v>
      </c>
    </row>
    <row r="1700" spans="100:110" x14ac:dyDescent="0.25">
      <c r="CV1700" t="s">
        <v>64</v>
      </c>
      <c r="CW1700" t="s">
        <v>1773</v>
      </c>
      <c r="CX1700" t="s">
        <v>20</v>
      </c>
      <c r="CY1700" s="4">
        <v>43291</v>
      </c>
      <c r="CZ1700" t="s">
        <v>67</v>
      </c>
      <c r="DA1700" t="s">
        <v>68</v>
      </c>
      <c r="DB1700">
        <v>49</v>
      </c>
      <c r="DC1700">
        <v>77.150000000000006</v>
      </c>
      <c r="DD1700" t="s">
        <v>69</v>
      </c>
      <c r="DE1700" t="s">
        <v>70</v>
      </c>
      <c r="DF1700">
        <v>3780.3500000000004</v>
      </c>
    </row>
    <row r="1701" spans="100:110" x14ac:dyDescent="0.25">
      <c r="CV1701" t="s">
        <v>64</v>
      </c>
      <c r="CW1701" t="s">
        <v>1774</v>
      </c>
      <c r="CX1701" t="s">
        <v>20</v>
      </c>
      <c r="CY1701" s="4">
        <v>43292</v>
      </c>
      <c r="CZ1701" t="s">
        <v>65</v>
      </c>
      <c r="DA1701" t="s">
        <v>66</v>
      </c>
      <c r="DB1701">
        <v>72</v>
      </c>
      <c r="DC1701">
        <v>76.94</v>
      </c>
      <c r="DD1701" t="s">
        <v>69</v>
      </c>
      <c r="DE1701" t="s">
        <v>70</v>
      </c>
      <c r="DF1701">
        <v>5539.68</v>
      </c>
    </row>
    <row r="1702" spans="100:110" x14ac:dyDescent="0.25">
      <c r="CV1702" t="s">
        <v>64</v>
      </c>
      <c r="CW1702" t="s">
        <v>1775</v>
      </c>
      <c r="CX1702" t="s">
        <v>20</v>
      </c>
      <c r="CY1702" s="4">
        <v>43293</v>
      </c>
      <c r="CZ1702" t="s">
        <v>67</v>
      </c>
      <c r="DA1702" t="s">
        <v>68</v>
      </c>
      <c r="DB1702">
        <v>72</v>
      </c>
      <c r="DC1702">
        <v>76.95</v>
      </c>
      <c r="DD1702" t="s">
        <v>69</v>
      </c>
      <c r="DE1702" t="s">
        <v>70</v>
      </c>
      <c r="DF1702">
        <v>5540.4000000000005</v>
      </c>
    </row>
    <row r="1703" spans="100:110" x14ac:dyDescent="0.25">
      <c r="CV1703" t="s">
        <v>64</v>
      </c>
      <c r="CW1703" t="s">
        <v>1776</v>
      </c>
      <c r="CX1703" t="s">
        <v>20</v>
      </c>
      <c r="CY1703" s="4">
        <v>43294</v>
      </c>
      <c r="CZ1703" t="s">
        <v>65</v>
      </c>
      <c r="DA1703" t="s">
        <v>66</v>
      </c>
      <c r="DB1703">
        <v>32</v>
      </c>
      <c r="DC1703">
        <v>76.959999999999994</v>
      </c>
      <c r="DD1703" t="s">
        <v>69</v>
      </c>
      <c r="DE1703" t="s">
        <v>70</v>
      </c>
      <c r="DF1703">
        <v>2462.7199999999998</v>
      </c>
    </row>
    <row r="1704" spans="100:110" x14ac:dyDescent="0.25">
      <c r="CV1704" t="s">
        <v>64</v>
      </c>
      <c r="CW1704" t="s">
        <v>1777</v>
      </c>
      <c r="CX1704" t="s">
        <v>20</v>
      </c>
      <c r="CY1704" s="4">
        <v>43297</v>
      </c>
      <c r="CZ1704" t="s">
        <v>65</v>
      </c>
      <c r="DA1704" t="s">
        <v>66</v>
      </c>
      <c r="DB1704">
        <v>8</v>
      </c>
      <c r="DC1704">
        <v>77.33</v>
      </c>
      <c r="DD1704" t="s">
        <v>69</v>
      </c>
      <c r="DE1704" t="s">
        <v>70</v>
      </c>
      <c r="DF1704">
        <v>618.64</v>
      </c>
    </row>
    <row r="1705" spans="100:110" x14ac:dyDescent="0.25">
      <c r="CV1705" t="s">
        <v>64</v>
      </c>
      <c r="CW1705" t="s">
        <v>1778</v>
      </c>
      <c r="CX1705" t="s">
        <v>20</v>
      </c>
      <c r="CY1705" s="4">
        <v>43298</v>
      </c>
      <c r="CZ1705" t="s">
        <v>65</v>
      </c>
      <c r="DA1705" t="s">
        <v>66</v>
      </c>
      <c r="DB1705">
        <v>45</v>
      </c>
      <c r="DC1705">
        <v>77.05</v>
      </c>
      <c r="DD1705" t="s">
        <v>69</v>
      </c>
      <c r="DE1705" t="s">
        <v>70</v>
      </c>
      <c r="DF1705">
        <v>3467.25</v>
      </c>
    </row>
    <row r="1706" spans="100:110" x14ac:dyDescent="0.25">
      <c r="CV1706" t="s">
        <v>64</v>
      </c>
      <c r="CW1706" t="s">
        <v>1779</v>
      </c>
      <c r="CX1706" t="s">
        <v>20</v>
      </c>
      <c r="CY1706" s="4">
        <v>43299</v>
      </c>
      <c r="CZ1706" t="s">
        <v>65</v>
      </c>
      <c r="DA1706" t="s">
        <v>66</v>
      </c>
      <c r="DB1706">
        <v>19</v>
      </c>
      <c r="DC1706">
        <v>76.180000000000007</v>
      </c>
      <c r="DD1706" t="s">
        <v>69</v>
      </c>
      <c r="DE1706" t="s">
        <v>70</v>
      </c>
      <c r="DF1706">
        <v>1447.42</v>
      </c>
    </row>
    <row r="1707" spans="100:110" x14ac:dyDescent="0.25">
      <c r="CV1707" t="s">
        <v>64</v>
      </c>
      <c r="CW1707" t="s">
        <v>1780</v>
      </c>
      <c r="CX1707" t="s">
        <v>20</v>
      </c>
      <c r="CY1707" s="4">
        <v>43300</v>
      </c>
      <c r="CZ1707" t="s">
        <v>67</v>
      </c>
      <c r="DA1707" t="s">
        <v>68</v>
      </c>
      <c r="DB1707">
        <v>84</v>
      </c>
      <c r="DC1707">
        <v>76.53</v>
      </c>
      <c r="DD1707" t="s">
        <v>69</v>
      </c>
      <c r="DE1707" t="s">
        <v>70</v>
      </c>
      <c r="DF1707">
        <v>6428.52</v>
      </c>
    </row>
    <row r="1708" spans="100:110" x14ac:dyDescent="0.25">
      <c r="CV1708" t="s">
        <v>64</v>
      </c>
      <c r="CW1708" t="s">
        <v>1781</v>
      </c>
      <c r="CX1708" t="s">
        <v>20</v>
      </c>
      <c r="CY1708" s="4">
        <v>43301</v>
      </c>
      <c r="CZ1708" t="s">
        <v>67</v>
      </c>
      <c r="DA1708" t="s">
        <v>68</v>
      </c>
      <c r="DB1708">
        <v>29</v>
      </c>
      <c r="DC1708">
        <v>76.540000000000006</v>
      </c>
      <c r="DD1708" t="s">
        <v>69</v>
      </c>
      <c r="DE1708" t="s">
        <v>70</v>
      </c>
      <c r="DF1708">
        <v>2219.6600000000003</v>
      </c>
    </row>
    <row r="1709" spans="100:110" x14ac:dyDescent="0.25">
      <c r="CV1709" t="s">
        <v>64</v>
      </c>
      <c r="CW1709" t="s">
        <v>1782</v>
      </c>
      <c r="CX1709" t="s">
        <v>20</v>
      </c>
      <c r="CY1709" s="4">
        <v>43304</v>
      </c>
      <c r="CZ1709" t="s">
        <v>65</v>
      </c>
      <c r="DA1709" t="s">
        <v>66</v>
      </c>
      <c r="DB1709">
        <v>108</v>
      </c>
      <c r="DC1709">
        <v>76.180000000000007</v>
      </c>
      <c r="DD1709" t="s">
        <v>69</v>
      </c>
      <c r="DE1709" t="s">
        <v>70</v>
      </c>
      <c r="DF1709">
        <v>8227.44</v>
      </c>
    </row>
    <row r="1710" spans="100:110" x14ac:dyDescent="0.25">
      <c r="CV1710" t="s">
        <v>64</v>
      </c>
      <c r="CW1710" t="s">
        <v>1783</v>
      </c>
      <c r="CX1710" t="s">
        <v>20</v>
      </c>
      <c r="CY1710" s="4">
        <v>43305</v>
      </c>
      <c r="CZ1710" t="s">
        <v>65</v>
      </c>
      <c r="DA1710" t="s">
        <v>66</v>
      </c>
      <c r="DB1710">
        <v>31</v>
      </c>
      <c r="DC1710">
        <v>75.12</v>
      </c>
      <c r="DD1710" t="s">
        <v>69</v>
      </c>
      <c r="DE1710" t="s">
        <v>70</v>
      </c>
      <c r="DF1710">
        <v>2328.7200000000003</v>
      </c>
    </row>
    <row r="1711" spans="100:110" x14ac:dyDescent="0.25">
      <c r="CV1711" t="s">
        <v>64</v>
      </c>
      <c r="CW1711" t="s">
        <v>1784</v>
      </c>
      <c r="CX1711" t="s">
        <v>20</v>
      </c>
      <c r="CY1711" s="4">
        <v>43306</v>
      </c>
      <c r="CZ1711" t="s">
        <v>67</v>
      </c>
      <c r="DA1711" t="s">
        <v>68</v>
      </c>
      <c r="DB1711">
        <v>143</v>
      </c>
      <c r="DC1711">
        <v>76.739999999999995</v>
      </c>
      <c r="DD1711" t="s">
        <v>69</v>
      </c>
      <c r="DE1711" t="s">
        <v>70</v>
      </c>
      <c r="DF1711">
        <v>10973.82</v>
      </c>
    </row>
    <row r="1712" spans="100:110" x14ac:dyDescent="0.25">
      <c r="CV1712" t="s">
        <v>64</v>
      </c>
      <c r="CW1712" t="s">
        <v>1785</v>
      </c>
      <c r="CX1712" t="s">
        <v>20</v>
      </c>
      <c r="CY1712" s="4">
        <v>43307</v>
      </c>
      <c r="CZ1712" t="s">
        <v>65</v>
      </c>
      <c r="DA1712" t="s">
        <v>66</v>
      </c>
      <c r="DB1712">
        <v>140</v>
      </c>
      <c r="DC1712">
        <v>77.73</v>
      </c>
      <c r="DD1712" t="s">
        <v>69</v>
      </c>
      <c r="DE1712" t="s">
        <v>70</v>
      </c>
      <c r="DF1712">
        <v>10882.2</v>
      </c>
    </row>
    <row r="1713" spans="100:110" x14ac:dyDescent="0.25">
      <c r="CV1713" t="s">
        <v>64</v>
      </c>
      <c r="CW1713" t="s">
        <v>1786</v>
      </c>
      <c r="CX1713" t="s">
        <v>20</v>
      </c>
      <c r="CY1713" s="4">
        <v>43308</v>
      </c>
      <c r="CZ1713" t="s">
        <v>67</v>
      </c>
      <c r="DA1713" t="s">
        <v>68</v>
      </c>
      <c r="DB1713">
        <v>184</v>
      </c>
      <c r="DC1713">
        <v>76.47</v>
      </c>
      <c r="DD1713" t="s">
        <v>69</v>
      </c>
      <c r="DE1713" t="s">
        <v>70</v>
      </c>
      <c r="DF1713">
        <v>14070.48</v>
      </c>
    </row>
    <row r="1714" spans="100:110" x14ac:dyDescent="0.25">
      <c r="CV1714" t="s">
        <v>64</v>
      </c>
      <c r="CW1714" t="s">
        <v>1787</v>
      </c>
      <c r="CX1714" t="s">
        <v>20</v>
      </c>
      <c r="CY1714" s="4">
        <v>43311</v>
      </c>
      <c r="CZ1714" t="s">
        <v>65</v>
      </c>
      <c r="DA1714" t="s">
        <v>66</v>
      </c>
      <c r="DB1714">
        <v>84</v>
      </c>
      <c r="DC1714">
        <v>75.55</v>
      </c>
      <c r="DD1714" t="s">
        <v>69</v>
      </c>
      <c r="DE1714" t="s">
        <v>70</v>
      </c>
      <c r="DF1714">
        <v>6346.2</v>
      </c>
    </row>
    <row r="1715" spans="100:110" x14ac:dyDescent="0.25">
      <c r="CV1715" t="s">
        <v>64</v>
      </c>
      <c r="CW1715" t="s">
        <v>1788</v>
      </c>
      <c r="CX1715" t="s">
        <v>20</v>
      </c>
      <c r="CY1715" s="4">
        <v>43312</v>
      </c>
      <c r="CZ1715" t="s">
        <v>65</v>
      </c>
      <c r="DA1715" t="s">
        <v>66</v>
      </c>
      <c r="DB1715">
        <v>22</v>
      </c>
      <c r="DC1715">
        <v>76.489999999999995</v>
      </c>
      <c r="DD1715" t="s">
        <v>69</v>
      </c>
      <c r="DE1715" t="s">
        <v>70</v>
      </c>
      <c r="DF1715">
        <v>1682.78</v>
      </c>
    </row>
    <row r="1716" spans="100:110" x14ac:dyDescent="0.25">
      <c r="CV1716" t="s">
        <v>64</v>
      </c>
      <c r="CW1716" t="s">
        <v>1789</v>
      </c>
      <c r="CX1716" t="s">
        <v>20</v>
      </c>
      <c r="CY1716" s="4">
        <v>43313</v>
      </c>
      <c r="CZ1716" t="s">
        <v>67</v>
      </c>
      <c r="DA1716" t="s">
        <v>68</v>
      </c>
      <c r="DB1716">
        <v>22</v>
      </c>
      <c r="DC1716">
        <v>77.12</v>
      </c>
      <c r="DD1716" t="s">
        <v>69</v>
      </c>
      <c r="DE1716" t="s">
        <v>70</v>
      </c>
      <c r="DF1716">
        <v>1696.64</v>
      </c>
    </row>
    <row r="1717" spans="100:110" x14ac:dyDescent="0.25">
      <c r="CV1717" t="s">
        <v>64</v>
      </c>
      <c r="CW1717" t="s">
        <v>1790</v>
      </c>
      <c r="CX1717" t="s">
        <v>20</v>
      </c>
      <c r="CY1717" s="4">
        <v>43314</v>
      </c>
      <c r="CZ1717" t="s">
        <v>65</v>
      </c>
      <c r="DA1717" t="s">
        <v>66</v>
      </c>
      <c r="DB1717">
        <v>62</v>
      </c>
      <c r="DC1717">
        <v>78.22</v>
      </c>
      <c r="DD1717" t="s">
        <v>69</v>
      </c>
      <c r="DE1717" t="s">
        <v>70</v>
      </c>
      <c r="DF1717">
        <v>4849.6400000000003</v>
      </c>
    </row>
    <row r="1718" spans="100:110" x14ac:dyDescent="0.25">
      <c r="CV1718" t="s">
        <v>64</v>
      </c>
      <c r="CW1718" t="s">
        <v>1791</v>
      </c>
      <c r="CX1718" t="s">
        <v>20</v>
      </c>
      <c r="CY1718" s="4">
        <v>43315</v>
      </c>
      <c r="CZ1718" t="s">
        <v>67</v>
      </c>
      <c r="DA1718" t="s">
        <v>68</v>
      </c>
      <c r="DB1718">
        <v>108</v>
      </c>
      <c r="DC1718">
        <v>78.31</v>
      </c>
      <c r="DD1718" t="s">
        <v>69</v>
      </c>
      <c r="DE1718" t="s">
        <v>70</v>
      </c>
      <c r="DF1718">
        <v>8457.48</v>
      </c>
    </row>
    <row r="1719" spans="100:110" x14ac:dyDescent="0.25">
      <c r="CV1719" t="s">
        <v>64</v>
      </c>
      <c r="CW1719" t="s">
        <v>1792</v>
      </c>
      <c r="CX1719" t="s">
        <v>20</v>
      </c>
      <c r="CY1719" s="4">
        <v>43318</v>
      </c>
      <c r="CZ1719" t="s">
        <v>65</v>
      </c>
      <c r="DA1719" t="s">
        <v>66</v>
      </c>
      <c r="DB1719">
        <v>88</v>
      </c>
      <c r="DC1719">
        <v>79.08</v>
      </c>
      <c r="DD1719" t="s">
        <v>69</v>
      </c>
      <c r="DE1719" t="s">
        <v>70</v>
      </c>
      <c r="DF1719">
        <v>6959.04</v>
      </c>
    </row>
    <row r="1720" spans="100:110" x14ac:dyDescent="0.25">
      <c r="CV1720" t="s">
        <v>64</v>
      </c>
      <c r="CW1720" t="s">
        <v>1793</v>
      </c>
      <c r="CX1720" t="s">
        <v>20</v>
      </c>
      <c r="CY1720" s="4">
        <v>43319</v>
      </c>
      <c r="CZ1720" t="s">
        <v>67</v>
      </c>
      <c r="DA1720" t="s">
        <v>68</v>
      </c>
      <c r="DB1720">
        <v>114</v>
      </c>
      <c r="DC1720">
        <v>80.09</v>
      </c>
      <c r="DD1720" t="s">
        <v>69</v>
      </c>
      <c r="DE1720" t="s">
        <v>70</v>
      </c>
      <c r="DF1720">
        <v>9130.26</v>
      </c>
    </row>
    <row r="1721" spans="100:110" x14ac:dyDescent="0.25">
      <c r="CV1721" t="s">
        <v>64</v>
      </c>
      <c r="CW1721" t="s">
        <v>1794</v>
      </c>
      <c r="CX1721" t="s">
        <v>20</v>
      </c>
      <c r="CY1721" s="4">
        <v>43320</v>
      </c>
      <c r="CZ1721" t="s">
        <v>65</v>
      </c>
      <c r="DA1721" t="s">
        <v>66</v>
      </c>
      <c r="DB1721">
        <v>153</v>
      </c>
      <c r="DC1721">
        <v>80.06</v>
      </c>
      <c r="DD1721" t="s">
        <v>69</v>
      </c>
      <c r="DE1721" t="s">
        <v>70</v>
      </c>
      <c r="DF1721">
        <v>12249.18</v>
      </c>
    </row>
    <row r="1722" spans="100:110" x14ac:dyDescent="0.25">
      <c r="CV1722" t="s">
        <v>64</v>
      </c>
      <c r="CW1722" t="s">
        <v>1795</v>
      </c>
      <c r="CX1722" t="s">
        <v>20</v>
      </c>
      <c r="CY1722" s="4">
        <v>43321</v>
      </c>
      <c r="CZ1722" t="s">
        <v>67</v>
      </c>
      <c r="DA1722" t="s">
        <v>68</v>
      </c>
      <c r="DB1722">
        <v>122</v>
      </c>
      <c r="DC1722">
        <v>80.819999999999993</v>
      </c>
      <c r="DD1722" t="s">
        <v>69</v>
      </c>
      <c r="DE1722" t="s">
        <v>70</v>
      </c>
      <c r="DF1722">
        <v>9860.0399999999991</v>
      </c>
    </row>
    <row r="1723" spans="100:110" x14ac:dyDescent="0.25">
      <c r="CV1723" t="s">
        <v>64</v>
      </c>
      <c r="CW1723" t="s">
        <v>1796</v>
      </c>
      <c r="CX1723" t="s">
        <v>20</v>
      </c>
      <c r="CY1723" s="4">
        <v>43322</v>
      </c>
      <c r="CZ1723" t="s">
        <v>65</v>
      </c>
      <c r="DA1723" t="s">
        <v>66</v>
      </c>
      <c r="DB1723">
        <v>134</v>
      </c>
      <c r="DC1723">
        <v>80.290000000000006</v>
      </c>
      <c r="DD1723" t="s">
        <v>69</v>
      </c>
      <c r="DE1723" t="s">
        <v>70</v>
      </c>
      <c r="DF1723">
        <v>10758.86</v>
      </c>
    </row>
    <row r="1724" spans="100:110" x14ac:dyDescent="0.25">
      <c r="CV1724" t="s">
        <v>64</v>
      </c>
      <c r="CW1724" t="s">
        <v>1797</v>
      </c>
      <c r="CX1724" t="s">
        <v>20</v>
      </c>
      <c r="CY1724" s="4">
        <v>43325</v>
      </c>
      <c r="CZ1724" t="s">
        <v>67</v>
      </c>
      <c r="DA1724" t="s">
        <v>68</v>
      </c>
      <c r="DB1724">
        <v>171</v>
      </c>
      <c r="DC1724">
        <v>79.72</v>
      </c>
      <c r="DD1724" t="s">
        <v>69</v>
      </c>
      <c r="DE1724" t="s">
        <v>70</v>
      </c>
      <c r="DF1724">
        <v>13632.119999999999</v>
      </c>
    </row>
    <row r="1725" spans="100:110" x14ac:dyDescent="0.25">
      <c r="CV1725" t="s">
        <v>64</v>
      </c>
      <c r="CW1725" t="s">
        <v>1798</v>
      </c>
      <c r="CX1725" t="s">
        <v>20</v>
      </c>
      <c r="CY1725" s="4">
        <v>43326</v>
      </c>
      <c r="CZ1725" t="s">
        <v>65</v>
      </c>
      <c r="DA1725" t="s">
        <v>66</v>
      </c>
      <c r="DB1725">
        <v>19</v>
      </c>
      <c r="DC1725">
        <v>79.709999999999994</v>
      </c>
      <c r="DD1725" t="s">
        <v>69</v>
      </c>
      <c r="DE1725" t="s">
        <v>70</v>
      </c>
      <c r="DF1725">
        <v>1514.4899999999998</v>
      </c>
    </row>
    <row r="1726" spans="100:110" x14ac:dyDescent="0.25">
      <c r="CV1726" t="s">
        <v>64</v>
      </c>
      <c r="CW1726" t="s">
        <v>1799</v>
      </c>
      <c r="CX1726" t="s">
        <v>20</v>
      </c>
      <c r="CY1726" s="4">
        <v>43327</v>
      </c>
      <c r="CZ1726" t="s">
        <v>65</v>
      </c>
      <c r="DA1726" t="s">
        <v>66</v>
      </c>
      <c r="DB1726">
        <v>46</v>
      </c>
      <c r="DC1726">
        <v>79.14</v>
      </c>
      <c r="DD1726" t="s">
        <v>69</v>
      </c>
      <c r="DE1726" t="s">
        <v>70</v>
      </c>
      <c r="DF1726">
        <v>3640.44</v>
      </c>
    </row>
    <row r="1727" spans="100:110" x14ac:dyDescent="0.25">
      <c r="CV1727" t="s">
        <v>64</v>
      </c>
      <c r="CW1727" t="s">
        <v>1800</v>
      </c>
      <c r="CX1727" t="s">
        <v>20</v>
      </c>
      <c r="CY1727" s="4">
        <v>43328</v>
      </c>
      <c r="CZ1727" t="s">
        <v>65</v>
      </c>
      <c r="DA1727" t="s">
        <v>66</v>
      </c>
      <c r="DB1727">
        <v>89</v>
      </c>
      <c r="DC1727">
        <v>79.62</v>
      </c>
      <c r="DD1727" t="s">
        <v>69</v>
      </c>
      <c r="DE1727" t="s">
        <v>70</v>
      </c>
      <c r="DF1727">
        <v>7086.18</v>
      </c>
    </row>
    <row r="1728" spans="100:110" x14ac:dyDescent="0.25">
      <c r="CV1728" t="s">
        <v>64</v>
      </c>
      <c r="CW1728" t="s">
        <v>1801</v>
      </c>
      <c r="CX1728" t="s">
        <v>20</v>
      </c>
      <c r="CY1728" s="4">
        <v>43329</v>
      </c>
      <c r="CZ1728" t="s">
        <v>67</v>
      </c>
      <c r="DA1728" t="s">
        <v>68</v>
      </c>
      <c r="DB1728">
        <v>50</v>
      </c>
      <c r="DC1728">
        <v>79.319999999999993</v>
      </c>
      <c r="DD1728" t="s">
        <v>69</v>
      </c>
      <c r="DE1728" t="s">
        <v>70</v>
      </c>
      <c r="DF1728">
        <v>3965.9999999999995</v>
      </c>
    </row>
    <row r="1729" spans="100:110" x14ac:dyDescent="0.25">
      <c r="CV1729" t="s">
        <v>64</v>
      </c>
      <c r="CW1729" t="s">
        <v>1802</v>
      </c>
      <c r="CX1729" t="s">
        <v>20</v>
      </c>
      <c r="CY1729" s="4">
        <v>43332</v>
      </c>
      <c r="CZ1729" t="s">
        <v>65</v>
      </c>
      <c r="DA1729" t="s">
        <v>66</v>
      </c>
      <c r="DB1729">
        <v>11</v>
      </c>
      <c r="DC1729">
        <v>81.739999999999995</v>
      </c>
      <c r="DD1729" t="s">
        <v>69</v>
      </c>
      <c r="DE1729" t="s">
        <v>70</v>
      </c>
      <c r="DF1729">
        <v>899.14</v>
      </c>
    </row>
    <row r="1730" spans="100:110" x14ac:dyDescent="0.25">
      <c r="CV1730" t="s">
        <v>64</v>
      </c>
      <c r="CW1730" t="s">
        <v>1803</v>
      </c>
      <c r="CX1730" t="s">
        <v>20</v>
      </c>
      <c r="CY1730" s="4">
        <v>43333</v>
      </c>
      <c r="CZ1730" t="s">
        <v>65</v>
      </c>
      <c r="DA1730" t="s">
        <v>66</v>
      </c>
      <c r="DB1730">
        <v>34</v>
      </c>
      <c r="DC1730">
        <v>82.5</v>
      </c>
      <c r="DD1730" t="s">
        <v>69</v>
      </c>
      <c r="DE1730" t="s">
        <v>70</v>
      </c>
      <c r="DF1730">
        <v>2805</v>
      </c>
    </row>
    <row r="1731" spans="100:110" x14ac:dyDescent="0.25">
      <c r="CV1731" t="s">
        <v>64</v>
      </c>
      <c r="CW1731" t="s">
        <v>1804</v>
      </c>
      <c r="CX1731" t="s">
        <v>20</v>
      </c>
      <c r="CY1731" s="4">
        <v>43334</v>
      </c>
      <c r="CZ1731" t="s">
        <v>67</v>
      </c>
      <c r="DA1731" t="s">
        <v>68</v>
      </c>
      <c r="DB1731">
        <v>101</v>
      </c>
      <c r="DC1731">
        <v>82.19</v>
      </c>
      <c r="DD1731" t="s">
        <v>69</v>
      </c>
      <c r="DE1731" t="s">
        <v>70</v>
      </c>
      <c r="DF1731">
        <v>8301.19</v>
      </c>
    </row>
    <row r="1732" spans="100:110" x14ac:dyDescent="0.25">
      <c r="CV1732" t="s">
        <v>64</v>
      </c>
      <c r="CW1732" t="s">
        <v>1805</v>
      </c>
      <c r="CX1732" t="s">
        <v>20</v>
      </c>
      <c r="CY1732" s="4">
        <v>43335</v>
      </c>
      <c r="CZ1732" t="s">
        <v>65</v>
      </c>
      <c r="DA1732" t="s">
        <v>66</v>
      </c>
      <c r="DB1732">
        <v>72</v>
      </c>
      <c r="DC1732">
        <v>82.46</v>
      </c>
      <c r="DD1732" t="s">
        <v>69</v>
      </c>
      <c r="DE1732" t="s">
        <v>70</v>
      </c>
      <c r="DF1732">
        <v>5937.12</v>
      </c>
    </row>
    <row r="1733" spans="100:110" x14ac:dyDescent="0.25">
      <c r="CV1733" t="s">
        <v>64</v>
      </c>
      <c r="CW1733" t="s">
        <v>1806</v>
      </c>
      <c r="CX1733" t="s">
        <v>20</v>
      </c>
      <c r="CY1733" s="4">
        <v>43336</v>
      </c>
      <c r="CZ1733" t="s">
        <v>65</v>
      </c>
      <c r="DA1733" t="s">
        <v>66</v>
      </c>
      <c r="DB1733">
        <v>6</v>
      </c>
      <c r="DC1733">
        <v>82</v>
      </c>
      <c r="DD1733" t="s">
        <v>69</v>
      </c>
      <c r="DE1733" t="s">
        <v>70</v>
      </c>
      <c r="DF1733">
        <v>492</v>
      </c>
    </row>
    <row r="1734" spans="100:110" x14ac:dyDescent="0.25">
      <c r="CV1734" t="s">
        <v>64</v>
      </c>
      <c r="CW1734" t="s">
        <v>1807</v>
      </c>
      <c r="CX1734" t="s">
        <v>20</v>
      </c>
      <c r="CY1734" s="4">
        <v>43339</v>
      </c>
      <c r="CZ1734" t="s">
        <v>67</v>
      </c>
      <c r="DA1734" t="s">
        <v>68</v>
      </c>
      <c r="DB1734">
        <v>79</v>
      </c>
      <c r="DC1734">
        <v>82.2</v>
      </c>
      <c r="DD1734" t="s">
        <v>69</v>
      </c>
      <c r="DE1734" t="s">
        <v>70</v>
      </c>
      <c r="DF1734">
        <v>6493.8</v>
      </c>
    </row>
    <row r="1735" spans="100:110" x14ac:dyDescent="0.25">
      <c r="CV1735" t="s">
        <v>64</v>
      </c>
      <c r="CW1735" t="s">
        <v>1808</v>
      </c>
      <c r="CX1735" t="s">
        <v>20</v>
      </c>
      <c r="CY1735" s="4">
        <v>43340</v>
      </c>
      <c r="CZ1735" t="s">
        <v>67</v>
      </c>
      <c r="DA1735" t="s">
        <v>68</v>
      </c>
      <c r="DB1735">
        <v>54</v>
      </c>
      <c r="DC1735">
        <v>82.13</v>
      </c>
      <c r="DD1735" t="s">
        <v>69</v>
      </c>
      <c r="DE1735" t="s">
        <v>70</v>
      </c>
      <c r="DF1735">
        <v>4435.0199999999995</v>
      </c>
    </row>
    <row r="1736" spans="100:110" x14ac:dyDescent="0.25">
      <c r="CV1736" t="s">
        <v>64</v>
      </c>
      <c r="CW1736" t="s">
        <v>1809</v>
      </c>
      <c r="CX1736" t="s">
        <v>20</v>
      </c>
      <c r="CY1736" s="4">
        <v>43341</v>
      </c>
      <c r="CZ1736" t="s">
        <v>65</v>
      </c>
      <c r="DA1736" t="s">
        <v>66</v>
      </c>
      <c r="DB1736">
        <v>110</v>
      </c>
      <c r="DC1736">
        <v>82.34</v>
      </c>
      <c r="DD1736" t="s">
        <v>69</v>
      </c>
      <c r="DE1736" t="s">
        <v>70</v>
      </c>
      <c r="DF1736">
        <v>9057.4</v>
      </c>
    </row>
    <row r="1737" spans="100:110" x14ac:dyDescent="0.25">
      <c r="CV1737" t="s">
        <v>64</v>
      </c>
      <c r="CW1737" t="s">
        <v>1810</v>
      </c>
      <c r="CX1737" t="s">
        <v>20</v>
      </c>
      <c r="CY1737" s="4">
        <v>43342</v>
      </c>
      <c r="CZ1737" t="s">
        <v>67</v>
      </c>
      <c r="DA1737" t="s">
        <v>68</v>
      </c>
      <c r="DB1737">
        <v>37</v>
      </c>
      <c r="DC1737">
        <v>80.959999999999994</v>
      </c>
      <c r="DD1737" t="s">
        <v>69</v>
      </c>
      <c r="DE1737" t="s">
        <v>70</v>
      </c>
      <c r="DF1737">
        <v>2995.52</v>
      </c>
    </row>
    <row r="1738" spans="100:110" x14ac:dyDescent="0.25">
      <c r="CV1738" t="s">
        <v>64</v>
      </c>
      <c r="CW1738" t="s">
        <v>1811</v>
      </c>
      <c r="CX1738" t="s">
        <v>20</v>
      </c>
      <c r="CY1738" s="4">
        <v>43343</v>
      </c>
      <c r="CZ1738" t="s">
        <v>65</v>
      </c>
      <c r="DA1738" t="s">
        <v>66</v>
      </c>
      <c r="DB1738">
        <v>9</v>
      </c>
      <c r="DC1738">
        <v>81.96</v>
      </c>
      <c r="DD1738" t="s">
        <v>69</v>
      </c>
      <c r="DE1738" t="s">
        <v>70</v>
      </c>
      <c r="DF1738">
        <v>737.64</v>
      </c>
    </row>
    <row r="1739" spans="100:110" x14ac:dyDescent="0.25">
      <c r="CV1739" t="s">
        <v>64</v>
      </c>
      <c r="CW1739" t="s">
        <v>1812</v>
      </c>
      <c r="CX1739" t="s">
        <v>20</v>
      </c>
      <c r="CY1739" s="4">
        <v>43347</v>
      </c>
      <c r="CZ1739" t="s">
        <v>65</v>
      </c>
      <c r="DA1739" t="s">
        <v>66</v>
      </c>
      <c r="DB1739">
        <v>22</v>
      </c>
      <c r="DC1739">
        <v>79.36</v>
      </c>
      <c r="DD1739" t="s">
        <v>69</v>
      </c>
      <c r="DE1739" t="s">
        <v>70</v>
      </c>
      <c r="DF1739">
        <v>1745.92</v>
      </c>
    </row>
    <row r="1740" spans="100:110" x14ac:dyDescent="0.25">
      <c r="CV1740" t="s">
        <v>64</v>
      </c>
      <c r="CW1740" t="s">
        <v>1813</v>
      </c>
      <c r="CX1740" t="s">
        <v>20</v>
      </c>
      <c r="CY1740" s="4">
        <v>43348</v>
      </c>
      <c r="CZ1740" t="s">
        <v>67</v>
      </c>
      <c r="DA1740" t="s">
        <v>68</v>
      </c>
      <c r="DB1740">
        <v>62</v>
      </c>
      <c r="DC1740">
        <v>79.680000000000007</v>
      </c>
      <c r="DD1740" t="s">
        <v>69</v>
      </c>
      <c r="DE1740" t="s">
        <v>70</v>
      </c>
      <c r="DF1740">
        <v>4940.1600000000008</v>
      </c>
    </row>
    <row r="1741" spans="100:110" x14ac:dyDescent="0.25">
      <c r="CV1741" t="s">
        <v>64</v>
      </c>
      <c r="CW1741" t="s">
        <v>1814</v>
      </c>
      <c r="CX1741" t="s">
        <v>20</v>
      </c>
      <c r="CY1741" s="4">
        <v>43349</v>
      </c>
      <c r="CZ1741" t="s">
        <v>67</v>
      </c>
      <c r="DA1741" t="s">
        <v>68</v>
      </c>
      <c r="DB1741">
        <v>4</v>
      </c>
      <c r="DC1741">
        <v>80.16</v>
      </c>
      <c r="DD1741" t="s">
        <v>69</v>
      </c>
      <c r="DE1741" t="s">
        <v>70</v>
      </c>
      <c r="DF1741">
        <v>320.64</v>
      </c>
    </row>
    <row r="1742" spans="100:110" x14ac:dyDescent="0.25">
      <c r="CV1742" t="s">
        <v>64</v>
      </c>
      <c r="CW1742" t="s">
        <v>1815</v>
      </c>
      <c r="CX1742" t="s">
        <v>20</v>
      </c>
      <c r="CY1742" s="4">
        <v>43350</v>
      </c>
      <c r="CZ1742" t="s">
        <v>65</v>
      </c>
      <c r="DA1742" t="s">
        <v>66</v>
      </c>
      <c r="DB1742">
        <v>121</v>
      </c>
      <c r="DC1742">
        <v>80.06</v>
      </c>
      <c r="DD1742" t="s">
        <v>69</v>
      </c>
      <c r="DE1742" t="s">
        <v>70</v>
      </c>
      <c r="DF1742">
        <v>9687.26</v>
      </c>
    </row>
    <row r="1743" spans="100:110" x14ac:dyDescent="0.25">
      <c r="CV1743" t="s">
        <v>64</v>
      </c>
      <c r="CW1743" t="s">
        <v>1816</v>
      </c>
      <c r="CX1743" t="s">
        <v>20</v>
      </c>
      <c r="CY1743" s="4">
        <v>43353</v>
      </c>
      <c r="CZ1743" t="s">
        <v>65</v>
      </c>
      <c r="DA1743" t="s">
        <v>66</v>
      </c>
      <c r="DB1743">
        <v>33</v>
      </c>
      <c r="DC1743">
        <v>81.86</v>
      </c>
      <c r="DD1743" t="s">
        <v>69</v>
      </c>
      <c r="DE1743" t="s">
        <v>70</v>
      </c>
      <c r="DF1743">
        <v>2701.38</v>
      </c>
    </row>
    <row r="1744" spans="100:110" x14ac:dyDescent="0.25">
      <c r="CV1744" t="s">
        <v>64</v>
      </c>
      <c r="CW1744" t="s">
        <v>1817</v>
      </c>
      <c r="CX1744" t="s">
        <v>20</v>
      </c>
      <c r="CY1744" s="4">
        <v>43354</v>
      </c>
      <c r="CZ1744" t="s">
        <v>67</v>
      </c>
      <c r="DA1744" t="s">
        <v>68</v>
      </c>
      <c r="DB1744">
        <v>24</v>
      </c>
      <c r="DC1744">
        <v>82.39</v>
      </c>
      <c r="DD1744" t="s">
        <v>69</v>
      </c>
      <c r="DE1744" t="s">
        <v>70</v>
      </c>
      <c r="DF1744">
        <v>1977.3600000000001</v>
      </c>
    </row>
    <row r="1745" spans="100:110" x14ac:dyDescent="0.25">
      <c r="CV1745" t="s">
        <v>64</v>
      </c>
      <c r="CW1745" t="s">
        <v>1818</v>
      </c>
      <c r="CX1745" t="s">
        <v>20</v>
      </c>
      <c r="CY1745" s="4">
        <v>43355</v>
      </c>
      <c r="CZ1745" t="s">
        <v>67</v>
      </c>
      <c r="DA1745" t="s">
        <v>68</v>
      </c>
      <c r="DB1745">
        <v>42</v>
      </c>
      <c r="DC1745">
        <v>82.75</v>
      </c>
      <c r="DD1745" t="s">
        <v>69</v>
      </c>
      <c r="DE1745" t="s">
        <v>70</v>
      </c>
      <c r="DF1745">
        <v>3475.5</v>
      </c>
    </row>
    <row r="1746" spans="100:110" x14ac:dyDescent="0.25">
      <c r="CV1746" t="s">
        <v>64</v>
      </c>
      <c r="CW1746" t="s">
        <v>1819</v>
      </c>
      <c r="CX1746" t="s">
        <v>20</v>
      </c>
      <c r="CY1746" s="4">
        <v>43356</v>
      </c>
      <c r="CZ1746" t="s">
        <v>67</v>
      </c>
      <c r="DA1746" t="s">
        <v>68</v>
      </c>
      <c r="DB1746">
        <v>79</v>
      </c>
      <c r="DC1746">
        <v>83.22</v>
      </c>
      <c r="DD1746" t="s">
        <v>69</v>
      </c>
      <c r="DE1746" t="s">
        <v>70</v>
      </c>
      <c r="DF1746">
        <v>6574.38</v>
      </c>
    </row>
    <row r="1747" spans="100:110" x14ac:dyDescent="0.25">
      <c r="CV1747" t="s">
        <v>64</v>
      </c>
      <c r="CW1747" t="s">
        <v>1820</v>
      </c>
      <c r="CX1747" t="s">
        <v>20</v>
      </c>
      <c r="CY1747" s="4">
        <v>43357</v>
      </c>
      <c r="CZ1747" t="s">
        <v>65</v>
      </c>
      <c r="DA1747" t="s">
        <v>66</v>
      </c>
      <c r="DB1747">
        <v>111</v>
      </c>
      <c r="DC1747">
        <v>83.24</v>
      </c>
      <c r="DD1747" t="s">
        <v>69</v>
      </c>
      <c r="DE1747" t="s">
        <v>70</v>
      </c>
      <c r="DF1747">
        <v>9239.64</v>
      </c>
    </row>
    <row r="1748" spans="100:110" x14ac:dyDescent="0.25">
      <c r="CV1748" t="s">
        <v>64</v>
      </c>
      <c r="CW1748" t="s">
        <v>1821</v>
      </c>
      <c r="CX1748" t="s">
        <v>20</v>
      </c>
      <c r="CY1748" s="4">
        <v>43360</v>
      </c>
      <c r="CZ1748" t="s">
        <v>65</v>
      </c>
      <c r="DA1748" t="s">
        <v>66</v>
      </c>
      <c r="DB1748">
        <v>30</v>
      </c>
      <c r="DC1748">
        <v>83.01</v>
      </c>
      <c r="DD1748" t="s">
        <v>69</v>
      </c>
      <c r="DE1748" t="s">
        <v>70</v>
      </c>
      <c r="DF1748">
        <v>2490.3000000000002</v>
      </c>
    </row>
    <row r="1749" spans="100:110" x14ac:dyDescent="0.25">
      <c r="CV1749" t="s">
        <v>64</v>
      </c>
      <c r="CW1749" t="s">
        <v>1822</v>
      </c>
      <c r="CX1749" t="s">
        <v>20</v>
      </c>
      <c r="CY1749" s="4">
        <v>43361</v>
      </c>
      <c r="CZ1749" t="s">
        <v>67</v>
      </c>
      <c r="DA1749" t="s">
        <v>68</v>
      </c>
      <c r="DB1749">
        <v>133</v>
      </c>
      <c r="DC1749">
        <v>85.01</v>
      </c>
      <c r="DD1749" t="s">
        <v>69</v>
      </c>
      <c r="DE1749" t="s">
        <v>70</v>
      </c>
      <c r="DF1749">
        <v>11306.33</v>
      </c>
    </row>
    <row r="1750" spans="100:110" x14ac:dyDescent="0.25">
      <c r="CV1750" t="s">
        <v>64</v>
      </c>
      <c r="CW1750" t="s">
        <v>1823</v>
      </c>
      <c r="CX1750" t="s">
        <v>20</v>
      </c>
      <c r="CY1750" s="4">
        <v>43362</v>
      </c>
      <c r="CZ1750" t="s">
        <v>65</v>
      </c>
      <c r="DA1750" t="s">
        <v>66</v>
      </c>
      <c r="DB1750">
        <v>124</v>
      </c>
      <c r="DC1750">
        <v>84.18</v>
      </c>
      <c r="DD1750" t="s">
        <v>69</v>
      </c>
      <c r="DE1750" t="s">
        <v>70</v>
      </c>
      <c r="DF1750">
        <v>10438.320000000002</v>
      </c>
    </row>
    <row r="1751" spans="100:110" x14ac:dyDescent="0.25">
      <c r="CV1751" t="s">
        <v>64</v>
      </c>
      <c r="CW1751" t="s">
        <v>1824</v>
      </c>
      <c r="CX1751" t="s">
        <v>20</v>
      </c>
      <c r="CY1751" s="4">
        <v>43363</v>
      </c>
      <c r="CZ1751" t="s">
        <v>67</v>
      </c>
      <c r="DA1751" t="s">
        <v>68</v>
      </c>
      <c r="DB1751">
        <v>96</v>
      </c>
      <c r="DC1751">
        <v>85.12</v>
      </c>
      <c r="DD1751" t="s">
        <v>69</v>
      </c>
      <c r="DE1751" t="s">
        <v>70</v>
      </c>
      <c r="DF1751">
        <v>8171.52</v>
      </c>
    </row>
    <row r="1752" spans="100:110" x14ac:dyDescent="0.25">
      <c r="CV1752" t="s">
        <v>64</v>
      </c>
      <c r="CW1752" t="s">
        <v>1825</v>
      </c>
      <c r="CX1752" t="s">
        <v>20</v>
      </c>
      <c r="CY1752" s="4">
        <v>43364</v>
      </c>
      <c r="CZ1752" t="s">
        <v>67</v>
      </c>
      <c r="DA1752" t="s">
        <v>68</v>
      </c>
      <c r="DB1752">
        <v>79</v>
      </c>
      <c r="DC1752">
        <v>85.3</v>
      </c>
      <c r="DD1752" t="s">
        <v>69</v>
      </c>
      <c r="DE1752" t="s">
        <v>70</v>
      </c>
      <c r="DF1752">
        <v>6738.7</v>
      </c>
    </row>
    <row r="1753" spans="100:110" x14ac:dyDescent="0.25">
      <c r="CV1753" t="s">
        <v>64</v>
      </c>
      <c r="CW1753" t="s">
        <v>1826</v>
      </c>
      <c r="CX1753" t="s">
        <v>20</v>
      </c>
      <c r="CY1753" s="4">
        <v>43367</v>
      </c>
      <c r="CZ1753" t="s">
        <v>65</v>
      </c>
      <c r="DA1753" t="s">
        <v>66</v>
      </c>
      <c r="DB1753">
        <v>5</v>
      </c>
      <c r="DC1753">
        <v>84.02</v>
      </c>
      <c r="DD1753" t="s">
        <v>69</v>
      </c>
      <c r="DE1753" t="s">
        <v>70</v>
      </c>
      <c r="DF1753">
        <v>420.09999999999997</v>
      </c>
    </row>
    <row r="1754" spans="100:110" x14ac:dyDescent="0.25">
      <c r="CV1754" t="s">
        <v>64</v>
      </c>
      <c r="CW1754" t="s">
        <v>1827</v>
      </c>
      <c r="CX1754" t="s">
        <v>20</v>
      </c>
      <c r="CY1754" s="4">
        <v>43368</v>
      </c>
      <c r="CZ1754" t="s">
        <v>65</v>
      </c>
      <c r="DA1754" t="s">
        <v>66</v>
      </c>
      <c r="DB1754">
        <v>105</v>
      </c>
      <c r="DC1754">
        <v>84.54</v>
      </c>
      <c r="DD1754" t="s">
        <v>69</v>
      </c>
      <c r="DE1754" t="s">
        <v>70</v>
      </c>
      <c r="DF1754">
        <v>8876.7000000000007</v>
      </c>
    </row>
    <row r="1755" spans="100:110" x14ac:dyDescent="0.25">
      <c r="CV1755" t="s">
        <v>64</v>
      </c>
      <c r="CW1755" t="s">
        <v>1828</v>
      </c>
      <c r="CX1755" t="s">
        <v>20</v>
      </c>
      <c r="CY1755" s="4">
        <v>43369</v>
      </c>
      <c r="CZ1755" t="s">
        <v>65</v>
      </c>
      <c r="DA1755" t="s">
        <v>66</v>
      </c>
      <c r="DB1755">
        <v>68</v>
      </c>
      <c r="DC1755">
        <v>83.45</v>
      </c>
      <c r="DD1755" t="s">
        <v>69</v>
      </c>
      <c r="DE1755" t="s">
        <v>70</v>
      </c>
      <c r="DF1755">
        <v>5674.6</v>
      </c>
    </row>
    <row r="1756" spans="100:110" x14ac:dyDescent="0.25">
      <c r="CV1756" t="s">
        <v>64</v>
      </c>
      <c r="CW1756" t="s">
        <v>1829</v>
      </c>
      <c r="CX1756" t="s">
        <v>20</v>
      </c>
      <c r="CY1756" s="4">
        <v>43370</v>
      </c>
      <c r="CZ1756" t="s">
        <v>67</v>
      </c>
      <c r="DA1756" t="s">
        <v>68</v>
      </c>
      <c r="DB1756">
        <v>7</v>
      </c>
      <c r="DC1756">
        <v>84.29</v>
      </c>
      <c r="DD1756" t="s">
        <v>69</v>
      </c>
      <c r="DE1756" t="s">
        <v>70</v>
      </c>
      <c r="DF1756">
        <v>590.03000000000009</v>
      </c>
    </row>
    <row r="1757" spans="100:110" x14ac:dyDescent="0.25">
      <c r="CV1757" t="s">
        <v>64</v>
      </c>
      <c r="CW1757" t="s">
        <v>1830</v>
      </c>
      <c r="CX1757" t="s">
        <v>20</v>
      </c>
      <c r="CY1757" s="4">
        <v>43371</v>
      </c>
      <c r="CZ1757" t="s">
        <v>67</v>
      </c>
      <c r="DA1757" t="s">
        <v>68</v>
      </c>
      <c r="DB1757">
        <v>32</v>
      </c>
      <c r="DC1757">
        <v>84.47</v>
      </c>
      <c r="DD1757" t="s">
        <v>69</v>
      </c>
      <c r="DE1757" t="s">
        <v>70</v>
      </c>
      <c r="DF1757">
        <v>2703.04</v>
      </c>
    </row>
    <row r="1758" spans="100:110" x14ac:dyDescent="0.25">
      <c r="CV1758" t="s">
        <v>64</v>
      </c>
      <c r="CW1758" t="s">
        <v>1831</v>
      </c>
      <c r="CX1758" t="s">
        <v>20</v>
      </c>
      <c r="CY1758" s="4">
        <v>43374</v>
      </c>
      <c r="CZ1758" t="s">
        <v>65</v>
      </c>
      <c r="DA1758" t="s">
        <v>66</v>
      </c>
      <c r="DB1758">
        <v>20</v>
      </c>
      <c r="DC1758">
        <v>84.21</v>
      </c>
      <c r="DD1758" t="s">
        <v>69</v>
      </c>
      <c r="DE1758" t="s">
        <v>70</v>
      </c>
      <c r="DF1758">
        <v>1684.1999999999998</v>
      </c>
    </row>
    <row r="1759" spans="100:110" x14ac:dyDescent="0.25">
      <c r="CV1759" t="s">
        <v>64</v>
      </c>
      <c r="CW1759" t="s">
        <v>1832</v>
      </c>
      <c r="CX1759" t="s">
        <v>20</v>
      </c>
      <c r="CY1759" s="4">
        <v>43375</v>
      </c>
      <c r="CZ1759" t="s">
        <v>67</v>
      </c>
      <c r="DA1759" t="s">
        <v>68</v>
      </c>
      <c r="DB1759">
        <v>39</v>
      </c>
      <c r="DC1759">
        <v>82.53</v>
      </c>
      <c r="DD1759" t="s">
        <v>69</v>
      </c>
      <c r="DE1759" t="s">
        <v>70</v>
      </c>
      <c r="DF1759">
        <v>3218.67</v>
      </c>
    </row>
    <row r="1760" spans="100:110" x14ac:dyDescent="0.25">
      <c r="CV1760" t="s">
        <v>64</v>
      </c>
      <c r="CW1760" t="s">
        <v>1833</v>
      </c>
      <c r="CX1760" t="s">
        <v>20</v>
      </c>
      <c r="CY1760" s="4">
        <v>43376</v>
      </c>
      <c r="CZ1760" t="s">
        <v>67</v>
      </c>
      <c r="DA1760" t="s">
        <v>68</v>
      </c>
      <c r="DB1760">
        <v>116</v>
      </c>
      <c r="DC1760">
        <v>82.26</v>
      </c>
      <c r="DD1760" t="s">
        <v>69</v>
      </c>
      <c r="DE1760" t="s">
        <v>70</v>
      </c>
      <c r="DF1760">
        <v>9542.16</v>
      </c>
    </row>
    <row r="1761" spans="100:110" x14ac:dyDescent="0.25">
      <c r="CV1761" t="s">
        <v>64</v>
      </c>
      <c r="CW1761" t="s">
        <v>1834</v>
      </c>
      <c r="CX1761" t="s">
        <v>20</v>
      </c>
      <c r="CY1761" s="4">
        <v>43377</v>
      </c>
      <c r="CZ1761" t="s">
        <v>65</v>
      </c>
      <c r="DA1761" t="s">
        <v>66</v>
      </c>
      <c r="DB1761">
        <v>2</v>
      </c>
      <c r="DC1761">
        <v>79.94</v>
      </c>
      <c r="DD1761" t="s">
        <v>69</v>
      </c>
      <c r="DE1761" t="s">
        <v>70</v>
      </c>
      <c r="DF1761">
        <v>159.88</v>
      </c>
    </row>
    <row r="1762" spans="100:110" x14ac:dyDescent="0.25">
      <c r="CV1762" t="s">
        <v>64</v>
      </c>
      <c r="CW1762" t="s">
        <v>1835</v>
      </c>
      <c r="CX1762" t="s">
        <v>20</v>
      </c>
      <c r="CY1762" s="4">
        <v>43378</v>
      </c>
      <c r="CZ1762" t="s">
        <v>65</v>
      </c>
      <c r="DA1762" t="s">
        <v>66</v>
      </c>
      <c r="DB1762">
        <v>21</v>
      </c>
      <c r="DC1762">
        <v>79.88</v>
      </c>
      <c r="DD1762" t="s">
        <v>69</v>
      </c>
      <c r="DE1762" t="s">
        <v>70</v>
      </c>
      <c r="DF1762">
        <v>1677.48</v>
      </c>
    </row>
    <row r="1763" spans="100:110" x14ac:dyDescent="0.25">
      <c r="CV1763" t="s">
        <v>64</v>
      </c>
      <c r="CW1763" t="s">
        <v>1836</v>
      </c>
      <c r="CX1763" t="s">
        <v>20</v>
      </c>
      <c r="CY1763" s="4">
        <v>43381</v>
      </c>
      <c r="CZ1763" t="s">
        <v>65</v>
      </c>
      <c r="DA1763" t="s">
        <v>66</v>
      </c>
      <c r="DB1763">
        <v>151</v>
      </c>
      <c r="DC1763">
        <v>79.989999999999995</v>
      </c>
      <c r="DD1763" t="s">
        <v>69</v>
      </c>
      <c r="DE1763" t="s">
        <v>70</v>
      </c>
      <c r="DF1763">
        <v>12078.49</v>
      </c>
    </row>
    <row r="1764" spans="100:110" x14ac:dyDescent="0.25">
      <c r="CV1764" t="s">
        <v>64</v>
      </c>
      <c r="CW1764" t="s">
        <v>1837</v>
      </c>
      <c r="CX1764" t="s">
        <v>20</v>
      </c>
      <c r="CY1764" s="4">
        <v>43382</v>
      </c>
      <c r="CZ1764" t="s">
        <v>67</v>
      </c>
      <c r="DA1764" t="s">
        <v>68</v>
      </c>
      <c r="DB1764">
        <v>22</v>
      </c>
      <c r="DC1764">
        <v>80.180000000000007</v>
      </c>
      <c r="DD1764" t="s">
        <v>69</v>
      </c>
      <c r="DE1764" t="s">
        <v>70</v>
      </c>
      <c r="DF1764">
        <v>1763.96</v>
      </c>
    </row>
    <row r="1765" spans="100:110" x14ac:dyDescent="0.25">
      <c r="CV1765" t="s">
        <v>64</v>
      </c>
      <c r="CW1765" t="s">
        <v>1838</v>
      </c>
      <c r="CX1765" t="s">
        <v>20</v>
      </c>
      <c r="CY1765" s="4">
        <v>43383</v>
      </c>
      <c r="CZ1765" t="s">
        <v>67</v>
      </c>
      <c r="DA1765" t="s">
        <v>68</v>
      </c>
      <c r="DB1765">
        <v>115</v>
      </c>
      <c r="DC1765">
        <v>74.72</v>
      </c>
      <c r="DD1765" t="s">
        <v>69</v>
      </c>
      <c r="DE1765" t="s">
        <v>70</v>
      </c>
      <c r="DF1765">
        <v>8592.7999999999993</v>
      </c>
    </row>
    <row r="1766" spans="100:110" x14ac:dyDescent="0.25">
      <c r="CV1766" t="s">
        <v>64</v>
      </c>
      <c r="CW1766" t="s">
        <v>1839</v>
      </c>
      <c r="CX1766" t="s">
        <v>20</v>
      </c>
      <c r="CY1766" s="4">
        <v>43384</v>
      </c>
      <c r="CZ1766" t="s">
        <v>67</v>
      </c>
      <c r="DA1766" t="s">
        <v>68</v>
      </c>
      <c r="DB1766">
        <v>21</v>
      </c>
      <c r="DC1766">
        <v>74.290000000000006</v>
      </c>
      <c r="DD1766" t="s">
        <v>69</v>
      </c>
      <c r="DE1766" t="s">
        <v>70</v>
      </c>
      <c r="DF1766">
        <v>1560.0900000000001</v>
      </c>
    </row>
    <row r="1767" spans="100:110" x14ac:dyDescent="0.25">
      <c r="CV1767" t="s">
        <v>64</v>
      </c>
      <c r="CW1767" t="s">
        <v>1840</v>
      </c>
      <c r="CX1767" t="s">
        <v>20</v>
      </c>
      <c r="CY1767" s="4">
        <v>43385</v>
      </c>
      <c r="CZ1767" t="s">
        <v>67</v>
      </c>
      <c r="DA1767" t="s">
        <v>68</v>
      </c>
      <c r="DB1767">
        <v>21</v>
      </c>
      <c r="DC1767">
        <v>75.69</v>
      </c>
      <c r="DD1767" t="s">
        <v>69</v>
      </c>
      <c r="DE1767" t="s">
        <v>70</v>
      </c>
      <c r="DF1767">
        <v>1589.49</v>
      </c>
    </row>
    <row r="1768" spans="100:110" x14ac:dyDescent="0.25">
      <c r="CV1768" t="s">
        <v>64</v>
      </c>
      <c r="CW1768" t="s">
        <v>1841</v>
      </c>
      <c r="CX1768" t="s">
        <v>20</v>
      </c>
      <c r="CY1768" s="4">
        <v>43388</v>
      </c>
      <c r="CZ1768" t="s">
        <v>65</v>
      </c>
      <c r="DA1768" t="s">
        <v>66</v>
      </c>
      <c r="DB1768">
        <v>36</v>
      </c>
      <c r="DC1768">
        <v>74.77</v>
      </c>
      <c r="DD1768" t="s">
        <v>69</v>
      </c>
      <c r="DE1768" t="s">
        <v>70</v>
      </c>
      <c r="DF1768">
        <v>2691.72</v>
      </c>
    </row>
    <row r="1769" spans="100:110" x14ac:dyDescent="0.25">
      <c r="CV1769" t="s">
        <v>64</v>
      </c>
      <c r="CW1769" t="s">
        <v>1842</v>
      </c>
      <c r="CX1769" t="s">
        <v>20</v>
      </c>
      <c r="CY1769" s="4">
        <v>43389</v>
      </c>
      <c r="CZ1769" t="s">
        <v>65</v>
      </c>
      <c r="DA1769" t="s">
        <v>66</v>
      </c>
      <c r="DB1769">
        <v>107</v>
      </c>
      <c r="DC1769">
        <v>77.25</v>
      </c>
      <c r="DD1769" t="s">
        <v>69</v>
      </c>
      <c r="DE1769" t="s">
        <v>70</v>
      </c>
      <c r="DF1769">
        <v>8265.75</v>
      </c>
    </row>
    <row r="1770" spans="100:110" x14ac:dyDescent="0.25">
      <c r="CV1770" t="s">
        <v>64</v>
      </c>
      <c r="CW1770" t="s">
        <v>1843</v>
      </c>
      <c r="CX1770" t="s">
        <v>20</v>
      </c>
      <c r="CY1770" s="4">
        <v>43390</v>
      </c>
      <c r="CZ1770" t="s">
        <v>67</v>
      </c>
      <c r="DA1770" t="s">
        <v>68</v>
      </c>
      <c r="DB1770">
        <v>41</v>
      </c>
      <c r="DC1770">
        <v>76.25</v>
      </c>
      <c r="DD1770" t="s">
        <v>69</v>
      </c>
      <c r="DE1770" t="s">
        <v>70</v>
      </c>
      <c r="DF1770">
        <v>3126.25</v>
      </c>
    </row>
    <row r="1771" spans="100:110" x14ac:dyDescent="0.25">
      <c r="CV1771" t="s">
        <v>64</v>
      </c>
      <c r="CW1771" t="s">
        <v>1844</v>
      </c>
      <c r="CX1771" t="s">
        <v>20</v>
      </c>
      <c r="CY1771" s="4">
        <v>43391</v>
      </c>
      <c r="CZ1771" t="s">
        <v>65</v>
      </c>
      <c r="DA1771" t="s">
        <v>66</v>
      </c>
      <c r="DB1771">
        <v>78</v>
      </c>
      <c r="DC1771">
        <v>75.38</v>
      </c>
      <c r="DD1771" t="s">
        <v>69</v>
      </c>
      <c r="DE1771" t="s">
        <v>70</v>
      </c>
      <c r="DF1771">
        <v>5879.6399999999994</v>
      </c>
    </row>
    <row r="1772" spans="100:110" x14ac:dyDescent="0.25">
      <c r="CV1772" t="s">
        <v>64</v>
      </c>
      <c r="CW1772" t="s">
        <v>1845</v>
      </c>
      <c r="CX1772" t="s">
        <v>20</v>
      </c>
      <c r="CY1772" s="4">
        <v>43392</v>
      </c>
      <c r="CZ1772" t="s">
        <v>67</v>
      </c>
      <c r="DA1772" t="s">
        <v>68</v>
      </c>
      <c r="DB1772">
        <v>97</v>
      </c>
      <c r="DC1772">
        <v>73.989999999999995</v>
      </c>
      <c r="DD1772" t="s">
        <v>69</v>
      </c>
      <c r="DE1772" t="s">
        <v>70</v>
      </c>
      <c r="DF1772">
        <v>7177.03</v>
      </c>
    </row>
    <row r="1773" spans="100:110" x14ac:dyDescent="0.25">
      <c r="CV1773" t="s">
        <v>64</v>
      </c>
      <c r="CW1773" t="s">
        <v>1846</v>
      </c>
      <c r="CX1773" t="s">
        <v>20</v>
      </c>
      <c r="CY1773" s="4">
        <v>43395</v>
      </c>
      <c r="CZ1773" t="s">
        <v>65</v>
      </c>
      <c r="DA1773" t="s">
        <v>66</v>
      </c>
      <c r="DB1773">
        <v>68</v>
      </c>
      <c r="DC1773">
        <v>74.680000000000007</v>
      </c>
      <c r="DD1773" t="s">
        <v>69</v>
      </c>
      <c r="DE1773" t="s">
        <v>70</v>
      </c>
      <c r="DF1773">
        <v>5078.2400000000007</v>
      </c>
    </row>
    <row r="1774" spans="100:110" x14ac:dyDescent="0.25">
      <c r="CV1774" t="s">
        <v>64</v>
      </c>
      <c r="CW1774" t="s">
        <v>1847</v>
      </c>
      <c r="CX1774" t="s">
        <v>20</v>
      </c>
      <c r="CY1774" s="4">
        <v>43396</v>
      </c>
      <c r="CZ1774" t="s">
        <v>67</v>
      </c>
      <c r="DA1774" t="s">
        <v>68</v>
      </c>
      <c r="DB1774">
        <v>50</v>
      </c>
      <c r="DC1774">
        <v>73.13</v>
      </c>
      <c r="DD1774" t="s">
        <v>69</v>
      </c>
      <c r="DE1774" t="s">
        <v>70</v>
      </c>
      <c r="DF1774">
        <v>3656.5</v>
      </c>
    </row>
    <row r="1775" spans="100:110" x14ac:dyDescent="0.25">
      <c r="CV1775" t="s">
        <v>64</v>
      </c>
      <c r="CW1775" t="s">
        <v>1848</v>
      </c>
      <c r="CX1775" t="s">
        <v>20</v>
      </c>
      <c r="CY1775" s="4">
        <v>43397</v>
      </c>
      <c r="CZ1775" t="s">
        <v>67</v>
      </c>
      <c r="DA1775" t="s">
        <v>68</v>
      </c>
      <c r="DB1775">
        <v>65</v>
      </c>
      <c r="DC1775">
        <v>71.91</v>
      </c>
      <c r="DD1775" t="s">
        <v>69</v>
      </c>
      <c r="DE1775" t="s">
        <v>70</v>
      </c>
      <c r="DF1775">
        <v>4674.1499999999996</v>
      </c>
    </row>
    <row r="1776" spans="100:110" x14ac:dyDescent="0.25">
      <c r="CV1776" t="s">
        <v>64</v>
      </c>
      <c r="CW1776" t="s">
        <v>1849</v>
      </c>
      <c r="CX1776" t="s">
        <v>20</v>
      </c>
      <c r="CY1776" s="4">
        <v>43398</v>
      </c>
      <c r="CZ1776" t="s">
        <v>65</v>
      </c>
      <c r="DA1776" t="s">
        <v>66</v>
      </c>
      <c r="DB1776">
        <v>34</v>
      </c>
      <c r="DC1776">
        <v>72.88</v>
      </c>
      <c r="DD1776" t="s">
        <v>69</v>
      </c>
      <c r="DE1776" t="s">
        <v>70</v>
      </c>
      <c r="DF1776">
        <v>2477.92</v>
      </c>
    </row>
    <row r="1777" spans="100:110" x14ac:dyDescent="0.25">
      <c r="CV1777" t="s">
        <v>64</v>
      </c>
      <c r="CW1777" t="s">
        <v>1850</v>
      </c>
      <c r="CX1777" t="s">
        <v>20</v>
      </c>
      <c r="CY1777" s="4">
        <v>43399</v>
      </c>
      <c r="CZ1777" t="s">
        <v>67</v>
      </c>
      <c r="DA1777" t="s">
        <v>68</v>
      </c>
      <c r="DB1777">
        <v>24</v>
      </c>
      <c r="DC1777">
        <v>71.86</v>
      </c>
      <c r="DD1777" t="s">
        <v>69</v>
      </c>
      <c r="DE1777" t="s">
        <v>70</v>
      </c>
      <c r="DF1777">
        <v>1724.6399999999999</v>
      </c>
    </row>
    <row r="1778" spans="100:110" x14ac:dyDescent="0.25">
      <c r="CV1778" t="s">
        <v>64</v>
      </c>
      <c r="CW1778" t="s">
        <v>1851</v>
      </c>
      <c r="CX1778" t="s">
        <v>20</v>
      </c>
      <c r="CY1778" s="4">
        <v>43402</v>
      </c>
      <c r="CZ1778" t="s">
        <v>65</v>
      </c>
      <c r="DA1778" t="s">
        <v>66</v>
      </c>
      <c r="DB1778">
        <v>43</v>
      </c>
      <c r="DC1778">
        <v>71.98</v>
      </c>
      <c r="DD1778" t="s">
        <v>69</v>
      </c>
      <c r="DE1778" t="s">
        <v>70</v>
      </c>
      <c r="DF1778">
        <v>3095.1400000000003</v>
      </c>
    </row>
    <row r="1779" spans="100:110" x14ac:dyDescent="0.25">
      <c r="CV1779" t="s">
        <v>64</v>
      </c>
      <c r="CW1779" t="s">
        <v>1852</v>
      </c>
      <c r="CX1779" t="s">
        <v>20</v>
      </c>
      <c r="CY1779" s="4">
        <v>43403</v>
      </c>
      <c r="CZ1779" t="s">
        <v>65</v>
      </c>
      <c r="DA1779" t="s">
        <v>66</v>
      </c>
      <c r="DB1779">
        <v>81</v>
      </c>
      <c r="DC1779">
        <v>74.290000000000006</v>
      </c>
      <c r="DD1779" t="s">
        <v>69</v>
      </c>
      <c r="DE1779" t="s">
        <v>70</v>
      </c>
      <c r="DF1779">
        <v>6017.4900000000007</v>
      </c>
    </row>
    <row r="1780" spans="100:110" x14ac:dyDescent="0.25">
      <c r="CV1780" t="s">
        <v>64</v>
      </c>
      <c r="CW1780" t="s">
        <v>1853</v>
      </c>
      <c r="CX1780" t="s">
        <v>20</v>
      </c>
      <c r="CY1780" s="4">
        <v>43404</v>
      </c>
      <c r="CZ1780" t="s">
        <v>67</v>
      </c>
      <c r="DA1780" t="s">
        <v>68</v>
      </c>
      <c r="DB1780">
        <v>33</v>
      </c>
      <c r="DC1780">
        <v>74.819999999999993</v>
      </c>
      <c r="DD1780" t="s">
        <v>69</v>
      </c>
      <c r="DE1780" t="s">
        <v>70</v>
      </c>
      <c r="DF1780">
        <v>2469.06</v>
      </c>
    </row>
    <row r="1781" spans="100:110" x14ac:dyDescent="0.25">
      <c r="CV1781" t="s">
        <v>64</v>
      </c>
      <c r="CW1781" t="s">
        <v>1854</v>
      </c>
      <c r="CX1781" t="s">
        <v>20</v>
      </c>
      <c r="CY1781" s="4">
        <v>43405</v>
      </c>
      <c r="CZ1781" t="s">
        <v>65</v>
      </c>
      <c r="DA1781" t="s">
        <v>66</v>
      </c>
      <c r="DB1781">
        <v>5</v>
      </c>
      <c r="DC1781">
        <v>76.56</v>
      </c>
      <c r="DD1781" t="s">
        <v>69</v>
      </c>
      <c r="DE1781" t="s">
        <v>70</v>
      </c>
      <c r="DF1781">
        <v>382.8</v>
      </c>
    </row>
    <row r="1782" spans="100:110" x14ac:dyDescent="0.25">
      <c r="CV1782" t="s">
        <v>64</v>
      </c>
      <c r="CW1782" t="s">
        <v>1855</v>
      </c>
      <c r="CX1782" t="s">
        <v>20</v>
      </c>
      <c r="CY1782" s="4">
        <v>43406</v>
      </c>
      <c r="CZ1782" t="s">
        <v>67</v>
      </c>
      <c r="DA1782" t="s">
        <v>68</v>
      </c>
      <c r="DB1782">
        <v>76</v>
      </c>
      <c r="DC1782">
        <v>76.349999999999994</v>
      </c>
      <c r="DD1782" t="s">
        <v>69</v>
      </c>
      <c r="DE1782" t="s">
        <v>70</v>
      </c>
      <c r="DF1782">
        <v>5802.5999999999995</v>
      </c>
    </row>
    <row r="1783" spans="100:110" x14ac:dyDescent="0.25">
      <c r="CV1783" t="s">
        <v>64</v>
      </c>
      <c r="CW1783" t="s">
        <v>1856</v>
      </c>
      <c r="CX1783" t="s">
        <v>20</v>
      </c>
      <c r="CY1783" s="4">
        <v>43409</v>
      </c>
      <c r="CZ1783" t="s">
        <v>65</v>
      </c>
      <c r="DA1783" t="s">
        <v>66</v>
      </c>
      <c r="DB1783">
        <v>125</v>
      </c>
      <c r="DC1783">
        <v>77.3</v>
      </c>
      <c r="DD1783" t="s">
        <v>69</v>
      </c>
      <c r="DE1783" t="s">
        <v>70</v>
      </c>
      <c r="DF1783">
        <v>9662.5</v>
      </c>
    </row>
    <row r="1784" spans="100:110" x14ac:dyDescent="0.25">
      <c r="CV1784" t="s">
        <v>64</v>
      </c>
      <c r="CW1784" t="s">
        <v>1857</v>
      </c>
      <c r="CX1784" t="s">
        <v>20</v>
      </c>
      <c r="CY1784" s="4">
        <v>43410</v>
      </c>
      <c r="CZ1784" t="s">
        <v>67</v>
      </c>
      <c r="DA1784" t="s">
        <v>68</v>
      </c>
      <c r="DB1784">
        <v>175</v>
      </c>
      <c r="DC1784">
        <v>76.34</v>
      </c>
      <c r="DD1784" t="s">
        <v>69</v>
      </c>
      <c r="DE1784" t="s">
        <v>70</v>
      </c>
      <c r="DF1784">
        <v>13359.5</v>
      </c>
    </row>
    <row r="1785" spans="100:110" x14ac:dyDescent="0.25">
      <c r="CV1785" t="s">
        <v>64</v>
      </c>
      <c r="CW1785" t="s">
        <v>1858</v>
      </c>
      <c r="CX1785" t="s">
        <v>20</v>
      </c>
      <c r="CY1785" s="4">
        <v>43411</v>
      </c>
      <c r="CZ1785" t="s">
        <v>65</v>
      </c>
      <c r="DA1785" t="s">
        <v>66</v>
      </c>
      <c r="DB1785">
        <v>16</v>
      </c>
      <c r="DC1785">
        <v>77.739999999999995</v>
      </c>
      <c r="DD1785" t="s">
        <v>69</v>
      </c>
      <c r="DE1785" t="s">
        <v>70</v>
      </c>
      <c r="DF1785">
        <v>1243.8399999999999</v>
      </c>
    </row>
    <row r="1786" spans="100:110" x14ac:dyDescent="0.25">
      <c r="CV1786" t="s">
        <v>64</v>
      </c>
      <c r="CW1786" t="s">
        <v>1859</v>
      </c>
      <c r="CX1786" t="s">
        <v>20</v>
      </c>
      <c r="CY1786" s="4">
        <v>43412</v>
      </c>
      <c r="CZ1786" t="s">
        <v>65</v>
      </c>
      <c r="DA1786" t="s">
        <v>66</v>
      </c>
      <c r="DB1786">
        <v>155</v>
      </c>
      <c r="DC1786">
        <v>77.55</v>
      </c>
      <c r="DD1786" t="s">
        <v>69</v>
      </c>
      <c r="DE1786" t="s">
        <v>70</v>
      </c>
      <c r="DF1786">
        <v>12020.25</v>
      </c>
    </row>
    <row r="1787" spans="100:110" x14ac:dyDescent="0.25">
      <c r="CV1787" t="s">
        <v>64</v>
      </c>
      <c r="CW1787" t="s">
        <v>1860</v>
      </c>
      <c r="CX1787" t="s">
        <v>20</v>
      </c>
      <c r="CY1787" s="4">
        <v>43413</v>
      </c>
      <c r="CZ1787" t="s">
        <v>67</v>
      </c>
      <c r="DA1787" t="s">
        <v>68</v>
      </c>
      <c r="DB1787">
        <v>121</v>
      </c>
      <c r="DC1787">
        <v>76.13</v>
      </c>
      <c r="DD1787" t="s">
        <v>69</v>
      </c>
      <c r="DE1787" t="s">
        <v>70</v>
      </c>
      <c r="DF1787">
        <v>9211.73</v>
      </c>
    </row>
    <row r="1788" spans="100:110" x14ac:dyDescent="0.25">
      <c r="CV1788" t="s">
        <v>64</v>
      </c>
      <c r="CW1788" t="s">
        <v>1861</v>
      </c>
      <c r="CX1788" t="s">
        <v>20</v>
      </c>
      <c r="CY1788" s="4">
        <v>43416</v>
      </c>
      <c r="CZ1788" t="s">
        <v>65</v>
      </c>
      <c r="DA1788" t="s">
        <v>66</v>
      </c>
      <c r="DB1788">
        <v>125</v>
      </c>
      <c r="DC1788">
        <v>74.88</v>
      </c>
      <c r="DD1788" t="s">
        <v>69</v>
      </c>
      <c r="DE1788" t="s">
        <v>70</v>
      </c>
      <c r="DF1788">
        <v>9360</v>
      </c>
    </row>
    <row r="1789" spans="100:110" x14ac:dyDescent="0.25">
      <c r="CV1789" t="s">
        <v>64</v>
      </c>
      <c r="CW1789" t="s">
        <v>1862</v>
      </c>
      <c r="CX1789" t="s">
        <v>20</v>
      </c>
      <c r="CY1789" s="4">
        <v>43417</v>
      </c>
      <c r="CZ1789" t="s">
        <v>67</v>
      </c>
      <c r="DA1789" t="s">
        <v>68</v>
      </c>
      <c r="DB1789">
        <v>86</v>
      </c>
      <c r="DC1789">
        <v>74.98</v>
      </c>
      <c r="DD1789" t="s">
        <v>69</v>
      </c>
      <c r="DE1789" t="s">
        <v>70</v>
      </c>
      <c r="DF1789">
        <v>6448.2800000000007</v>
      </c>
    </row>
    <row r="1790" spans="100:110" x14ac:dyDescent="0.25">
      <c r="CV1790" t="s">
        <v>64</v>
      </c>
      <c r="CW1790" t="s">
        <v>1863</v>
      </c>
      <c r="CX1790" t="s">
        <v>20</v>
      </c>
      <c r="CY1790" s="4">
        <v>43418</v>
      </c>
      <c r="CZ1790" t="s">
        <v>67</v>
      </c>
      <c r="DA1790" t="s">
        <v>68</v>
      </c>
      <c r="DB1790">
        <v>11</v>
      </c>
      <c r="DC1790">
        <v>74.98</v>
      </c>
      <c r="DD1790" t="s">
        <v>69</v>
      </c>
      <c r="DE1790" t="s">
        <v>70</v>
      </c>
      <c r="DF1790">
        <v>824.78000000000009</v>
      </c>
    </row>
    <row r="1791" spans="100:110" x14ac:dyDescent="0.25">
      <c r="CV1791" t="s">
        <v>64</v>
      </c>
      <c r="CW1791" t="s">
        <v>1864</v>
      </c>
      <c r="CX1791" t="s">
        <v>20</v>
      </c>
      <c r="CY1791" s="4">
        <v>43419</v>
      </c>
      <c r="CZ1791" t="s">
        <v>65</v>
      </c>
      <c r="DA1791" t="s">
        <v>66</v>
      </c>
      <c r="DB1791">
        <v>52</v>
      </c>
      <c r="DC1791">
        <v>74.11</v>
      </c>
      <c r="DD1791" t="s">
        <v>69</v>
      </c>
      <c r="DE1791" t="s">
        <v>70</v>
      </c>
      <c r="DF1791">
        <v>3853.72</v>
      </c>
    </row>
    <row r="1792" spans="100:110" x14ac:dyDescent="0.25">
      <c r="CV1792" t="s">
        <v>64</v>
      </c>
      <c r="CW1792" t="s">
        <v>1865</v>
      </c>
      <c r="CX1792" t="s">
        <v>20</v>
      </c>
      <c r="CY1792" s="4">
        <v>43420</v>
      </c>
      <c r="CZ1792" t="s">
        <v>67</v>
      </c>
      <c r="DA1792" t="s">
        <v>68</v>
      </c>
      <c r="DB1792">
        <v>89</v>
      </c>
      <c r="DC1792">
        <v>74.52</v>
      </c>
      <c r="DD1792" t="s">
        <v>69</v>
      </c>
      <c r="DE1792" t="s">
        <v>70</v>
      </c>
      <c r="DF1792">
        <v>6632.28</v>
      </c>
    </row>
    <row r="1793" spans="100:110" x14ac:dyDescent="0.25">
      <c r="CV1793" t="s">
        <v>64</v>
      </c>
      <c r="CW1793" t="s">
        <v>1866</v>
      </c>
      <c r="CX1793" t="s">
        <v>20</v>
      </c>
      <c r="CY1793" s="4">
        <v>43423</v>
      </c>
      <c r="CZ1793" t="s">
        <v>67</v>
      </c>
      <c r="DA1793" t="s">
        <v>68</v>
      </c>
      <c r="DB1793">
        <v>42</v>
      </c>
      <c r="DC1793">
        <v>72.31</v>
      </c>
      <c r="DD1793" t="s">
        <v>69</v>
      </c>
      <c r="DE1793" t="s">
        <v>70</v>
      </c>
      <c r="DF1793">
        <v>3037.02</v>
      </c>
    </row>
    <row r="1794" spans="100:110" x14ac:dyDescent="0.25">
      <c r="CV1794" t="s">
        <v>64</v>
      </c>
      <c r="CW1794" t="s">
        <v>1867</v>
      </c>
      <c r="CX1794" t="s">
        <v>20</v>
      </c>
      <c r="CY1794" s="4">
        <v>43424</v>
      </c>
      <c r="CZ1794" t="s">
        <v>65</v>
      </c>
      <c r="DA1794" t="s">
        <v>66</v>
      </c>
      <c r="DB1794">
        <v>113</v>
      </c>
      <c r="DC1794">
        <v>70.91</v>
      </c>
      <c r="DD1794" t="s">
        <v>69</v>
      </c>
      <c r="DE1794" t="s">
        <v>70</v>
      </c>
      <c r="DF1794">
        <v>8012.83</v>
      </c>
    </row>
    <row r="1795" spans="100:110" x14ac:dyDescent="0.25">
      <c r="CV1795" t="s">
        <v>64</v>
      </c>
      <c r="CW1795" t="s">
        <v>1868</v>
      </c>
      <c r="CX1795" t="s">
        <v>20</v>
      </c>
      <c r="CY1795" s="4">
        <v>43425</v>
      </c>
      <c r="CZ1795" t="s">
        <v>67</v>
      </c>
      <c r="DA1795" t="s">
        <v>68</v>
      </c>
      <c r="DB1795">
        <v>42</v>
      </c>
      <c r="DC1795">
        <v>72.16</v>
      </c>
      <c r="DD1795" t="s">
        <v>69</v>
      </c>
      <c r="DE1795" t="s">
        <v>70</v>
      </c>
      <c r="DF1795">
        <v>3030.72</v>
      </c>
    </row>
    <row r="1796" spans="100:110" x14ac:dyDescent="0.25">
      <c r="CV1796" t="s">
        <v>64</v>
      </c>
      <c r="CW1796" t="s">
        <v>1869</v>
      </c>
      <c r="CX1796" t="s">
        <v>20</v>
      </c>
      <c r="CY1796" s="4">
        <v>43427</v>
      </c>
      <c r="CZ1796" t="s">
        <v>65</v>
      </c>
      <c r="DA1796" t="s">
        <v>66</v>
      </c>
      <c r="DB1796">
        <v>19</v>
      </c>
      <c r="DC1796">
        <v>71.28</v>
      </c>
      <c r="DD1796" t="s">
        <v>69</v>
      </c>
      <c r="DE1796" t="s">
        <v>70</v>
      </c>
      <c r="DF1796">
        <v>1354.32</v>
      </c>
    </row>
    <row r="1797" spans="100:110" x14ac:dyDescent="0.25">
      <c r="CV1797" t="s">
        <v>64</v>
      </c>
      <c r="CW1797" t="s">
        <v>1870</v>
      </c>
      <c r="CX1797" t="s">
        <v>20</v>
      </c>
      <c r="CY1797" s="4">
        <v>43430</v>
      </c>
      <c r="CZ1797" t="s">
        <v>67</v>
      </c>
      <c r="DA1797" t="s">
        <v>68</v>
      </c>
      <c r="DB1797">
        <v>54</v>
      </c>
      <c r="DC1797">
        <v>72.489999999999995</v>
      </c>
      <c r="DD1797" t="s">
        <v>69</v>
      </c>
      <c r="DE1797" t="s">
        <v>70</v>
      </c>
      <c r="DF1797">
        <v>3914.4599999999996</v>
      </c>
    </row>
    <row r="1798" spans="100:110" x14ac:dyDescent="0.25">
      <c r="CV1798" t="s">
        <v>64</v>
      </c>
      <c r="CW1798" t="s">
        <v>1871</v>
      </c>
      <c r="CX1798" t="s">
        <v>20</v>
      </c>
      <c r="CY1798" s="4">
        <v>43431</v>
      </c>
      <c r="CZ1798" t="s">
        <v>67</v>
      </c>
      <c r="DA1798" t="s">
        <v>68</v>
      </c>
      <c r="DB1798">
        <v>54</v>
      </c>
      <c r="DC1798">
        <v>71.88</v>
      </c>
      <c r="DD1798" t="s">
        <v>69</v>
      </c>
      <c r="DE1798" t="s">
        <v>70</v>
      </c>
      <c r="DF1798">
        <v>3881.5199999999995</v>
      </c>
    </row>
    <row r="1799" spans="100:110" x14ac:dyDescent="0.25">
      <c r="CV1799" t="s">
        <v>64</v>
      </c>
      <c r="CW1799" t="s">
        <v>1872</v>
      </c>
      <c r="CX1799" t="s">
        <v>20</v>
      </c>
      <c r="CY1799" s="4">
        <v>43432</v>
      </c>
      <c r="CZ1799" t="s">
        <v>65</v>
      </c>
      <c r="DA1799" t="s">
        <v>66</v>
      </c>
      <c r="DB1799">
        <v>152</v>
      </c>
      <c r="DC1799">
        <v>74.44</v>
      </c>
      <c r="DD1799" t="s">
        <v>69</v>
      </c>
      <c r="DE1799" t="s">
        <v>70</v>
      </c>
      <c r="DF1799">
        <v>11314.88</v>
      </c>
    </row>
    <row r="1800" spans="100:110" x14ac:dyDescent="0.25">
      <c r="CV1800" t="s">
        <v>64</v>
      </c>
      <c r="CW1800" t="s">
        <v>1873</v>
      </c>
      <c r="CX1800" t="s">
        <v>20</v>
      </c>
      <c r="CY1800" s="4">
        <v>43433</v>
      </c>
      <c r="CZ1800" t="s">
        <v>67</v>
      </c>
      <c r="DA1800" t="s">
        <v>68</v>
      </c>
      <c r="DB1800">
        <v>81</v>
      </c>
      <c r="DC1800">
        <v>74.12</v>
      </c>
      <c r="DD1800" t="s">
        <v>69</v>
      </c>
      <c r="DE1800" t="s">
        <v>70</v>
      </c>
      <c r="DF1800">
        <v>6003.72</v>
      </c>
    </row>
    <row r="1801" spans="100:110" x14ac:dyDescent="0.25">
      <c r="CV1801" t="s">
        <v>64</v>
      </c>
      <c r="CW1801" t="s">
        <v>1874</v>
      </c>
      <c r="CX1801" t="s">
        <v>20</v>
      </c>
      <c r="CY1801" s="4">
        <v>43434</v>
      </c>
      <c r="CZ1801" t="s">
        <v>65</v>
      </c>
      <c r="DA1801" t="s">
        <v>66</v>
      </c>
      <c r="DB1801">
        <v>97</v>
      </c>
      <c r="DC1801">
        <v>75.12</v>
      </c>
      <c r="DD1801" t="s">
        <v>69</v>
      </c>
      <c r="DE1801" t="s">
        <v>70</v>
      </c>
      <c r="DF1801">
        <v>7286.64</v>
      </c>
    </row>
    <row r="1802" spans="100:110" x14ac:dyDescent="0.25">
      <c r="CV1802" t="s">
        <v>64</v>
      </c>
      <c r="CW1802" t="s">
        <v>1875</v>
      </c>
      <c r="CX1802" t="s">
        <v>20</v>
      </c>
      <c r="CY1802" s="4">
        <v>43437</v>
      </c>
      <c r="CZ1802" t="s">
        <v>65</v>
      </c>
      <c r="DA1802" t="s">
        <v>66</v>
      </c>
      <c r="DB1802">
        <v>26</v>
      </c>
      <c r="DC1802">
        <v>77.94</v>
      </c>
      <c r="DD1802" t="s">
        <v>69</v>
      </c>
      <c r="DE1802" t="s">
        <v>70</v>
      </c>
      <c r="DF1802">
        <v>2026.44</v>
      </c>
    </row>
    <row r="1803" spans="100:110" x14ac:dyDescent="0.25">
      <c r="CV1803" t="s">
        <v>64</v>
      </c>
      <c r="CW1803" t="s">
        <v>1876</v>
      </c>
      <c r="CX1803" t="s">
        <v>20</v>
      </c>
      <c r="CY1803" s="4">
        <v>43438</v>
      </c>
      <c r="CZ1803" t="s">
        <v>67</v>
      </c>
      <c r="DA1803" t="s">
        <v>68</v>
      </c>
      <c r="DB1803">
        <v>9</v>
      </c>
      <c r="DC1803">
        <v>75.790000000000006</v>
      </c>
      <c r="DD1803" t="s">
        <v>69</v>
      </c>
      <c r="DE1803" t="s">
        <v>70</v>
      </c>
      <c r="DF1803">
        <v>682.11</v>
      </c>
    </row>
    <row r="1804" spans="100:110" x14ac:dyDescent="0.25">
      <c r="CV1804" t="s">
        <v>64</v>
      </c>
      <c r="CW1804" t="s">
        <v>1877</v>
      </c>
      <c r="CX1804" t="s">
        <v>20</v>
      </c>
      <c r="CY1804" s="4">
        <v>43440</v>
      </c>
      <c r="CZ1804" t="s">
        <v>67</v>
      </c>
      <c r="DA1804" t="s">
        <v>68</v>
      </c>
      <c r="DB1804">
        <v>16</v>
      </c>
      <c r="DC1804">
        <v>75.540000000000006</v>
      </c>
      <c r="DD1804" t="s">
        <v>69</v>
      </c>
      <c r="DE1804" t="s">
        <v>70</v>
      </c>
      <c r="DF1804">
        <v>1208.6400000000001</v>
      </c>
    </row>
    <row r="1805" spans="100:110" x14ac:dyDescent="0.25">
      <c r="CV1805" t="s">
        <v>64</v>
      </c>
      <c r="CW1805" t="s">
        <v>1878</v>
      </c>
      <c r="CX1805" t="s">
        <v>20</v>
      </c>
      <c r="CY1805" s="4">
        <v>43441</v>
      </c>
      <c r="CZ1805" t="s">
        <v>67</v>
      </c>
      <c r="DA1805" t="s">
        <v>68</v>
      </c>
      <c r="DB1805">
        <v>74</v>
      </c>
      <c r="DC1805">
        <v>73.34</v>
      </c>
      <c r="DD1805" t="s">
        <v>69</v>
      </c>
      <c r="DE1805" t="s">
        <v>70</v>
      </c>
      <c r="DF1805">
        <v>5427.16</v>
      </c>
    </row>
    <row r="1806" spans="100:110" x14ac:dyDescent="0.25">
      <c r="CV1806" t="s">
        <v>64</v>
      </c>
      <c r="CW1806" t="s">
        <v>1879</v>
      </c>
      <c r="CX1806" t="s">
        <v>20</v>
      </c>
      <c r="CY1806" s="4">
        <v>43444</v>
      </c>
      <c r="CZ1806" t="s">
        <v>65</v>
      </c>
      <c r="DA1806" t="s">
        <v>66</v>
      </c>
      <c r="DB1806">
        <v>80</v>
      </c>
      <c r="DC1806">
        <v>72.510000000000005</v>
      </c>
      <c r="DD1806" t="s">
        <v>69</v>
      </c>
      <c r="DE1806" t="s">
        <v>70</v>
      </c>
      <c r="DF1806">
        <v>5800.8</v>
      </c>
    </row>
    <row r="1807" spans="100:110" x14ac:dyDescent="0.25">
      <c r="CV1807" t="s">
        <v>64</v>
      </c>
      <c r="CW1807" t="s">
        <v>1880</v>
      </c>
      <c r="CX1807" t="s">
        <v>20</v>
      </c>
      <c r="CY1807" s="4">
        <v>43445</v>
      </c>
      <c r="CZ1807" t="s">
        <v>65</v>
      </c>
      <c r="DA1807" t="s">
        <v>66</v>
      </c>
      <c r="DB1807">
        <v>14</v>
      </c>
      <c r="DC1807">
        <v>73.569999999999993</v>
      </c>
      <c r="DD1807" t="s">
        <v>69</v>
      </c>
      <c r="DE1807" t="s">
        <v>70</v>
      </c>
      <c r="DF1807">
        <v>1029.98</v>
      </c>
    </row>
    <row r="1808" spans="100:110" x14ac:dyDescent="0.25">
      <c r="CV1808" t="s">
        <v>64</v>
      </c>
      <c r="CW1808" t="s">
        <v>1881</v>
      </c>
      <c r="CX1808" t="s">
        <v>20</v>
      </c>
      <c r="CY1808" s="4">
        <v>43446</v>
      </c>
      <c r="CZ1808" t="s">
        <v>67</v>
      </c>
      <c r="DA1808" t="s">
        <v>68</v>
      </c>
      <c r="DB1808">
        <v>168</v>
      </c>
      <c r="DC1808">
        <v>74.319999999999993</v>
      </c>
      <c r="DD1808" t="s">
        <v>69</v>
      </c>
      <c r="DE1808" t="s">
        <v>70</v>
      </c>
      <c r="DF1808">
        <v>12485.759999999998</v>
      </c>
    </row>
    <row r="1809" spans="100:110" x14ac:dyDescent="0.25">
      <c r="CV1809" t="s">
        <v>64</v>
      </c>
      <c r="CW1809" t="s">
        <v>1882</v>
      </c>
      <c r="CX1809" t="s">
        <v>20</v>
      </c>
      <c r="CY1809" s="4">
        <v>43447</v>
      </c>
      <c r="CZ1809" t="s">
        <v>65</v>
      </c>
      <c r="DA1809" t="s">
        <v>66</v>
      </c>
      <c r="DB1809">
        <v>140</v>
      </c>
      <c r="DC1809">
        <v>72.930000000000007</v>
      </c>
      <c r="DD1809" t="s">
        <v>69</v>
      </c>
      <c r="DE1809" t="s">
        <v>70</v>
      </c>
      <c r="DF1809">
        <v>10210.200000000001</v>
      </c>
    </row>
    <row r="1810" spans="100:110" x14ac:dyDescent="0.25">
      <c r="CV1810" t="s">
        <v>64</v>
      </c>
      <c r="CW1810" t="s">
        <v>1883</v>
      </c>
      <c r="CX1810" t="s">
        <v>20</v>
      </c>
      <c r="CY1810" s="4">
        <v>43448</v>
      </c>
      <c r="CZ1810" t="s">
        <v>67</v>
      </c>
      <c r="DA1810" t="s">
        <v>68</v>
      </c>
      <c r="DB1810">
        <v>45</v>
      </c>
      <c r="DC1810">
        <v>72.53</v>
      </c>
      <c r="DD1810" t="s">
        <v>69</v>
      </c>
      <c r="DE1810" t="s">
        <v>70</v>
      </c>
      <c r="DF1810">
        <v>3263.85</v>
      </c>
    </row>
    <row r="1811" spans="100:110" x14ac:dyDescent="0.25">
      <c r="CV1811" t="s">
        <v>64</v>
      </c>
      <c r="CW1811" t="s">
        <v>1884</v>
      </c>
      <c r="CX1811" t="s">
        <v>20</v>
      </c>
      <c r="CY1811" s="4">
        <v>43451</v>
      </c>
      <c r="CZ1811" t="s">
        <v>65</v>
      </c>
      <c r="DA1811" t="s">
        <v>66</v>
      </c>
      <c r="DB1811">
        <v>10</v>
      </c>
      <c r="DC1811">
        <v>69.900000000000006</v>
      </c>
      <c r="DD1811" t="s">
        <v>69</v>
      </c>
      <c r="DE1811" t="s">
        <v>70</v>
      </c>
      <c r="DF1811">
        <v>699</v>
      </c>
    </row>
    <row r="1812" spans="100:110" x14ac:dyDescent="0.25">
      <c r="CV1812" t="s">
        <v>64</v>
      </c>
      <c r="CW1812" t="s">
        <v>1885</v>
      </c>
      <c r="CX1812" t="s">
        <v>20</v>
      </c>
      <c r="CY1812" s="4">
        <v>43452</v>
      </c>
      <c r="CZ1812" t="s">
        <v>67</v>
      </c>
      <c r="DA1812" t="s">
        <v>68</v>
      </c>
      <c r="DB1812">
        <v>101</v>
      </c>
      <c r="DC1812">
        <v>71.150000000000006</v>
      </c>
      <c r="DD1812" t="s">
        <v>69</v>
      </c>
      <c r="DE1812" t="s">
        <v>70</v>
      </c>
      <c r="DF1812">
        <v>7186.1500000000005</v>
      </c>
    </row>
    <row r="1813" spans="100:110" x14ac:dyDescent="0.25">
      <c r="CV1813" t="s">
        <v>64</v>
      </c>
      <c r="CW1813" t="s">
        <v>1886</v>
      </c>
      <c r="CX1813" t="s">
        <v>20</v>
      </c>
      <c r="CY1813" s="4">
        <v>43453</v>
      </c>
      <c r="CZ1813" t="s">
        <v>65</v>
      </c>
      <c r="DA1813" t="s">
        <v>66</v>
      </c>
      <c r="DB1813">
        <v>10</v>
      </c>
      <c r="DC1813">
        <v>68.97</v>
      </c>
      <c r="DD1813" t="s">
        <v>69</v>
      </c>
      <c r="DE1813" t="s">
        <v>70</v>
      </c>
      <c r="DF1813">
        <v>689.7</v>
      </c>
    </row>
    <row r="1814" spans="100:110" x14ac:dyDescent="0.25">
      <c r="CV1814" t="s">
        <v>64</v>
      </c>
      <c r="CW1814" t="s">
        <v>1887</v>
      </c>
      <c r="CX1814" t="s">
        <v>20</v>
      </c>
      <c r="CY1814" s="4">
        <v>43454</v>
      </c>
      <c r="CZ1814" t="s">
        <v>65</v>
      </c>
      <c r="DA1814" t="s">
        <v>66</v>
      </c>
      <c r="DB1814">
        <v>151</v>
      </c>
      <c r="DC1814">
        <v>67.53</v>
      </c>
      <c r="DD1814" t="s">
        <v>69</v>
      </c>
      <c r="DE1814" t="s">
        <v>70</v>
      </c>
      <c r="DF1814">
        <v>10197.030000000001</v>
      </c>
    </row>
    <row r="1815" spans="100:110" x14ac:dyDescent="0.25">
      <c r="CV1815" t="s">
        <v>64</v>
      </c>
      <c r="CW1815" t="s">
        <v>1888</v>
      </c>
      <c r="CX1815" t="s">
        <v>20</v>
      </c>
      <c r="CY1815" s="4">
        <v>43455</v>
      </c>
      <c r="CZ1815" t="s">
        <v>67</v>
      </c>
      <c r="DA1815" t="s">
        <v>68</v>
      </c>
      <c r="DB1815">
        <v>38</v>
      </c>
      <c r="DC1815">
        <v>72.37</v>
      </c>
      <c r="DD1815" t="s">
        <v>69</v>
      </c>
      <c r="DE1815" t="s">
        <v>70</v>
      </c>
      <c r="DF1815">
        <v>2750.0600000000004</v>
      </c>
    </row>
    <row r="1816" spans="100:110" x14ac:dyDescent="0.25">
      <c r="CV1816" t="s">
        <v>64</v>
      </c>
      <c r="CW1816" t="s">
        <v>1889</v>
      </c>
      <c r="CX1816" t="s">
        <v>20</v>
      </c>
      <c r="CY1816" s="4">
        <v>43458</v>
      </c>
      <c r="CZ1816" t="s">
        <v>67</v>
      </c>
      <c r="DA1816" t="s">
        <v>68</v>
      </c>
      <c r="DB1816">
        <v>80</v>
      </c>
      <c r="DC1816">
        <v>68.099999999999994</v>
      </c>
      <c r="DD1816" t="s">
        <v>69</v>
      </c>
      <c r="DE1816" t="s">
        <v>70</v>
      </c>
      <c r="DF1816">
        <v>5448</v>
      </c>
    </row>
    <row r="1817" spans="100:110" x14ac:dyDescent="0.25">
      <c r="CV1817" t="s">
        <v>64</v>
      </c>
      <c r="CW1817" t="s">
        <v>1890</v>
      </c>
      <c r="CX1817" t="s">
        <v>20</v>
      </c>
      <c r="CY1817" s="4">
        <v>43460</v>
      </c>
      <c r="CZ1817" t="s">
        <v>65</v>
      </c>
      <c r="DA1817" t="s">
        <v>66</v>
      </c>
      <c r="DB1817">
        <v>118</v>
      </c>
      <c r="DC1817">
        <v>73.010000000000005</v>
      </c>
      <c r="DD1817" t="s">
        <v>69</v>
      </c>
      <c r="DE1817" t="s">
        <v>70</v>
      </c>
      <c r="DF1817">
        <v>8615.18</v>
      </c>
    </row>
    <row r="1818" spans="100:110" x14ac:dyDescent="0.25">
      <c r="CV1818" t="s">
        <v>64</v>
      </c>
      <c r="CW1818" t="s">
        <v>1891</v>
      </c>
      <c r="CX1818" t="s">
        <v>20</v>
      </c>
      <c r="CY1818" s="4">
        <v>43461</v>
      </c>
      <c r="CZ1818" t="s">
        <v>67</v>
      </c>
      <c r="DA1818" t="s">
        <v>68</v>
      </c>
      <c r="DB1818">
        <v>21</v>
      </c>
      <c r="DC1818">
        <v>73.67</v>
      </c>
      <c r="DD1818" t="s">
        <v>69</v>
      </c>
      <c r="DE1818" t="s">
        <v>70</v>
      </c>
      <c r="DF1818">
        <v>1547.07</v>
      </c>
    </row>
    <row r="1819" spans="100:110" x14ac:dyDescent="0.25">
      <c r="CV1819" t="s">
        <v>64</v>
      </c>
      <c r="CW1819" t="s">
        <v>1892</v>
      </c>
      <c r="CX1819" t="s">
        <v>20</v>
      </c>
      <c r="CY1819" s="4">
        <v>43462</v>
      </c>
      <c r="CZ1819" t="s">
        <v>67</v>
      </c>
      <c r="DA1819" t="s">
        <v>68</v>
      </c>
      <c r="DB1819">
        <v>103</v>
      </c>
      <c r="DC1819">
        <v>73.34</v>
      </c>
      <c r="DD1819" t="s">
        <v>69</v>
      </c>
      <c r="DE1819" t="s">
        <v>70</v>
      </c>
      <c r="DF1819">
        <v>7554.02</v>
      </c>
    </row>
    <row r="1820" spans="100:110" x14ac:dyDescent="0.25">
      <c r="CV1820" t="s">
        <v>64</v>
      </c>
      <c r="CW1820" t="s">
        <v>1893</v>
      </c>
      <c r="CX1820" t="s">
        <v>20</v>
      </c>
      <c r="CY1820" s="4">
        <v>43465</v>
      </c>
      <c r="CZ1820" t="s">
        <v>65</v>
      </c>
      <c r="DA1820" t="s">
        <v>66</v>
      </c>
      <c r="DB1820">
        <v>128</v>
      </c>
      <c r="DC1820">
        <v>74.14</v>
      </c>
      <c r="DD1820" t="s">
        <v>69</v>
      </c>
      <c r="DE1820" t="s">
        <v>70</v>
      </c>
      <c r="DF1820">
        <v>9489.92</v>
      </c>
    </row>
    <row r="1821" spans="100:110" x14ac:dyDescent="0.25">
      <c r="CV1821" t="s">
        <v>64</v>
      </c>
      <c r="CW1821" t="s">
        <v>1894</v>
      </c>
      <c r="CX1821" t="s">
        <v>21</v>
      </c>
      <c r="CY1821" s="4">
        <v>42738</v>
      </c>
      <c r="CZ1821" t="s">
        <v>65</v>
      </c>
      <c r="DA1821" t="s">
        <v>66</v>
      </c>
      <c r="DB1821">
        <v>1000</v>
      </c>
      <c r="DC1821">
        <v>30.39</v>
      </c>
      <c r="DD1821" t="s">
        <v>69</v>
      </c>
      <c r="DE1821" t="s">
        <v>70</v>
      </c>
      <c r="DF1821">
        <v>30390</v>
      </c>
    </row>
    <row r="1822" spans="100:110" x14ac:dyDescent="0.25">
      <c r="CV1822" t="s">
        <v>64</v>
      </c>
      <c r="CW1822" t="s">
        <v>1895</v>
      </c>
      <c r="CX1822" t="s">
        <v>21</v>
      </c>
      <c r="CY1822" s="4">
        <v>42768</v>
      </c>
      <c r="CZ1822" t="s">
        <v>67</v>
      </c>
      <c r="DA1822" t="s">
        <v>68</v>
      </c>
      <c r="DB1822">
        <v>2000</v>
      </c>
      <c r="DC1822">
        <v>29.52</v>
      </c>
      <c r="DD1822" t="s">
        <v>69</v>
      </c>
      <c r="DE1822" t="s">
        <v>70</v>
      </c>
      <c r="DF1822">
        <v>59040</v>
      </c>
    </row>
    <row r="1823" spans="100:110" x14ac:dyDescent="0.25">
      <c r="CV1823" t="s">
        <v>64</v>
      </c>
      <c r="CW1823" t="s">
        <v>1896</v>
      </c>
      <c r="CX1823" t="s">
        <v>21</v>
      </c>
      <c r="CY1823" s="4">
        <v>43334</v>
      </c>
      <c r="CZ1823" t="s">
        <v>67</v>
      </c>
      <c r="DA1823" t="s">
        <v>68</v>
      </c>
      <c r="DB1823">
        <v>1000</v>
      </c>
      <c r="DC1823">
        <v>41.39</v>
      </c>
      <c r="DD1823" t="s">
        <v>69</v>
      </c>
      <c r="DE1823" t="s">
        <v>70</v>
      </c>
      <c r="DF1823">
        <v>41390</v>
      </c>
    </row>
    <row r="1824" spans="100:110" x14ac:dyDescent="0.25">
      <c r="CV1824" t="s">
        <v>64</v>
      </c>
      <c r="CW1824" t="s">
        <v>1897</v>
      </c>
      <c r="CX1824" t="s">
        <v>21</v>
      </c>
      <c r="CY1824" s="4">
        <v>43424</v>
      </c>
      <c r="CZ1824" t="s">
        <v>67</v>
      </c>
      <c r="DA1824" t="s">
        <v>68</v>
      </c>
      <c r="DB1824">
        <v>1000</v>
      </c>
      <c r="DC1824">
        <v>43.15</v>
      </c>
      <c r="DD1824" t="s">
        <v>69</v>
      </c>
      <c r="DE1824" t="s">
        <v>70</v>
      </c>
      <c r="DF1824">
        <v>43150</v>
      </c>
    </row>
    <row r="1825" spans="100:110" x14ac:dyDescent="0.25">
      <c r="CV1825" t="s">
        <v>64</v>
      </c>
      <c r="CW1825" t="s">
        <v>1898</v>
      </c>
      <c r="CX1825" t="s">
        <v>22</v>
      </c>
      <c r="CY1825" s="4">
        <v>42738</v>
      </c>
      <c r="CZ1825" t="s">
        <v>65</v>
      </c>
      <c r="DA1825" t="s">
        <v>66</v>
      </c>
      <c r="DB1825">
        <v>1000</v>
      </c>
      <c r="DC1825">
        <v>78.25</v>
      </c>
      <c r="DD1825" t="s">
        <v>69</v>
      </c>
      <c r="DE1825" t="s">
        <v>70</v>
      </c>
      <c r="DF1825">
        <v>78250</v>
      </c>
    </row>
    <row r="1826" spans="100:110" x14ac:dyDescent="0.25">
      <c r="CV1826" t="s">
        <v>64</v>
      </c>
      <c r="CW1826" t="s">
        <v>1899</v>
      </c>
      <c r="CX1826" t="s">
        <v>22</v>
      </c>
      <c r="CY1826" s="4">
        <v>42935</v>
      </c>
      <c r="CZ1826" t="s">
        <v>67</v>
      </c>
      <c r="DA1826" t="s">
        <v>68</v>
      </c>
      <c r="DB1826">
        <v>6000</v>
      </c>
      <c r="DC1826">
        <v>84.04</v>
      </c>
      <c r="DD1826" t="s">
        <v>69</v>
      </c>
      <c r="DE1826" t="s">
        <v>70</v>
      </c>
      <c r="DF1826">
        <v>504240.00000000006</v>
      </c>
    </row>
    <row r="1827" spans="100:110" x14ac:dyDescent="0.25">
      <c r="CV1827" t="s">
        <v>64</v>
      </c>
      <c r="CW1827" t="s">
        <v>1900</v>
      </c>
      <c r="CX1827" t="s">
        <v>22</v>
      </c>
      <c r="CY1827" s="4">
        <v>43180</v>
      </c>
      <c r="CZ1827" t="s">
        <v>67</v>
      </c>
      <c r="DA1827" t="s">
        <v>68</v>
      </c>
      <c r="DB1827">
        <v>2500</v>
      </c>
      <c r="DC1827">
        <v>74.400000000000006</v>
      </c>
      <c r="DD1827" t="s">
        <v>69</v>
      </c>
      <c r="DE1827" t="s">
        <v>70</v>
      </c>
      <c r="DF1827">
        <v>186000</v>
      </c>
    </row>
    <row r="1828" spans="100:110" x14ac:dyDescent="0.25">
      <c r="CV1828" t="s">
        <v>64</v>
      </c>
      <c r="CW1828" t="s">
        <v>1901</v>
      </c>
      <c r="CX1828" t="s">
        <v>23</v>
      </c>
      <c r="CY1828" s="4">
        <v>42738</v>
      </c>
      <c r="CZ1828" t="s">
        <v>65</v>
      </c>
      <c r="DA1828" t="s">
        <v>66</v>
      </c>
      <c r="DB1828">
        <v>1000</v>
      </c>
      <c r="DC1828">
        <v>115.46</v>
      </c>
      <c r="DD1828" t="s">
        <v>69</v>
      </c>
      <c r="DE1828" t="s">
        <v>70</v>
      </c>
      <c r="DF1828">
        <v>115460</v>
      </c>
    </row>
    <row r="1829" spans="100:110" x14ac:dyDescent="0.25">
      <c r="CV1829" t="s">
        <v>64</v>
      </c>
      <c r="CW1829" t="s">
        <v>1902</v>
      </c>
      <c r="CX1829" t="s">
        <v>23</v>
      </c>
      <c r="CY1829" s="4">
        <v>42739</v>
      </c>
      <c r="CZ1829" t="s">
        <v>65</v>
      </c>
      <c r="DA1829" t="s">
        <v>66</v>
      </c>
      <c r="DB1829">
        <v>4000</v>
      </c>
      <c r="DC1829">
        <v>114.84</v>
      </c>
      <c r="DD1829" t="s">
        <v>69</v>
      </c>
      <c r="DE1829" t="s">
        <v>70</v>
      </c>
      <c r="DF1829">
        <v>459360</v>
      </c>
    </row>
    <row r="1830" spans="100:110" x14ac:dyDescent="0.25">
      <c r="CV1830" t="s">
        <v>64</v>
      </c>
      <c r="CW1830" t="s">
        <v>1903</v>
      </c>
      <c r="CX1830" t="s">
        <v>24</v>
      </c>
      <c r="CY1830" s="4">
        <v>42738</v>
      </c>
      <c r="CZ1830" t="s">
        <v>65</v>
      </c>
      <c r="DA1830" t="s">
        <v>66</v>
      </c>
      <c r="DB1830">
        <v>1000</v>
      </c>
      <c r="DC1830">
        <v>156.93</v>
      </c>
      <c r="DD1830" t="s">
        <v>69</v>
      </c>
      <c r="DE1830" t="s">
        <v>70</v>
      </c>
      <c r="DF1830">
        <v>156930</v>
      </c>
    </row>
    <row r="1831" spans="100:110" x14ac:dyDescent="0.25">
      <c r="CV1831" t="s">
        <v>64</v>
      </c>
      <c r="CW1831" t="s">
        <v>1904</v>
      </c>
      <c r="CX1831" t="s">
        <v>24</v>
      </c>
      <c r="CY1831" s="4">
        <v>42739</v>
      </c>
      <c r="CZ1831" t="s">
        <v>65</v>
      </c>
      <c r="DA1831" t="s">
        <v>66</v>
      </c>
      <c r="DB1831">
        <v>2000</v>
      </c>
      <c r="DC1831">
        <v>157.38</v>
      </c>
      <c r="DD1831" t="s">
        <v>69</v>
      </c>
      <c r="DE1831" t="s">
        <v>70</v>
      </c>
      <c r="DF1831">
        <v>314760</v>
      </c>
    </row>
    <row r="1832" spans="100:110" x14ac:dyDescent="0.25">
      <c r="CV1832" t="s">
        <v>64</v>
      </c>
      <c r="CW1832" t="s">
        <v>1905</v>
      </c>
      <c r="CX1832" t="s">
        <v>24</v>
      </c>
      <c r="CY1832" s="4">
        <v>43404</v>
      </c>
      <c r="CZ1832" t="s">
        <v>65</v>
      </c>
      <c r="DA1832" t="s">
        <v>66</v>
      </c>
      <c r="DB1832">
        <v>2000</v>
      </c>
      <c r="DC1832">
        <v>260.52</v>
      </c>
      <c r="DD1832" t="s">
        <v>69</v>
      </c>
      <c r="DE1832" t="s">
        <v>70</v>
      </c>
      <c r="DF1832">
        <v>521039.99999999994</v>
      </c>
    </row>
    <row r="1833" spans="100:110" x14ac:dyDescent="0.25">
      <c r="CV1833" t="s">
        <v>64</v>
      </c>
      <c r="CW1833" t="s">
        <v>1906</v>
      </c>
      <c r="CX1833" t="s">
        <v>25</v>
      </c>
      <c r="CY1833" s="4">
        <v>42738</v>
      </c>
      <c r="CZ1833" t="s">
        <v>65</v>
      </c>
      <c r="DA1833" t="s">
        <v>66</v>
      </c>
      <c r="DB1833">
        <v>1000</v>
      </c>
      <c r="DC1833">
        <v>105.26</v>
      </c>
      <c r="DD1833" t="s">
        <v>69</v>
      </c>
      <c r="DE1833" t="s">
        <v>70</v>
      </c>
      <c r="DF1833">
        <v>105260</v>
      </c>
    </row>
    <row r="1834" spans="100:110" x14ac:dyDescent="0.25">
      <c r="CV1834" t="s">
        <v>64</v>
      </c>
      <c r="CW1834" t="s">
        <v>1907</v>
      </c>
      <c r="CX1834" t="s">
        <v>25</v>
      </c>
      <c r="CY1834" s="4">
        <v>42739</v>
      </c>
      <c r="CZ1834" t="s">
        <v>65</v>
      </c>
      <c r="DA1834" t="s">
        <v>66</v>
      </c>
      <c r="DB1834">
        <v>1000</v>
      </c>
      <c r="DC1834">
        <v>105.33</v>
      </c>
      <c r="DD1834" t="s">
        <v>69</v>
      </c>
      <c r="DE1834" t="s">
        <v>70</v>
      </c>
      <c r="DF1834">
        <v>105330</v>
      </c>
    </row>
    <row r="1835" spans="100:110" x14ac:dyDescent="0.25">
      <c r="CV1835" t="s">
        <v>64</v>
      </c>
      <c r="CW1835" t="s">
        <v>1908</v>
      </c>
      <c r="CX1835" t="s">
        <v>25</v>
      </c>
      <c r="CY1835" s="4">
        <v>42773</v>
      </c>
      <c r="CZ1835" t="s">
        <v>65</v>
      </c>
      <c r="DA1835" t="s">
        <v>66</v>
      </c>
      <c r="DB1835">
        <v>3000</v>
      </c>
      <c r="DC1835">
        <v>105.66</v>
      </c>
      <c r="DD1835" t="s">
        <v>69</v>
      </c>
      <c r="DE1835" t="s">
        <v>70</v>
      </c>
      <c r="DF1835">
        <v>316980</v>
      </c>
    </row>
    <row r="1836" spans="100:110" x14ac:dyDescent="0.25">
      <c r="CV1836" t="s">
        <v>64</v>
      </c>
      <c r="CW1836" t="s">
        <v>1909</v>
      </c>
      <c r="CX1836" t="s">
        <v>25</v>
      </c>
      <c r="CY1836" s="4">
        <v>42846</v>
      </c>
      <c r="CZ1836" t="s">
        <v>67</v>
      </c>
      <c r="DA1836" t="s">
        <v>68</v>
      </c>
      <c r="DB1836">
        <v>3000</v>
      </c>
      <c r="DC1836">
        <v>109.86</v>
      </c>
      <c r="DD1836" t="s">
        <v>69</v>
      </c>
      <c r="DE1836" t="s">
        <v>70</v>
      </c>
      <c r="DF1836">
        <v>329580</v>
      </c>
    </row>
    <row r="1837" spans="100:110" x14ac:dyDescent="0.25">
      <c r="CV1837" t="s">
        <v>64</v>
      </c>
      <c r="CW1837" t="s">
        <v>1910</v>
      </c>
      <c r="CX1837" t="s">
        <v>25</v>
      </c>
      <c r="CY1837" s="4">
        <v>42856</v>
      </c>
      <c r="CZ1837" t="s">
        <v>67</v>
      </c>
      <c r="DA1837" t="s">
        <v>68</v>
      </c>
      <c r="DB1837">
        <v>1000</v>
      </c>
      <c r="DC1837">
        <v>113.62</v>
      </c>
      <c r="DD1837" t="s">
        <v>69</v>
      </c>
      <c r="DE1837" t="s">
        <v>70</v>
      </c>
      <c r="DF1837">
        <v>113620</v>
      </c>
    </row>
    <row r="1838" spans="100:110" x14ac:dyDescent="0.25">
      <c r="CV1838" t="s">
        <v>64</v>
      </c>
      <c r="CW1838" t="s">
        <v>1911</v>
      </c>
      <c r="CX1838" t="s">
        <v>25</v>
      </c>
      <c r="CY1838" s="4">
        <v>42857</v>
      </c>
      <c r="CZ1838" t="s">
        <v>65</v>
      </c>
      <c r="DA1838" t="s">
        <v>66</v>
      </c>
      <c r="DB1838">
        <v>4000</v>
      </c>
      <c r="DC1838">
        <v>114</v>
      </c>
      <c r="DD1838" t="s">
        <v>69</v>
      </c>
      <c r="DE1838" t="s">
        <v>70</v>
      </c>
      <c r="DF1838">
        <v>456000</v>
      </c>
    </row>
    <row r="1839" spans="100:110" x14ac:dyDescent="0.25">
      <c r="CV1839" t="s">
        <v>64</v>
      </c>
      <c r="CW1839" t="s">
        <v>1912</v>
      </c>
      <c r="CX1839" t="s">
        <v>25</v>
      </c>
      <c r="CY1839" s="4">
        <v>42859</v>
      </c>
      <c r="CZ1839" t="s">
        <v>67</v>
      </c>
      <c r="DA1839" t="s">
        <v>68</v>
      </c>
      <c r="DB1839">
        <v>2500</v>
      </c>
      <c r="DC1839">
        <v>115.6</v>
      </c>
      <c r="DD1839" t="s">
        <v>69</v>
      </c>
      <c r="DE1839" t="s">
        <v>70</v>
      </c>
      <c r="DF1839">
        <v>289000</v>
      </c>
    </row>
    <row r="1840" spans="100:110" x14ac:dyDescent="0.25">
      <c r="CV1840" t="s">
        <v>64</v>
      </c>
      <c r="CW1840" t="s">
        <v>1913</v>
      </c>
      <c r="CX1840" t="s">
        <v>25</v>
      </c>
      <c r="CY1840" s="4">
        <v>42860</v>
      </c>
      <c r="CZ1840" t="s">
        <v>67</v>
      </c>
      <c r="DA1840" t="s">
        <v>68</v>
      </c>
      <c r="DB1840">
        <v>1000</v>
      </c>
      <c r="DC1840">
        <v>115.94</v>
      </c>
      <c r="DD1840" t="s">
        <v>69</v>
      </c>
      <c r="DE1840" t="s">
        <v>70</v>
      </c>
      <c r="DF1840">
        <v>115940</v>
      </c>
    </row>
    <row r="1841" spans="100:110" x14ac:dyDescent="0.25">
      <c r="CV1841" t="s">
        <v>64</v>
      </c>
      <c r="CW1841" t="s">
        <v>1914</v>
      </c>
      <c r="CX1841" t="s">
        <v>25</v>
      </c>
      <c r="CY1841" s="4">
        <v>42865</v>
      </c>
      <c r="CZ1841" t="s">
        <v>67</v>
      </c>
      <c r="DA1841" t="s">
        <v>68</v>
      </c>
      <c r="DB1841">
        <v>1000</v>
      </c>
      <c r="DC1841">
        <v>115.62</v>
      </c>
      <c r="DD1841" t="s">
        <v>69</v>
      </c>
      <c r="DE1841" t="s">
        <v>70</v>
      </c>
      <c r="DF1841">
        <v>115620</v>
      </c>
    </row>
    <row r="1842" spans="100:110" x14ac:dyDescent="0.25">
      <c r="CV1842" t="s">
        <v>64</v>
      </c>
      <c r="CW1842" t="s">
        <v>1915</v>
      </c>
      <c r="CX1842" t="s">
        <v>25</v>
      </c>
      <c r="CY1842" s="4">
        <v>42867</v>
      </c>
      <c r="CZ1842" t="s">
        <v>67</v>
      </c>
      <c r="DA1842" t="s">
        <v>68</v>
      </c>
      <c r="DB1842">
        <v>500</v>
      </c>
      <c r="DC1842">
        <v>115.44</v>
      </c>
      <c r="DD1842" t="s">
        <v>69</v>
      </c>
      <c r="DE1842" t="s">
        <v>70</v>
      </c>
      <c r="DF1842">
        <v>57720</v>
      </c>
    </row>
    <row r="1843" spans="100:110" x14ac:dyDescent="0.25">
      <c r="CV1843" t="s">
        <v>64</v>
      </c>
      <c r="CW1843" t="s">
        <v>1916</v>
      </c>
      <c r="CX1843" t="s">
        <v>25</v>
      </c>
      <c r="CY1843" s="4">
        <v>42871</v>
      </c>
      <c r="CZ1843" t="s">
        <v>67</v>
      </c>
      <c r="DA1843" t="s">
        <v>68</v>
      </c>
      <c r="DB1843">
        <v>250</v>
      </c>
      <c r="DC1843">
        <v>115.99</v>
      </c>
      <c r="DD1843" t="s">
        <v>69</v>
      </c>
      <c r="DE1843" t="s">
        <v>70</v>
      </c>
      <c r="DF1843">
        <v>28997.5</v>
      </c>
    </row>
    <row r="1844" spans="100:110" x14ac:dyDescent="0.25">
      <c r="CV1844" t="s">
        <v>64</v>
      </c>
      <c r="CW1844" t="s">
        <v>1917</v>
      </c>
      <c r="CX1844" t="s">
        <v>25</v>
      </c>
      <c r="CY1844" s="4">
        <v>42872</v>
      </c>
      <c r="CZ1844" t="s">
        <v>67</v>
      </c>
      <c r="DA1844" t="s">
        <v>68</v>
      </c>
      <c r="DB1844">
        <v>250</v>
      </c>
      <c r="DC1844">
        <v>114.87</v>
      </c>
      <c r="DD1844" t="s">
        <v>69</v>
      </c>
      <c r="DE1844" t="s">
        <v>70</v>
      </c>
      <c r="DF1844">
        <v>28717.5</v>
      </c>
    </row>
    <row r="1845" spans="100:110" x14ac:dyDescent="0.25">
      <c r="CV1845" t="s">
        <v>64</v>
      </c>
      <c r="CW1845" t="s">
        <v>1918</v>
      </c>
      <c r="CX1845" t="s">
        <v>25</v>
      </c>
      <c r="CY1845" s="4">
        <v>42877</v>
      </c>
      <c r="CZ1845" t="s">
        <v>65</v>
      </c>
      <c r="DA1845" t="s">
        <v>66</v>
      </c>
      <c r="DB1845">
        <v>3000</v>
      </c>
      <c r="DC1845">
        <v>116.87</v>
      </c>
      <c r="DD1845" t="s">
        <v>69</v>
      </c>
      <c r="DE1845" t="s">
        <v>70</v>
      </c>
      <c r="DF1845">
        <v>350610</v>
      </c>
    </row>
    <row r="1846" spans="100:110" x14ac:dyDescent="0.25">
      <c r="CV1846" t="s">
        <v>64</v>
      </c>
      <c r="CW1846" t="s">
        <v>1919</v>
      </c>
      <c r="CX1846" t="s">
        <v>25</v>
      </c>
      <c r="CY1846" s="4">
        <v>42878</v>
      </c>
      <c r="CZ1846" t="s">
        <v>65</v>
      </c>
      <c r="DA1846" t="s">
        <v>66</v>
      </c>
      <c r="DB1846">
        <v>1250</v>
      </c>
      <c r="DC1846">
        <v>117.26</v>
      </c>
      <c r="DD1846" t="s">
        <v>69</v>
      </c>
      <c r="DE1846" t="s">
        <v>70</v>
      </c>
      <c r="DF1846">
        <v>146575</v>
      </c>
    </row>
    <row r="1847" spans="100:110" x14ac:dyDescent="0.25">
      <c r="CV1847" t="s">
        <v>64</v>
      </c>
      <c r="CW1847" t="s">
        <v>1920</v>
      </c>
      <c r="CX1847" t="s">
        <v>25</v>
      </c>
      <c r="CY1847" s="4">
        <v>42880</v>
      </c>
      <c r="CZ1847" t="s">
        <v>65</v>
      </c>
      <c r="DA1847" t="s">
        <v>66</v>
      </c>
      <c r="DB1847">
        <v>750</v>
      </c>
      <c r="DC1847">
        <v>117.44</v>
      </c>
      <c r="DD1847" t="s">
        <v>69</v>
      </c>
      <c r="DE1847" t="s">
        <v>70</v>
      </c>
      <c r="DF1847">
        <v>88080</v>
      </c>
    </row>
    <row r="1848" spans="100:110" x14ac:dyDescent="0.25">
      <c r="CV1848" t="s">
        <v>64</v>
      </c>
      <c r="CW1848" t="s">
        <v>1921</v>
      </c>
      <c r="CX1848" t="s">
        <v>25</v>
      </c>
      <c r="CY1848" s="4">
        <v>42881</v>
      </c>
      <c r="CZ1848" t="s">
        <v>65</v>
      </c>
      <c r="DA1848" t="s">
        <v>66</v>
      </c>
      <c r="DB1848">
        <v>500</v>
      </c>
      <c r="DC1848">
        <v>117.05</v>
      </c>
      <c r="DD1848" t="s">
        <v>69</v>
      </c>
      <c r="DE1848" t="s">
        <v>70</v>
      </c>
      <c r="DF1848">
        <v>58525</v>
      </c>
    </row>
    <row r="1849" spans="100:110" x14ac:dyDescent="0.25">
      <c r="CV1849" t="s">
        <v>64</v>
      </c>
      <c r="CW1849" t="s">
        <v>1922</v>
      </c>
      <c r="CX1849" t="s">
        <v>25</v>
      </c>
      <c r="CY1849" s="4">
        <v>42976</v>
      </c>
      <c r="CZ1849" t="s">
        <v>67</v>
      </c>
      <c r="DA1849" t="s">
        <v>68</v>
      </c>
      <c r="DB1849">
        <v>2500</v>
      </c>
      <c r="DC1849">
        <v>114.72</v>
      </c>
      <c r="DD1849" t="s">
        <v>69</v>
      </c>
      <c r="DE1849" t="s">
        <v>70</v>
      </c>
      <c r="DF1849">
        <v>286800</v>
      </c>
    </row>
    <row r="1850" spans="100:110" x14ac:dyDescent="0.25">
      <c r="CV1850" t="s">
        <v>64</v>
      </c>
      <c r="CW1850" t="s">
        <v>1923</v>
      </c>
      <c r="CX1850" t="s">
        <v>25</v>
      </c>
      <c r="CY1850" s="4">
        <v>42979</v>
      </c>
      <c r="CZ1850" t="s">
        <v>67</v>
      </c>
      <c r="DA1850" t="s">
        <v>68</v>
      </c>
      <c r="DB1850">
        <v>1000</v>
      </c>
      <c r="DC1850">
        <v>113.97</v>
      </c>
      <c r="DD1850" t="s">
        <v>69</v>
      </c>
      <c r="DE1850" t="s">
        <v>70</v>
      </c>
      <c r="DF1850">
        <v>113970</v>
      </c>
    </row>
    <row r="1851" spans="100:110" x14ac:dyDescent="0.25">
      <c r="CV1851" t="s">
        <v>64</v>
      </c>
      <c r="CW1851" t="s">
        <v>1924</v>
      </c>
      <c r="CX1851" t="s">
        <v>25</v>
      </c>
      <c r="CY1851" s="4">
        <v>42989</v>
      </c>
      <c r="CZ1851" t="s">
        <v>67</v>
      </c>
      <c r="DA1851" t="s">
        <v>68</v>
      </c>
      <c r="DB1851">
        <v>250</v>
      </c>
      <c r="DC1851">
        <v>105.96</v>
      </c>
      <c r="DD1851" t="s">
        <v>69</v>
      </c>
      <c r="DE1851" t="s">
        <v>70</v>
      </c>
      <c r="DF1851">
        <v>26490</v>
      </c>
    </row>
    <row r="1852" spans="100:110" x14ac:dyDescent="0.25">
      <c r="CV1852" t="s">
        <v>64</v>
      </c>
      <c r="CW1852" t="s">
        <v>1925</v>
      </c>
      <c r="CX1852" t="s">
        <v>25</v>
      </c>
      <c r="CY1852" s="4">
        <v>42991</v>
      </c>
      <c r="CZ1852" t="s">
        <v>65</v>
      </c>
      <c r="DA1852" t="s">
        <v>66</v>
      </c>
      <c r="DB1852">
        <v>1250</v>
      </c>
      <c r="DC1852">
        <v>106.58</v>
      </c>
      <c r="DD1852" t="s">
        <v>69</v>
      </c>
      <c r="DE1852" t="s">
        <v>70</v>
      </c>
      <c r="DF1852">
        <v>133225</v>
      </c>
    </row>
    <row r="1853" spans="100:110" x14ac:dyDescent="0.25">
      <c r="CV1853" t="s">
        <v>64</v>
      </c>
      <c r="CW1853" t="s">
        <v>1926</v>
      </c>
      <c r="CX1853" t="s">
        <v>25</v>
      </c>
      <c r="CY1853" s="4">
        <v>42993</v>
      </c>
      <c r="CZ1853" t="s">
        <v>65</v>
      </c>
      <c r="DA1853" t="s">
        <v>66</v>
      </c>
      <c r="DB1853">
        <v>1000</v>
      </c>
      <c r="DC1853">
        <v>109.29</v>
      </c>
      <c r="DD1853" t="s">
        <v>69</v>
      </c>
      <c r="DE1853" t="s">
        <v>70</v>
      </c>
      <c r="DF1853">
        <v>109290</v>
      </c>
    </row>
    <row r="1854" spans="100:110" x14ac:dyDescent="0.25">
      <c r="CV1854" t="s">
        <v>64</v>
      </c>
      <c r="CW1854" t="s">
        <v>1927</v>
      </c>
      <c r="CX1854" t="s">
        <v>25</v>
      </c>
      <c r="CY1854" s="4">
        <v>42998</v>
      </c>
      <c r="CZ1854" t="s">
        <v>65</v>
      </c>
      <c r="DA1854" t="s">
        <v>66</v>
      </c>
      <c r="DB1854">
        <v>750</v>
      </c>
      <c r="DC1854">
        <v>110.27</v>
      </c>
      <c r="DD1854" t="s">
        <v>69</v>
      </c>
      <c r="DE1854" t="s">
        <v>70</v>
      </c>
      <c r="DF1854">
        <v>82702.5</v>
      </c>
    </row>
    <row r="1855" spans="100:110" x14ac:dyDescent="0.25">
      <c r="CV1855" t="s">
        <v>64</v>
      </c>
      <c r="CW1855" t="s">
        <v>1928</v>
      </c>
      <c r="CX1855" t="s">
        <v>25</v>
      </c>
      <c r="CY1855" s="4">
        <v>43000</v>
      </c>
      <c r="CZ1855" t="s">
        <v>65</v>
      </c>
      <c r="DA1855" t="s">
        <v>66</v>
      </c>
      <c r="DB1855">
        <v>750</v>
      </c>
      <c r="DC1855">
        <v>111.15</v>
      </c>
      <c r="DD1855" t="s">
        <v>69</v>
      </c>
      <c r="DE1855" t="s">
        <v>70</v>
      </c>
      <c r="DF1855">
        <v>83362.5</v>
      </c>
    </row>
    <row r="1856" spans="100:110" x14ac:dyDescent="0.25">
      <c r="CV1856" t="s">
        <v>64</v>
      </c>
      <c r="CW1856" t="s">
        <v>1929</v>
      </c>
      <c r="CX1856" t="s">
        <v>25</v>
      </c>
      <c r="CY1856" s="4">
        <v>43035</v>
      </c>
      <c r="CZ1856" t="s">
        <v>67</v>
      </c>
      <c r="DA1856" t="s">
        <v>68</v>
      </c>
      <c r="DB1856">
        <v>1250</v>
      </c>
      <c r="DC1856">
        <v>115.08</v>
      </c>
      <c r="DD1856" t="s">
        <v>69</v>
      </c>
      <c r="DE1856" t="s">
        <v>70</v>
      </c>
      <c r="DF1856">
        <v>143850</v>
      </c>
    </row>
    <row r="1857" spans="100:110" x14ac:dyDescent="0.25">
      <c r="CV1857" t="s">
        <v>64</v>
      </c>
      <c r="CW1857" t="s">
        <v>1930</v>
      </c>
      <c r="CX1857" t="s">
        <v>25</v>
      </c>
      <c r="CY1857" s="4">
        <v>43038</v>
      </c>
      <c r="CZ1857" t="s">
        <v>67</v>
      </c>
      <c r="DA1857" t="s">
        <v>68</v>
      </c>
      <c r="DB1857">
        <v>1250</v>
      </c>
      <c r="DC1857">
        <v>115.81</v>
      </c>
      <c r="DD1857" t="s">
        <v>69</v>
      </c>
      <c r="DE1857" t="s">
        <v>70</v>
      </c>
      <c r="DF1857">
        <v>144762.5</v>
      </c>
    </row>
    <row r="1858" spans="100:110" x14ac:dyDescent="0.25">
      <c r="CV1858" t="s">
        <v>64</v>
      </c>
      <c r="CW1858" t="s">
        <v>1931</v>
      </c>
      <c r="CX1858" t="s">
        <v>25</v>
      </c>
      <c r="CY1858" s="4">
        <v>43039</v>
      </c>
      <c r="CZ1858" t="s">
        <v>67</v>
      </c>
      <c r="DA1858" t="s">
        <v>68</v>
      </c>
      <c r="DB1858">
        <v>5000</v>
      </c>
      <c r="DC1858">
        <v>115.74</v>
      </c>
      <c r="DD1858" t="s">
        <v>69</v>
      </c>
      <c r="DE1858" t="s">
        <v>70</v>
      </c>
      <c r="DF1858">
        <v>578700</v>
      </c>
    </row>
    <row r="1859" spans="100:110" x14ac:dyDescent="0.25">
      <c r="CV1859" t="s">
        <v>64</v>
      </c>
      <c r="CW1859" t="s">
        <v>1932</v>
      </c>
      <c r="CX1859" t="s">
        <v>25</v>
      </c>
      <c r="CY1859" s="4">
        <v>43040</v>
      </c>
      <c r="CZ1859" t="s">
        <v>67</v>
      </c>
      <c r="DA1859" t="s">
        <v>68</v>
      </c>
      <c r="DB1859">
        <v>2500</v>
      </c>
      <c r="DC1859">
        <v>116.09</v>
      </c>
      <c r="DD1859" t="s">
        <v>69</v>
      </c>
      <c r="DE1859" t="s">
        <v>70</v>
      </c>
      <c r="DF1859">
        <v>290225</v>
      </c>
    </row>
    <row r="1860" spans="100:110" x14ac:dyDescent="0.25">
      <c r="CV1860" t="s">
        <v>64</v>
      </c>
      <c r="CW1860" t="s">
        <v>1933</v>
      </c>
      <c r="CX1860" t="s">
        <v>25</v>
      </c>
      <c r="CY1860" s="4">
        <v>43046</v>
      </c>
      <c r="CZ1860" t="s">
        <v>65</v>
      </c>
      <c r="DA1860" t="s">
        <v>66</v>
      </c>
      <c r="DB1860">
        <v>5000</v>
      </c>
      <c r="DC1860">
        <v>116.7</v>
      </c>
      <c r="DD1860" t="s">
        <v>69</v>
      </c>
      <c r="DE1860" t="s">
        <v>70</v>
      </c>
      <c r="DF1860">
        <v>583500</v>
      </c>
    </row>
    <row r="1861" spans="100:110" x14ac:dyDescent="0.25">
      <c r="CV1861" t="s">
        <v>64</v>
      </c>
      <c r="CW1861" t="s">
        <v>1934</v>
      </c>
      <c r="CX1861" t="s">
        <v>25</v>
      </c>
      <c r="CY1861" s="4">
        <v>43052</v>
      </c>
      <c r="CZ1861" t="s">
        <v>65</v>
      </c>
      <c r="DA1861" t="s">
        <v>66</v>
      </c>
      <c r="DB1861">
        <v>2500</v>
      </c>
      <c r="DC1861">
        <v>113.14</v>
      </c>
      <c r="DD1861" t="s">
        <v>69</v>
      </c>
      <c r="DE1861" t="s">
        <v>70</v>
      </c>
      <c r="DF1861">
        <v>282850</v>
      </c>
    </row>
    <row r="1862" spans="100:110" x14ac:dyDescent="0.25">
      <c r="CV1862" t="s">
        <v>64</v>
      </c>
      <c r="CW1862" t="s">
        <v>1935</v>
      </c>
      <c r="CX1862" t="s">
        <v>25</v>
      </c>
      <c r="CY1862" s="4">
        <v>43055</v>
      </c>
      <c r="CZ1862" t="s">
        <v>65</v>
      </c>
      <c r="DA1862" t="s">
        <v>66</v>
      </c>
      <c r="DB1862">
        <v>2500</v>
      </c>
      <c r="DC1862">
        <v>114.62</v>
      </c>
      <c r="DD1862" t="s">
        <v>69</v>
      </c>
      <c r="DE1862" t="s">
        <v>70</v>
      </c>
      <c r="DF1862">
        <v>286550</v>
      </c>
    </row>
    <row r="1863" spans="100:110" x14ac:dyDescent="0.25">
      <c r="CV1863" t="s">
        <v>64</v>
      </c>
      <c r="CW1863" t="s">
        <v>1936</v>
      </c>
      <c r="CX1863" t="s">
        <v>25</v>
      </c>
      <c r="CY1863" s="4">
        <v>43130</v>
      </c>
      <c r="CZ1863" t="s">
        <v>67</v>
      </c>
      <c r="DA1863" t="s">
        <v>68</v>
      </c>
      <c r="DB1863">
        <v>2500</v>
      </c>
      <c r="DC1863">
        <v>132.71</v>
      </c>
      <c r="DD1863" t="s">
        <v>69</v>
      </c>
      <c r="DE1863" t="s">
        <v>70</v>
      </c>
      <c r="DF1863">
        <v>331775</v>
      </c>
    </row>
    <row r="1864" spans="100:110" x14ac:dyDescent="0.25">
      <c r="CV1864" t="s">
        <v>64</v>
      </c>
      <c r="CW1864" t="s">
        <v>1937</v>
      </c>
      <c r="CX1864" t="s">
        <v>25</v>
      </c>
      <c r="CY1864" s="4">
        <v>43133</v>
      </c>
      <c r="CZ1864" t="s">
        <v>67</v>
      </c>
      <c r="DA1864" t="s">
        <v>68</v>
      </c>
      <c r="DB1864">
        <v>2500</v>
      </c>
      <c r="DC1864">
        <v>130.88</v>
      </c>
      <c r="DD1864" t="s">
        <v>69</v>
      </c>
      <c r="DE1864" t="s">
        <v>70</v>
      </c>
      <c r="DF1864">
        <v>327200</v>
      </c>
    </row>
    <row r="1865" spans="100:110" x14ac:dyDescent="0.25">
      <c r="CV1865" t="s">
        <v>64</v>
      </c>
      <c r="CW1865" t="s">
        <v>1938</v>
      </c>
      <c r="CX1865" t="s">
        <v>25</v>
      </c>
      <c r="CY1865" s="4">
        <v>43140</v>
      </c>
      <c r="CZ1865" t="s">
        <v>65</v>
      </c>
      <c r="DA1865" t="s">
        <v>66</v>
      </c>
      <c r="DB1865">
        <v>2500</v>
      </c>
      <c r="DC1865">
        <v>121.56</v>
      </c>
      <c r="DD1865" t="s">
        <v>69</v>
      </c>
      <c r="DE1865" t="s">
        <v>70</v>
      </c>
      <c r="DF1865">
        <v>303900</v>
      </c>
    </row>
    <row r="1866" spans="100:110" x14ac:dyDescent="0.25">
      <c r="CV1866" t="s">
        <v>64</v>
      </c>
      <c r="CW1866" t="s">
        <v>1939</v>
      </c>
      <c r="CX1866" t="s">
        <v>25</v>
      </c>
      <c r="CY1866" s="4">
        <v>43151</v>
      </c>
      <c r="CZ1866" t="s">
        <v>65</v>
      </c>
      <c r="DA1866" t="s">
        <v>66</v>
      </c>
      <c r="DB1866">
        <v>1250</v>
      </c>
      <c r="DC1866">
        <v>123.63</v>
      </c>
      <c r="DD1866" t="s">
        <v>69</v>
      </c>
      <c r="DE1866" t="s">
        <v>70</v>
      </c>
      <c r="DF1866">
        <v>154537.5</v>
      </c>
    </row>
    <row r="1867" spans="100:110" x14ac:dyDescent="0.25">
      <c r="CV1867" t="s">
        <v>64</v>
      </c>
      <c r="CW1867" t="s">
        <v>1940</v>
      </c>
      <c r="CX1867" t="s">
        <v>25</v>
      </c>
      <c r="CY1867" s="4">
        <v>43153</v>
      </c>
      <c r="CZ1867" t="s">
        <v>65</v>
      </c>
      <c r="DA1867" t="s">
        <v>66</v>
      </c>
      <c r="DB1867">
        <v>750</v>
      </c>
      <c r="DC1867">
        <v>130.6</v>
      </c>
      <c r="DD1867" t="s">
        <v>69</v>
      </c>
      <c r="DE1867" t="s">
        <v>70</v>
      </c>
      <c r="DF1867">
        <v>97950</v>
      </c>
    </row>
    <row r="1868" spans="100:110" x14ac:dyDescent="0.25">
      <c r="CV1868" t="s">
        <v>64</v>
      </c>
      <c r="CW1868" t="s">
        <v>1941</v>
      </c>
      <c r="CX1868" t="s">
        <v>25</v>
      </c>
      <c r="CY1868" s="4">
        <v>43154</v>
      </c>
      <c r="CZ1868" t="s">
        <v>65</v>
      </c>
      <c r="DA1868" t="s">
        <v>66</v>
      </c>
      <c r="DB1868">
        <v>500</v>
      </c>
      <c r="DC1868">
        <v>130.18</v>
      </c>
      <c r="DD1868" t="s">
        <v>69</v>
      </c>
      <c r="DE1868" t="s">
        <v>70</v>
      </c>
      <c r="DF1868">
        <v>65090</v>
      </c>
    </row>
    <row r="1869" spans="100:110" x14ac:dyDescent="0.25">
      <c r="CV1869" t="s">
        <v>64</v>
      </c>
      <c r="CW1869" t="s">
        <v>1942</v>
      </c>
      <c r="CX1869" t="s">
        <v>26</v>
      </c>
      <c r="CY1869" s="4">
        <v>42738</v>
      </c>
      <c r="CZ1869" t="s">
        <v>65</v>
      </c>
      <c r="DA1869" t="s">
        <v>66</v>
      </c>
      <c r="DB1869">
        <v>1000</v>
      </c>
      <c r="DC1869">
        <v>78.28</v>
      </c>
      <c r="DD1869" t="s">
        <v>69</v>
      </c>
      <c r="DE1869" t="s">
        <v>70</v>
      </c>
      <c r="DF1869">
        <v>78280</v>
      </c>
    </row>
    <row r="1870" spans="100:110" x14ac:dyDescent="0.25">
      <c r="CV1870" t="s">
        <v>64</v>
      </c>
      <c r="CW1870" t="s">
        <v>1943</v>
      </c>
      <c r="CX1870" t="s">
        <v>26</v>
      </c>
      <c r="CY1870" s="4">
        <v>42739</v>
      </c>
      <c r="CZ1870" t="s">
        <v>65</v>
      </c>
      <c r="DA1870" t="s">
        <v>66</v>
      </c>
      <c r="DB1870">
        <v>1500</v>
      </c>
      <c r="DC1870">
        <v>78.92</v>
      </c>
      <c r="DD1870" t="s">
        <v>69</v>
      </c>
      <c r="DE1870" t="s">
        <v>70</v>
      </c>
      <c r="DF1870">
        <v>118380</v>
      </c>
    </row>
    <row r="1871" spans="100:110" x14ac:dyDescent="0.25">
      <c r="CV1871" t="s">
        <v>64</v>
      </c>
      <c r="CW1871" t="s">
        <v>1944</v>
      </c>
      <c r="CX1871" t="s">
        <v>26</v>
      </c>
      <c r="CY1871" s="4">
        <v>42762</v>
      </c>
      <c r="CZ1871" t="s">
        <v>65</v>
      </c>
      <c r="DA1871" t="s">
        <v>66</v>
      </c>
      <c r="DB1871">
        <v>2500</v>
      </c>
      <c r="DC1871">
        <v>82.49</v>
      </c>
      <c r="DD1871" t="s">
        <v>69</v>
      </c>
      <c r="DE1871" t="s">
        <v>70</v>
      </c>
      <c r="DF1871">
        <v>206225</v>
      </c>
    </row>
    <row r="1872" spans="100:110" x14ac:dyDescent="0.25">
      <c r="CV1872" t="s">
        <v>64</v>
      </c>
      <c r="CW1872" t="s">
        <v>1945</v>
      </c>
      <c r="CX1872" t="s">
        <v>26</v>
      </c>
      <c r="CY1872" s="4">
        <v>42769</v>
      </c>
      <c r="CZ1872" t="s">
        <v>67</v>
      </c>
      <c r="DA1872" t="s">
        <v>68</v>
      </c>
      <c r="DB1872">
        <v>7500</v>
      </c>
      <c r="DC1872">
        <v>84.76</v>
      </c>
      <c r="DD1872" t="s">
        <v>69</v>
      </c>
      <c r="DE1872" t="s">
        <v>70</v>
      </c>
      <c r="DF1872">
        <v>635700</v>
      </c>
    </row>
    <row r="1873" spans="100:110" x14ac:dyDescent="0.25">
      <c r="CV1873" t="s">
        <v>64</v>
      </c>
      <c r="CW1873" t="s">
        <v>1946</v>
      </c>
      <c r="CX1873" t="s">
        <v>26</v>
      </c>
      <c r="CY1873" s="4">
        <v>42776</v>
      </c>
      <c r="CZ1873" t="s">
        <v>65</v>
      </c>
      <c r="DA1873" t="s">
        <v>66</v>
      </c>
      <c r="DB1873">
        <v>1250</v>
      </c>
      <c r="DC1873">
        <v>84.58</v>
      </c>
      <c r="DD1873" t="s">
        <v>69</v>
      </c>
      <c r="DE1873" t="s">
        <v>70</v>
      </c>
      <c r="DF1873">
        <v>105725</v>
      </c>
    </row>
    <row r="1874" spans="100:110" x14ac:dyDescent="0.25">
      <c r="CV1874" t="s">
        <v>64</v>
      </c>
      <c r="CW1874" t="s">
        <v>1947</v>
      </c>
      <c r="CX1874" t="s">
        <v>26</v>
      </c>
      <c r="CY1874" s="4">
        <v>42779</v>
      </c>
      <c r="CZ1874" t="s">
        <v>65</v>
      </c>
      <c r="DA1874" t="s">
        <v>66</v>
      </c>
      <c r="DB1874">
        <v>1250</v>
      </c>
      <c r="DC1874">
        <v>85.12</v>
      </c>
      <c r="DD1874" t="s">
        <v>69</v>
      </c>
      <c r="DE1874" t="s">
        <v>70</v>
      </c>
      <c r="DF1874">
        <v>106400</v>
      </c>
    </row>
    <row r="1875" spans="100:110" x14ac:dyDescent="0.25">
      <c r="CV1875" t="s">
        <v>64</v>
      </c>
      <c r="CW1875" t="s">
        <v>1948</v>
      </c>
      <c r="CX1875" t="s">
        <v>26</v>
      </c>
      <c r="CY1875" s="4">
        <v>42780</v>
      </c>
      <c r="CZ1875" t="s">
        <v>65</v>
      </c>
      <c r="DA1875" t="s">
        <v>66</v>
      </c>
      <c r="DB1875">
        <v>2500</v>
      </c>
      <c r="DC1875">
        <v>85.52</v>
      </c>
      <c r="DD1875" t="s">
        <v>69</v>
      </c>
      <c r="DE1875" t="s">
        <v>70</v>
      </c>
      <c r="DF1875">
        <v>213800</v>
      </c>
    </row>
    <row r="1876" spans="100:110" x14ac:dyDescent="0.25">
      <c r="CV1876" t="s">
        <v>64</v>
      </c>
      <c r="CW1876" t="s">
        <v>1949</v>
      </c>
      <c r="CX1876" t="s">
        <v>26</v>
      </c>
      <c r="CY1876" s="4">
        <v>42781</v>
      </c>
      <c r="CZ1876" t="s">
        <v>65</v>
      </c>
      <c r="DA1876" t="s">
        <v>66</v>
      </c>
      <c r="DB1876">
        <v>2500</v>
      </c>
      <c r="DC1876">
        <v>86.36</v>
      </c>
      <c r="DD1876" t="s">
        <v>69</v>
      </c>
      <c r="DE1876" t="s">
        <v>70</v>
      </c>
      <c r="DF1876">
        <v>215900</v>
      </c>
    </row>
    <row r="1877" spans="100:110" x14ac:dyDescent="0.25">
      <c r="CV1877" t="s">
        <v>64</v>
      </c>
      <c r="CW1877" t="s">
        <v>1950</v>
      </c>
      <c r="CX1877" t="s">
        <v>26</v>
      </c>
      <c r="CY1877" s="4">
        <v>42788</v>
      </c>
      <c r="CZ1877" t="s">
        <v>67</v>
      </c>
      <c r="DA1877" t="s">
        <v>68</v>
      </c>
      <c r="DB1877">
        <v>500</v>
      </c>
      <c r="DC1877">
        <v>86.62</v>
      </c>
      <c r="DD1877" t="s">
        <v>69</v>
      </c>
      <c r="DE1877" t="s">
        <v>70</v>
      </c>
      <c r="DF1877">
        <v>43310</v>
      </c>
    </row>
    <row r="1878" spans="100:110" x14ac:dyDescent="0.25">
      <c r="CV1878" t="s">
        <v>64</v>
      </c>
      <c r="CW1878" t="s">
        <v>1951</v>
      </c>
      <c r="CX1878" t="s">
        <v>26</v>
      </c>
      <c r="CY1878" s="4">
        <v>42789</v>
      </c>
      <c r="CZ1878" t="s">
        <v>67</v>
      </c>
      <c r="DA1878" t="s">
        <v>68</v>
      </c>
      <c r="DB1878">
        <v>500</v>
      </c>
      <c r="DC1878">
        <v>86.99</v>
      </c>
      <c r="DD1878" t="s">
        <v>69</v>
      </c>
      <c r="DE1878" t="s">
        <v>70</v>
      </c>
      <c r="DF1878">
        <v>43495</v>
      </c>
    </row>
    <row r="1879" spans="100:110" x14ac:dyDescent="0.25">
      <c r="CV1879" t="s">
        <v>64</v>
      </c>
      <c r="CW1879" t="s">
        <v>1952</v>
      </c>
      <c r="CX1879" t="s">
        <v>26</v>
      </c>
      <c r="CY1879" s="4">
        <v>42801</v>
      </c>
      <c r="CZ1879" t="s">
        <v>65</v>
      </c>
      <c r="DA1879" t="s">
        <v>66</v>
      </c>
      <c r="DB1879">
        <v>1000</v>
      </c>
      <c r="DC1879">
        <v>87.86</v>
      </c>
      <c r="DD1879" t="s">
        <v>69</v>
      </c>
      <c r="DE1879" t="s">
        <v>70</v>
      </c>
      <c r="DF1879">
        <v>87860</v>
      </c>
    </row>
    <row r="1880" spans="100:110" x14ac:dyDescent="0.25">
      <c r="CV1880" t="s">
        <v>64</v>
      </c>
      <c r="CW1880" t="s">
        <v>1953</v>
      </c>
      <c r="CX1880" t="s">
        <v>26</v>
      </c>
      <c r="CY1880" s="4">
        <v>42804</v>
      </c>
      <c r="CZ1880" t="s">
        <v>67</v>
      </c>
      <c r="DA1880" t="s">
        <v>68</v>
      </c>
      <c r="DB1880">
        <v>1500</v>
      </c>
      <c r="DC1880">
        <v>88.52</v>
      </c>
      <c r="DD1880" t="s">
        <v>69</v>
      </c>
      <c r="DE1880" t="s">
        <v>70</v>
      </c>
      <c r="DF1880">
        <v>132780</v>
      </c>
    </row>
    <row r="1881" spans="100:110" x14ac:dyDescent="0.25">
      <c r="CV1881" t="s">
        <v>64</v>
      </c>
      <c r="CW1881" t="s">
        <v>1954</v>
      </c>
      <c r="CX1881" t="s">
        <v>26</v>
      </c>
      <c r="CY1881" s="4">
        <v>42807</v>
      </c>
      <c r="CZ1881" t="s">
        <v>67</v>
      </c>
      <c r="DA1881" t="s">
        <v>68</v>
      </c>
      <c r="DB1881">
        <v>2500</v>
      </c>
      <c r="DC1881">
        <v>88.9</v>
      </c>
      <c r="DD1881" t="s">
        <v>69</v>
      </c>
      <c r="DE1881" t="s">
        <v>70</v>
      </c>
      <c r="DF1881">
        <v>222250</v>
      </c>
    </row>
    <row r="1882" spans="100:110" x14ac:dyDescent="0.25">
      <c r="CV1882" t="s">
        <v>64</v>
      </c>
      <c r="CW1882" t="s">
        <v>1955</v>
      </c>
      <c r="CX1882" t="s">
        <v>26</v>
      </c>
      <c r="CY1882" s="4">
        <v>42808</v>
      </c>
      <c r="CZ1882" t="s">
        <v>67</v>
      </c>
      <c r="DA1882" t="s">
        <v>68</v>
      </c>
      <c r="DB1882">
        <v>1000</v>
      </c>
      <c r="DC1882">
        <v>88.35</v>
      </c>
      <c r="DD1882" t="s">
        <v>69</v>
      </c>
      <c r="DE1882" t="s">
        <v>70</v>
      </c>
      <c r="DF1882">
        <v>88350</v>
      </c>
    </row>
    <row r="1883" spans="100:110" x14ac:dyDescent="0.25">
      <c r="CV1883" t="s">
        <v>64</v>
      </c>
      <c r="CW1883" t="s">
        <v>1956</v>
      </c>
      <c r="CX1883" t="s">
        <v>26</v>
      </c>
      <c r="CY1883" s="4">
        <v>42822</v>
      </c>
      <c r="CZ1883" t="s">
        <v>65</v>
      </c>
      <c r="DA1883" t="s">
        <v>66</v>
      </c>
      <c r="DB1883">
        <v>2500</v>
      </c>
      <c r="DC1883">
        <v>87.92</v>
      </c>
      <c r="DD1883" t="s">
        <v>69</v>
      </c>
      <c r="DE1883" t="s">
        <v>70</v>
      </c>
      <c r="DF1883">
        <v>219800</v>
      </c>
    </row>
    <row r="1884" spans="100:110" x14ac:dyDescent="0.25">
      <c r="CV1884" t="s">
        <v>64</v>
      </c>
      <c r="CW1884" t="s">
        <v>1957</v>
      </c>
      <c r="CX1884" t="s">
        <v>26</v>
      </c>
      <c r="CY1884" s="4">
        <v>42823</v>
      </c>
      <c r="CZ1884" t="s">
        <v>67</v>
      </c>
      <c r="DA1884" t="s">
        <v>68</v>
      </c>
      <c r="DB1884">
        <v>500</v>
      </c>
      <c r="DC1884">
        <v>87.98</v>
      </c>
      <c r="DD1884" t="s">
        <v>69</v>
      </c>
      <c r="DE1884" t="s">
        <v>70</v>
      </c>
      <c r="DF1884">
        <v>43990</v>
      </c>
    </row>
    <row r="1885" spans="100:110" x14ac:dyDescent="0.25">
      <c r="CV1885" t="s">
        <v>64</v>
      </c>
      <c r="CW1885" t="s">
        <v>1958</v>
      </c>
      <c r="CX1885" t="s">
        <v>26</v>
      </c>
      <c r="CY1885" s="4">
        <v>42824</v>
      </c>
      <c r="CZ1885" t="s">
        <v>65</v>
      </c>
      <c r="DA1885" t="s">
        <v>66</v>
      </c>
      <c r="DB1885">
        <v>500</v>
      </c>
      <c r="DC1885">
        <v>87.81</v>
      </c>
      <c r="DD1885" t="s">
        <v>69</v>
      </c>
      <c r="DE1885" t="s">
        <v>70</v>
      </c>
      <c r="DF1885">
        <v>43905</v>
      </c>
    </row>
    <row r="1886" spans="100:110" x14ac:dyDescent="0.25">
      <c r="CV1886" t="s">
        <v>64</v>
      </c>
      <c r="CW1886" t="s">
        <v>1959</v>
      </c>
      <c r="CX1886" t="s">
        <v>26</v>
      </c>
      <c r="CY1886" s="4">
        <v>42825</v>
      </c>
      <c r="CZ1886" t="s">
        <v>65</v>
      </c>
      <c r="DA1886" t="s">
        <v>66</v>
      </c>
      <c r="DB1886">
        <v>1500</v>
      </c>
      <c r="DC1886">
        <v>87.68</v>
      </c>
      <c r="DD1886" t="s">
        <v>69</v>
      </c>
      <c r="DE1886" t="s">
        <v>70</v>
      </c>
      <c r="DF1886">
        <v>131520</v>
      </c>
    </row>
    <row r="1887" spans="100:110" x14ac:dyDescent="0.25">
      <c r="CV1887" t="s">
        <v>64</v>
      </c>
      <c r="CW1887" t="s">
        <v>1960</v>
      </c>
      <c r="CX1887" t="s">
        <v>26</v>
      </c>
      <c r="CY1887" s="4">
        <v>42830</v>
      </c>
      <c r="CZ1887" t="s">
        <v>65</v>
      </c>
      <c r="DA1887" t="s">
        <v>66</v>
      </c>
      <c r="DB1887">
        <v>1000</v>
      </c>
      <c r="DC1887">
        <v>87.83</v>
      </c>
      <c r="DD1887" t="s">
        <v>69</v>
      </c>
      <c r="DE1887" t="s">
        <v>70</v>
      </c>
      <c r="DF1887">
        <v>87830</v>
      </c>
    </row>
    <row r="1888" spans="100:110" x14ac:dyDescent="0.25">
      <c r="CV1888" t="s">
        <v>64</v>
      </c>
      <c r="CW1888" t="s">
        <v>1961</v>
      </c>
      <c r="CX1888" t="s">
        <v>26</v>
      </c>
      <c r="CY1888" s="4">
        <v>42871</v>
      </c>
      <c r="CZ1888" t="s">
        <v>67</v>
      </c>
      <c r="DA1888" t="s">
        <v>68</v>
      </c>
      <c r="DB1888">
        <v>2500</v>
      </c>
      <c r="DC1888">
        <v>91.9</v>
      </c>
      <c r="DD1888" t="s">
        <v>69</v>
      </c>
      <c r="DE1888" t="s">
        <v>70</v>
      </c>
      <c r="DF1888">
        <v>229750</v>
      </c>
    </row>
    <row r="1889" spans="100:110" x14ac:dyDescent="0.25">
      <c r="CV1889" t="s">
        <v>64</v>
      </c>
      <c r="CW1889" t="s">
        <v>1962</v>
      </c>
      <c r="CX1889" t="s">
        <v>26</v>
      </c>
      <c r="CY1889" s="4">
        <v>42872</v>
      </c>
      <c r="CZ1889" t="s">
        <v>67</v>
      </c>
      <c r="DA1889" t="s">
        <v>68</v>
      </c>
      <c r="DB1889">
        <v>2500</v>
      </c>
      <c r="DC1889">
        <v>90.69</v>
      </c>
      <c r="DD1889" t="s">
        <v>69</v>
      </c>
      <c r="DE1889" t="s">
        <v>70</v>
      </c>
      <c r="DF1889">
        <v>226725</v>
      </c>
    </row>
    <row r="1890" spans="100:110" x14ac:dyDescent="0.25">
      <c r="CV1890" t="s">
        <v>64</v>
      </c>
      <c r="CW1890" t="s">
        <v>1963</v>
      </c>
      <c r="CX1890" t="s">
        <v>26</v>
      </c>
      <c r="CY1890" s="4">
        <v>42873</v>
      </c>
      <c r="CZ1890" t="s">
        <v>67</v>
      </c>
      <c r="DA1890" t="s">
        <v>68</v>
      </c>
      <c r="DB1890">
        <v>5000</v>
      </c>
      <c r="DC1890">
        <v>90.64</v>
      </c>
      <c r="DD1890" t="s">
        <v>69</v>
      </c>
      <c r="DE1890" t="s">
        <v>70</v>
      </c>
      <c r="DF1890">
        <v>453200</v>
      </c>
    </row>
    <row r="1891" spans="100:110" x14ac:dyDescent="0.25">
      <c r="CV1891" t="s">
        <v>64</v>
      </c>
      <c r="CW1891" t="s">
        <v>1964</v>
      </c>
      <c r="CX1891" t="s">
        <v>26</v>
      </c>
      <c r="CY1891" s="4">
        <v>42878</v>
      </c>
      <c r="CZ1891" t="s">
        <v>65</v>
      </c>
      <c r="DA1891" t="s">
        <v>66</v>
      </c>
      <c r="DB1891">
        <v>5000</v>
      </c>
      <c r="DC1891">
        <v>92.76</v>
      </c>
      <c r="DD1891" t="s">
        <v>69</v>
      </c>
      <c r="DE1891" t="s">
        <v>70</v>
      </c>
      <c r="DF1891">
        <v>463800</v>
      </c>
    </row>
    <row r="1892" spans="100:110" x14ac:dyDescent="0.25">
      <c r="CV1892" t="s">
        <v>64</v>
      </c>
      <c r="CW1892" t="s">
        <v>1965</v>
      </c>
      <c r="CX1892" t="s">
        <v>26</v>
      </c>
      <c r="CY1892" s="4">
        <v>42885</v>
      </c>
      <c r="CZ1892" t="s">
        <v>67</v>
      </c>
      <c r="DA1892" t="s">
        <v>68</v>
      </c>
      <c r="DB1892">
        <v>2500</v>
      </c>
      <c r="DC1892">
        <v>93.61</v>
      </c>
      <c r="DD1892" t="s">
        <v>69</v>
      </c>
      <c r="DE1892" t="s">
        <v>70</v>
      </c>
      <c r="DF1892">
        <v>234025</v>
      </c>
    </row>
    <row r="1893" spans="100:110" x14ac:dyDescent="0.25">
      <c r="CV1893" t="s">
        <v>64</v>
      </c>
      <c r="CW1893" t="s">
        <v>1966</v>
      </c>
      <c r="CX1893" t="s">
        <v>26</v>
      </c>
      <c r="CY1893" s="4">
        <v>42887</v>
      </c>
      <c r="CZ1893" t="s">
        <v>65</v>
      </c>
      <c r="DA1893" t="s">
        <v>66</v>
      </c>
      <c r="DB1893">
        <v>5000</v>
      </c>
      <c r="DC1893">
        <v>94.28</v>
      </c>
      <c r="DD1893" t="s">
        <v>69</v>
      </c>
      <c r="DE1893" t="s">
        <v>70</v>
      </c>
      <c r="DF1893">
        <v>471400</v>
      </c>
    </row>
    <row r="1894" spans="100:110" x14ac:dyDescent="0.25">
      <c r="CV1894" t="s">
        <v>64</v>
      </c>
      <c r="CW1894" t="s">
        <v>1967</v>
      </c>
      <c r="CX1894" t="s">
        <v>26</v>
      </c>
      <c r="CY1894" s="4">
        <v>42888</v>
      </c>
      <c r="CZ1894" t="s">
        <v>65</v>
      </c>
      <c r="DA1894" t="s">
        <v>66</v>
      </c>
      <c r="DB1894">
        <v>2500</v>
      </c>
      <c r="DC1894">
        <v>95.03</v>
      </c>
      <c r="DD1894" t="s">
        <v>69</v>
      </c>
      <c r="DE1894" t="s">
        <v>70</v>
      </c>
      <c r="DF1894">
        <v>237575</v>
      </c>
    </row>
    <row r="1895" spans="100:110" x14ac:dyDescent="0.25">
      <c r="CV1895" t="s">
        <v>64</v>
      </c>
      <c r="CW1895" t="s">
        <v>1968</v>
      </c>
      <c r="CX1895" t="s">
        <v>26</v>
      </c>
      <c r="CY1895" s="4">
        <v>42919</v>
      </c>
      <c r="CZ1895" t="s">
        <v>67</v>
      </c>
      <c r="DA1895" t="s">
        <v>68</v>
      </c>
      <c r="DB1895">
        <v>2500</v>
      </c>
      <c r="DC1895">
        <v>92.26</v>
      </c>
      <c r="DD1895" t="s">
        <v>69</v>
      </c>
      <c r="DE1895" t="s">
        <v>70</v>
      </c>
      <c r="DF1895">
        <v>230650</v>
      </c>
    </row>
    <row r="1896" spans="100:110" x14ac:dyDescent="0.25">
      <c r="CV1896" t="s">
        <v>64</v>
      </c>
      <c r="CW1896" t="s">
        <v>1969</v>
      </c>
      <c r="CX1896" t="s">
        <v>26</v>
      </c>
      <c r="CY1896" s="4">
        <v>42943</v>
      </c>
      <c r="CZ1896" t="s">
        <v>65</v>
      </c>
      <c r="DA1896" t="s">
        <v>66</v>
      </c>
      <c r="DB1896">
        <v>2500</v>
      </c>
      <c r="DC1896">
        <v>98.41</v>
      </c>
      <c r="DD1896" t="s">
        <v>69</v>
      </c>
      <c r="DE1896" t="s">
        <v>70</v>
      </c>
      <c r="DF1896">
        <v>246025</v>
      </c>
    </row>
    <row r="1897" spans="100:110" x14ac:dyDescent="0.25">
      <c r="CV1897" t="s">
        <v>64</v>
      </c>
      <c r="CW1897" t="s">
        <v>1970</v>
      </c>
      <c r="CX1897" t="s">
        <v>26</v>
      </c>
      <c r="CY1897" s="4">
        <v>42950</v>
      </c>
      <c r="CZ1897" t="s">
        <v>67</v>
      </c>
      <c r="DA1897" t="s">
        <v>68</v>
      </c>
      <c r="DB1897">
        <v>7500</v>
      </c>
      <c r="DC1897">
        <v>99.41</v>
      </c>
      <c r="DD1897" t="s">
        <v>69</v>
      </c>
      <c r="DE1897" t="s">
        <v>70</v>
      </c>
      <c r="DF1897">
        <v>745575</v>
      </c>
    </row>
    <row r="1898" spans="100:110" x14ac:dyDescent="0.25">
      <c r="CV1898" t="s">
        <v>64</v>
      </c>
      <c r="CW1898" t="s">
        <v>1971</v>
      </c>
      <c r="CX1898" t="s">
        <v>26</v>
      </c>
      <c r="CY1898" s="4">
        <v>42957</v>
      </c>
      <c r="CZ1898" t="s">
        <v>65</v>
      </c>
      <c r="DA1898" t="s">
        <v>66</v>
      </c>
      <c r="DB1898">
        <v>1250</v>
      </c>
      <c r="DC1898">
        <v>98.33</v>
      </c>
      <c r="DD1898" t="s">
        <v>69</v>
      </c>
      <c r="DE1898" t="s">
        <v>70</v>
      </c>
      <c r="DF1898">
        <v>122912.5</v>
      </c>
    </row>
    <row r="1899" spans="100:110" x14ac:dyDescent="0.25">
      <c r="CV1899" t="s">
        <v>64</v>
      </c>
      <c r="CW1899" t="s">
        <v>1972</v>
      </c>
      <c r="CX1899" t="s">
        <v>26</v>
      </c>
      <c r="CY1899" s="4">
        <v>42958</v>
      </c>
      <c r="CZ1899" t="s">
        <v>65</v>
      </c>
      <c r="DA1899" t="s">
        <v>66</v>
      </c>
      <c r="DB1899">
        <v>1250</v>
      </c>
      <c r="DC1899">
        <v>98.92</v>
      </c>
      <c r="DD1899" t="s">
        <v>69</v>
      </c>
      <c r="DE1899" t="s">
        <v>70</v>
      </c>
      <c r="DF1899">
        <v>123650</v>
      </c>
    </row>
    <row r="1900" spans="100:110" x14ac:dyDescent="0.25">
      <c r="CV1900" t="s">
        <v>64</v>
      </c>
      <c r="CW1900" t="s">
        <v>1973</v>
      </c>
      <c r="CX1900" t="s">
        <v>26</v>
      </c>
      <c r="CY1900" s="4">
        <v>42961</v>
      </c>
      <c r="CZ1900" t="s">
        <v>65</v>
      </c>
      <c r="DA1900" t="s">
        <v>66</v>
      </c>
      <c r="DB1900">
        <v>2500</v>
      </c>
      <c r="DC1900">
        <v>100.68</v>
      </c>
      <c r="DD1900" t="s">
        <v>69</v>
      </c>
      <c r="DE1900" t="s">
        <v>70</v>
      </c>
      <c r="DF1900">
        <v>251700.00000000003</v>
      </c>
    </row>
    <row r="1901" spans="100:110" x14ac:dyDescent="0.25">
      <c r="CV1901" t="s">
        <v>64</v>
      </c>
      <c r="CW1901" t="s">
        <v>1974</v>
      </c>
      <c r="CX1901" t="s">
        <v>26</v>
      </c>
      <c r="CY1901" s="4">
        <v>42962</v>
      </c>
      <c r="CZ1901" t="s">
        <v>65</v>
      </c>
      <c r="DA1901" t="s">
        <v>66</v>
      </c>
      <c r="DB1901">
        <v>2500</v>
      </c>
      <c r="DC1901">
        <v>101.43</v>
      </c>
      <c r="DD1901" t="s">
        <v>69</v>
      </c>
      <c r="DE1901" t="s">
        <v>70</v>
      </c>
      <c r="DF1901">
        <v>253575.00000000003</v>
      </c>
    </row>
    <row r="1902" spans="100:110" x14ac:dyDescent="0.25">
      <c r="CV1902" t="s">
        <v>64</v>
      </c>
      <c r="CW1902" t="s">
        <v>1975</v>
      </c>
      <c r="CX1902" t="s">
        <v>26</v>
      </c>
      <c r="CY1902" s="4">
        <v>42968</v>
      </c>
      <c r="CZ1902" t="s">
        <v>67</v>
      </c>
      <c r="DA1902" t="s">
        <v>68</v>
      </c>
      <c r="DB1902">
        <v>500</v>
      </c>
      <c r="DC1902">
        <v>102.18</v>
      </c>
      <c r="DD1902" t="s">
        <v>69</v>
      </c>
      <c r="DE1902" t="s">
        <v>70</v>
      </c>
      <c r="DF1902">
        <v>51090</v>
      </c>
    </row>
    <row r="1903" spans="100:110" x14ac:dyDescent="0.25">
      <c r="CV1903" t="s">
        <v>64</v>
      </c>
      <c r="CW1903" t="s">
        <v>1976</v>
      </c>
      <c r="CX1903" t="s">
        <v>26</v>
      </c>
      <c r="CY1903" s="4">
        <v>42969</v>
      </c>
      <c r="CZ1903" t="s">
        <v>67</v>
      </c>
      <c r="DA1903" t="s">
        <v>68</v>
      </c>
      <c r="DB1903">
        <v>500</v>
      </c>
      <c r="DC1903">
        <v>103.02</v>
      </c>
      <c r="DD1903" t="s">
        <v>69</v>
      </c>
      <c r="DE1903" t="s">
        <v>70</v>
      </c>
      <c r="DF1903">
        <v>51510</v>
      </c>
    </row>
    <row r="1904" spans="100:110" x14ac:dyDescent="0.25">
      <c r="CV1904" t="s">
        <v>64</v>
      </c>
      <c r="CW1904" t="s">
        <v>1977</v>
      </c>
      <c r="CX1904" t="s">
        <v>26</v>
      </c>
      <c r="CY1904" s="4">
        <v>42979</v>
      </c>
      <c r="CZ1904" t="s">
        <v>65</v>
      </c>
      <c r="DA1904" t="s">
        <v>66</v>
      </c>
      <c r="DB1904">
        <v>1000</v>
      </c>
      <c r="DC1904">
        <v>102.85</v>
      </c>
      <c r="DD1904" t="s">
        <v>69</v>
      </c>
      <c r="DE1904" t="s">
        <v>70</v>
      </c>
      <c r="DF1904">
        <v>102850</v>
      </c>
    </row>
    <row r="1905" spans="100:110" x14ac:dyDescent="0.25">
      <c r="CV1905" t="s">
        <v>64</v>
      </c>
      <c r="CW1905" t="s">
        <v>1978</v>
      </c>
      <c r="CX1905" t="s">
        <v>26</v>
      </c>
      <c r="CY1905" s="4">
        <v>42985</v>
      </c>
      <c r="CZ1905" t="s">
        <v>67</v>
      </c>
      <c r="DA1905" t="s">
        <v>68</v>
      </c>
      <c r="DB1905">
        <v>1500</v>
      </c>
      <c r="DC1905">
        <v>103.5</v>
      </c>
      <c r="DD1905" t="s">
        <v>69</v>
      </c>
      <c r="DE1905" t="s">
        <v>70</v>
      </c>
      <c r="DF1905">
        <v>155250</v>
      </c>
    </row>
    <row r="1906" spans="100:110" x14ac:dyDescent="0.25">
      <c r="CV1906" t="s">
        <v>64</v>
      </c>
      <c r="CW1906" t="s">
        <v>1979</v>
      </c>
      <c r="CX1906" t="s">
        <v>26</v>
      </c>
      <c r="CY1906" s="4">
        <v>42986</v>
      </c>
      <c r="CZ1906" t="s">
        <v>67</v>
      </c>
      <c r="DA1906" t="s">
        <v>68</v>
      </c>
      <c r="DB1906">
        <v>2500</v>
      </c>
      <c r="DC1906">
        <v>103.37</v>
      </c>
      <c r="DD1906" t="s">
        <v>69</v>
      </c>
      <c r="DE1906" t="s">
        <v>70</v>
      </c>
      <c r="DF1906">
        <v>258425</v>
      </c>
    </row>
    <row r="1907" spans="100:110" x14ac:dyDescent="0.25">
      <c r="CV1907" t="s">
        <v>64</v>
      </c>
      <c r="CW1907" t="s">
        <v>1980</v>
      </c>
      <c r="CX1907" t="s">
        <v>26</v>
      </c>
      <c r="CY1907" s="4">
        <v>42989</v>
      </c>
      <c r="CZ1907" t="s">
        <v>67</v>
      </c>
      <c r="DA1907" t="s">
        <v>68</v>
      </c>
      <c r="DB1907">
        <v>1000</v>
      </c>
      <c r="DC1907">
        <v>105.08</v>
      </c>
      <c r="DD1907" t="s">
        <v>69</v>
      </c>
      <c r="DE1907" t="s">
        <v>70</v>
      </c>
      <c r="DF1907">
        <v>105080</v>
      </c>
    </row>
    <row r="1908" spans="100:110" x14ac:dyDescent="0.25">
      <c r="CV1908" t="s">
        <v>64</v>
      </c>
      <c r="CW1908" t="s">
        <v>1981</v>
      </c>
      <c r="CX1908" t="s">
        <v>26</v>
      </c>
      <c r="CY1908" s="4">
        <v>43003</v>
      </c>
      <c r="CZ1908" t="s">
        <v>65</v>
      </c>
      <c r="DA1908" t="s">
        <v>66</v>
      </c>
      <c r="DB1908">
        <v>2500</v>
      </c>
      <c r="DC1908">
        <v>101.98</v>
      </c>
      <c r="DD1908" t="s">
        <v>69</v>
      </c>
      <c r="DE1908" t="s">
        <v>70</v>
      </c>
      <c r="DF1908">
        <v>254950</v>
      </c>
    </row>
    <row r="1909" spans="100:110" x14ac:dyDescent="0.25">
      <c r="CV1909" t="s">
        <v>64</v>
      </c>
      <c r="CW1909" t="s">
        <v>1982</v>
      </c>
      <c r="CX1909" t="s">
        <v>26</v>
      </c>
      <c r="CY1909" s="4">
        <v>43004</v>
      </c>
      <c r="CZ1909" t="s">
        <v>67</v>
      </c>
      <c r="DA1909" t="s">
        <v>68</v>
      </c>
      <c r="DB1909">
        <v>500</v>
      </c>
      <c r="DC1909">
        <v>101.9</v>
      </c>
      <c r="DD1909" t="s">
        <v>69</v>
      </c>
      <c r="DE1909" t="s">
        <v>70</v>
      </c>
      <c r="DF1909">
        <v>50950</v>
      </c>
    </row>
    <row r="1910" spans="100:110" x14ac:dyDescent="0.25">
      <c r="CV1910" t="s">
        <v>64</v>
      </c>
      <c r="CW1910" t="s">
        <v>1983</v>
      </c>
      <c r="CX1910" t="s">
        <v>26</v>
      </c>
      <c r="CY1910" s="4">
        <v>43005</v>
      </c>
      <c r="CZ1910" t="s">
        <v>65</v>
      </c>
      <c r="DA1910" t="s">
        <v>66</v>
      </c>
      <c r="DB1910">
        <v>500</v>
      </c>
      <c r="DC1910">
        <v>102.84</v>
      </c>
      <c r="DD1910" t="s">
        <v>69</v>
      </c>
      <c r="DE1910" t="s">
        <v>70</v>
      </c>
      <c r="DF1910">
        <v>51420</v>
      </c>
    </row>
    <row r="1911" spans="100:110" x14ac:dyDescent="0.25">
      <c r="CV1911" t="s">
        <v>64</v>
      </c>
      <c r="CW1911" t="s">
        <v>1984</v>
      </c>
      <c r="CX1911" t="s">
        <v>26</v>
      </c>
      <c r="CY1911" s="4">
        <v>43006</v>
      </c>
      <c r="CZ1911" t="s">
        <v>65</v>
      </c>
      <c r="DA1911" t="s">
        <v>66</v>
      </c>
      <c r="DB1911">
        <v>1500</v>
      </c>
      <c r="DC1911">
        <v>103.52</v>
      </c>
      <c r="DD1911" t="s">
        <v>69</v>
      </c>
      <c r="DE1911" t="s">
        <v>70</v>
      </c>
      <c r="DF1911">
        <v>155280</v>
      </c>
    </row>
    <row r="1912" spans="100:110" x14ac:dyDescent="0.25">
      <c r="CV1912" t="s">
        <v>64</v>
      </c>
      <c r="CW1912" t="s">
        <v>1985</v>
      </c>
      <c r="CX1912" t="s">
        <v>26</v>
      </c>
      <c r="CY1912" s="4">
        <v>43011</v>
      </c>
      <c r="CZ1912" t="s">
        <v>65</v>
      </c>
      <c r="DA1912" t="s">
        <v>66</v>
      </c>
      <c r="DB1912">
        <v>1000</v>
      </c>
      <c r="DC1912">
        <v>104.52</v>
      </c>
      <c r="DD1912" t="s">
        <v>69</v>
      </c>
      <c r="DE1912" t="s">
        <v>70</v>
      </c>
      <c r="DF1912">
        <v>104520</v>
      </c>
    </row>
    <row r="1913" spans="100:110" x14ac:dyDescent="0.25">
      <c r="CV1913" t="s">
        <v>64</v>
      </c>
      <c r="CW1913" t="s">
        <v>1986</v>
      </c>
      <c r="CX1913" t="s">
        <v>26</v>
      </c>
      <c r="CY1913" s="4">
        <v>43049</v>
      </c>
      <c r="CZ1913" t="s">
        <v>67</v>
      </c>
      <c r="DA1913" t="s">
        <v>68</v>
      </c>
      <c r="DB1913">
        <v>2500</v>
      </c>
      <c r="DC1913">
        <v>110.75</v>
      </c>
      <c r="DD1913" t="s">
        <v>69</v>
      </c>
      <c r="DE1913" t="s">
        <v>70</v>
      </c>
      <c r="DF1913">
        <v>276875</v>
      </c>
    </row>
    <row r="1914" spans="100:110" x14ac:dyDescent="0.25">
      <c r="CV1914" t="s">
        <v>64</v>
      </c>
      <c r="CW1914" t="s">
        <v>1987</v>
      </c>
      <c r="CX1914" t="s">
        <v>26</v>
      </c>
      <c r="CY1914" s="4">
        <v>43052</v>
      </c>
      <c r="CZ1914" t="s">
        <v>67</v>
      </c>
      <c r="DA1914" t="s">
        <v>68</v>
      </c>
      <c r="DB1914">
        <v>2500</v>
      </c>
      <c r="DC1914">
        <v>110.27</v>
      </c>
      <c r="DD1914" t="s">
        <v>69</v>
      </c>
      <c r="DE1914" t="s">
        <v>70</v>
      </c>
      <c r="DF1914">
        <v>275675</v>
      </c>
    </row>
    <row r="1915" spans="100:110" x14ac:dyDescent="0.25">
      <c r="CV1915" t="s">
        <v>64</v>
      </c>
      <c r="CW1915" t="s">
        <v>1988</v>
      </c>
      <c r="CX1915" t="s">
        <v>26</v>
      </c>
      <c r="CY1915" s="4">
        <v>43053</v>
      </c>
      <c r="CZ1915" t="s">
        <v>67</v>
      </c>
      <c r="DA1915" t="s">
        <v>68</v>
      </c>
      <c r="DB1915">
        <v>5000</v>
      </c>
      <c r="DC1915">
        <v>110.85</v>
      </c>
      <c r="DD1915" t="s">
        <v>69</v>
      </c>
      <c r="DE1915" t="s">
        <v>70</v>
      </c>
      <c r="DF1915">
        <v>554250</v>
      </c>
    </row>
    <row r="1916" spans="100:110" x14ac:dyDescent="0.25">
      <c r="CV1916" t="s">
        <v>64</v>
      </c>
      <c r="CW1916" t="s">
        <v>1989</v>
      </c>
      <c r="CX1916" t="s">
        <v>26</v>
      </c>
      <c r="CY1916" s="4">
        <v>43056</v>
      </c>
      <c r="CZ1916" t="s">
        <v>65</v>
      </c>
      <c r="DA1916" t="s">
        <v>66</v>
      </c>
      <c r="DB1916">
        <v>5000</v>
      </c>
      <c r="DC1916">
        <v>108.9</v>
      </c>
      <c r="DD1916" t="s">
        <v>69</v>
      </c>
      <c r="DE1916" t="s">
        <v>70</v>
      </c>
      <c r="DF1916">
        <v>544500</v>
      </c>
    </row>
    <row r="1917" spans="100:110" x14ac:dyDescent="0.25">
      <c r="CV1917" t="s">
        <v>64</v>
      </c>
      <c r="CW1917" t="s">
        <v>1990</v>
      </c>
      <c r="CX1917" t="s">
        <v>26</v>
      </c>
      <c r="CY1917" s="4">
        <v>43063</v>
      </c>
      <c r="CZ1917" t="s">
        <v>67</v>
      </c>
      <c r="DA1917" t="s">
        <v>68</v>
      </c>
      <c r="DB1917">
        <v>2500</v>
      </c>
      <c r="DC1917">
        <v>111.04</v>
      </c>
      <c r="DD1917" t="s">
        <v>69</v>
      </c>
      <c r="DE1917" t="s">
        <v>70</v>
      </c>
      <c r="DF1917">
        <v>277600</v>
      </c>
    </row>
    <row r="1918" spans="100:110" x14ac:dyDescent="0.25">
      <c r="CV1918" t="s">
        <v>64</v>
      </c>
      <c r="CW1918" t="s">
        <v>1991</v>
      </c>
      <c r="CX1918" t="s">
        <v>26</v>
      </c>
      <c r="CY1918" s="4">
        <v>43067</v>
      </c>
      <c r="CZ1918" t="s">
        <v>65</v>
      </c>
      <c r="DA1918" t="s">
        <v>66</v>
      </c>
      <c r="DB1918">
        <v>5000</v>
      </c>
      <c r="DC1918">
        <v>112.41</v>
      </c>
      <c r="DD1918" t="s">
        <v>69</v>
      </c>
      <c r="DE1918" t="s">
        <v>70</v>
      </c>
      <c r="DF1918">
        <v>562050</v>
      </c>
    </row>
    <row r="1919" spans="100:110" x14ac:dyDescent="0.25">
      <c r="CV1919" t="s">
        <v>64</v>
      </c>
      <c r="CW1919" t="s">
        <v>1992</v>
      </c>
      <c r="CX1919" t="s">
        <v>26</v>
      </c>
      <c r="CY1919" s="4">
        <v>43068</v>
      </c>
      <c r="CZ1919" t="s">
        <v>65</v>
      </c>
      <c r="DA1919" t="s">
        <v>66</v>
      </c>
      <c r="DB1919">
        <v>2500</v>
      </c>
      <c r="DC1919">
        <v>108.94</v>
      </c>
      <c r="DD1919" t="s">
        <v>69</v>
      </c>
      <c r="DE1919" t="s">
        <v>70</v>
      </c>
      <c r="DF1919">
        <v>272350</v>
      </c>
    </row>
    <row r="1920" spans="100:110" x14ac:dyDescent="0.25">
      <c r="CV1920" t="s">
        <v>64</v>
      </c>
      <c r="CW1920" t="s">
        <v>1993</v>
      </c>
      <c r="CX1920" t="s">
        <v>26</v>
      </c>
      <c r="CY1920" s="4">
        <v>43098</v>
      </c>
      <c r="CZ1920" t="s">
        <v>67</v>
      </c>
      <c r="DA1920" t="s">
        <v>68</v>
      </c>
      <c r="DB1920">
        <v>2500</v>
      </c>
      <c r="DC1920">
        <v>113.07</v>
      </c>
      <c r="DD1920" t="s">
        <v>69</v>
      </c>
      <c r="DE1920" t="s">
        <v>70</v>
      </c>
      <c r="DF1920">
        <v>282675</v>
      </c>
    </row>
    <row r="1921" spans="100:110" x14ac:dyDescent="0.25">
      <c r="CV1921" t="s">
        <v>64</v>
      </c>
      <c r="CW1921" t="s">
        <v>1994</v>
      </c>
      <c r="CX1921" t="s">
        <v>26</v>
      </c>
      <c r="CY1921" s="4">
        <v>43129</v>
      </c>
      <c r="CZ1921" t="s">
        <v>65</v>
      </c>
      <c r="DA1921" t="s">
        <v>66</v>
      </c>
      <c r="DB1921">
        <v>2500</v>
      </c>
      <c r="DC1921">
        <v>123.8</v>
      </c>
      <c r="DD1921" t="s">
        <v>69</v>
      </c>
      <c r="DE1921" t="s">
        <v>70</v>
      </c>
      <c r="DF1921">
        <v>309500</v>
      </c>
    </row>
    <row r="1922" spans="100:110" x14ac:dyDescent="0.25">
      <c r="CV1922" t="s">
        <v>64</v>
      </c>
      <c r="CW1922" t="s">
        <v>1995</v>
      </c>
      <c r="CX1922" t="s">
        <v>26</v>
      </c>
      <c r="CY1922" s="4">
        <v>43136</v>
      </c>
      <c r="CZ1922" t="s">
        <v>67</v>
      </c>
      <c r="DA1922" t="s">
        <v>68</v>
      </c>
      <c r="DB1922">
        <v>7500</v>
      </c>
      <c r="DC1922">
        <v>115.3</v>
      </c>
      <c r="DD1922" t="s">
        <v>69</v>
      </c>
      <c r="DE1922" t="s">
        <v>70</v>
      </c>
      <c r="DF1922">
        <v>864750</v>
      </c>
    </row>
    <row r="1923" spans="100:110" x14ac:dyDescent="0.25">
      <c r="CV1923" t="s">
        <v>64</v>
      </c>
      <c r="CW1923" t="s">
        <v>1996</v>
      </c>
      <c r="CX1923" t="s">
        <v>26</v>
      </c>
      <c r="CY1923" s="4">
        <v>43143</v>
      </c>
      <c r="CZ1923" t="s">
        <v>65</v>
      </c>
      <c r="DA1923" t="s">
        <v>66</v>
      </c>
      <c r="DB1923">
        <v>1250</v>
      </c>
      <c r="DC1923">
        <v>117.48</v>
      </c>
      <c r="DD1923" t="s">
        <v>69</v>
      </c>
      <c r="DE1923" t="s">
        <v>70</v>
      </c>
      <c r="DF1923">
        <v>146850</v>
      </c>
    </row>
    <row r="1924" spans="100:110" x14ac:dyDescent="0.25">
      <c r="CV1924" t="s">
        <v>64</v>
      </c>
      <c r="CW1924" t="s">
        <v>1997</v>
      </c>
      <c r="CX1924" t="s">
        <v>26</v>
      </c>
      <c r="CY1924" s="4">
        <v>43144</v>
      </c>
      <c r="CZ1924" t="s">
        <v>65</v>
      </c>
      <c r="DA1924" t="s">
        <v>66</v>
      </c>
      <c r="DB1924">
        <v>1250</v>
      </c>
      <c r="DC1924">
        <v>117.36</v>
      </c>
      <c r="DD1924" t="s">
        <v>69</v>
      </c>
      <c r="DE1924" t="s">
        <v>70</v>
      </c>
      <c r="DF1924">
        <v>146700</v>
      </c>
    </row>
    <row r="1925" spans="100:110" x14ac:dyDescent="0.25">
      <c r="CV1925" t="s">
        <v>64</v>
      </c>
      <c r="CW1925" t="s">
        <v>1998</v>
      </c>
      <c r="CX1925" t="s">
        <v>26</v>
      </c>
      <c r="CY1925" s="4">
        <v>43145</v>
      </c>
      <c r="CZ1925" t="s">
        <v>65</v>
      </c>
      <c r="DA1925" t="s">
        <v>66</v>
      </c>
      <c r="DB1925">
        <v>2500</v>
      </c>
      <c r="DC1925">
        <v>119.82</v>
      </c>
      <c r="DD1925" t="s">
        <v>69</v>
      </c>
      <c r="DE1925" t="s">
        <v>70</v>
      </c>
      <c r="DF1925">
        <v>299550</v>
      </c>
    </row>
    <row r="1926" spans="100:110" x14ac:dyDescent="0.25">
      <c r="CV1926" t="s">
        <v>64</v>
      </c>
      <c r="CW1926" t="s">
        <v>1999</v>
      </c>
      <c r="CX1926" t="s">
        <v>26</v>
      </c>
      <c r="CY1926" s="4">
        <v>43146</v>
      </c>
      <c r="CZ1926" t="s">
        <v>65</v>
      </c>
      <c r="DA1926" t="s">
        <v>66</v>
      </c>
      <c r="DB1926">
        <v>2500</v>
      </c>
      <c r="DC1926">
        <v>121.47</v>
      </c>
      <c r="DD1926" t="s">
        <v>69</v>
      </c>
      <c r="DE1926" t="s">
        <v>70</v>
      </c>
      <c r="DF1926">
        <v>303675</v>
      </c>
    </row>
    <row r="1927" spans="100:110" x14ac:dyDescent="0.25">
      <c r="CV1927" t="s">
        <v>64</v>
      </c>
      <c r="CW1927" t="s">
        <v>2000</v>
      </c>
      <c r="CX1927" t="s">
        <v>26</v>
      </c>
      <c r="CY1927" s="4">
        <v>43153</v>
      </c>
      <c r="CZ1927" t="s">
        <v>67</v>
      </c>
      <c r="DA1927" t="s">
        <v>68</v>
      </c>
      <c r="DB1927">
        <v>500</v>
      </c>
      <c r="DC1927">
        <v>119.58</v>
      </c>
      <c r="DD1927" t="s">
        <v>69</v>
      </c>
      <c r="DE1927" t="s">
        <v>70</v>
      </c>
      <c r="DF1927">
        <v>59790</v>
      </c>
    </row>
    <row r="1928" spans="100:110" x14ac:dyDescent="0.25">
      <c r="CV1928" t="s">
        <v>64</v>
      </c>
      <c r="CW1928" t="s">
        <v>2001</v>
      </c>
      <c r="CX1928" t="s">
        <v>26</v>
      </c>
      <c r="CY1928" s="4">
        <v>43154</v>
      </c>
      <c r="CZ1928" t="s">
        <v>67</v>
      </c>
      <c r="DA1928" t="s">
        <v>68</v>
      </c>
      <c r="DB1928">
        <v>500</v>
      </c>
      <c r="DC1928">
        <v>122.12</v>
      </c>
      <c r="DD1928" t="s">
        <v>69</v>
      </c>
      <c r="DE1928" t="s">
        <v>70</v>
      </c>
      <c r="DF1928">
        <v>61060</v>
      </c>
    </row>
    <row r="1929" spans="100:110" x14ac:dyDescent="0.25">
      <c r="CV1929" t="s">
        <v>64</v>
      </c>
      <c r="CW1929" t="s">
        <v>2002</v>
      </c>
      <c r="CX1929" t="s">
        <v>26</v>
      </c>
      <c r="CY1929" s="4">
        <v>43166</v>
      </c>
      <c r="CZ1929" t="s">
        <v>65</v>
      </c>
      <c r="DA1929" t="s">
        <v>66</v>
      </c>
      <c r="DB1929">
        <v>1000</v>
      </c>
      <c r="DC1929">
        <v>121.04</v>
      </c>
      <c r="DD1929" t="s">
        <v>69</v>
      </c>
      <c r="DE1929" t="s">
        <v>70</v>
      </c>
      <c r="DF1929">
        <v>121040</v>
      </c>
    </row>
    <row r="1930" spans="100:110" x14ac:dyDescent="0.25">
      <c r="CV1930" t="s">
        <v>64</v>
      </c>
      <c r="CW1930" t="s">
        <v>2003</v>
      </c>
      <c r="CX1930" t="s">
        <v>26</v>
      </c>
      <c r="CY1930" s="4">
        <v>43171</v>
      </c>
      <c r="CZ1930" t="s">
        <v>67</v>
      </c>
      <c r="DA1930" t="s">
        <v>68</v>
      </c>
      <c r="DB1930">
        <v>1500</v>
      </c>
      <c r="DC1930">
        <v>123.42</v>
      </c>
      <c r="DD1930" t="s">
        <v>69</v>
      </c>
      <c r="DE1930" t="s">
        <v>70</v>
      </c>
      <c r="DF1930">
        <v>185130</v>
      </c>
    </row>
    <row r="1931" spans="100:110" x14ac:dyDescent="0.25">
      <c r="CV1931" t="s">
        <v>64</v>
      </c>
      <c r="CW1931" t="s">
        <v>2004</v>
      </c>
      <c r="CX1931" t="s">
        <v>26</v>
      </c>
      <c r="CY1931" s="4">
        <v>43172</v>
      </c>
      <c r="CZ1931" t="s">
        <v>67</v>
      </c>
      <c r="DA1931" t="s">
        <v>68</v>
      </c>
      <c r="DB1931">
        <v>2500</v>
      </c>
      <c r="DC1931">
        <v>122.38</v>
      </c>
      <c r="DD1931" t="s">
        <v>69</v>
      </c>
      <c r="DE1931" t="s">
        <v>70</v>
      </c>
      <c r="DF1931">
        <v>305950</v>
      </c>
    </row>
    <row r="1932" spans="100:110" x14ac:dyDescent="0.25">
      <c r="CV1932" t="s">
        <v>64</v>
      </c>
      <c r="CW1932" t="s">
        <v>2005</v>
      </c>
      <c r="CX1932" t="s">
        <v>26</v>
      </c>
      <c r="CY1932" s="4">
        <v>43173</v>
      </c>
      <c r="CZ1932" t="s">
        <v>67</v>
      </c>
      <c r="DA1932" t="s">
        <v>68</v>
      </c>
      <c r="DB1932">
        <v>1000</v>
      </c>
      <c r="DC1932">
        <v>121.77</v>
      </c>
      <c r="DD1932" t="s">
        <v>69</v>
      </c>
      <c r="DE1932" t="s">
        <v>70</v>
      </c>
      <c r="DF1932">
        <v>121770</v>
      </c>
    </row>
    <row r="1933" spans="100:110" x14ac:dyDescent="0.25">
      <c r="CV1933" t="s">
        <v>64</v>
      </c>
      <c r="CW1933" t="s">
        <v>2006</v>
      </c>
      <c r="CX1933" t="s">
        <v>26</v>
      </c>
      <c r="CY1933" s="4">
        <v>43187</v>
      </c>
      <c r="CZ1933" t="s">
        <v>65</v>
      </c>
      <c r="DA1933" t="s">
        <v>66</v>
      </c>
      <c r="DB1933">
        <v>2500</v>
      </c>
      <c r="DC1933">
        <v>116.22</v>
      </c>
      <c r="DD1933" t="s">
        <v>69</v>
      </c>
      <c r="DE1933" t="s">
        <v>70</v>
      </c>
      <c r="DF1933">
        <v>290550</v>
      </c>
    </row>
    <row r="1934" spans="100:110" x14ac:dyDescent="0.25">
      <c r="CV1934" t="s">
        <v>64</v>
      </c>
      <c r="CW1934" t="s">
        <v>2007</v>
      </c>
      <c r="CX1934" t="s">
        <v>26</v>
      </c>
      <c r="CY1934" s="4">
        <v>43188</v>
      </c>
      <c r="CZ1934" t="s">
        <v>67</v>
      </c>
      <c r="DA1934" t="s">
        <v>68</v>
      </c>
      <c r="DB1934">
        <v>500</v>
      </c>
      <c r="DC1934">
        <v>118.83</v>
      </c>
      <c r="DD1934" t="s">
        <v>69</v>
      </c>
      <c r="DE1934" t="s">
        <v>70</v>
      </c>
      <c r="DF1934">
        <v>59415</v>
      </c>
    </row>
    <row r="1935" spans="100:110" x14ac:dyDescent="0.25">
      <c r="CV1935" t="s">
        <v>64</v>
      </c>
      <c r="CW1935" t="s">
        <v>2008</v>
      </c>
      <c r="CX1935" t="s">
        <v>26</v>
      </c>
      <c r="CY1935" s="4">
        <v>43192</v>
      </c>
      <c r="CZ1935" t="s">
        <v>65</v>
      </c>
      <c r="DA1935" t="s">
        <v>66</v>
      </c>
      <c r="DB1935">
        <v>500</v>
      </c>
      <c r="DC1935">
        <v>117.61</v>
      </c>
      <c r="DD1935" t="s">
        <v>69</v>
      </c>
      <c r="DE1935" t="s">
        <v>70</v>
      </c>
      <c r="DF1935">
        <v>58805</v>
      </c>
    </row>
    <row r="1936" spans="100:110" x14ac:dyDescent="0.25">
      <c r="CV1936" t="s">
        <v>64</v>
      </c>
      <c r="CW1936" t="s">
        <v>2009</v>
      </c>
      <c r="CX1936" t="s">
        <v>26</v>
      </c>
      <c r="CY1936" s="4">
        <v>43193</v>
      </c>
      <c r="CZ1936" t="s">
        <v>65</v>
      </c>
      <c r="DA1936" t="s">
        <v>66</v>
      </c>
      <c r="DB1936">
        <v>1500</v>
      </c>
      <c r="DC1936">
        <v>118.41</v>
      </c>
      <c r="DD1936" t="s">
        <v>69</v>
      </c>
      <c r="DE1936" t="s">
        <v>70</v>
      </c>
      <c r="DF1936">
        <v>177615</v>
      </c>
    </row>
    <row r="1937" spans="100:110" x14ac:dyDescent="0.25">
      <c r="CV1937" t="s">
        <v>64</v>
      </c>
      <c r="CW1937" t="s">
        <v>2010</v>
      </c>
      <c r="CX1937" t="s">
        <v>26</v>
      </c>
      <c r="CY1937" s="4">
        <v>43196</v>
      </c>
      <c r="CZ1937" t="s">
        <v>65</v>
      </c>
      <c r="DA1937" t="s">
        <v>66</v>
      </c>
      <c r="DB1937">
        <v>1000</v>
      </c>
      <c r="DC1937">
        <v>116.92</v>
      </c>
      <c r="DD1937" t="s">
        <v>69</v>
      </c>
      <c r="DE1937" t="s">
        <v>70</v>
      </c>
      <c r="DF1937">
        <v>116920</v>
      </c>
    </row>
    <row r="1938" spans="100:110" x14ac:dyDescent="0.25">
      <c r="CV1938" t="s">
        <v>64</v>
      </c>
      <c r="CW1938" t="s">
        <v>2011</v>
      </c>
      <c r="CX1938" t="s">
        <v>26</v>
      </c>
      <c r="CY1938" s="4">
        <v>43236</v>
      </c>
      <c r="CZ1938" t="s">
        <v>67</v>
      </c>
      <c r="DA1938" t="s">
        <v>68</v>
      </c>
      <c r="DB1938">
        <v>2500</v>
      </c>
      <c r="DC1938">
        <v>130.02000000000001</v>
      </c>
      <c r="DD1938" t="s">
        <v>69</v>
      </c>
      <c r="DE1938" t="s">
        <v>70</v>
      </c>
      <c r="DF1938">
        <v>325050</v>
      </c>
    </row>
    <row r="1939" spans="100:110" x14ac:dyDescent="0.25">
      <c r="CV1939" t="s">
        <v>64</v>
      </c>
      <c r="CW1939" t="s">
        <v>2012</v>
      </c>
      <c r="CX1939" t="s">
        <v>26</v>
      </c>
      <c r="CY1939" s="4">
        <v>43237</v>
      </c>
      <c r="CZ1939" t="s">
        <v>67</v>
      </c>
      <c r="DA1939" t="s">
        <v>68</v>
      </c>
      <c r="DB1939">
        <v>2500</v>
      </c>
      <c r="DC1939">
        <v>129.28</v>
      </c>
      <c r="DD1939" t="s">
        <v>69</v>
      </c>
      <c r="DE1939" t="s">
        <v>70</v>
      </c>
      <c r="DF1939">
        <v>323200</v>
      </c>
    </row>
    <row r="1940" spans="100:110" x14ac:dyDescent="0.25">
      <c r="CV1940" t="s">
        <v>64</v>
      </c>
      <c r="CW1940" t="s">
        <v>2013</v>
      </c>
      <c r="CX1940" t="s">
        <v>26</v>
      </c>
      <c r="CY1940" s="4">
        <v>43238</v>
      </c>
      <c r="CZ1940" t="s">
        <v>67</v>
      </c>
      <c r="DA1940" t="s">
        <v>68</v>
      </c>
      <c r="DB1940">
        <v>5000</v>
      </c>
      <c r="DC1940">
        <v>129.28</v>
      </c>
      <c r="DD1940" t="s">
        <v>69</v>
      </c>
      <c r="DE1940" t="s">
        <v>70</v>
      </c>
      <c r="DF1940">
        <v>646400</v>
      </c>
    </row>
    <row r="1941" spans="100:110" x14ac:dyDescent="0.25">
      <c r="CV1941" t="s">
        <v>64</v>
      </c>
      <c r="CW1941" t="s">
        <v>2014</v>
      </c>
      <c r="CX1941" t="s">
        <v>26</v>
      </c>
      <c r="CY1941" s="4">
        <v>43243</v>
      </c>
      <c r="CZ1941" t="s">
        <v>65</v>
      </c>
      <c r="DA1941" t="s">
        <v>66</v>
      </c>
      <c r="DB1941">
        <v>5000</v>
      </c>
      <c r="DC1941">
        <v>131.22</v>
      </c>
      <c r="DD1941" t="s">
        <v>69</v>
      </c>
      <c r="DE1941" t="s">
        <v>70</v>
      </c>
      <c r="DF1941">
        <v>656100</v>
      </c>
    </row>
    <row r="1942" spans="100:110" x14ac:dyDescent="0.25">
      <c r="CV1942" t="s">
        <v>64</v>
      </c>
      <c r="CW1942" t="s">
        <v>2015</v>
      </c>
      <c r="CX1942" t="s">
        <v>26</v>
      </c>
      <c r="CY1942" s="4">
        <v>43250</v>
      </c>
      <c r="CZ1942" t="s">
        <v>67</v>
      </c>
      <c r="DA1942" t="s">
        <v>68</v>
      </c>
      <c r="DB1942">
        <v>2500</v>
      </c>
      <c r="DC1942">
        <v>129.97999999999999</v>
      </c>
      <c r="DD1942" t="s">
        <v>69</v>
      </c>
      <c r="DE1942" t="s">
        <v>70</v>
      </c>
      <c r="DF1942">
        <v>324950</v>
      </c>
    </row>
    <row r="1943" spans="100:110" x14ac:dyDescent="0.25">
      <c r="CV1943" t="s">
        <v>64</v>
      </c>
      <c r="CW1943" t="s">
        <v>2016</v>
      </c>
      <c r="CX1943" t="s">
        <v>26</v>
      </c>
      <c r="CY1943" s="4">
        <v>43252</v>
      </c>
      <c r="CZ1943" t="s">
        <v>65</v>
      </c>
      <c r="DA1943" t="s">
        <v>66</v>
      </c>
      <c r="DB1943">
        <v>5000</v>
      </c>
      <c r="DC1943">
        <v>130.19</v>
      </c>
      <c r="DD1943" t="s">
        <v>69</v>
      </c>
      <c r="DE1943" t="s">
        <v>70</v>
      </c>
      <c r="DF1943">
        <v>650950</v>
      </c>
    </row>
    <row r="1944" spans="100:110" x14ac:dyDescent="0.25">
      <c r="CV1944" t="s">
        <v>64</v>
      </c>
      <c r="CW1944" t="s">
        <v>2017</v>
      </c>
      <c r="CX1944" t="s">
        <v>26</v>
      </c>
      <c r="CY1944" s="4">
        <v>43255</v>
      </c>
      <c r="CZ1944" t="s">
        <v>65</v>
      </c>
      <c r="DA1944" t="s">
        <v>66</v>
      </c>
      <c r="DB1944">
        <v>2500</v>
      </c>
      <c r="DC1944">
        <v>132.4</v>
      </c>
      <c r="DD1944" t="s">
        <v>69</v>
      </c>
      <c r="DE1944" t="s">
        <v>70</v>
      </c>
      <c r="DF1944">
        <v>331000</v>
      </c>
    </row>
    <row r="1945" spans="100:110" x14ac:dyDescent="0.25">
      <c r="CV1945" t="s">
        <v>64</v>
      </c>
      <c r="CW1945" t="s">
        <v>2018</v>
      </c>
      <c r="CX1945" t="s">
        <v>26</v>
      </c>
      <c r="CY1945" s="4">
        <v>43284</v>
      </c>
      <c r="CZ1945" t="s">
        <v>67</v>
      </c>
      <c r="DA1945" t="s">
        <v>68</v>
      </c>
      <c r="DB1945">
        <v>2500</v>
      </c>
      <c r="DC1945">
        <v>130.79</v>
      </c>
      <c r="DD1945" t="s">
        <v>69</v>
      </c>
      <c r="DE1945" t="s">
        <v>70</v>
      </c>
      <c r="DF1945">
        <v>326975</v>
      </c>
    </row>
    <row r="1946" spans="100:110" x14ac:dyDescent="0.25">
      <c r="CV1946" t="s">
        <v>64</v>
      </c>
      <c r="CW1946" t="s">
        <v>2019</v>
      </c>
      <c r="CX1946" t="s">
        <v>27</v>
      </c>
      <c r="CY1946" s="4">
        <v>42738</v>
      </c>
      <c r="CZ1946" t="s">
        <v>65</v>
      </c>
      <c r="DA1946" t="s">
        <v>66</v>
      </c>
      <c r="DB1946">
        <v>1000</v>
      </c>
      <c r="DC1946">
        <v>49.18</v>
      </c>
      <c r="DD1946" t="s">
        <v>69</v>
      </c>
      <c r="DE1946" t="s">
        <v>70</v>
      </c>
      <c r="DF1946">
        <v>49180</v>
      </c>
    </row>
    <row r="1947" spans="100:110" x14ac:dyDescent="0.25">
      <c r="CV1947" t="s">
        <v>64</v>
      </c>
      <c r="CW1947" t="s">
        <v>2020</v>
      </c>
      <c r="CX1947" t="s">
        <v>27</v>
      </c>
      <c r="CY1947" s="4">
        <v>42739</v>
      </c>
      <c r="CZ1947" t="s">
        <v>65</v>
      </c>
      <c r="DA1947" t="s">
        <v>66</v>
      </c>
      <c r="DB1947">
        <v>2000</v>
      </c>
      <c r="DC1947">
        <v>49.13</v>
      </c>
      <c r="DD1947" t="s">
        <v>69</v>
      </c>
      <c r="DE1947" t="s">
        <v>70</v>
      </c>
      <c r="DF1947">
        <v>98260</v>
      </c>
    </row>
    <row r="1948" spans="100:110" x14ac:dyDescent="0.25">
      <c r="CV1948" t="s">
        <v>64</v>
      </c>
      <c r="CW1948" t="s">
        <v>2021</v>
      </c>
      <c r="CX1948" t="s">
        <v>28</v>
      </c>
      <c r="CY1948" s="4">
        <v>42738</v>
      </c>
      <c r="CZ1948" t="s">
        <v>65</v>
      </c>
      <c r="DA1948" t="s">
        <v>66</v>
      </c>
      <c r="DB1948">
        <v>1000</v>
      </c>
      <c r="DC1948">
        <v>78.959999999999994</v>
      </c>
      <c r="DD1948" t="s">
        <v>69</v>
      </c>
      <c r="DE1948" t="s">
        <v>70</v>
      </c>
      <c r="DF1948">
        <v>78960</v>
      </c>
    </row>
    <row r="1949" spans="100:110" x14ac:dyDescent="0.25">
      <c r="CV1949" t="s">
        <v>64</v>
      </c>
      <c r="CW1949" t="s">
        <v>2022</v>
      </c>
      <c r="CX1949" t="s">
        <v>28</v>
      </c>
      <c r="CY1949" s="4">
        <v>42748</v>
      </c>
      <c r="CZ1949" t="s">
        <v>67</v>
      </c>
      <c r="DA1949" t="s">
        <v>68</v>
      </c>
      <c r="DB1949">
        <v>1000</v>
      </c>
      <c r="DC1949">
        <v>79.78</v>
      </c>
      <c r="DD1949" t="s">
        <v>69</v>
      </c>
      <c r="DE1949" t="s">
        <v>70</v>
      </c>
      <c r="DF1949">
        <v>79780</v>
      </c>
    </row>
    <row r="1950" spans="100:110" x14ac:dyDescent="0.25">
      <c r="CV1950" t="s">
        <v>64</v>
      </c>
      <c r="CW1950" t="s">
        <v>2023</v>
      </c>
      <c r="CX1950" t="s">
        <v>28</v>
      </c>
      <c r="CY1950" s="4">
        <v>42957</v>
      </c>
      <c r="CZ1950" t="s">
        <v>67</v>
      </c>
      <c r="DA1950" t="s">
        <v>68</v>
      </c>
      <c r="DB1950">
        <v>1500</v>
      </c>
      <c r="DC1950">
        <v>76.58</v>
      </c>
      <c r="DD1950" t="s">
        <v>69</v>
      </c>
      <c r="DE1950" t="s">
        <v>70</v>
      </c>
      <c r="DF1950">
        <v>114870</v>
      </c>
    </row>
    <row r="1951" spans="100:110" x14ac:dyDescent="0.25">
      <c r="CV1951" t="s">
        <v>64</v>
      </c>
      <c r="CW1951" t="s">
        <v>2024</v>
      </c>
      <c r="CX1951" t="s">
        <v>28</v>
      </c>
      <c r="CY1951" s="4">
        <v>43206</v>
      </c>
      <c r="CZ1951" t="s">
        <v>67</v>
      </c>
      <c r="DA1951" t="s">
        <v>68</v>
      </c>
      <c r="DB1951">
        <v>500</v>
      </c>
      <c r="DC1951">
        <v>64.650000000000006</v>
      </c>
      <c r="DD1951" t="s">
        <v>69</v>
      </c>
      <c r="DE1951" t="s">
        <v>70</v>
      </c>
      <c r="DF1951">
        <v>32325.000000000004</v>
      </c>
    </row>
    <row r="1952" spans="100:110" x14ac:dyDescent="0.25">
      <c r="CV1952" t="s">
        <v>64</v>
      </c>
      <c r="CW1952" t="s">
        <v>2025</v>
      </c>
      <c r="CX1952" t="s">
        <v>29</v>
      </c>
      <c r="CY1952" s="4">
        <v>42738</v>
      </c>
      <c r="CZ1952" t="s">
        <v>65</v>
      </c>
      <c r="DA1952" t="s">
        <v>66</v>
      </c>
      <c r="DB1952">
        <v>1000</v>
      </c>
      <c r="DC1952">
        <v>65.38</v>
      </c>
      <c r="DD1952" t="s">
        <v>69</v>
      </c>
      <c r="DE1952" t="s">
        <v>70</v>
      </c>
      <c r="DF1952">
        <v>65379.999999999993</v>
      </c>
    </row>
    <row r="1953" spans="100:110" x14ac:dyDescent="0.25">
      <c r="CV1953" t="s">
        <v>64</v>
      </c>
      <c r="CW1953" t="s">
        <v>2026</v>
      </c>
      <c r="CX1953" t="s">
        <v>30</v>
      </c>
      <c r="CY1953" s="4">
        <v>42738</v>
      </c>
      <c r="CZ1953" t="s">
        <v>65</v>
      </c>
      <c r="DA1953" t="s">
        <v>66</v>
      </c>
      <c r="DB1953">
        <v>1000</v>
      </c>
      <c r="DC1953">
        <v>83.15</v>
      </c>
      <c r="DD1953" t="s">
        <v>69</v>
      </c>
      <c r="DE1953" t="s">
        <v>70</v>
      </c>
      <c r="DF1953">
        <v>83150</v>
      </c>
    </row>
    <row r="1954" spans="100:110" x14ac:dyDescent="0.25">
      <c r="CY1954" s="4"/>
    </row>
  </sheetData>
  <sortState xmlns:xlrd2="http://schemas.microsoft.com/office/spreadsheetml/2017/richdata2" ref="A2:AE503">
    <sortCondition ref="A2:A503"/>
  </sortState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wide_company_closes_reorder</vt:lpstr>
      <vt:lpstr>clearArea</vt:lpstr>
      <vt:lpstr>positionArea</vt:lpstr>
      <vt:lpstr>priceArea</vt:lpstr>
      <vt:lpstr>tradeArea</vt:lpstr>
      <vt:lpstr>tradeOutputStart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gusse</dc:creator>
  <cp:lastModifiedBy>gusse</cp:lastModifiedBy>
  <dcterms:created xsi:type="dcterms:W3CDTF">2019-02-26T17:58:24Z</dcterms:created>
  <dcterms:modified xsi:type="dcterms:W3CDTF">2019-04-12T16:59:43Z</dcterms:modified>
</cp:coreProperties>
</file>